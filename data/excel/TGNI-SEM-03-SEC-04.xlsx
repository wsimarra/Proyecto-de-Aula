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3/"/>
    </mc:Choice>
  </mc:AlternateContent>
  <xr:revisionPtr revIDLastSave="629" documentId="13_ncr:1_{194E36EE-79EF-4BDE-913F-5E4514E018C7}" xr6:coauthVersionLast="47" xr6:coauthVersionMax="47" xr10:uidLastSave="{85CDC199-0311-4F03-BBF9-9C8ABA49D5B1}"/>
  <bookViews>
    <workbookView xWindow="-120" yWindow="-120" windowWidth="20730" windowHeight="11040" tabRatio="815" firstSheet="15" activeTab="15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definedNames>
    <definedName name="_xlnm._FilterDatabase" localSheetId="15" hidden="1">DEFINITIVAS!$B$4:$E$4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B65" i="16"/>
  <c r="D65" i="16" s="1"/>
  <c r="B64" i="16"/>
  <c r="B63" i="16"/>
  <c r="B62" i="16"/>
  <c r="D62" i="16" s="1"/>
  <c r="D60" i="16"/>
  <c r="B60" i="16"/>
  <c r="B59" i="16"/>
  <c r="D59" i="16" s="1"/>
  <c r="B58" i="16"/>
  <c r="D58" i="16" s="1"/>
  <c r="B57" i="16"/>
  <c r="D57" i="16" s="1"/>
  <c r="B56" i="16"/>
  <c r="D56" i="16" s="1"/>
  <c r="B55" i="16"/>
  <c r="D55" i="16" s="1"/>
  <c r="B53" i="16"/>
  <c r="D53" i="16" s="1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D24" i="16"/>
  <c r="B24" i="16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B65" i="7"/>
  <c r="D65" i="7" s="1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D24" i="7"/>
  <c r="B24" i="7"/>
  <c r="D23" i="7"/>
  <c r="B23" i="7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D10" i="7"/>
  <c r="B10" i="7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B65" i="6"/>
  <c r="D65" i="6" s="1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D24" i="6"/>
  <c r="B24" i="6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B65" i="5"/>
  <c r="D65" i="5" s="1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B53" i="5"/>
  <c r="D53" i="5" s="1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D24" i="5"/>
  <c r="B24" i="5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B65" i="4"/>
  <c r="D65" i="4" s="1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B53" i="4"/>
  <c r="D53" i="4" s="1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D24" i="4"/>
  <c r="B24" i="4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D24" i="3"/>
  <c r="B24" i="3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B53" i="15"/>
  <c r="E53" i="15" s="1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E23" i="15"/>
  <c r="B23" i="15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B65" i="14"/>
  <c r="E65" i="14" s="1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E23" i="14"/>
  <c r="B23" i="14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E23" i="13"/>
  <c r="B23" i="13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B53" i="12"/>
  <c r="E53" i="12" s="1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E60" i="11"/>
  <c r="B60" i="11"/>
  <c r="B59" i="11"/>
  <c r="E59" i="11" s="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B52" i="11"/>
  <c r="E52" i="11" s="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E24" i="11"/>
  <c r="B24" i="1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E23" i="10"/>
  <c r="B23" i="10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U3" i="8"/>
  <c r="H3" i="8"/>
  <c r="P3" i="8" s="1"/>
  <c r="I3" i="8"/>
  <c r="Q3" i="8" s="1"/>
  <c r="J3" i="8"/>
  <c r="R3" i="8" s="1"/>
  <c r="K3" i="8"/>
  <c r="S3" i="8" s="1"/>
  <c r="L3" i="8"/>
  <c r="T3" i="8" s="1"/>
  <c r="M3" i="8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9" i="3" l="1"/>
  <c r="D49" i="4"/>
  <c r="D49" i="6"/>
  <c r="D48" i="4"/>
  <c r="D48" i="16"/>
  <c r="D43" i="7"/>
  <c r="D42" i="3"/>
  <c r="D42" i="5"/>
  <c r="D37" i="4"/>
  <c r="D37" i="6"/>
  <c r="D37" i="16"/>
  <c r="D36" i="4"/>
  <c r="D36" i="6"/>
  <c r="D36" i="16"/>
  <c r="D34" i="7"/>
  <c r="D22" i="3"/>
  <c r="D22" i="4"/>
  <c r="D22" i="5"/>
  <c r="D22" i="7"/>
  <c r="D22" i="16"/>
  <c r="D21" i="5"/>
  <c r="D21" i="7"/>
  <c r="D21" i="16"/>
  <c r="D64" i="6"/>
  <c r="D48" i="6"/>
  <c r="D49" i="7"/>
  <c r="D48" i="7"/>
  <c r="D49" i="16"/>
  <c r="D48" i="3"/>
  <c r="D34" i="4"/>
  <c r="D34" i="16"/>
  <c r="D37" i="3"/>
  <c r="D36" i="5"/>
  <c r="D20" i="5"/>
  <c r="D21" i="4"/>
  <c r="D21" i="6"/>
  <c r="D10" i="4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14" i="8"/>
  <c r="B15" i="8"/>
  <c r="H7" i="8" s="1"/>
  <c r="B18" i="8"/>
  <c r="B26" i="8"/>
  <c r="B40" i="8"/>
  <c r="B16" i="8"/>
  <c r="B31" i="8"/>
  <c r="B27" i="8"/>
  <c r="B28" i="8"/>
  <c r="I14" i="8" s="1"/>
  <c r="B19" i="8"/>
  <c r="B51" i="8"/>
  <c r="B32" i="8"/>
  <c r="B52" i="8"/>
  <c r="B5" i="8"/>
  <c r="B23" i="8"/>
  <c r="B47" i="8"/>
  <c r="B29" i="8"/>
  <c r="B30" i="8"/>
  <c r="B48" i="8"/>
  <c r="B24" i="8"/>
  <c r="B49" i="8"/>
  <c r="B35" i="8"/>
  <c r="B20" i="8"/>
  <c r="B6" i="8"/>
  <c r="B7" i="8"/>
  <c r="B41" i="8"/>
  <c r="B33" i="8"/>
  <c r="B42" i="8"/>
  <c r="B21" i="8"/>
  <c r="B25" i="8"/>
  <c r="B50" i="8"/>
  <c r="B43" i="8"/>
  <c r="B44" i="8"/>
  <c r="B45" i="8"/>
  <c r="B36" i="8"/>
  <c r="B37" i="8"/>
  <c r="B17" i="8"/>
  <c r="B38" i="8"/>
  <c r="B22" i="8"/>
  <c r="B53" i="8"/>
  <c r="B8" i="8"/>
  <c r="B34" i="8"/>
  <c r="B39" i="8"/>
  <c r="B54" i="8"/>
  <c r="B9" i="8"/>
  <c r="B10" i="8"/>
  <c r="B11" i="8"/>
  <c r="B12" i="8"/>
  <c r="B13" i="8"/>
  <c r="B46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9" i="8" l="1"/>
  <c r="H6" i="8"/>
  <c r="I6" i="8"/>
  <c r="H50" i="8"/>
  <c r="M50" i="8"/>
  <c r="L50" i="8"/>
  <c r="D9" i="8"/>
  <c r="I50" i="8"/>
  <c r="K50" i="8"/>
  <c r="J50" i="8"/>
  <c r="O50" i="8"/>
  <c r="P50" i="8"/>
  <c r="Q50" i="8"/>
  <c r="C9" i="8"/>
  <c r="R50" i="8"/>
  <c r="S50" i="8"/>
  <c r="E9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M49" i="8"/>
  <c r="L49" i="8"/>
  <c r="G49" i="8"/>
  <c r="K49" i="8"/>
  <c r="J49" i="8"/>
  <c r="C54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10" i="8"/>
  <c r="H51" i="8"/>
  <c r="E10" i="8"/>
  <c r="M51" i="8"/>
  <c r="L51" i="8"/>
  <c r="G51" i="8"/>
  <c r="K51" i="8"/>
  <c r="J51" i="8"/>
  <c r="O51" i="8"/>
  <c r="P51" i="8"/>
  <c r="C10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8" i="8"/>
  <c r="P46" i="8"/>
  <c r="Q46" i="8"/>
  <c r="R46" i="8"/>
  <c r="S46" i="8"/>
  <c r="T46" i="8"/>
  <c r="U46" i="8"/>
  <c r="H46" i="8"/>
  <c r="M46" i="8"/>
  <c r="I46" i="8"/>
  <c r="K45" i="8"/>
  <c r="J45" i="8"/>
  <c r="P45" i="8"/>
  <c r="C53" i="8"/>
  <c r="Q45" i="8"/>
  <c r="R45" i="8"/>
  <c r="S45" i="8"/>
  <c r="T45" i="8"/>
  <c r="U45" i="8"/>
  <c r="H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22" i="8"/>
  <c r="R44" i="8"/>
  <c r="S44" i="8"/>
  <c r="T44" i="8"/>
  <c r="U44" i="8"/>
  <c r="H44" i="8"/>
  <c r="M44" i="8"/>
  <c r="I44" i="8"/>
  <c r="L44" i="8"/>
  <c r="G44" i="8"/>
  <c r="P44" i="8"/>
  <c r="K28" i="8"/>
  <c r="J28" i="8"/>
  <c r="H28" i="8"/>
  <c r="M28" i="8"/>
  <c r="I28" i="8"/>
  <c r="L28" i="8"/>
  <c r="T52" i="8"/>
  <c r="E11" i="8"/>
  <c r="U52" i="8"/>
  <c r="H52" i="8"/>
  <c r="D11" i="8"/>
  <c r="I52" i="8"/>
  <c r="L52" i="8"/>
  <c r="G52" i="8"/>
  <c r="K52" i="8"/>
  <c r="J52" i="8"/>
  <c r="O52" i="8"/>
  <c r="P52" i="8"/>
  <c r="C11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M43" i="8"/>
  <c r="I43" i="8"/>
  <c r="L43" i="8"/>
  <c r="G43" i="8"/>
  <c r="K43" i="8"/>
  <c r="O43" i="8"/>
  <c r="Q43" i="8"/>
  <c r="C38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17" i="8"/>
  <c r="S42" i="8"/>
  <c r="T42" i="8"/>
  <c r="U42" i="8"/>
  <c r="H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M41" i="8"/>
  <c r="I41" i="8"/>
  <c r="L41" i="8"/>
  <c r="G41" i="8"/>
  <c r="Q41" i="8"/>
  <c r="K41" i="8"/>
  <c r="J41" i="8"/>
  <c r="C37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36" i="8"/>
  <c r="Q40" i="8"/>
  <c r="R40" i="8"/>
  <c r="S40" i="8"/>
  <c r="U40" i="8"/>
  <c r="H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34" i="8"/>
  <c r="O47" i="8"/>
  <c r="P47" i="8"/>
  <c r="Q47" i="8"/>
  <c r="R47" i="8"/>
  <c r="S47" i="8"/>
  <c r="T47" i="8"/>
  <c r="U47" i="8"/>
  <c r="H47" i="8"/>
  <c r="M47" i="8"/>
  <c r="M48" i="8"/>
  <c r="L48" i="8"/>
  <c r="G48" i="8"/>
  <c r="K48" i="8"/>
  <c r="I48" i="8"/>
  <c r="J48" i="8"/>
  <c r="O48" i="8"/>
  <c r="P48" i="8"/>
  <c r="Q48" i="8"/>
  <c r="C39" i="8"/>
  <c r="R48" i="8"/>
  <c r="S48" i="8"/>
  <c r="T48" i="8"/>
  <c r="U48" i="8"/>
  <c r="H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13" i="8"/>
  <c r="E13" i="8"/>
  <c r="M54" i="8"/>
  <c r="I54" i="8"/>
  <c r="L54" i="8"/>
  <c r="G54" i="8"/>
  <c r="K54" i="8"/>
  <c r="J54" i="8"/>
  <c r="O54" i="8"/>
  <c r="P54" i="8"/>
  <c r="T54" i="8"/>
  <c r="Q54" i="8"/>
  <c r="C13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12" i="8"/>
  <c r="E12" i="8"/>
  <c r="M53" i="8"/>
  <c r="I53" i="8"/>
  <c r="L53" i="8"/>
  <c r="G53" i="8"/>
  <c r="K53" i="8"/>
  <c r="J53" i="8"/>
  <c r="O53" i="8"/>
  <c r="P53" i="8"/>
  <c r="Q53" i="8"/>
  <c r="C12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52" i="8"/>
  <c r="O39" i="8"/>
  <c r="G39" i="8"/>
  <c r="D39" i="8" s="1"/>
  <c r="P39" i="8"/>
  <c r="Q39" i="8"/>
  <c r="R39" i="8"/>
  <c r="S39" i="8"/>
  <c r="U39" i="8"/>
  <c r="C45" i="8"/>
  <c r="T39" i="8"/>
  <c r="R35" i="8"/>
  <c r="S35" i="8"/>
  <c r="G35" i="8"/>
  <c r="T35" i="8"/>
  <c r="U35" i="8"/>
  <c r="Q35" i="8"/>
  <c r="C25" i="8"/>
  <c r="P35" i="8"/>
  <c r="O35" i="8"/>
  <c r="R27" i="8"/>
  <c r="S27" i="8"/>
  <c r="T27" i="8"/>
  <c r="G27" i="8"/>
  <c r="U27" i="8"/>
  <c r="Q27" i="8"/>
  <c r="C35" i="8"/>
  <c r="O27" i="8"/>
  <c r="P27" i="8"/>
  <c r="R19" i="8"/>
  <c r="S19" i="8"/>
  <c r="G19" i="8"/>
  <c r="T19" i="8"/>
  <c r="U19" i="8"/>
  <c r="O19" i="8"/>
  <c r="Q19" i="8"/>
  <c r="C5" i="8"/>
  <c r="P19" i="8"/>
  <c r="R11" i="8"/>
  <c r="G11" i="8"/>
  <c r="S11" i="8"/>
  <c r="T11" i="8"/>
  <c r="U11" i="8"/>
  <c r="Q11" i="8"/>
  <c r="C16" i="8"/>
  <c r="O11" i="8"/>
  <c r="P11" i="8"/>
  <c r="S26" i="8"/>
  <c r="T26" i="8"/>
  <c r="U26" i="8"/>
  <c r="O26" i="8"/>
  <c r="G26" i="8"/>
  <c r="R26" i="8"/>
  <c r="P26" i="8"/>
  <c r="C49" i="8"/>
  <c r="Q26" i="8"/>
  <c r="S10" i="8"/>
  <c r="T10" i="8"/>
  <c r="U10" i="8"/>
  <c r="O10" i="8"/>
  <c r="G10" i="8"/>
  <c r="R10" i="8"/>
  <c r="P10" i="8"/>
  <c r="Q10" i="8"/>
  <c r="C40" i="8"/>
  <c r="T33" i="8"/>
  <c r="U33" i="8"/>
  <c r="O33" i="8"/>
  <c r="G33" i="8"/>
  <c r="P33" i="8"/>
  <c r="S33" i="8"/>
  <c r="Q33" i="8"/>
  <c r="R33" i="8"/>
  <c r="C42" i="8"/>
  <c r="T25" i="8"/>
  <c r="U25" i="8"/>
  <c r="O25" i="8"/>
  <c r="G25" i="8"/>
  <c r="P25" i="8"/>
  <c r="Q25" i="8"/>
  <c r="S25" i="8"/>
  <c r="C24" i="8"/>
  <c r="R25" i="8"/>
  <c r="T17" i="8"/>
  <c r="U17" i="8"/>
  <c r="O17" i="8"/>
  <c r="G17" i="8"/>
  <c r="P17" i="8"/>
  <c r="S17" i="8"/>
  <c r="Q17" i="8"/>
  <c r="C32" i="8"/>
  <c r="R17" i="8"/>
  <c r="T9" i="8"/>
  <c r="U9" i="8"/>
  <c r="O9" i="8"/>
  <c r="G9" i="8"/>
  <c r="P9" i="8"/>
  <c r="Q9" i="8"/>
  <c r="S9" i="8"/>
  <c r="R9" i="8"/>
  <c r="C26" i="8"/>
  <c r="U32" i="8"/>
  <c r="O32" i="8"/>
  <c r="G32" i="8"/>
  <c r="P32" i="8"/>
  <c r="Q32" i="8"/>
  <c r="C33" i="8"/>
  <c r="R32" i="8"/>
  <c r="T32" i="8"/>
  <c r="S32" i="8"/>
  <c r="U24" i="8"/>
  <c r="O24" i="8"/>
  <c r="G24" i="8"/>
  <c r="P24" i="8"/>
  <c r="Q24" i="8"/>
  <c r="C48" i="8"/>
  <c r="T24" i="8"/>
  <c r="R24" i="8"/>
  <c r="S24" i="8"/>
  <c r="U16" i="8"/>
  <c r="O16" i="8"/>
  <c r="G16" i="8"/>
  <c r="P16" i="8"/>
  <c r="Q16" i="8"/>
  <c r="C51" i="8"/>
  <c r="R16" i="8"/>
  <c r="T16" i="8"/>
  <c r="S16" i="8"/>
  <c r="U8" i="8"/>
  <c r="O8" i="8"/>
  <c r="G8" i="8"/>
  <c r="P8" i="8"/>
  <c r="Q8" i="8"/>
  <c r="C18" i="8"/>
  <c r="R8" i="8"/>
  <c r="T8" i="8"/>
  <c r="S8" i="8"/>
  <c r="O23" i="8"/>
  <c r="G23" i="8"/>
  <c r="C30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9" i="8"/>
  <c r="T15" i="8"/>
  <c r="O38" i="8"/>
  <c r="G38" i="8"/>
  <c r="P38" i="8"/>
  <c r="Q38" i="8"/>
  <c r="C44" i="8"/>
  <c r="R38" i="8"/>
  <c r="S38" i="8"/>
  <c r="T38" i="8"/>
  <c r="U38" i="8"/>
  <c r="O30" i="8"/>
  <c r="G30" i="8"/>
  <c r="P30" i="8"/>
  <c r="Q30" i="8"/>
  <c r="C7" i="8"/>
  <c r="R30" i="8"/>
  <c r="S30" i="8"/>
  <c r="T30" i="8"/>
  <c r="U30" i="8"/>
  <c r="O22" i="8"/>
  <c r="G22" i="8"/>
  <c r="P22" i="8"/>
  <c r="Q22" i="8"/>
  <c r="C29" i="8"/>
  <c r="R22" i="8"/>
  <c r="S22" i="8"/>
  <c r="T22" i="8"/>
  <c r="U22" i="8"/>
  <c r="O14" i="8"/>
  <c r="G14" i="8"/>
  <c r="P14" i="8"/>
  <c r="Q14" i="8"/>
  <c r="C28" i="8"/>
  <c r="R14" i="8"/>
  <c r="S14" i="8"/>
  <c r="T14" i="8"/>
  <c r="U14" i="8"/>
  <c r="S34" i="8"/>
  <c r="T34" i="8"/>
  <c r="U34" i="8"/>
  <c r="O34" i="8"/>
  <c r="G34" i="8"/>
  <c r="P34" i="8"/>
  <c r="R34" i="8"/>
  <c r="Q34" i="8"/>
  <c r="C21" i="8"/>
  <c r="O31" i="8"/>
  <c r="G31" i="8"/>
  <c r="P31" i="8"/>
  <c r="C41" i="8"/>
  <c r="Q31" i="8"/>
  <c r="R31" i="8"/>
  <c r="S31" i="8"/>
  <c r="U31" i="8"/>
  <c r="T31" i="8"/>
  <c r="P37" i="8"/>
  <c r="Q37" i="8"/>
  <c r="C43" i="8"/>
  <c r="R37" i="8"/>
  <c r="U37" i="8"/>
  <c r="S37" i="8"/>
  <c r="T37" i="8"/>
  <c r="O37" i="8"/>
  <c r="G37" i="8"/>
  <c r="P29" i="8"/>
  <c r="Q29" i="8"/>
  <c r="C6" i="8"/>
  <c r="R29" i="8"/>
  <c r="S29" i="8"/>
  <c r="T29" i="8"/>
  <c r="O29" i="8"/>
  <c r="G29" i="8"/>
  <c r="U29" i="8"/>
  <c r="P21" i="8"/>
  <c r="U21" i="8"/>
  <c r="Q21" i="8"/>
  <c r="C47" i="8"/>
  <c r="R21" i="8"/>
  <c r="S21" i="8"/>
  <c r="T21" i="8"/>
  <c r="O21" i="8"/>
  <c r="G21" i="8"/>
  <c r="P13" i="8"/>
  <c r="Q13" i="8"/>
  <c r="C27" i="8"/>
  <c r="R13" i="8"/>
  <c r="S13" i="8"/>
  <c r="T13" i="8"/>
  <c r="U13" i="8"/>
  <c r="O13" i="8"/>
  <c r="G13" i="8"/>
  <c r="Q36" i="8"/>
  <c r="C50" i="8"/>
  <c r="R36" i="8"/>
  <c r="S36" i="8"/>
  <c r="T36" i="8"/>
  <c r="U36" i="8"/>
  <c r="P36" i="8"/>
  <c r="G36" i="8"/>
  <c r="O36" i="8"/>
  <c r="Q28" i="8"/>
  <c r="C20" i="8"/>
  <c r="R28" i="8"/>
  <c r="S28" i="8"/>
  <c r="T28" i="8"/>
  <c r="U28" i="8"/>
  <c r="P28" i="8"/>
  <c r="G28" i="8"/>
  <c r="O28" i="8"/>
  <c r="Q20" i="8"/>
  <c r="C23" i="8"/>
  <c r="R20" i="8"/>
  <c r="S20" i="8"/>
  <c r="T20" i="8"/>
  <c r="U20" i="8"/>
  <c r="P20" i="8"/>
  <c r="G20" i="8"/>
  <c r="O20" i="8"/>
  <c r="Q12" i="8"/>
  <c r="C31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15" i="8"/>
  <c r="C14" i="8"/>
  <c r="C46" i="8"/>
  <c r="E34" i="8" l="1"/>
  <c r="E8" i="8"/>
  <c r="D53" i="8"/>
  <c r="D34" i="8"/>
  <c r="D8" i="8"/>
  <c r="E54" i="8"/>
  <c r="D54" i="8"/>
  <c r="E39" i="8"/>
  <c r="D22" i="8"/>
  <c r="E53" i="8"/>
  <c r="E17" i="8"/>
  <c r="E22" i="8"/>
  <c r="E36" i="8"/>
  <c r="D36" i="8"/>
  <c r="E37" i="8"/>
  <c r="D37" i="8"/>
  <c r="D17" i="8"/>
  <c r="E38" i="8"/>
  <c r="D38" i="8"/>
  <c r="D29" i="8"/>
  <c r="D40" i="8"/>
  <c r="D21" i="8"/>
  <c r="D14" i="8"/>
  <c r="D30" i="8"/>
  <c r="D33" i="8"/>
  <c r="D16" i="8"/>
  <c r="D32" i="8"/>
  <c r="D27" i="8"/>
  <c r="D49" i="8"/>
  <c r="D50" i="8"/>
  <c r="D31" i="8"/>
  <c r="D7" i="8"/>
  <c r="D5" i="8"/>
  <c r="D41" i="8"/>
  <c r="D43" i="8"/>
  <c r="D46" i="8"/>
  <c r="D52" i="8"/>
  <c r="D51" i="8"/>
  <c r="D42" i="8"/>
  <c r="D44" i="8"/>
  <c r="D20" i="8"/>
  <c r="D19" i="8"/>
  <c r="D45" i="8"/>
  <c r="D18" i="8"/>
  <c r="D6" i="8"/>
  <c r="D48" i="8"/>
  <c r="D23" i="8"/>
  <c r="D25" i="8"/>
  <c r="E44" i="8"/>
  <c r="D15" i="8"/>
  <c r="D26" i="8"/>
  <c r="D24" i="8"/>
  <c r="D47" i="8"/>
  <c r="D28" i="8"/>
  <c r="D35" i="8"/>
  <c r="E47" i="8"/>
  <c r="E6" i="8"/>
  <c r="E35" i="8"/>
  <c r="E30" i="8"/>
  <c r="E24" i="8"/>
  <c r="E26" i="8"/>
  <c r="E29" i="8"/>
  <c r="E19" i="8"/>
  <c r="E45" i="8"/>
  <c r="E51" i="8"/>
  <c r="E21" i="8"/>
  <c r="E49" i="8"/>
  <c r="E5" i="8"/>
  <c r="E31" i="8"/>
  <c r="E20" i="8"/>
  <c r="E18" i="8"/>
  <c r="E33" i="8"/>
  <c r="E27" i="8"/>
  <c r="E46" i="8"/>
  <c r="E25" i="8"/>
  <c r="E32" i="8"/>
  <c r="E42" i="8"/>
  <c r="E15" i="8"/>
  <c r="E41" i="8"/>
  <c r="E28" i="8"/>
  <c r="E48" i="8"/>
  <c r="E7" i="8"/>
  <c r="E43" i="8"/>
  <c r="E52" i="8"/>
  <c r="E23" i="8"/>
  <c r="E50" i="8"/>
  <c r="E40" i="8"/>
  <c r="E16" i="8"/>
  <c r="E14" i="8"/>
</calcChain>
</file>

<file path=xl/sharedStrings.xml><?xml version="1.0" encoding="utf-8"?>
<sst xmlns="http://schemas.openxmlformats.org/spreadsheetml/2006/main" count="713" uniqueCount="139">
  <si>
    <t>TECNOLOGÍA EN GESTIÓN DE NEGOCIOS INTERN</t>
  </si>
  <si>
    <t>SEMESTRE:</t>
  </si>
  <si>
    <t>SEM-03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</si>
  <si>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</si>
  <si>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</si>
  <si>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</si>
  <si>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</si>
  <si>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</si>
  <si>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</si>
  <si>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</si>
  <si>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</si>
  <si>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MACROECONOMÍA</t>
  </si>
  <si>
    <t>LEGISLACION PARA EL COMERCIO</t>
  </si>
  <si>
    <t>INTERNACIONALIZACION</t>
  </si>
  <si>
    <t>TECNOLOGIA APLICADA</t>
  </si>
  <si>
    <t>MATEMÁTICAS FINANCIERAS</t>
  </si>
  <si>
    <t>OSVALDO ALCIDE BLANQUICET LOZANO</t>
  </si>
  <si>
    <t>HAROLD ANTONIO CUADRO VELASQUEZ</t>
  </si>
  <si>
    <t>TATIANA MILENA ROJAS AROCA</t>
  </si>
  <si>
    <t>ARMANDO ACOSTA JULIO</t>
  </si>
  <si>
    <t>JORGE LUIS PUERTA SALAS</t>
  </si>
  <si>
    <t>LISTA DE ESTUDIANTES</t>
  </si>
  <si>
    <t>SEGUNDA ENTREGA - CRITERIO DE EVALUACIÓN DOCUMENTO - SEGUNDO CORTE</t>
  </si>
  <si>
    <t>PONDERACIÓN</t>
  </si>
  <si>
    <t>ADMINISTRACIÓN DE EMPRESAS C.I</t>
  </si>
  <si>
    <t>BARRIOS RAMIREZ JUAN JOSE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</si>
  <si>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</si>
  <si>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</si>
  <si>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BERRIO LOPEZ VALENTINA</t>
  </si>
  <si>
    <t>ANTEPROYECTO: Portada, planteamiento del problema, justificacion del trabajo o proyecto de aula, objetivos, marco teorico, diseño metodologico.</t>
  </si>
  <si>
    <t>CONTADURÍA PÚBLICA</t>
  </si>
  <si>
    <t>BOHÓRQUEZ CANTERO SANTIAGO</t>
  </si>
  <si>
    <t>RESULTADOS:  Analiza, integra y aplica de manera coherente los aspectos legales-tributarios, administrativos y tecnológicos en el desarrollo de la propuesta investigativa, evidenciando capacidad para generar soluciones viables, pertinentes y sostenibles.</t>
  </si>
  <si>
    <t>NEGOCIOS INTERNACIONALES PROFESIONAL</t>
  </si>
  <si>
    <t>BUENDIA CAÑATE DONICEL DE JESUS</t>
  </si>
  <si>
    <t>BILIOGRAFIA: Las referencias bibliograficas: adoptan las normas APA. El documento es producto de un rastreo bibliografico que muestra analisis y sistensis.</t>
  </si>
  <si>
    <t>BURGOS CAUSIL SHADIA TATIANA</t>
  </si>
  <si>
    <t>ASESORIAS: Anexó la hoja de tutoria firmada ( 3 fimas minmimo).</t>
  </si>
  <si>
    <t>TECNOLOGíA EN GESTION CONTABLE</t>
  </si>
  <si>
    <t>CAMPO PÉREZ NALIETH NICOHL</t>
  </si>
  <si>
    <t>TECNOLOGÍA EN GESTIÓN DE MARKETING</t>
  </si>
  <si>
    <t>CAMPOS ABREU NICOLE ANTHONELLA</t>
  </si>
  <si>
    <t>TECNOLOGÍA EN GESTIÓN DEL TALENTO HUMANO</t>
  </si>
  <si>
    <t>CANTILLO ZABALETA JULIANA ISABEL</t>
  </si>
  <si>
    <t>TECNOLOGÍA EN GESTIÓN FINANCIERA</t>
  </si>
  <si>
    <t>CASTRO SAYAS KEVIN ENRIQUE</t>
  </si>
  <si>
    <t>TECNOLOGÍA EN GESTIÓN LOGISTICA Y PORTUARIA</t>
  </si>
  <si>
    <t>CERVERA BLANCO ALAN DAVID</t>
  </si>
  <si>
    <t>ENTREGA FINAL - CRITERIO DE EVALUACIÓN SUSTENTACIÓN - TERCER CORTE</t>
  </si>
  <si>
    <t>TECNOLOGÍA EN GESTIÓN TURISTICA Y HOTELERA</t>
  </si>
  <si>
    <t>CONTRERAS MARTÍNEZ MARLON MANUEL</t>
  </si>
  <si>
    <t>Evaluación del Documento Final</t>
  </si>
  <si>
    <t>CORDOBA RODRIGUEZ ADRIANO</t>
  </si>
  <si>
    <t>Sustentación de los Resultados: Se refleja un dominio del tema, la  información está delimitada y es clara. Hay una jerarquía y fluidez en las ideas que presenta.</t>
  </si>
  <si>
    <t>DAVILA GONZALEZ ALANA ARAI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</si>
  <si>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</si>
  <si>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DE ORO MOLINA RONNY AMEL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</si>
  <si>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</si>
  <si>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DORIA LEON ESTEBAN DAVID</t>
  </si>
  <si>
    <t>Tiempo: El uso del tiempo fue apropiado, se ajusta al previsto.
Ofrece una conclusión donde condensa las ideas principales del objetivo general y los específicos.</t>
  </si>
  <si>
    <t>FONTALVO RODRIGUEZ ISABELLA</t>
  </si>
  <si>
    <t>Uso de Recursos Audiovisuales Tecnológicos: La sustentación se acompaña de recursos visuales pertinentes, atractivos y de gran calidad</t>
  </si>
  <si>
    <t>GARCIA SUAREZ ANDREA CAROLINA</t>
  </si>
  <si>
    <t>GONZALEZ PATERNINA YULIETH ISABEL</t>
  </si>
  <si>
    <t>GONZALEZ SOTO NICOLE ANDREA</t>
  </si>
  <si>
    <t>HERRERA PRADA JAIDER DAVID</t>
  </si>
  <si>
    <t>TITULOS DE LOS PROYECTOS DE AULA</t>
  </si>
  <si>
    <t>LARA MAURY MARÍA ANGÉLICA</t>
  </si>
  <si>
    <t xml:space="preserve">GRUPO#1: Aspectos Legales, Tributarios, Administrativos, Macroeconómicos, Aduaneros, Tecnológicos
e Internacionales que Definen el perfil de la empresa Apple Colombia S.A.S. </t>
  </si>
  <si>
    <t>LOPEZ PAYARES OSMAN JUNIOR</t>
  </si>
  <si>
    <t xml:space="preserve">GRUPO#2: Caracterización de los aspectos legales, tributarios, administrativos, macroeconómicos, 
tecnológicos e internacionales que definen el perfil empresarial de Ecopetrol S.A. en los 
negocios internacionales </t>
  </si>
  <si>
    <t>MANOTAS ACEVEDO LAURA DANIELA</t>
  </si>
  <si>
    <t xml:space="preserve">GRUPO#3: Análisis integral de los aspectos legales, tributarios, administrativos, 
macroeconómicos, tecnológicos e internacionales que configuran el perfil empresarial de 
Nestlé Colombia S.A. en los negocios internacionales. </t>
  </si>
  <si>
    <t>MARRUGO CORREA MATEO DE JESUS</t>
  </si>
  <si>
    <t>GRUPO#4: Análisis de los aspectos legales, tributarios, administrativos, macroeconómicos,
tecnológicos e internacionales de la empresa Arturo Calle S.A.S. en los negocios
internacionales</t>
  </si>
  <si>
    <t>MENDOZA MUÑOZ MATEO JAVIER</t>
  </si>
  <si>
    <t xml:space="preserve">GRUPO#5: Aspectos legales, tributarios, administrativos, macroeconómicos, aduaneros, tecnológicos e 
internacionales que definen el perfil de Cementos Argos en los negocios internacionales </t>
  </si>
  <si>
    <t>NOGUERA PATIÑO JUAN PABLO</t>
  </si>
  <si>
    <t>GRUPO#6: Análisis de los aspectos legales, tributarios, administrativos, macroeconómicos, aduaneros, tecnológicos e
internacionales que definen el perfil de Alpina S.A.S en los negocios internacionales</t>
  </si>
  <si>
    <t>NOVOA GOMEZ IANA MARCELA</t>
  </si>
  <si>
    <t xml:space="preserve">GRUPO#7: Aspectos Legales, Tributarios, Administrativos, Macroeconómicos, Aduaneros, 
Tecnológicos, e Internacional que Definen el Perfil de Agofer S.A.S en los Negocios 
Internacionales </t>
  </si>
  <si>
    <t>OBANDO MARSIGLIA JESED ALEJANDRO</t>
  </si>
  <si>
    <t>GRUPO#8: Aspectos legales, tributarios, administrativos, macroeconómicos, aduaneros y tecnológicos que definen el perfil de Terpel S.A. en los negocios internacionales</t>
  </si>
  <si>
    <t>OSPINO MARTÍNEZ KAROLAY SOFIA</t>
  </si>
  <si>
    <t>GRUPO#9: Aspectos, legales, tributarios, administrativos, macroeconómicos, aduaneros e internacionales que definen el
perfil de Samsung  en los negocios internacionales.</t>
  </si>
  <si>
    <t>PALMERA MARTINEZ FRANCISCO JAVIER</t>
  </si>
  <si>
    <t>GRUPO#10</t>
  </si>
  <si>
    <t>PEREZ ALVAREZ DILAN ANDRES</t>
  </si>
  <si>
    <t>GRUPO#11</t>
  </si>
  <si>
    <t>PEREZ GELIS LUISA FERNANDA</t>
  </si>
  <si>
    <t>GRUPO#12</t>
  </si>
  <si>
    <t>PEREZ VERGARA VALERIA</t>
  </si>
  <si>
    <t>PETRO ROSARIO VALERIE SARED</t>
  </si>
  <si>
    <t>RAMOS ORTEGA LAURA INÉS</t>
  </si>
  <si>
    <t>RIVERA MENDOZA EDITH MARIA</t>
  </si>
  <si>
    <t>RODRIGUEZ PEREZ JEAN CARLOS</t>
  </si>
  <si>
    <t>ZEA NAVARRO JUAN ESTEBAN</t>
  </si>
  <si>
    <t>RUIZ CHICO LAURA SOFIA</t>
  </si>
  <si>
    <t>THERAN MENDOZA JESUS DAVID</t>
  </si>
  <si>
    <t>ZUÑIGA IGLESIAS EMMANUEL DAVID</t>
  </si>
  <si>
    <t>ZURIQUE GONZALEZ EDGAR MAURICIO</t>
  </si>
  <si>
    <t>GARCÍA REYES VALERY</t>
  </si>
  <si>
    <t>ALVARADO MAS Y RUBI LOHANA  VICTORIA</t>
  </si>
  <si>
    <t>ORTÍZ ZUÑIGA WILYS JUNIOR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</si>
  <si>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</si>
  <si>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</si>
  <si>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</si>
  <si>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</si>
  <si>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</si>
  <si>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</si>
  <si>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</si>
  <si>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</si>
  <si>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</si>
  <si>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</si>
  <si>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</si>
  <si>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</si>
  <si>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</si>
  <si>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</si>
  <si>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</si>
  <si>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</si>
  <si>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</si>
  <si>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</si>
  <si>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</si>
  <si>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</si>
  <si>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GRUPO#9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</si>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</sst>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4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 wrapText="1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10" borderId="17" xfId="0" applyFont="1" applyFill="1" applyBorder="1" applyAlignment="1" applyProtection="1">
      <alignment vertical="center" wrapText="1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164" fontId="19" fillId="6" borderId="27" xfId="0" applyNumberFormat="1" applyFont="1" applyFill="1" applyBorder="1" applyAlignment="1" applyProtection="1">
      <alignment horizontal="center" vertical="center"/>
      <protection locked="0"/>
    </xf>
    <xf numFmtId="164" fontId="19" fillId="6" borderId="25" xfId="0" applyNumberFormat="1" applyFont="1" applyFill="1" applyBorder="1" applyAlignment="1" applyProtection="1">
      <alignment horizontal="center" vertical="center"/>
      <protection locked="0"/>
    </xf>
    <xf numFmtId="164" fontId="19" fillId="0" borderId="27" xfId="0" applyNumberFormat="1" applyFont="1" applyBorder="1" applyAlignment="1" applyProtection="1">
      <alignment horizontal="center" vertical="center"/>
      <protection locked="0"/>
    </xf>
    <xf numFmtId="164" fontId="19" fillId="0" borderId="25" xfId="0" applyNumberFormat="1" applyFont="1" applyBorder="1" applyAlignment="1" applyProtection="1">
      <alignment horizontal="center" vertical="center"/>
      <protection locked="0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91" zoomScaleNormal="91" workbookViewId="0"/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0" t="s">
        <v>0</v>
      </c>
      <c r="C2" s="151"/>
      <c r="D2" s="152"/>
      <c r="E2" s="101" t="s">
        <v>1</v>
      </c>
      <c r="F2" s="102" t="s">
        <v>2</v>
      </c>
      <c r="G2" s="101" t="s">
        <v>3</v>
      </c>
      <c r="H2" s="41">
        <v>4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/>
      <c r="I4" s="131"/>
    </row>
    <row r="5" spans="2:9" ht="24.95" customHeight="1" thickBot="1">
      <c r="C5" s="132" t="s">
        <v>16</v>
      </c>
      <c r="D5" s="132" t="s">
        <v>17</v>
      </c>
      <c r="E5" s="132" t="s">
        <v>18</v>
      </c>
      <c r="F5" s="132" t="s">
        <v>19</v>
      </c>
      <c r="G5" s="132" t="s">
        <v>20</v>
      </c>
      <c r="H5" s="133"/>
      <c r="I5" s="133"/>
    </row>
    <row r="6" spans="2:9" ht="24.95" customHeight="1" thickBot="1">
      <c r="C6" s="134">
        <v>1530</v>
      </c>
      <c r="D6" s="134">
        <v>2488</v>
      </c>
      <c r="E6" s="134">
        <v>2480</v>
      </c>
      <c r="F6" s="134">
        <v>2386</v>
      </c>
      <c r="G6" s="134">
        <v>1410</v>
      </c>
      <c r="H6" s="134"/>
      <c r="I6" s="134"/>
    </row>
    <row r="7" spans="2:9" ht="13.5" thickBot="1"/>
    <row r="8" spans="2:9" ht="20.100000000000001" customHeight="1">
      <c r="B8" s="108"/>
      <c r="C8" s="109" t="s">
        <v>21</v>
      </c>
      <c r="E8" s="153" t="s">
        <v>22</v>
      </c>
      <c r="F8" s="154"/>
      <c r="G8" s="155"/>
      <c r="H8" s="110" t="s">
        <v>23</v>
      </c>
      <c r="I8" s="69" t="s">
        <v>24</v>
      </c>
    </row>
    <row r="9" spans="2:9" ht="15" customHeight="1">
      <c r="B9" s="108">
        <v>1</v>
      </c>
      <c r="C9" s="111" t="s">
        <v>25</v>
      </c>
      <c r="E9" s="156" t="s">
        <v>26</v>
      </c>
      <c r="F9" s="157"/>
      <c r="G9" s="158"/>
      <c r="H9" s="135">
        <v>0.2</v>
      </c>
      <c r="I9" s="69" t="s">
        <v>27</v>
      </c>
    </row>
    <row r="10" spans="2:9" ht="15" customHeight="1">
      <c r="B10" s="108">
        <v>2</v>
      </c>
      <c r="C10" s="111" t="s">
        <v>28</v>
      </c>
      <c r="E10" s="159" t="s">
        <v>29</v>
      </c>
      <c r="F10" s="160"/>
      <c r="G10" s="161"/>
      <c r="H10" s="136">
        <v>0.2</v>
      </c>
      <c r="I10" s="69" t="s">
        <v>30</v>
      </c>
    </row>
    <row r="11" spans="2:9" ht="15" customHeight="1">
      <c r="B11" s="108">
        <v>3</v>
      </c>
      <c r="C11" s="111" t="s">
        <v>31</v>
      </c>
      <c r="E11" s="156" t="s">
        <v>32</v>
      </c>
      <c r="F11" s="157"/>
      <c r="G11" s="158"/>
      <c r="H11" s="135">
        <v>0.3</v>
      </c>
      <c r="I11" s="69" t="s">
        <v>33</v>
      </c>
    </row>
    <row r="12" spans="2:9" ht="15" customHeight="1">
      <c r="B12" s="108">
        <v>4</v>
      </c>
      <c r="C12" s="111" t="s">
        <v>34</v>
      </c>
      <c r="E12" s="159" t="s">
        <v>35</v>
      </c>
      <c r="F12" s="160"/>
      <c r="G12" s="161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36</v>
      </c>
      <c r="E13" s="162" t="s">
        <v>37</v>
      </c>
      <c r="F13" s="163"/>
      <c r="G13" s="164"/>
      <c r="H13" s="135">
        <v>0.1</v>
      </c>
      <c r="I13" s="69" t="s">
        <v>38</v>
      </c>
    </row>
    <row r="14" spans="2:9" ht="15" customHeight="1">
      <c r="B14" s="108">
        <v>6</v>
      </c>
      <c r="C14" s="111" t="s">
        <v>39</v>
      </c>
      <c r="E14" s="165"/>
      <c r="F14" s="166"/>
      <c r="G14" s="167"/>
      <c r="H14" s="136">
        <v>0</v>
      </c>
      <c r="I14" s="69" t="s">
        <v>40</v>
      </c>
    </row>
    <row r="15" spans="2:9" ht="15" customHeight="1">
      <c r="B15" s="108">
        <v>7</v>
      </c>
      <c r="C15" s="111" t="s">
        <v>41</v>
      </c>
      <c r="E15" s="175"/>
      <c r="F15" s="176"/>
      <c r="G15" s="177"/>
      <c r="H15" s="135">
        <v>0</v>
      </c>
      <c r="I15" s="69" t="s">
        <v>42</v>
      </c>
    </row>
    <row r="16" spans="2:9" ht="15" customHeight="1">
      <c r="B16" s="108">
        <v>8</v>
      </c>
      <c r="C16" s="111" t="s">
        <v>43</v>
      </c>
      <c r="E16" s="112"/>
      <c r="F16" s="112"/>
      <c r="G16" s="112"/>
      <c r="H16" s="137">
        <f>IF(SUM(H9:H15)&gt;1,"Más del 100%",SUM(H9:H15))</f>
        <v>0.99999999999999989</v>
      </c>
      <c r="I16" s="69" t="s">
        <v>44</v>
      </c>
    </row>
    <row r="17" spans="2:9" ht="15" customHeight="1">
      <c r="B17" s="108">
        <v>9</v>
      </c>
      <c r="C17" s="111" t="s">
        <v>45</v>
      </c>
      <c r="E17" s="184"/>
      <c r="F17" s="184"/>
      <c r="G17" s="184"/>
      <c r="H17" s="184"/>
      <c r="I17" s="69" t="s">
        <v>46</v>
      </c>
    </row>
    <row r="18" spans="2:9" ht="15" customHeight="1">
      <c r="B18" s="108">
        <v>10</v>
      </c>
      <c r="C18" s="111" t="s">
        <v>47</v>
      </c>
      <c r="E18" s="192" t="s">
        <v>48</v>
      </c>
      <c r="F18" s="193"/>
      <c r="G18" s="193"/>
      <c r="H18" s="113" t="s">
        <v>23</v>
      </c>
      <c r="I18" s="69" t="s">
        <v>49</v>
      </c>
    </row>
    <row r="19" spans="2:9" ht="15" customHeight="1">
      <c r="B19" s="108">
        <v>11</v>
      </c>
      <c r="C19" s="111" t="s">
        <v>50</v>
      </c>
      <c r="E19" s="181" t="s">
        <v>51</v>
      </c>
      <c r="F19" s="182"/>
      <c r="G19" s="183"/>
      <c r="H19" s="138">
        <v>0.5</v>
      </c>
    </row>
    <row r="20" spans="2:9" ht="15" customHeight="1">
      <c r="B20" s="108">
        <v>12</v>
      </c>
      <c r="C20" s="111" t="s">
        <v>52</v>
      </c>
      <c r="E20" s="185" t="s">
        <v>53</v>
      </c>
      <c r="F20" s="186"/>
      <c r="G20" s="187"/>
      <c r="H20" s="139">
        <v>0.2</v>
      </c>
    </row>
    <row r="21" spans="2:9" ht="15" customHeight="1">
      <c r="B21" s="108">
        <v>13</v>
      </c>
      <c r="C21" s="111" t="s">
        <v>54</v>
      </c>
      <c r="E21" s="194" t="s">
        <v>55</v>
      </c>
      <c r="F21" s="195"/>
      <c r="G21" s="196"/>
      <c r="H21" s="140">
        <v>0.1</v>
      </c>
    </row>
    <row r="22" spans="2:9" ht="15" customHeight="1">
      <c r="B22" s="108">
        <v>14</v>
      </c>
      <c r="C22" s="111" t="s">
        <v>56</v>
      </c>
      <c r="E22" s="185" t="s">
        <v>57</v>
      </c>
      <c r="F22" s="166"/>
      <c r="G22" s="167"/>
      <c r="H22" s="139">
        <v>0.05</v>
      </c>
    </row>
    <row r="23" spans="2:9" ht="15" customHeight="1">
      <c r="B23" s="108">
        <v>15</v>
      </c>
      <c r="C23" s="111" t="s">
        <v>58</v>
      </c>
      <c r="E23" s="194" t="s">
        <v>59</v>
      </c>
      <c r="F23" s="195"/>
      <c r="G23" s="196"/>
      <c r="H23" s="141">
        <v>0.05</v>
      </c>
    </row>
    <row r="24" spans="2:9" ht="15" customHeight="1">
      <c r="B24" s="108">
        <v>16</v>
      </c>
      <c r="C24" s="111" t="s">
        <v>60</v>
      </c>
      <c r="E24" s="185" t="s">
        <v>61</v>
      </c>
      <c r="F24" s="186"/>
      <c r="G24" s="187"/>
      <c r="H24" s="139">
        <v>0.1</v>
      </c>
    </row>
    <row r="25" spans="2:9" ht="15" customHeight="1">
      <c r="B25" s="108">
        <v>17</v>
      </c>
      <c r="C25" s="111" t="s">
        <v>62</v>
      </c>
      <c r="E25" s="178"/>
      <c r="F25" s="179"/>
      <c r="G25" s="180"/>
      <c r="H25" s="140"/>
    </row>
    <row r="26" spans="2:9" ht="15" customHeight="1">
      <c r="B26" s="108">
        <v>18</v>
      </c>
      <c r="C26" s="111" t="s">
        <v>63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>
      <c r="B27" s="108">
        <v>19</v>
      </c>
      <c r="C27" s="111" t="s">
        <v>64</v>
      </c>
      <c r="E27" s="114"/>
      <c r="F27" s="114"/>
      <c r="G27" s="114"/>
      <c r="H27" s="114"/>
    </row>
    <row r="28" spans="2:9" ht="15" customHeight="1">
      <c r="B28" s="108">
        <v>20</v>
      </c>
      <c r="C28" s="111" t="s">
        <v>65</v>
      </c>
      <c r="E28" s="188" t="s">
        <v>66</v>
      </c>
      <c r="F28" s="189"/>
      <c r="G28" s="189"/>
      <c r="H28" s="190"/>
    </row>
    <row r="29" spans="2:9" ht="34.5" customHeight="1">
      <c r="B29" s="108">
        <v>21</v>
      </c>
      <c r="C29" s="111" t="s">
        <v>67</v>
      </c>
      <c r="E29" s="171" t="s">
        <v>68</v>
      </c>
      <c r="F29" s="172"/>
      <c r="G29" s="172"/>
      <c r="H29" s="173"/>
    </row>
    <row r="30" spans="2:9" ht="34.5" customHeight="1">
      <c r="B30" s="108">
        <v>22</v>
      </c>
      <c r="C30" s="111" t="s">
        <v>69</v>
      </c>
      <c r="E30" s="174" t="s">
        <v>70</v>
      </c>
      <c r="F30" s="169"/>
      <c r="G30" s="169"/>
      <c r="H30" s="170"/>
    </row>
    <row r="31" spans="2:9" ht="15" customHeight="1">
      <c r="B31" s="108">
        <v>23</v>
      </c>
      <c r="C31" s="111" t="s">
        <v>71</v>
      </c>
      <c r="E31" s="171" t="s">
        <v>72</v>
      </c>
      <c r="F31" s="172"/>
      <c r="G31" s="172"/>
      <c r="H31" s="173"/>
    </row>
    <row r="32" spans="2:9" ht="15" customHeight="1">
      <c r="B32" s="108">
        <v>24</v>
      </c>
      <c r="C32" s="111" t="s">
        <v>73</v>
      </c>
      <c r="E32" s="174" t="s">
        <v>74</v>
      </c>
      <c r="F32" s="169"/>
      <c r="G32" s="169"/>
      <c r="H32" s="170"/>
    </row>
    <row r="33" spans="2:8" ht="15" customHeight="1">
      <c r="B33" s="108">
        <v>25</v>
      </c>
      <c r="C33" s="111" t="s">
        <v>75</v>
      </c>
      <c r="E33" s="171" t="s">
        <v>76</v>
      </c>
      <c r="F33" s="172"/>
      <c r="G33" s="172"/>
      <c r="H33" s="173"/>
    </row>
    <row r="34" spans="2:8" ht="15" customHeight="1">
      <c r="B34" s="108">
        <v>26</v>
      </c>
      <c r="C34" s="111" t="s">
        <v>77</v>
      </c>
      <c r="E34" s="174" t="s">
        <v>78</v>
      </c>
      <c r="F34" s="169"/>
      <c r="G34" s="169"/>
      <c r="H34" s="170"/>
    </row>
    <row r="35" spans="2:8" ht="15" customHeight="1">
      <c r="B35" s="108">
        <v>27</v>
      </c>
      <c r="C35" s="111" t="s">
        <v>79</v>
      </c>
      <c r="E35" s="171" t="s">
        <v>80</v>
      </c>
      <c r="F35" s="172"/>
      <c r="G35" s="172"/>
      <c r="H35" s="173"/>
    </row>
    <row r="36" spans="2:8" ht="15" customHeight="1">
      <c r="B36" s="108">
        <v>28</v>
      </c>
      <c r="C36" s="111" t="s">
        <v>81</v>
      </c>
      <c r="E36" s="168" t="s">
        <v>82</v>
      </c>
      <c r="F36" s="169"/>
      <c r="G36" s="169"/>
      <c r="H36" s="170"/>
    </row>
    <row r="37" spans="2:8" ht="25.5" customHeight="1">
      <c r="B37" s="108">
        <v>29</v>
      </c>
      <c r="C37" s="111" t="s">
        <v>83</v>
      </c>
      <c r="E37" s="171" t="s">
        <v>84</v>
      </c>
      <c r="F37" s="172"/>
      <c r="G37" s="172"/>
      <c r="H37" s="173"/>
    </row>
    <row r="38" spans="2:8" ht="15" customHeight="1">
      <c r="B38" s="108">
        <v>30</v>
      </c>
      <c r="C38" s="111" t="s">
        <v>85</v>
      </c>
      <c r="E38" s="168" t="s">
        <v>86</v>
      </c>
      <c r="F38" s="169"/>
      <c r="G38" s="169"/>
      <c r="H38" s="170"/>
    </row>
    <row r="39" spans="2:8" ht="15" customHeight="1">
      <c r="B39" s="108">
        <v>31</v>
      </c>
      <c r="C39" s="111" t="s">
        <v>87</v>
      </c>
      <c r="E39" s="191" t="s">
        <v>88</v>
      </c>
      <c r="F39" s="172"/>
      <c r="G39" s="172"/>
      <c r="H39" s="173"/>
    </row>
    <row r="40" spans="2:8" ht="15" customHeight="1">
      <c r="B40" s="108">
        <v>32</v>
      </c>
      <c r="C40" s="111" t="s">
        <v>89</v>
      </c>
      <c r="E40" s="168" t="s">
        <v>90</v>
      </c>
      <c r="F40" s="169"/>
      <c r="G40" s="169"/>
      <c r="H40" s="170"/>
    </row>
    <row r="41" spans="2:8" ht="15" customHeight="1">
      <c r="B41" s="108">
        <v>33</v>
      </c>
      <c r="C41" s="111" t="s">
        <v>91</v>
      </c>
      <c r="E41" s="114"/>
      <c r="F41" s="114"/>
      <c r="G41" s="114"/>
      <c r="H41" s="114"/>
    </row>
    <row r="42" spans="2:8" ht="15" customHeight="1">
      <c r="B42" s="108">
        <v>34</v>
      </c>
      <c r="C42" s="111" t="s">
        <v>92</v>
      </c>
      <c r="E42" s="115" t="str">
        <f>MID(E29,1,20)</f>
        <v>GRUPO#1: Aspectos Le</v>
      </c>
      <c r="F42" s="116" t="str">
        <f>MID(E30,1,20)</f>
        <v>GRUPO#2: Caracteriza</v>
      </c>
      <c r="G42" s="116" t="str">
        <f>MID(E31,1,20)</f>
        <v>GRUPO#3: Análisis in</v>
      </c>
      <c r="H42" s="117" t="str">
        <f>MID(E32,1,20)</f>
        <v>GRUPO#4: Análisis de</v>
      </c>
    </row>
    <row r="43" spans="2:8" ht="15" customHeight="1">
      <c r="B43" s="108">
        <v>35</v>
      </c>
      <c r="C43" s="111" t="s">
        <v>93</v>
      </c>
      <c r="E43" s="118" t="s">
        <v>28</v>
      </c>
      <c r="F43" s="119" t="s">
        <v>34</v>
      </c>
      <c r="G43" s="119" t="s">
        <v>60</v>
      </c>
      <c r="H43" s="120" t="s">
        <v>36</v>
      </c>
    </row>
    <row r="44" spans="2:8" ht="15" customHeight="1">
      <c r="B44" s="108">
        <v>36</v>
      </c>
      <c r="C44" s="111" t="s">
        <v>94</v>
      </c>
      <c r="E44" s="121" t="s">
        <v>31</v>
      </c>
      <c r="F44" s="122" t="s">
        <v>73</v>
      </c>
      <c r="G44" s="122" t="s">
        <v>67</v>
      </c>
      <c r="H44" s="123" t="s">
        <v>45</v>
      </c>
    </row>
    <row r="45" spans="2:8" ht="15" customHeight="1">
      <c r="B45" s="108">
        <v>37</v>
      </c>
      <c r="C45" s="111" t="s">
        <v>95</v>
      </c>
      <c r="E45" s="124" t="s">
        <v>41</v>
      </c>
      <c r="F45" s="125" t="s">
        <v>96</v>
      </c>
      <c r="G45" s="125" t="s">
        <v>87</v>
      </c>
      <c r="H45" s="126" t="s">
        <v>47</v>
      </c>
    </row>
    <row r="46" spans="2:8" ht="15" customHeight="1">
      <c r="B46" s="108">
        <v>38</v>
      </c>
      <c r="C46" s="111" t="s">
        <v>97</v>
      </c>
      <c r="E46" s="121" t="s">
        <v>97</v>
      </c>
      <c r="F46" s="122" t="s">
        <v>85</v>
      </c>
      <c r="G46" s="122"/>
      <c r="H46" s="123" t="s">
        <v>63</v>
      </c>
    </row>
    <row r="47" spans="2:8" ht="15" customHeight="1">
      <c r="B47" s="108">
        <v>39</v>
      </c>
      <c r="C47" s="111" t="s">
        <v>98</v>
      </c>
      <c r="E47" s="124"/>
      <c r="F47" s="125" t="s">
        <v>50</v>
      </c>
      <c r="G47" s="125"/>
      <c r="H47" s="126" t="s">
        <v>64</v>
      </c>
    </row>
    <row r="48" spans="2:8" ht="15" customHeight="1">
      <c r="B48" s="108">
        <v>40</v>
      </c>
      <c r="C48" s="111" t="s">
        <v>96</v>
      </c>
      <c r="E48" s="127"/>
      <c r="F48" s="128"/>
      <c r="G48" s="128"/>
      <c r="H48" s="129"/>
    </row>
    <row r="49" spans="2:8" ht="15" customHeight="1">
      <c r="B49" s="108">
        <v>41</v>
      </c>
      <c r="C49" s="111" t="s">
        <v>99</v>
      </c>
      <c r="E49" s="114"/>
      <c r="F49" s="114"/>
      <c r="G49" s="114"/>
      <c r="H49" s="114"/>
    </row>
    <row r="50" spans="2:8" ht="15" customHeight="1">
      <c r="B50" s="108">
        <v>42</v>
      </c>
      <c r="C50" s="111" t="s">
        <v>100</v>
      </c>
      <c r="E50" s="115" t="str">
        <f>MID(E33,1,20)</f>
        <v>GRUPO#5: Aspectos le</v>
      </c>
      <c r="F50" s="116" t="str">
        <f>MID(E34,1,20)</f>
        <v>GRUPO#6: Análisis de</v>
      </c>
      <c r="G50" s="116" t="str">
        <f>MID(E35,1,20)</f>
        <v>GRUPO#7: Aspectos Le</v>
      </c>
      <c r="H50" s="117" t="str">
        <f>MID(E36,1,20)</f>
        <v>GRUPO#8: Aspectos le</v>
      </c>
    </row>
    <row r="51" spans="2:8" ht="15" customHeight="1">
      <c r="B51" s="108">
        <v>43</v>
      </c>
      <c r="C51" s="111" t="s">
        <v>101</v>
      </c>
      <c r="E51" s="118" t="s">
        <v>43</v>
      </c>
      <c r="F51" s="119" t="s">
        <v>102</v>
      </c>
      <c r="G51" s="119" t="s">
        <v>39</v>
      </c>
      <c r="H51" s="120" t="s">
        <v>25</v>
      </c>
    </row>
    <row r="52" spans="2:8" ht="15" customHeight="1">
      <c r="B52" s="108">
        <v>44</v>
      </c>
      <c r="C52" s="111" t="s">
        <v>102</v>
      </c>
      <c r="E52" s="121" t="s">
        <v>54</v>
      </c>
      <c r="F52" s="122" t="s">
        <v>71</v>
      </c>
      <c r="G52" s="122" t="s">
        <v>79</v>
      </c>
      <c r="H52" s="123" t="s">
        <v>65</v>
      </c>
    </row>
    <row r="53" spans="2:8" ht="15" customHeight="1">
      <c r="B53" s="108">
        <v>45</v>
      </c>
      <c r="C53" s="111" t="s">
        <v>103</v>
      </c>
      <c r="E53" s="124" t="s">
        <v>81</v>
      </c>
      <c r="F53" s="125" t="s">
        <v>94</v>
      </c>
      <c r="G53" s="125" t="s">
        <v>83</v>
      </c>
      <c r="H53" s="126" t="s">
        <v>62</v>
      </c>
    </row>
    <row r="54" spans="2:8" ht="15" customHeight="1">
      <c r="B54" s="108">
        <v>46</v>
      </c>
      <c r="C54" s="111"/>
      <c r="E54" s="121" t="s">
        <v>101</v>
      </c>
      <c r="F54" s="122" t="s">
        <v>98</v>
      </c>
      <c r="G54" s="122" t="s">
        <v>91</v>
      </c>
      <c r="H54" s="123" t="s">
        <v>89</v>
      </c>
    </row>
    <row r="55" spans="2:8" ht="15" customHeight="1">
      <c r="B55" s="108">
        <v>47</v>
      </c>
      <c r="C55" s="111"/>
      <c r="E55" s="124"/>
      <c r="F55" s="125" t="s">
        <v>95</v>
      </c>
      <c r="G55" s="125" t="s">
        <v>92</v>
      </c>
      <c r="H55" s="126" t="s">
        <v>69</v>
      </c>
    </row>
    <row r="56" spans="2:8" ht="15" customHeight="1" thickBot="1">
      <c r="B56" s="108">
        <v>48</v>
      </c>
      <c r="C56" s="111"/>
      <c r="E56" s="127"/>
      <c r="F56" s="128"/>
      <c r="G56" s="128" t="s">
        <v>93</v>
      </c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GRUPO#9: Aspectos, l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 t="s">
        <v>52</v>
      </c>
      <c r="F59" s="119"/>
      <c r="G59" s="119"/>
      <c r="H59" s="120"/>
    </row>
    <row r="60" spans="2:8" ht="15" customHeight="1">
      <c r="E60" s="121" t="s">
        <v>99</v>
      </c>
      <c r="F60" s="122"/>
      <c r="G60" s="122"/>
      <c r="H60" s="123"/>
    </row>
    <row r="61" spans="2:8" ht="15" customHeight="1">
      <c r="E61" s="124" t="s">
        <v>103</v>
      </c>
      <c r="F61" s="125"/>
      <c r="G61" s="125"/>
      <c r="H61" s="126"/>
    </row>
    <row r="62" spans="2:8" ht="15" customHeight="1">
      <c r="E62" s="121" t="s">
        <v>56</v>
      </c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zoomScale="91" zoomScaleNormal="91" workbookViewId="0">
      <pane xSplit="5" ySplit="3" topLeftCell="F6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5"/>
      <c r="H1" s="20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LIDER!C4</f>
        <v>MACROECONOMÍA</v>
      </c>
      <c r="C2" s="82"/>
      <c r="D2" s="3"/>
      <c r="F2" s="211" t="s">
        <v>104</v>
      </c>
      <c r="G2" s="212"/>
      <c r="H2" s="212"/>
      <c r="I2" s="212"/>
      <c r="J2" s="212"/>
      <c r="K2" s="212"/>
      <c r="L2" s="213"/>
    </row>
    <row r="3" spans="1:12" s="2" customFormat="1" ht="145.5" customHeight="1">
      <c r="B3" s="83" t="s">
        <v>105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4" t="str">
        <f>CONCATENATE(LIDER!C4," - ",LIDER!C6," - ",LIDER!C5)</f>
        <v>MACROECONOMÍA - 1530 - OSVALDO ALCIDE BLANQUICET LOZANO</v>
      </c>
      <c r="G4" s="214"/>
      <c r="H4" s="214"/>
      <c r="I4" s="214"/>
      <c r="J4" s="214"/>
      <c r="K4" s="214"/>
      <c r="L4" s="214"/>
    </row>
    <row r="5" spans="1:12" s="2" customFormat="1" ht="15.75" customHeight="1">
      <c r="A5" s="8"/>
      <c r="B5" s="25" t="s">
        <v>106</v>
      </c>
      <c r="C5" s="88" t="s">
        <v>107</v>
      </c>
      <c r="D5" s="32" t="s">
        <v>108</v>
      </c>
      <c r="E5" s="89" t="s">
        <v>109</v>
      </c>
      <c r="F5" s="201" t="str">
        <f>LIDER!$E$29</f>
        <v xml:space="preserve">GRUPO#1: Aspectos Legales, Tributarios, Administrativos, Macroeconómicos, Aduaneros, Tecnológicos
e Internacionales que Definen el perfil de la empresa Apple Colombia S.A.S. </v>
      </c>
      <c r="G5" s="201"/>
      <c r="H5" s="201"/>
      <c r="I5" s="201"/>
      <c r="J5" s="201"/>
      <c r="K5" s="201"/>
      <c r="L5" s="201"/>
    </row>
    <row r="6" spans="1:12" s="2" customFormat="1" ht="12.75">
      <c r="A6" s="9">
        <v>1</v>
      </c>
      <c r="B6" s="10" t="str">
        <f>LIDER!E43</f>
        <v>BERRIO LOPEZ VALENTINA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4.1899999999999995</v>
      </c>
      <c r="F6" s="207">
        <v>4.0999999999999996</v>
      </c>
      <c r="G6" s="209">
        <v>4.3</v>
      </c>
      <c r="H6" s="207">
        <v>4.3</v>
      </c>
      <c r="I6" s="209">
        <v>4.0999999999999996</v>
      </c>
      <c r="J6" s="207">
        <v>4</v>
      </c>
      <c r="K6" s="199"/>
      <c r="L6" s="197"/>
    </row>
    <row r="7" spans="1:12" s="2" customFormat="1" ht="15" customHeight="1">
      <c r="A7" s="12">
        <v>2</v>
      </c>
      <c r="B7" s="10" t="str">
        <f>LIDER!E44</f>
        <v>BOHÓRQUEZ CANTERO SANTIAGO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4.1899999999999995</v>
      </c>
      <c r="F7" s="197"/>
      <c r="G7" s="199"/>
      <c r="H7" s="197"/>
      <c r="I7" s="199"/>
      <c r="J7" s="197"/>
      <c r="K7" s="199"/>
      <c r="L7" s="197"/>
    </row>
    <row r="8" spans="1:12" s="2" customFormat="1" ht="15" customHeight="1">
      <c r="A8" s="12">
        <v>3</v>
      </c>
      <c r="B8" s="10" t="str">
        <f>LIDER!E45</f>
        <v>CAMPOS ABREU NICOLE ANTHONELLA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4.1899999999999995</v>
      </c>
      <c r="F8" s="197"/>
      <c r="G8" s="199"/>
      <c r="H8" s="197"/>
      <c r="I8" s="199"/>
      <c r="J8" s="197"/>
      <c r="K8" s="199"/>
      <c r="L8" s="197"/>
    </row>
    <row r="9" spans="1:12" s="2" customFormat="1" ht="15" customHeight="1">
      <c r="A9" s="12">
        <v>4</v>
      </c>
      <c r="B9" s="10" t="str">
        <f>LIDER!E46</f>
        <v>RUIZ CHICO LAURA SOFIA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4.1899999999999995</v>
      </c>
      <c r="F9" s="197"/>
      <c r="G9" s="199"/>
      <c r="H9" s="197"/>
      <c r="I9" s="199"/>
      <c r="J9" s="197"/>
      <c r="K9" s="199"/>
      <c r="L9" s="19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7"/>
      <c r="G10" s="199"/>
      <c r="H10" s="197"/>
      <c r="I10" s="199"/>
      <c r="J10" s="197"/>
      <c r="K10" s="199"/>
      <c r="L10" s="197"/>
    </row>
    <row r="11" spans="1:12" s="2" customFormat="1" ht="15.75" customHeigh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8"/>
      <c r="G11" s="210"/>
      <c r="H11" s="208"/>
      <c r="I11" s="210"/>
      <c r="J11" s="208"/>
      <c r="K11" s="199"/>
      <c r="L11" s="197"/>
    </row>
    <row r="12" spans="1:12" s="2" customFormat="1" ht="15.75" customHeight="1">
      <c r="A12" s="8"/>
      <c r="B12" s="25" t="s">
        <v>110</v>
      </c>
      <c r="C12" s="88" t="s">
        <v>111</v>
      </c>
      <c r="D12" s="32" t="str">
        <f>D5</f>
        <v>LIST</v>
      </c>
      <c r="E12" s="89" t="s">
        <v>109</v>
      </c>
      <c r="F12" s="201" t="str">
        <f>LIDER!$E$30</f>
        <v xml:space="preserve">GRUPO#2: Caracterización de los aspectos legales, tributarios, administrativos, macroeconómicos, 
tecnológicos e internacionales que definen el perfil empresarial de Ecopetrol S.A. en los 
negocios internacionales </v>
      </c>
      <c r="G12" s="201"/>
      <c r="H12" s="201"/>
      <c r="I12" s="201"/>
      <c r="J12" s="201"/>
      <c r="K12" s="201"/>
      <c r="L12" s="201"/>
    </row>
    <row r="13" spans="1:12" s="2" customFormat="1" ht="12.75">
      <c r="A13" s="9">
        <v>1</v>
      </c>
      <c r="B13" s="10" t="str">
        <f>LIDER!F43</f>
        <v>BUENDIA CAÑATE DONICEL DE JESUS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3.8899999999999997</v>
      </c>
      <c r="F13" s="202">
        <v>3.5</v>
      </c>
      <c r="G13" s="199">
        <v>3.7</v>
      </c>
      <c r="H13" s="197">
        <v>4.0999999999999996</v>
      </c>
      <c r="I13" s="199">
        <v>4.0999999999999996</v>
      </c>
      <c r="J13" s="197">
        <v>4</v>
      </c>
      <c r="K13" s="199"/>
      <c r="L13" s="197"/>
    </row>
    <row r="14" spans="1:12" s="2" customFormat="1" ht="15" customHeight="1">
      <c r="A14" s="12">
        <v>2</v>
      </c>
      <c r="B14" s="10" t="str">
        <f>LIDER!F44</f>
        <v>MARRUGO CORREA MATEO DE JESUS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3.8899999999999997</v>
      </c>
      <c r="F14" s="202"/>
      <c r="G14" s="199"/>
      <c r="H14" s="197"/>
      <c r="I14" s="199"/>
      <c r="J14" s="197"/>
      <c r="K14" s="199"/>
      <c r="L14" s="197"/>
    </row>
    <row r="15" spans="1:12" s="2" customFormat="1" ht="15" customHeight="1">
      <c r="A15" s="12">
        <v>3</v>
      </c>
      <c r="B15" s="10" t="str">
        <f>LIDER!F45</f>
        <v>ZEA NAVARRO JUAN ESTEBAN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3.8899999999999997</v>
      </c>
      <c r="F15" s="202"/>
      <c r="G15" s="199"/>
      <c r="H15" s="197"/>
      <c r="I15" s="199"/>
      <c r="J15" s="197"/>
      <c r="K15" s="199"/>
      <c r="L15" s="197"/>
    </row>
    <row r="16" spans="1:12" s="2" customFormat="1" ht="15" customHeight="1">
      <c r="A16" s="12">
        <v>4</v>
      </c>
      <c r="B16" s="10" t="str">
        <f>LIDER!F46</f>
        <v>PALMERA MARTINEZ FRANCISCO JAVIER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3.8899999999999997</v>
      </c>
      <c r="F16" s="202"/>
      <c r="G16" s="199"/>
      <c r="H16" s="197"/>
      <c r="I16" s="199"/>
      <c r="J16" s="197"/>
      <c r="K16" s="199"/>
      <c r="L16" s="197"/>
    </row>
    <row r="17" spans="1:12" s="2" customFormat="1" ht="15" customHeight="1">
      <c r="A17" s="12">
        <v>5</v>
      </c>
      <c r="B17" s="10" t="str">
        <f>LIDER!F47</f>
        <v>CONTRERAS MARTÍNEZ MARLON MANUEL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3.8899999999999997</v>
      </c>
      <c r="F17" s="202"/>
      <c r="G17" s="199"/>
      <c r="H17" s="197"/>
      <c r="I17" s="199"/>
      <c r="J17" s="197"/>
      <c r="K17" s="199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199"/>
      <c r="H18" s="197"/>
      <c r="I18" s="199"/>
      <c r="J18" s="197"/>
      <c r="K18" s="199"/>
      <c r="L18" s="197"/>
    </row>
    <row r="19" spans="1:12" s="2" customFormat="1" ht="15.75" customHeight="1">
      <c r="A19" s="14"/>
      <c r="B19" s="25" t="s">
        <v>112</v>
      </c>
      <c r="C19" s="88" t="s">
        <v>113</v>
      </c>
      <c r="D19" s="32" t="str">
        <f>D12</f>
        <v>LIST</v>
      </c>
      <c r="E19" s="89" t="s">
        <v>109</v>
      </c>
      <c r="F19" s="201" t="str">
        <f>LIDER!$E$31</f>
        <v xml:space="preserve">GRUPO#3: Análisis integral de los aspectos legales, tributarios, administrativos, 
macroeconómicos, tecnológicos e internacionales que configuran el perfil empresarial de 
Nestlé Colombia S.A. en los negocios internacionales. </v>
      </c>
      <c r="G19" s="201"/>
      <c r="H19" s="201"/>
      <c r="I19" s="201"/>
      <c r="J19" s="201"/>
      <c r="K19" s="201"/>
      <c r="L19" s="201"/>
    </row>
    <row r="20" spans="1:12" s="2" customFormat="1" ht="12.75">
      <c r="A20" s="9">
        <v>1</v>
      </c>
      <c r="B20" s="10" t="str">
        <f>LIDER!G43</f>
        <v>FONTALVO RODRIGUEZ ISABELLA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4.0600000000000005</v>
      </c>
      <c r="F20" s="202">
        <v>3.9</v>
      </c>
      <c r="G20" s="199">
        <v>4.2</v>
      </c>
      <c r="H20" s="197">
        <v>4</v>
      </c>
      <c r="I20" s="199">
        <v>4.2</v>
      </c>
      <c r="J20" s="197">
        <v>4</v>
      </c>
      <c r="K20" s="199"/>
      <c r="L20" s="197"/>
    </row>
    <row r="21" spans="1:12" s="2" customFormat="1" ht="15" customHeight="1">
      <c r="A21" s="12">
        <v>2</v>
      </c>
      <c r="B21" s="10" t="str">
        <f>LIDER!G44</f>
        <v>LARA MAURY MARÍA ANGÉLICA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4.0600000000000005</v>
      </c>
      <c r="F21" s="202"/>
      <c r="G21" s="199"/>
      <c r="H21" s="197"/>
      <c r="I21" s="199"/>
      <c r="J21" s="197"/>
      <c r="K21" s="199"/>
      <c r="L21" s="197"/>
    </row>
    <row r="22" spans="1:12" s="2" customFormat="1" ht="15" customHeight="1">
      <c r="A22" s="12">
        <v>3</v>
      </c>
      <c r="B22" s="10" t="str">
        <f>LIDER!G45</f>
        <v>PEREZ ALVAREZ DILAN ANDRES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4.0600000000000005</v>
      </c>
      <c r="F22" s="202"/>
      <c r="G22" s="199"/>
      <c r="H22" s="197"/>
      <c r="I22" s="199"/>
      <c r="J22" s="197"/>
      <c r="K22" s="199"/>
      <c r="L22" s="19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2"/>
      <c r="G23" s="199"/>
      <c r="H23" s="197"/>
      <c r="I23" s="199"/>
      <c r="J23" s="197"/>
      <c r="K23" s="199"/>
      <c r="L23" s="19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2"/>
      <c r="G24" s="199"/>
      <c r="H24" s="197"/>
      <c r="I24" s="199"/>
      <c r="J24" s="197"/>
      <c r="K24" s="199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199"/>
      <c r="H25" s="197"/>
      <c r="I25" s="199"/>
      <c r="J25" s="197"/>
      <c r="K25" s="199"/>
      <c r="L25" s="197"/>
    </row>
    <row r="26" spans="1:12" s="2" customFormat="1" ht="15.75" customHeight="1">
      <c r="A26" s="14"/>
      <c r="B26" s="25" t="s">
        <v>114</v>
      </c>
      <c r="C26" s="88" t="s">
        <v>115</v>
      </c>
      <c r="D26" s="32" t="str">
        <f>D19</f>
        <v>LIST</v>
      </c>
      <c r="E26" s="89" t="s">
        <v>109</v>
      </c>
      <c r="F26" s="201" t="str">
        <f>LIDER!$E$32</f>
        <v>GRUPO#4: Análisis de los aspectos legales, tributarios, administrativos, macroeconómicos,
tecnológicos e internacionales de la empresa Arturo Calle S.A.S. en los negocios
internacionales</v>
      </c>
      <c r="G26" s="201"/>
      <c r="H26" s="201"/>
      <c r="I26" s="201"/>
      <c r="J26" s="201"/>
      <c r="K26" s="201"/>
      <c r="L26" s="201"/>
    </row>
    <row r="27" spans="1:12" s="2" customFormat="1" ht="12.75">
      <c r="A27" s="9">
        <v>1</v>
      </c>
      <c r="B27" s="10" t="str">
        <f>LIDER!H43</f>
        <v>BURGOS CAUSIL SHADIA TATIANA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4.1399999999999997</v>
      </c>
      <c r="F27" s="202">
        <v>4.3</v>
      </c>
      <c r="G27" s="199">
        <v>4.0999999999999996</v>
      </c>
      <c r="H27" s="197">
        <v>4</v>
      </c>
      <c r="I27" s="199">
        <v>4.3</v>
      </c>
      <c r="J27" s="197">
        <v>4</v>
      </c>
      <c r="K27" s="199"/>
      <c r="L27" s="197"/>
    </row>
    <row r="28" spans="1:12" s="2" customFormat="1" ht="15" customHeight="1">
      <c r="A28" s="12">
        <v>2</v>
      </c>
      <c r="B28" s="10" t="str">
        <f>LIDER!H44</f>
        <v>CASTRO SAYAS KEVIN ENRIQUE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4.1399999999999997</v>
      </c>
      <c r="F28" s="202"/>
      <c r="G28" s="199"/>
      <c r="H28" s="197"/>
      <c r="I28" s="199"/>
      <c r="J28" s="197"/>
      <c r="K28" s="199"/>
      <c r="L28" s="197"/>
    </row>
    <row r="29" spans="1:12" s="2" customFormat="1" ht="15" customHeight="1">
      <c r="A29" s="12">
        <v>3</v>
      </c>
      <c r="B29" s="10" t="str">
        <f>LIDER!H45</f>
        <v>CERVERA BLANCO ALAN DAVID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4.1399999999999997</v>
      </c>
      <c r="F29" s="202"/>
      <c r="G29" s="199"/>
      <c r="H29" s="197"/>
      <c r="I29" s="199"/>
      <c r="J29" s="197"/>
      <c r="K29" s="199"/>
      <c r="L29" s="197"/>
    </row>
    <row r="30" spans="1:12" s="2" customFormat="1" ht="15" customHeight="1">
      <c r="A30" s="12">
        <v>4</v>
      </c>
      <c r="B30" s="10" t="str">
        <f>LIDER!H46</f>
        <v>GONZALEZ PATERNINA YULIETH ISABEL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4.1399999999999997</v>
      </c>
      <c r="F30" s="202"/>
      <c r="G30" s="199"/>
      <c r="H30" s="197"/>
      <c r="I30" s="199"/>
      <c r="J30" s="197"/>
      <c r="K30" s="199"/>
      <c r="L30" s="197"/>
    </row>
    <row r="31" spans="1:12" s="2" customFormat="1" ht="15" customHeight="1">
      <c r="A31" s="12">
        <v>5</v>
      </c>
      <c r="B31" s="10" t="str">
        <f>LIDER!H47</f>
        <v>GONZALEZ SOTO NICOLE ANDREA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4.1399999999999997</v>
      </c>
      <c r="F31" s="202"/>
      <c r="G31" s="199"/>
      <c r="H31" s="197"/>
      <c r="I31" s="199"/>
      <c r="J31" s="197"/>
      <c r="K31" s="199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199"/>
      <c r="H32" s="197"/>
      <c r="I32" s="199"/>
      <c r="J32" s="197"/>
      <c r="K32" s="199"/>
      <c r="L32" s="197"/>
    </row>
    <row r="33" spans="1:12" s="2" customFormat="1" ht="15.75" customHeight="1">
      <c r="A33" s="14"/>
      <c r="B33" s="25" t="s">
        <v>116</v>
      </c>
      <c r="C33" s="88" t="s">
        <v>117</v>
      </c>
      <c r="D33" s="32" t="str">
        <f>D26</f>
        <v>LIST</v>
      </c>
      <c r="E33" s="89" t="s">
        <v>109</v>
      </c>
      <c r="F33" s="201" t="str">
        <f>LIDER!$E$33</f>
        <v xml:space="preserve">GRUPO#5: Aspectos legales, tributarios, administrativos, macroeconómicos, aduaneros, tecnológicos e 
internacionales que definen el perfil de Cementos Argos en los negocios internacionales </v>
      </c>
      <c r="G33" s="201"/>
      <c r="H33" s="201"/>
      <c r="I33" s="201"/>
      <c r="J33" s="201"/>
      <c r="K33" s="201"/>
      <c r="L33" s="201"/>
    </row>
    <row r="34" spans="1:12" s="2" customFormat="1" ht="12.75">
      <c r="A34" s="9">
        <v>1</v>
      </c>
      <c r="B34" s="10" t="str">
        <f>LIDER!E51</f>
        <v>CANTILLO ZABALETA JULIANA ISABEL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4.09</v>
      </c>
      <c r="F34" s="202">
        <v>3.7</v>
      </c>
      <c r="G34" s="199">
        <v>4.3</v>
      </c>
      <c r="H34" s="197">
        <v>4.0999999999999996</v>
      </c>
      <c r="I34" s="199">
        <v>4.0999999999999996</v>
      </c>
      <c r="J34" s="197">
        <v>4.4000000000000004</v>
      </c>
      <c r="K34" s="199"/>
      <c r="L34" s="197"/>
    </row>
    <row r="35" spans="1:12" s="2" customFormat="1" ht="15" customHeight="1">
      <c r="A35" s="12">
        <v>2</v>
      </c>
      <c r="B35" s="10" t="str">
        <f>LIDER!E52</f>
        <v>DAVILA GONZALEZ ALANA ARAI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4.09</v>
      </c>
      <c r="F35" s="202"/>
      <c r="G35" s="199"/>
      <c r="H35" s="197"/>
      <c r="I35" s="199"/>
      <c r="J35" s="197"/>
      <c r="K35" s="199"/>
      <c r="L35" s="197"/>
    </row>
    <row r="36" spans="1:12" s="2" customFormat="1" ht="15" customHeight="1">
      <c r="A36" s="12">
        <v>3</v>
      </c>
      <c r="B36" s="10" t="str">
        <f>LIDER!E53</f>
        <v>OBANDO MARSIGLIA JESED ALEJANDRO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4.09</v>
      </c>
      <c r="F36" s="202"/>
      <c r="G36" s="199"/>
      <c r="H36" s="197"/>
      <c r="I36" s="199"/>
      <c r="J36" s="197"/>
      <c r="K36" s="199"/>
      <c r="L36" s="197"/>
    </row>
    <row r="37" spans="1:12" s="2" customFormat="1" ht="15" customHeight="1">
      <c r="A37" s="12">
        <v>4</v>
      </c>
      <c r="B37" s="10" t="str">
        <f>LIDER!E54</f>
        <v>GARCÍA REYES VALERY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4.09</v>
      </c>
      <c r="F37" s="202"/>
      <c r="G37" s="199"/>
      <c r="H37" s="197"/>
      <c r="I37" s="199"/>
      <c r="J37" s="197"/>
      <c r="K37" s="199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199"/>
      <c r="H38" s="197"/>
      <c r="I38" s="199"/>
      <c r="J38" s="197"/>
      <c r="K38" s="199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199"/>
      <c r="H39" s="197"/>
      <c r="I39" s="199"/>
      <c r="J39" s="197"/>
      <c r="K39" s="199"/>
      <c r="L39" s="197"/>
    </row>
    <row r="40" spans="1:12" s="2" customFormat="1" ht="15.75" customHeight="1">
      <c r="A40" s="14"/>
      <c r="B40" s="25" t="s">
        <v>118</v>
      </c>
      <c r="C40" s="88" t="s">
        <v>119</v>
      </c>
      <c r="D40" s="32" t="str">
        <f>D33</f>
        <v>LIST</v>
      </c>
      <c r="E40" s="89" t="s">
        <v>109</v>
      </c>
      <c r="F40" s="201" t="str">
        <f>LIDER!$E$34</f>
        <v>GRUPO#6: Análisis de los aspectos legales, tributarios, administrativos, macroeconómicos, aduaneros, tecnológicos e
internacionales que definen el perfil de Alpina S.A.S en los negocios internacionales</v>
      </c>
      <c r="G40" s="201"/>
      <c r="H40" s="201"/>
      <c r="I40" s="201"/>
      <c r="J40" s="201"/>
      <c r="K40" s="201"/>
      <c r="L40" s="201"/>
    </row>
    <row r="41" spans="1:12" s="2" customFormat="1" ht="12.75">
      <c r="A41" s="9">
        <v>1</v>
      </c>
      <c r="B41" s="10" t="str">
        <f>LIDER!F51</f>
        <v>ALVARADO MAS Y RUBI LOHANA  VICTORIA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3.7600000000000002</v>
      </c>
      <c r="F41" s="202">
        <v>3.9</v>
      </c>
      <c r="G41" s="199">
        <v>3.5</v>
      </c>
      <c r="H41" s="197">
        <v>3.9</v>
      </c>
      <c r="I41" s="199">
        <v>3.8</v>
      </c>
      <c r="J41" s="197">
        <v>3.5</v>
      </c>
      <c r="K41" s="199"/>
      <c r="L41" s="197"/>
    </row>
    <row r="42" spans="1:12" s="2" customFormat="1" ht="15" customHeight="1">
      <c r="A42" s="12">
        <v>2</v>
      </c>
      <c r="B42" s="10" t="str">
        <f>LIDER!F52</f>
        <v>MANOTAS ACEVEDO LAURA DANIELA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3.7600000000000002</v>
      </c>
      <c r="F42" s="202"/>
      <c r="G42" s="199"/>
      <c r="H42" s="197"/>
      <c r="I42" s="199"/>
      <c r="J42" s="197"/>
      <c r="K42" s="199"/>
      <c r="L42" s="197"/>
    </row>
    <row r="43" spans="1:12" s="2" customFormat="1" ht="15" customHeight="1">
      <c r="A43" s="12">
        <v>3</v>
      </c>
      <c r="B43" s="10" t="str">
        <f>LIDER!F53</f>
        <v>RIVERA MENDOZA EDITH MARIA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3.7600000000000002</v>
      </c>
      <c r="F43" s="202"/>
      <c r="G43" s="199"/>
      <c r="H43" s="197"/>
      <c r="I43" s="199"/>
      <c r="J43" s="197"/>
      <c r="K43" s="199"/>
      <c r="L43" s="197"/>
    </row>
    <row r="44" spans="1:12" s="2" customFormat="1" ht="15" customHeight="1">
      <c r="A44" s="12">
        <v>4</v>
      </c>
      <c r="B44" s="10" t="str">
        <f>LIDER!F54</f>
        <v>THERAN MENDOZA JESUS DAVID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3.7600000000000002</v>
      </c>
      <c r="F44" s="202"/>
      <c r="G44" s="199"/>
      <c r="H44" s="197"/>
      <c r="I44" s="199"/>
      <c r="J44" s="197"/>
      <c r="K44" s="199"/>
      <c r="L44" s="197"/>
    </row>
    <row r="45" spans="1:12" s="2" customFormat="1" ht="15" customHeight="1">
      <c r="A45" s="12">
        <v>5</v>
      </c>
      <c r="B45" s="10" t="str">
        <f>LIDER!F55</f>
        <v>RODRIGUEZ PEREZ JEAN CARLOS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3.7600000000000002</v>
      </c>
      <c r="F45" s="202"/>
      <c r="G45" s="199"/>
      <c r="H45" s="197"/>
      <c r="I45" s="199"/>
      <c r="J45" s="197"/>
      <c r="K45" s="199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2"/>
      <c r="G46" s="199"/>
      <c r="H46" s="197"/>
      <c r="I46" s="199"/>
      <c r="J46" s="197"/>
      <c r="K46" s="199"/>
      <c r="L46" s="197"/>
    </row>
    <row r="47" spans="1:12" s="2" customFormat="1" ht="15.75" customHeight="1">
      <c r="A47" s="14"/>
      <c r="B47" s="25" t="s">
        <v>120</v>
      </c>
      <c r="C47" s="88" t="s">
        <v>121</v>
      </c>
      <c r="D47" s="32" t="str">
        <f>D40</f>
        <v>LIST</v>
      </c>
      <c r="E47" s="89" t="s">
        <v>109</v>
      </c>
      <c r="F47" s="201" t="str">
        <f>LIDER!$E$35</f>
        <v xml:space="preserve">GRUPO#7: Aspectos Legales, Tributarios, Administrativos, Macroeconómicos, Aduaneros, 
Tecnológicos, e Internacional que Definen el Perfil de Agofer S.A.S en los Negocios 
Internacionales </v>
      </c>
      <c r="G47" s="201"/>
      <c r="H47" s="201"/>
      <c r="I47" s="201"/>
      <c r="J47" s="201"/>
      <c r="K47" s="201"/>
      <c r="L47" s="201"/>
    </row>
    <row r="48" spans="1:12" s="2" customFormat="1" ht="12.75">
      <c r="A48" s="9">
        <v>1</v>
      </c>
      <c r="B48" s="10" t="str">
        <f>LIDER!G51</f>
        <v>CAMPO PÉREZ NALIETH NICOHL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4.05</v>
      </c>
      <c r="F48" s="202">
        <v>3.8</v>
      </c>
      <c r="G48" s="199">
        <v>4.0999999999999996</v>
      </c>
      <c r="H48" s="197">
        <v>4.0999999999999996</v>
      </c>
      <c r="I48" s="199">
        <v>4.2</v>
      </c>
      <c r="J48" s="197">
        <v>4</v>
      </c>
      <c r="K48" s="199"/>
      <c r="L48" s="197"/>
    </row>
    <row r="49" spans="1:12" s="2" customFormat="1" ht="15" customHeight="1">
      <c r="A49" s="12">
        <v>2</v>
      </c>
      <c r="B49" s="10" t="str">
        <f>LIDER!G52</f>
        <v>NOVOA GOMEZ IANA MARCELA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4.05</v>
      </c>
      <c r="F49" s="202"/>
      <c r="G49" s="199"/>
      <c r="H49" s="197"/>
      <c r="I49" s="199"/>
      <c r="J49" s="197"/>
      <c r="K49" s="199"/>
      <c r="L49" s="197"/>
    </row>
    <row r="50" spans="1:12" s="2" customFormat="1" ht="15" customHeight="1">
      <c r="A50" s="12">
        <v>3</v>
      </c>
      <c r="B50" s="10" t="str">
        <f>LIDER!G53</f>
        <v>OSPINO MARTÍNEZ KAROLAY SOFIA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4.05</v>
      </c>
      <c r="F50" s="202"/>
      <c r="G50" s="199"/>
      <c r="H50" s="197"/>
      <c r="I50" s="199"/>
      <c r="J50" s="197"/>
      <c r="K50" s="199"/>
      <c r="L50" s="197"/>
    </row>
    <row r="51" spans="1:12" s="2" customFormat="1" ht="15" customHeight="1">
      <c r="A51" s="12">
        <v>4</v>
      </c>
      <c r="B51" s="10" t="str">
        <f>LIDER!G54</f>
        <v>PEREZ VERGARA VALERIA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4.05</v>
      </c>
      <c r="F51" s="202"/>
      <c r="G51" s="199"/>
      <c r="H51" s="197"/>
      <c r="I51" s="199"/>
      <c r="J51" s="197"/>
      <c r="K51" s="199"/>
      <c r="L51" s="197"/>
    </row>
    <row r="52" spans="1:12" s="2" customFormat="1" ht="15" customHeight="1">
      <c r="A52" s="12">
        <v>5</v>
      </c>
      <c r="B52" s="10" t="str">
        <f>LIDER!G55</f>
        <v>PETRO ROSARIO VALERIE SARED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4.05</v>
      </c>
      <c r="F52" s="202"/>
      <c r="G52" s="199"/>
      <c r="H52" s="197"/>
      <c r="I52" s="199"/>
      <c r="J52" s="197"/>
      <c r="K52" s="199"/>
      <c r="L52" s="197"/>
    </row>
    <row r="53" spans="1:12" s="2" customFormat="1" ht="15.75" customHeight="1">
      <c r="A53" s="13">
        <v>6</v>
      </c>
      <c r="B53" s="91" t="str">
        <f>LIDER!G56</f>
        <v>RAMOS ORTEGA LAURA INÉS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4.05</v>
      </c>
      <c r="F53" s="202"/>
      <c r="G53" s="199"/>
      <c r="H53" s="197"/>
      <c r="I53" s="199"/>
      <c r="J53" s="197"/>
      <c r="K53" s="199"/>
      <c r="L53" s="197"/>
    </row>
    <row r="54" spans="1:12" s="2" customFormat="1" ht="15.75" customHeight="1">
      <c r="A54" s="14"/>
      <c r="B54" s="25" t="s">
        <v>122</v>
      </c>
      <c r="C54" s="88" t="s">
        <v>123</v>
      </c>
      <c r="D54" s="32" t="str">
        <f>D47</f>
        <v>LIST</v>
      </c>
      <c r="E54" s="89" t="s">
        <v>109</v>
      </c>
      <c r="F54" s="201" t="str">
        <f>LIDER!$E$36</f>
        <v>GRUPO#8: Aspectos legales, tributarios, administrativos, macroeconómicos, aduaneros y tecnológicos que definen el perfil de Terpel S.A. en los negocios internacionales</v>
      </c>
      <c r="G54" s="201"/>
      <c r="H54" s="201"/>
      <c r="I54" s="201"/>
      <c r="J54" s="201"/>
      <c r="K54" s="201"/>
      <c r="L54" s="201"/>
    </row>
    <row r="55" spans="1:12" s="2" customFormat="1" ht="12.75">
      <c r="A55" s="9">
        <v>1</v>
      </c>
      <c r="B55" s="10" t="str">
        <f>LIDER!H51</f>
        <v>BARRIOS RAMIREZ JUAN JOSE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4.0600000000000005</v>
      </c>
      <c r="F55" s="202">
        <v>4.2</v>
      </c>
      <c r="G55" s="199">
        <v>4.0999999999999996</v>
      </c>
      <c r="H55" s="197">
        <v>4</v>
      </c>
      <c r="I55" s="199">
        <v>4</v>
      </c>
      <c r="J55" s="197">
        <v>4</v>
      </c>
      <c r="K55" s="199"/>
      <c r="L55" s="197"/>
    </row>
    <row r="56" spans="1:12" s="2" customFormat="1" ht="15" customHeight="1">
      <c r="A56" s="12">
        <v>2</v>
      </c>
      <c r="B56" s="10" t="str">
        <f>LIDER!H52</f>
        <v>HERRERA PRADA JAIDER DAVID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4.0600000000000005</v>
      </c>
      <c r="F56" s="202"/>
      <c r="G56" s="199"/>
      <c r="H56" s="197"/>
      <c r="I56" s="199"/>
      <c r="J56" s="197"/>
      <c r="K56" s="199"/>
      <c r="L56" s="197"/>
    </row>
    <row r="57" spans="1:12" s="2" customFormat="1" ht="15" customHeight="1">
      <c r="A57" s="12">
        <v>3</v>
      </c>
      <c r="B57" s="10" t="str">
        <f>LIDER!H53</f>
        <v>GARCIA SUAREZ ANDREA CAROLINA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4.0600000000000005</v>
      </c>
      <c r="F57" s="202"/>
      <c r="G57" s="199"/>
      <c r="H57" s="197"/>
      <c r="I57" s="199"/>
      <c r="J57" s="197"/>
      <c r="K57" s="199"/>
      <c r="L57" s="197"/>
    </row>
    <row r="58" spans="1:12" s="2" customFormat="1" ht="15" customHeight="1">
      <c r="A58" s="12">
        <v>4</v>
      </c>
      <c r="B58" s="10" t="str">
        <f>LIDER!H54</f>
        <v>PEREZ GELIS LUISA FERNANDA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4.0600000000000005</v>
      </c>
      <c r="F58" s="202"/>
      <c r="G58" s="199"/>
      <c r="H58" s="197"/>
      <c r="I58" s="199"/>
      <c r="J58" s="197"/>
      <c r="K58" s="199"/>
      <c r="L58" s="197"/>
    </row>
    <row r="59" spans="1:12" s="2" customFormat="1" ht="15" customHeight="1">
      <c r="A59" s="12">
        <v>5</v>
      </c>
      <c r="B59" s="10" t="str">
        <f>LIDER!H55</f>
        <v>LOPEZ PAYARES OSMAN JUNIOR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4.0600000000000005</v>
      </c>
      <c r="F59" s="202"/>
      <c r="G59" s="199"/>
      <c r="H59" s="197"/>
      <c r="I59" s="199"/>
      <c r="J59" s="197"/>
      <c r="K59" s="199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199"/>
      <c r="H60" s="197"/>
      <c r="I60" s="199"/>
      <c r="J60" s="197"/>
      <c r="K60" s="199"/>
      <c r="L60" s="197"/>
    </row>
    <row r="61" spans="1:12" s="2" customFormat="1" ht="15.75" customHeight="1">
      <c r="A61" s="14"/>
      <c r="B61" s="25" t="s">
        <v>124</v>
      </c>
      <c r="C61" s="88" t="s">
        <v>125</v>
      </c>
      <c r="D61" s="32" t="str">
        <f>D54</f>
        <v>LIST</v>
      </c>
      <c r="E61" s="89" t="s">
        <v>109</v>
      </c>
      <c r="F61" s="201" t="str">
        <f>LIDER!$E$37</f>
        <v>GRUPO#9: Aspectos, legales, tributarios, administrativos, macroeconómicos, aduaneros e internacionales que definen el
perfil de Samsung  en los negocios internacionales.</v>
      </c>
      <c r="G61" s="201"/>
      <c r="H61" s="201"/>
      <c r="I61" s="201"/>
      <c r="J61" s="201"/>
      <c r="K61" s="201"/>
      <c r="L61" s="201"/>
    </row>
    <row r="62" spans="1:12" s="2" customFormat="1" ht="12.75">
      <c r="A62" s="9">
        <v>1</v>
      </c>
      <c r="B62" s="10" t="str">
        <f>LIDER!E59</f>
        <v>CORDOBA RODRIGUEZ ADRIANO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3.0200000000000005</v>
      </c>
      <c r="F62" s="202">
        <v>3</v>
      </c>
      <c r="G62" s="199">
        <v>3.1</v>
      </c>
      <c r="H62" s="197">
        <v>3</v>
      </c>
      <c r="I62" s="199">
        <v>3</v>
      </c>
      <c r="J62" s="197">
        <v>3</v>
      </c>
      <c r="K62" s="199"/>
      <c r="L62" s="197"/>
    </row>
    <row r="63" spans="1:12" s="2" customFormat="1" ht="15" customHeight="1">
      <c r="A63" s="12">
        <v>2</v>
      </c>
      <c r="B63" s="10" t="str">
        <f>LIDER!E60</f>
        <v>ZUÑIGA IGLESIAS EMMANUEL DAVID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3.0200000000000005</v>
      </c>
      <c r="F63" s="202"/>
      <c r="G63" s="199"/>
      <c r="H63" s="197"/>
      <c r="I63" s="199"/>
      <c r="J63" s="197"/>
      <c r="K63" s="199"/>
      <c r="L63" s="197"/>
    </row>
    <row r="64" spans="1:12" s="2" customFormat="1" ht="15" customHeight="1">
      <c r="A64" s="12">
        <v>3</v>
      </c>
      <c r="B64" s="10" t="str">
        <f>LIDER!E61</f>
        <v>ORTÍZ ZUÑIGA WILYS JUNIOR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3.0200000000000005</v>
      </c>
      <c r="F64" s="202"/>
      <c r="G64" s="199"/>
      <c r="H64" s="197"/>
      <c r="I64" s="199"/>
      <c r="J64" s="197"/>
      <c r="K64" s="199"/>
      <c r="L64" s="197"/>
    </row>
    <row r="65" spans="1:12" s="2" customFormat="1" ht="15" customHeight="1">
      <c r="A65" s="12">
        <v>4</v>
      </c>
      <c r="B65" s="10" t="str">
        <f>LIDER!E62</f>
        <v>DE ORO MOLINA RONNY AMEL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3.0200000000000005</v>
      </c>
      <c r="F65" s="202"/>
      <c r="G65" s="199"/>
      <c r="H65" s="197"/>
      <c r="I65" s="199"/>
      <c r="J65" s="197"/>
      <c r="K65" s="199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199"/>
      <c r="H66" s="197"/>
      <c r="I66" s="199"/>
      <c r="J66" s="197"/>
      <c r="K66" s="199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199"/>
      <c r="H67" s="197"/>
      <c r="I67" s="199"/>
      <c r="J67" s="197"/>
      <c r="K67" s="199"/>
      <c r="L67" s="197"/>
    </row>
    <row r="68" spans="1:12" s="2" customFormat="1" ht="15.75" customHeight="1">
      <c r="A68" s="14"/>
      <c r="B68" s="25" t="s">
        <v>86</v>
      </c>
      <c r="C68" s="88" t="s">
        <v>126</v>
      </c>
      <c r="D68" s="32" t="str">
        <f>D61</f>
        <v>LIST</v>
      </c>
      <c r="E68" s="89" t="s">
        <v>109</v>
      </c>
      <c r="F68" s="201" t="str">
        <f>LIDER!$E$38</f>
        <v>GRUPO#10</v>
      </c>
      <c r="G68" s="201"/>
      <c r="H68" s="201"/>
      <c r="I68" s="201"/>
      <c r="J68" s="201"/>
      <c r="K68" s="201"/>
      <c r="L68" s="20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199"/>
      <c r="H69" s="197"/>
      <c r="I69" s="199"/>
      <c r="J69" s="197"/>
      <c r="K69" s="199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199"/>
      <c r="H70" s="197"/>
      <c r="I70" s="199"/>
      <c r="J70" s="197"/>
      <c r="K70" s="199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199"/>
      <c r="H71" s="197"/>
      <c r="I71" s="199"/>
      <c r="J71" s="197"/>
      <c r="K71" s="199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199"/>
      <c r="H72" s="197"/>
      <c r="I72" s="199"/>
      <c r="J72" s="197"/>
      <c r="K72" s="199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199"/>
      <c r="H73" s="197"/>
      <c r="I73" s="199"/>
      <c r="J73" s="197"/>
      <c r="K73" s="199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199"/>
      <c r="H74" s="197"/>
      <c r="I74" s="199"/>
      <c r="J74" s="197"/>
      <c r="K74" s="199"/>
      <c r="L74" s="197"/>
    </row>
    <row r="75" spans="1:12" s="2" customFormat="1" ht="15.75" customHeight="1">
      <c r="A75" s="14"/>
      <c r="B75" s="25" t="s">
        <v>88</v>
      </c>
      <c r="C75" s="88" t="s">
        <v>127</v>
      </c>
      <c r="D75" s="32" t="str">
        <f>D68</f>
        <v>LIST</v>
      </c>
      <c r="E75" s="89" t="s">
        <v>109</v>
      </c>
      <c r="F75" s="201" t="str">
        <f>LIDER!$E$39</f>
        <v>GRUPO#11</v>
      </c>
      <c r="G75" s="201"/>
      <c r="H75" s="201"/>
      <c r="I75" s="201"/>
      <c r="J75" s="201"/>
      <c r="K75" s="201"/>
      <c r="L75" s="20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199"/>
      <c r="H76" s="197"/>
      <c r="I76" s="199"/>
      <c r="J76" s="197"/>
      <c r="K76" s="199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199"/>
      <c r="H77" s="197"/>
      <c r="I77" s="199"/>
      <c r="J77" s="197"/>
      <c r="K77" s="199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199"/>
      <c r="H78" s="197"/>
      <c r="I78" s="199"/>
      <c r="J78" s="197"/>
      <c r="K78" s="199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199"/>
      <c r="H79" s="197"/>
      <c r="I79" s="199"/>
      <c r="J79" s="197"/>
      <c r="K79" s="199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199"/>
      <c r="H80" s="197"/>
      <c r="I80" s="199"/>
      <c r="J80" s="197"/>
      <c r="K80" s="199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199"/>
      <c r="H81" s="197"/>
      <c r="I81" s="199"/>
      <c r="J81" s="197"/>
      <c r="K81" s="199"/>
      <c r="L81" s="197"/>
    </row>
    <row r="82" spans="1:12" s="2" customFormat="1" ht="15.75" customHeight="1">
      <c r="A82" s="14"/>
      <c r="B82" s="25" t="s">
        <v>90</v>
      </c>
      <c r="C82" s="88" t="s">
        <v>128</v>
      </c>
      <c r="D82" s="32" t="str">
        <f>D75</f>
        <v>LIST</v>
      </c>
      <c r="E82" s="89" t="s">
        <v>109</v>
      </c>
      <c r="F82" s="201" t="str">
        <f>LIDER!$E$40</f>
        <v>GRUPO#12</v>
      </c>
      <c r="G82" s="201"/>
      <c r="H82" s="201"/>
      <c r="I82" s="201"/>
      <c r="J82" s="201"/>
      <c r="K82" s="201"/>
      <c r="L82" s="20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199"/>
      <c r="H83" s="197"/>
      <c r="I83" s="199"/>
      <c r="J83" s="197"/>
      <c r="K83" s="199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199"/>
      <c r="H84" s="197"/>
      <c r="I84" s="199"/>
      <c r="J84" s="197"/>
      <c r="K84" s="199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199"/>
      <c r="H85" s="197"/>
      <c r="I85" s="199"/>
      <c r="J85" s="197"/>
      <c r="K85" s="199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199"/>
      <c r="H86" s="197"/>
      <c r="I86" s="199"/>
      <c r="J86" s="197"/>
      <c r="K86" s="199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199"/>
      <c r="H87" s="197"/>
      <c r="I87" s="199"/>
      <c r="J87" s="197"/>
      <c r="K87" s="199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3"/>
      <c r="G88" s="200"/>
      <c r="H88" s="198"/>
      <c r="I88" s="200"/>
      <c r="J88" s="198"/>
      <c r="K88" s="200"/>
      <c r="L88" s="198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56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5"/>
      <c r="H1" s="20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LIDER!D4</f>
        <v>LEGISLACION PARA EL COMERCIO</v>
      </c>
      <c r="C2" s="82"/>
      <c r="D2" s="3"/>
      <c r="F2" s="211" t="s">
        <v>104</v>
      </c>
      <c r="G2" s="212"/>
      <c r="H2" s="212"/>
      <c r="I2" s="212"/>
      <c r="J2" s="212"/>
      <c r="K2" s="212"/>
      <c r="L2" s="213"/>
    </row>
    <row r="3" spans="1:12" s="2" customFormat="1" ht="145.5" customHeight="1">
      <c r="B3" s="83" t="s">
        <v>105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4" t="str">
        <f>CONCATENATE(LIDER!D4," - ",LIDER!D6," - ",LIDER!D5)</f>
        <v>LEGISLACION PARA EL COMERCIO - 2488 - HAROLD ANTONIO CUADRO VELASQUEZ</v>
      </c>
      <c r="G4" s="214"/>
      <c r="H4" s="214"/>
      <c r="I4" s="214"/>
      <c r="J4" s="214"/>
      <c r="K4" s="214"/>
      <c r="L4" s="214"/>
    </row>
    <row r="5" spans="1:12" s="2" customFormat="1" ht="15.75" customHeight="1" thickBot="1">
      <c r="A5" s="8"/>
      <c r="B5" s="25" t="s">
        <v>106</v>
      </c>
      <c r="C5" s="88" t="s">
        <v>107</v>
      </c>
      <c r="D5" s="32" t="s">
        <v>108</v>
      </c>
      <c r="E5" s="89" t="s">
        <v>109</v>
      </c>
      <c r="F5" s="201" t="str">
        <f>LIDER!$E$29</f>
        <v xml:space="preserve">GRUPO#1: Aspectos Legales, Tributarios, Administrativos, Macroeconómicos, Aduaneros, Tecnológicos
e Internacionales que Definen el perfil de la empresa Apple Colombia S.A.S. </v>
      </c>
      <c r="G5" s="201"/>
      <c r="H5" s="201"/>
      <c r="I5" s="201"/>
      <c r="J5" s="201"/>
      <c r="K5" s="201"/>
      <c r="L5" s="201"/>
    </row>
    <row r="6" spans="1:12" s="2" customFormat="1" ht="12.75">
      <c r="A6" s="9">
        <v>1</v>
      </c>
      <c r="B6" s="10" t="str">
        <f>LIDER!E43</f>
        <v>BERRIO LOPEZ VALENTINA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4.04</v>
      </c>
      <c r="F6" s="202">
        <v>4.2</v>
      </c>
      <c r="G6" s="199">
        <v>4</v>
      </c>
      <c r="H6" s="197">
        <v>3.5</v>
      </c>
      <c r="I6" s="199">
        <v>4.5</v>
      </c>
      <c r="J6" s="197">
        <v>4.5</v>
      </c>
      <c r="K6" s="199"/>
      <c r="L6" s="197"/>
    </row>
    <row r="7" spans="1:12" s="2" customFormat="1" ht="15" customHeight="1">
      <c r="A7" s="12">
        <v>2</v>
      </c>
      <c r="B7" s="10" t="str">
        <f>LIDER!E44</f>
        <v>BOHÓRQUEZ CANTERO SANTIAGO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4.04</v>
      </c>
      <c r="F7" s="202"/>
      <c r="G7" s="199"/>
      <c r="H7" s="197"/>
      <c r="I7" s="199"/>
      <c r="J7" s="197"/>
      <c r="K7" s="199"/>
      <c r="L7" s="197"/>
    </row>
    <row r="8" spans="1:12" s="2" customFormat="1" ht="15" customHeight="1">
      <c r="A8" s="12">
        <v>3</v>
      </c>
      <c r="B8" s="10" t="str">
        <f>LIDER!E45</f>
        <v>CAMPOS ABREU NICOLE ANTHONELLA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4.04</v>
      </c>
      <c r="F8" s="202"/>
      <c r="G8" s="199"/>
      <c r="H8" s="197"/>
      <c r="I8" s="199"/>
      <c r="J8" s="197"/>
      <c r="K8" s="199"/>
      <c r="L8" s="197"/>
    </row>
    <row r="9" spans="1:12" s="2" customFormat="1" ht="15" customHeight="1">
      <c r="A9" s="12">
        <v>4</v>
      </c>
      <c r="B9" s="10" t="str">
        <f>LIDER!E46</f>
        <v>RUIZ CHICO LAURA SOFIA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4.04</v>
      </c>
      <c r="F9" s="202"/>
      <c r="G9" s="199"/>
      <c r="H9" s="197"/>
      <c r="I9" s="199"/>
      <c r="J9" s="197"/>
      <c r="K9" s="199"/>
      <c r="L9" s="19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2"/>
      <c r="G10" s="199"/>
      <c r="H10" s="197"/>
      <c r="I10" s="199"/>
      <c r="J10" s="197"/>
      <c r="K10" s="199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2"/>
      <c r="G11" s="199"/>
      <c r="H11" s="197"/>
      <c r="I11" s="199"/>
      <c r="J11" s="197"/>
      <c r="K11" s="199"/>
      <c r="L11" s="197"/>
    </row>
    <row r="12" spans="1:12" s="2" customFormat="1" ht="15.75" customHeight="1" thickBot="1">
      <c r="A12" s="8"/>
      <c r="B12" s="25" t="s">
        <v>110</v>
      </c>
      <c r="C12" s="88" t="s">
        <v>111</v>
      </c>
      <c r="D12" s="32" t="str">
        <f>D5</f>
        <v>LIST</v>
      </c>
      <c r="E12" s="89" t="s">
        <v>109</v>
      </c>
      <c r="F12" s="201" t="str">
        <f>LIDER!$E$30</f>
        <v xml:space="preserve">GRUPO#2: Caracterización de los aspectos legales, tributarios, administrativos, macroeconómicos, 
tecnológicos e internacionales que definen el perfil empresarial de Ecopetrol S.A. en los 
negocios internacionales </v>
      </c>
      <c r="G12" s="201"/>
      <c r="H12" s="201"/>
      <c r="I12" s="201"/>
      <c r="J12" s="201"/>
      <c r="K12" s="201"/>
      <c r="L12" s="201"/>
    </row>
    <row r="13" spans="1:12" s="2" customFormat="1" ht="12.75">
      <c r="A13" s="9">
        <v>1</v>
      </c>
      <c r="B13" s="10" t="str">
        <f>LIDER!F43</f>
        <v>BUENDIA CAÑATE DONICEL DE JESUS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3.6500000000000004</v>
      </c>
      <c r="F13" s="202">
        <v>3.5</v>
      </c>
      <c r="G13" s="199">
        <v>4.5</v>
      </c>
      <c r="H13" s="197">
        <v>3</v>
      </c>
      <c r="I13" s="199">
        <v>3.5</v>
      </c>
      <c r="J13" s="197">
        <v>4.5</v>
      </c>
      <c r="K13" s="199"/>
      <c r="L13" s="197"/>
    </row>
    <row r="14" spans="1:12" s="2" customFormat="1" ht="15" customHeight="1">
      <c r="A14" s="12">
        <v>2</v>
      </c>
      <c r="B14" s="10" t="str">
        <f>LIDER!F44</f>
        <v>MARRUGO CORREA MATEO DE JESUS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3.6500000000000004</v>
      </c>
      <c r="F14" s="202"/>
      <c r="G14" s="199"/>
      <c r="H14" s="197"/>
      <c r="I14" s="199"/>
      <c r="J14" s="197"/>
      <c r="K14" s="199"/>
      <c r="L14" s="197"/>
    </row>
    <row r="15" spans="1:12" s="2" customFormat="1" ht="15" customHeight="1">
      <c r="A15" s="12">
        <v>3</v>
      </c>
      <c r="B15" s="10" t="str">
        <f>LIDER!F45</f>
        <v>ZEA NAVARRO JUAN ESTEBAN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3.6500000000000004</v>
      </c>
      <c r="F15" s="202"/>
      <c r="G15" s="199"/>
      <c r="H15" s="197"/>
      <c r="I15" s="199"/>
      <c r="J15" s="197"/>
      <c r="K15" s="199"/>
      <c r="L15" s="197"/>
    </row>
    <row r="16" spans="1:12" s="2" customFormat="1" ht="15" customHeight="1">
      <c r="A16" s="12">
        <v>4</v>
      </c>
      <c r="B16" s="10" t="str">
        <f>LIDER!F46</f>
        <v>PALMERA MARTINEZ FRANCISCO JAVIER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3.6500000000000004</v>
      </c>
      <c r="F16" s="202"/>
      <c r="G16" s="199"/>
      <c r="H16" s="197"/>
      <c r="I16" s="199"/>
      <c r="J16" s="197"/>
      <c r="K16" s="199"/>
      <c r="L16" s="197"/>
    </row>
    <row r="17" spans="1:12" s="2" customFormat="1" ht="15" customHeight="1">
      <c r="A17" s="12">
        <v>5</v>
      </c>
      <c r="B17" s="10" t="str">
        <f>LIDER!F47</f>
        <v>CONTRERAS MARTÍNEZ MARLON MANUEL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3.6500000000000004</v>
      </c>
      <c r="F17" s="202"/>
      <c r="G17" s="199"/>
      <c r="H17" s="197"/>
      <c r="I17" s="199"/>
      <c r="J17" s="197"/>
      <c r="K17" s="199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199"/>
      <c r="H18" s="197"/>
      <c r="I18" s="199"/>
      <c r="J18" s="197"/>
      <c r="K18" s="199"/>
      <c r="L18" s="197"/>
    </row>
    <row r="19" spans="1:12" s="2" customFormat="1" ht="15.75" customHeight="1">
      <c r="A19" s="14"/>
      <c r="B19" s="25" t="s">
        <v>112</v>
      </c>
      <c r="C19" s="88" t="s">
        <v>113</v>
      </c>
      <c r="D19" s="32" t="str">
        <f>D12</f>
        <v>LIST</v>
      </c>
      <c r="E19" s="89" t="s">
        <v>109</v>
      </c>
      <c r="F19" s="201" t="str">
        <f>LIDER!$E$31</f>
        <v xml:space="preserve">GRUPO#3: Análisis integral de los aspectos legales, tributarios, administrativos, 
macroeconómicos, tecnológicos e internacionales que configuran el perfil empresarial de 
Nestlé Colombia S.A. en los negocios internacionales. </v>
      </c>
      <c r="G19" s="201"/>
      <c r="H19" s="201"/>
      <c r="I19" s="201"/>
      <c r="J19" s="201"/>
      <c r="K19" s="201"/>
      <c r="L19" s="201"/>
    </row>
    <row r="20" spans="1:12" s="2" customFormat="1" ht="12.75">
      <c r="A20" s="9">
        <v>1</v>
      </c>
      <c r="B20" s="10" t="str">
        <f>LIDER!G43</f>
        <v>FONTALVO RODRIGUEZ ISABELLA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4.2</v>
      </c>
      <c r="F20" s="202">
        <v>4.5</v>
      </c>
      <c r="G20" s="199">
        <v>4.5</v>
      </c>
      <c r="H20" s="197">
        <v>3</v>
      </c>
      <c r="I20" s="199">
        <v>5</v>
      </c>
      <c r="J20" s="197">
        <v>5</v>
      </c>
      <c r="K20" s="199"/>
      <c r="L20" s="197"/>
    </row>
    <row r="21" spans="1:12" s="2" customFormat="1" ht="15" customHeight="1">
      <c r="A21" s="12">
        <v>2</v>
      </c>
      <c r="B21" s="10" t="str">
        <f>LIDER!G44</f>
        <v>LARA MAURY MARÍA ANGÉLICA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4.2</v>
      </c>
      <c r="F21" s="202"/>
      <c r="G21" s="199"/>
      <c r="H21" s="197"/>
      <c r="I21" s="199"/>
      <c r="J21" s="197"/>
      <c r="K21" s="199"/>
      <c r="L21" s="197"/>
    </row>
    <row r="22" spans="1:12" s="2" customFormat="1" ht="15" customHeight="1">
      <c r="A22" s="12">
        <v>3</v>
      </c>
      <c r="B22" s="10" t="str">
        <f>LIDER!G45</f>
        <v>PEREZ ALVAREZ DILAN ANDRES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4.2</v>
      </c>
      <c r="F22" s="202"/>
      <c r="G22" s="199"/>
      <c r="H22" s="197"/>
      <c r="I22" s="199"/>
      <c r="J22" s="197"/>
      <c r="K22" s="199"/>
      <c r="L22" s="19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2"/>
      <c r="G23" s="199"/>
      <c r="H23" s="197"/>
      <c r="I23" s="199"/>
      <c r="J23" s="197"/>
      <c r="K23" s="199"/>
      <c r="L23" s="19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2"/>
      <c r="G24" s="199"/>
      <c r="H24" s="197"/>
      <c r="I24" s="199"/>
      <c r="J24" s="197"/>
      <c r="K24" s="199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199"/>
      <c r="H25" s="197"/>
      <c r="I25" s="199"/>
      <c r="J25" s="197"/>
      <c r="K25" s="199"/>
      <c r="L25" s="197"/>
    </row>
    <row r="26" spans="1:12" s="2" customFormat="1" ht="15.75" customHeight="1">
      <c r="A26" s="14"/>
      <c r="B26" s="25" t="s">
        <v>114</v>
      </c>
      <c r="C26" s="88" t="s">
        <v>115</v>
      </c>
      <c r="D26" s="32" t="str">
        <f>D19</f>
        <v>LIST</v>
      </c>
      <c r="E26" s="89" t="s">
        <v>109</v>
      </c>
      <c r="F26" s="201" t="str">
        <f>LIDER!$E$32</f>
        <v>GRUPO#4: Análisis de los aspectos legales, tributarios, administrativos, macroeconómicos,
tecnológicos e internacionales de la empresa Arturo Calle S.A.S. en los negocios
internacionales</v>
      </c>
      <c r="G26" s="201"/>
      <c r="H26" s="201"/>
      <c r="I26" s="201"/>
      <c r="J26" s="201"/>
      <c r="K26" s="201"/>
      <c r="L26" s="201"/>
    </row>
    <row r="27" spans="1:12" s="2" customFormat="1" ht="12.75">
      <c r="A27" s="9">
        <v>1</v>
      </c>
      <c r="B27" s="10" t="str">
        <f>LIDER!H43</f>
        <v>BURGOS CAUSIL SHADIA TATIANA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3.9</v>
      </c>
      <c r="F27" s="202">
        <v>4.5</v>
      </c>
      <c r="G27" s="199">
        <v>4.5</v>
      </c>
      <c r="H27" s="197">
        <v>3</v>
      </c>
      <c r="I27" s="199">
        <v>4</v>
      </c>
      <c r="J27" s="197">
        <v>4</v>
      </c>
      <c r="K27" s="199"/>
      <c r="L27" s="197"/>
    </row>
    <row r="28" spans="1:12" s="2" customFormat="1" ht="15" customHeight="1">
      <c r="A28" s="12">
        <v>2</v>
      </c>
      <c r="B28" s="10" t="str">
        <f>LIDER!H44</f>
        <v>CASTRO SAYAS KEVIN ENRIQUE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3.9</v>
      </c>
      <c r="F28" s="202"/>
      <c r="G28" s="199"/>
      <c r="H28" s="197"/>
      <c r="I28" s="199"/>
      <c r="J28" s="197"/>
      <c r="K28" s="199"/>
      <c r="L28" s="197"/>
    </row>
    <row r="29" spans="1:12" s="2" customFormat="1" ht="15" customHeight="1">
      <c r="A29" s="12">
        <v>3</v>
      </c>
      <c r="B29" s="10" t="str">
        <f>LIDER!H45</f>
        <v>CERVERA BLANCO ALAN DAVID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3.9</v>
      </c>
      <c r="F29" s="202"/>
      <c r="G29" s="199"/>
      <c r="H29" s="197"/>
      <c r="I29" s="199"/>
      <c r="J29" s="197"/>
      <c r="K29" s="199"/>
      <c r="L29" s="197"/>
    </row>
    <row r="30" spans="1:12" s="2" customFormat="1" ht="15" customHeight="1">
      <c r="A30" s="12">
        <v>4</v>
      </c>
      <c r="B30" s="10" t="str">
        <f>LIDER!H46</f>
        <v>GONZALEZ PATERNINA YULIETH ISABEL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3.9</v>
      </c>
      <c r="F30" s="202"/>
      <c r="G30" s="199"/>
      <c r="H30" s="197"/>
      <c r="I30" s="199"/>
      <c r="J30" s="197"/>
      <c r="K30" s="199"/>
      <c r="L30" s="197"/>
    </row>
    <row r="31" spans="1:12" s="2" customFormat="1" ht="15" customHeight="1">
      <c r="A31" s="12">
        <v>5</v>
      </c>
      <c r="B31" s="10" t="str">
        <f>LIDER!H47</f>
        <v>GONZALEZ SOTO NICOLE ANDREA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3.9</v>
      </c>
      <c r="F31" s="202"/>
      <c r="G31" s="199"/>
      <c r="H31" s="197"/>
      <c r="I31" s="199"/>
      <c r="J31" s="197"/>
      <c r="K31" s="199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199"/>
      <c r="H32" s="197"/>
      <c r="I32" s="199"/>
      <c r="J32" s="197"/>
      <c r="K32" s="199"/>
      <c r="L32" s="197"/>
    </row>
    <row r="33" spans="1:12" s="2" customFormat="1" ht="15.75" customHeight="1">
      <c r="A33" s="14"/>
      <c r="B33" s="25" t="s">
        <v>116</v>
      </c>
      <c r="C33" s="88" t="s">
        <v>117</v>
      </c>
      <c r="D33" s="32" t="str">
        <f>D26</f>
        <v>LIST</v>
      </c>
      <c r="E33" s="89" t="s">
        <v>109</v>
      </c>
      <c r="F33" s="201" t="str">
        <f>LIDER!$E$33</f>
        <v xml:space="preserve">GRUPO#5: Aspectos legales, tributarios, administrativos, macroeconómicos, aduaneros, tecnológicos e 
internacionales que definen el perfil de Cementos Argos en los negocios internacionales </v>
      </c>
      <c r="G33" s="201"/>
      <c r="H33" s="201"/>
      <c r="I33" s="201"/>
      <c r="J33" s="201"/>
      <c r="K33" s="201"/>
      <c r="L33" s="201"/>
    </row>
    <row r="34" spans="1:12" s="2" customFormat="1" ht="12.75">
      <c r="A34" s="9">
        <v>1</v>
      </c>
      <c r="B34" s="10" t="str">
        <f>LIDER!E51</f>
        <v>CANTILLO ZABALETA JULIANA ISABEL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3.94</v>
      </c>
      <c r="F34" s="202">
        <v>4.5</v>
      </c>
      <c r="G34" s="199">
        <v>4.2</v>
      </c>
      <c r="H34" s="197">
        <v>3</v>
      </c>
      <c r="I34" s="199">
        <v>4.5</v>
      </c>
      <c r="J34" s="197">
        <v>4</v>
      </c>
      <c r="K34" s="199"/>
      <c r="L34" s="197"/>
    </row>
    <row r="35" spans="1:12" s="2" customFormat="1" ht="15" customHeight="1">
      <c r="A35" s="12">
        <v>2</v>
      </c>
      <c r="B35" s="10" t="str">
        <f>LIDER!E52</f>
        <v>DAVILA GONZALEZ ALANA ARAI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3.94</v>
      </c>
      <c r="F35" s="202"/>
      <c r="G35" s="199"/>
      <c r="H35" s="197"/>
      <c r="I35" s="199"/>
      <c r="J35" s="197"/>
      <c r="K35" s="199"/>
      <c r="L35" s="197"/>
    </row>
    <row r="36" spans="1:12" s="2" customFormat="1" ht="15" customHeight="1">
      <c r="A36" s="12">
        <v>3</v>
      </c>
      <c r="B36" s="10" t="str">
        <f>LIDER!E53</f>
        <v>OBANDO MARSIGLIA JESED ALEJANDRO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3.94</v>
      </c>
      <c r="F36" s="202"/>
      <c r="G36" s="199"/>
      <c r="H36" s="197"/>
      <c r="I36" s="199"/>
      <c r="J36" s="197"/>
      <c r="K36" s="199"/>
      <c r="L36" s="197"/>
    </row>
    <row r="37" spans="1:12" s="2" customFormat="1" ht="15" customHeight="1">
      <c r="A37" s="12">
        <v>4</v>
      </c>
      <c r="B37" s="10" t="str">
        <f>LIDER!E54</f>
        <v>GARCÍA REYES VALERY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3.94</v>
      </c>
      <c r="F37" s="202"/>
      <c r="G37" s="199"/>
      <c r="H37" s="197"/>
      <c r="I37" s="199"/>
      <c r="J37" s="197"/>
      <c r="K37" s="199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199"/>
      <c r="H38" s="197"/>
      <c r="I38" s="199"/>
      <c r="J38" s="197"/>
      <c r="K38" s="199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199"/>
      <c r="H39" s="197"/>
      <c r="I39" s="199"/>
      <c r="J39" s="197"/>
      <c r="K39" s="199"/>
      <c r="L39" s="197"/>
    </row>
    <row r="40" spans="1:12" s="2" customFormat="1" ht="15.75" customHeight="1">
      <c r="A40" s="14"/>
      <c r="B40" s="25" t="s">
        <v>118</v>
      </c>
      <c r="C40" s="88" t="s">
        <v>119</v>
      </c>
      <c r="D40" s="32" t="str">
        <f>D33</f>
        <v>LIST</v>
      </c>
      <c r="E40" s="89" t="s">
        <v>109</v>
      </c>
      <c r="F40" s="201" t="str">
        <f>LIDER!$E$34</f>
        <v>GRUPO#6: Análisis de los aspectos legales, tributarios, administrativos, macroeconómicos, aduaneros, tecnológicos e
internacionales que definen el perfil de Alpina S.A.S en los negocios internacionales</v>
      </c>
      <c r="G40" s="201"/>
      <c r="H40" s="201"/>
      <c r="I40" s="201"/>
      <c r="J40" s="201"/>
      <c r="K40" s="201"/>
      <c r="L40" s="201"/>
    </row>
    <row r="41" spans="1:12" s="2" customFormat="1" ht="12.75">
      <c r="A41" s="9">
        <v>1</v>
      </c>
      <c r="B41" s="10" t="str">
        <f>LIDER!F51</f>
        <v>ALVARADO MAS Y RUBI LOHANA  VICTORIA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3.1999999999999997</v>
      </c>
      <c r="F41" s="202">
        <v>2.5</v>
      </c>
      <c r="G41" s="199">
        <v>2.8</v>
      </c>
      <c r="H41" s="197">
        <v>3.2</v>
      </c>
      <c r="I41" s="199">
        <v>4.5</v>
      </c>
      <c r="J41" s="197">
        <v>2.8</v>
      </c>
      <c r="K41" s="199"/>
      <c r="L41" s="197"/>
    </row>
    <row r="42" spans="1:12" s="2" customFormat="1" ht="15" customHeight="1">
      <c r="A42" s="12">
        <v>2</v>
      </c>
      <c r="B42" s="10" t="str">
        <f>LIDER!F52</f>
        <v>MANOTAS ACEVEDO LAURA DANIELA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3.1999999999999997</v>
      </c>
      <c r="F42" s="202"/>
      <c r="G42" s="199"/>
      <c r="H42" s="197"/>
      <c r="I42" s="199"/>
      <c r="J42" s="197"/>
      <c r="K42" s="199"/>
      <c r="L42" s="197"/>
    </row>
    <row r="43" spans="1:12" s="2" customFormat="1" ht="15" customHeight="1">
      <c r="A43" s="12">
        <v>3</v>
      </c>
      <c r="B43" s="10" t="str">
        <f>LIDER!F53</f>
        <v>RIVERA MENDOZA EDITH MARIA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3.1999999999999997</v>
      </c>
      <c r="F43" s="202"/>
      <c r="G43" s="199"/>
      <c r="H43" s="197"/>
      <c r="I43" s="199"/>
      <c r="J43" s="197"/>
      <c r="K43" s="199"/>
      <c r="L43" s="197"/>
    </row>
    <row r="44" spans="1:12" s="2" customFormat="1" ht="15" customHeight="1">
      <c r="A44" s="12">
        <v>4</v>
      </c>
      <c r="B44" s="10" t="str">
        <f>LIDER!F54</f>
        <v>THERAN MENDOZA JESUS DAVID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3.1999999999999997</v>
      </c>
      <c r="F44" s="202"/>
      <c r="G44" s="199"/>
      <c r="H44" s="197"/>
      <c r="I44" s="199"/>
      <c r="J44" s="197"/>
      <c r="K44" s="199"/>
      <c r="L44" s="197"/>
    </row>
    <row r="45" spans="1:12" s="2" customFormat="1" ht="15" customHeight="1">
      <c r="A45" s="12">
        <v>5</v>
      </c>
      <c r="B45" s="10" t="str">
        <f>LIDER!F55</f>
        <v>RODRIGUEZ PEREZ JEAN CARLOS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3.1999999999999997</v>
      </c>
      <c r="F45" s="202"/>
      <c r="G45" s="199"/>
      <c r="H45" s="197"/>
      <c r="I45" s="199"/>
      <c r="J45" s="197"/>
      <c r="K45" s="199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2"/>
      <c r="G46" s="199"/>
      <c r="H46" s="197"/>
      <c r="I46" s="199"/>
      <c r="J46" s="197"/>
      <c r="K46" s="199"/>
      <c r="L46" s="197"/>
    </row>
    <row r="47" spans="1:12" s="2" customFormat="1" ht="15.75" customHeight="1">
      <c r="A47" s="14"/>
      <c r="B47" s="25" t="s">
        <v>120</v>
      </c>
      <c r="C47" s="88" t="s">
        <v>121</v>
      </c>
      <c r="D47" s="32" t="str">
        <f>D40</f>
        <v>LIST</v>
      </c>
      <c r="E47" s="89" t="s">
        <v>109</v>
      </c>
      <c r="F47" s="201" t="str">
        <f>LIDER!$E$35</f>
        <v xml:space="preserve">GRUPO#7: Aspectos Legales, Tributarios, Administrativos, Macroeconómicos, Aduaneros, 
Tecnológicos, e Internacional que Definen el Perfil de Agofer S.A.S en los Negocios 
Internacionales </v>
      </c>
      <c r="G47" s="201"/>
      <c r="H47" s="201"/>
      <c r="I47" s="201"/>
      <c r="J47" s="201"/>
      <c r="K47" s="201"/>
      <c r="L47" s="201"/>
    </row>
    <row r="48" spans="1:12" s="2" customFormat="1" ht="12.75">
      <c r="A48" s="9">
        <v>1</v>
      </c>
      <c r="B48" s="10" t="str">
        <f>LIDER!G51</f>
        <v>CAMPO PÉREZ NALIETH NICOHL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3.75</v>
      </c>
      <c r="F48" s="202">
        <v>4</v>
      </c>
      <c r="G48" s="199">
        <v>4</v>
      </c>
      <c r="H48" s="197">
        <v>3</v>
      </c>
      <c r="I48" s="199">
        <v>4</v>
      </c>
      <c r="J48" s="197">
        <v>4.5</v>
      </c>
      <c r="K48" s="199"/>
      <c r="L48" s="197"/>
    </row>
    <row r="49" spans="1:12" s="2" customFormat="1" ht="15" customHeight="1">
      <c r="A49" s="12">
        <v>2</v>
      </c>
      <c r="B49" s="10" t="str">
        <f>LIDER!G52</f>
        <v>NOVOA GOMEZ IANA MARCELA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3.75</v>
      </c>
      <c r="F49" s="202"/>
      <c r="G49" s="199"/>
      <c r="H49" s="197"/>
      <c r="I49" s="199"/>
      <c r="J49" s="197"/>
      <c r="K49" s="199"/>
      <c r="L49" s="197"/>
    </row>
    <row r="50" spans="1:12" s="2" customFormat="1" ht="15" customHeight="1">
      <c r="A50" s="12">
        <v>3</v>
      </c>
      <c r="B50" s="10" t="str">
        <f>LIDER!G53</f>
        <v>OSPINO MARTÍNEZ KAROLAY SOFIA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3.75</v>
      </c>
      <c r="F50" s="202"/>
      <c r="G50" s="199"/>
      <c r="H50" s="197"/>
      <c r="I50" s="199"/>
      <c r="J50" s="197"/>
      <c r="K50" s="199"/>
      <c r="L50" s="197"/>
    </row>
    <row r="51" spans="1:12" s="2" customFormat="1" ht="15" customHeight="1">
      <c r="A51" s="12">
        <v>4</v>
      </c>
      <c r="B51" s="10" t="str">
        <f>LIDER!G54</f>
        <v>PEREZ VERGARA VALERIA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3.75</v>
      </c>
      <c r="F51" s="202"/>
      <c r="G51" s="199"/>
      <c r="H51" s="197"/>
      <c r="I51" s="199"/>
      <c r="J51" s="197"/>
      <c r="K51" s="199"/>
      <c r="L51" s="197"/>
    </row>
    <row r="52" spans="1:12" s="2" customFormat="1" ht="15" customHeight="1">
      <c r="A52" s="12">
        <v>5</v>
      </c>
      <c r="B52" s="10" t="str">
        <f>LIDER!G55</f>
        <v>PETRO ROSARIO VALERIE SARED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3.75</v>
      </c>
      <c r="F52" s="202"/>
      <c r="G52" s="199"/>
      <c r="H52" s="197"/>
      <c r="I52" s="199"/>
      <c r="J52" s="197"/>
      <c r="K52" s="199"/>
      <c r="L52" s="197"/>
    </row>
    <row r="53" spans="1:12" s="2" customFormat="1" ht="15.75" customHeight="1">
      <c r="A53" s="13">
        <v>6</v>
      </c>
      <c r="B53" s="91" t="str">
        <f>LIDER!G56</f>
        <v>RAMOS ORTEGA LAURA INÉS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3.75</v>
      </c>
      <c r="F53" s="202"/>
      <c r="G53" s="199"/>
      <c r="H53" s="197"/>
      <c r="I53" s="199"/>
      <c r="J53" s="197"/>
      <c r="K53" s="199"/>
      <c r="L53" s="197"/>
    </row>
    <row r="54" spans="1:12" s="2" customFormat="1" ht="15.75" customHeight="1">
      <c r="A54" s="14"/>
      <c r="B54" s="25" t="s">
        <v>122</v>
      </c>
      <c r="C54" s="88" t="s">
        <v>123</v>
      </c>
      <c r="D54" s="32" t="str">
        <f>D47</f>
        <v>LIST</v>
      </c>
      <c r="E54" s="89" t="s">
        <v>109</v>
      </c>
      <c r="F54" s="201" t="str">
        <f>LIDER!$E$36</f>
        <v>GRUPO#8: Aspectos legales, tributarios, administrativos, macroeconómicos, aduaneros y tecnológicos que definen el perfil de Terpel S.A. en los negocios internacionales</v>
      </c>
      <c r="G54" s="201"/>
      <c r="H54" s="201"/>
      <c r="I54" s="201"/>
      <c r="J54" s="201"/>
      <c r="K54" s="201"/>
      <c r="L54" s="201"/>
    </row>
    <row r="55" spans="1:12" s="2" customFormat="1" ht="12.75">
      <c r="A55" s="9">
        <v>1</v>
      </c>
      <c r="B55" s="10" t="str">
        <f>LIDER!H51</f>
        <v>BARRIOS RAMIREZ JUAN JOSE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3.8400000000000003</v>
      </c>
      <c r="F55" s="202">
        <v>4.5</v>
      </c>
      <c r="G55" s="199">
        <v>4.2</v>
      </c>
      <c r="H55" s="197">
        <v>3</v>
      </c>
      <c r="I55" s="199">
        <v>4</v>
      </c>
      <c r="J55" s="197">
        <v>4</v>
      </c>
      <c r="K55" s="199"/>
      <c r="L55" s="197"/>
    </row>
    <row r="56" spans="1:12" s="2" customFormat="1" ht="15" customHeight="1">
      <c r="A56" s="12">
        <v>2</v>
      </c>
      <c r="B56" s="10" t="str">
        <f>LIDER!H52</f>
        <v>HERRERA PRADA JAIDER DAVID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3.8400000000000003</v>
      </c>
      <c r="F56" s="202"/>
      <c r="G56" s="199"/>
      <c r="H56" s="197"/>
      <c r="I56" s="199"/>
      <c r="J56" s="197"/>
      <c r="K56" s="199"/>
      <c r="L56" s="197"/>
    </row>
    <row r="57" spans="1:12" s="2" customFormat="1" ht="15" customHeight="1">
      <c r="A57" s="12">
        <v>3</v>
      </c>
      <c r="B57" s="10" t="str">
        <f>LIDER!H53</f>
        <v>GARCIA SUAREZ ANDREA CAROLINA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3.8400000000000003</v>
      </c>
      <c r="F57" s="202"/>
      <c r="G57" s="199"/>
      <c r="H57" s="197"/>
      <c r="I57" s="199"/>
      <c r="J57" s="197"/>
      <c r="K57" s="199"/>
      <c r="L57" s="197"/>
    </row>
    <row r="58" spans="1:12" s="2" customFormat="1" ht="15" customHeight="1">
      <c r="A58" s="12">
        <v>4</v>
      </c>
      <c r="B58" s="10" t="str">
        <f>LIDER!H54</f>
        <v>PEREZ GELIS LUISA FERNANDA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3.8400000000000003</v>
      </c>
      <c r="F58" s="202"/>
      <c r="G58" s="199"/>
      <c r="H58" s="197"/>
      <c r="I58" s="199"/>
      <c r="J58" s="197"/>
      <c r="K58" s="199"/>
      <c r="L58" s="197"/>
    </row>
    <row r="59" spans="1:12" s="2" customFormat="1" ht="15" customHeight="1">
      <c r="A59" s="12">
        <v>5</v>
      </c>
      <c r="B59" s="10" t="str">
        <f>LIDER!H55</f>
        <v>LOPEZ PAYARES OSMAN JUNIOR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3.8400000000000003</v>
      </c>
      <c r="F59" s="202"/>
      <c r="G59" s="199"/>
      <c r="H59" s="197"/>
      <c r="I59" s="199"/>
      <c r="J59" s="197"/>
      <c r="K59" s="199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199"/>
      <c r="H60" s="197"/>
      <c r="I60" s="199"/>
      <c r="J60" s="197"/>
      <c r="K60" s="199"/>
      <c r="L60" s="197"/>
    </row>
    <row r="61" spans="1:12" s="2" customFormat="1" ht="15.75" customHeight="1">
      <c r="A61" s="14"/>
      <c r="B61" s="25" t="s">
        <v>124</v>
      </c>
      <c r="C61" s="88" t="s">
        <v>125</v>
      </c>
      <c r="D61" s="32" t="str">
        <f>D54</f>
        <v>LIST</v>
      </c>
      <c r="E61" s="89" t="s">
        <v>109</v>
      </c>
      <c r="F61" s="201" t="str">
        <f>LIDER!$E$37</f>
        <v>GRUPO#9: Aspectos, legales, tributarios, administrativos, macroeconómicos, aduaneros e internacionales que definen el
perfil de Samsung  en los negocios internacionales.</v>
      </c>
      <c r="G61" s="201"/>
      <c r="H61" s="201"/>
      <c r="I61" s="201"/>
      <c r="J61" s="201"/>
      <c r="K61" s="201"/>
      <c r="L61" s="201"/>
    </row>
    <row r="62" spans="1:12" s="2" customFormat="1" ht="12.75">
      <c r="A62" s="9">
        <v>1</v>
      </c>
      <c r="B62" s="10" t="str">
        <f>LIDER!E59</f>
        <v>CORDOBA RODRIGUEZ ADRIANO</v>
      </c>
      <c r="C62" s="90" t="str">
        <f>C61</f>
        <v>G09</v>
      </c>
      <c r="D62" s="95" t="s">
        <v>129</v>
      </c>
      <c r="E62" s="11" t="str">
        <f>IF(B62=0,0,IF(D62="",$F$62*LIDER!$H$9+$G$62*LIDER!$H$10+$H$62*LIDER!$H$11+$I$62*LIDER!$H$12+$J$62*LIDER!$H$13+$K$62*LIDER!$H$14+$L$62*LIDER!$H$15,"N"))</f>
        <v>N</v>
      </c>
      <c r="F62" s="202"/>
      <c r="G62" s="199"/>
      <c r="H62" s="197"/>
      <c r="I62" s="199"/>
      <c r="J62" s="197"/>
      <c r="K62" s="199"/>
      <c r="L62" s="197"/>
    </row>
    <row r="63" spans="1:12" s="2" customFormat="1" ht="15" customHeight="1">
      <c r="A63" s="12">
        <v>2</v>
      </c>
      <c r="B63" s="10" t="str">
        <f>LIDER!E60</f>
        <v>ZUÑIGA IGLESIAS EMMANUEL DAVID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199"/>
      <c r="H63" s="197"/>
      <c r="I63" s="199"/>
      <c r="J63" s="197"/>
      <c r="K63" s="199"/>
      <c r="L63" s="197"/>
    </row>
    <row r="64" spans="1:12" s="2" customFormat="1" ht="15" customHeight="1">
      <c r="A64" s="12">
        <v>3</v>
      </c>
      <c r="B64" s="10" t="str">
        <f>LIDER!E61</f>
        <v>ORTÍZ ZUÑIGA WILYS JUNIOR</v>
      </c>
      <c r="C64" s="90" t="str">
        <f t="shared" si="8"/>
        <v>G09</v>
      </c>
      <c r="D64" s="96" t="s">
        <v>129</v>
      </c>
      <c r="E64" s="11" t="str">
        <f>IF(B64=0,0,IF(D64="",$F$62*LIDER!$H$9+$G$62*LIDER!$H$10+$H$62*LIDER!$H$11+$I$62*LIDER!$H$12+$J$62*LIDER!$H$13+$K$62*LIDER!$H$14+$L$62*LIDER!$H$15,"N"))</f>
        <v>N</v>
      </c>
      <c r="F64" s="202"/>
      <c r="G64" s="199"/>
      <c r="H64" s="197"/>
      <c r="I64" s="199"/>
      <c r="J64" s="197"/>
      <c r="K64" s="199"/>
      <c r="L64" s="197"/>
    </row>
    <row r="65" spans="1:12" s="2" customFormat="1" ht="15" customHeight="1">
      <c r="A65" s="12">
        <v>4</v>
      </c>
      <c r="B65" s="10" t="str">
        <f>LIDER!E62</f>
        <v>DE ORO MOLINA RONNY AMEL</v>
      </c>
      <c r="C65" s="90" t="str">
        <f t="shared" si="8"/>
        <v>G09</v>
      </c>
      <c r="D65" s="96" t="s">
        <v>129</v>
      </c>
      <c r="E65" s="11" t="str">
        <f>IF(B65=0,0,IF(D65="",$F$62*LIDER!$H$9+$G$62*LIDER!$H$10+$H$62*LIDER!$H$11+$I$62*LIDER!$H$12+$J$62*LIDER!$H$13+$K$62*LIDER!$H$14+$L$62*LIDER!$H$15,"N"))</f>
        <v>N</v>
      </c>
      <c r="F65" s="202"/>
      <c r="G65" s="199"/>
      <c r="H65" s="197"/>
      <c r="I65" s="199"/>
      <c r="J65" s="197"/>
      <c r="K65" s="199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199"/>
      <c r="H66" s="197"/>
      <c r="I66" s="199"/>
      <c r="J66" s="197"/>
      <c r="K66" s="199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199"/>
      <c r="H67" s="197"/>
      <c r="I67" s="199"/>
      <c r="J67" s="197"/>
      <c r="K67" s="199"/>
      <c r="L67" s="197"/>
    </row>
    <row r="68" spans="1:12" s="2" customFormat="1" ht="15.75" customHeight="1">
      <c r="A68" s="14"/>
      <c r="B68" s="25" t="s">
        <v>86</v>
      </c>
      <c r="C68" s="88" t="s">
        <v>126</v>
      </c>
      <c r="D68" s="32" t="str">
        <f>D61</f>
        <v>LIST</v>
      </c>
      <c r="E68" s="89" t="s">
        <v>109</v>
      </c>
      <c r="F68" s="201" t="str">
        <f>LIDER!$E$38</f>
        <v>GRUPO#10</v>
      </c>
      <c r="G68" s="201"/>
      <c r="H68" s="201"/>
      <c r="I68" s="201"/>
      <c r="J68" s="201"/>
      <c r="K68" s="201"/>
      <c r="L68" s="20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199"/>
      <c r="H69" s="197"/>
      <c r="I69" s="199"/>
      <c r="J69" s="197"/>
      <c r="K69" s="199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199"/>
      <c r="H70" s="197"/>
      <c r="I70" s="199"/>
      <c r="J70" s="197"/>
      <c r="K70" s="199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199"/>
      <c r="H71" s="197"/>
      <c r="I71" s="199"/>
      <c r="J71" s="197"/>
      <c r="K71" s="199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199"/>
      <c r="H72" s="197"/>
      <c r="I72" s="199"/>
      <c r="J72" s="197"/>
      <c r="K72" s="199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199"/>
      <c r="H73" s="197"/>
      <c r="I73" s="199"/>
      <c r="J73" s="197"/>
      <c r="K73" s="199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199"/>
      <c r="H74" s="197"/>
      <c r="I74" s="199"/>
      <c r="J74" s="197"/>
      <c r="K74" s="199"/>
      <c r="L74" s="197"/>
    </row>
    <row r="75" spans="1:12" s="2" customFormat="1" ht="15.75" customHeight="1">
      <c r="A75" s="14"/>
      <c r="B75" s="25" t="s">
        <v>88</v>
      </c>
      <c r="C75" s="88" t="s">
        <v>127</v>
      </c>
      <c r="D75" s="32" t="str">
        <f>D68</f>
        <v>LIST</v>
      </c>
      <c r="E75" s="89" t="s">
        <v>109</v>
      </c>
      <c r="F75" s="201" t="str">
        <f>LIDER!$E$39</f>
        <v>GRUPO#11</v>
      </c>
      <c r="G75" s="201"/>
      <c r="H75" s="201"/>
      <c r="I75" s="201"/>
      <c r="J75" s="201"/>
      <c r="K75" s="201"/>
      <c r="L75" s="20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199"/>
      <c r="H76" s="197"/>
      <c r="I76" s="199"/>
      <c r="J76" s="197"/>
      <c r="K76" s="199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199"/>
      <c r="H77" s="197"/>
      <c r="I77" s="199"/>
      <c r="J77" s="197"/>
      <c r="K77" s="199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199"/>
      <c r="H78" s="197"/>
      <c r="I78" s="199"/>
      <c r="J78" s="197"/>
      <c r="K78" s="199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199"/>
      <c r="H79" s="197"/>
      <c r="I79" s="199"/>
      <c r="J79" s="197"/>
      <c r="K79" s="199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199"/>
      <c r="H80" s="197"/>
      <c r="I80" s="199"/>
      <c r="J80" s="197"/>
      <c r="K80" s="199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199"/>
      <c r="H81" s="197"/>
      <c r="I81" s="199"/>
      <c r="J81" s="197"/>
      <c r="K81" s="199"/>
      <c r="L81" s="197"/>
    </row>
    <row r="82" spans="1:12" s="2" customFormat="1" ht="15.75" customHeight="1">
      <c r="A82" s="14"/>
      <c r="B82" s="25" t="s">
        <v>90</v>
      </c>
      <c r="C82" s="88" t="s">
        <v>128</v>
      </c>
      <c r="D82" s="32" t="str">
        <f>D75</f>
        <v>LIST</v>
      </c>
      <c r="E82" s="89" t="s">
        <v>109</v>
      </c>
      <c r="F82" s="201" t="str">
        <f>LIDER!$E$40</f>
        <v>GRUPO#12</v>
      </c>
      <c r="G82" s="201"/>
      <c r="H82" s="201"/>
      <c r="I82" s="201"/>
      <c r="J82" s="201"/>
      <c r="K82" s="201"/>
      <c r="L82" s="20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199"/>
      <c r="H83" s="197"/>
      <c r="I83" s="199"/>
      <c r="J83" s="197"/>
      <c r="K83" s="199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199"/>
      <c r="H84" s="197"/>
      <c r="I84" s="199"/>
      <c r="J84" s="197"/>
      <c r="K84" s="199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199"/>
      <c r="H85" s="197"/>
      <c r="I85" s="199"/>
      <c r="J85" s="197"/>
      <c r="K85" s="199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199"/>
      <c r="H86" s="197"/>
      <c r="I86" s="199"/>
      <c r="J86" s="197"/>
      <c r="K86" s="199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199"/>
      <c r="H87" s="197"/>
      <c r="I87" s="199"/>
      <c r="J87" s="197"/>
      <c r="K87" s="199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3"/>
      <c r="G88" s="200"/>
      <c r="H88" s="198"/>
      <c r="I88" s="200"/>
      <c r="J88" s="198"/>
      <c r="K88" s="200"/>
      <c r="L88" s="198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63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5"/>
      <c r="H1" s="20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LIDER!E4</f>
        <v>INTERNACIONALIZACION</v>
      </c>
      <c r="C2" s="82"/>
      <c r="D2" s="3"/>
      <c r="F2" s="211" t="s">
        <v>104</v>
      </c>
      <c r="G2" s="212"/>
      <c r="H2" s="212"/>
      <c r="I2" s="212"/>
      <c r="J2" s="212"/>
      <c r="K2" s="212"/>
      <c r="L2" s="213"/>
    </row>
    <row r="3" spans="1:12" s="2" customFormat="1" ht="145.5" customHeight="1">
      <c r="B3" s="83" t="s">
        <v>105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4" t="str">
        <f>CONCATENATE(LIDER!E4," - ",LIDER!E6," - ",LIDER!E5)</f>
        <v>INTERNACIONALIZACION - 2480 - TATIANA MILENA ROJAS AROCA</v>
      </c>
      <c r="G4" s="214"/>
      <c r="H4" s="214"/>
      <c r="I4" s="214"/>
      <c r="J4" s="214"/>
      <c r="K4" s="214"/>
      <c r="L4" s="214"/>
    </row>
    <row r="5" spans="1:12" s="2" customFormat="1" ht="15.75" customHeight="1" thickBot="1">
      <c r="A5" s="8"/>
      <c r="B5" s="25" t="s">
        <v>106</v>
      </c>
      <c r="C5" s="88" t="s">
        <v>107</v>
      </c>
      <c r="D5" s="32" t="s">
        <v>108</v>
      </c>
      <c r="E5" s="89" t="s">
        <v>109</v>
      </c>
      <c r="F5" s="201" t="str">
        <f>LIDER!$E$29</f>
        <v xml:space="preserve">GRUPO#1: Aspectos Legales, Tributarios, Administrativos, Macroeconómicos, Aduaneros, Tecnológicos
e Internacionales que Definen el perfil de la empresa Apple Colombia S.A.S. </v>
      </c>
      <c r="G5" s="201"/>
      <c r="H5" s="201"/>
      <c r="I5" s="201"/>
      <c r="J5" s="201"/>
      <c r="K5" s="201"/>
      <c r="L5" s="201"/>
    </row>
    <row r="6" spans="1:12" s="2" customFormat="1" ht="12.75">
      <c r="A6" s="9">
        <v>1</v>
      </c>
      <c r="B6" s="10" t="str">
        <f>LIDER!E43</f>
        <v>BERRIO LOPEZ VALENTINA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3.9999999999999996</v>
      </c>
      <c r="F6" s="202">
        <v>4</v>
      </c>
      <c r="G6" s="199">
        <v>4</v>
      </c>
      <c r="H6" s="197">
        <v>4</v>
      </c>
      <c r="I6" s="199">
        <v>4</v>
      </c>
      <c r="J6" s="197">
        <v>4</v>
      </c>
      <c r="K6" s="199"/>
      <c r="L6" s="197"/>
    </row>
    <row r="7" spans="1:12" s="2" customFormat="1" ht="15" customHeight="1">
      <c r="A7" s="12">
        <v>2</v>
      </c>
      <c r="B7" s="10" t="str">
        <f>LIDER!E44</f>
        <v>BOHÓRQUEZ CANTERO SANTIAGO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3.9999999999999996</v>
      </c>
      <c r="F7" s="202"/>
      <c r="G7" s="199"/>
      <c r="H7" s="197"/>
      <c r="I7" s="199"/>
      <c r="J7" s="197"/>
      <c r="K7" s="199"/>
      <c r="L7" s="197"/>
    </row>
    <row r="8" spans="1:12" s="2" customFormat="1" ht="15" customHeight="1">
      <c r="A8" s="12">
        <v>3</v>
      </c>
      <c r="B8" s="10" t="str">
        <f>LIDER!E45</f>
        <v>CAMPOS ABREU NICOLE ANTHONELLA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3.9999999999999996</v>
      </c>
      <c r="F8" s="202"/>
      <c r="G8" s="199"/>
      <c r="H8" s="197"/>
      <c r="I8" s="199"/>
      <c r="J8" s="197"/>
      <c r="K8" s="199"/>
      <c r="L8" s="197"/>
    </row>
    <row r="9" spans="1:12" s="2" customFormat="1" ht="15" customHeight="1">
      <c r="A9" s="12">
        <v>4</v>
      </c>
      <c r="B9" s="10" t="str">
        <f>LIDER!E46</f>
        <v>RUIZ CHICO LAURA SOFIA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3.9999999999999996</v>
      </c>
      <c r="F9" s="202"/>
      <c r="G9" s="199"/>
      <c r="H9" s="197"/>
      <c r="I9" s="199"/>
      <c r="J9" s="197"/>
      <c r="K9" s="199"/>
      <c r="L9" s="19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2"/>
      <c r="G10" s="199"/>
      <c r="H10" s="197"/>
      <c r="I10" s="199"/>
      <c r="J10" s="197"/>
      <c r="K10" s="199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2"/>
      <c r="G11" s="199"/>
      <c r="H11" s="197"/>
      <c r="I11" s="199"/>
      <c r="J11" s="197"/>
      <c r="K11" s="199"/>
      <c r="L11" s="197"/>
    </row>
    <row r="12" spans="1:12" s="2" customFormat="1" ht="15.75" customHeight="1" thickBot="1">
      <c r="A12" s="8"/>
      <c r="B12" s="25" t="s">
        <v>110</v>
      </c>
      <c r="C12" s="88" t="s">
        <v>111</v>
      </c>
      <c r="D12" s="32" t="str">
        <f>D5</f>
        <v>LIST</v>
      </c>
      <c r="E12" s="89" t="s">
        <v>109</v>
      </c>
      <c r="F12" s="201" t="str">
        <f>LIDER!$E$30</f>
        <v xml:space="preserve">GRUPO#2: Caracterización de los aspectos legales, tributarios, administrativos, macroeconómicos, 
tecnológicos e internacionales que definen el perfil empresarial de Ecopetrol S.A. en los 
negocios internacionales </v>
      </c>
      <c r="G12" s="201"/>
      <c r="H12" s="201"/>
      <c r="I12" s="201"/>
      <c r="J12" s="201"/>
      <c r="K12" s="201"/>
      <c r="L12" s="201"/>
    </row>
    <row r="13" spans="1:12" s="2" customFormat="1" ht="12.75">
      <c r="A13" s="9">
        <v>1</v>
      </c>
      <c r="B13" s="10" t="str">
        <f>LIDER!F43</f>
        <v>BUENDIA CAÑATE DONICEL DE JESUS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</v>
      </c>
      <c r="F13" s="202">
        <v>3.9</v>
      </c>
      <c r="G13" s="199">
        <v>3.9</v>
      </c>
      <c r="H13" s="197">
        <v>3.9</v>
      </c>
      <c r="I13" s="199">
        <v>3.9</v>
      </c>
      <c r="J13" s="197">
        <v>3.9</v>
      </c>
      <c r="K13" s="199"/>
      <c r="L13" s="197"/>
    </row>
    <row r="14" spans="1:12" s="2" customFormat="1" ht="15" customHeight="1">
      <c r="A14" s="12">
        <v>2</v>
      </c>
      <c r="B14" s="10" t="str">
        <f>LIDER!F44</f>
        <v>MARRUGO CORREA MATEO DE JESUS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</v>
      </c>
      <c r="F14" s="202"/>
      <c r="G14" s="199"/>
      <c r="H14" s="197"/>
      <c r="I14" s="199"/>
      <c r="J14" s="197"/>
      <c r="K14" s="199"/>
      <c r="L14" s="197"/>
    </row>
    <row r="15" spans="1:12" s="2" customFormat="1" ht="15" customHeight="1">
      <c r="A15" s="12">
        <v>3</v>
      </c>
      <c r="B15" s="10" t="str">
        <f>LIDER!F45</f>
        <v>ZEA NAVARRO JUAN ESTEBAN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</v>
      </c>
      <c r="F15" s="202"/>
      <c r="G15" s="199"/>
      <c r="H15" s="197"/>
      <c r="I15" s="199"/>
      <c r="J15" s="197"/>
      <c r="K15" s="199"/>
      <c r="L15" s="197"/>
    </row>
    <row r="16" spans="1:12" s="2" customFormat="1" ht="15" customHeight="1">
      <c r="A16" s="12">
        <v>4</v>
      </c>
      <c r="B16" s="10" t="str">
        <f>LIDER!F46</f>
        <v>PALMERA MARTINEZ FRANCISCO JAVIER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</v>
      </c>
      <c r="F16" s="202"/>
      <c r="G16" s="199"/>
      <c r="H16" s="197"/>
      <c r="I16" s="199"/>
      <c r="J16" s="197"/>
      <c r="K16" s="199"/>
      <c r="L16" s="197"/>
    </row>
    <row r="17" spans="1:12" s="2" customFormat="1" ht="15" customHeight="1">
      <c r="A17" s="12">
        <v>5</v>
      </c>
      <c r="B17" s="10" t="str">
        <f>LIDER!F47</f>
        <v>CONTRERAS MARTÍNEZ MARLON MANUEL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</v>
      </c>
      <c r="F17" s="202"/>
      <c r="G17" s="199"/>
      <c r="H17" s="197"/>
      <c r="I17" s="199"/>
      <c r="J17" s="197"/>
      <c r="K17" s="199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199"/>
      <c r="H18" s="197"/>
      <c r="I18" s="199"/>
      <c r="J18" s="197"/>
      <c r="K18" s="199"/>
      <c r="L18" s="197"/>
    </row>
    <row r="19" spans="1:12" s="2" customFormat="1" ht="15.75" customHeight="1">
      <c r="A19" s="14"/>
      <c r="B19" s="25" t="s">
        <v>112</v>
      </c>
      <c r="C19" s="88" t="s">
        <v>113</v>
      </c>
      <c r="D19" s="32" t="str">
        <f>D12</f>
        <v>LIST</v>
      </c>
      <c r="E19" s="89" t="s">
        <v>109</v>
      </c>
      <c r="F19" s="201" t="str">
        <f>LIDER!$E$31</f>
        <v xml:space="preserve">GRUPO#3: Análisis integral de los aspectos legales, tributarios, administrativos, 
macroeconómicos, tecnológicos e internacionales que configuran el perfil empresarial de 
Nestlé Colombia S.A. en los negocios internacionales. </v>
      </c>
      <c r="G19" s="201"/>
      <c r="H19" s="201"/>
      <c r="I19" s="201"/>
      <c r="J19" s="201"/>
      <c r="K19" s="201"/>
      <c r="L19" s="201"/>
    </row>
    <row r="20" spans="1:12" s="2" customFormat="1" ht="12.75">
      <c r="A20" s="9">
        <v>1</v>
      </c>
      <c r="B20" s="10" t="str">
        <f>LIDER!G43</f>
        <v>FONTALVO RODRIGUEZ ISABELLA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</v>
      </c>
      <c r="F20" s="202">
        <v>3.9</v>
      </c>
      <c r="G20" s="199">
        <v>3.9</v>
      </c>
      <c r="H20" s="197">
        <v>3.9</v>
      </c>
      <c r="I20" s="199">
        <v>3.9</v>
      </c>
      <c r="J20" s="197">
        <v>3.9</v>
      </c>
      <c r="K20" s="199"/>
      <c r="L20" s="197"/>
    </row>
    <row r="21" spans="1:12" s="2" customFormat="1" ht="15" customHeight="1">
      <c r="A21" s="12">
        <v>2</v>
      </c>
      <c r="B21" s="10" t="str">
        <f>LIDER!G44</f>
        <v>LARA MAURY MARÍA ANGÉLICA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</v>
      </c>
      <c r="F21" s="202"/>
      <c r="G21" s="199"/>
      <c r="H21" s="197"/>
      <c r="I21" s="199"/>
      <c r="J21" s="197"/>
      <c r="K21" s="199"/>
      <c r="L21" s="197"/>
    </row>
    <row r="22" spans="1:12" s="2" customFormat="1" ht="15" customHeight="1">
      <c r="A22" s="12">
        <v>3</v>
      </c>
      <c r="B22" s="10" t="str">
        <f>LIDER!G45</f>
        <v>PEREZ ALVAREZ DILAN ANDRES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</v>
      </c>
      <c r="F22" s="202"/>
      <c r="G22" s="199"/>
      <c r="H22" s="197"/>
      <c r="I22" s="199"/>
      <c r="J22" s="197"/>
      <c r="K22" s="199"/>
      <c r="L22" s="19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2"/>
      <c r="G23" s="199"/>
      <c r="H23" s="197"/>
      <c r="I23" s="199"/>
      <c r="J23" s="197"/>
      <c r="K23" s="199"/>
      <c r="L23" s="19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2"/>
      <c r="G24" s="199"/>
      <c r="H24" s="197"/>
      <c r="I24" s="199"/>
      <c r="J24" s="197"/>
      <c r="K24" s="199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199"/>
      <c r="H25" s="197"/>
      <c r="I25" s="199"/>
      <c r="J25" s="197"/>
      <c r="K25" s="199"/>
      <c r="L25" s="197"/>
    </row>
    <row r="26" spans="1:12" s="2" customFormat="1" ht="15.75" customHeight="1">
      <c r="A26" s="14"/>
      <c r="B26" s="25" t="s">
        <v>114</v>
      </c>
      <c r="C26" s="88" t="s">
        <v>115</v>
      </c>
      <c r="D26" s="32" t="str">
        <f>D19</f>
        <v>LIST</v>
      </c>
      <c r="E26" s="89" t="s">
        <v>109</v>
      </c>
      <c r="F26" s="201" t="str">
        <f>LIDER!$E$32</f>
        <v>GRUPO#4: Análisis de los aspectos legales, tributarios, administrativos, macroeconómicos,
tecnológicos e internacionales de la empresa Arturo Calle S.A.S. en los negocios
internacionales</v>
      </c>
      <c r="G26" s="201"/>
      <c r="H26" s="201"/>
      <c r="I26" s="201"/>
      <c r="J26" s="201"/>
      <c r="K26" s="201"/>
      <c r="L26" s="201"/>
    </row>
    <row r="27" spans="1:12" s="2" customFormat="1" ht="12.75">
      <c r="A27" s="9">
        <v>1</v>
      </c>
      <c r="B27" s="10" t="str">
        <f>LIDER!H43</f>
        <v>BURGOS CAUSIL SHADIA TATIANA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3.9999999999999996</v>
      </c>
      <c r="F27" s="202">
        <v>4</v>
      </c>
      <c r="G27" s="199">
        <v>4</v>
      </c>
      <c r="H27" s="197">
        <v>4</v>
      </c>
      <c r="I27" s="199">
        <v>4</v>
      </c>
      <c r="J27" s="197">
        <v>4</v>
      </c>
      <c r="K27" s="199"/>
      <c r="L27" s="197"/>
    </row>
    <row r="28" spans="1:12" s="2" customFormat="1" ht="15" customHeight="1">
      <c r="A28" s="12">
        <v>2</v>
      </c>
      <c r="B28" s="10" t="str">
        <f>LIDER!H44</f>
        <v>CASTRO SAYAS KEVIN ENRIQUE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3.9999999999999996</v>
      </c>
      <c r="F28" s="202"/>
      <c r="G28" s="199"/>
      <c r="H28" s="197"/>
      <c r="I28" s="199"/>
      <c r="J28" s="197"/>
      <c r="K28" s="199"/>
      <c r="L28" s="197"/>
    </row>
    <row r="29" spans="1:12" s="2" customFormat="1" ht="15" customHeight="1">
      <c r="A29" s="12">
        <v>3</v>
      </c>
      <c r="B29" s="10" t="str">
        <f>LIDER!H45</f>
        <v>CERVERA BLANCO ALAN DAVID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3.9999999999999996</v>
      </c>
      <c r="F29" s="202"/>
      <c r="G29" s="199"/>
      <c r="H29" s="197"/>
      <c r="I29" s="199"/>
      <c r="J29" s="197"/>
      <c r="K29" s="199"/>
      <c r="L29" s="197"/>
    </row>
    <row r="30" spans="1:12" s="2" customFormat="1" ht="15" customHeight="1">
      <c r="A30" s="12">
        <v>4</v>
      </c>
      <c r="B30" s="10" t="str">
        <f>LIDER!H46</f>
        <v>GONZALEZ PATERNINA YULIETH ISABEL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3.9999999999999996</v>
      </c>
      <c r="F30" s="202"/>
      <c r="G30" s="199"/>
      <c r="H30" s="197"/>
      <c r="I30" s="199"/>
      <c r="J30" s="197"/>
      <c r="K30" s="199"/>
      <c r="L30" s="197"/>
    </row>
    <row r="31" spans="1:12" s="2" customFormat="1" ht="15" customHeight="1">
      <c r="A31" s="12">
        <v>5</v>
      </c>
      <c r="B31" s="10" t="str">
        <f>LIDER!H47</f>
        <v>GONZALEZ SOTO NICOLE ANDREA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3.9999999999999996</v>
      </c>
      <c r="F31" s="202"/>
      <c r="G31" s="199"/>
      <c r="H31" s="197"/>
      <c r="I31" s="199"/>
      <c r="J31" s="197"/>
      <c r="K31" s="199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199"/>
      <c r="H32" s="197"/>
      <c r="I32" s="199"/>
      <c r="J32" s="197"/>
      <c r="K32" s="199"/>
      <c r="L32" s="197"/>
    </row>
    <row r="33" spans="1:12" s="2" customFormat="1" ht="15.75" customHeight="1">
      <c r="A33" s="14"/>
      <c r="B33" s="25" t="s">
        <v>116</v>
      </c>
      <c r="C33" s="88" t="s">
        <v>117</v>
      </c>
      <c r="D33" s="32" t="str">
        <f>D26</f>
        <v>LIST</v>
      </c>
      <c r="E33" s="89" t="s">
        <v>109</v>
      </c>
      <c r="F33" s="201" t="str">
        <f>LIDER!$E$33</f>
        <v xml:space="preserve">GRUPO#5: Aspectos legales, tributarios, administrativos, macroeconómicos, aduaneros, tecnológicos e 
internacionales que definen el perfil de Cementos Argos en los negocios internacionales </v>
      </c>
      <c r="G33" s="201"/>
      <c r="H33" s="201"/>
      <c r="I33" s="201"/>
      <c r="J33" s="201"/>
      <c r="K33" s="201"/>
      <c r="L33" s="201"/>
    </row>
    <row r="34" spans="1:12" s="2" customFormat="1" ht="12.75">
      <c r="A34" s="9">
        <v>1</v>
      </c>
      <c r="B34" s="10" t="str">
        <f>LIDER!E51</f>
        <v>CANTILLO ZABALETA JULIANA ISABEL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3.9999999999999996</v>
      </c>
      <c r="F34" s="202">
        <v>4</v>
      </c>
      <c r="G34" s="199">
        <v>4</v>
      </c>
      <c r="H34" s="197">
        <v>4</v>
      </c>
      <c r="I34" s="199">
        <v>4</v>
      </c>
      <c r="J34" s="197">
        <v>4</v>
      </c>
      <c r="K34" s="199"/>
      <c r="L34" s="197"/>
    </row>
    <row r="35" spans="1:12" s="2" customFormat="1" ht="15" customHeight="1">
      <c r="A35" s="12">
        <v>2</v>
      </c>
      <c r="B35" s="10" t="str">
        <f>LIDER!E52</f>
        <v>DAVILA GONZALEZ ALANA ARAI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3.9999999999999996</v>
      </c>
      <c r="F35" s="202"/>
      <c r="G35" s="199"/>
      <c r="H35" s="197"/>
      <c r="I35" s="199"/>
      <c r="J35" s="197"/>
      <c r="K35" s="199"/>
      <c r="L35" s="197"/>
    </row>
    <row r="36" spans="1:12" s="2" customFormat="1" ht="15" customHeight="1">
      <c r="A36" s="12">
        <v>3</v>
      </c>
      <c r="B36" s="10" t="str">
        <f>LIDER!E53</f>
        <v>OBANDO MARSIGLIA JESED ALEJANDRO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3.9999999999999996</v>
      </c>
      <c r="F36" s="202"/>
      <c r="G36" s="199"/>
      <c r="H36" s="197"/>
      <c r="I36" s="199"/>
      <c r="J36" s="197"/>
      <c r="K36" s="199"/>
      <c r="L36" s="197"/>
    </row>
    <row r="37" spans="1:12" s="2" customFormat="1" ht="15" customHeight="1">
      <c r="A37" s="12">
        <v>4</v>
      </c>
      <c r="B37" s="10" t="str">
        <f>LIDER!E54</f>
        <v>GARCÍA REYES VALERY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3.9999999999999996</v>
      </c>
      <c r="F37" s="202"/>
      <c r="G37" s="199"/>
      <c r="H37" s="197"/>
      <c r="I37" s="199"/>
      <c r="J37" s="197"/>
      <c r="K37" s="199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199"/>
      <c r="H38" s="197"/>
      <c r="I38" s="199"/>
      <c r="J38" s="197"/>
      <c r="K38" s="199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199"/>
      <c r="H39" s="197"/>
      <c r="I39" s="199"/>
      <c r="J39" s="197"/>
      <c r="K39" s="199"/>
      <c r="L39" s="197"/>
    </row>
    <row r="40" spans="1:12" s="2" customFormat="1" ht="15.75" customHeight="1">
      <c r="A40" s="14"/>
      <c r="B40" s="25" t="s">
        <v>118</v>
      </c>
      <c r="C40" s="88" t="s">
        <v>119</v>
      </c>
      <c r="D40" s="32" t="str">
        <f>D33</f>
        <v>LIST</v>
      </c>
      <c r="E40" s="89" t="s">
        <v>109</v>
      </c>
      <c r="F40" s="201" t="str">
        <f>LIDER!$E$34</f>
        <v>GRUPO#6: Análisis de los aspectos legales, tributarios, administrativos, macroeconómicos, aduaneros, tecnológicos e
internacionales que definen el perfil de Alpina S.A.S en los negocios internacionales</v>
      </c>
      <c r="G40" s="201"/>
      <c r="H40" s="201"/>
      <c r="I40" s="201"/>
      <c r="J40" s="201"/>
      <c r="K40" s="201"/>
      <c r="L40" s="201"/>
    </row>
    <row r="41" spans="1:12" s="2" customFormat="1" ht="12.75">
      <c r="A41" s="9">
        <v>1</v>
      </c>
      <c r="B41" s="10" t="str">
        <f>LIDER!F51</f>
        <v>ALVARADO MAS Y RUBI LOHANA  VICTORIA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3.5000000000000004</v>
      </c>
      <c r="F41" s="202">
        <v>3.5</v>
      </c>
      <c r="G41" s="199">
        <v>3.5</v>
      </c>
      <c r="H41" s="197">
        <v>3.5</v>
      </c>
      <c r="I41" s="199">
        <v>3.5</v>
      </c>
      <c r="J41" s="197">
        <v>3.5</v>
      </c>
      <c r="K41" s="199"/>
      <c r="L41" s="197"/>
    </row>
    <row r="42" spans="1:12" s="2" customFormat="1" ht="15" customHeight="1">
      <c r="A42" s="12">
        <v>2</v>
      </c>
      <c r="B42" s="10" t="str">
        <f>LIDER!F52</f>
        <v>MANOTAS ACEVEDO LAURA DANIELA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3.5000000000000004</v>
      </c>
      <c r="F42" s="202"/>
      <c r="G42" s="199"/>
      <c r="H42" s="197"/>
      <c r="I42" s="199"/>
      <c r="J42" s="197"/>
      <c r="K42" s="199"/>
      <c r="L42" s="197"/>
    </row>
    <row r="43" spans="1:12" s="2" customFormat="1" ht="15" customHeight="1">
      <c r="A43" s="12">
        <v>3</v>
      </c>
      <c r="B43" s="10" t="str">
        <f>LIDER!F53</f>
        <v>RIVERA MENDOZA EDITH MARIA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3.5000000000000004</v>
      </c>
      <c r="F43" s="202"/>
      <c r="G43" s="199"/>
      <c r="H43" s="197"/>
      <c r="I43" s="199"/>
      <c r="J43" s="197"/>
      <c r="K43" s="199"/>
      <c r="L43" s="197"/>
    </row>
    <row r="44" spans="1:12" s="2" customFormat="1" ht="15" customHeight="1">
      <c r="A44" s="12">
        <v>4</v>
      </c>
      <c r="B44" s="10" t="str">
        <f>LIDER!F54</f>
        <v>THERAN MENDOZA JESUS DAVID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3.5000000000000004</v>
      </c>
      <c r="F44" s="202"/>
      <c r="G44" s="199"/>
      <c r="H44" s="197"/>
      <c r="I44" s="199"/>
      <c r="J44" s="197"/>
      <c r="K44" s="199"/>
      <c r="L44" s="197"/>
    </row>
    <row r="45" spans="1:12" s="2" customFormat="1" ht="15" customHeight="1">
      <c r="A45" s="12">
        <v>5</v>
      </c>
      <c r="B45" s="10" t="str">
        <f>LIDER!F55</f>
        <v>RODRIGUEZ PEREZ JEAN CARLOS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3.5000000000000004</v>
      </c>
      <c r="F45" s="202"/>
      <c r="G45" s="199"/>
      <c r="H45" s="197"/>
      <c r="I45" s="199"/>
      <c r="J45" s="197"/>
      <c r="K45" s="199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2"/>
      <c r="G46" s="199"/>
      <c r="H46" s="197"/>
      <c r="I46" s="199"/>
      <c r="J46" s="197"/>
      <c r="K46" s="199"/>
      <c r="L46" s="197"/>
    </row>
    <row r="47" spans="1:12" s="2" customFormat="1" ht="15.75" customHeight="1">
      <c r="A47" s="14"/>
      <c r="B47" s="25" t="s">
        <v>120</v>
      </c>
      <c r="C47" s="88" t="s">
        <v>121</v>
      </c>
      <c r="D47" s="32" t="str">
        <f>D40</f>
        <v>LIST</v>
      </c>
      <c r="E47" s="89" t="s">
        <v>109</v>
      </c>
      <c r="F47" s="201" t="str">
        <f>LIDER!$E$35</f>
        <v xml:space="preserve">GRUPO#7: Aspectos Legales, Tributarios, Administrativos, Macroeconómicos, Aduaneros, 
Tecnológicos, e Internacional que Definen el Perfil de Agofer S.A.S en los Negocios 
Internacionales </v>
      </c>
      <c r="G47" s="201"/>
      <c r="H47" s="201"/>
      <c r="I47" s="201"/>
      <c r="J47" s="201"/>
      <c r="K47" s="201"/>
      <c r="L47" s="201"/>
    </row>
    <row r="48" spans="1:12" s="2" customFormat="1" ht="12.75">
      <c r="A48" s="9">
        <v>1</v>
      </c>
      <c r="B48" s="10" t="str">
        <f>LIDER!G51</f>
        <v>CAMPO PÉREZ NALIETH NICOHL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3.9999999999999996</v>
      </c>
      <c r="F48" s="202">
        <v>4</v>
      </c>
      <c r="G48" s="199">
        <v>4</v>
      </c>
      <c r="H48" s="197">
        <v>4</v>
      </c>
      <c r="I48" s="199">
        <v>4</v>
      </c>
      <c r="J48" s="197">
        <v>4</v>
      </c>
      <c r="K48" s="199"/>
      <c r="L48" s="197"/>
    </row>
    <row r="49" spans="1:12" s="2" customFormat="1" ht="15" customHeight="1">
      <c r="A49" s="12">
        <v>2</v>
      </c>
      <c r="B49" s="10" t="str">
        <f>LIDER!G52</f>
        <v>NOVOA GOMEZ IANA MARCELA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3.9999999999999996</v>
      </c>
      <c r="F49" s="202"/>
      <c r="G49" s="199"/>
      <c r="H49" s="197"/>
      <c r="I49" s="199"/>
      <c r="J49" s="197"/>
      <c r="K49" s="199"/>
      <c r="L49" s="197"/>
    </row>
    <row r="50" spans="1:12" s="2" customFormat="1" ht="15" customHeight="1">
      <c r="A50" s="12">
        <v>3</v>
      </c>
      <c r="B50" s="10" t="str">
        <f>LIDER!G53</f>
        <v>OSPINO MARTÍNEZ KAROLAY SOFIA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3.9999999999999996</v>
      </c>
      <c r="F50" s="202"/>
      <c r="G50" s="199"/>
      <c r="H50" s="197"/>
      <c r="I50" s="199"/>
      <c r="J50" s="197"/>
      <c r="K50" s="199"/>
      <c r="L50" s="197"/>
    </row>
    <row r="51" spans="1:12" s="2" customFormat="1" ht="15" customHeight="1">
      <c r="A51" s="12">
        <v>4</v>
      </c>
      <c r="B51" s="10" t="str">
        <f>LIDER!G54</f>
        <v>PEREZ VERGARA VALERIA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3.9999999999999996</v>
      </c>
      <c r="F51" s="202"/>
      <c r="G51" s="199"/>
      <c r="H51" s="197"/>
      <c r="I51" s="199"/>
      <c r="J51" s="197"/>
      <c r="K51" s="199"/>
      <c r="L51" s="197"/>
    </row>
    <row r="52" spans="1:12" s="2" customFormat="1" ht="15" customHeight="1">
      <c r="A52" s="12">
        <v>5</v>
      </c>
      <c r="B52" s="10" t="str">
        <f>LIDER!G55</f>
        <v>PETRO ROSARIO VALERIE SARED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3.9999999999999996</v>
      </c>
      <c r="F52" s="202"/>
      <c r="G52" s="199"/>
      <c r="H52" s="197"/>
      <c r="I52" s="199"/>
      <c r="J52" s="197"/>
      <c r="K52" s="199"/>
      <c r="L52" s="197"/>
    </row>
    <row r="53" spans="1:12" s="2" customFormat="1" ht="15.75" customHeight="1">
      <c r="A53" s="13">
        <v>6</v>
      </c>
      <c r="B53" s="91" t="str">
        <f>LIDER!G56</f>
        <v>RAMOS ORTEGA LAURA INÉS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3.9999999999999996</v>
      </c>
      <c r="F53" s="202"/>
      <c r="G53" s="199"/>
      <c r="H53" s="197"/>
      <c r="I53" s="199"/>
      <c r="J53" s="197"/>
      <c r="K53" s="199"/>
      <c r="L53" s="197"/>
    </row>
    <row r="54" spans="1:12" s="2" customFormat="1" ht="15.75" customHeight="1">
      <c r="A54" s="14"/>
      <c r="B54" s="25" t="s">
        <v>122</v>
      </c>
      <c r="C54" s="88" t="s">
        <v>123</v>
      </c>
      <c r="D54" s="32" t="str">
        <f>D47</f>
        <v>LIST</v>
      </c>
      <c r="E54" s="89" t="s">
        <v>109</v>
      </c>
      <c r="F54" s="201" t="str">
        <f>LIDER!$E$36</f>
        <v>GRUPO#8: Aspectos legales, tributarios, administrativos, macroeconómicos, aduaneros y tecnológicos que definen el perfil de Terpel S.A. en los negocios internacionales</v>
      </c>
      <c r="G54" s="201"/>
      <c r="H54" s="201"/>
      <c r="I54" s="201"/>
      <c r="J54" s="201"/>
      <c r="K54" s="201"/>
      <c r="L54" s="201"/>
    </row>
    <row r="55" spans="1:12" s="2" customFormat="1" ht="12.75">
      <c r="A55" s="9">
        <v>1</v>
      </c>
      <c r="B55" s="10" t="str">
        <f>LIDER!H51</f>
        <v>BARRIOS RAMIREZ JUAN JOSE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3.9999999999999996</v>
      </c>
      <c r="F55" s="202">
        <v>4</v>
      </c>
      <c r="G55" s="199">
        <v>4</v>
      </c>
      <c r="H55" s="197">
        <v>4</v>
      </c>
      <c r="I55" s="199">
        <v>4</v>
      </c>
      <c r="J55" s="197">
        <v>4</v>
      </c>
      <c r="K55" s="199"/>
      <c r="L55" s="197"/>
    </row>
    <row r="56" spans="1:12" s="2" customFormat="1" ht="15" customHeight="1">
      <c r="A56" s="12">
        <v>2</v>
      </c>
      <c r="B56" s="10" t="str">
        <f>LIDER!H52</f>
        <v>HERRERA PRADA JAIDER DAVID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3.9999999999999996</v>
      </c>
      <c r="F56" s="202"/>
      <c r="G56" s="199"/>
      <c r="H56" s="197"/>
      <c r="I56" s="199"/>
      <c r="J56" s="197"/>
      <c r="K56" s="199"/>
      <c r="L56" s="197"/>
    </row>
    <row r="57" spans="1:12" s="2" customFormat="1" ht="15" customHeight="1">
      <c r="A57" s="12">
        <v>3</v>
      </c>
      <c r="B57" s="10" t="str">
        <f>LIDER!H53</f>
        <v>GARCIA SUAREZ ANDREA CAROLINA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3.9999999999999996</v>
      </c>
      <c r="F57" s="202"/>
      <c r="G57" s="199"/>
      <c r="H57" s="197"/>
      <c r="I57" s="199"/>
      <c r="J57" s="197"/>
      <c r="K57" s="199"/>
      <c r="L57" s="197"/>
    </row>
    <row r="58" spans="1:12" s="2" customFormat="1" ht="15" customHeight="1">
      <c r="A58" s="12">
        <v>4</v>
      </c>
      <c r="B58" s="10" t="str">
        <f>LIDER!H54</f>
        <v>PEREZ GELIS LUISA FERNANDA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3.9999999999999996</v>
      </c>
      <c r="F58" s="202"/>
      <c r="G58" s="199"/>
      <c r="H58" s="197"/>
      <c r="I58" s="199"/>
      <c r="J58" s="197"/>
      <c r="K58" s="199"/>
      <c r="L58" s="197"/>
    </row>
    <row r="59" spans="1:12" s="2" customFormat="1" ht="15" customHeight="1">
      <c r="A59" s="12">
        <v>5</v>
      </c>
      <c r="B59" s="10" t="str">
        <f>LIDER!H55</f>
        <v>LOPEZ PAYARES OSMAN JUNIOR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3.9999999999999996</v>
      </c>
      <c r="F59" s="202"/>
      <c r="G59" s="199"/>
      <c r="H59" s="197"/>
      <c r="I59" s="199"/>
      <c r="J59" s="197"/>
      <c r="K59" s="199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199"/>
      <c r="H60" s="197"/>
      <c r="I60" s="199"/>
      <c r="J60" s="197"/>
      <c r="K60" s="199"/>
      <c r="L60" s="197"/>
    </row>
    <row r="61" spans="1:12" s="2" customFormat="1" ht="15.75" customHeight="1">
      <c r="A61" s="14"/>
      <c r="B61" s="25" t="s">
        <v>124</v>
      </c>
      <c r="C61" s="88" t="s">
        <v>125</v>
      </c>
      <c r="D61" s="32" t="str">
        <f>D54</f>
        <v>LIST</v>
      </c>
      <c r="E61" s="89" t="s">
        <v>109</v>
      </c>
      <c r="F61" s="201" t="str">
        <f>LIDER!$E$37</f>
        <v>GRUPO#9: Aspectos, legales, tributarios, administrativos, macroeconómicos, aduaneros e internacionales que definen el
perfil de Samsung  en los negocios internacionales.</v>
      </c>
      <c r="G61" s="201"/>
      <c r="H61" s="201"/>
      <c r="I61" s="201"/>
      <c r="J61" s="201"/>
      <c r="K61" s="201"/>
      <c r="L61" s="201"/>
    </row>
    <row r="62" spans="1:12" s="2" customFormat="1" ht="12.75">
      <c r="A62" s="9">
        <v>1</v>
      </c>
      <c r="B62" s="10" t="str">
        <f>LIDER!E59</f>
        <v>CORDOBA RODRIGUEZ ADRIANO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3</v>
      </c>
      <c r="F62" s="202">
        <v>3</v>
      </c>
      <c r="G62" s="199">
        <v>3</v>
      </c>
      <c r="H62" s="197">
        <v>3</v>
      </c>
      <c r="I62" s="199">
        <v>3</v>
      </c>
      <c r="J62" s="197">
        <v>3</v>
      </c>
      <c r="K62" s="199"/>
      <c r="L62" s="197"/>
    </row>
    <row r="63" spans="1:12" s="2" customFormat="1" ht="15" customHeight="1">
      <c r="A63" s="12">
        <v>2</v>
      </c>
      <c r="B63" s="10" t="str">
        <f>LIDER!E60</f>
        <v>ZUÑIGA IGLESIAS EMMANUEL DAVID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3</v>
      </c>
      <c r="F63" s="202"/>
      <c r="G63" s="199"/>
      <c r="H63" s="197"/>
      <c r="I63" s="199"/>
      <c r="J63" s="197"/>
      <c r="K63" s="199"/>
      <c r="L63" s="197"/>
    </row>
    <row r="64" spans="1:12" s="2" customFormat="1" ht="15" customHeight="1">
      <c r="A64" s="12">
        <v>3</v>
      </c>
      <c r="B64" s="10" t="str">
        <f>LIDER!E61</f>
        <v>ORTÍZ ZUÑIGA WILYS JUNIOR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3</v>
      </c>
      <c r="F64" s="202"/>
      <c r="G64" s="199"/>
      <c r="H64" s="197"/>
      <c r="I64" s="199"/>
      <c r="J64" s="197"/>
      <c r="K64" s="199"/>
      <c r="L64" s="197"/>
    </row>
    <row r="65" spans="1:12" s="2" customFormat="1" ht="15" customHeight="1">
      <c r="A65" s="12">
        <v>4</v>
      </c>
      <c r="B65" s="10" t="str">
        <f>LIDER!E62</f>
        <v>DE ORO MOLINA RONNY AMEL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3</v>
      </c>
      <c r="F65" s="202"/>
      <c r="G65" s="199"/>
      <c r="H65" s="197"/>
      <c r="I65" s="199"/>
      <c r="J65" s="197"/>
      <c r="K65" s="199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199"/>
      <c r="H66" s="197"/>
      <c r="I66" s="199"/>
      <c r="J66" s="197"/>
      <c r="K66" s="199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199"/>
      <c r="H67" s="197"/>
      <c r="I67" s="199"/>
      <c r="J67" s="197"/>
      <c r="K67" s="199"/>
      <c r="L67" s="197"/>
    </row>
    <row r="68" spans="1:12" s="2" customFormat="1" ht="15.75" customHeight="1">
      <c r="A68" s="14"/>
      <c r="B68" s="25" t="s">
        <v>86</v>
      </c>
      <c r="C68" s="88" t="s">
        <v>126</v>
      </c>
      <c r="D68" s="32" t="str">
        <f>D61</f>
        <v>LIST</v>
      </c>
      <c r="E68" s="89" t="s">
        <v>109</v>
      </c>
      <c r="F68" s="201" t="str">
        <f>LIDER!$E$38</f>
        <v>GRUPO#10</v>
      </c>
      <c r="G68" s="201"/>
      <c r="H68" s="201"/>
      <c r="I68" s="201"/>
      <c r="J68" s="201"/>
      <c r="K68" s="201"/>
      <c r="L68" s="20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199"/>
      <c r="H69" s="197"/>
      <c r="I69" s="199"/>
      <c r="J69" s="197"/>
      <c r="K69" s="199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199"/>
      <c r="H70" s="197"/>
      <c r="I70" s="199"/>
      <c r="J70" s="197"/>
      <c r="K70" s="199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199"/>
      <c r="H71" s="197"/>
      <c r="I71" s="199"/>
      <c r="J71" s="197"/>
      <c r="K71" s="199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199"/>
      <c r="H72" s="197"/>
      <c r="I72" s="199"/>
      <c r="J72" s="197"/>
      <c r="K72" s="199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199"/>
      <c r="H73" s="197"/>
      <c r="I73" s="199"/>
      <c r="J73" s="197"/>
      <c r="K73" s="199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199"/>
      <c r="H74" s="197"/>
      <c r="I74" s="199"/>
      <c r="J74" s="197"/>
      <c r="K74" s="199"/>
      <c r="L74" s="197"/>
    </row>
    <row r="75" spans="1:12" s="2" customFormat="1" ht="15.75" customHeight="1">
      <c r="A75" s="14"/>
      <c r="B75" s="25" t="s">
        <v>88</v>
      </c>
      <c r="C75" s="88" t="s">
        <v>127</v>
      </c>
      <c r="D75" s="32" t="str">
        <f>D68</f>
        <v>LIST</v>
      </c>
      <c r="E75" s="89" t="s">
        <v>109</v>
      </c>
      <c r="F75" s="201" t="str">
        <f>LIDER!$E$39</f>
        <v>GRUPO#11</v>
      </c>
      <c r="G75" s="201"/>
      <c r="H75" s="201"/>
      <c r="I75" s="201"/>
      <c r="J75" s="201"/>
      <c r="K75" s="201"/>
      <c r="L75" s="20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199"/>
      <c r="H76" s="197"/>
      <c r="I76" s="199"/>
      <c r="J76" s="197"/>
      <c r="K76" s="199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199"/>
      <c r="H77" s="197"/>
      <c r="I77" s="199"/>
      <c r="J77" s="197"/>
      <c r="K77" s="199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199"/>
      <c r="H78" s="197"/>
      <c r="I78" s="199"/>
      <c r="J78" s="197"/>
      <c r="K78" s="199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199"/>
      <c r="H79" s="197"/>
      <c r="I79" s="199"/>
      <c r="J79" s="197"/>
      <c r="K79" s="199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199"/>
      <c r="H80" s="197"/>
      <c r="I80" s="199"/>
      <c r="J80" s="197"/>
      <c r="K80" s="199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199"/>
      <c r="H81" s="197"/>
      <c r="I81" s="199"/>
      <c r="J81" s="197"/>
      <c r="K81" s="199"/>
      <c r="L81" s="197"/>
    </row>
    <row r="82" spans="1:12" s="2" customFormat="1" ht="15.75" customHeight="1">
      <c r="A82" s="14"/>
      <c r="B82" s="25" t="s">
        <v>90</v>
      </c>
      <c r="C82" s="88" t="s">
        <v>128</v>
      </c>
      <c r="D82" s="32" t="str">
        <f>D75</f>
        <v>LIST</v>
      </c>
      <c r="E82" s="89" t="s">
        <v>109</v>
      </c>
      <c r="F82" s="201" t="str">
        <f>LIDER!$E$40</f>
        <v>GRUPO#12</v>
      </c>
      <c r="G82" s="201"/>
      <c r="H82" s="201"/>
      <c r="I82" s="201"/>
      <c r="J82" s="201"/>
      <c r="K82" s="201"/>
      <c r="L82" s="20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199"/>
      <c r="H83" s="197"/>
      <c r="I83" s="199"/>
      <c r="J83" s="197"/>
      <c r="K83" s="199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199"/>
      <c r="H84" s="197"/>
      <c r="I84" s="199"/>
      <c r="J84" s="197"/>
      <c r="K84" s="199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199"/>
      <c r="H85" s="197"/>
      <c r="I85" s="199"/>
      <c r="J85" s="197"/>
      <c r="K85" s="199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199"/>
      <c r="H86" s="197"/>
      <c r="I86" s="199"/>
      <c r="J86" s="197"/>
      <c r="K86" s="199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199"/>
      <c r="H87" s="197"/>
      <c r="I87" s="199"/>
      <c r="J87" s="197"/>
      <c r="K87" s="199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3"/>
      <c r="G88" s="200"/>
      <c r="H88" s="198"/>
      <c r="I88" s="200"/>
      <c r="J88" s="198"/>
      <c r="K88" s="200"/>
      <c r="L88" s="198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5"/>
      <c r="H1" s="20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LIDER!F4</f>
        <v>TECNOLOGIA APLICADA</v>
      </c>
      <c r="C2" s="82"/>
      <c r="D2" s="3"/>
      <c r="F2" s="211" t="s">
        <v>104</v>
      </c>
      <c r="G2" s="212"/>
      <c r="H2" s="212"/>
      <c r="I2" s="212"/>
      <c r="J2" s="212"/>
      <c r="K2" s="212"/>
      <c r="L2" s="213"/>
    </row>
    <row r="3" spans="1:12" s="2" customFormat="1" ht="145.5" customHeight="1">
      <c r="B3" s="83" t="s">
        <v>105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4" t="str">
        <f>CONCATENATE(LIDER!F4," - ",LIDER!F6," - ",LIDER!F5)</f>
        <v>TECNOLOGIA APLICADA - 2386 - ARMANDO ACOSTA JULIO</v>
      </c>
      <c r="G4" s="214"/>
      <c r="H4" s="214"/>
      <c r="I4" s="214"/>
      <c r="J4" s="214"/>
      <c r="K4" s="214"/>
      <c r="L4" s="214"/>
    </row>
    <row r="5" spans="1:12" s="2" customFormat="1" ht="15.75" customHeight="1" thickBot="1">
      <c r="A5" s="8"/>
      <c r="B5" s="25" t="s">
        <v>106</v>
      </c>
      <c r="C5" s="88" t="s">
        <v>107</v>
      </c>
      <c r="D5" s="32" t="s">
        <v>108</v>
      </c>
      <c r="E5" s="89" t="s">
        <v>109</v>
      </c>
      <c r="F5" s="201" t="str">
        <f>LIDER!$E$29</f>
        <v xml:space="preserve">GRUPO#1: Aspectos Legales, Tributarios, Administrativos, Macroeconómicos, Aduaneros, Tecnológicos
e Internacionales que Definen el perfil de la empresa Apple Colombia S.A.S. </v>
      </c>
      <c r="G5" s="201"/>
      <c r="H5" s="201"/>
      <c r="I5" s="201"/>
      <c r="J5" s="201"/>
      <c r="K5" s="201"/>
      <c r="L5" s="201"/>
    </row>
    <row r="6" spans="1:12" s="2" customFormat="1" ht="12.75">
      <c r="A6" s="9">
        <v>1</v>
      </c>
      <c r="B6" s="10" t="str">
        <f>LIDER!E43</f>
        <v>BERRIO LOPEZ VALENTINA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4.0999999999999996</v>
      </c>
      <c r="F6" s="202">
        <v>4</v>
      </c>
      <c r="G6" s="199">
        <v>4</v>
      </c>
      <c r="H6" s="197">
        <v>4</v>
      </c>
      <c r="I6" s="199">
        <v>4</v>
      </c>
      <c r="J6" s="197">
        <v>5</v>
      </c>
      <c r="K6" s="199"/>
      <c r="L6" s="197"/>
    </row>
    <row r="7" spans="1:12" s="2" customFormat="1" ht="15" customHeight="1">
      <c r="A7" s="12">
        <v>2</v>
      </c>
      <c r="B7" s="10" t="str">
        <f>LIDER!E44</f>
        <v>BOHÓRQUEZ CANTERO SANTIAGO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4.0999999999999996</v>
      </c>
      <c r="F7" s="202"/>
      <c r="G7" s="199"/>
      <c r="H7" s="197"/>
      <c r="I7" s="199"/>
      <c r="J7" s="197"/>
      <c r="K7" s="199"/>
      <c r="L7" s="197"/>
    </row>
    <row r="8" spans="1:12" s="2" customFormat="1" ht="15" customHeight="1">
      <c r="A8" s="12">
        <v>3</v>
      </c>
      <c r="B8" s="10" t="str">
        <f>LIDER!E45</f>
        <v>CAMPOS ABREU NICOLE ANTHONELLA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202"/>
      <c r="G8" s="199"/>
      <c r="H8" s="197"/>
      <c r="I8" s="199"/>
      <c r="J8" s="197"/>
      <c r="K8" s="199"/>
      <c r="L8" s="197"/>
    </row>
    <row r="9" spans="1:12" s="2" customFormat="1" ht="15" customHeight="1">
      <c r="A9" s="12">
        <v>4</v>
      </c>
      <c r="B9" s="10" t="str">
        <f>LIDER!E46</f>
        <v>RUIZ CHICO LAURA SOFIA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4.0999999999999996</v>
      </c>
      <c r="F9" s="202"/>
      <c r="G9" s="199"/>
      <c r="H9" s="197"/>
      <c r="I9" s="199"/>
      <c r="J9" s="197"/>
      <c r="K9" s="199"/>
      <c r="L9" s="19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2"/>
      <c r="G10" s="199"/>
      <c r="H10" s="197"/>
      <c r="I10" s="199"/>
      <c r="J10" s="197"/>
      <c r="K10" s="199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2"/>
      <c r="G11" s="199"/>
      <c r="H11" s="197"/>
      <c r="I11" s="199"/>
      <c r="J11" s="197"/>
      <c r="K11" s="199"/>
      <c r="L11" s="197"/>
    </row>
    <row r="12" spans="1:12" s="2" customFormat="1" ht="15.75" customHeight="1" thickBot="1">
      <c r="A12" s="8"/>
      <c r="B12" s="25" t="s">
        <v>110</v>
      </c>
      <c r="C12" s="88" t="s">
        <v>111</v>
      </c>
      <c r="D12" s="32" t="str">
        <f>D5</f>
        <v>LIST</v>
      </c>
      <c r="E12" s="89" t="s">
        <v>109</v>
      </c>
      <c r="F12" s="201" t="str">
        <f>LIDER!$E$30</f>
        <v xml:space="preserve">GRUPO#2: Caracterización de los aspectos legales, tributarios, administrativos, macroeconómicos, 
tecnológicos e internacionales que definen el perfil empresarial de Ecopetrol S.A. en los 
negocios internacionales </v>
      </c>
      <c r="G12" s="201"/>
      <c r="H12" s="201"/>
      <c r="I12" s="201"/>
      <c r="J12" s="201"/>
      <c r="K12" s="201"/>
      <c r="L12" s="201"/>
    </row>
    <row r="13" spans="1:12" s="2" customFormat="1" ht="12.75">
      <c r="A13" s="9">
        <v>1</v>
      </c>
      <c r="B13" s="10" t="str">
        <f>LIDER!F43</f>
        <v>BUENDIA CAÑATE DONICEL DE JESUS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3.85</v>
      </c>
      <c r="F13" s="202">
        <v>4</v>
      </c>
      <c r="G13" s="199">
        <v>4</v>
      </c>
      <c r="H13" s="197">
        <v>3.5</v>
      </c>
      <c r="I13" s="199">
        <v>4</v>
      </c>
      <c r="J13" s="197">
        <v>4</v>
      </c>
      <c r="K13" s="199"/>
      <c r="L13" s="197"/>
    </row>
    <row r="14" spans="1:12" s="2" customFormat="1" ht="15" customHeight="1">
      <c r="A14" s="12">
        <v>2</v>
      </c>
      <c r="B14" s="10" t="str">
        <f>LIDER!F44</f>
        <v>MARRUGO CORREA MATEO DE JESUS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3.85</v>
      </c>
      <c r="F14" s="202"/>
      <c r="G14" s="199"/>
      <c r="H14" s="197"/>
      <c r="I14" s="199"/>
      <c r="J14" s="197"/>
      <c r="K14" s="199"/>
      <c r="L14" s="197"/>
    </row>
    <row r="15" spans="1:12" s="2" customFormat="1" ht="15" customHeight="1">
      <c r="A15" s="12">
        <v>3</v>
      </c>
      <c r="B15" s="10" t="str">
        <f>LIDER!F45</f>
        <v>ZEA NAVARRO JUAN ESTEBAN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3.85</v>
      </c>
      <c r="F15" s="202"/>
      <c r="G15" s="199"/>
      <c r="H15" s="197"/>
      <c r="I15" s="199"/>
      <c r="J15" s="197"/>
      <c r="K15" s="199"/>
      <c r="L15" s="197"/>
    </row>
    <row r="16" spans="1:12" s="2" customFormat="1" ht="15" customHeight="1">
      <c r="A16" s="12">
        <v>4</v>
      </c>
      <c r="B16" s="10" t="str">
        <f>LIDER!F46</f>
        <v>PALMERA MARTINEZ FRANCISCO JAVIER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3.85</v>
      </c>
      <c r="F16" s="202"/>
      <c r="G16" s="199"/>
      <c r="H16" s="197"/>
      <c r="I16" s="199"/>
      <c r="J16" s="197"/>
      <c r="K16" s="199"/>
      <c r="L16" s="197"/>
    </row>
    <row r="17" spans="1:12" s="2" customFormat="1" ht="15" customHeight="1">
      <c r="A17" s="12">
        <v>5</v>
      </c>
      <c r="B17" s="10" t="str">
        <f>LIDER!F47</f>
        <v>CONTRERAS MARTÍNEZ MARLON MANUEL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3.85</v>
      </c>
      <c r="F17" s="202"/>
      <c r="G17" s="199"/>
      <c r="H17" s="197"/>
      <c r="I17" s="199"/>
      <c r="J17" s="197"/>
      <c r="K17" s="199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199"/>
      <c r="H18" s="197"/>
      <c r="I18" s="199"/>
      <c r="J18" s="197"/>
      <c r="K18" s="199"/>
      <c r="L18" s="197"/>
    </row>
    <row r="19" spans="1:12" s="2" customFormat="1" ht="15.75" customHeight="1">
      <c r="A19" s="14"/>
      <c r="B19" s="25" t="s">
        <v>112</v>
      </c>
      <c r="C19" s="88" t="s">
        <v>113</v>
      </c>
      <c r="D19" s="32" t="str">
        <f>D12</f>
        <v>LIST</v>
      </c>
      <c r="E19" s="89" t="s">
        <v>109</v>
      </c>
      <c r="F19" s="201" t="str">
        <f>LIDER!$E$31</f>
        <v xml:space="preserve">GRUPO#3: Análisis integral de los aspectos legales, tributarios, administrativos, 
macroeconómicos, tecnológicos e internacionales que configuran el perfil empresarial de 
Nestlé Colombia S.A. en los negocios internacionales. </v>
      </c>
      <c r="G19" s="201"/>
      <c r="H19" s="201"/>
      <c r="I19" s="201"/>
      <c r="J19" s="201"/>
      <c r="K19" s="201"/>
      <c r="L19" s="201"/>
    </row>
    <row r="20" spans="1:12" s="2" customFormat="1" ht="12.75">
      <c r="A20" s="9">
        <v>1</v>
      </c>
      <c r="B20" s="10" t="str">
        <f>LIDER!G43</f>
        <v>FONTALVO RODRIGUEZ ISABELLA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4.13</v>
      </c>
      <c r="F20" s="202">
        <v>4.2</v>
      </c>
      <c r="G20" s="199">
        <v>4</v>
      </c>
      <c r="H20" s="197">
        <v>4.3</v>
      </c>
      <c r="I20" s="199">
        <v>4</v>
      </c>
      <c r="J20" s="197">
        <v>4</v>
      </c>
      <c r="K20" s="199"/>
      <c r="L20" s="197"/>
    </row>
    <row r="21" spans="1:12" s="2" customFormat="1" ht="15" customHeight="1">
      <c r="A21" s="12">
        <v>2</v>
      </c>
      <c r="B21" s="10" t="str">
        <f>LIDER!G44</f>
        <v>LARA MAURY MARÍA ANGÉLICA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4.13</v>
      </c>
      <c r="F21" s="202"/>
      <c r="G21" s="199"/>
      <c r="H21" s="197"/>
      <c r="I21" s="199"/>
      <c r="J21" s="197"/>
      <c r="K21" s="199"/>
      <c r="L21" s="197"/>
    </row>
    <row r="22" spans="1:12" s="2" customFormat="1" ht="15" customHeight="1">
      <c r="A22" s="12">
        <v>3</v>
      </c>
      <c r="B22" s="10" t="str">
        <f>LIDER!G45</f>
        <v>PEREZ ALVAREZ DILAN ANDRES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4.13</v>
      </c>
      <c r="F22" s="202"/>
      <c r="G22" s="199"/>
      <c r="H22" s="197"/>
      <c r="I22" s="199"/>
      <c r="J22" s="197"/>
      <c r="K22" s="199"/>
      <c r="L22" s="19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2"/>
      <c r="G23" s="199"/>
      <c r="H23" s="197"/>
      <c r="I23" s="199"/>
      <c r="J23" s="197"/>
      <c r="K23" s="199"/>
      <c r="L23" s="19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2"/>
      <c r="G24" s="199"/>
      <c r="H24" s="197"/>
      <c r="I24" s="199"/>
      <c r="J24" s="197"/>
      <c r="K24" s="199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199"/>
      <c r="H25" s="197"/>
      <c r="I25" s="199"/>
      <c r="J25" s="197"/>
      <c r="K25" s="199"/>
      <c r="L25" s="197"/>
    </row>
    <row r="26" spans="1:12" s="2" customFormat="1" ht="15.75" customHeight="1">
      <c r="A26" s="14"/>
      <c r="B26" s="25" t="s">
        <v>114</v>
      </c>
      <c r="C26" s="88" t="s">
        <v>115</v>
      </c>
      <c r="D26" s="32" t="str">
        <f>D19</f>
        <v>LIST</v>
      </c>
      <c r="E26" s="89" t="s">
        <v>109</v>
      </c>
      <c r="F26" s="201" t="str">
        <f>LIDER!$E$32</f>
        <v>GRUPO#4: Análisis de los aspectos legales, tributarios, administrativos, macroeconómicos,
tecnológicos e internacionales de la empresa Arturo Calle S.A.S. en los negocios
internacionales</v>
      </c>
      <c r="G26" s="201"/>
      <c r="H26" s="201"/>
      <c r="I26" s="201"/>
      <c r="J26" s="201"/>
      <c r="K26" s="201"/>
      <c r="L26" s="201"/>
    </row>
    <row r="27" spans="1:12" s="2" customFormat="1" ht="12.75">
      <c r="A27" s="9">
        <v>1</v>
      </c>
      <c r="B27" s="10" t="str">
        <f>LIDER!H43</f>
        <v>BURGOS CAUSIL SHADIA TATIANA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4.16</v>
      </c>
      <c r="F27" s="202">
        <v>4.5</v>
      </c>
      <c r="G27" s="199">
        <v>4.3</v>
      </c>
      <c r="H27" s="197">
        <v>4</v>
      </c>
      <c r="I27" s="199">
        <v>4</v>
      </c>
      <c r="J27" s="197">
        <v>4</v>
      </c>
      <c r="K27" s="199"/>
      <c r="L27" s="197"/>
    </row>
    <row r="28" spans="1:12" s="2" customFormat="1" ht="15" customHeight="1">
      <c r="A28" s="12">
        <v>2</v>
      </c>
      <c r="B28" s="10" t="str">
        <f>LIDER!H44</f>
        <v>CASTRO SAYAS KEVIN ENRIQUE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4.16</v>
      </c>
      <c r="F28" s="202"/>
      <c r="G28" s="199"/>
      <c r="H28" s="197"/>
      <c r="I28" s="199"/>
      <c r="J28" s="197"/>
      <c r="K28" s="199"/>
      <c r="L28" s="197"/>
    </row>
    <row r="29" spans="1:12" s="2" customFormat="1" ht="15" customHeight="1">
      <c r="A29" s="12">
        <v>3</v>
      </c>
      <c r="B29" s="10" t="str">
        <f>LIDER!H45</f>
        <v>CERVERA BLANCO ALAN DAVID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4.16</v>
      </c>
      <c r="F29" s="202"/>
      <c r="G29" s="199"/>
      <c r="H29" s="197"/>
      <c r="I29" s="199"/>
      <c r="J29" s="197"/>
      <c r="K29" s="199"/>
      <c r="L29" s="197"/>
    </row>
    <row r="30" spans="1:12" s="2" customFormat="1" ht="15" customHeight="1">
      <c r="A30" s="12">
        <v>4</v>
      </c>
      <c r="B30" s="10" t="str">
        <f>LIDER!H46</f>
        <v>GONZALEZ PATERNINA YULIETH ISABEL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4.16</v>
      </c>
      <c r="F30" s="202"/>
      <c r="G30" s="199"/>
      <c r="H30" s="197"/>
      <c r="I30" s="199"/>
      <c r="J30" s="197"/>
      <c r="K30" s="199"/>
      <c r="L30" s="197"/>
    </row>
    <row r="31" spans="1:12" s="2" customFormat="1" ht="15" customHeight="1">
      <c r="A31" s="12">
        <v>5</v>
      </c>
      <c r="B31" s="10" t="str">
        <f>LIDER!H47</f>
        <v>GONZALEZ SOTO NICOLE ANDREA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4.16</v>
      </c>
      <c r="F31" s="202"/>
      <c r="G31" s="199"/>
      <c r="H31" s="197"/>
      <c r="I31" s="199"/>
      <c r="J31" s="197"/>
      <c r="K31" s="199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199"/>
      <c r="H32" s="197"/>
      <c r="I32" s="199"/>
      <c r="J32" s="197"/>
      <c r="K32" s="199"/>
      <c r="L32" s="197"/>
    </row>
    <row r="33" spans="1:12" s="2" customFormat="1" ht="15.75" customHeight="1">
      <c r="A33" s="14"/>
      <c r="B33" s="25" t="s">
        <v>116</v>
      </c>
      <c r="C33" s="88" t="s">
        <v>117</v>
      </c>
      <c r="D33" s="32" t="str">
        <f>D26</f>
        <v>LIST</v>
      </c>
      <c r="E33" s="89" t="s">
        <v>109</v>
      </c>
      <c r="F33" s="201" t="str">
        <f>LIDER!$E$33</f>
        <v xml:space="preserve">GRUPO#5: Aspectos legales, tributarios, administrativos, macroeconómicos, aduaneros, tecnológicos e 
internacionales que definen el perfil de Cementos Argos en los negocios internacionales </v>
      </c>
      <c r="G33" s="201"/>
      <c r="H33" s="201"/>
      <c r="I33" s="201"/>
      <c r="J33" s="201"/>
      <c r="K33" s="201"/>
      <c r="L33" s="201"/>
    </row>
    <row r="34" spans="1:12" s="2" customFormat="1" ht="12.75">
      <c r="A34" s="9">
        <v>1</v>
      </c>
      <c r="B34" s="10" t="str">
        <f>LIDER!E51</f>
        <v>CANTILLO ZABALETA JULIANA ISABEL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4.1500000000000004</v>
      </c>
      <c r="F34" s="202">
        <v>4</v>
      </c>
      <c r="G34" s="199">
        <v>4.3</v>
      </c>
      <c r="H34" s="197">
        <v>4.3</v>
      </c>
      <c r="I34" s="199">
        <v>4</v>
      </c>
      <c r="J34" s="197">
        <v>4</v>
      </c>
      <c r="K34" s="199"/>
      <c r="L34" s="197"/>
    </row>
    <row r="35" spans="1:12" s="2" customFormat="1" ht="15" customHeight="1">
      <c r="A35" s="12">
        <v>2</v>
      </c>
      <c r="B35" s="10" t="str">
        <f>LIDER!E52</f>
        <v>DAVILA GONZALEZ ALANA ARAI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4.1500000000000004</v>
      </c>
      <c r="F35" s="202"/>
      <c r="G35" s="199"/>
      <c r="H35" s="197"/>
      <c r="I35" s="199"/>
      <c r="J35" s="197"/>
      <c r="K35" s="199"/>
      <c r="L35" s="197"/>
    </row>
    <row r="36" spans="1:12" s="2" customFormat="1" ht="15" customHeight="1">
      <c r="A36" s="12">
        <v>3</v>
      </c>
      <c r="B36" s="10" t="str">
        <f>LIDER!E53</f>
        <v>OBANDO MARSIGLIA JESED ALEJANDRO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4.1500000000000004</v>
      </c>
      <c r="F36" s="202"/>
      <c r="G36" s="199"/>
      <c r="H36" s="197"/>
      <c r="I36" s="199"/>
      <c r="J36" s="197"/>
      <c r="K36" s="199"/>
      <c r="L36" s="197"/>
    </row>
    <row r="37" spans="1:12" s="2" customFormat="1" ht="15" customHeight="1">
      <c r="A37" s="12">
        <v>4</v>
      </c>
      <c r="B37" s="10" t="str">
        <f>LIDER!E54</f>
        <v>GARCÍA REYES VALERY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4.1500000000000004</v>
      </c>
      <c r="F37" s="202"/>
      <c r="G37" s="199"/>
      <c r="H37" s="197"/>
      <c r="I37" s="199"/>
      <c r="J37" s="197"/>
      <c r="K37" s="199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199"/>
      <c r="H38" s="197"/>
      <c r="I38" s="199"/>
      <c r="J38" s="197"/>
      <c r="K38" s="199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199"/>
      <c r="H39" s="197"/>
      <c r="I39" s="199"/>
      <c r="J39" s="197"/>
      <c r="K39" s="199"/>
      <c r="L39" s="197"/>
    </row>
    <row r="40" spans="1:12" s="2" customFormat="1" ht="15.75" customHeight="1">
      <c r="A40" s="14"/>
      <c r="B40" s="25" t="s">
        <v>118</v>
      </c>
      <c r="C40" s="88" t="s">
        <v>119</v>
      </c>
      <c r="D40" s="32" t="str">
        <f>D33</f>
        <v>LIST</v>
      </c>
      <c r="E40" s="89" t="s">
        <v>109</v>
      </c>
      <c r="F40" s="201" t="str">
        <f>LIDER!$E$34</f>
        <v>GRUPO#6: Análisis de los aspectos legales, tributarios, administrativos, macroeconómicos, aduaneros, tecnológicos e
internacionales que definen el perfil de Alpina S.A.S en los negocios internacionales</v>
      </c>
      <c r="G40" s="201"/>
      <c r="H40" s="201"/>
      <c r="I40" s="201"/>
      <c r="J40" s="201"/>
      <c r="K40" s="201"/>
      <c r="L40" s="201"/>
    </row>
    <row r="41" spans="1:12" s="2" customFormat="1" ht="12.75">
      <c r="A41" s="9">
        <v>1</v>
      </c>
      <c r="B41" s="10" t="str">
        <f>LIDER!F51</f>
        <v>ALVARADO MAS Y RUBI LOHANA  VICTORIA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3.9999999999999996</v>
      </c>
      <c r="F41" s="202">
        <v>4</v>
      </c>
      <c r="G41" s="199">
        <v>4</v>
      </c>
      <c r="H41" s="197">
        <v>4</v>
      </c>
      <c r="I41" s="199">
        <v>4</v>
      </c>
      <c r="J41" s="197">
        <v>4</v>
      </c>
      <c r="K41" s="199"/>
      <c r="L41" s="197"/>
    </row>
    <row r="42" spans="1:12" s="2" customFormat="1" ht="15" customHeight="1">
      <c r="A42" s="12">
        <v>2</v>
      </c>
      <c r="B42" s="10" t="str">
        <f>LIDER!F52</f>
        <v>MANOTAS ACEVEDO LAURA DANIELA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3.9999999999999996</v>
      </c>
      <c r="F42" s="202"/>
      <c r="G42" s="199"/>
      <c r="H42" s="197"/>
      <c r="I42" s="199"/>
      <c r="J42" s="197"/>
      <c r="K42" s="199"/>
      <c r="L42" s="197"/>
    </row>
    <row r="43" spans="1:12" s="2" customFormat="1" ht="15" customHeight="1">
      <c r="A43" s="12">
        <v>3</v>
      </c>
      <c r="B43" s="10" t="str">
        <f>LIDER!F53</f>
        <v>RIVERA MENDOZA EDITH MARIA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3.9999999999999996</v>
      </c>
      <c r="F43" s="202"/>
      <c r="G43" s="199"/>
      <c r="H43" s="197"/>
      <c r="I43" s="199"/>
      <c r="J43" s="197"/>
      <c r="K43" s="199"/>
      <c r="L43" s="197"/>
    </row>
    <row r="44" spans="1:12" s="2" customFormat="1" ht="15" customHeight="1">
      <c r="A44" s="12">
        <v>4</v>
      </c>
      <c r="B44" s="10" t="str">
        <f>LIDER!F54</f>
        <v>THERAN MENDOZA JESUS DAVID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3.9999999999999996</v>
      </c>
      <c r="F44" s="202"/>
      <c r="G44" s="199"/>
      <c r="H44" s="197"/>
      <c r="I44" s="199"/>
      <c r="J44" s="197"/>
      <c r="K44" s="199"/>
      <c r="L44" s="197"/>
    </row>
    <row r="45" spans="1:12" s="2" customFormat="1" ht="15" customHeight="1">
      <c r="A45" s="12">
        <v>5</v>
      </c>
      <c r="B45" s="10" t="str">
        <f>LIDER!F55</f>
        <v>RODRIGUEZ PEREZ JEAN CARLOS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3.9999999999999996</v>
      </c>
      <c r="F45" s="202"/>
      <c r="G45" s="199"/>
      <c r="H45" s="197"/>
      <c r="I45" s="199"/>
      <c r="J45" s="197"/>
      <c r="K45" s="199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2"/>
      <c r="G46" s="199"/>
      <c r="H46" s="197"/>
      <c r="I46" s="199"/>
      <c r="J46" s="197"/>
      <c r="K46" s="199"/>
      <c r="L46" s="197"/>
    </row>
    <row r="47" spans="1:12" s="2" customFormat="1" ht="15.75" customHeight="1">
      <c r="A47" s="14"/>
      <c r="B47" s="25" t="s">
        <v>120</v>
      </c>
      <c r="C47" s="88" t="s">
        <v>121</v>
      </c>
      <c r="D47" s="32" t="str">
        <f>D40</f>
        <v>LIST</v>
      </c>
      <c r="E47" s="89" t="s">
        <v>109</v>
      </c>
      <c r="F47" s="201" t="str">
        <f>LIDER!$E$35</f>
        <v xml:space="preserve">GRUPO#7: Aspectos Legales, Tributarios, Administrativos, Macroeconómicos, Aduaneros, 
Tecnológicos, e Internacional que Definen el Perfil de Agofer S.A.S en los Negocios 
Internacionales </v>
      </c>
      <c r="G47" s="201"/>
      <c r="H47" s="201"/>
      <c r="I47" s="201"/>
      <c r="J47" s="201"/>
      <c r="K47" s="201"/>
      <c r="L47" s="201"/>
    </row>
    <row r="48" spans="1:12" s="2" customFormat="1" ht="12.75">
      <c r="A48" s="9">
        <v>1</v>
      </c>
      <c r="B48" s="10" t="str">
        <f>LIDER!G51</f>
        <v>CAMPO PÉREZ NALIETH NICOHL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4.3</v>
      </c>
      <c r="F48" s="202">
        <v>4.3</v>
      </c>
      <c r="G48" s="199">
        <v>4.3</v>
      </c>
      <c r="H48" s="197">
        <v>4.3</v>
      </c>
      <c r="I48" s="199">
        <v>4.3</v>
      </c>
      <c r="J48" s="197">
        <v>4.3</v>
      </c>
      <c r="K48" s="199"/>
      <c r="L48" s="197"/>
    </row>
    <row r="49" spans="1:12" s="2" customFormat="1" ht="15" customHeight="1">
      <c r="A49" s="12">
        <v>2</v>
      </c>
      <c r="B49" s="10" t="str">
        <f>LIDER!G52</f>
        <v>NOVOA GOMEZ IANA MARCELA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4.3</v>
      </c>
      <c r="F49" s="202"/>
      <c r="G49" s="199"/>
      <c r="H49" s="197"/>
      <c r="I49" s="199"/>
      <c r="J49" s="197"/>
      <c r="K49" s="199"/>
      <c r="L49" s="197"/>
    </row>
    <row r="50" spans="1:12" s="2" customFormat="1" ht="15" customHeight="1">
      <c r="A50" s="12">
        <v>3</v>
      </c>
      <c r="B50" s="10" t="str">
        <f>LIDER!G53</f>
        <v>OSPINO MARTÍNEZ KAROLAY SOFIA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4.3</v>
      </c>
      <c r="F50" s="202"/>
      <c r="G50" s="199"/>
      <c r="H50" s="197"/>
      <c r="I50" s="199"/>
      <c r="J50" s="197"/>
      <c r="K50" s="199"/>
      <c r="L50" s="197"/>
    </row>
    <row r="51" spans="1:12" s="2" customFormat="1" ht="15" customHeight="1">
      <c r="A51" s="12">
        <v>4</v>
      </c>
      <c r="B51" s="10" t="str">
        <f>LIDER!G54</f>
        <v>PEREZ VERGARA VALERIA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4.3</v>
      </c>
      <c r="F51" s="202"/>
      <c r="G51" s="199"/>
      <c r="H51" s="197"/>
      <c r="I51" s="199"/>
      <c r="J51" s="197"/>
      <c r="K51" s="199"/>
      <c r="L51" s="197"/>
    </row>
    <row r="52" spans="1:12" s="2" customFormat="1" ht="15" customHeight="1">
      <c r="A52" s="12">
        <v>5</v>
      </c>
      <c r="B52" s="10" t="str">
        <f>LIDER!G55</f>
        <v>PETRO ROSARIO VALERIE SARED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4.3</v>
      </c>
      <c r="F52" s="202"/>
      <c r="G52" s="199"/>
      <c r="H52" s="197"/>
      <c r="I52" s="199"/>
      <c r="J52" s="197"/>
      <c r="K52" s="199"/>
      <c r="L52" s="197"/>
    </row>
    <row r="53" spans="1:12" s="2" customFormat="1" ht="15.75" customHeight="1">
      <c r="A53" s="13">
        <v>6</v>
      </c>
      <c r="B53" s="91" t="str">
        <f>LIDER!G56</f>
        <v>RAMOS ORTEGA LAURA INÉS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4.3</v>
      </c>
      <c r="F53" s="202"/>
      <c r="G53" s="199"/>
      <c r="H53" s="197"/>
      <c r="I53" s="199"/>
      <c r="J53" s="197"/>
      <c r="K53" s="199"/>
      <c r="L53" s="197"/>
    </row>
    <row r="54" spans="1:12" s="2" customFormat="1" ht="15.75" customHeight="1">
      <c r="A54" s="14"/>
      <c r="B54" s="25" t="s">
        <v>122</v>
      </c>
      <c r="C54" s="88" t="s">
        <v>123</v>
      </c>
      <c r="D54" s="32" t="str">
        <f>D47</f>
        <v>LIST</v>
      </c>
      <c r="E54" s="89" t="s">
        <v>109</v>
      </c>
      <c r="F54" s="201" t="str">
        <f>LIDER!$E$36</f>
        <v>GRUPO#8: Aspectos legales, tributarios, administrativos, macroeconómicos, aduaneros y tecnológicos que definen el perfil de Terpel S.A. en los negocios internacionales</v>
      </c>
      <c r="G54" s="201"/>
      <c r="H54" s="201"/>
      <c r="I54" s="201"/>
      <c r="J54" s="201"/>
      <c r="K54" s="201"/>
      <c r="L54" s="201"/>
    </row>
    <row r="55" spans="1:12" s="2" customFormat="1" ht="12.75">
      <c r="A55" s="9">
        <v>1</v>
      </c>
      <c r="B55" s="10" t="str">
        <f>LIDER!H51</f>
        <v>BARRIOS RAMIREZ JUAN JOSE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4.12</v>
      </c>
      <c r="F55" s="202">
        <v>4.3</v>
      </c>
      <c r="G55" s="199">
        <v>4.3</v>
      </c>
      <c r="H55" s="197">
        <v>4</v>
      </c>
      <c r="I55" s="199">
        <v>4</v>
      </c>
      <c r="J55" s="197">
        <v>4</v>
      </c>
      <c r="K55" s="199"/>
      <c r="L55" s="197"/>
    </row>
    <row r="56" spans="1:12" s="2" customFormat="1" ht="15" customHeight="1">
      <c r="A56" s="12">
        <v>2</v>
      </c>
      <c r="B56" s="10" t="str">
        <f>LIDER!H52</f>
        <v>HERRERA PRADA JAIDER DAVID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4.12</v>
      </c>
      <c r="F56" s="202"/>
      <c r="G56" s="199"/>
      <c r="H56" s="197"/>
      <c r="I56" s="199"/>
      <c r="J56" s="197"/>
      <c r="K56" s="199"/>
      <c r="L56" s="197"/>
    </row>
    <row r="57" spans="1:12" s="2" customFormat="1" ht="15" customHeight="1">
      <c r="A57" s="12">
        <v>3</v>
      </c>
      <c r="B57" s="10" t="str">
        <f>LIDER!H53</f>
        <v>GARCIA SUAREZ ANDREA CAROLINA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4.12</v>
      </c>
      <c r="F57" s="202"/>
      <c r="G57" s="199"/>
      <c r="H57" s="197"/>
      <c r="I57" s="199"/>
      <c r="J57" s="197"/>
      <c r="K57" s="199"/>
      <c r="L57" s="197"/>
    </row>
    <row r="58" spans="1:12" s="2" customFormat="1" ht="15" customHeight="1">
      <c r="A58" s="12">
        <v>4</v>
      </c>
      <c r="B58" s="10" t="str">
        <f>LIDER!H54</f>
        <v>PEREZ GELIS LUISA FERNANDA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4.12</v>
      </c>
      <c r="F58" s="202"/>
      <c r="G58" s="199"/>
      <c r="H58" s="197"/>
      <c r="I58" s="199"/>
      <c r="J58" s="197"/>
      <c r="K58" s="199"/>
      <c r="L58" s="197"/>
    </row>
    <row r="59" spans="1:12" s="2" customFormat="1" ht="15" customHeight="1">
      <c r="A59" s="12">
        <v>5</v>
      </c>
      <c r="B59" s="10" t="str">
        <f>LIDER!H55</f>
        <v>LOPEZ PAYARES OSMAN JUNIOR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4.12</v>
      </c>
      <c r="F59" s="202"/>
      <c r="G59" s="199"/>
      <c r="H59" s="197"/>
      <c r="I59" s="199"/>
      <c r="J59" s="197"/>
      <c r="K59" s="199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199"/>
      <c r="H60" s="197"/>
      <c r="I60" s="199"/>
      <c r="J60" s="197"/>
      <c r="K60" s="199"/>
      <c r="L60" s="197"/>
    </row>
    <row r="61" spans="1:12" s="2" customFormat="1" ht="15.75" customHeight="1">
      <c r="A61" s="14"/>
      <c r="B61" s="25" t="s">
        <v>124</v>
      </c>
      <c r="C61" s="88" t="s">
        <v>125</v>
      </c>
      <c r="D61" s="32" t="str">
        <f>D54</f>
        <v>LIST</v>
      </c>
      <c r="E61" s="89" t="s">
        <v>109</v>
      </c>
      <c r="F61" s="201" t="str">
        <f>LIDER!$E$37</f>
        <v>GRUPO#9: Aspectos, legales, tributarios, administrativos, macroeconómicos, aduaneros e internacionales que definen el
perfil de Samsung  en los negocios internacionales.</v>
      </c>
      <c r="G61" s="201"/>
      <c r="H61" s="201"/>
      <c r="I61" s="201"/>
      <c r="J61" s="201"/>
      <c r="K61" s="201"/>
      <c r="L61" s="201"/>
    </row>
    <row r="62" spans="1:12" s="2" customFormat="1" ht="12.75">
      <c r="A62" s="9">
        <v>1</v>
      </c>
      <c r="B62" s="10" t="str">
        <f>LIDER!E59</f>
        <v>CORDOBA RODRIGUEZ ADRIANO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3.5000000000000004</v>
      </c>
      <c r="F62" s="202">
        <v>3.5</v>
      </c>
      <c r="G62" s="199">
        <v>3.5</v>
      </c>
      <c r="H62" s="197">
        <v>3.5</v>
      </c>
      <c r="I62" s="199">
        <v>3.5</v>
      </c>
      <c r="J62" s="197">
        <v>3.5</v>
      </c>
      <c r="K62" s="199"/>
      <c r="L62" s="197"/>
    </row>
    <row r="63" spans="1:12" s="2" customFormat="1" ht="15" customHeight="1">
      <c r="A63" s="12">
        <v>2</v>
      </c>
      <c r="B63" s="10" t="str">
        <f>LIDER!E60</f>
        <v>ZUÑIGA IGLESIAS EMMANUEL DAVID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3.5000000000000004</v>
      </c>
      <c r="F63" s="202"/>
      <c r="G63" s="199"/>
      <c r="H63" s="197"/>
      <c r="I63" s="199"/>
      <c r="J63" s="197"/>
      <c r="K63" s="199"/>
      <c r="L63" s="197"/>
    </row>
    <row r="64" spans="1:12" s="2" customFormat="1" ht="15" customHeight="1">
      <c r="A64" s="12">
        <v>3</v>
      </c>
      <c r="B64" s="10" t="str">
        <f>LIDER!E61</f>
        <v>ORTÍZ ZUÑIGA WILYS JUNIOR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3.5000000000000004</v>
      </c>
      <c r="F64" s="202"/>
      <c r="G64" s="199"/>
      <c r="H64" s="197"/>
      <c r="I64" s="199"/>
      <c r="J64" s="197"/>
      <c r="K64" s="199"/>
      <c r="L64" s="197"/>
    </row>
    <row r="65" spans="1:12" s="2" customFormat="1" ht="15" customHeight="1">
      <c r="A65" s="12">
        <v>4</v>
      </c>
      <c r="B65" s="10" t="str">
        <f>LIDER!E62</f>
        <v>DE ORO MOLINA RONNY AMEL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3.5000000000000004</v>
      </c>
      <c r="F65" s="202"/>
      <c r="G65" s="199"/>
      <c r="H65" s="197"/>
      <c r="I65" s="199"/>
      <c r="J65" s="197"/>
      <c r="K65" s="199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199"/>
      <c r="H66" s="197"/>
      <c r="I66" s="199"/>
      <c r="J66" s="197"/>
      <c r="K66" s="199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199"/>
      <c r="H67" s="197"/>
      <c r="I67" s="199"/>
      <c r="J67" s="197"/>
      <c r="K67" s="199"/>
      <c r="L67" s="197"/>
    </row>
    <row r="68" spans="1:12" s="2" customFormat="1" ht="15.75" customHeight="1">
      <c r="A68" s="14"/>
      <c r="B68" s="25" t="s">
        <v>86</v>
      </c>
      <c r="C68" s="88" t="s">
        <v>126</v>
      </c>
      <c r="D68" s="32" t="str">
        <f>D61</f>
        <v>LIST</v>
      </c>
      <c r="E68" s="89" t="s">
        <v>109</v>
      </c>
      <c r="F68" s="201" t="str">
        <f>LIDER!$E$38</f>
        <v>GRUPO#10</v>
      </c>
      <c r="G68" s="201"/>
      <c r="H68" s="201"/>
      <c r="I68" s="201"/>
      <c r="J68" s="201"/>
      <c r="K68" s="201"/>
      <c r="L68" s="20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199"/>
      <c r="H69" s="197"/>
      <c r="I69" s="199"/>
      <c r="J69" s="197"/>
      <c r="K69" s="199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199"/>
      <c r="H70" s="197"/>
      <c r="I70" s="199"/>
      <c r="J70" s="197"/>
      <c r="K70" s="199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199"/>
      <c r="H71" s="197"/>
      <c r="I71" s="199"/>
      <c r="J71" s="197"/>
      <c r="K71" s="199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199"/>
      <c r="H72" s="197"/>
      <c r="I72" s="199"/>
      <c r="J72" s="197"/>
      <c r="K72" s="199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199"/>
      <c r="H73" s="197"/>
      <c r="I73" s="199"/>
      <c r="J73" s="197"/>
      <c r="K73" s="199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199"/>
      <c r="H74" s="197"/>
      <c r="I74" s="199"/>
      <c r="J74" s="197"/>
      <c r="K74" s="199"/>
      <c r="L74" s="197"/>
    </row>
    <row r="75" spans="1:12" s="2" customFormat="1" ht="15.75" customHeight="1">
      <c r="A75" s="14"/>
      <c r="B75" s="25" t="s">
        <v>88</v>
      </c>
      <c r="C75" s="88" t="s">
        <v>127</v>
      </c>
      <c r="D75" s="32" t="str">
        <f>D68</f>
        <v>LIST</v>
      </c>
      <c r="E75" s="89" t="s">
        <v>109</v>
      </c>
      <c r="F75" s="201" t="str">
        <f>LIDER!$E$39</f>
        <v>GRUPO#11</v>
      </c>
      <c r="G75" s="201"/>
      <c r="H75" s="201"/>
      <c r="I75" s="201"/>
      <c r="J75" s="201"/>
      <c r="K75" s="201"/>
      <c r="L75" s="20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199"/>
      <c r="H76" s="197"/>
      <c r="I76" s="199"/>
      <c r="J76" s="197"/>
      <c r="K76" s="199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199"/>
      <c r="H77" s="197"/>
      <c r="I77" s="199"/>
      <c r="J77" s="197"/>
      <c r="K77" s="199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199"/>
      <c r="H78" s="197"/>
      <c r="I78" s="199"/>
      <c r="J78" s="197"/>
      <c r="K78" s="199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199"/>
      <c r="H79" s="197"/>
      <c r="I79" s="199"/>
      <c r="J79" s="197"/>
      <c r="K79" s="199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199"/>
      <c r="H80" s="197"/>
      <c r="I80" s="199"/>
      <c r="J80" s="197"/>
      <c r="K80" s="199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199"/>
      <c r="H81" s="197"/>
      <c r="I81" s="199"/>
      <c r="J81" s="197"/>
      <c r="K81" s="199"/>
      <c r="L81" s="197"/>
    </row>
    <row r="82" spans="1:12" s="2" customFormat="1" ht="15.75" customHeight="1">
      <c r="A82" s="14"/>
      <c r="B82" s="25" t="s">
        <v>90</v>
      </c>
      <c r="C82" s="88" t="s">
        <v>128</v>
      </c>
      <c r="D82" s="32" t="str">
        <f>D75</f>
        <v>LIST</v>
      </c>
      <c r="E82" s="89" t="s">
        <v>109</v>
      </c>
      <c r="F82" s="201" t="str">
        <f>LIDER!$E$40</f>
        <v>GRUPO#12</v>
      </c>
      <c r="G82" s="201"/>
      <c r="H82" s="201"/>
      <c r="I82" s="201"/>
      <c r="J82" s="201"/>
      <c r="K82" s="201"/>
      <c r="L82" s="20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199"/>
      <c r="H83" s="197"/>
      <c r="I83" s="199"/>
      <c r="J83" s="197"/>
      <c r="K83" s="199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199"/>
      <c r="H84" s="197"/>
      <c r="I84" s="199"/>
      <c r="J84" s="197"/>
      <c r="K84" s="199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199"/>
      <c r="H85" s="197"/>
      <c r="I85" s="199"/>
      <c r="J85" s="197"/>
      <c r="K85" s="199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199"/>
      <c r="H86" s="197"/>
      <c r="I86" s="199"/>
      <c r="J86" s="197"/>
      <c r="K86" s="199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199"/>
      <c r="H87" s="197"/>
      <c r="I87" s="199"/>
      <c r="J87" s="197"/>
      <c r="K87" s="199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3"/>
      <c r="G88" s="200"/>
      <c r="H88" s="198"/>
      <c r="I88" s="200"/>
      <c r="J88" s="198"/>
      <c r="K88" s="200"/>
      <c r="L88" s="198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G70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5"/>
      <c r="H1" s="20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LIDER!G4</f>
        <v>MATEMÁTICAS FINANCIERAS</v>
      </c>
      <c r="C2" s="82"/>
      <c r="D2" s="3"/>
      <c r="F2" s="211" t="s">
        <v>104</v>
      </c>
      <c r="G2" s="212"/>
      <c r="H2" s="212"/>
      <c r="I2" s="212"/>
      <c r="J2" s="212"/>
      <c r="K2" s="212"/>
      <c r="L2" s="213"/>
    </row>
    <row r="3" spans="1:12" s="2" customFormat="1" ht="145.5" customHeight="1">
      <c r="B3" s="83" t="s">
        <v>105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4" t="str">
        <f>CONCATENATE(LIDER!G4," - ",LIDER!G6," - ",LIDER!G5)</f>
        <v>MATEMÁTICAS FINANCIERAS - 1410 - JORGE LUIS PUERTA SALAS</v>
      </c>
      <c r="G4" s="214"/>
      <c r="H4" s="214"/>
      <c r="I4" s="214"/>
      <c r="J4" s="214"/>
      <c r="K4" s="214"/>
      <c r="L4" s="214"/>
    </row>
    <row r="5" spans="1:12" s="2" customFormat="1" ht="15.75" customHeight="1" thickBot="1">
      <c r="A5" s="8"/>
      <c r="B5" s="25" t="s">
        <v>106</v>
      </c>
      <c r="C5" s="88" t="s">
        <v>107</v>
      </c>
      <c r="D5" s="32" t="s">
        <v>108</v>
      </c>
      <c r="E5" s="89" t="s">
        <v>109</v>
      </c>
      <c r="F5" s="201" t="str">
        <f>LIDER!$E$29</f>
        <v xml:space="preserve">GRUPO#1: Aspectos Legales, Tributarios, Administrativos, Macroeconómicos, Aduaneros, Tecnológicos
e Internacionales que Definen el perfil de la empresa Apple Colombia S.A.S. </v>
      </c>
      <c r="G5" s="201"/>
      <c r="H5" s="201"/>
      <c r="I5" s="201"/>
      <c r="J5" s="201"/>
      <c r="K5" s="201"/>
      <c r="L5" s="201"/>
    </row>
    <row r="6" spans="1:12" s="2" customFormat="1" ht="12.75">
      <c r="A6" s="9">
        <v>1</v>
      </c>
      <c r="B6" s="10" t="str">
        <f>LIDER!E43</f>
        <v>BERRIO LOPEZ VALENTINA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4.1499999999999995</v>
      </c>
      <c r="F6" s="202">
        <v>4</v>
      </c>
      <c r="G6" s="199">
        <v>4.3</v>
      </c>
      <c r="H6" s="197">
        <v>4.2</v>
      </c>
      <c r="I6" s="199">
        <v>4.0999999999999996</v>
      </c>
      <c r="J6" s="197">
        <v>4.0999999999999996</v>
      </c>
      <c r="K6" s="199"/>
      <c r="L6" s="197"/>
    </row>
    <row r="7" spans="1:12" s="2" customFormat="1" ht="15" customHeight="1">
      <c r="A7" s="12">
        <v>2</v>
      </c>
      <c r="B7" s="10" t="str">
        <f>LIDER!E44</f>
        <v>BOHÓRQUEZ CANTERO SANTIAGO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4.1499999999999995</v>
      </c>
      <c r="F7" s="202"/>
      <c r="G7" s="199"/>
      <c r="H7" s="197"/>
      <c r="I7" s="199"/>
      <c r="J7" s="197"/>
      <c r="K7" s="199"/>
      <c r="L7" s="197"/>
    </row>
    <row r="8" spans="1:12" s="2" customFormat="1" ht="15" customHeight="1">
      <c r="A8" s="12">
        <v>3</v>
      </c>
      <c r="B8" s="10" t="str">
        <f>LIDER!E45</f>
        <v>CAMPOS ABREU NICOLE ANTHONELLA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4.1499999999999995</v>
      </c>
      <c r="F8" s="202"/>
      <c r="G8" s="199"/>
      <c r="H8" s="197"/>
      <c r="I8" s="199"/>
      <c r="J8" s="197"/>
      <c r="K8" s="199"/>
      <c r="L8" s="197"/>
    </row>
    <row r="9" spans="1:12" s="2" customFormat="1" ht="15" customHeight="1">
      <c r="A9" s="12">
        <v>4</v>
      </c>
      <c r="B9" s="10" t="str">
        <f>LIDER!E46</f>
        <v>RUIZ CHICO LAURA SOFIA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4.1499999999999995</v>
      </c>
      <c r="F9" s="202"/>
      <c r="G9" s="199"/>
      <c r="H9" s="197"/>
      <c r="I9" s="199"/>
      <c r="J9" s="197"/>
      <c r="K9" s="199"/>
      <c r="L9" s="19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2"/>
      <c r="G10" s="199"/>
      <c r="H10" s="197"/>
      <c r="I10" s="199"/>
      <c r="J10" s="197"/>
      <c r="K10" s="199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2"/>
      <c r="G11" s="199"/>
      <c r="H11" s="197"/>
      <c r="I11" s="199"/>
      <c r="J11" s="197"/>
      <c r="K11" s="199"/>
      <c r="L11" s="197"/>
    </row>
    <row r="12" spans="1:12" s="2" customFormat="1" ht="15.75" customHeight="1" thickBot="1">
      <c r="A12" s="8"/>
      <c r="B12" s="25" t="s">
        <v>110</v>
      </c>
      <c r="C12" s="88" t="s">
        <v>111</v>
      </c>
      <c r="D12" s="32" t="str">
        <f>D5</f>
        <v>LIST</v>
      </c>
      <c r="E12" s="89" t="s">
        <v>109</v>
      </c>
      <c r="F12" s="201" t="str">
        <f>LIDER!$E$30</f>
        <v xml:space="preserve">GRUPO#2: Caracterización de los aspectos legales, tributarios, administrativos, macroeconómicos, 
tecnológicos e internacionales que definen el perfil empresarial de Ecopetrol S.A. en los 
negocios internacionales </v>
      </c>
      <c r="G12" s="201"/>
      <c r="H12" s="201"/>
      <c r="I12" s="201"/>
      <c r="J12" s="201"/>
      <c r="K12" s="201"/>
      <c r="L12" s="201"/>
    </row>
    <row r="13" spans="1:12" s="2" customFormat="1" ht="12.75">
      <c r="A13" s="9">
        <v>1</v>
      </c>
      <c r="B13" s="10" t="str">
        <f>LIDER!F43</f>
        <v>BUENDIA CAÑATE DONICEL DE JESUS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3.8400000000000003</v>
      </c>
      <c r="F13" s="202">
        <v>3.6</v>
      </c>
      <c r="G13" s="199">
        <v>3.6</v>
      </c>
      <c r="H13" s="197">
        <v>4</v>
      </c>
      <c r="I13" s="199">
        <v>4</v>
      </c>
      <c r="J13" s="197">
        <v>4</v>
      </c>
      <c r="K13" s="199">
        <v>4</v>
      </c>
      <c r="L13" s="197"/>
    </row>
    <row r="14" spans="1:12" s="2" customFormat="1" ht="15" customHeight="1">
      <c r="A14" s="12">
        <v>2</v>
      </c>
      <c r="B14" s="10" t="str">
        <f>LIDER!F44</f>
        <v>MARRUGO CORREA MATEO DE JESUS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3.8400000000000003</v>
      </c>
      <c r="F14" s="202"/>
      <c r="G14" s="199"/>
      <c r="H14" s="197"/>
      <c r="I14" s="199"/>
      <c r="J14" s="197"/>
      <c r="K14" s="199"/>
      <c r="L14" s="197"/>
    </row>
    <row r="15" spans="1:12" s="2" customFormat="1" ht="15" customHeight="1">
      <c r="A15" s="12">
        <v>3</v>
      </c>
      <c r="B15" s="10" t="str">
        <f>LIDER!F45</f>
        <v>ZEA NAVARRO JUAN ESTEBAN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3.8400000000000003</v>
      </c>
      <c r="F15" s="202"/>
      <c r="G15" s="199"/>
      <c r="H15" s="197"/>
      <c r="I15" s="199"/>
      <c r="J15" s="197"/>
      <c r="K15" s="199"/>
      <c r="L15" s="197"/>
    </row>
    <row r="16" spans="1:12" s="2" customFormat="1" ht="15" customHeight="1">
      <c r="A16" s="12">
        <v>4</v>
      </c>
      <c r="B16" s="10" t="str">
        <f>LIDER!F46</f>
        <v>PALMERA MARTINEZ FRANCISCO JAVIER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3.8400000000000003</v>
      </c>
      <c r="F16" s="202"/>
      <c r="G16" s="199"/>
      <c r="H16" s="197"/>
      <c r="I16" s="199"/>
      <c r="J16" s="197"/>
      <c r="K16" s="199"/>
      <c r="L16" s="197"/>
    </row>
    <row r="17" spans="1:12" s="2" customFormat="1" ht="15" customHeight="1">
      <c r="A17" s="12">
        <v>5</v>
      </c>
      <c r="B17" s="10" t="str">
        <f>LIDER!F47</f>
        <v>CONTRERAS MARTÍNEZ MARLON MANUEL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3.8400000000000003</v>
      </c>
      <c r="F17" s="202"/>
      <c r="G17" s="199"/>
      <c r="H17" s="197"/>
      <c r="I17" s="199"/>
      <c r="J17" s="197"/>
      <c r="K17" s="199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199"/>
      <c r="H18" s="197"/>
      <c r="I18" s="199"/>
      <c r="J18" s="197"/>
      <c r="K18" s="199"/>
      <c r="L18" s="197"/>
    </row>
    <row r="19" spans="1:12" s="2" customFormat="1" ht="15.75" customHeight="1">
      <c r="A19" s="14"/>
      <c r="B19" s="25" t="s">
        <v>112</v>
      </c>
      <c r="C19" s="88" t="s">
        <v>113</v>
      </c>
      <c r="D19" s="32" t="str">
        <f>D12</f>
        <v>LIST</v>
      </c>
      <c r="E19" s="89" t="s">
        <v>109</v>
      </c>
      <c r="F19" s="201" t="str">
        <f>LIDER!$E$31</f>
        <v xml:space="preserve">GRUPO#3: Análisis integral de los aspectos legales, tributarios, administrativos, 
macroeconómicos, tecnológicos e internacionales que configuran el perfil empresarial de 
Nestlé Colombia S.A. en los negocios internacionales. </v>
      </c>
      <c r="G19" s="201"/>
      <c r="H19" s="201"/>
      <c r="I19" s="201"/>
      <c r="J19" s="201"/>
      <c r="K19" s="201"/>
      <c r="L19" s="201"/>
    </row>
    <row r="20" spans="1:12" s="2" customFormat="1" ht="12.75">
      <c r="A20" s="9">
        <v>1</v>
      </c>
      <c r="B20" s="10" t="str">
        <f>LIDER!G43</f>
        <v>FONTALVO RODRIGUEZ ISABELLA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3.9499999999999997</v>
      </c>
      <c r="F20" s="202">
        <v>3.9</v>
      </c>
      <c r="G20" s="199">
        <v>4</v>
      </c>
      <c r="H20" s="197">
        <v>3.9</v>
      </c>
      <c r="I20" s="199">
        <v>4</v>
      </c>
      <c r="J20" s="197">
        <v>4</v>
      </c>
      <c r="K20" s="199"/>
      <c r="L20" s="197"/>
    </row>
    <row r="21" spans="1:12" s="2" customFormat="1" ht="15" customHeight="1">
      <c r="A21" s="12">
        <v>2</v>
      </c>
      <c r="B21" s="10" t="str">
        <f>LIDER!G44</f>
        <v>LARA MAURY MARÍA ANGÉLICA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3.9499999999999997</v>
      </c>
      <c r="F21" s="202"/>
      <c r="G21" s="199"/>
      <c r="H21" s="197"/>
      <c r="I21" s="199"/>
      <c r="J21" s="197"/>
      <c r="K21" s="199"/>
      <c r="L21" s="197"/>
    </row>
    <row r="22" spans="1:12" s="2" customFormat="1" ht="15" customHeight="1">
      <c r="A22" s="12">
        <v>3</v>
      </c>
      <c r="B22" s="10" t="str">
        <f>LIDER!G45</f>
        <v>PEREZ ALVAREZ DILAN ANDRES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3.9499999999999997</v>
      </c>
      <c r="F22" s="202"/>
      <c r="G22" s="199"/>
      <c r="H22" s="197"/>
      <c r="I22" s="199"/>
      <c r="J22" s="197"/>
      <c r="K22" s="199"/>
      <c r="L22" s="19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2"/>
      <c r="G23" s="199"/>
      <c r="H23" s="197"/>
      <c r="I23" s="199"/>
      <c r="J23" s="197"/>
      <c r="K23" s="199"/>
      <c r="L23" s="19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2"/>
      <c r="G24" s="199"/>
      <c r="H24" s="197"/>
      <c r="I24" s="199"/>
      <c r="J24" s="197"/>
      <c r="K24" s="199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199"/>
      <c r="H25" s="197"/>
      <c r="I25" s="199"/>
      <c r="J25" s="197"/>
      <c r="K25" s="199"/>
      <c r="L25" s="197"/>
    </row>
    <row r="26" spans="1:12" s="2" customFormat="1" ht="15.75" customHeight="1">
      <c r="A26" s="14"/>
      <c r="B26" s="25" t="s">
        <v>114</v>
      </c>
      <c r="C26" s="88" t="s">
        <v>115</v>
      </c>
      <c r="D26" s="32" t="str">
        <f>D19</f>
        <v>LIST</v>
      </c>
      <c r="E26" s="89" t="s">
        <v>109</v>
      </c>
      <c r="F26" s="201" t="str">
        <f>LIDER!$E$32</f>
        <v>GRUPO#4: Análisis de los aspectos legales, tributarios, administrativos, macroeconómicos,
tecnológicos e internacionales de la empresa Arturo Calle S.A.S. en los negocios
internacionales</v>
      </c>
      <c r="G26" s="201"/>
      <c r="H26" s="201"/>
      <c r="I26" s="201"/>
      <c r="J26" s="201"/>
      <c r="K26" s="201"/>
      <c r="L26" s="201"/>
    </row>
    <row r="27" spans="1:12" s="2" customFormat="1" ht="12.75">
      <c r="A27" s="9">
        <v>1</v>
      </c>
      <c r="B27" s="10" t="str">
        <f>LIDER!H43</f>
        <v>BURGOS CAUSIL SHADIA TATIANA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4.17</v>
      </c>
      <c r="F27" s="202">
        <v>4.3</v>
      </c>
      <c r="G27" s="199">
        <v>4.2</v>
      </c>
      <c r="H27" s="197">
        <v>4.0999999999999996</v>
      </c>
      <c r="I27" s="199">
        <v>4.2</v>
      </c>
      <c r="J27" s="197">
        <v>4</v>
      </c>
      <c r="K27" s="199"/>
      <c r="L27" s="197"/>
    </row>
    <row r="28" spans="1:12" s="2" customFormat="1" ht="15" customHeight="1">
      <c r="A28" s="12">
        <v>2</v>
      </c>
      <c r="B28" s="10" t="str">
        <f>LIDER!H44</f>
        <v>CASTRO SAYAS KEVIN ENRIQUE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4.17</v>
      </c>
      <c r="F28" s="202"/>
      <c r="G28" s="199"/>
      <c r="H28" s="197"/>
      <c r="I28" s="199"/>
      <c r="J28" s="197"/>
      <c r="K28" s="199"/>
      <c r="L28" s="197"/>
    </row>
    <row r="29" spans="1:12" s="2" customFormat="1" ht="15" customHeight="1">
      <c r="A29" s="12">
        <v>3</v>
      </c>
      <c r="B29" s="10" t="str">
        <f>LIDER!H45</f>
        <v>CERVERA BLANCO ALAN DAVID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4.17</v>
      </c>
      <c r="F29" s="202"/>
      <c r="G29" s="199"/>
      <c r="H29" s="197"/>
      <c r="I29" s="199"/>
      <c r="J29" s="197"/>
      <c r="K29" s="199"/>
      <c r="L29" s="197"/>
    </row>
    <row r="30" spans="1:12" s="2" customFormat="1" ht="15" customHeight="1">
      <c r="A30" s="12">
        <v>4</v>
      </c>
      <c r="B30" s="10" t="str">
        <f>LIDER!H46</f>
        <v>GONZALEZ PATERNINA YULIETH ISABEL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4.17</v>
      </c>
      <c r="F30" s="202"/>
      <c r="G30" s="199"/>
      <c r="H30" s="197"/>
      <c r="I30" s="199"/>
      <c r="J30" s="197"/>
      <c r="K30" s="199"/>
      <c r="L30" s="197"/>
    </row>
    <row r="31" spans="1:12" s="2" customFormat="1" ht="15" customHeight="1">
      <c r="A31" s="12">
        <v>5</v>
      </c>
      <c r="B31" s="10" t="str">
        <f>LIDER!H47</f>
        <v>GONZALEZ SOTO NICOLE ANDREA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4.17</v>
      </c>
      <c r="F31" s="202"/>
      <c r="G31" s="199"/>
      <c r="H31" s="197"/>
      <c r="I31" s="199"/>
      <c r="J31" s="197"/>
      <c r="K31" s="199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199"/>
      <c r="H32" s="197"/>
      <c r="I32" s="199"/>
      <c r="J32" s="197"/>
      <c r="K32" s="199"/>
      <c r="L32" s="197"/>
    </row>
    <row r="33" spans="1:12" s="2" customFormat="1" ht="15.75" customHeight="1">
      <c r="A33" s="14"/>
      <c r="B33" s="25" t="s">
        <v>116</v>
      </c>
      <c r="C33" s="88" t="s">
        <v>117</v>
      </c>
      <c r="D33" s="32" t="str">
        <f>D26</f>
        <v>LIST</v>
      </c>
      <c r="E33" s="89" t="s">
        <v>109</v>
      </c>
      <c r="F33" s="201" t="str">
        <f>LIDER!$E$33</f>
        <v xml:space="preserve">GRUPO#5: Aspectos legales, tributarios, administrativos, macroeconómicos, aduaneros, tecnológicos e 
internacionales que definen el perfil de Cementos Argos en los negocios internacionales </v>
      </c>
      <c r="G33" s="201"/>
      <c r="H33" s="201"/>
      <c r="I33" s="201"/>
      <c r="J33" s="201"/>
      <c r="K33" s="201"/>
      <c r="L33" s="201"/>
    </row>
    <row r="34" spans="1:12" s="2" customFormat="1" ht="12.75">
      <c r="A34" s="9">
        <v>1</v>
      </c>
      <c r="B34" s="10" t="str">
        <f>LIDER!E51</f>
        <v>CANTILLO ZABALETA JULIANA ISABEL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4.07</v>
      </c>
      <c r="F34" s="202">
        <v>3.8</v>
      </c>
      <c r="G34" s="199">
        <v>4.3</v>
      </c>
      <c r="H34" s="197">
        <v>4</v>
      </c>
      <c r="I34" s="199">
        <v>4.0999999999999996</v>
      </c>
      <c r="J34" s="197">
        <v>4.3</v>
      </c>
      <c r="K34" s="199">
        <v>4</v>
      </c>
      <c r="L34" s="197"/>
    </row>
    <row r="35" spans="1:12" s="2" customFormat="1" ht="15" customHeight="1">
      <c r="A35" s="12">
        <v>2</v>
      </c>
      <c r="B35" s="10" t="str">
        <f>LIDER!E52</f>
        <v>DAVILA GONZALEZ ALANA ARAI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4.07</v>
      </c>
      <c r="F35" s="202"/>
      <c r="G35" s="199"/>
      <c r="H35" s="197"/>
      <c r="I35" s="199"/>
      <c r="J35" s="197"/>
      <c r="K35" s="199"/>
      <c r="L35" s="197"/>
    </row>
    <row r="36" spans="1:12" s="2" customFormat="1" ht="15" customHeight="1">
      <c r="A36" s="12">
        <v>3</v>
      </c>
      <c r="B36" s="10" t="str">
        <f>LIDER!E53</f>
        <v>OBANDO MARSIGLIA JESED ALEJANDRO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4.07</v>
      </c>
      <c r="F36" s="202"/>
      <c r="G36" s="199"/>
      <c r="H36" s="197"/>
      <c r="I36" s="199"/>
      <c r="J36" s="197"/>
      <c r="K36" s="199"/>
      <c r="L36" s="197"/>
    </row>
    <row r="37" spans="1:12" s="2" customFormat="1" ht="15" customHeight="1">
      <c r="A37" s="12">
        <v>4</v>
      </c>
      <c r="B37" s="10" t="str">
        <f>LIDER!E54</f>
        <v>GARCÍA REYES VALERY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4.07</v>
      </c>
      <c r="F37" s="202"/>
      <c r="G37" s="199"/>
      <c r="H37" s="197"/>
      <c r="I37" s="199"/>
      <c r="J37" s="197"/>
      <c r="K37" s="199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199"/>
      <c r="H38" s="197"/>
      <c r="I38" s="199"/>
      <c r="J38" s="197"/>
      <c r="K38" s="199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199"/>
      <c r="H39" s="197"/>
      <c r="I39" s="199"/>
      <c r="J39" s="197"/>
      <c r="K39" s="199"/>
      <c r="L39" s="197"/>
    </row>
    <row r="40" spans="1:12" s="2" customFormat="1" ht="15.75" customHeight="1">
      <c r="A40" s="14"/>
      <c r="B40" s="25" t="s">
        <v>118</v>
      </c>
      <c r="C40" s="88" t="s">
        <v>119</v>
      </c>
      <c r="D40" s="32" t="str">
        <f>D33</f>
        <v>LIST</v>
      </c>
      <c r="E40" s="89" t="s">
        <v>109</v>
      </c>
      <c r="F40" s="201" t="str">
        <f>LIDER!$E$34</f>
        <v>GRUPO#6: Análisis de los aspectos legales, tributarios, administrativos, macroeconómicos, aduaneros, tecnológicos e
internacionales que definen el perfil de Alpina S.A.S en los negocios internacionales</v>
      </c>
      <c r="G40" s="201"/>
      <c r="H40" s="201"/>
      <c r="I40" s="201"/>
      <c r="J40" s="201"/>
      <c r="K40" s="201"/>
      <c r="L40" s="201"/>
    </row>
    <row r="41" spans="1:12" s="2" customFormat="1" ht="12.75">
      <c r="A41" s="9">
        <v>1</v>
      </c>
      <c r="B41" s="10" t="str">
        <f>LIDER!F51</f>
        <v>ALVARADO MAS Y RUBI LOHANA  VICTORIA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3.7199999999999998</v>
      </c>
      <c r="F41" s="202">
        <v>3.9</v>
      </c>
      <c r="G41" s="199">
        <v>3.6</v>
      </c>
      <c r="H41" s="197">
        <v>3.8</v>
      </c>
      <c r="I41" s="199">
        <v>3.7</v>
      </c>
      <c r="J41" s="197">
        <v>3.4</v>
      </c>
      <c r="K41" s="199"/>
      <c r="L41" s="197"/>
    </row>
    <row r="42" spans="1:12" s="2" customFormat="1" ht="15" customHeight="1">
      <c r="A42" s="12">
        <v>2</v>
      </c>
      <c r="B42" s="10" t="str">
        <f>LIDER!F52</f>
        <v>MANOTAS ACEVEDO LAURA DANIELA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3.7199999999999998</v>
      </c>
      <c r="F42" s="202"/>
      <c r="G42" s="199"/>
      <c r="H42" s="197"/>
      <c r="I42" s="199"/>
      <c r="J42" s="197"/>
      <c r="K42" s="199"/>
      <c r="L42" s="197"/>
    </row>
    <row r="43" spans="1:12" s="2" customFormat="1" ht="15" customHeight="1">
      <c r="A43" s="12">
        <v>3</v>
      </c>
      <c r="B43" s="10" t="str">
        <f>LIDER!F53</f>
        <v>RIVERA MENDOZA EDITH MARIA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3.7199999999999998</v>
      </c>
      <c r="F43" s="202"/>
      <c r="G43" s="199"/>
      <c r="H43" s="197"/>
      <c r="I43" s="199"/>
      <c r="J43" s="197"/>
      <c r="K43" s="199"/>
      <c r="L43" s="197"/>
    </row>
    <row r="44" spans="1:12" s="2" customFormat="1" ht="15" customHeight="1">
      <c r="A44" s="12">
        <v>4</v>
      </c>
      <c r="B44" s="10" t="str">
        <f>LIDER!F54</f>
        <v>THERAN MENDOZA JESUS DAVID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3.7199999999999998</v>
      </c>
      <c r="F44" s="202"/>
      <c r="G44" s="199"/>
      <c r="H44" s="197"/>
      <c r="I44" s="199"/>
      <c r="J44" s="197"/>
      <c r="K44" s="199"/>
      <c r="L44" s="197"/>
    </row>
    <row r="45" spans="1:12" s="2" customFormat="1" ht="15" customHeight="1">
      <c r="A45" s="12">
        <v>5</v>
      </c>
      <c r="B45" s="10" t="str">
        <f>LIDER!F55</f>
        <v>RODRIGUEZ PEREZ JEAN CARLOS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3.7199999999999998</v>
      </c>
      <c r="F45" s="202"/>
      <c r="G45" s="199"/>
      <c r="H45" s="197"/>
      <c r="I45" s="199"/>
      <c r="J45" s="197"/>
      <c r="K45" s="199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2"/>
      <c r="G46" s="199"/>
      <c r="H46" s="197"/>
      <c r="I46" s="199"/>
      <c r="J46" s="197"/>
      <c r="K46" s="199"/>
      <c r="L46" s="197"/>
    </row>
    <row r="47" spans="1:12" s="2" customFormat="1" ht="15.75" customHeight="1">
      <c r="A47" s="14"/>
      <c r="B47" s="25" t="s">
        <v>120</v>
      </c>
      <c r="C47" s="88" t="s">
        <v>121</v>
      </c>
      <c r="D47" s="32" t="str">
        <f>D40</f>
        <v>LIST</v>
      </c>
      <c r="E47" s="89" t="s">
        <v>109</v>
      </c>
      <c r="F47" s="201" t="str">
        <f>LIDER!$E$35</f>
        <v xml:space="preserve">GRUPO#7: Aspectos Legales, Tributarios, Administrativos, Macroeconómicos, Aduaneros, 
Tecnológicos, e Internacional que Definen el Perfil de Agofer S.A.S en los Negocios 
Internacionales </v>
      </c>
      <c r="G47" s="201"/>
      <c r="H47" s="201"/>
      <c r="I47" s="201"/>
      <c r="J47" s="201"/>
      <c r="K47" s="201"/>
      <c r="L47" s="201"/>
    </row>
    <row r="48" spans="1:12" s="2" customFormat="1" ht="12.75">
      <c r="A48" s="9">
        <v>1</v>
      </c>
      <c r="B48" s="10" t="str">
        <f>LIDER!G51</f>
        <v>CAMPO PÉREZ NALIETH NICOHL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3.9099999999999997</v>
      </c>
      <c r="F48" s="202">
        <v>3.7</v>
      </c>
      <c r="G48" s="199">
        <v>4</v>
      </c>
      <c r="H48" s="197">
        <v>3.9</v>
      </c>
      <c r="I48" s="199">
        <v>4</v>
      </c>
      <c r="J48" s="197">
        <v>4</v>
      </c>
      <c r="K48" s="199"/>
      <c r="L48" s="197"/>
    </row>
    <row r="49" spans="1:12" s="2" customFormat="1" ht="15" customHeight="1">
      <c r="A49" s="12">
        <v>2</v>
      </c>
      <c r="B49" s="10" t="str">
        <f>LIDER!G52</f>
        <v>NOVOA GOMEZ IANA MARCELA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3.9099999999999997</v>
      </c>
      <c r="F49" s="202"/>
      <c r="G49" s="199"/>
      <c r="H49" s="197"/>
      <c r="I49" s="199"/>
      <c r="J49" s="197"/>
      <c r="K49" s="199"/>
      <c r="L49" s="197"/>
    </row>
    <row r="50" spans="1:12" s="2" customFormat="1" ht="15" customHeight="1">
      <c r="A50" s="12">
        <v>3</v>
      </c>
      <c r="B50" s="10" t="str">
        <f>LIDER!G53</f>
        <v>OSPINO MARTÍNEZ KAROLAY SOFIA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3.9099999999999997</v>
      </c>
      <c r="F50" s="202"/>
      <c r="G50" s="199"/>
      <c r="H50" s="197"/>
      <c r="I50" s="199"/>
      <c r="J50" s="197"/>
      <c r="K50" s="199"/>
      <c r="L50" s="197"/>
    </row>
    <row r="51" spans="1:12" s="2" customFormat="1" ht="15" customHeight="1">
      <c r="A51" s="12">
        <v>4</v>
      </c>
      <c r="B51" s="10" t="str">
        <f>LIDER!G54</f>
        <v>PEREZ VERGARA VALERIA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3.9099999999999997</v>
      </c>
      <c r="F51" s="202"/>
      <c r="G51" s="199"/>
      <c r="H51" s="197"/>
      <c r="I51" s="199"/>
      <c r="J51" s="197"/>
      <c r="K51" s="199"/>
      <c r="L51" s="197"/>
    </row>
    <row r="52" spans="1:12" s="2" customFormat="1" ht="15" customHeight="1">
      <c r="A52" s="12">
        <v>5</v>
      </c>
      <c r="B52" s="10" t="str">
        <f>LIDER!G55</f>
        <v>PETRO ROSARIO VALERIE SARED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3.9099999999999997</v>
      </c>
      <c r="F52" s="202"/>
      <c r="G52" s="199"/>
      <c r="H52" s="197"/>
      <c r="I52" s="199"/>
      <c r="J52" s="197"/>
      <c r="K52" s="199"/>
      <c r="L52" s="197"/>
    </row>
    <row r="53" spans="1:12" s="2" customFormat="1" ht="15.75" customHeight="1">
      <c r="A53" s="13">
        <v>6</v>
      </c>
      <c r="B53" s="91" t="str">
        <f>LIDER!G56</f>
        <v>RAMOS ORTEGA LAURA INÉS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3.9099999999999997</v>
      </c>
      <c r="F53" s="202"/>
      <c r="G53" s="199"/>
      <c r="H53" s="197"/>
      <c r="I53" s="199"/>
      <c r="J53" s="197"/>
      <c r="K53" s="199"/>
      <c r="L53" s="197"/>
    </row>
    <row r="54" spans="1:12" s="2" customFormat="1" ht="15.75" customHeight="1">
      <c r="A54" s="14"/>
      <c r="B54" s="25" t="s">
        <v>122</v>
      </c>
      <c r="C54" s="88" t="s">
        <v>123</v>
      </c>
      <c r="D54" s="32" t="str">
        <f>D47</f>
        <v>LIST</v>
      </c>
      <c r="E54" s="89" t="s">
        <v>109</v>
      </c>
      <c r="F54" s="201" t="str">
        <f>LIDER!$E$36</f>
        <v>GRUPO#8: Aspectos legales, tributarios, administrativos, macroeconómicos, aduaneros y tecnológicos que definen el perfil de Terpel S.A. en los negocios internacionales</v>
      </c>
      <c r="G54" s="201"/>
      <c r="H54" s="201"/>
      <c r="I54" s="201"/>
      <c r="J54" s="201"/>
      <c r="K54" s="201"/>
      <c r="L54" s="201"/>
    </row>
    <row r="55" spans="1:12" s="2" customFormat="1" ht="12.75">
      <c r="A55" s="9">
        <v>1</v>
      </c>
      <c r="B55" s="10" t="str">
        <f>LIDER!H51</f>
        <v>BARRIOS RAMIREZ JUAN JOSE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4.07</v>
      </c>
      <c r="F55" s="202">
        <v>4.2</v>
      </c>
      <c r="G55" s="199">
        <v>4</v>
      </c>
      <c r="H55" s="197">
        <v>4.0999999999999996</v>
      </c>
      <c r="I55" s="199">
        <v>4</v>
      </c>
      <c r="J55" s="197">
        <v>4</v>
      </c>
      <c r="K55" s="199"/>
      <c r="L55" s="197"/>
    </row>
    <row r="56" spans="1:12" s="2" customFormat="1" ht="15" customHeight="1">
      <c r="A56" s="12">
        <v>2</v>
      </c>
      <c r="B56" s="10" t="str">
        <f>LIDER!H52</f>
        <v>HERRERA PRADA JAIDER DAVID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4.07</v>
      </c>
      <c r="F56" s="202"/>
      <c r="G56" s="199"/>
      <c r="H56" s="197"/>
      <c r="I56" s="199"/>
      <c r="J56" s="197"/>
      <c r="K56" s="199"/>
      <c r="L56" s="197"/>
    </row>
    <row r="57" spans="1:12" s="2" customFormat="1" ht="15" customHeight="1">
      <c r="A57" s="12">
        <v>3</v>
      </c>
      <c r="B57" s="10" t="str">
        <f>LIDER!H53</f>
        <v>GARCIA SUAREZ ANDREA CAROLINA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4.07</v>
      </c>
      <c r="F57" s="202"/>
      <c r="G57" s="199"/>
      <c r="H57" s="197"/>
      <c r="I57" s="199"/>
      <c r="J57" s="197"/>
      <c r="K57" s="199"/>
      <c r="L57" s="197"/>
    </row>
    <row r="58" spans="1:12" s="2" customFormat="1" ht="15" customHeight="1">
      <c r="A58" s="12">
        <v>4</v>
      </c>
      <c r="B58" s="10" t="str">
        <f>LIDER!H54</f>
        <v>PEREZ GELIS LUISA FERNANDA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4.07</v>
      </c>
      <c r="F58" s="202"/>
      <c r="G58" s="199"/>
      <c r="H58" s="197"/>
      <c r="I58" s="199"/>
      <c r="J58" s="197"/>
      <c r="K58" s="199"/>
      <c r="L58" s="197"/>
    </row>
    <row r="59" spans="1:12" s="2" customFormat="1" ht="15" customHeight="1">
      <c r="A59" s="12">
        <v>5</v>
      </c>
      <c r="B59" s="10" t="str">
        <f>LIDER!H55</f>
        <v>LOPEZ PAYARES OSMAN JUNIOR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4.07</v>
      </c>
      <c r="F59" s="202"/>
      <c r="G59" s="199"/>
      <c r="H59" s="197"/>
      <c r="I59" s="199"/>
      <c r="J59" s="197"/>
      <c r="K59" s="199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199"/>
      <c r="H60" s="197"/>
      <c r="I60" s="199"/>
      <c r="J60" s="197"/>
      <c r="K60" s="199"/>
      <c r="L60" s="197"/>
    </row>
    <row r="61" spans="1:12" s="2" customFormat="1" ht="15.75" customHeight="1">
      <c r="A61" s="14"/>
      <c r="B61" s="25" t="s">
        <v>124</v>
      </c>
      <c r="C61" s="88" t="s">
        <v>125</v>
      </c>
      <c r="D61" s="32" t="str">
        <f>D54</f>
        <v>LIST</v>
      </c>
      <c r="E61" s="89" t="s">
        <v>109</v>
      </c>
      <c r="F61" s="201" t="str">
        <f>LIDER!$E$37</f>
        <v>GRUPO#9: Aspectos, legales, tributarios, administrativos, macroeconómicos, aduaneros e internacionales que definen el
perfil de Samsung  en los negocios internacionales.</v>
      </c>
      <c r="G61" s="201"/>
      <c r="H61" s="201"/>
      <c r="I61" s="201"/>
      <c r="J61" s="201"/>
      <c r="K61" s="201"/>
      <c r="L61" s="201"/>
    </row>
    <row r="62" spans="1:12" s="2" customFormat="1" ht="12.75">
      <c r="A62" s="9">
        <v>1</v>
      </c>
      <c r="B62" s="10" t="str">
        <f>LIDER!E59</f>
        <v>CORDOBA RODRIGUEZ ADRIANO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3.0600000000000005</v>
      </c>
      <c r="F62" s="202">
        <v>3.2</v>
      </c>
      <c r="G62" s="199">
        <v>3.1</v>
      </c>
      <c r="H62" s="197">
        <v>3</v>
      </c>
      <c r="I62" s="199">
        <v>3</v>
      </c>
      <c r="J62" s="197">
        <v>3</v>
      </c>
      <c r="K62" s="199"/>
      <c r="L62" s="197"/>
    </row>
    <row r="63" spans="1:12" s="2" customFormat="1" ht="15" customHeight="1">
      <c r="A63" s="12">
        <v>2</v>
      </c>
      <c r="B63" s="10" t="str">
        <f>LIDER!E60</f>
        <v>ZUÑIGA IGLESIAS EMMANUEL DAVID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3.0600000000000005</v>
      </c>
      <c r="F63" s="202"/>
      <c r="G63" s="199"/>
      <c r="H63" s="197"/>
      <c r="I63" s="199"/>
      <c r="J63" s="197"/>
      <c r="K63" s="199"/>
      <c r="L63" s="197"/>
    </row>
    <row r="64" spans="1:12" s="2" customFormat="1" ht="15" customHeight="1">
      <c r="A64" s="12">
        <v>3</v>
      </c>
      <c r="B64" s="10" t="str">
        <f>LIDER!E61</f>
        <v>ORTÍZ ZUÑIGA WILYS JUNIOR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3.0600000000000005</v>
      </c>
      <c r="F64" s="202"/>
      <c r="G64" s="199"/>
      <c r="H64" s="197"/>
      <c r="I64" s="199"/>
      <c r="J64" s="197"/>
      <c r="K64" s="199"/>
      <c r="L64" s="197"/>
    </row>
    <row r="65" spans="1:12" s="2" customFormat="1" ht="15" customHeight="1">
      <c r="A65" s="12">
        <v>4</v>
      </c>
      <c r="B65" s="10" t="str">
        <f>LIDER!E62</f>
        <v>DE ORO MOLINA RONNY AMEL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3.0600000000000005</v>
      </c>
      <c r="F65" s="202"/>
      <c r="G65" s="199"/>
      <c r="H65" s="197"/>
      <c r="I65" s="199"/>
      <c r="J65" s="197"/>
      <c r="K65" s="199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199"/>
      <c r="H66" s="197"/>
      <c r="I66" s="199"/>
      <c r="J66" s="197"/>
      <c r="K66" s="199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199"/>
      <c r="H67" s="197"/>
      <c r="I67" s="199"/>
      <c r="J67" s="197"/>
      <c r="K67" s="199"/>
      <c r="L67" s="197"/>
    </row>
    <row r="68" spans="1:12" s="2" customFormat="1" ht="15.75" customHeight="1">
      <c r="A68" s="14"/>
      <c r="B68" s="25" t="s">
        <v>86</v>
      </c>
      <c r="C68" s="88" t="s">
        <v>126</v>
      </c>
      <c r="D68" s="32" t="str">
        <f>D61</f>
        <v>LIST</v>
      </c>
      <c r="E68" s="89" t="s">
        <v>109</v>
      </c>
      <c r="F68" s="201" t="str">
        <f>LIDER!$E$38</f>
        <v>GRUPO#10</v>
      </c>
      <c r="G68" s="201"/>
      <c r="H68" s="201"/>
      <c r="I68" s="201"/>
      <c r="J68" s="201"/>
      <c r="K68" s="201"/>
      <c r="L68" s="20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199"/>
      <c r="H69" s="197"/>
      <c r="I69" s="199"/>
      <c r="J69" s="197"/>
      <c r="K69" s="199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199"/>
      <c r="H70" s="197"/>
      <c r="I70" s="199"/>
      <c r="J70" s="197"/>
      <c r="K70" s="199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199"/>
      <c r="H71" s="197"/>
      <c r="I71" s="199"/>
      <c r="J71" s="197"/>
      <c r="K71" s="199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199"/>
      <c r="H72" s="197"/>
      <c r="I72" s="199"/>
      <c r="J72" s="197"/>
      <c r="K72" s="199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199"/>
      <c r="H73" s="197"/>
      <c r="I73" s="199"/>
      <c r="J73" s="197"/>
      <c r="K73" s="199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199"/>
      <c r="H74" s="197"/>
      <c r="I74" s="199"/>
      <c r="J74" s="197"/>
      <c r="K74" s="199"/>
      <c r="L74" s="197"/>
    </row>
    <row r="75" spans="1:12" s="2" customFormat="1" ht="15.75" customHeight="1">
      <c r="A75" s="14"/>
      <c r="B75" s="25" t="s">
        <v>88</v>
      </c>
      <c r="C75" s="88" t="s">
        <v>127</v>
      </c>
      <c r="D75" s="32" t="str">
        <f>D68</f>
        <v>LIST</v>
      </c>
      <c r="E75" s="89" t="s">
        <v>109</v>
      </c>
      <c r="F75" s="201" t="str">
        <f>LIDER!$E$39</f>
        <v>GRUPO#11</v>
      </c>
      <c r="G75" s="201"/>
      <c r="H75" s="201"/>
      <c r="I75" s="201"/>
      <c r="J75" s="201"/>
      <c r="K75" s="201"/>
      <c r="L75" s="20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199"/>
      <c r="H76" s="197"/>
      <c r="I76" s="199"/>
      <c r="J76" s="197"/>
      <c r="K76" s="199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199"/>
      <c r="H77" s="197"/>
      <c r="I77" s="199"/>
      <c r="J77" s="197"/>
      <c r="K77" s="199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199"/>
      <c r="H78" s="197"/>
      <c r="I78" s="199"/>
      <c r="J78" s="197"/>
      <c r="K78" s="199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199"/>
      <c r="H79" s="197"/>
      <c r="I79" s="199"/>
      <c r="J79" s="197"/>
      <c r="K79" s="199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199"/>
      <c r="H80" s="197"/>
      <c r="I80" s="199"/>
      <c r="J80" s="197"/>
      <c r="K80" s="199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199"/>
      <c r="H81" s="197"/>
      <c r="I81" s="199"/>
      <c r="J81" s="197"/>
      <c r="K81" s="199"/>
      <c r="L81" s="197"/>
    </row>
    <row r="82" spans="1:12" s="2" customFormat="1" ht="15.75" customHeight="1">
      <c r="A82" s="14"/>
      <c r="B82" s="25" t="s">
        <v>90</v>
      </c>
      <c r="C82" s="88" t="s">
        <v>128</v>
      </c>
      <c r="D82" s="32" t="str">
        <f>D75</f>
        <v>LIST</v>
      </c>
      <c r="E82" s="89" t="s">
        <v>109</v>
      </c>
      <c r="F82" s="201" t="str">
        <f>LIDER!$E$40</f>
        <v>GRUPO#12</v>
      </c>
      <c r="G82" s="201"/>
      <c r="H82" s="201"/>
      <c r="I82" s="201"/>
      <c r="J82" s="201"/>
      <c r="K82" s="201"/>
      <c r="L82" s="20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199"/>
      <c r="H83" s="197"/>
      <c r="I83" s="199"/>
      <c r="J83" s="197"/>
      <c r="K83" s="199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199"/>
      <c r="H84" s="197"/>
      <c r="I84" s="199"/>
      <c r="J84" s="197"/>
      <c r="K84" s="199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199"/>
      <c r="H85" s="197"/>
      <c r="I85" s="199"/>
      <c r="J85" s="197"/>
      <c r="K85" s="199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199"/>
      <c r="H86" s="197"/>
      <c r="I86" s="199"/>
      <c r="J86" s="197"/>
      <c r="K86" s="199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199"/>
      <c r="H87" s="197"/>
      <c r="I87" s="199"/>
      <c r="J87" s="197"/>
      <c r="K87" s="199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3"/>
      <c r="G88" s="200"/>
      <c r="H88" s="198"/>
      <c r="I88" s="200"/>
      <c r="J88" s="198"/>
      <c r="K88" s="200"/>
      <c r="L88" s="198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5"/>
      <c r="H1" s="20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>
        <f>LIDER!H4</f>
        <v>0</v>
      </c>
      <c r="C2" s="82"/>
      <c r="D2" s="3"/>
      <c r="F2" s="211" t="s">
        <v>104</v>
      </c>
      <c r="G2" s="212"/>
      <c r="H2" s="212"/>
      <c r="I2" s="212"/>
      <c r="J2" s="212"/>
      <c r="K2" s="212"/>
      <c r="L2" s="213"/>
    </row>
    <row r="3" spans="1:12" s="2" customFormat="1" ht="145.5" customHeight="1">
      <c r="B3" s="83" t="s">
        <v>105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4" t="str">
        <f>CONCATENATE(LIDER!H4," - ",LIDER!H6," - ",LIDER!H5)</f>
        <v xml:space="preserve"> -  - </v>
      </c>
      <c r="G4" s="214"/>
      <c r="H4" s="214"/>
      <c r="I4" s="214"/>
      <c r="J4" s="214"/>
      <c r="K4" s="214"/>
      <c r="L4" s="214"/>
    </row>
    <row r="5" spans="1:12" s="2" customFormat="1" ht="15.75" customHeight="1" thickBot="1">
      <c r="A5" s="8"/>
      <c r="B5" s="25" t="s">
        <v>106</v>
      </c>
      <c r="C5" s="88" t="s">
        <v>107</v>
      </c>
      <c r="D5" s="32" t="s">
        <v>108</v>
      </c>
      <c r="E5" s="89" t="s">
        <v>109</v>
      </c>
      <c r="F5" s="201" t="str">
        <f>LIDER!$E$29</f>
        <v xml:space="preserve">GRUPO#1: Aspectos Legales, Tributarios, Administrativos, Macroeconómicos, Aduaneros, Tecnológicos
e Internacionales que Definen el perfil de la empresa Apple Colombia S.A.S. </v>
      </c>
      <c r="G5" s="201"/>
      <c r="H5" s="201"/>
      <c r="I5" s="201"/>
      <c r="J5" s="201"/>
      <c r="K5" s="201"/>
      <c r="L5" s="201"/>
    </row>
    <row r="6" spans="1:12" s="2" customFormat="1" ht="12.75">
      <c r="A6" s="9">
        <v>1</v>
      </c>
      <c r="B6" s="10" t="str">
        <f>LIDER!E43</f>
        <v>BERRIO LOPEZ VALENTINA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2"/>
      <c r="G6" s="199"/>
      <c r="H6" s="197"/>
      <c r="I6" s="199"/>
      <c r="J6" s="197"/>
      <c r="K6" s="199"/>
      <c r="L6" s="197"/>
    </row>
    <row r="7" spans="1:12" s="2" customFormat="1" ht="15" customHeight="1">
      <c r="A7" s="12">
        <v>2</v>
      </c>
      <c r="B7" s="10" t="str">
        <f>LIDER!E44</f>
        <v>BOHÓRQUEZ CANTERO SANTIAGO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2"/>
      <c r="G7" s="199"/>
      <c r="H7" s="197"/>
      <c r="I7" s="199"/>
      <c r="J7" s="197"/>
      <c r="K7" s="199"/>
      <c r="L7" s="197"/>
    </row>
    <row r="8" spans="1:12" s="2" customFormat="1" ht="15" customHeight="1">
      <c r="A8" s="12">
        <v>3</v>
      </c>
      <c r="B8" s="10" t="str">
        <f>LIDER!E45</f>
        <v>CAMPOS ABREU NICOLE ANTHONELLA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2"/>
      <c r="G8" s="199"/>
      <c r="H8" s="197"/>
      <c r="I8" s="199"/>
      <c r="J8" s="197"/>
      <c r="K8" s="199"/>
      <c r="L8" s="197"/>
    </row>
    <row r="9" spans="1:12" s="2" customFormat="1" ht="15" customHeight="1">
      <c r="A9" s="12">
        <v>4</v>
      </c>
      <c r="B9" s="10" t="str">
        <f>LIDER!E46</f>
        <v>RUIZ CHICO LAURA SOFIA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2"/>
      <c r="G9" s="199"/>
      <c r="H9" s="197"/>
      <c r="I9" s="199"/>
      <c r="J9" s="197"/>
      <c r="K9" s="199"/>
      <c r="L9" s="19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2"/>
      <c r="G10" s="199"/>
      <c r="H10" s="197"/>
      <c r="I10" s="199"/>
      <c r="J10" s="197"/>
      <c r="K10" s="199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2"/>
      <c r="G11" s="199"/>
      <c r="H11" s="197"/>
      <c r="I11" s="199"/>
      <c r="J11" s="197"/>
      <c r="K11" s="199"/>
      <c r="L11" s="197"/>
    </row>
    <row r="12" spans="1:12" s="2" customFormat="1" ht="15.75" customHeight="1" thickBot="1">
      <c r="A12" s="8"/>
      <c r="B12" s="25" t="s">
        <v>110</v>
      </c>
      <c r="C12" s="88" t="s">
        <v>111</v>
      </c>
      <c r="D12" s="32" t="str">
        <f>D5</f>
        <v>LIST</v>
      </c>
      <c r="E12" s="89" t="s">
        <v>109</v>
      </c>
      <c r="F12" s="201" t="str">
        <f>LIDER!$E$30</f>
        <v xml:space="preserve">GRUPO#2: Caracterización de los aspectos legales, tributarios, administrativos, macroeconómicos, 
tecnológicos e internacionales que definen el perfil empresarial de Ecopetrol S.A. en los 
negocios internacionales </v>
      </c>
      <c r="G12" s="201"/>
      <c r="H12" s="201"/>
      <c r="I12" s="201"/>
      <c r="J12" s="201"/>
      <c r="K12" s="201"/>
      <c r="L12" s="201"/>
    </row>
    <row r="13" spans="1:12" s="2" customFormat="1" ht="12.75">
      <c r="A13" s="9">
        <v>1</v>
      </c>
      <c r="B13" s="10" t="str">
        <f>LIDER!F43</f>
        <v>BUENDIA CAÑATE DONICEL DE JESUS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2"/>
      <c r="G13" s="199"/>
      <c r="H13" s="197"/>
      <c r="I13" s="199"/>
      <c r="J13" s="197"/>
      <c r="K13" s="199"/>
      <c r="L13" s="197"/>
    </row>
    <row r="14" spans="1:12" s="2" customFormat="1" ht="15" customHeight="1">
      <c r="A14" s="12">
        <v>2</v>
      </c>
      <c r="B14" s="10" t="str">
        <f>LIDER!F44</f>
        <v>MARRUGO CORREA MATEO DE JESUS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2"/>
      <c r="G14" s="199"/>
      <c r="H14" s="197"/>
      <c r="I14" s="199"/>
      <c r="J14" s="197"/>
      <c r="K14" s="199"/>
      <c r="L14" s="197"/>
    </row>
    <row r="15" spans="1:12" s="2" customFormat="1" ht="15" customHeight="1">
      <c r="A15" s="12">
        <v>3</v>
      </c>
      <c r="B15" s="10" t="str">
        <f>LIDER!F45</f>
        <v>ZEA NAVARRO JUAN ESTEBAN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2"/>
      <c r="G15" s="199"/>
      <c r="H15" s="197"/>
      <c r="I15" s="199"/>
      <c r="J15" s="197"/>
      <c r="K15" s="199"/>
      <c r="L15" s="197"/>
    </row>
    <row r="16" spans="1:12" s="2" customFormat="1" ht="15" customHeight="1">
      <c r="A16" s="12">
        <v>4</v>
      </c>
      <c r="B16" s="10" t="str">
        <f>LIDER!F46</f>
        <v>PALMERA MARTINEZ FRANCISCO JAVIER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2"/>
      <c r="G16" s="199"/>
      <c r="H16" s="197"/>
      <c r="I16" s="199"/>
      <c r="J16" s="197"/>
      <c r="K16" s="199"/>
      <c r="L16" s="197"/>
    </row>
    <row r="17" spans="1:12" s="2" customFormat="1" ht="15" customHeight="1">
      <c r="A17" s="12">
        <v>5</v>
      </c>
      <c r="B17" s="10" t="str">
        <f>LIDER!F47</f>
        <v>CONTRERAS MARTÍNEZ MARLON MANUEL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199"/>
      <c r="H17" s="197"/>
      <c r="I17" s="199"/>
      <c r="J17" s="197"/>
      <c r="K17" s="199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199"/>
      <c r="H18" s="197"/>
      <c r="I18" s="199"/>
      <c r="J18" s="197"/>
      <c r="K18" s="199"/>
      <c r="L18" s="197"/>
    </row>
    <row r="19" spans="1:12" s="2" customFormat="1" ht="15.75" customHeight="1">
      <c r="A19" s="14"/>
      <c r="B19" s="25" t="s">
        <v>112</v>
      </c>
      <c r="C19" s="88" t="s">
        <v>113</v>
      </c>
      <c r="D19" s="32" t="str">
        <f>D12</f>
        <v>LIST</v>
      </c>
      <c r="E19" s="89" t="s">
        <v>109</v>
      </c>
      <c r="F19" s="201" t="str">
        <f>LIDER!$E$31</f>
        <v xml:space="preserve">GRUPO#3: Análisis integral de los aspectos legales, tributarios, administrativos, 
macroeconómicos, tecnológicos e internacionales que configuran el perfil empresarial de 
Nestlé Colombia S.A. en los negocios internacionales. </v>
      </c>
      <c r="G19" s="201"/>
      <c r="H19" s="201"/>
      <c r="I19" s="201"/>
      <c r="J19" s="201"/>
      <c r="K19" s="201"/>
      <c r="L19" s="201"/>
    </row>
    <row r="20" spans="1:12" s="2" customFormat="1" ht="12.75">
      <c r="A20" s="9">
        <v>1</v>
      </c>
      <c r="B20" s="10" t="str">
        <f>LIDER!G43</f>
        <v>FONTALVO RODRIGUEZ ISABELLA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2"/>
      <c r="G20" s="199"/>
      <c r="H20" s="197"/>
      <c r="I20" s="199"/>
      <c r="J20" s="197"/>
      <c r="K20" s="199"/>
      <c r="L20" s="197"/>
    </row>
    <row r="21" spans="1:12" s="2" customFormat="1" ht="15" customHeight="1">
      <c r="A21" s="12">
        <v>2</v>
      </c>
      <c r="B21" s="10" t="str">
        <f>LIDER!G44</f>
        <v>LARA MAURY MARÍA ANGÉLICA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2"/>
      <c r="G21" s="199"/>
      <c r="H21" s="197"/>
      <c r="I21" s="199"/>
      <c r="J21" s="197"/>
      <c r="K21" s="199"/>
      <c r="L21" s="197"/>
    </row>
    <row r="22" spans="1:12" s="2" customFormat="1" ht="15" customHeight="1">
      <c r="A22" s="12">
        <v>3</v>
      </c>
      <c r="B22" s="10" t="str">
        <f>LIDER!G45</f>
        <v>PEREZ ALVAREZ DILAN ANDRES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2"/>
      <c r="G22" s="199"/>
      <c r="H22" s="197"/>
      <c r="I22" s="199"/>
      <c r="J22" s="197"/>
      <c r="K22" s="199"/>
      <c r="L22" s="19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2"/>
      <c r="G23" s="199"/>
      <c r="H23" s="197"/>
      <c r="I23" s="199"/>
      <c r="J23" s="197"/>
      <c r="K23" s="199"/>
      <c r="L23" s="19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2"/>
      <c r="G24" s="199"/>
      <c r="H24" s="197"/>
      <c r="I24" s="199"/>
      <c r="J24" s="197"/>
      <c r="K24" s="199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199"/>
      <c r="H25" s="197"/>
      <c r="I25" s="199"/>
      <c r="J25" s="197"/>
      <c r="K25" s="199"/>
      <c r="L25" s="197"/>
    </row>
    <row r="26" spans="1:12" s="2" customFormat="1" ht="15.75" customHeight="1">
      <c r="A26" s="14"/>
      <c r="B26" s="25" t="s">
        <v>114</v>
      </c>
      <c r="C26" s="88" t="s">
        <v>115</v>
      </c>
      <c r="D26" s="32" t="str">
        <f>D19</f>
        <v>LIST</v>
      </c>
      <c r="E26" s="89" t="s">
        <v>109</v>
      </c>
      <c r="F26" s="201" t="str">
        <f>LIDER!$E$32</f>
        <v>GRUPO#4: Análisis de los aspectos legales, tributarios, administrativos, macroeconómicos,
tecnológicos e internacionales de la empresa Arturo Calle S.A.S. en los negocios
internacionales</v>
      </c>
      <c r="G26" s="201"/>
      <c r="H26" s="201"/>
      <c r="I26" s="201"/>
      <c r="J26" s="201"/>
      <c r="K26" s="201"/>
      <c r="L26" s="201"/>
    </row>
    <row r="27" spans="1:12" s="2" customFormat="1" ht="12.75">
      <c r="A27" s="9">
        <v>1</v>
      </c>
      <c r="B27" s="10" t="str">
        <f>LIDER!H43</f>
        <v>BURGOS CAUSIL SHADIA TATIANA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2"/>
      <c r="G27" s="199"/>
      <c r="H27" s="197"/>
      <c r="I27" s="199"/>
      <c r="J27" s="197"/>
      <c r="K27" s="199"/>
      <c r="L27" s="197"/>
    </row>
    <row r="28" spans="1:12" s="2" customFormat="1" ht="15" customHeight="1">
      <c r="A28" s="12">
        <v>2</v>
      </c>
      <c r="B28" s="10" t="str">
        <f>LIDER!H44</f>
        <v>CASTRO SAYAS KEVIN ENRIQUE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2"/>
      <c r="G28" s="199"/>
      <c r="H28" s="197"/>
      <c r="I28" s="199"/>
      <c r="J28" s="197"/>
      <c r="K28" s="199"/>
      <c r="L28" s="197"/>
    </row>
    <row r="29" spans="1:12" s="2" customFormat="1" ht="15" customHeight="1">
      <c r="A29" s="12">
        <v>3</v>
      </c>
      <c r="B29" s="10" t="str">
        <f>LIDER!H45</f>
        <v>CERVERA BLANCO ALAN DAVID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2"/>
      <c r="G29" s="199"/>
      <c r="H29" s="197"/>
      <c r="I29" s="199"/>
      <c r="J29" s="197"/>
      <c r="K29" s="199"/>
      <c r="L29" s="197"/>
    </row>
    <row r="30" spans="1:12" s="2" customFormat="1" ht="15" customHeight="1">
      <c r="A30" s="12">
        <v>4</v>
      </c>
      <c r="B30" s="10" t="str">
        <f>LIDER!H46</f>
        <v>GONZALEZ PATERNINA YULIETH ISABEL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2"/>
      <c r="G30" s="199"/>
      <c r="H30" s="197"/>
      <c r="I30" s="199"/>
      <c r="J30" s="197"/>
      <c r="K30" s="199"/>
      <c r="L30" s="197"/>
    </row>
    <row r="31" spans="1:12" s="2" customFormat="1" ht="15" customHeight="1">
      <c r="A31" s="12">
        <v>5</v>
      </c>
      <c r="B31" s="10" t="str">
        <f>LIDER!H47</f>
        <v>GONZALEZ SOTO NICOLE ANDREA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2"/>
      <c r="G31" s="199"/>
      <c r="H31" s="197"/>
      <c r="I31" s="199"/>
      <c r="J31" s="197"/>
      <c r="K31" s="199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199"/>
      <c r="H32" s="197"/>
      <c r="I32" s="199"/>
      <c r="J32" s="197"/>
      <c r="K32" s="199"/>
      <c r="L32" s="197"/>
    </row>
    <row r="33" spans="1:12" s="2" customFormat="1" ht="15.75" customHeight="1">
      <c r="A33" s="14"/>
      <c r="B33" s="25" t="s">
        <v>116</v>
      </c>
      <c r="C33" s="88" t="s">
        <v>117</v>
      </c>
      <c r="D33" s="32" t="str">
        <f>D26</f>
        <v>LIST</v>
      </c>
      <c r="E33" s="89" t="s">
        <v>109</v>
      </c>
      <c r="F33" s="201" t="str">
        <f>LIDER!$E$33</f>
        <v xml:space="preserve">GRUPO#5: Aspectos legales, tributarios, administrativos, macroeconómicos, aduaneros, tecnológicos e 
internacionales que definen el perfil de Cementos Argos en los negocios internacionales </v>
      </c>
      <c r="G33" s="201"/>
      <c r="H33" s="201"/>
      <c r="I33" s="201"/>
      <c r="J33" s="201"/>
      <c r="K33" s="201"/>
      <c r="L33" s="201"/>
    </row>
    <row r="34" spans="1:12" s="2" customFormat="1" ht="12.75">
      <c r="A34" s="9">
        <v>1</v>
      </c>
      <c r="B34" s="10" t="str">
        <f>LIDER!E51</f>
        <v>CANTILLO ZABALETA JULIANA ISABEL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2"/>
      <c r="G34" s="199"/>
      <c r="H34" s="197"/>
      <c r="I34" s="199"/>
      <c r="J34" s="197"/>
      <c r="K34" s="199"/>
      <c r="L34" s="197"/>
    </row>
    <row r="35" spans="1:12" s="2" customFormat="1" ht="15" customHeight="1">
      <c r="A35" s="12">
        <v>2</v>
      </c>
      <c r="B35" s="10" t="str">
        <f>LIDER!E52</f>
        <v>DAVILA GONZALEZ ALANA ARAI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2"/>
      <c r="G35" s="199"/>
      <c r="H35" s="197"/>
      <c r="I35" s="199"/>
      <c r="J35" s="197"/>
      <c r="K35" s="199"/>
      <c r="L35" s="197"/>
    </row>
    <row r="36" spans="1:12" s="2" customFormat="1" ht="15" customHeight="1">
      <c r="A36" s="12">
        <v>3</v>
      </c>
      <c r="B36" s="10" t="str">
        <f>LIDER!E53</f>
        <v>OBANDO MARSIGLIA JESED ALEJANDRO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2"/>
      <c r="G36" s="199"/>
      <c r="H36" s="197"/>
      <c r="I36" s="199"/>
      <c r="J36" s="197"/>
      <c r="K36" s="199"/>
      <c r="L36" s="197"/>
    </row>
    <row r="37" spans="1:12" s="2" customFormat="1" ht="15" customHeight="1">
      <c r="A37" s="12">
        <v>4</v>
      </c>
      <c r="B37" s="10" t="str">
        <f>LIDER!E54</f>
        <v>GARCÍA REYES VALERY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2"/>
      <c r="G37" s="199"/>
      <c r="H37" s="197"/>
      <c r="I37" s="199"/>
      <c r="J37" s="197"/>
      <c r="K37" s="199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199"/>
      <c r="H38" s="197"/>
      <c r="I38" s="199"/>
      <c r="J38" s="197"/>
      <c r="K38" s="199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199"/>
      <c r="H39" s="197"/>
      <c r="I39" s="199"/>
      <c r="J39" s="197"/>
      <c r="K39" s="199"/>
      <c r="L39" s="197"/>
    </row>
    <row r="40" spans="1:12" s="2" customFormat="1" ht="15.75" customHeight="1">
      <c r="A40" s="14"/>
      <c r="B40" s="25" t="s">
        <v>118</v>
      </c>
      <c r="C40" s="88" t="s">
        <v>119</v>
      </c>
      <c r="D40" s="32" t="str">
        <f>D33</f>
        <v>LIST</v>
      </c>
      <c r="E40" s="89" t="s">
        <v>109</v>
      </c>
      <c r="F40" s="201" t="str">
        <f>LIDER!$E$34</f>
        <v>GRUPO#6: Análisis de los aspectos legales, tributarios, administrativos, macroeconómicos, aduaneros, tecnológicos e
internacionales que definen el perfil de Alpina S.A.S en los negocios internacionales</v>
      </c>
      <c r="G40" s="201"/>
      <c r="H40" s="201"/>
      <c r="I40" s="201"/>
      <c r="J40" s="201"/>
      <c r="K40" s="201"/>
      <c r="L40" s="201"/>
    </row>
    <row r="41" spans="1:12" s="2" customFormat="1" ht="12.75">
      <c r="A41" s="9">
        <v>1</v>
      </c>
      <c r="B41" s="10" t="str">
        <f>LIDER!F51</f>
        <v>ALVARADO MAS Y RUBI LOHANA  VICTORIA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2"/>
      <c r="G41" s="199"/>
      <c r="H41" s="197"/>
      <c r="I41" s="199"/>
      <c r="J41" s="197"/>
      <c r="K41" s="199"/>
      <c r="L41" s="197"/>
    </row>
    <row r="42" spans="1:12" s="2" customFormat="1" ht="15" customHeight="1">
      <c r="A42" s="12">
        <v>2</v>
      </c>
      <c r="B42" s="10" t="str">
        <f>LIDER!F52</f>
        <v>MANOTAS ACEVEDO LAURA DANIELA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2"/>
      <c r="G42" s="199"/>
      <c r="H42" s="197"/>
      <c r="I42" s="199"/>
      <c r="J42" s="197"/>
      <c r="K42" s="199"/>
      <c r="L42" s="197"/>
    </row>
    <row r="43" spans="1:12" s="2" customFormat="1" ht="15" customHeight="1">
      <c r="A43" s="12">
        <v>3</v>
      </c>
      <c r="B43" s="10" t="str">
        <f>LIDER!F53</f>
        <v>RIVERA MENDOZA EDITH MARIA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2"/>
      <c r="G43" s="199"/>
      <c r="H43" s="197"/>
      <c r="I43" s="199"/>
      <c r="J43" s="197"/>
      <c r="K43" s="199"/>
      <c r="L43" s="197"/>
    </row>
    <row r="44" spans="1:12" s="2" customFormat="1" ht="15" customHeight="1">
      <c r="A44" s="12">
        <v>4</v>
      </c>
      <c r="B44" s="10" t="str">
        <f>LIDER!F54</f>
        <v>THERAN MENDOZA JESUS DAVID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2"/>
      <c r="G44" s="199"/>
      <c r="H44" s="197"/>
      <c r="I44" s="199"/>
      <c r="J44" s="197"/>
      <c r="K44" s="199"/>
      <c r="L44" s="197"/>
    </row>
    <row r="45" spans="1:12" s="2" customFormat="1" ht="15" customHeight="1">
      <c r="A45" s="12">
        <v>5</v>
      </c>
      <c r="B45" s="10" t="str">
        <f>LIDER!F55</f>
        <v>RODRIGUEZ PEREZ JEAN CARLOS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2"/>
      <c r="G45" s="199"/>
      <c r="H45" s="197"/>
      <c r="I45" s="199"/>
      <c r="J45" s="197"/>
      <c r="K45" s="199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2"/>
      <c r="G46" s="199"/>
      <c r="H46" s="197"/>
      <c r="I46" s="199"/>
      <c r="J46" s="197"/>
      <c r="K46" s="199"/>
      <c r="L46" s="197"/>
    </row>
    <row r="47" spans="1:12" s="2" customFormat="1" ht="15.75" customHeight="1">
      <c r="A47" s="14"/>
      <c r="B47" s="25" t="s">
        <v>120</v>
      </c>
      <c r="C47" s="88" t="s">
        <v>121</v>
      </c>
      <c r="D47" s="32" t="str">
        <f>D40</f>
        <v>LIST</v>
      </c>
      <c r="E47" s="89" t="s">
        <v>109</v>
      </c>
      <c r="F47" s="201" t="str">
        <f>LIDER!$E$35</f>
        <v xml:space="preserve">GRUPO#7: Aspectos Legales, Tributarios, Administrativos, Macroeconómicos, Aduaneros, 
Tecnológicos, e Internacional que Definen el Perfil de Agofer S.A.S en los Negocios 
Internacionales </v>
      </c>
      <c r="G47" s="201"/>
      <c r="H47" s="201"/>
      <c r="I47" s="201"/>
      <c r="J47" s="201"/>
      <c r="K47" s="201"/>
      <c r="L47" s="201"/>
    </row>
    <row r="48" spans="1:12" s="2" customFormat="1" ht="12.75">
      <c r="A48" s="9">
        <v>1</v>
      </c>
      <c r="B48" s="10" t="str">
        <f>LIDER!G51</f>
        <v>CAMPO PÉREZ NALIETH NICOHL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2"/>
      <c r="G48" s="199"/>
      <c r="H48" s="197"/>
      <c r="I48" s="199"/>
      <c r="J48" s="197"/>
      <c r="K48" s="199"/>
      <c r="L48" s="197"/>
    </row>
    <row r="49" spans="1:12" s="2" customFormat="1" ht="15" customHeight="1">
      <c r="A49" s="12">
        <v>2</v>
      </c>
      <c r="B49" s="10" t="str">
        <f>LIDER!G52</f>
        <v>NOVOA GOMEZ IANA MARCELA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2"/>
      <c r="G49" s="199"/>
      <c r="H49" s="197"/>
      <c r="I49" s="199"/>
      <c r="J49" s="197"/>
      <c r="K49" s="199"/>
      <c r="L49" s="197"/>
    </row>
    <row r="50" spans="1:12" s="2" customFormat="1" ht="15" customHeight="1">
      <c r="A50" s="12">
        <v>3</v>
      </c>
      <c r="B50" s="10" t="str">
        <f>LIDER!G53</f>
        <v>OSPINO MARTÍNEZ KAROLAY SOFIA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2"/>
      <c r="G50" s="199"/>
      <c r="H50" s="197"/>
      <c r="I50" s="199"/>
      <c r="J50" s="197"/>
      <c r="K50" s="199"/>
      <c r="L50" s="197"/>
    </row>
    <row r="51" spans="1:12" s="2" customFormat="1" ht="15" customHeight="1">
      <c r="A51" s="12">
        <v>4</v>
      </c>
      <c r="B51" s="10" t="str">
        <f>LIDER!G54</f>
        <v>PEREZ VERGARA VALERIA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2"/>
      <c r="G51" s="199"/>
      <c r="H51" s="197"/>
      <c r="I51" s="199"/>
      <c r="J51" s="197"/>
      <c r="K51" s="199"/>
      <c r="L51" s="197"/>
    </row>
    <row r="52" spans="1:12" s="2" customFormat="1" ht="15" customHeight="1">
      <c r="A52" s="12">
        <v>5</v>
      </c>
      <c r="B52" s="10" t="str">
        <f>LIDER!G55</f>
        <v>PETRO ROSARIO VALERIE SARED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2"/>
      <c r="G52" s="199"/>
      <c r="H52" s="197"/>
      <c r="I52" s="199"/>
      <c r="J52" s="197"/>
      <c r="K52" s="199"/>
      <c r="L52" s="197"/>
    </row>
    <row r="53" spans="1:12" s="2" customFormat="1" ht="15.75" customHeight="1">
      <c r="A53" s="13">
        <v>6</v>
      </c>
      <c r="B53" s="91" t="str">
        <f>LIDER!G56</f>
        <v>RAMOS ORTEGA LAURA INÉS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2"/>
      <c r="G53" s="199"/>
      <c r="H53" s="197"/>
      <c r="I53" s="199"/>
      <c r="J53" s="197"/>
      <c r="K53" s="199"/>
      <c r="L53" s="197"/>
    </row>
    <row r="54" spans="1:12" s="2" customFormat="1" ht="15.75" customHeight="1">
      <c r="A54" s="14"/>
      <c r="B54" s="25" t="s">
        <v>122</v>
      </c>
      <c r="C54" s="88" t="s">
        <v>123</v>
      </c>
      <c r="D54" s="32" t="str">
        <f>D47</f>
        <v>LIST</v>
      </c>
      <c r="E54" s="89" t="s">
        <v>109</v>
      </c>
      <c r="F54" s="201" t="str">
        <f>LIDER!$E$36</f>
        <v>GRUPO#8: Aspectos legales, tributarios, administrativos, macroeconómicos, aduaneros y tecnológicos que definen el perfil de Terpel S.A. en los negocios internacionales</v>
      </c>
      <c r="G54" s="201"/>
      <c r="H54" s="201"/>
      <c r="I54" s="201"/>
      <c r="J54" s="201"/>
      <c r="K54" s="201"/>
      <c r="L54" s="201"/>
    </row>
    <row r="55" spans="1:12" s="2" customFormat="1" ht="12.75">
      <c r="A55" s="9">
        <v>1</v>
      </c>
      <c r="B55" s="10" t="str">
        <f>LIDER!H51</f>
        <v>BARRIOS RAMIREZ JUAN JOSE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2"/>
      <c r="G55" s="199"/>
      <c r="H55" s="197"/>
      <c r="I55" s="199"/>
      <c r="J55" s="197"/>
      <c r="K55" s="199"/>
      <c r="L55" s="197"/>
    </row>
    <row r="56" spans="1:12" s="2" customFormat="1" ht="15" customHeight="1">
      <c r="A56" s="12">
        <v>2</v>
      </c>
      <c r="B56" s="10" t="str">
        <f>LIDER!H52</f>
        <v>HERRERA PRADA JAIDER DAVID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2"/>
      <c r="G56" s="199"/>
      <c r="H56" s="197"/>
      <c r="I56" s="199"/>
      <c r="J56" s="197"/>
      <c r="K56" s="199"/>
      <c r="L56" s="197"/>
    </row>
    <row r="57" spans="1:12" s="2" customFormat="1" ht="15" customHeight="1">
      <c r="A57" s="12">
        <v>3</v>
      </c>
      <c r="B57" s="10" t="str">
        <f>LIDER!H53</f>
        <v>GARCIA SUAREZ ANDREA CAROLINA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2"/>
      <c r="G57" s="199"/>
      <c r="H57" s="197"/>
      <c r="I57" s="199"/>
      <c r="J57" s="197"/>
      <c r="K57" s="199"/>
      <c r="L57" s="197"/>
    </row>
    <row r="58" spans="1:12" s="2" customFormat="1" ht="15" customHeight="1">
      <c r="A58" s="12">
        <v>4</v>
      </c>
      <c r="B58" s="10" t="str">
        <f>LIDER!H54</f>
        <v>PEREZ GELIS LUISA FERNANDA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2"/>
      <c r="G58" s="199"/>
      <c r="H58" s="197"/>
      <c r="I58" s="199"/>
      <c r="J58" s="197"/>
      <c r="K58" s="199"/>
      <c r="L58" s="197"/>
    </row>
    <row r="59" spans="1:12" s="2" customFormat="1" ht="15" customHeight="1">
      <c r="A59" s="12">
        <v>5</v>
      </c>
      <c r="B59" s="10" t="str">
        <f>LIDER!H55</f>
        <v>LOPEZ PAYARES OSMAN JUNIOR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2"/>
      <c r="G59" s="199"/>
      <c r="H59" s="197"/>
      <c r="I59" s="199"/>
      <c r="J59" s="197"/>
      <c r="K59" s="199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199"/>
      <c r="H60" s="197"/>
      <c r="I60" s="199"/>
      <c r="J60" s="197"/>
      <c r="K60" s="199"/>
      <c r="L60" s="197"/>
    </row>
    <row r="61" spans="1:12" s="2" customFormat="1" ht="15.75" customHeight="1">
      <c r="A61" s="14"/>
      <c r="B61" s="25" t="s">
        <v>124</v>
      </c>
      <c r="C61" s="88" t="s">
        <v>125</v>
      </c>
      <c r="D61" s="32" t="str">
        <f>D54</f>
        <v>LIST</v>
      </c>
      <c r="E61" s="89" t="s">
        <v>109</v>
      </c>
      <c r="F61" s="201" t="str">
        <f>LIDER!$E$37</f>
        <v>GRUPO#9: Aspectos, legales, tributarios, administrativos, macroeconómicos, aduaneros e internacionales que definen el
perfil de Samsung  en los negocios internacionales.</v>
      </c>
      <c r="G61" s="201"/>
      <c r="H61" s="201"/>
      <c r="I61" s="201"/>
      <c r="J61" s="201"/>
      <c r="K61" s="201"/>
      <c r="L61" s="201"/>
    </row>
    <row r="62" spans="1:12" s="2" customFormat="1" ht="12.75">
      <c r="A62" s="9">
        <v>1</v>
      </c>
      <c r="B62" s="10" t="str">
        <f>LIDER!E59</f>
        <v>CORDOBA RODRIGUEZ ADRIANO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2"/>
      <c r="G62" s="199"/>
      <c r="H62" s="197"/>
      <c r="I62" s="199"/>
      <c r="J62" s="197"/>
      <c r="K62" s="199"/>
      <c r="L62" s="197"/>
    </row>
    <row r="63" spans="1:12" s="2" customFormat="1" ht="15" customHeight="1">
      <c r="A63" s="12">
        <v>2</v>
      </c>
      <c r="B63" s="10" t="str">
        <f>LIDER!E60</f>
        <v>ZUÑIGA IGLESIAS EMMANUEL DAVID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199"/>
      <c r="H63" s="197"/>
      <c r="I63" s="199"/>
      <c r="J63" s="197"/>
      <c r="K63" s="199"/>
      <c r="L63" s="197"/>
    </row>
    <row r="64" spans="1:12" s="2" customFormat="1" ht="15" customHeight="1">
      <c r="A64" s="12">
        <v>3</v>
      </c>
      <c r="B64" s="10" t="str">
        <f>LIDER!E61</f>
        <v>ORTÍZ ZUÑIGA WILYS JUNIOR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2"/>
      <c r="G64" s="199"/>
      <c r="H64" s="197"/>
      <c r="I64" s="199"/>
      <c r="J64" s="197"/>
      <c r="K64" s="199"/>
      <c r="L64" s="197"/>
    </row>
    <row r="65" spans="1:12" s="2" customFormat="1" ht="15" customHeight="1">
      <c r="A65" s="12">
        <v>4</v>
      </c>
      <c r="B65" s="10" t="str">
        <f>LIDER!E62</f>
        <v>DE ORO MOLINA RONNY AMEL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2"/>
      <c r="G65" s="199"/>
      <c r="H65" s="197"/>
      <c r="I65" s="199"/>
      <c r="J65" s="197"/>
      <c r="K65" s="199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199"/>
      <c r="H66" s="197"/>
      <c r="I66" s="199"/>
      <c r="J66" s="197"/>
      <c r="K66" s="199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199"/>
      <c r="H67" s="197"/>
      <c r="I67" s="199"/>
      <c r="J67" s="197"/>
      <c r="K67" s="199"/>
      <c r="L67" s="197"/>
    </row>
    <row r="68" spans="1:12" s="2" customFormat="1" ht="15.75" customHeight="1">
      <c r="A68" s="14"/>
      <c r="B68" s="25" t="s">
        <v>86</v>
      </c>
      <c r="C68" s="88" t="s">
        <v>126</v>
      </c>
      <c r="D68" s="32" t="str">
        <f>D61</f>
        <v>LIST</v>
      </c>
      <c r="E68" s="89" t="s">
        <v>109</v>
      </c>
      <c r="F68" s="201" t="str">
        <f>LIDER!$E$38</f>
        <v>GRUPO#10</v>
      </c>
      <c r="G68" s="201"/>
      <c r="H68" s="201"/>
      <c r="I68" s="201"/>
      <c r="J68" s="201"/>
      <c r="K68" s="201"/>
      <c r="L68" s="20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199"/>
      <c r="H69" s="197"/>
      <c r="I69" s="199"/>
      <c r="J69" s="197"/>
      <c r="K69" s="199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199"/>
      <c r="H70" s="197"/>
      <c r="I70" s="199"/>
      <c r="J70" s="197"/>
      <c r="K70" s="199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199"/>
      <c r="H71" s="197"/>
      <c r="I71" s="199"/>
      <c r="J71" s="197"/>
      <c r="K71" s="199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199"/>
      <c r="H72" s="197"/>
      <c r="I72" s="199"/>
      <c r="J72" s="197"/>
      <c r="K72" s="199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199"/>
      <c r="H73" s="197"/>
      <c r="I73" s="199"/>
      <c r="J73" s="197"/>
      <c r="K73" s="199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199"/>
      <c r="H74" s="197"/>
      <c r="I74" s="199"/>
      <c r="J74" s="197"/>
      <c r="K74" s="199"/>
      <c r="L74" s="197"/>
    </row>
    <row r="75" spans="1:12" s="2" customFormat="1" ht="15.75" customHeight="1">
      <c r="A75" s="14"/>
      <c r="B75" s="25" t="s">
        <v>88</v>
      </c>
      <c r="C75" s="88" t="s">
        <v>127</v>
      </c>
      <c r="D75" s="32" t="str">
        <f>D68</f>
        <v>LIST</v>
      </c>
      <c r="E75" s="89" t="s">
        <v>109</v>
      </c>
      <c r="F75" s="201" t="str">
        <f>LIDER!$E$39</f>
        <v>GRUPO#11</v>
      </c>
      <c r="G75" s="201"/>
      <c r="H75" s="201"/>
      <c r="I75" s="201"/>
      <c r="J75" s="201"/>
      <c r="K75" s="201"/>
      <c r="L75" s="20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199"/>
      <c r="H76" s="197"/>
      <c r="I76" s="199"/>
      <c r="J76" s="197"/>
      <c r="K76" s="199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199"/>
      <c r="H77" s="197"/>
      <c r="I77" s="199"/>
      <c r="J77" s="197"/>
      <c r="K77" s="199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199"/>
      <c r="H78" s="197"/>
      <c r="I78" s="199"/>
      <c r="J78" s="197"/>
      <c r="K78" s="199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199"/>
      <c r="H79" s="197"/>
      <c r="I79" s="199"/>
      <c r="J79" s="197"/>
      <c r="K79" s="199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199"/>
      <c r="H80" s="197"/>
      <c r="I80" s="199"/>
      <c r="J80" s="197"/>
      <c r="K80" s="199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199"/>
      <c r="H81" s="197"/>
      <c r="I81" s="199"/>
      <c r="J81" s="197"/>
      <c r="K81" s="199"/>
      <c r="L81" s="197"/>
    </row>
    <row r="82" spans="1:12" s="2" customFormat="1" ht="15.75" customHeight="1">
      <c r="A82" s="14"/>
      <c r="B82" s="25" t="s">
        <v>90</v>
      </c>
      <c r="C82" s="88" t="s">
        <v>128</v>
      </c>
      <c r="D82" s="32" t="str">
        <f>D75</f>
        <v>LIST</v>
      </c>
      <c r="E82" s="89" t="s">
        <v>109</v>
      </c>
      <c r="F82" s="201" t="str">
        <f>LIDER!$E$40</f>
        <v>GRUPO#12</v>
      </c>
      <c r="G82" s="201"/>
      <c r="H82" s="201"/>
      <c r="I82" s="201"/>
      <c r="J82" s="201"/>
      <c r="K82" s="201"/>
      <c r="L82" s="20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199"/>
      <c r="H83" s="197"/>
      <c r="I83" s="199"/>
      <c r="J83" s="197"/>
      <c r="K83" s="199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199"/>
      <c r="H84" s="197"/>
      <c r="I84" s="199"/>
      <c r="J84" s="197"/>
      <c r="K84" s="199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199"/>
      <c r="H85" s="197"/>
      <c r="I85" s="199"/>
      <c r="J85" s="197"/>
      <c r="K85" s="199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199"/>
      <c r="H86" s="197"/>
      <c r="I86" s="199"/>
      <c r="J86" s="197"/>
      <c r="K86" s="199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199"/>
      <c r="H87" s="197"/>
      <c r="I87" s="199"/>
      <c r="J87" s="197"/>
      <c r="K87" s="199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3"/>
      <c r="G88" s="200"/>
      <c r="H88" s="198"/>
      <c r="I88" s="200"/>
      <c r="J88" s="198"/>
      <c r="K88" s="200"/>
      <c r="L88" s="198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5"/>
      <c r="H1" s="20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>
        <f>LIDER!I4</f>
        <v>0</v>
      </c>
      <c r="C2" s="82"/>
      <c r="D2" s="3"/>
      <c r="F2" s="211" t="s">
        <v>104</v>
      </c>
      <c r="G2" s="212"/>
      <c r="H2" s="212"/>
      <c r="I2" s="212"/>
      <c r="J2" s="212"/>
      <c r="K2" s="212"/>
      <c r="L2" s="213"/>
    </row>
    <row r="3" spans="1:12" s="2" customFormat="1" ht="145.5" customHeight="1">
      <c r="B3" s="83" t="s">
        <v>105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4" t="str">
        <f>CONCATENATE(LIDER!I4," - ",LIDER!I6," - ",LIDER!I5)</f>
        <v xml:space="preserve"> -  - </v>
      </c>
      <c r="G4" s="214"/>
      <c r="H4" s="214"/>
      <c r="I4" s="214"/>
      <c r="J4" s="214"/>
      <c r="K4" s="214"/>
      <c r="L4" s="214"/>
    </row>
    <row r="5" spans="1:12" s="2" customFormat="1" ht="15.75" customHeight="1" thickBot="1">
      <c r="A5" s="8"/>
      <c r="B5" s="25" t="s">
        <v>106</v>
      </c>
      <c r="C5" s="88" t="s">
        <v>107</v>
      </c>
      <c r="D5" s="32" t="s">
        <v>108</v>
      </c>
      <c r="E5" s="89" t="s">
        <v>109</v>
      </c>
      <c r="F5" s="201" t="str">
        <f>LIDER!$E$29</f>
        <v xml:space="preserve">GRUPO#1: Aspectos Legales, Tributarios, Administrativos, Macroeconómicos, Aduaneros, Tecnológicos
e Internacionales que Definen el perfil de la empresa Apple Colombia S.A.S. </v>
      </c>
      <c r="G5" s="201"/>
      <c r="H5" s="201"/>
      <c r="I5" s="201"/>
      <c r="J5" s="201"/>
      <c r="K5" s="201"/>
      <c r="L5" s="201"/>
    </row>
    <row r="6" spans="1:12" s="2" customFormat="1" ht="12.75">
      <c r="A6" s="9">
        <v>1</v>
      </c>
      <c r="B6" s="10" t="str">
        <f>LIDER!E43</f>
        <v>BERRIO LOPEZ VALENTINA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2"/>
      <c r="G6" s="199"/>
      <c r="H6" s="197"/>
      <c r="I6" s="199"/>
      <c r="J6" s="197"/>
      <c r="K6" s="199"/>
      <c r="L6" s="197"/>
    </row>
    <row r="7" spans="1:12" s="2" customFormat="1" ht="15" customHeight="1">
      <c r="A7" s="12">
        <v>2</v>
      </c>
      <c r="B7" s="10" t="str">
        <f>LIDER!E44</f>
        <v>BOHÓRQUEZ CANTERO SANTIAGO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2"/>
      <c r="G7" s="199"/>
      <c r="H7" s="197"/>
      <c r="I7" s="199"/>
      <c r="J7" s="197"/>
      <c r="K7" s="199"/>
      <c r="L7" s="197"/>
    </row>
    <row r="8" spans="1:12" s="2" customFormat="1" ht="15" customHeight="1">
      <c r="A8" s="12">
        <v>3</v>
      </c>
      <c r="B8" s="10" t="str">
        <f>LIDER!E45</f>
        <v>CAMPOS ABREU NICOLE ANTHONELLA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2"/>
      <c r="G8" s="199"/>
      <c r="H8" s="197"/>
      <c r="I8" s="199"/>
      <c r="J8" s="197"/>
      <c r="K8" s="199"/>
      <c r="L8" s="197"/>
    </row>
    <row r="9" spans="1:12" s="2" customFormat="1" ht="15" customHeight="1">
      <c r="A9" s="12">
        <v>4</v>
      </c>
      <c r="B9" s="10" t="str">
        <f>LIDER!E46</f>
        <v>RUIZ CHICO LAURA SOFIA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2"/>
      <c r="G9" s="199"/>
      <c r="H9" s="197"/>
      <c r="I9" s="199"/>
      <c r="J9" s="197"/>
      <c r="K9" s="199"/>
      <c r="L9" s="19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2"/>
      <c r="G10" s="199"/>
      <c r="H10" s="197"/>
      <c r="I10" s="199"/>
      <c r="J10" s="197"/>
      <c r="K10" s="199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2"/>
      <c r="G11" s="199"/>
      <c r="H11" s="197"/>
      <c r="I11" s="199"/>
      <c r="J11" s="197"/>
      <c r="K11" s="199"/>
      <c r="L11" s="197"/>
    </row>
    <row r="12" spans="1:12" s="2" customFormat="1" ht="15.75" customHeight="1" thickBot="1">
      <c r="A12" s="8"/>
      <c r="B12" s="25" t="s">
        <v>110</v>
      </c>
      <c r="C12" s="88" t="s">
        <v>111</v>
      </c>
      <c r="D12" s="32" t="str">
        <f>D5</f>
        <v>LIST</v>
      </c>
      <c r="E12" s="89" t="s">
        <v>109</v>
      </c>
      <c r="F12" s="201" t="str">
        <f>LIDER!$E$30</f>
        <v xml:space="preserve">GRUPO#2: Caracterización de los aspectos legales, tributarios, administrativos, macroeconómicos, 
tecnológicos e internacionales que definen el perfil empresarial de Ecopetrol S.A. en los 
negocios internacionales </v>
      </c>
      <c r="G12" s="201"/>
      <c r="H12" s="201"/>
      <c r="I12" s="201"/>
      <c r="J12" s="201"/>
      <c r="K12" s="201"/>
      <c r="L12" s="201"/>
    </row>
    <row r="13" spans="1:12" s="2" customFormat="1" ht="12.75">
      <c r="A13" s="9">
        <v>1</v>
      </c>
      <c r="B13" s="10" t="str">
        <f>LIDER!F43</f>
        <v>BUENDIA CAÑATE DONICEL DE JESUS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2"/>
      <c r="G13" s="199"/>
      <c r="H13" s="197"/>
      <c r="I13" s="199"/>
      <c r="J13" s="197"/>
      <c r="K13" s="199"/>
      <c r="L13" s="197"/>
    </row>
    <row r="14" spans="1:12" s="2" customFormat="1" ht="15" customHeight="1">
      <c r="A14" s="12">
        <v>2</v>
      </c>
      <c r="B14" s="10" t="str">
        <f>LIDER!F44</f>
        <v>MARRUGO CORREA MATEO DE JESUS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2"/>
      <c r="G14" s="199"/>
      <c r="H14" s="197"/>
      <c r="I14" s="199"/>
      <c r="J14" s="197"/>
      <c r="K14" s="199"/>
      <c r="L14" s="197"/>
    </row>
    <row r="15" spans="1:12" s="2" customFormat="1" ht="15" customHeight="1">
      <c r="A15" s="12">
        <v>3</v>
      </c>
      <c r="B15" s="10" t="str">
        <f>LIDER!F45</f>
        <v>ZEA NAVARRO JUAN ESTEBAN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2"/>
      <c r="G15" s="199"/>
      <c r="H15" s="197"/>
      <c r="I15" s="199"/>
      <c r="J15" s="197"/>
      <c r="K15" s="199"/>
      <c r="L15" s="197"/>
    </row>
    <row r="16" spans="1:12" s="2" customFormat="1" ht="15" customHeight="1">
      <c r="A16" s="12">
        <v>4</v>
      </c>
      <c r="B16" s="10" t="str">
        <f>LIDER!F46</f>
        <v>PALMERA MARTINEZ FRANCISCO JAVIER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2"/>
      <c r="G16" s="199"/>
      <c r="H16" s="197"/>
      <c r="I16" s="199"/>
      <c r="J16" s="197"/>
      <c r="K16" s="199"/>
      <c r="L16" s="197"/>
    </row>
    <row r="17" spans="1:12" s="2" customFormat="1" ht="15" customHeight="1">
      <c r="A17" s="12">
        <v>5</v>
      </c>
      <c r="B17" s="10" t="str">
        <f>LIDER!F47</f>
        <v>CONTRERAS MARTÍNEZ MARLON MANUEL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199"/>
      <c r="H17" s="197"/>
      <c r="I17" s="199"/>
      <c r="J17" s="197"/>
      <c r="K17" s="199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199"/>
      <c r="H18" s="197"/>
      <c r="I18" s="199"/>
      <c r="J18" s="197"/>
      <c r="K18" s="199"/>
      <c r="L18" s="197"/>
    </row>
    <row r="19" spans="1:12" s="2" customFormat="1" ht="15.75" customHeight="1">
      <c r="A19" s="14"/>
      <c r="B19" s="25" t="s">
        <v>112</v>
      </c>
      <c r="C19" s="88" t="s">
        <v>113</v>
      </c>
      <c r="D19" s="32" t="str">
        <f>D12</f>
        <v>LIST</v>
      </c>
      <c r="E19" s="89" t="s">
        <v>109</v>
      </c>
      <c r="F19" s="201" t="str">
        <f>LIDER!$E$31</f>
        <v xml:space="preserve">GRUPO#3: Análisis integral de los aspectos legales, tributarios, administrativos, 
macroeconómicos, tecnológicos e internacionales que configuran el perfil empresarial de 
Nestlé Colombia S.A. en los negocios internacionales. </v>
      </c>
      <c r="G19" s="201"/>
      <c r="H19" s="201"/>
      <c r="I19" s="201"/>
      <c r="J19" s="201"/>
      <c r="K19" s="201"/>
      <c r="L19" s="201"/>
    </row>
    <row r="20" spans="1:12" s="2" customFormat="1" ht="12.75">
      <c r="A20" s="9">
        <v>1</v>
      </c>
      <c r="B20" s="10" t="str">
        <f>LIDER!G43</f>
        <v>FONTALVO RODRIGUEZ ISABELLA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2"/>
      <c r="G20" s="199"/>
      <c r="H20" s="197"/>
      <c r="I20" s="199"/>
      <c r="J20" s="197"/>
      <c r="K20" s="199"/>
      <c r="L20" s="197"/>
    </row>
    <row r="21" spans="1:12" s="2" customFormat="1" ht="15" customHeight="1">
      <c r="A21" s="12">
        <v>2</v>
      </c>
      <c r="B21" s="10" t="str">
        <f>LIDER!G44</f>
        <v>LARA MAURY MARÍA ANGÉLICA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2"/>
      <c r="G21" s="199"/>
      <c r="H21" s="197"/>
      <c r="I21" s="199"/>
      <c r="J21" s="197"/>
      <c r="K21" s="199"/>
      <c r="L21" s="197"/>
    </row>
    <row r="22" spans="1:12" s="2" customFormat="1" ht="15" customHeight="1">
      <c r="A22" s="12">
        <v>3</v>
      </c>
      <c r="B22" s="10" t="str">
        <f>LIDER!G45</f>
        <v>PEREZ ALVAREZ DILAN ANDRES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2"/>
      <c r="G22" s="199"/>
      <c r="H22" s="197"/>
      <c r="I22" s="199"/>
      <c r="J22" s="197"/>
      <c r="K22" s="199"/>
      <c r="L22" s="19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2"/>
      <c r="G23" s="199"/>
      <c r="H23" s="197"/>
      <c r="I23" s="199"/>
      <c r="J23" s="197"/>
      <c r="K23" s="199"/>
      <c r="L23" s="19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2"/>
      <c r="G24" s="199"/>
      <c r="H24" s="197"/>
      <c r="I24" s="199"/>
      <c r="J24" s="197"/>
      <c r="K24" s="199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199"/>
      <c r="H25" s="197"/>
      <c r="I25" s="199"/>
      <c r="J25" s="197"/>
      <c r="K25" s="199"/>
      <c r="L25" s="197"/>
    </row>
    <row r="26" spans="1:12" s="2" customFormat="1" ht="15.75" customHeight="1">
      <c r="A26" s="14"/>
      <c r="B26" s="25" t="s">
        <v>114</v>
      </c>
      <c r="C26" s="88" t="s">
        <v>115</v>
      </c>
      <c r="D26" s="32" t="str">
        <f>D19</f>
        <v>LIST</v>
      </c>
      <c r="E26" s="89" t="s">
        <v>109</v>
      </c>
      <c r="F26" s="201" t="str">
        <f>LIDER!$E$32</f>
        <v>GRUPO#4: Análisis de los aspectos legales, tributarios, administrativos, macroeconómicos,
tecnológicos e internacionales de la empresa Arturo Calle S.A.S. en los negocios
internacionales</v>
      </c>
      <c r="G26" s="201"/>
      <c r="H26" s="201"/>
      <c r="I26" s="201"/>
      <c r="J26" s="201"/>
      <c r="K26" s="201"/>
      <c r="L26" s="201"/>
    </row>
    <row r="27" spans="1:12" s="2" customFormat="1" ht="12.75">
      <c r="A27" s="9">
        <v>1</v>
      </c>
      <c r="B27" s="10" t="str">
        <f>LIDER!H43</f>
        <v>BURGOS CAUSIL SHADIA TATIANA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2"/>
      <c r="G27" s="199"/>
      <c r="H27" s="197"/>
      <c r="I27" s="199"/>
      <c r="J27" s="197"/>
      <c r="K27" s="199"/>
      <c r="L27" s="197"/>
    </row>
    <row r="28" spans="1:12" s="2" customFormat="1" ht="15" customHeight="1">
      <c r="A28" s="12">
        <v>2</v>
      </c>
      <c r="B28" s="10" t="str">
        <f>LIDER!H44</f>
        <v>CASTRO SAYAS KEVIN ENRIQUE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2"/>
      <c r="G28" s="199"/>
      <c r="H28" s="197"/>
      <c r="I28" s="199"/>
      <c r="J28" s="197"/>
      <c r="K28" s="199"/>
      <c r="L28" s="197"/>
    </row>
    <row r="29" spans="1:12" s="2" customFormat="1" ht="15" customHeight="1">
      <c r="A29" s="12">
        <v>3</v>
      </c>
      <c r="B29" s="10" t="str">
        <f>LIDER!H45</f>
        <v>CERVERA BLANCO ALAN DAVID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2"/>
      <c r="G29" s="199"/>
      <c r="H29" s="197"/>
      <c r="I29" s="199"/>
      <c r="J29" s="197"/>
      <c r="K29" s="199"/>
      <c r="L29" s="197"/>
    </row>
    <row r="30" spans="1:12" s="2" customFormat="1" ht="15" customHeight="1">
      <c r="A30" s="12">
        <v>4</v>
      </c>
      <c r="B30" s="10" t="str">
        <f>LIDER!H46</f>
        <v>GONZALEZ PATERNINA YULIETH ISABEL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2"/>
      <c r="G30" s="199"/>
      <c r="H30" s="197"/>
      <c r="I30" s="199"/>
      <c r="J30" s="197"/>
      <c r="K30" s="199"/>
      <c r="L30" s="197"/>
    </row>
    <row r="31" spans="1:12" s="2" customFormat="1" ht="15" customHeight="1">
      <c r="A31" s="12">
        <v>5</v>
      </c>
      <c r="B31" s="10" t="str">
        <f>LIDER!H47</f>
        <v>GONZALEZ SOTO NICOLE ANDREA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2"/>
      <c r="G31" s="199"/>
      <c r="H31" s="197"/>
      <c r="I31" s="199"/>
      <c r="J31" s="197"/>
      <c r="K31" s="199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199"/>
      <c r="H32" s="197"/>
      <c r="I32" s="199"/>
      <c r="J32" s="197"/>
      <c r="K32" s="199"/>
      <c r="L32" s="197"/>
    </row>
    <row r="33" spans="1:12" s="2" customFormat="1" ht="15.75" customHeight="1">
      <c r="A33" s="14"/>
      <c r="B33" s="25" t="s">
        <v>116</v>
      </c>
      <c r="C33" s="88" t="s">
        <v>117</v>
      </c>
      <c r="D33" s="32" t="str">
        <f>D26</f>
        <v>LIST</v>
      </c>
      <c r="E33" s="89" t="s">
        <v>109</v>
      </c>
      <c r="F33" s="201" t="str">
        <f>LIDER!$E$33</f>
        <v xml:space="preserve">GRUPO#5: Aspectos legales, tributarios, administrativos, macroeconómicos, aduaneros, tecnológicos e 
internacionales que definen el perfil de Cementos Argos en los negocios internacionales </v>
      </c>
      <c r="G33" s="201"/>
      <c r="H33" s="201"/>
      <c r="I33" s="201"/>
      <c r="J33" s="201"/>
      <c r="K33" s="201"/>
      <c r="L33" s="201"/>
    </row>
    <row r="34" spans="1:12" s="2" customFormat="1" ht="12.75">
      <c r="A34" s="9">
        <v>1</v>
      </c>
      <c r="B34" s="10" t="str">
        <f>LIDER!E51</f>
        <v>CANTILLO ZABALETA JULIANA ISABEL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2"/>
      <c r="G34" s="199"/>
      <c r="H34" s="197"/>
      <c r="I34" s="199"/>
      <c r="J34" s="197"/>
      <c r="K34" s="199"/>
      <c r="L34" s="197"/>
    </row>
    <row r="35" spans="1:12" s="2" customFormat="1" ht="15" customHeight="1">
      <c r="A35" s="12">
        <v>2</v>
      </c>
      <c r="B35" s="10" t="str">
        <f>LIDER!E52</f>
        <v>DAVILA GONZALEZ ALANA ARAI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2"/>
      <c r="G35" s="199"/>
      <c r="H35" s="197"/>
      <c r="I35" s="199"/>
      <c r="J35" s="197"/>
      <c r="K35" s="199"/>
      <c r="L35" s="197"/>
    </row>
    <row r="36" spans="1:12" s="2" customFormat="1" ht="15" customHeight="1">
      <c r="A36" s="12">
        <v>3</v>
      </c>
      <c r="B36" s="10" t="str">
        <f>LIDER!E53</f>
        <v>OBANDO MARSIGLIA JESED ALEJANDRO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2"/>
      <c r="G36" s="199"/>
      <c r="H36" s="197"/>
      <c r="I36" s="199"/>
      <c r="J36" s="197"/>
      <c r="K36" s="199"/>
      <c r="L36" s="197"/>
    </row>
    <row r="37" spans="1:12" s="2" customFormat="1" ht="15" customHeight="1">
      <c r="A37" s="12">
        <v>4</v>
      </c>
      <c r="B37" s="10" t="str">
        <f>LIDER!E54</f>
        <v>GARCÍA REYES VALERY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2"/>
      <c r="G37" s="199"/>
      <c r="H37" s="197"/>
      <c r="I37" s="199"/>
      <c r="J37" s="197"/>
      <c r="K37" s="199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199"/>
      <c r="H38" s="197"/>
      <c r="I38" s="199"/>
      <c r="J38" s="197"/>
      <c r="K38" s="199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199"/>
      <c r="H39" s="197"/>
      <c r="I39" s="199"/>
      <c r="J39" s="197"/>
      <c r="K39" s="199"/>
      <c r="L39" s="197"/>
    </row>
    <row r="40" spans="1:12" s="2" customFormat="1" ht="15.75" customHeight="1">
      <c r="A40" s="14"/>
      <c r="B40" s="25" t="s">
        <v>118</v>
      </c>
      <c r="C40" s="88" t="s">
        <v>119</v>
      </c>
      <c r="D40" s="32" t="str">
        <f>D33</f>
        <v>LIST</v>
      </c>
      <c r="E40" s="89" t="s">
        <v>109</v>
      </c>
      <c r="F40" s="201" t="str">
        <f>LIDER!$E$34</f>
        <v>GRUPO#6: Análisis de los aspectos legales, tributarios, administrativos, macroeconómicos, aduaneros, tecnológicos e
internacionales que definen el perfil de Alpina S.A.S en los negocios internacionales</v>
      </c>
      <c r="G40" s="201"/>
      <c r="H40" s="201"/>
      <c r="I40" s="201"/>
      <c r="J40" s="201"/>
      <c r="K40" s="201"/>
      <c r="L40" s="201"/>
    </row>
    <row r="41" spans="1:12" s="2" customFormat="1" ht="12.75">
      <c r="A41" s="9">
        <v>1</v>
      </c>
      <c r="B41" s="10" t="str">
        <f>LIDER!F51</f>
        <v>ALVARADO MAS Y RUBI LOHANA  VICTORIA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2"/>
      <c r="G41" s="199"/>
      <c r="H41" s="197"/>
      <c r="I41" s="199"/>
      <c r="J41" s="197"/>
      <c r="K41" s="199"/>
      <c r="L41" s="197"/>
    </row>
    <row r="42" spans="1:12" s="2" customFormat="1" ht="15" customHeight="1">
      <c r="A42" s="12">
        <v>2</v>
      </c>
      <c r="B42" s="10" t="str">
        <f>LIDER!F52</f>
        <v>MANOTAS ACEVEDO LAURA DANIELA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2"/>
      <c r="G42" s="199"/>
      <c r="H42" s="197"/>
      <c r="I42" s="199"/>
      <c r="J42" s="197"/>
      <c r="K42" s="199"/>
      <c r="L42" s="197"/>
    </row>
    <row r="43" spans="1:12" s="2" customFormat="1" ht="15" customHeight="1">
      <c r="A43" s="12">
        <v>3</v>
      </c>
      <c r="B43" s="10" t="str">
        <f>LIDER!F53</f>
        <v>RIVERA MENDOZA EDITH MARIA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2"/>
      <c r="G43" s="199"/>
      <c r="H43" s="197"/>
      <c r="I43" s="199"/>
      <c r="J43" s="197"/>
      <c r="K43" s="199"/>
      <c r="L43" s="197"/>
    </row>
    <row r="44" spans="1:12" s="2" customFormat="1" ht="15" customHeight="1">
      <c r="A44" s="12">
        <v>4</v>
      </c>
      <c r="B44" s="10" t="str">
        <f>LIDER!F54</f>
        <v>THERAN MENDOZA JESUS DAVID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2"/>
      <c r="G44" s="199"/>
      <c r="H44" s="197"/>
      <c r="I44" s="199"/>
      <c r="J44" s="197"/>
      <c r="K44" s="199"/>
      <c r="L44" s="197"/>
    </row>
    <row r="45" spans="1:12" s="2" customFormat="1" ht="15" customHeight="1">
      <c r="A45" s="12">
        <v>5</v>
      </c>
      <c r="B45" s="10" t="str">
        <f>LIDER!F55</f>
        <v>RODRIGUEZ PEREZ JEAN CARLOS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2"/>
      <c r="G45" s="199"/>
      <c r="H45" s="197"/>
      <c r="I45" s="199"/>
      <c r="J45" s="197"/>
      <c r="K45" s="199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2"/>
      <c r="G46" s="199"/>
      <c r="H46" s="197"/>
      <c r="I46" s="199"/>
      <c r="J46" s="197"/>
      <c r="K46" s="199"/>
      <c r="L46" s="197"/>
    </row>
    <row r="47" spans="1:12" s="2" customFormat="1" ht="15.75" customHeight="1">
      <c r="A47" s="14"/>
      <c r="B47" s="25" t="s">
        <v>120</v>
      </c>
      <c r="C47" s="88" t="s">
        <v>121</v>
      </c>
      <c r="D47" s="32" t="str">
        <f>D40</f>
        <v>LIST</v>
      </c>
      <c r="E47" s="89" t="s">
        <v>109</v>
      </c>
      <c r="F47" s="201" t="str">
        <f>LIDER!$E$35</f>
        <v xml:space="preserve">GRUPO#7: Aspectos Legales, Tributarios, Administrativos, Macroeconómicos, Aduaneros, 
Tecnológicos, e Internacional que Definen el Perfil de Agofer S.A.S en los Negocios 
Internacionales </v>
      </c>
      <c r="G47" s="201"/>
      <c r="H47" s="201"/>
      <c r="I47" s="201"/>
      <c r="J47" s="201"/>
      <c r="K47" s="201"/>
      <c r="L47" s="201"/>
    </row>
    <row r="48" spans="1:12" s="2" customFormat="1" ht="12.75">
      <c r="A48" s="9">
        <v>1</v>
      </c>
      <c r="B48" s="10" t="str">
        <f>LIDER!G51</f>
        <v>CAMPO PÉREZ NALIETH NICOHL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2"/>
      <c r="G48" s="199"/>
      <c r="H48" s="197"/>
      <c r="I48" s="199"/>
      <c r="J48" s="197"/>
      <c r="K48" s="199"/>
      <c r="L48" s="197"/>
    </row>
    <row r="49" spans="1:12" s="2" customFormat="1" ht="15" customHeight="1">
      <c r="A49" s="12">
        <v>2</v>
      </c>
      <c r="B49" s="10" t="str">
        <f>LIDER!G52</f>
        <v>NOVOA GOMEZ IANA MARCELA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2"/>
      <c r="G49" s="199"/>
      <c r="H49" s="197"/>
      <c r="I49" s="199"/>
      <c r="J49" s="197"/>
      <c r="K49" s="199"/>
      <c r="L49" s="197"/>
    </row>
    <row r="50" spans="1:12" s="2" customFormat="1" ht="15" customHeight="1">
      <c r="A50" s="12">
        <v>3</v>
      </c>
      <c r="B50" s="10" t="str">
        <f>LIDER!G53</f>
        <v>OSPINO MARTÍNEZ KAROLAY SOFIA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2"/>
      <c r="G50" s="199"/>
      <c r="H50" s="197"/>
      <c r="I50" s="199"/>
      <c r="J50" s="197"/>
      <c r="K50" s="199"/>
      <c r="L50" s="197"/>
    </row>
    <row r="51" spans="1:12" s="2" customFormat="1" ht="15" customHeight="1">
      <c r="A51" s="12">
        <v>4</v>
      </c>
      <c r="B51" s="10" t="str">
        <f>LIDER!G54</f>
        <v>PEREZ VERGARA VALERIA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2"/>
      <c r="G51" s="199"/>
      <c r="H51" s="197"/>
      <c r="I51" s="199"/>
      <c r="J51" s="197"/>
      <c r="K51" s="199"/>
      <c r="L51" s="197"/>
    </row>
    <row r="52" spans="1:12" s="2" customFormat="1" ht="15" customHeight="1">
      <c r="A52" s="12">
        <v>5</v>
      </c>
      <c r="B52" s="10" t="str">
        <f>LIDER!G55</f>
        <v>PETRO ROSARIO VALERIE SARED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2"/>
      <c r="G52" s="199"/>
      <c r="H52" s="197"/>
      <c r="I52" s="199"/>
      <c r="J52" s="197"/>
      <c r="K52" s="199"/>
      <c r="L52" s="197"/>
    </row>
    <row r="53" spans="1:12" s="2" customFormat="1" ht="15.75" customHeight="1">
      <c r="A53" s="13">
        <v>6</v>
      </c>
      <c r="B53" s="91" t="str">
        <f>LIDER!G56</f>
        <v>RAMOS ORTEGA LAURA INÉS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2"/>
      <c r="G53" s="199"/>
      <c r="H53" s="197"/>
      <c r="I53" s="199"/>
      <c r="J53" s="197"/>
      <c r="K53" s="199"/>
      <c r="L53" s="197"/>
    </row>
    <row r="54" spans="1:12" s="2" customFormat="1" ht="15.75" customHeight="1">
      <c r="A54" s="14"/>
      <c r="B54" s="25" t="s">
        <v>122</v>
      </c>
      <c r="C54" s="88" t="s">
        <v>123</v>
      </c>
      <c r="D54" s="32" t="str">
        <f>D47</f>
        <v>LIST</v>
      </c>
      <c r="E54" s="89" t="s">
        <v>109</v>
      </c>
      <c r="F54" s="201" t="str">
        <f>LIDER!$E$36</f>
        <v>GRUPO#8: Aspectos legales, tributarios, administrativos, macroeconómicos, aduaneros y tecnológicos que definen el perfil de Terpel S.A. en los negocios internacionales</v>
      </c>
      <c r="G54" s="201"/>
      <c r="H54" s="201"/>
      <c r="I54" s="201"/>
      <c r="J54" s="201"/>
      <c r="K54" s="201"/>
      <c r="L54" s="201"/>
    </row>
    <row r="55" spans="1:12" s="2" customFormat="1" ht="12.75">
      <c r="A55" s="9">
        <v>1</v>
      </c>
      <c r="B55" s="10" t="str">
        <f>LIDER!H51</f>
        <v>BARRIOS RAMIREZ JUAN JOSE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2"/>
      <c r="G55" s="199"/>
      <c r="H55" s="197"/>
      <c r="I55" s="199"/>
      <c r="J55" s="197"/>
      <c r="K55" s="199"/>
      <c r="L55" s="197"/>
    </row>
    <row r="56" spans="1:12" s="2" customFormat="1" ht="15" customHeight="1">
      <c r="A56" s="12">
        <v>2</v>
      </c>
      <c r="B56" s="10" t="str">
        <f>LIDER!H52</f>
        <v>HERRERA PRADA JAIDER DAVID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2"/>
      <c r="G56" s="199"/>
      <c r="H56" s="197"/>
      <c r="I56" s="199"/>
      <c r="J56" s="197"/>
      <c r="K56" s="199"/>
      <c r="L56" s="197"/>
    </row>
    <row r="57" spans="1:12" s="2" customFormat="1" ht="15" customHeight="1">
      <c r="A57" s="12">
        <v>3</v>
      </c>
      <c r="B57" s="10" t="str">
        <f>LIDER!H53</f>
        <v>GARCIA SUAREZ ANDREA CAROLINA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2"/>
      <c r="G57" s="199"/>
      <c r="H57" s="197"/>
      <c r="I57" s="199"/>
      <c r="J57" s="197"/>
      <c r="K57" s="199"/>
      <c r="L57" s="197"/>
    </row>
    <row r="58" spans="1:12" s="2" customFormat="1" ht="15" customHeight="1">
      <c r="A58" s="12">
        <v>4</v>
      </c>
      <c r="B58" s="10" t="str">
        <f>LIDER!H54</f>
        <v>PEREZ GELIS LUISA FERNANDA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2"/>
      <c r="G58" s="199"/>
      <c r="H58" s="197"/>
      <c r="I58" s="199"/>
      <c r="J58" s="197"/>
      <c r="K58" s="199"/>
      <c r="L58" s="197"/>
    </row>
    <row r="59" spans="1:12" s="2" customFormat="1" ht="15" customHeight="1">
      <c r="A59" s="12">
        <v>5</v>
      </c>
      <c r="B59" s="10" t="str">
        <f>LIDER!H55</f>
        <v>LOPEZ PAYARES OSMAN JUNIOR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2"/>
      <c r="G59" s="199"/>
      <c r="H59" s="197"/>
      <c r="I59" s="199"/>
      <c r="J59" s="197"/>
      <c r="K59" s="199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199"/>
      <c r="H60" s="197"/>
      <c r="I60" s="199"/>
      <c r="J60" s="197"/>
      <c r="K60" s="199"/>
      <c r="L60" s="197"/>
    </row>
    <row r="61" spans="1:12" s="2" customFormat="1" ht="15.75" customHeight="1">
      <c r="A61" s="14"/>
      <c r="B61" s="25" t="s">
        <v>124</v>
      </c>
      <c r="C61" s="88" t="s">
        <v>125</v>
      </c>
      <c r="D61" s="32" t="str">
        <f>D54</f>
        <v>LIST</v>
      </c>
      <c r="E61" s="89" t="s">
        <v>109</v>
      </c>
      <c r="F61" s="201" t="str">
        <f>LIDER!$E$37</f>
        <v>GRUPO#9: Aspectos, legales, tributarios, administrativos, macroeconómicos, aduaneros e internacionales que definen el
perfil de Samsung  en los negocios internacionales.</v>
      </c>
      <c r="G61" s="201"/>
      <c r="H61" s="201"/>
      <c r="I61" s="201"/>
      <c r="J61" s="201"/>
      <c r="K61" s="201"/>
      <c r="L61" s="201"/>
    </row>
    <row r="62" spans="1:12" s="2" customFormat="1" ht="12.75">
      <c r="A62" s="9">
        <v>1</v>
      </c>
      <c r="B62" s="10" t="str">
        <f>LIDER!E59</f>
        <v>CORDOBA RODRIGUEZ ADRIANO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2"/>
      <c r="G62" s="199"/>
      <c r="H62" s="197"/>
      <c r="I62" s="199"/>
      <c r="J62" s="197"/>
      <c r="K62" s="199"/>
      <c r="L62" s="197"/>
    </row>
    <row r="63" spans="1:12" s="2" customFormat="1" ht="15" customHeight="1">
      <c r="A63" s="12">
        <v>2</v>
      </c>
      <c r="B63" s="10" t="str">
        <f>LIDER!E60</f>
        <v>ZUÑIGA IGLESIAS EMMANUEL DAVID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199"/>
      <c r="H63" s="197"/>
      <c r="I63" s="199"/>
      <c r="J63" s="197"/>
      <c r="K63" s="199"/>
      <c r="L63" s="197"/>
    </row>
    <row r="64" spans="1:12" s="2" customFormat="1" ht="15" customHeight="1">
      <c r="A64" s="12">
        <v>3</v>
      </c>
      <c r="B64" s="10" t="str">
        <f>LIDER!E61</f>
        <v>ORTÍZ ZUÑIGA WILYS JUNIOR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2"/>
      <c r="G64" s="199"/>
      <c r="H64" s="197"/>
      <c r="I64" s="199"/>
      <c r="J64" s="197"/>
      <c r="K64" s="199"/>
      <c r="L64" s="197"/>
    </row>
    <row r="65" spans="1:12" s="2" customFormat="1" ht="15" customHeight="1">
      <c r="A65" s="12">
        <v>4</v>
      </c>
      <c r="B65" s="10" t="str">
        <f>LIDER!E62</f>
        <v>DE ORO MOLINA RONNY AMEL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2"/>
      <c r="G65" s="199"/>
      <c r="H65" s="197"/>
      <c r="I65" s="199"/>
      <c r="J65" s="197"/>
      <c r="K65" s="199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199"/>
      <c r="H66" s="197"/>
      <c r="I66" s="199"/>
      <c r="J66" s="197"/>
      <c r="K66" s="199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199"/>
      <c r="H67" s="197"/>
      <c r="I67" s="199"/>
      <c r="J67" s="197"/>
      <c r="K67" s="199"/>
      <c r="L67" s="197"/>
    </row>
    <row r="68" spans="1:12" s="2" customFormat="1" ht="15.75" customHeight="1">
      <c r="A68" s="14"/>
      <c r="B68" s="25" t="s">
        <v>86</v>
      </c>
      <c r="C68" s="88" t="s">
        <v>126</v>
      </c>
      <c r="D68" s="32" t="str">
        <f>D61</f>
        <v>LIST</v>
      </c>
      <c r="E68" s="89" t="s">
        <v>109</v>
      </c>
      <c r="F68" s="201" t="str">
        <f>LIDER!$E$38</f>
        <v>GRUPO#10</v>
      </c>
      <c r="G68" s="201"/>
      <c r="H68" s="201"/>
      <c r="I68" s="201"/>
      <c r="J68" s="201"/>
      <c r="K68" s="201"/>
      <c r="L68" s="20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199"/>
      <c r="H69" s="197"/>
      <c r="I69" s="199"/>
      <c r="J69" s="197"/>
      <c r="K69" s="199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199"/>
      <c r="H70" s="197"/>
      <c r="I70" s="199"/>
      <c r="J70" s="197"/>
      <c r="K70" s="199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199"/>
      <c r="H71" s="197"/>
      <c r="I71" s="199"/>
      <c r="J71" s="197"/>
      <c r="K71" s="199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199"/>
      <c r="H72" s="197"/>
      <c r="I72" s="199"/>
      <c r="J72" s="197"/>
      <c r="K72" s="199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199"/>
      <c r="H73" s="197"/>
      <c r="I73" s="199"/>
      <c r="J73" s="197"/>
      <c r="K73" s="199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199"/>
      <c r="H74" s="197"/>
      <c r="I74" s="199"/>
      <c r="J74" s="197"/>
      <c r="K74" s="199"/>
      <c r="L74" s="197"/>
    </row>
    <row r="75" spans="1:12" s="2" customFormat="1" ht="15.75" customHeight="1">
      <c r="A75" s="14"/>
      <c r="B75" s="25" t="s">
        <v>88</v>
      </c>
      <c r="C75" s="88" t="s">
        <v>127</v>
      </c>
      <c r="D75" s="32" t="str">
        <f>D68</f>
        <v>LIST</v>
      </c>
      <c r="E75" s="89" t="s">
        <v>109</v>
      </c>
      <c r="F75" s="201" t="str">
        <f>LIDER!$E$39</f>
        <v>GRUPO#11</v>
      </c>
      <c r="G75" s="201"/>
      <c r="H75" s="201"/>
      <c r="I75" s="201"/>
      <c r="J75" s="201"/>
      <c r="K75" s="201"/>
      <c r="L75" s="20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199"/>
      <c r="H76" s="197"/>
      <c r="I76" s="199"/>
      <c r="J76" s="197"/>
      <c r="K76" s="199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199"/>
      <c r="H77" s="197"/>
      <c r="I77" s="199"/>
      <c r="J77" s="197"/>
      <c r="K77" s="199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199"/>
      <c r="H78" s="197"/>
      <c r="I78" s="199"/>
      <c r="J78" s="197"/>
      <c r="K78" s="199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199"/>
      <c r="H79" s="197"/>
      <c r="I79" s="199"/>
      <c r="J79" s="197"/>
      <c r="K79" s="199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199"/>
      <c r="H80" s="197"/>
      <c r="I80" s="199"/>
      <c r="J80" s="197"/>
      <c r="K80" s="199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199"/>
      <c r="H81" s="197"/>
      <c r="I81" s="199"/>
      <c r="J81" s="197"/>
      <c r="K81" s="199"/>
      <c r="L81" s="197"/>
    </row>
    <row r="82" spans="1:12" s="2" customFormat="1" ht="15.75" customHeight="1">
      <c r="A82" s="14"/>
      <c r="B82" s="25" t="s">
        <v>90</v>
      </c>
      <c r="C82" s="88" t="s">
        <v>128</v>
      </c>
      <c r="D82" s="32" t="str">
        <f>D75</f>
        <v>LIST</v>
      </c>
      <c r="E82" s="89" t="s">
        <v>109</v>
      </c>
      <c r="F82" s="201" t="str">
        <f>LIDER!$E$40</f>
        <v>GRUPO#12</v>
      </c>
      <c r="G82" s="201"/>
      <c r="H82" s="201"/>
      <c r="I82" s="201"/>
      <c r="J82" s="201"/>
      <c r="K82" s="201"/>
      <c r="L82" s="20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199"/>
      <c r="H83" s="197"/>
      <c r="I83" s="199"/>
      <c r="J83" s="197"/>
      <c r="K83" s="199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199"/>
      <c r="H84" s="197"/>
      <c r="I84" s="199"/>
      <c r="J84" s="197"/>
      <c r="K84" s="199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199"/>
      <c r="H85" s="197"/>
      <c r="I85" s="199"/>
      <c r="J85" s="197"/>
      <c r="K85" s="199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199"/>
      <c r="H86" s="197"/>
      <c r="I86" s="199"/>
      <c r="J86" s="197"/>
      <c r="K86" s="199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199"/>
      <c r="H87" s="197"/>
      <c r="I87" s="199"/>
      <c r="J87" s="197"/>
      <c r="K87" s="199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3"/>
      <c r="G88" s="200"/>
      <c r="H88" s="198"/>
      <c r="I88" s="200"/>
      <c r="J88" s="198"/>
      <c r="K88" s="200"/>
      <c r="L88" s="198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F61" activePane="bottomRight" state="frozen"/>
      <selection pane="bottomRight" activeCell="G62" sqref="G62:J65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LIDER!C4</f>
        <v>MACROECONOMÍA</v>
      </c>
      <c r="C2" s="3"/>
      <c r="E2" s="216" t="s">
        <v>104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105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21" t="str">
        <f>CONCATENATE(LIDER!C4," - ",LIDER!C6," - ",LIDER!C5)</f>
        <v>MACROECONOMÍA - 1530 - OSVALDO ALCIDE BLANQUICET LOZANO</v>
      </c>
      <c r="F4" s="222"/>
      <c r="G4" s="222"/>
      <c r="H4" s="222"/>
      <c r="I4" s="222"/>
      <c r="J4" s="222"/>
      <c r="K4" s="223"/>
    </row>
    <row r="5" spans="1:11" s="2" customFormat="1" ht="15.75" customHeight="1" thickBot="1">
      <c r="A5" s="8"/>
      <c r="B5" s="27" t="s">
        <v>106</v>
      </c>
      <c r="C5" s="32" t="str">
        <f>IF('S-ASIG-01'!D5="","",'S-ASIG-01'!D5)</f>
        <v>LIST</v>
      </c>
      <c r="D5" s="35" t="s">
        <v>109</v>
      </c>
      <c r="E5" s="219" t="str">
        <f>LIDER!$E$29</f>
        <v xml:space="preserve">GRUPO#1: Aspectos Legales, Tributarios, Administrativos, Macroeconómicos, Aduaneros, Tecnológicos
e Internacionales que Definen el perfil de la empresa Apple Colombia S.A.S. </v>
      </c>
      <c r="F5" s="201"/>
      <c r="G5" s="201"/>
      <c r="H5" s="201"/>
      <c r="I5" s="201"/>
      <c r="J5" s="201"/>
      <c r="K5" s="201"/>
    </row>
    <row r="6" spans="1:11" s="2" customFormat="1" ht="12.75">
      <c r="A6" s="9">
        <v>1</v>
      </c>
      <c r="B6" s="28" t="str">
        <f>LIDER!E43</f>
        <v>BERRIO LOPEZ VALENTINA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4.0999999999999996</v>
      </c>
      <c r="E6" s="215">
        <v>4.0999999999999996</v>
      </c>
      <c r="F6" s="24">
        <v>4.0999999999999996</v>
      </c>
      <c r="G6" s="24">
        <v>4.0999999999999996</v>
      </c>
      <c r="H6" s="24">
        <v>4.0999999999999996</v>
      </c>
      <c r="I6" s="24">
        <v>4.0999999999999996</v>
      </c>
      <c r="J6" s="24">
        <v>4.0999999999999996</v>
      </c>
      <c r="K6" s="24"/>
    </row>
    <row r="7" spans="1:11" s="2" customFormat="1" ht="15" customHeight="1">
      <c r="A7" s="12">
        <v>2</v>
      </c>
      <c r="B7" s="28" t="str">
        <f>LIDER!E44</f>
        <v>BOHÓRQUEZ CANTERO SANTIAGO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4.0999999999999996</v>
      </c>
      <c r="E7" s="215"/>
      <c r="F7" s="18">
        <v>4.0999999999999996</v>
      </c>
      <c r="G7" s="18">
        <v>4.0999999999999996</v>
      </c>
      <c r="H7" s="18">
        <v>4.0999999999999996</v>
      </c>
      <c r="I7" s="18">
        <v>4.0999999999999996</v>
      </c>
      <c r="J7" s="18">
        <v>4.0999999999999996</v>
      </c>
      <c r="K7" s="18"/>
    </row>
    <row r="8" spans="1:11" s="2" customFormat="1" ht="15" customHeight="1">
      <c r="A8" s="12">
        <v>3</v>
      </c>
      <c r="B8" s="28" t="str">
        <f>LIDER!E45</f>
        <v>CAMPOS ABREU NICOLE ANTHONELLA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4.0999999999999996</v>
      </c>
      <c r="E8" s="215"/>
      <c r="F8" s="18">
        <v>4.0999999999999996</v>
      </c>
      <c r="G8" s="18">
        <v>4.0999999999999996</v>
      </c>
      <c r="H8" s="18">
        <v>4.0999999999999996</v>
      </c>
      <c r="I8" s="18">
        <v>4.0999999999999996</v>
      </c>
      <c r="J8" s="18">
        <v>4.0999999999999996</v>
      </c>
      <c r="K8" s="18"/>
    </row>
    <row r="9" spans="1:11" s="2" customFormat="1" ht="15" customHeight="1">
      <c r="A9" s="12">
        <v>4</v>
      </c>
      <c r="B9" s="28" t="str">
        <f>LIDER!E46</f>
        <v>RUIZ CHICO LAURA SOFIA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4.0999999999999996</v>
      </c>
      <c r="E9" s="215"/>
      <c r="F9" s="18">
        <v>4.0999999999999996</v>
      </c>
      <c r="G9" s="18">
        <v>4.0999999999999996</v>
      </c>
      <c r="H9" s="18">
        <v>4.0999999999999996</v>
      </c>
      <c r="I9" s="18">
        <v>4.0999999999999996</v>
      </c>
      <c r="J9" s="18">
        <v>4.0999999999999996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1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1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110</v>
      </c>
      <c r="C12" s="32" t="str">
        <f>IF('S-ASIG-01'!D12="","",'S-ASIG-01'!D12)</f>
        <v>LIST</v>
      </c>
      <c r="D12" s="35" t="s">
        <v>109</v>
      </c>
      <c r="E12" s="219" t="str">
        <f>LIDER!$E$30</f>
        <v xml:space="preserve">GRUPO#2: Caracterización de los aspectos legales, tributarios, administrativos, macroeconómicos, 
tecnológicos e internacionales que definen el perfil empresarial de Ecopetrol S.A. en los 
negocios internacionales </v>
      </c>
      <c r="F12" s="201"/>
      <c r="G12" s="201"/>
      <c r="H12" s="201"/>
      <c r="I12" s="201"/>
      <c r="J12" s="201"/>
      <c r="K12" s="201"/>
    </row>
    <row r="13" spans="1:11" s="2" customFormat="1" ht="12.75">
      <c r="A13" s="9">
        <v>1</v>
      </c>
      <c r="B13" s="28" t="str">
        <f>LIDER!F43</f>
        <v>BUENDIA CAÑATE DONICEL DE JESUS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4.4499999999999993</v>
      </c>
      <c r="E13" s="215">
        <v>4.3</v>
      </c>
      <c r="F13" s="24">
        <v>4.5999999999999996</v>
      </c>
      <c r="G13" s="24">
        <v>4.5999999999999996</v>
      </c>
      <c r="H13" s="24">
        <v>4.5999999999999996</v>
      </c>
      <c r="I13" s="24">
        <v>4.5999999999999996</v>
      </c>
      <c r="J13" s="24">
        <v>4.5999999999999996</v>
      </c>
      <c r="K13" s="24"/>
    </row>
    <row r="14" spans="1:11" s="2" customFormat="1" ht="15" customHeight="1">
      <c r="A14" s="12">
        <v>2</v>
      </c>
      <c r="B14" s="28" t="str">
        <f>LIDER!F44</f>
        <v>MARRUGO CORREA MATEO DE JESUS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4.4499999999999993</v>
      </c>
      <c r="E14" s="215"/>
      <c r="F14" s="18">
        <v>4.5999999999999996</v>
      </c>
      <c r="G14" s="18">
        <v>4.5999999999999996</v>
      </c>
      <c r="H14" s="18">
        <v>4.5999999999999996</v>
      </c>
      <c r="I14" s="18">
        <v>4.5999999999999996</v>
      </c>
      <c r="J14" s="18">
        <v>4.5999999999999996</v>
      </c>
      <c r="K14" s="18"/>
    </row>
    <row r="15" spans="1:11" s="2" customFormat="1" ht="15" customHeight="1">
      <c r="A15" s="12">
        <v>3</v>
      </c>
      <c r="B15" s="28" t="str">
        <f>LIDER!F45</f>
        <v>ZEA NAVARRO JUAN ESTEBAN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4.4499999999999993</v>
      </c>
      <c r="E15" s="215"/>
      <c r="F15" s="18">
        <v>4.5999999999999996</v>
      </c>
      <c r="G15" s="18">
        <v>4.5999999999999996</v>
      </c>
      <c r="H15" s="18">
        <v>4.5999999999999996</v>
      </c>
      <c r="I15" s="18">
        <v>4.5999999999999996</v>
      </c>
      <c r="J15" s="18">
        <v>4.5999999999999996</v>
      </c>
      <c r="K15" s="18"/>
    </row>
    <row r="16" spans="1:11" s="2" customFormat="1" ht="15" customHeight="1">
      <c r="A16" s="12">
        <v>4</v>
      </c>
      <c r="B16" s="28" t="str">
        <f>LIDER!F46</f>
        <v>PALMERA MARTINEZ FRANCISCO JAVIER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4.4499999999999993</v>
      </c>
      <c r="E16" s="215"/>
      <c r="F16" s="18">
        <v>4.5999999999999996</v>
      </c>
      <c r="G16" s="18">
        <v>4.5999999999999996</v>
      </c>
      <c r="H16" s="18">
        <v>4.5999999999999996</v>
      </c>
      <c r="I16" s="18">
        <v>4.5999999999999996</v>
      </c>
      <c r="J16" s="18">
        <v>4.5999999999999996</v>
      </c>
      <c r="K16" s="18"/>
    </row>
    <row r="17" spans="1:11" s="2" customFormat="1" ht="15" customHeight="1">
      <c r="A17" s="12">
        <v>5</v>
      </c>
      <c r="B17" s="28" t="str">
        <f>LIDER!F47</f>
        <v>CONTRERAS MARTÍNEZ MARLON MANUEL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4.4499999999999993</v>
      </c>
      <c r="E17" s="215"/>
      <c r="F17" s="18">
        <v>4.5999999999999996</v>
      </c>
      <c r="G17" s="18">
        <v>4.5999999999999996</v>
      </c>
      <c r="H17" s="18">
        <v>4.5999999999999996</v>
      </c>
      <c r="I17" s="18">
        <v>4.5999999999999996</v>
      </c>
      <c r="J17" s="18">
        <v>4.5999999999999996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1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112</v>
      </c>
      <c r="C19" s="32" t="str">
        <f>IF('S-ASIG-01'!D19="","",'S-ASIG-01'!D19)</f>
        <v>LIST</v>
      </c>
      <c r="D19" s="35" t="s">
        <v>109</v>
      </c>
      <c r="E19" s="219" t="str">
        <f>LIDER!$E$31</f>
        <v xml:space="preserve">GRUPO#3: Análisis integral de los aspectos legales, tributarios, administrativos, 
macroeconómicos, tecnológicos e internacionales que configuran el perfil empresarial de 
Nestlé Colombia S.A. en los negocios internacionales. </v>
      </c>
      <c r="F19" s="201"/>
      <c r="G19" s="201"/>
      <c r="H19" s="201"/>
      <c r="I19" s="201"/>
      <c r="J19" s="201"/>
      <c r="K19" s="201"/>
    </row>
    <row r="20" spans="1:11" s="2" customFormat="1" ht="12.75">
      <c r="A20" s="9">
        <v>1</v>
      </c>
      <c r="B20" s="28" t="str">
        <f>LIDER!G43</f>
        <v>FONTALVO RODRIGUEZ ISABELLA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4.55</v>
      </c>
      <c r="E20" s="215">
        <v>4.5999999999999996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LARA MAURY MARÍA ANGÉLICA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4.55</v>
      </c>
      <c r="E21" s="215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PEREZ ALVAREZ DILAN ANDRES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4.55</v>
      </c>
      <c r="E22" s="215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IF('S-ASIG-01'!D23="","",'S-ASIG-01'!D23)</f>
        <v/>
      </c>
      <c r="D23" s="30" t="str">
        <f>IF(B23=0,"",IF(C23="",$E$20*LIDER!$H$19+F23*LIDER!$H$20+G23*LIDER!$H$21+H23*LIDER!$H$22+I23*LIDER!$H$23+J23*LIDER!$H$24+K23*LIDER!$H$25,"N"))</f>
        <v/>
      </c>
      <c r="E23" s="21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1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1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114</v>
      </c>
      <c r="C26" s="32" t="str">
        <f>IF('S-ASIG-01'!D26="","",'S-ASIG-01'!D26)</f>
        <v>LIST</v>
      </c>
      <c r="D26" s="35" t="s">
        <v>109</v>
      </c>
      <c r="E26" s="219" t="str">
        <f>LIDER!$E$32</f>
        <v>GRUPO#4: Análisis de los aspectos legales, tributarios, administrativos, macroeconómicos,
tecnológicos e internacionales de la empresa Arturo Calle S.A.S. en los negocios
internacionales</v>
      </c>
      <c r="F26" s="201"/>
      <c r="G26" s="201"/>
      <c r="H26" s="201"/>
      <c r="I26" s="201"/>
      <c r="J26" s="201"/>
      <c r="K26" s="201"/>
    </row>
    <row r="27" spans="1:11" s="2" customFormat="1" ht="12.75">
      <c r="A27" s="9">
        <v>1</v>
      </c>
      <c r="B27" s="28" t="str">
        <f>LIDER!H43</f>
        <v>BURGOS CAUSIL SHADIA TATIANA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4.3500000000000005</v>
      </c>
      <c r="E27" s="215">
        <v>4.2</v>
      </c>
      <c r="F27" s="24">
        <v>4.5</v>
      </c>
      <c r="G27" s="24">
        <v>4.5</v>
      </c>
      <c r="H27" s="24">
        <v>4.5</v>
      </c>
      <c r="I27" s="24">
        <v>4.5</v>
      </c>
      <c r="J27" s="24">
        <v>4.5</v>
      </c>
      <c r="K27" s="24"/>
    </row>
    <row r="28" spans="1:11" s="2" customFormat="1" ht="15" customHeight="1">
      <c r="A28" s="12">
        <v>2</v>
      </c>
      <c r="B28" s="28" t="str">
        <f>LIDER!H44</f>
        <v>CASTRO SAYAS KEVIN ENRIQUE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4.3500000000000005</v>
      </c>
      <c r="E28" s="215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CERVERA BLANCO ALAN DAVID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4.3500000000000005</v>
      </c>
      <c r="E29" s="215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GONZALEZ PATERNINA YULIETH ISABEL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4.3500000000000005</v>
      </c>
      <c r="E30" s="215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GONZALEZ SOTO NICOLE ANDREA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4.3500000000000005</v>
      </c>
      <c r="E31" s="215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116</v>
      </c>
      <c r="C33" s="32" t="str">
        <f>IF('S-ASIG-01'!D33="","",'S-ASIG-01'!D33)</f>
        <v>LIST</v>
      </c>
      <c r="D33" s="35" t="s">
        <v>109</v>
      </c>
      <c r="E33" s="219" t="str">
        <f>LIDER!$E$33</f>
        <v xml:space="preserve">GRUPO#5: Aspectos legales, tributarios, administrativos, macroeconómicos, aduaneros, tecnológicos e 
internacionales que definen el perfil de Cementos Argos en los negocios internacionales </v>
      </c>
      <c r="F33" s="201"/>
      <c r="G33" s="201"/>
      <c r="H33" s="201"/>
      <c r="I33" s="201"/>
      <c r="J33" s="201"/>
      <c r="K33" s="201"/>
    </row>
    <row r="34" spans="1:11" s="2" customFormat="1" ht="12.75">
      <c r="A34" s="9">
        <v>1</v>
      </c>
      <c r="B34" s="28" t="str">
        <f>LIDER!E51</f>
        <v>CANTILLO ZABALETA JULIANA ISABEL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4</v>
      </c>
      <c r="E34" s="215">
        <v>4</v>
      </c>
      <c r="F34" s="24">
        <v>4</v>
      </c>
      <c r="G34" s="24">
        <v>4</v>
      </c>
      <c r="H34" s="24">
        <v>4</v>
      </c>
      <c r="I34" s="24">
        <v>4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DAVILA GONZALEZ ALANA ARAI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4</v>
      </c>
      <c r="E35" s="215"/>
      <c r="F35" s="18">
        <v>4</v>
      </c>
      <c r="G35" s="18">
        <v>4</v>
      </c>
      <c r="H35" s="18">
        <v>4</v>
      </c>
      <c r="I35" s="18">
        <v>4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OBANDO MARSIGLIA JESED ALEJANDRO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4</v>
      </c>
      <c r="E36" s="215"/>
      <c r="F36" s="18">
        <v>4</v>
      </c>
      <c r="G36" s="18">
        <v>4</v>
      </c>
      <c r="H36" s="18">
        <v>4</v>
      </c>
      <c r="I36" s="18">
        <v>4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>GARCÍA REYES VALERY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4</v>
      </c>
      <c r="E37" s="215"/>
      <c r="F37" s="18">
        <v>4</v>
      </c>
      <c r="G37" s="18">
        <v>4</v>
      </c>
      <c r="H37" s="18">
        <v>4</v>
      </c>
      <c r="I37" s="18">
        <v>4</v>
      </c>
      <c r="J37" s="18">
        <v>4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1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1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118</v>
      </c>
      <c r="C40" s="32" t="str">
        <f>IF('S-ASIG-01'!D40="","",'S-ASIG-01'!D40)</f>
        <v>LIST</v>
      </c>
      <c r="D40" s="35" t="s">
        <v>109</v>
      </c>
      <c r="E40" s="219" t="str">
        <f>LIDER!$E$34</f>
        <v>GRUPO#6: Análisis de los aspectos legales, tributarios, administrativos, macroeconómicos, aduaneros, tecnológicos e
internacionales que definen el perfil de Alpina S.A.S en los negocios internacionales</v>
      </c>
      <c r="F40" s="201"/>
      <c r="G40" s="201"/>
      <c r="H40" s="201"/>
      <c r="I40" s="201"/>
      <c r="J40" s="201"/>
      <c r="K40" s="201"/>
    </row>
    <row r="41" spans="1:11" s="2" customFormat="1" ht="12.75">
      <c r="A41" s="9">
        <v>1</v>
      </c>
      <c r="B41" s="28" t="str">
        <f>LIDER!F51</f>
        <v>ALVARADO MAS Y RUBI LOHANA  VICTORIA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4</v>
      </c>
      <c r="E41" s="215">
        <v>4.0999999999999996</v>
      </c>
      <c r="F41" s="24">
        <v>3.9</v>
      </c>
      <c r="G41" s="24">
        <v>3.9</v>
      </c>
      <c r="H41" s="24">
        <v>3.9</v>
      </c>
      <c r="I41" s="24">
        <v>3.9</v>
      </c>
      <c r="J41" s="24">
        <v>3.9</v>
      </c>
      <c r="K41" s="24"/>
    </row>
    <row r="42" spans="1:11" s="2" customFormat="1" ht="15" customHeight="1">
      <c r="A42" s="12">
        <v>2</v>
      </c>
      <c r="B42" s="28" t="str">
        <f>LIDER!F52</f>
        <v>MANOTAS ACEVEDO LAURA DANIELA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4</v>
      </c>
      <c r="E42" s="215"/>
      <c r="F42" s="18">
        <v>3.9</v>
      </c>
      <c r="G42" s="18">
        <v>3.9</v>
      </c>
      <c r="H42" s="18">
        <v>3.9</v>
      </c>
      <c r="I42" s="18">
        <v>3.9</v>
      </c>
      <c r="J42" s="18">
        <v>3.9</v>
      </c>
      <c r="K42" s="18"/>
    </row>
    <row r="43" spans="1:11" s="2" customFormat="1" ht="15" customHeight="1">
      <c r="A43" s="12">
        <v>3</v>
      </c>
      <c r="B43" s="28" t="str">
        <f>LIDER!F53</f>
        <v>RIVERA MENDOZA EDITH MARIA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4</v>
      </c>
      <c r="E43" s="215"/>
      <c r="F43" s="18">
        <v>3.9</v>
      </c>
      <c r="G43" s="18">
        <v>3.9</v>
      </c>
      <c r="H43" s="18">
        <v>3.9</v>
      </c>
      <c r="I43" s="18">
        <v>3.9</v>
      </c>
      <c r="J43" s="18">
        <v>3.9</v>
      </c>
      <c r="K43" s="18"/>
    </row>
    <row r="44" spans="1:11" s="2" customFormat="1" ht="15" customHeight="1">
      <c r="A44" s="12">
        <v>4</v>
      </c>
      <c r="B44" s="28" t="str">
        <f>LIDER!F54</f>
        <v>THERAN MENDOZA JESUS DAVID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4</v>
      </c>
      <c r="E44" s="215"/>
      <c r="F44" s="18">
        <v>3.9</v>
      </c>
      <c r="G44" s="18">
        <v>3.9</v>
      </c>
      <c r="H44" s="18">
        <v>3.9</v>
      </c>
      <c r="I44" s="18">
        <v>3.9</v>
      </c>
      <c r="J44" s="18">
        <v>3.9</v>
      </c>
      <c r="K44" s="18"/>
    </row>
    <row r="45" spans="1:11" s="2" customFormat="1" ht="15" customHeight="1">
      <c r="A45" s="12">
        <v>5</v>
      </c>
      <c r="B45" s="28" t="str">
        <f>LIDER!F55</f>
        <v>RODRIGUEZ PEREZ JEAN CARLOS</v>
      </c>
      <c r="C45" s="33" t="str">
        <f>IF('S-ASIG-01'!D45="","",'S-ASIG-01'!D45)</f>
        <v/>
      </c>
      <c r="D45" s="30">
        <f>IF(B45=0,"",IF(C45="",$E$41*LIDER!$H$19+F45*LIDER!$H$20+G45*LIDER!$H$21+H45*LIDER!$H$22+I45*LIDER!$H$23+J45*LIDER!$H$24+K45*LIDER!$H$25,"N"))</f>
        <v>4</v>
      </c>
      <c r="E45" s="215"/>
      <c r="F45" s="18">
        <v>3.9</v>
      </c>
      <c r="G45" s="18">
        <v>3.9</v>
      </c>
      <c r="H45" s="18">
        <v>3.9</v>
      </c>
      <c r="I45" s="18">
        <v>3.9</v>
      </c>
      <c r="J45" s="18">
        <v>3.9</v>
      </c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1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120</v>
      </c>
      <c r="C47" s="32" t="str">
        <f>IF('S-ASIG-01'!D47="","",'S-ASIG-01'!D47)</f>
        <v>LIST</v>
      </c>
      <c r="D47" s="35" t="s">
        <v>109</v>
      </c>
      <c r="E47" s="219" t="str">
        <f>LIDER!$E$35</f>
        <v xml:space="preserve">GRUPO#7: Aspectos Legales, Tributarios, Administrativos, Macroeconómicos, Aduaneros, 
Tecnológicos, e Internacional que Definen el Perfil de Agofer S.A.S en los Negocios 
Internacionales </v>
      </c>
      <c r="F47" s="201"/>
      <c r="G47" s="201"/>
      <c r="H47" s="201"/>
      <c r="I47" s="201"/>
      <c r="J47" s="201"/>
      <c r="K47" s="201"/>
    </row>
    <row r="48" spans="1:11" s="2" customFormat="1" ht="12.75">
      <c r="A48" s="9">
        <v>1</v>
      </c>
      <c r="B48" s="28" t="str">
        <f>LIDER!G51</f>
        <v>CAMPO PÉREZ NALIETH NICOHL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4.7</v>
      </c>
      <c r="E48" s="215">
        <v>4.7</v>
      </c>
      <c r="F48" s="24">
        <v>4.7</v>
      </c>
      <c r="G48" s="24">
        <v>4.7</v>
      </c>
      <c r="H48" s="24">
        <v>4.7</v>
      </c>
      <c r="I48" s="24">
        <v>4.7</v>
      </c>
      <c r="J48" s="24">
        <v>4.7</v>
      </c>
      <c r="K48" s="24"/>
    </row>
    <row r="49" spans="1:11" s="2" customFormat="1" ht="15" customHeight="1">
      <c r="A49" s="12">
        <v>2</v>
      </c>
      <c r="B49" s="28" t="str">
        <f>LIDER!G52</f>
        <v>NOVOA GOMEZ IANA MARCELA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4.7</v>
      </c>
      <c r="E49" s="215"/>
      <c r="F49" s="18">
        <v>4.7</v>
      </c>
      <c r="G49" s="18">
        <v>4.7</v>
      </c>
      <c r="H49" s="18">
        <v>4.7</v>
      </c>
      <c r="I49" s="18">
        <v>4.7</v>
      </c>
      <c r="J49" s="18">
        <v>4.7</v>
      </c>
      <c r="K49" s="18"/>
    </row>
    <row r="50" spans="1:11" s="2" customFormat="1" ht="15" customHeight="1">
      <c r="A50" s="12">
        <v>3</v>
      </c>
      <c r="B50" s="28" t="str">
        <f>LIDER!G53</f>
        <v>OSPINO MARTÍNEZ KAROLAY SOFIA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4.7</v>
      </c>
      <c r="E50" s="215"/>
      <c r="F50" s="18">
        <v>4.7</v>
      </c>
      <c r="G50" s="18">
        <v>4.7</v>
      </c>
      <c r="H50" s="18">
        <v>4.7</v>
      </c>
      <c r="I50" s="18">
        <v>4.7</v>
      </c>
      <c r="J50" s="18">
        <v>4.7</v>
      </c>
      <c r="K50" s="18"/>
    </row>
    <row r="51" spans="1:11" s="2" customFormat="1" ht="15" customHeight="1">
      <c r="A51" s="12">
        <v>4</v>
      </c>
      <c r="B51" s="28" t="str">
        <f>LIDER!G54</f>
        <v>PEREZ VERGARA VALERIA</v>
      </c>
      <c r="C51" s="33" t="str">
        <f>IF('S-ASIG-01'!D51="","",'S-ASIG-01'!D51)</f>
        <v/>
      </c>
      <c r="D51" s="30">
        <f>IF(B51=0,"",IF(C51="",$E$48*LIDER!$H$19+F51*LIDER!$H$20+G51*LIDER!$H$21+H51*LIDER!$H$22+I51*LIDER!$H$23+J51*LIDER!$H$24+K51*LIDER!$H$25,"N"))</f>
        <v>4.7</v>
      </c>
      <c r="E51" s="215"/>
      <c r="F51" s="18">
        <v>4.7</v>
      </c>
      <c r="G51" s="18">
        <v>4.7</v>
      </c>
      <c r="H51" s="18">
        <v>4.7</v>
      </c>
      <c r="I51" s="18">
        <v>4.7</v>
      </c>
      <c r="J51" s="18">
        <v>4.7</v>
      </c>
      <c r="K51" s="18"/>
    </row>
    <row r="52" spans="1:11" s="2" customFormat="1" ht="15" customHeight="1">
      <c r="A52" s="12">
        <v>5</v>
      </c>
      <c r="B52" s="28" t="str">
        <f>LIDER!G55</f>
        <v>PETRO ROSARIO VALERIE SARED</v>
      </c>
      <c r="C52" s="33" t="str">
        <f>IF('S-ASIG-01'!D52="","",'S-ASIG-01'!D52)</f>
        <v/>
      </c>
      <c r="D52" s="30">
        <f>IF(B52=0,"",IF(C52="",$E$48*LIDER!$H$19+F52*LIDER!$H$20+G52*LIDER!$H$21+H52*LIDER!$H$22+I52*LIDER!$H$23+J52*LIDER!$H$24+K52*LIDER!$H$25,"N"))</f>
        <v>4.7</v>
      </c>
      <c r="E52" s="215"/>
      <c r="F52" s="18">
        <v>4.7</v>
      </c>
      <c r="G52" s="18">
        <v>4.7</v>
      </c>
      <c r="H52" s="18">
        <v>4.7</v>
      </c>
      <c r="I52" s="18">
        <v>4.7</v>
      </c>
      <c r="J52" s="18">
        <v>4.7</v>
      </c>
      <c r="K52" s="18"/>
    </row>
    <row r="53" spans="1:11" s="2" customFormat="1" ht="15.75" customHeight="1" thickBot="1">
      <c r="A53" s="13">
        <v>6</v>
      </c>
      <c r="B53" s="28" t="str">
        <f>LIDER!G56</f>
        <v>RAMOS ORTEGA LAURA INÉS</v>
      </c>
      <c r="C53" s="33" t="str">
        <f>IF('S-ASIG-01'!D53="","",'S-ASIG-01'!D53)</f>
        <v/>
      </c>
      <c r="D53" s="30">
        <f>IF(B53=0,"",IF(C53="",$E$48*LIDER!$H$19+F53*LIDER!$H$20+G53*LIDER!$H$21+H53*LIDER!$H$22+I53*LIDER!$H$23+J53*LIDER!$H$24+K53*LIDER!$H$25,"N"))</f>
        <v>4.7</v>
      </c>
      <c r="E53" s="215"/>
      <c r="F53" s="26">
        <v>4.7</v>
      </c>
      <c r="G53" s="26">
        <v>4.7</v>
      </c>
      <c r="H53" s="26">
        <v>4.7</v>
      </c>
      <c r="I53" s="26">
        <v>4.7</v>
      </c>
      <c r="J53" s="26">
        <v>4.7</v>
      </c>
      <c r="K53" s="26"/>
    </row>
    <row r="54" spans="1:11" s="2" customFormat="1" ht="15.75" customHeight="1" thickBot="1">
      <c r="A54" s="14"/>
      <c r="B54" s="27" t="s">
        <v>122</v>
      </c>
      <c r="C54" s="32" t="str">
        <f>IF('S-ASIG-01'!D54="","",'S-ASIG-01'!D54)</f>
        <v>LIST</v>
      </c>
      <c r="D54" s="35" t="s">
        <v>109</v>
      </c>
      <c r="E54" s="219" t="str">
        <f>LIDER!$E$36</f>
        <v>GRUPO#8: Aspectos legales, tributarios, administrativos, macroeconómicos, aduaneros y tecnológicos que definen el perfil de Terpel S.A. en los negocios internacionales</v>
      </c>
      <c r="F54" s="201"/>
      <c r="G54" s="201"/>
      <c r="H54" s="201"/>
      <c r="I54" s="201"/>
      <c r="J54" s="201"/>
      <c r="K54" s="201"/>
    </row>
    <row r="55" spans="1:11" s="2" customFormat="1" ht="12.75">
      <c r="A55" s="9">
        <v>1</v>
      </c>
      <c r="B55" s="28" t="str">
        <f>LIDER!H51</f>
        <v>BARRIOS RAMIREZ JUAN JOSE</v>
      </c>
      <c r="C55" s="33" t="str">
        <f>IF('S-ASIG-01'!D55="","",'S-ASIG-01'!D55)</f>
        <v/>
      </c>
      <c r="D55" s="30">
        <f>IF(B55=0,"",IF(C55="",$E$55*LIDER!$H$19+F55*LIDER!$H$20+G55*LIDER!$H$21+H55*LIDER!$H$22+I55*LIDER!$H$23+J55*LIDER!$H$24+K55*LIDER!$H$25,"N"))</f>
        <v>4</v>
      </c>
      <c r="E55" s="215">
        <v>4.0999999999999996</v>
      </c>
      <c r="F55" s="24">
        <v>3.9</v>
      </c>
      <c r="G55" s="24">
        <v>3.9</v>
      </c>
      <c r="H55" s="24">
        <v>3.9</v>
      </c>
      <c r="I55" s="24">
        <v>3.9</v>
      </c>
      <c r="J55" s="24">
        <v>3.9</v>
      </c>
      <c r="K55" s="24"/>
    </row>
    <row r="56" spans="1:11" s="2" customFormat="1" ht="15" customHeight="1">
      <c r="A56" s="12">
        <v>2</v>
      </c>
      <c r="B56" s="28" t="str">
        <f>LIDER!H52</f>
        <v>HERRERA PRADA JAIDER DAVID</v>
      </c>
      <c r="C56" s="33" t="str">
        <f>IF('S-ASIG-01'!D56="","",'S-ASIG-01'!D56)</f>
        <v/>
      </c>
      <c r="D56" s="30">
        <f>IF(B56=0,"",IF(C56="",$E$55*LIDER!$H$19+F56*LIDER!$H$20+G56*LIDER!$H$21+H56*LIDER!$H$22+I56*LIDER!$H$23+J56*LIDER!$H$24+K56*LIDER!$H$25,"N"))</f>
        <v>4</v>
      </c>
      <c r="E56" s="215"/>
      <c r="F56" s="18">
        <v>3.9</v>
      </c>
      <c r="G56" s="18">
        <v>3.9</v>
      </c>
      <c r="H56" s="18">
        <v>3.9</v>
      </c>
      <c r="I56" s="18">
        <v>3.9</v>
      </c>
      <c r="J56" s="18">
        <v>3.9</v>
      </c>
      <c r="K56" s="18"/>
    </row>
    <row r="57" spans="1:11" s="2" customFormat="1" ht="15" customHeight="1">
      <c r="A57" s="12">
        <v>3</v>
      </c>
      <c r="B57" s="28" t="str">
        <f>LIDER!H53</f>
        <v>GARCIA SUAREZ ANDREA CAROLINA</v>
      </c>
      <c r="C57" s="33" t="str">
        <f>IF('S-ASIG-01'!D57="","",'S-ASIG-01'!D57)</f>
        <v/>
      </c>
      <c r="D57" s="30">
        <f>IF(B57=0,"",IF(C57="",$E$55*LIDER!$H$19+F57*LIDER!$H$20+G57*LIDER!$H$21+H57*LIDER!$H$22+I57*LIDER!$H$23+J57*LIDER!$H$24+K57*LIDER!$H$25,"N"))</f>
        <v>4</v>
      </c>
      <c r="E57" s="215"/>
      <c r="F57" s="18">
        <v>3.9</v>
      </c>
      <c r="G57" s="18">
        <v>3.9</v>
      </c>
      <c r="H57" s="18">
        <v>3.9</v>
      </c>
      <c r="I57" s="18">
        <v>3.9</v>
      </c>
      <c r="J57" s="18">
        <v>3.9</v>
      </c>
      <c r="K57" s="18"/>
    </row>
    <row r="58" spans="1:11" s="2" customFormat="1" ht="15" customHeight="1">
      <c r="A58" s="12">
        <v>4</v>
      </c>
      <c r="B58" s="28" t="str">
        <f>LIDER!H54</f>
        <v>PEREZ GELIS LUISA FERNANDA</v>
      </c>
      <c r="C58" s="33" t="str">
        <f>IF('S-ASIG-01'!D58="","",'S-ASIG-01'!D58)</f>
        <v/>
      </c>
      <c r="D58" s="30">
        <f>IF(B58=0,"",IF(C58="",$E$55*LIDER!$H$19+F58*LIDER!$H$20+G58*LIDER!$H$21+H58*LIDER!$H$22+I58*LIDER!$H$23+J58*LIDER!$H$24+K58*LIDER!$H$25,"N"))</f>
        <v>4</v>
      </c>
      <c r="E58" s="215"/>
      <c r="F58" s="18">
        <v>3.9</v>
      </c>
      <c r="G58" s="18">
        <v>3.9</v>
      </c>
      <c r="H58" s="18">
        <v>3.9</v>
      </c>
      <c r="I58" s="18">
        <v>3.9</v>
      </c>
      <c r="J58" s="18">
        <v>3.9</v>
      </c>
      <c r="K58" s="18"/>
    </row>
    <row r="59" spans="1:11" s="2" customFormat="1" ht="15" customHeight="1">
      <c r="A59" s="12">
        <v>5</v>
      </c>
      <c r="B59" s="28" t="str">
        <f>LIDER!H55</f>
        <v>LOPEZ PAYARES OSMAN JUNIOR</v>
      </c>
      <c r="C59" s="33" t="str">
        <f>IF('S-ASIG-01'!D59="","",'S-ASIG-01'!D59)</f>
        <v/>
      </c>
      <c r="D59" s="30">
        <f>IF(B59=0,"",IF(C59="",$E$55*LIDER!$H$19+F59*LIDER!$H$20+G59*LIDER!$H$21+H59*LIDER!$H$22+I59*LIDER!$H$23+J59*LIDER!$H$24+K59*LIDER!$H$25,"N"))</f>
        <v>4</v>
      </c>
      <c r="E59" s="215"/>
      <c r="F59" s="18">
        <v>3.9</v>
      </c>
      <c r="G59" s="18">
        <v>3.9</v>
      </c>
      <c r="H59" s="18">
        <v>3.9</v>
      </c>
      <c r="I59" s="18">
        <v>3.9</v>
      </c>
      <c r="J59" s="18">
        <v>3.9</v>
      </c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124</v>
      </c>
      <c r="C61" s="32" t="str">
        <f>IF('S-ASIG-01'!D61="","",'S-ASIG-01'!D61)</f>
        <v>LIST</v>
      </c>
      <c r="D61" s="35" t="s">
        <v>109</v>
      </c>
      <c r="E61" s="219" t="str">
        <f>LIDER!$E$37</f>
        <v>GRUPO#9: Aspectos, legales, tributarios, administrativos, macroeconómicos, aduaneros e internacionales que definen el
perfil de Samsung  en los negocios internacionales.</v>
      </c>
      <c r="F61" s="201"/>
      <c r="G61" s="201"/>
      <c r="H61" s="201"/>
      <c r="I61" s="201"/>
      <c r="J61" s="201"/>
      <c r="K61" s="201"/>
    </row>
    <row r="62" spans="1:11" s="2" customFormat="1" ht="12.75">
      <c r="A62" s="9">
        <v>1</v>
      </c>
      <c r="B62" s="28" t="str">
        <f>LIDER!E59</f>
        <v>CORDOBA RODRIGUEZ ADRIANO</v>
      </c>
      <c r="C62" s="33" t="str">
        <f>IF('S-ASIG-01'!D62="","",'S-ASIG-01'!D62)</f>
        <v/>
      </c>
      <c r="D62" s="30">
        <f>IF(B62=0,"",IF(C62="",$E$62*LIDER!$H$19+F62*LIDER!$H$20+G62*LIDER!$H$21+H62*LIDER!$H$22+I62*LIDER!$H$23+J62*LIDER!$H$24+K62*LIDER!$H$25,"N"))</f>
        <v>3.95</v>
      </c>
      <c r="E62" s="215">
        <v>4</v>
      </c>
      <c r="F62" s="24">
        <v>3.9</v>
      </c>
      <c r="G62" s="24">
        <v>3.9</v>
      </c>
      <c r="H62" s="24">
        <v>3.9</v>
      </c>
      <c r="I62" s="24">
        <v>3.9</v>
      </c>
      <c r="J62" s="24">
        <v>3.9</v>
      </c>
      <c r="K62" s="24"/>
    </row>
    <row r="63" spans="1:11" s="2" customFormat="1" ht="15" customHeight="1">
      <c r="A63" s="12">
        <v>2</v>
      </c>
      <c r="B63" s="28" t="str">
        <f>LIDER!E60</f>
        <v>ZUÑIGA IGLESIAS EMMANUEL DAVID</v>
      </c>
      <c r="C63" s="33" t="str">
        <f>IF('S-ASIG-01'!D63="","",'S-ASIG-01'!D63)</f>
        <v/>
      </c>
      <c r="D63" s="30">
        <f>IF(B63=0,"",IF(C63="",$E$62*LIDER!$H$19+F63*LIDER!$H$20+G63*LIDER!$H$21+H63*LIDER!$H$22+I63*LIDER!$H$23+J63*LIDER!$H$24+K63*LIDER!$H$25,"N"))</f>
        <v>3.95</v>
      </c>
      <c r="E63" s="215"/>
      <c r="F63" s="18">
        <v>3.9</v>
      </c>
      <c r="G63" s="18">
        <v>3.9</v>
      </c>
      <c r="H63" s="18">
        <v>3.9</v>
      </c>
      <c r="I63" s="18">
        <v>3.9</v>
      </c>
      <c r="J63" s="18">
        <v>3.9</v>
      </c>
      <c r="K63" s="18"/>
    </row>
    <row r="64" spans="1:11" s="2" customFormat="1" ht="15" customHeight="1">
      <c r="A64" s="12">
        <v>3</v>
      </c>
      <c r="B64" s="28" t="str">
        <f>LIDER!E61</f>
        <v>ORTÍZ ZUÑIGA WILYS JUNIOR</v>
      </c>
      <c r="C64" s="33" t="str">
        <f>IF('S-ASIG-01'!D64="","",'S-ASIG-01'!D64)</f>
        <v/>
      </c>
      <c r="D64" s="30">
        <f>IF(B64=0,"",IF(C64="",$E$62*LIDER!$H$19+F64*LIDER!$H$20+G64*LIDER!$H$21+H64*LIDER!$H$22+I64*LIDER!$H$23+J64*LIDER!$H$24+K64*LIDER!$H$25,"N"))</f>
        <v>3.95</v>
      </c>
      <c r="E64" s="215"/>
      <c r="F64" s="18">
        <v>3.9</v>
      </c>
      <c r="G64" s="18">
        <v>3.9</v>
      </c>
      <c r="H64" s="18">
        <v>3.9</v>
      </c>
      <c r="I64" s="18">
        <v>3.9</v>
      </c>
      <c r="J64" s="18">
        <v>3.9</v>
      </c>
      <c r="K64" s="18"/>
    </row>
    <row r="65" spans="1:11" s="2" customFormat="1" ht="15" customHeight="1">
      <c r="A65" s="12">
        <v>4</v>
      </c>
      <c r="B65" s="28" t="str">
        <f>LIDER!E62</f>
        <v>DE ORO MOLINA RONNY AMEL</v>
      </c>
      <c r="C65" s="33" t="str">
        <f>IF('S-ASIG-01'!D65="","",'S-ASIG-01'!D65)</f>
        <v/>
      </c>
      <c r="D65" s="30">
        <f>IF(B65=0,"",IF(C65="",$E$62*LIDER!$H$19+F65*LIDER!$H$20+G65*LIDER!$H$21+H65*LIDER!$H$22+I65*LIDER!$H$23+J65*LIDER!$H$24+K65*LIDER!$H$25,"N"))</f>
        <v>3.95</v>
      </c>
      <c r="E65" s="215"/>
      <c r="F65" s="18">
        <v>3.9</v>
      </c>
      <c r="G65" s="18">
        <v>3.9</v>
      </c>
      <c r="H65" s="18">
        <v>3.9</v>
      </c>
      <c r="I65" s="18">
        <v>3.9</v>
      </c>
      <c r="J65" s="18">
        <v>3.9</v>
      </c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1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IF('S-ASIG-01'!D68="","",'S-ASIG-01'!D68)</f>
        <v>LIST</v>
      </c>
      <c r="D68" s="35" t="s">
        <v>109</v>
      </c>
      <c r="E68" s="219" t="str">
        <f>LIDER!$E$38</f>
        <v>GRUPO#10</v>
      </c>
      <c r="F68" s="201"/>
      <c r="G68" s="201"/>
      <c r="H68" s="201"/>
      <c r="I68" s="201"/>
      <c r="J68" s="201"/>
      <c r="K68" s="201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1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1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1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IF('S-ASIG-01'!D75="","",'S-ASIG-01'!D75)</f>
        <v>LIST</v>
      </c>
      <c r="D75" s="35" t="s">
        <v>109</v>
      </c>
      <c r="E75" s="219" t="str">
        <f>LIDER!$E$39</f>
        <v>GRUPO#11</v>
      </c>
      <c r="F75" s="201"/>
      <c r="G75" s="201"/>
      <c r="H75" s="201"/>
      <c r="I75" s="201"/>
      <c r="J75" s="201"/>
      <c r="K75" s="201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IF('S-ASIG-01'!D82="","",'S-ASIG-01'!D82)</f>
        <v>LIST</v>
      </c>
      <c r="D82" s="35" t="s">
        <v>109</v>
      </c>
      <c r="E82" s="219" t="str">
        <f>LIDER!$E$40</f>
        <v>GRUPO#12</v>
      </c>
      <c r="F82" s="201"/>
      <c r="G82" s="201"/>
      <c r="H82" s="201"/>
      <c r="I82" s="201"/>
      <c r="J82" s="201"/>
      <c r="K82" s="201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20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8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LIDER!D4</f>
        <v>LEGISLACION PARA EL COMERCIO</v>
      </c>
      <c r="C2" s="3"/>
      <c r="E2" s="216" t="s">
        <v>104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105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21" t="str">
        <f>CONCATENATE(LIDER!D4," - ",LIDER!D6," - ",LIDER!D5)</f>
        <v>LEGISLACION PARA EL COMERCIO - 2488 - HAROLD ANTONIO CUADRO VELASQUEZ</v>
      </c>
      <c r="F4" s="222"/>
      <c r="G4" s="222"/>
      <c r="H4" s="222"/>
      <c r="I4" s="222"/>
      <c r="J4" s="222"/>
      <c r="K4" s="223"/>
    </row>
    <row r="5" spans="1:11" s="2" customFormat="1" ht="15.75" customHeight="1" thickBot="1">
      <c r="A5" s="8"/>
      <c r="B5" s="27" t="s">
        <v>106</v>
      </c>
      <c r="C5" s="34" t="str">
        <f>IF('S-ASIG-02'!D5="","",'S-ASIG-02'!D5)</f>
        <v>LIST</v>
      </c>
      <c r="D5" s="35" t="s">
        <v>109</v>
      </c>
      <c r="E5" s="201" t="str">
        <f>LIDER!$E$29</f>
        <v xml:space="preserve">GRUPO#1: Aspectos Legales, Tributarios, Administrativos, Macroeconómicos, Aduaneros, Tecnológicos
e Internacionales que Definen el perfil de la empresa Apple Colombia S.A.S. </v>
      </c>
      <c r="F5" s="201"/>
      <c r="G5" s="201"/>
      <c r="H5" s="201"/>
      <c r="I5" s="201"/>
      <c r="J5" s="201"/>
      <c r="K5" s="201"/>
    </row>
    <row r="6" spans="1:11" s="2" customFormat="1" ht="12.75">
      <c r="A6" s="9">
        <v>1</v>
      </c>
      <c r="B6" s="28" t="str">
        <f>LIDER!E43</f>
        <v>BERRIO LOPEZ VALENTINA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4.2</v>
      </c>
      <c r="E6" s="199">
        <v>4.2</v>
      </c>
      <c r="F6" s="24">
        <v>4.2</v>
      </c>
      <c r="G6" s="24">
        <v>4.2</v>
      </c>
      <c r="H6" s="24">
        <v>4.2</v>
      </c>
      <c r="I6" s="24">
        <v>4.2</v>
      </c>
      <c r="J6" s="24">
        <v>4.2</v>
      </c>
      <c r="K6" s="24"/>
    </row>
    <row r="7" spans="1:11" s="2" customFormat="1" ht="15" customHeight="1">
      <c r="A7" s="12">
        <v>2</v>
      </c>
      <c r="B7" s="28" t="str">
        <f>LIDER!E44</f>
        <v>BOHÓRQUEZ CANTERO SANTIAGO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4.2</v>
      </c>
      <c r="E7" s="199"/>
      <c r="F7" s="18">
        <v>4.2</v>
      </c>
      <c r="G7" s="18">
        <v>4.2</v>
      </c>
      <c r="H7" s="18">
        <v>4.2</v>
      </c>
      <c r="I7" s="18">
        <v>4.2</v>
      </c>
      <c r="J7" s="18">
        <v>4.2</v>
      </c>
      <c r="K7" s="18"/>
    </row>
    <row r="8" spans="1:11" s="2" customFormat="1" ht="15" customHeight="1">
      <c r="A8" s="12">
        <v>3</v>
      </c>
      <c r="B8" s="28" t="str">
        <f>LIDER!E45</f>
        <v>CAMPOS ABREU NICOLE ANTHONELLA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4.2</v>
      </c>
      <c r="E8" s="199"/>
      <c r="F8" s="18">
        <v>4.2</v>
      </c>
      <c r="G8" s="18">
        <v>4.2</v>
      </c>
      <c r="H8" s="18">
        <v>4.2</v>
      </c>
      <c r="I8" s="18">
        <v>4.2</v>
      </c>
      <c r="J8" s="18">
        <v>4.2</v>
      </c>
      <c r="K8" s="18"/>
    </row>
    <row r="9" spans="1:11" s="2" customFormat="1" ht="15" customHeight="1">
      <c r="A9" s="12">
        <v>4</v>
      </c>
      <c r="B9" s="28" t="str">
        <f>LIDER!E46</f>
        <v>RUIZ CHICO LAURA SOFIA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4.2</v>
      </c>
      <c r="E9" s="199"/>
      <c r="F9" s="18">
        <v>4.2</v>
      </c>
      <c r="G9" s="18">
        <v>4.2</v>
      </c>
      <c r="H9" s="18">
        <v>4.2</v>
      </c>
      <c r="I9" s="18">
        <v>4.2</v>
      </c>
      <c r="J9" s="18">
        <v>4.2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9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110</v>
      </c>
      <c r="C12" s="32" t="str">
        <f>IF('S-ASIG-02'!D12="","",'S-ASIG-02'!D12)</f>
        <v>LIST</v>
      </c>
      <c r="D12" s="35" t="s">
        <v>109</v>
      </c>
      <c r="E12" s="201" t="str">
        <f>LIDER!$E$30</f>
        <v xml:space="preserve">GRUPO#2: Caracterización de los aspectos legales, tributarios, administrativos, macroeconómicos, 
tecnológicos e internacionales que definen el perfil empresarial de Ecopetrol S.A. en los 
negocios internacionales </v>
      </c>
      <c r="F12" s="201"/>
      <c r="G12" s="201"/>
      <c r="H12" s="201"/>
      <c r="I12" s="201"/>
      <c r="J12" s="201"/>
      <c r="K12" s="201"/>
    </row>
    <row r="13" spans="1:11" s="2" customFormat="1" ht="12.75">
      <c r="A13" s="9">
        <v>1</v>
      </c>
      <c r="B13" s="28" t="str">
        <f>LIDER!F43</f>
        <v>BUENDIA CAÑATE DONICEL DE JESUS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4.4000000000000004</v>
      </c>
      <c r="E13" s="199">
        <v>4.3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MARRUGO CORREA MATEO DE JESUS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4.4000000000000004</v>
      </c>
      <c r="E14" s="199"/>
      <c r="F14" s="18">
        <v>4.5</v>
      </c>
      <c r="G14" s="18">
        <v>4.5</v>
      </c>
      <c r="H14" s="18">
        <v>4.5</v>
      </c>
      <c r="I14" s="18">
        <v>4.5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ZEA NAVARRO JUAN ESTEBAN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4.4000000000000004</v>
      </c>
      <c r="E15" s="199"/>
      <c r="F15" s="18">
        <v>4.5</v>
      </c>
      <c r="G15" s="18">
        <v>4.5</v>
      </c>
      <c r="H15" s="18">
        <v>4.5</v>
      </c>
      <c r="I15" s="18">
        <v>4.5</v>
      </c>
      <c r="J15" s="18">
        <v>4.5</v>
      </c>
      <c r="K15" s="18"/>
    </row>
    <row r="16" spans="1:11" s="2" customFormat="1" ht="15" customHeight="1">
      <c r="A16" s="12">
        <v>4</v>
      </c>
      <c r="B16" s="28" t="str">
        <f>LIDER!F46</f>
        <v>PALMERA MARTINEZ FRANCISCO JAVIER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4.4000000000000004</v>
      </c>
      <c r="E16" s="199"/>
      <c r="F16" s="18">
        <v>4.5</v>
      </c>
      <c r="G16" s="18">
        <v>4.5</v>
      </c>
      <c r="H16" s="18">
        <v>4.5</v>
      </c>
      <c r="I16" s="18">
        <v>4.5</v>
      </c>
      <c r="J16" s="18">
        <v>4.5</v>
      </c>
      <c r="K16" s="18"/>
    </row>
    <row r="17" spans="1:11" s="2" customFormat="1" ht="15" customHeight="1">
      <c r="A17" s="12">
        <v>5</v>
      </c>
      <c r="B17" s="28" t="str">
        <f>LIDER!F47</f>
        <v>CONTRERAS MARTÍNEZ MARLON MANUEL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4.4000000000000004</v>
      </c>
      <c r="E17" s="199"/>
      <c r="F17" s="18">
        <v>4.5</v>
      </c>
      <c r="G17" s="18">
        <v>4.5</v>
      </c>
      <c r="H17" s="18">
        <v>4.5</v>
      </c>
      <c r="I17" s="18">
        <v>4.5</v>
      </c>
      <c r="J17" s="18">
        <v>4.5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112</v>
      </c>
      <c r="C19" s="32" t="str">
        <f>IF('S-ASIG-02'!D19="","",'S-ASIG-02'!D19)</f>
        <v>LIST</v>
      </c>
      <c r="D19" s="35" t="s">
        <v>109</v>
      </c>
      <c r="E19" s="201" t="str">
        <f>LIDER!$E$31</f>
        <v xml:space="preserve">GRUPO#3: Análisis integral de los aspectos legales, tributarios, administrativos, 
macroeconómicos, tecnológicos e internacionales que configuran el perfil empresarial de 
Nestlé Colombia S.A. en los negocios internacionales. </v>
      </c>
      <c r="F19" s="201"/>
      <c r="G19" s="201"/>
      <c r="H19" s="201"/>
      <c r="I19" s="201"/>
      <c r="J19" s="201"/>
      <c r="K19" s="201"/>
    </row>
    <row r="20" spans="1:11" s="2" customFormat="1" ht="12.75">
      <c r="A20" s="9">
        <v>1</v>
      </c>
      <c r="B20" s="28" t="str">
        <f>LIDER!G43</f>
        <v>FONTALVO RODRIGUEZ ISABELLA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4.3</v>
      </c>
      <c r="E20" s="199">
        <v>4</v>
      </c>
      <c r="F20" s="24">
        <v>4.5999999999999996</v>
      </c>
      <c r="G20" s="24">
        <v>4.5999999999999996</v>
      </c>
      <c r="H20" s="24">
        <v>4.5999999999999996</v>
      </c>
      <c r="I20" s="24">
        <v>4.5999999999999996</v>
      </c>
      <c r="J20" s="24">
        <v>4.5999999999999996</v>
      </c>
      <c r="K20" s="24"/>
    </row>
    <row r="21" spans="1:11" s="2" customFormat="1" ht="15" customHeight="1">
      <c r="A21" s="12">
        <v>2</v>
      </c>
      <c r="B21" s="28" t="str">
        <f>LIDER!G44</f>
        <v>LARA MAURY MARÍA ANGÉLICA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4.3</v>
      </c>
      <c r="E21" s="199"/>
      <c r="F21" s="18">
        <v>4.5999999999999996</v>
      </c>
      <c r="G21" s="18">
        <v>4.5999999999999996</v>
      </c>
      <c r="H21" s="18">
        <v>4.5999999999999996</v>
      </c>
      <c r="I21" s="18">
        <v>4.5999999999999996</v>
      </c>
      <c r="J21" s="18">
        <v>4.5999999999999996</v>
      </c>
      <c r="K21" s="18"/>
    </row>
    <row r="22" spans="1:11" s="2" customFormat="1" ht="15" customHeight="1">
      <c r="A22" s="12">
        <v>3</v>
      </c>
      <c r="B22" s="28" t="str">
        <f>LIDER!G45</f>
        <v>PEREZ ALVAREZ DILAN ANDRES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4.3</v>
      </c>
      <c r="E22" s="199"/>
      <c r="F22" s="18">
        <v>4.5999999999999996</v>
      </c>
      <c r="G22" s="18">
        <v>4.5999999999999996</v>
      </c>
      <c r="H22" s="18">
        <v>4.5999999999999996</v>
      </c>
      <c r="I22" s="18">
        <v>4.5999999999999996</v>
      </c>
      <c r="J22" s="18">
        <v>4.5999999999999996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IF('S-ASIG-02'!D23="","",'S-ASIG-02'!D23)</f>
        <v/>
      </c>
      <c r="D23" s="30" t="str">
        <f>IF(B23=0,"",IF(C23="",$E$20*LIDER!$H$19+F23*LIDER!$H$20+G23*LIDER!$H$21+H23*LIDER!$H$22+I23*LIDER!$H$23+J23*LIDER!$H$24+K23*LIDER!$H$25,"N"))</f>
        <v/>
      </c>
      <c r="E23" s="19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9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114</v>
      </c>
      <c r="C26" s="32" t="str">
        <f>IF('S-ASIG-02'!D26="","",'S-ASIG-02'!D26)</f>
        <v>LIST</v>
      </c>
      <c r="D26" s="35" t="s">
        <v>109</v>
      </c>
      <c r="E26" s="201" t="str">
        <f>LIDER!$E$32</f>
        <v>GRUPO#4: Análisis de los aspectos legales, tributarios, administrativos, macroeconómicos,
tecnológicos e internacionales de la empresa Arturo Calle S.A.S. en los negocios
internacionales</v>
      </c>
      <c r="F26" s="201"/>
      <c r="G26" s="201"/>
      <c r="H26" s="201"/>
      <c r="I26" s="201"/>
      <c r="J26" s="201"/>
      <c r="K26" s="201"/>
    </row>
    <row r="27" spans="1:11" s="2" customFormat="1" ht="12.75">
      <c r="A27" s="9">
        <v>1</v>
      </c>
      <c r="B27" s="28" t="str">
        <f>LIDER!H43</f>
        <v>BURGOS CAUSIL SHADIA TATIANA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4.25</v>
      </c>
      <c r="E27" s="199">
        <v>4</v>
      </c>
      <c r="F27" s="24">
        <v>4.5</v>
      </c>
      <c r="G27" s="24">
        <v>4.5</v>
      </c>
      <c r="H27" s="24">
        <v>4.5</v>
      </c>
      <c r="I27" s="24">
        <v>4.5</v>
      </c>
      <c r="J27" s="24">
        <v>4.5</v>
      </c>
      <c r="K27" s="24"/>
    </row>
    <row r="28" spans="1:11" s="2" customFormat="1" ht="15" customHeight="1">
      <c r="A28" s="12">
        <v>2</v>
      </c>
      <c r="B28" s="28" t="str">
        <f>LIDER!H44</f>
        <v>CASTRO SAYAS KEVIN ENRIQUE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4.25</v>
      </c>
      <c r="E28" s="199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CERVERA BLANCO ALAN DAVID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4.25</v>
      </c>
      <c r="E29" s="199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GONZALEZ PATERNINA YULIETH ISABEL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4.25</v>
      </c>
      <c r="E30" s="199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GONZALEZ SOTO NICOLE ANDREA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4.25</v>
      </c>
      <c r="E31" s="199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116</v>
      </c>
      <c r="C33" s="32" t="str">
        <f>IF('S-ASIG-02'!D33="","",'S-ASIG-02'!D33)</f>
        <v>LIST</v>
      </c>
      <c r="D33" s="35" t="s">
        <v>109</v>
      </c>
      <c r="E33" s="201" t="str">
        <f>LIDER!$E$33</f>
        <v xml:space="preserve">GRUPO#5: Aspectos legales, tributarios, administrativos, macroeconómicos, aduaneros, tecnológicos e 
internacionales que definen el perfil de Cementos Argos en los negocios internacionales </v>
      </c>
      <c r="F33" s="201"/>
      <c r="G33" s="201"/>
      <c r="H33" s="201"/>
      <c r="I33" s="201"/>
      <c r="J33" s="201"/>
      <c r="K33" s="201"/>
    </row>
    <row r="34" spans="1:11" s="2" customFormat="1" ht="12.75">
      <c r="A34" s="9">
        <v>1</v>
      </c>
      <c r="B34" s="28" t="str">
        <f>LIDER!E51</f>
        <v>CANTILLO ZABALETA JULIANA ISABEL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3.6</v>
      </c>
      <c r="E34" s="199">
        <v>3.7</v>
      </c>
      <c r="F34" s="24">
        <v>3.5</v>
      </c>
      <c r="G34" s="24">
        <v>3.5</v>
      </c>
      <c r="H34" s="24">
        <v>3.5</v>
      </c>
      <c r="I34" s="24">
        <v>3.5</v>
      </c>
      <c r="J34" s="24">
        <v>3.5</v>
      </c>
      <c r="K34" s="24"/>
    </row>
    <row r="35" spans="1:11" s="2" customFormat="1" ht="15" customHeight="1">
      <c r="A35" s="12">
        <v>2</v>
      </c>
      <c r="B35" s="28" t="str">
        <f>LIDER!E52</f>
        <v>DAVILA GONZALEZ ALANA ARAI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3.6</v>
      </c>
      <c r="E35" s="199"/>
      <c r="F35" s="18">
        <v>3.5</v>
      </c>
      <c r="G35" s="18">
        <v>3.5</v>
      </c>
      <c r="H35" s="18">
        <v>3.5</v>
      </c>
      <c r="I35" s="18">
        <v>3.5</v>
      </c>
      <c r="J35" s="18">
        <v>3.5</v>
      </c>
      <c r="K35" s="18"/>
    </row>
    <row r="36" spans="1:11" s="2" customFormat="1" ht="15" customHeight="1">
      <c r="A36" s="12">
        <v>3</v>
      </c>
      <c r="B36" s="28" t="str">
        <f>LIDER!E53</f>
        <v>OBANDO MARSIGLIA JESED ALEJANDRO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3.6</v>
      </c>
      <c r="E36" s="199"/>
      <c r="F36" s="18">
        <v>3.5</v>
      </c>
      <c r="G36" s="18">
        <v>3.5</v>
      </c>
      <c r="H36" s="18">
        <v>3.5</v>
      </c>
      <c r="I36" s="18">
        <v>3.5</v>
      </c>
      <c r="J36" s="18">
        <v>3.5</v>
      </c>
      <c r="K36" s="18"/>
    </row>
    <row r="37" spans="1:11" s="2" customFormat="1" ht="15" customHeight="1">
      <c r="A37" s="12">
        <v>4</v>
      </c>
      <c r="B37" s="28" t="str">
        <f>LIDER!E54</f>
        <v>GARCÍA REYES VALERY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3.6</v>
      </c>
      <c r="E37" s="199"/>
      <c r="F37" s="18">
        <v>3.5</v>
      </c>
      <c r="G37" s="18">
        <v>3.5</v>
      </c>
      <c r="H37" s="18">
        <v>3.5</v>
      </c>
      <c r="I37" s="18">
        <v>3.5</v>
      </c>
      <c r="J37" s="18">
        <v>3.5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9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118</v>
      </c>
      <c r="C40" s="32" t="str">
        <f>IF('S-ASIG-02'!D40="","",'S-ASIG-02'!D40)</f>
        <v>LIST</v>
      </c>
      <c r="D40" s="35" t="s">
        <v>109</v>
      </c>
      <c r="E40" s="201" t="str">
        <f>LIDER!$E$34</f>
        <v>GRUPO#6: Análisis de los aspectos legales, tributarios, administrativos, macroeconómicos, aduaneros, tecnológicos e
internacionales que definen el perfil de Alpina S.A.S en los negocios internacionales</v>
      </c>
      <c r="F40" s="201"/>
      <c r="G40" s="201"/>
      <c r="H40" s="201"/>
      <c r="I40" s="201"/>
      <c r="J40" s="201"/>
      <c r="K40" s="201"/>
    </row>
    <row r="41" spans="1:11" s="2" customFormat="1" ht="12.75">
      <c r="A41" s="9">
        <v>1</v>
      </c>
      <c r="B41" s="28" t="str">
        <f>LIDER!F51</f>
        <v>ALVARADO MAS Y RUBI LOHANA  VICTORIA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3.2000000000000011</v>
      </c>
      <c r="E41" s="199">
        <v>3.2</v>
      </c>
      <c r="F41" s="24">
        <v>3.2</v>
      </c>
      <c r="G41" s="24">
        <v>3.2</v>
      </c>
      <c r="H41" s="24">
        <v>3.2</v>
      </c>
      <c r="I41" s="24">
        <v>3.2</v>
      </c>
      <c r="J41" s="24">
        <v>3.2</v>
      </c>
      <c r="K41" s="24"/>
    </row>
    <row r="42" spans="1:11" s="2" customFormat="1" ht="15" customHeight="1">
      <c r="A42" s="12">
        <v>2</v>
      </c>
      <c r="B42" s="28" t="str">
        <f>LIDER!F52</f>
        <v>MANOTAS ACEVEDO LAURA DANIELA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3.2000000000000011</v>
      </c>
      <c r="E42" s="199"/>
      <c r="F42" s="18">
        <v>3.2</v>
      </c>
      <c r="G42" s="18">
        <v>3.2</v>
      </c>
      <c r="H42" s="18">
        <v>3.2</v>
      </c>
      <c r="I42" s="18">
        <v>3.2</v>
      </c>
      <c r="J42" s="18">
        <v>3.2</v>
      </c>
      <c r="K42" s="18"/>
    </row>
    <row r="43" spans="1:11" s="2" customFormat="1" ht="15" customHeight="1">
      <c r="A43" s="12">
        <v>3</v>
      </c>
      <c r="B43" s="28" t="str">
        <f>LIDER!F53</f>
        <v>RIVERA MENDOZA EDITH MARIA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3.2000000000000011</v>
      </c>
      <c r="E43" s="199"/>
      <c r="F43" s="18">
        <v>3.2</v>
      </c>
      <c r="G43" s="18">
        <v>3.2</v>
      </c>
      <c r="H43" s="18">
        <v>3.2</v>
      </c>
      <c r="I43" s="18">
        <v>3.2</v>
      </c>
      <c r="J43" s="18">
        <v>3.2</v>
      </c>
      <c r="K43" s="18"/>
    </row>
    <row r="44" spans="1:11" s="2" customFormat="1" ht="15" customHeight="1">
      <c r="A44" s="12">
        <v>4</v>
      </c>
      <c r="B44" s="28" t="str">
        <f>LIDER!F54</f>
        <v>THERAN MENDOZA JESUS DAVID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3.2000000000000011</v>
      </c>
      <c r="E44" s="199"/>
      <c r="F44" s="18">
        <v>3.2</v>
      </c>
      <c r="G44" s="18">
        <v>3.2</v>
      </c>
      <c r="H44" s="18">
        <v>3.2</v>
      </c>
      <c r="I44" s="18">
        <v>3.2</v>
      </c>
      <c r="J44" s="18">
        <v>3.2</v>
      </c>
      <c r="K44" s="18"/>
    </row>
    <row r="45" spans="1:11" s="2" customFormat="1" ht="15" customHeight="1">
      <c r="A45" s="12">
        <v>5</v>
      </c>
      <c r="B45" s="28" t="str">
        <f>LIDER!F55</f>
        <v>RODRIGUEZ PEREZ JEAN CARLOS</v>
      </c>
      <c r="C45" s="33" t="str">
        <f>IF('S-ASIG-02'!D45="","",'S-ASIG-02'!D45)</f>
        <v/>
      </c>
      <c r="D45" s="30">
        <f>IF(B45=0,"",IF(C45="",$E$41*LIDER!$H$19+F45*LIDER!$H$20+G45*LIDER!$H$21+H45*LIDER!$H$22+I45*LIDER!$H$23+J45*LIDER!$H$24+K45*LIDER!$H$25,"N"))</f>
        <v>3.2000000000000011</v>
      </c>
      <c r="E45" s="199"/>
      <c r="F45" s="18">
        <v>3.2</v>
      </c>
      <c r="G45" s="18">
        <v>3.2</v>
      </c>
      <c r="H45" s="18">
        <v>3.2</v>
      </c>
      <c r="I45" s="18">
        <v>3.2</v>
      </c>
      <c r="J45" s="18">
        <v>3.2</v>
      </c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120</v>
      </c>
      <c r="C47" s="32" t="str">
        <f>IF('S-ASIG-02'!D47="","",'S-ASIG-02'!D47)</f>
        <v>LIST</v>
      </c>
      <c r="D47" s="35" t="s">
        <v>109</v>
      </c>
      <c r="E47" s="201" t="str">
        <f>LIDER!$E$35</f>
        <v xml:space="preserve">GRUPO#7: Aspectos Legales, Tributarios, Administrativos, Macroeconómicos, Aduaneros, 
Tecnológicos, e Internacional que Definen el Perfil de Agofer S.A.S en los Negocios 
Internacionales </v>
      </c>
      <c r="F47" s="201"/>
      <c r="G47" s="201"/>
      <c r="H47" s="201"/>
      <c r="I47" s="201"/>
      <c r="J47" s="201"/>
      <c r="K47" s="201"/>
    </row>
    <row r="48" spans="1:11" s="2" customFormat="1" ht="12.75">
      <c r="A48" s="9">
        <v>1</v>
      </c>
      <c r="B48" s="28" t="str">
        <f>LIDER!G51</f>
        <v>CAMPO PÉREZ NALIETH NICOHL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4.1000000000000005</v>
      </c>
      <c r="E48" s="199">
        <v>4.2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/>
    </row>
    <row r="49" spans="1:11" s="2" customFormat="1" ht="15" customHeight="1">
      <c r="A49" s="12">
        <v>2</v>
      </c>
      <c r="B49" s="28" t="str">
        <f>LIDER!G52</f>
        <v>NOVOA GOMEZ IANA MARCELA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4.1000000000000005</v>
      </c>
      <c r="E49" s="199"/>
      <c r="F49" s="18">
        <v>4</v>
      </c>
      <c r="G49" s="18">
        <v>4</v>
      </c>
      <c r="H49" s="18">
        <v>4</v>
      </c>
      <c r="I49" s="18">
        <v>4</v>
      </c>
      <c r="J49" s="18">
        <v>4</v>
      </c>
      <c r="K49" s="18"/>
    </row>
    <row r="50" spans="1:11" s="2" customFormat="1" ht="15" customHeight="1">
      <c r="A50" s="12">
        <v>3</v>
      </c>
      <c r="B50" s="28" t="str">
        <f>LIDER!G53</f>
        <v>OSPINO MARTÍNEZ KAROLAY SOFIA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4.1000000000000005</v>
      </c>
      <c r="E50" s="199"/>
      <c r="F50" s="18">
        <v>4</v>
      </c>
      <c r="G50" s="18">
        <v>4</v>
      </c>
      <c r="H50" s="18">
        <v>4</v>
      </c>
      <c r="I50" s="18">
        <v>4</v>
      </c>
      <c r="J50" s="18">
        <v>4</v>
      </c>
      <c r="K50" s="18"/>
    </row>
    <row r="51" spans="1:11" s="2" customFormat="1" ht="15" customHeight="1">
      <c r="A51" s="12">
        <v>4</v>
      </c>
      <c r="B51" s="28" t="str">
        <f>LIDER!G54</f>
        <v>PEREZ VERGARA VALERIA</v>
      </c>
      <c r="C51" s="33" t="str">
        <f>IF('S-ASIG-02'!D51="","",'S-ASIG-02'!D51)</f>
        <v/>
      </c>
      <c r="D51" s="30">
        <f>IF(B51=0,"",IF(C51="",$E$48*LIDER!$H$19+F51*LIDER!$H$20+G51*LIDER!$H$21+H51*LIDER!$H$22+I51*LIDER!$H$23+J51*LIDER!$H$24+K51*LIDER!$H$25,"N"))</f>
        <v>4.1000000000000005</v>
      </c>
      <c r="E51" s="199"/>
      <c r="F51" s="18">
        <v>4</v>
      </c>
      <c r="G51" s="18">
        <v>4</v>
      </c>
      <c r="H51" s="18">
        <v>4</v>
      </c>
      <c r="I51" s="18">
        <v>4</v>
      </c>
      <c r="J51" s="18">
        <v>4</v>
      </c>
      <c r="K51" s="18"/>
    </row>
    <row r="52" spans="1:11" s="2" customFormat="1" ht="15" customHeight="1">
      <c r="A52" s="12">
        <v>5</v>
      </c>
      <c r="B52" s="28" t="str">
        <f>LIDER!G55</f>
        <v>PETRO ROSARIO VALERIE SARED</v>
      </c>
      <c r="C52" s="33" t="str">
        <f>IF('S-ASIG-02'!D52="","",'S-ASIG-02'!D52)</f>
        <v/>
      </c>
      <c r="D52" s="30">
        <f>IF(B52=0,"",IF(C52="",$E$48*LIDER!$H$19+F52*LIDER!$H$20+G52*LIDER!$H$21+H52*LIDER!$H$22+I52*LIDER!$H$23+J52*LIDER!$H$24+K52*LIDER!$H$25,"N"))</f>
        <v>4.1000000000000005</v>
      </c>
      <c r="E52" s="199"/>
      <c r="F52" s="18">
        <v>4</v>
      </c>
      <c r="G52" s="18">
        <v>4</v>
      </c>
      <c r="H52" s="18">
        <v>4</v>
      </c>
      <c r="I52" s="18">
        <v>4</v>
      </c>
      <c r="J52" s="18">
        <v>4</v>
      </c>
      <c r="K52" s="18"/>
    </row>
    <row r="53" spans="1:11" s="2" customFormat="1" ht="15.75" customHeight="1" thickBot="1">
      <c r="A53" s="13">
        <v>6</v>
      </c>
      <c r="B53" s="28" t="str">
        <f>LIDER!G56</f>
        <v>RAMOS ORTEGA LAURA INÉS</v>
      </c>
      <c r="C53" s="33" t="str">
        <f>IF('S-ASIG-02'!D53="","",'S-ASIG-02'!D53)</f>
        <v/>
      </c>
      <c r="D53" s="30">
        <f>IF(B53=0,"",IF(C53="",$E$48*LIDER!$H$19+F53*LIDER!$H$20+G53*LIDER!$H$21+H53*LIDER!$H$22+I53*LIDER!$H$23+J53*LIDER!$H$24+K53*LIDER!$H$25,"N"))</f>
        <v>4.1000000000000005</v>
      </c>
      <c r="E53" s="199"/>
      <c r="F53" s="26">
        <v>4</v>
      </c>
      <c r="G53" s="26">
        <v>4</v>
      </c>
      <c r="H53" s="26">
        <v>4</v>
      </c>
      <c r="I53" s="26">
        <v>4</v>
      </c>
      <c r="J53" s="26">
        <v>4</v>
      </c>
      <c r="K53" s="26"/>
    </row>
    <row r="54" spans="1:11" s="2" customFormat="1" ht="15.75" customHeight="1" thickBot="1">
      <c r="A54" s="14"/>
      <c r="B54" s="27" t="s">
        <v>122</v>
      </c>
      <c r="C54" s="32" t="str">
        <f>IF('S-ASIG-02'!D54="","",'S-ASIG-02'!D54)</f>
        <v>LIST</v>
      </c>
      <c r="D54" s="35" t="s">
        <v>109</v>
      </c>
      <c r="E54" s="201" t="str">
        <f>LIDER!$E$36</f>
        <v>GRUPO#8: Aspectos legales, tributarios, administrativos, macroeconómicos, aduaneros y tecnológicos que definen el perfil de Terpel S.A. en los negocios internacionales</v>
      </c>
      <c r="F54" s="201"/>
      <c r="G54" s="201"/>
      <c r="H54" s="201"/>
      <c r="I54" s="201"/>
      <c r="J54" s="201"/>
      <c r="K54" s="201"/>
    </row>
    <row r="55" spans="1:11" s="2" customFormat="1" ht="12.75">
      <c r="A55" s="9">
        <v>1</v>
      </c>
      <c r="B55" s="28" t="str">
        <f>LIDER!H51</f>
        <v>BARRIOS RAMIREZ JUAN JOSE</v>
      </c>
      <c r="C55" s="33" t="str">
        <f>IF('S-ASIG-02'!D55="","",'S-ASIG-02'!D55)</f>
        <v/>
      </c>
      <c r="D55" s="30">
        <f>IF(B55=0,"",IF(C55="",$E$55*LIDER!$H$19+F55*LIDER!$H$20+G55*LIDER!$H$21+H55*LIDER!$H$22+I55*LIDER!$H$23+J55*LIDER!$H$24+K55*LIDER!$H$25,"N"))</f>
        <v>4.2</v>
      </c>
      <c r="E55" s="199">
        <v>4.4000000000000004</v>
      </c>
      <c r="F55" s="24">
        <v>4</v>
      </c>
      <c r="G55" s="24">
        <v>4</v>
      </c>
      <c r="H55" s="24">
        <v>4</v>
      </c>
      <c r="I55" s="24">
        <v>4</v>
      </c>
      <c r="J55" s="24">
        <v>4</v>
      </c>
      <c r="K55" s="24"/>
    </row>
    <row r="56" spans="1:11" s="2" customFormat="1" ht="15" customHeight="1">
      <c r="A56" s="12">
        <v>2</v>
      </c>
      <c r="B56" s="28" t="str">
        <f>LIDER!H52</f>
        <v>HERRERA PRADA JAIDER DAVID</v>
      </c>
      <c r="C56" s="33" t="str">
        <f>IF('S-ASIG-02'!D56="","",'S-ASIG-02'!D56)</f>
        <v/>
      </c>
      <c r="D56" s="30">
        <f>IF(B56=0,"",IF(C56="",$E$55*LIDER!$H$19+F56*LIDER!$H$20+G56*LIDER!$H$21+H56*LIDER!$H$22+I56*LIDER!$H$23+J56*LIDER!$H$24+K56*LIDER!$H$25,"N"))</f>
        <v>4.2</v>
      </c>
      <c r="E56" s="199"/>
      <c r="F56" s="18">
        <v>4</v>
      </c>
      <c r="G56" s="18">
        <v>4</v>
      </c>
      <c r="H56" s="18">
        <v>4</v>
      </c>
      <c r="I56" s="18">
        <v>4</v>
      </c>
      <c r="J56" s="18">
        <v>4</v>
      </c>
      <c r="K56" s="18"/>
    </row>
    <row r="57" spans="1:11" s="2" customFormat="1" ht="15" customHeight="1">
      <c r="A57" s="12">
        <v>3</v>
      </c>
      <c r="B57" s="28" t="str">
        <f>LIDER!H53</f>
        <v>GARCIA SUAREZ ANDREA CAROLINA</v>
      </c>
      <c r="C57" s="33" t="str">
        <f>IF('S-ASIG-02'!D57="","",'S-ASIG-02'!D57)</f>
        <v/>
      </c>
      <c r="D57" s="30">
        <f>IF(B57=0,"",IF(C57="",$E$55*LIDER!$H$19+F57*LIDER!$H$20+G57*LIDER!$H$21+H57*LIDER!$H$22+I57*LIDER!$H$23+J57*LIDER!$H$24+K57*LIDER!$H$25,"N"))</f>
        <v>4.2</v>
      </c>
      <c r="E57" s="199"/>
      <c r="F57" s="18">
        <v>4</v>
      </c>
      <c r="G57" s="18">
        <v>4</v>
      </c>
      <c r="H57" s="18">
        <v>4</v>
      </c>
      <c r="I57" s="18">
        <v>4</v>
      </c>
      <c r="J57" s="18">
        <v>4</v>
      </c>
      <c r="K57" s="18"/>
    </row>
    <row r="58" spans="1:11" s="2" customFormat="1" ht="15" customHeight="1">
      <c r="A58" s="12">
        <v>4</v>
      </c>
      <c r="B58" s="28" t="str">
        <f>LIDER!H54</f>
        <v>PEREZ GELIS LUISA FERNANDA</v>
      </c>
      <c r="C58" s="33" t="str">
        <f>IF('S-ASIG-02'!D58="","",'S-ASIG-02'!D58)</f>
        <v/>
      </c>
      <c r="D58" s="30">
        <f>IF(B58=0,"",IF(C58="",$E$55*LIDER!$H$19+F58*LIDER!$H$20+G58*LIDER!$H$21+H58*LIDER!$H$22+I58*LIDER!$H$23+J58*LIDER!$H$24+K58*LIDER!$H$25,"N"))</f>
        <v>4.2</v>
      </c>
      <c r="E58" s="199"/>
      <c r="F58" s="18">
        <v>4</v>
      </c>
      <c r="G58" s="18">
        <v>4</v>
      </c>
      <c r="H58" s="18">
        <v>4</v>
      </c>
      <c r="I58" s="18">
        <v>4</v>
      </c>
      <c r="J58" s="18">
        <v>4</v>
      </c>
      <c r="K58" s="18"/>
    </row>
    <row r="59" spans="1:11" s="2" customFormat="1" ht="15" customHeight="1">
      <c r="A59" s="12">
        <v>5</v>
      </c>
      <c r="B59" s="28" t="str">
        <f>LIDER!H55</f>
        <v>LOPEZ PAYARES OSMAN JUNIOR</v>
      </c>
      <c r="C59" s="33" t="str">
        <f>IF('S-ASIG-02'!D59="","",'S-ASIG-02'!D59)</f>
        <v/>
      </c>
      <c r="D59" s="30">
        <f>IF(B59=0,"",IF(C59="",$E$55*LIDER!$H$19+F59*LIDER!$H$20+G59*LIDER!$H$21+H59*LIDER!$H$22+I59*LIDER!$H$23+J59*LIDER!$H$24+K59*LIDER!$H$25,"N"))</f>
        <v>4.2</v>
      </c>
      <c r="E59" s="199"/>
      <c r="F59" s="18">
        <v>4</v>
      </c>
      <c r="G59" s="18">
        <v>4</v>
      </c>
      <c r="H59" s="18">
        <v>4</v>
      </c>
      <c r="I59" s="18">
        <v>4</v>
      </c>
      <c r="J59" s="18">
        <v>4</v>
      </c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124</v>
      </c>
      <c r="C61" s="32" t="str">
        <f>IF('S-ASIG-02'!D61="","",'S-ASIG-02'!D61)</f>
        <v>LIST</v>
      </c>
      <c r="D61" s="35" t="s">
        <v>109</v>
      </c>
      <c r="E61" s="201" t="str">
        <f>LIDER!$E$37</f>
        <v>GRUPO#9: Aspectos, legales, tributarios, administrativos, macroeconómicos, aduaneros e internacionales que definen el
perfil de Samsung  en los negocios internacionales.</v>
      </c>
      <c r="F61" s="201"/>
      <c r="G61" s="201"/>
      <c r="H61" s="201"/>
      <c r="I61" s="201"/>
      <c r="J61" s="201"/>
      <c r="K61" s="201"/>
    </row>
    <row r="62" spans="1:11" s="2" customFormat="1" ht="12.75">
      <c r="A62" s="9">
        <v>1</v>
      </c>
      <c r="B62" s="28" t="str">
        <f>LIDER!E59</f>
        <v>CORDOBA RODRIGUEZ ADRIANO</v>
      </c>
      <c r="C62" s="33" t="str">
        <f>IF('S-ASIG-02'!D62="","",'S-ASIG-02'!D62)</f>
        <v>N</v>
      </c>
      <c r="D62" s="30" t="str">
        <f>IF(B62=0,"",IF(C62="",$E$62*LIDER!$H$19+F62*LIDER!$H$20+G62*LIDER!$H$21+H62*LIDER!$H$22+I62*LIDER!$H$23+J62*LIDER!$H$24+K62*LIDER!$H$25,"N"))</f>
        <v>N</v>
      </c>
      <c r="E62" s="199">
        <v>3.5</v>
      </c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ZUÑIGA IGLESIAS EMMANUEL DAVID</v>
      </c>
      <c r="C63" s="33" t="str">
        <f>IF('S-ASIG-02'!D63="","",'S-ASIG-02'!D63)</f>
        <v/>
      </c>
      <c r="D63" s="30">
        <f>IF(B63=0,"",IF(C63="",$E$62*LIDER!$H$19+F63*LIDER!$H$20+G63*LIDER!$H$21+H63*LIDER!$H$22+I63*LIDER!$H$23+J63*LIDER!$H$24+K63*LIDER!$H$25,"N"))</f>
        <v>3.5</v>
      </c>
      <c r="E63" s="199"/>
      <c r="F63" s="18">
        <v>3.5</v>
      </c>
      <c r="G63" s="18">
        <v>3.5</v>
      </c>
      <c r="H63" s="18">
        <v>3.5</v>
      </c>
      <c r="I63" s="18">
        <v>3.5</v>
      </c>
      <c r="J63" s="18">
        <v>3.5</v>
      </c>
      <c r="K63" s="18"/>
    </row>
    <row r="64" spans="1:11" s="2" customFormat="1" ht="15" customHeight="1">
      <c r="A64" s="12">
        <v>3</v>
      </c>
      <c r="B64" s="28" t="str">
        <f>LIDER!E61</f>
        <v>ORTÍZ ZUÑIGA WILYS JUNIOR</v>
      </c>
      <c r="C64" s="33" t="str">
        <f>IF('S-ASIG-02'!D64="","",'S-ASIG-02'!D64)</f>
        <v>N</v>
      </c>
      <c r="D64" s="30" t="str">
        <f>IF(B64=0,"",IF(C64="",$E$62*LIDER!$H$19+F64*LIDER!$H$20+G64*LIDER!$H$21+H64*LIDER!$H$22+I64*LIDER!$H$23+J64*LIDER!$H$24+K64*LIDER!$H$25,"N"))</f>
        <v>N</v>
      </c>
      <c r="E64" s="19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DE ORO MOLINA RONNY AMEL</v>
      </c>
      <c r="C65" s="33" t="str">
        <f>IF('S-ASIG-02'!D65="","",'S-ASIG-02'!D65)</f>
        <v>N</v>
      </c>
      <c r="D65" s="30" t="str">
        <f>IF(B65=0,"",IF(C65="",$E$62*LIDER!$H$19+F65*LIDER!$H$20+G65*LIDER!$H$21+H65*LIDER!$H$22+I65*LIDER!$H$23+J65*LIDER!$H$24+K65*LIDER!$H$25,"N"))</f>
        <v>N</v>
      </c>
      <c r="E65" s="19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IF('S-ASIG-02'!D68="","",'S-ASIG-02'!D68)</f>
        <v>LIST</v>
      </c>
      <c r="D68" s="35" t="s">
        <v>109</v>
      </c>
      <c r="E68" s="201" t="str">
        <f>LIDER!$E$38</f>
        <v>GRUPO#10</v>
      </c>
      <c r="F68" s="201"/>
      <c r="G68" s="201"/>
      <c r="H68" s="201"/>
      <c r="I68" s="201"/>
      <c r="J68" s="201"/>
      <c r="K68" s="201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IF('S-ASIG-02'!D75="","",'S-ASIG-02'!D75)</f>
        <v>LIST</v>
      </c>
      <c r="D75" s="35" t="s">
        <v>109</v>
      </c>
      <c r="E75" s="201" t="str">
        <f>LIDER!$E$39</f>
        <v>GRUPO#11</v>
      </c>
      <c r="F75" s="201"/>
      <c r="G75" s="201"/>
      <c r="H75" s="201"/>
      <c r="I75" s="201"/>
      <c r="J75" s="201"/>
      <c r="K75" s="201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IF('S-ASIG-02'!D82="","",'S-ASIG-02'!D82)</f>
        <v>LIST</v>
      </c>
      <c r="D82" s="35" t="s">
        <v>109</v>
      </c>
      <c r="E82" s="201" t="str">
        <f>LIDER!$E$40</f>
        <v>GRUPO#12</v>
      </c>
      <c r="F82" s="201"/>
      <c r="G82" s="201"/>
      <c r="H82" s="201"/>
      <c r="I82" s="201"/>
      <c r="J82" s="201"/>
      <c r="K82" s="201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200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6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LIDER!E4</f>
        <v>INTERNACIONALIZACION</v>
      </c>
      <c r="C2" s="3"/>
      <c r="E2" s="216" t="s">
        <v>104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105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21" t="str">
        <f>CONCATENATE(LIDER!E4," - ",LIDER!E6," - ",LIDER!E5)</f>
        <v>INTERNACIONALIZACION - 2480 - TATIANA MILENA ROJAS AROCA</v>
      </c>
      <c r="F4" s="222"/>
      <c r="G4" s="222"/>
      <c r="H4" s="222"/>
      <c r="I4" s="222"/>
      <c r="J4" s="222"/>
      <c r="K4" s="223"/>
    </row>
    <row r="5" spans="1:11" s="2" customFormat="1" ht="15.75" customHeight="1" thickBot="1">
      <c r="A5" s="8"/>
      <c r="B5" s="27" t="s">
        <v>106</v>
      </c>
      <c r="C5" s="34" t="str">
        <f>IF('S-ASIG-03'!D5="","",'S-ASIG-03'!D5)</f>
        <v>LIST</v>
      </c>
      <c r="D5" s="35" t="s">
        <v>109</v>
      </c>
      <c r="E5" s="201" t="str">
        <f>LIDER!$E$29</f>
        <v xml:space="preserve">GRUPO#1: Aspectos Legales, Tributarios, Administrativos, Macroeconómicos, Aduaneros, Tecnológicos
e Internacionales que Definen el perfil de la empresa Apple Colombia S.A.S. </v>
      </c>
      <c r="F5" s="201"/>
      <c r="G5" s="201"/>
      <c r="H5" s="201"/>
      <c r="I5" s="201"/>
      <c r="J5" s="201"/>
      <c r="K5" s="201"/>
    </row>
    <row r="6" spans="1:11" s="2" customFormat="1" ht="12.75">
      <c r="A6" s="9">
        <v>1</v>
      </c>
      <c r="B6" s="28" t="str">
        <f>LIDER!E43</f>
        <v>BERRIO LOPEZ VALENTINA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4.1000000000000005</v>
      </c>
      <c r="E6" s="199">
        <v>4.2</v>
      </c>
      <c r="F6" s="24">
        <v>4</v>
      </c>
      <c r="G6" s="24">
        <v>4</v>
      </c>
      <c r="H6" s="24">
        <v>4</v>
      </c>
      <c r="I6" s="24">
        <v>4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BOHÓRQUEZ CANTERO SANTIAGO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4.1000000000000005</v>
      </c>
      <c r="E7" s="199"/>
      <c r="F7" s="18">
        <v>4</v>
      </c>
      <c r="G7" s="18">
        <v>4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CAMPOS ABREU NICOLE ANTHONELLA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4.1000000000000005</v>
      </c>
      <c r="E8" s="199"/>
      <c r="F8" s="18">
        <v>4</v>
      </c>
      <c r="G8" s="18">
        <v>4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RUIZ CHICO LAURA SOFIA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4.1000000000000005</v>
      </c>
      <c r="E9" s="199"/>
      <c r="F9" s="18">
        <v>4</v>
      </c>
      <c r="G9" s="18">
        <v>4</v>
      </c>
      <c r="H9" s="18">
        <v>4</v>
      </c>
      <c r="I9" s="18">
        <v>4</v>
      </c>
      <c r="J9" s="18">
        <v>4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9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110</v>
      </c>
      <c r="C12" s="32" t="str">
        <f>IF('S-ASIG-03'!D12="","",'S-ASIG-03'!D12)</f>
        <v>LIST</v>
      </c>
      <c r="D12" s="35" t="s">
        <v>109</v>
      </c>
      <c r="E12" s="201" t="str">
        <f>LIDER!$E$30</f>
        <v xml:space="preserve">GRUPO#2: Caracterización de los aspectos legales, tributarios, administrativos, macroeconómicos, 
tecnológicos e internacionales que definen el perfil empresarial de Ecopetrol S.A. en los 
negocios internacionales </v>
      </c>
      <c r="F12" s="201"/>
      <c r="G12" s="201"/>
      <c r="H12" s="201"/>
      <c r="I12" s="201"/>
      <c r="J12" s="201"/>
      <c r="K12" s="201"/>
    </row>
    <row r="13" spans="1:11" s="2" customFormat="1" ht="12.75">
      <c r="A13" s="9">
        <v>1</v>
      </c>
      <c r="B13" s="28" t="str">
        <f>LIDER!F43</f>
        <v>BUENDIA CAÑATE DONICEL DE JESUS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4.3999999999999995</v>
      </c>
      <c r="E13" s="199">
        <v>4.5</v>
      </c>
      <c r="F13" s="24">
        <v>4.3</v>
      </c>
      <c r="G13" s="24">
        <v>4.3</v>
      </c>
      <c r="H13" s="24">
        <v>4.3</v>
      </c>
      <c r="I13" s="24">
        <v>4.3</v>
      </c>
      <c r="J13" s="24">
        <v>4.3</v>
      </c>
      <c r="K13" s="24"/>
    </row>
    <row r="14" spans="1:11" s="2" customFormat="1" ht="15" customHeight="1">
      <c r="A14" s="12">
        <v>2</v>
      </c>
      <c r="B14" s="28" t="str">
        <f>LIDER!F44</f>
        <v>MARRUGO CORREA MATEO DE JESUS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4.3999999999999995</v>
      </c>
      <c r="E14" s="199"/>
      <c r="F14" s="18">
        <v>4.3</v>
      </c>
      <c r="G14" s="18">
        <v>4.3</v>
      </c>
      <c r="H14" s="18">
        <v>4.3</v>
      </c>
      <c r="I14" s="18">
        <v>4.3</v>
      </c>
      <c r="J14" s="18">
        <v>4.3</v>
      </c>
      <c r="K14" s="18"/>
    </row>
    <row r="15" spans="1:11" s="2" customFormat="1" ht="15" customHeight="1">
      <c r="A15" s="12">
        <v>3</v>
      </c>
      <c r="B15" s="28" t="str">
        <f>LIDER!F45</f>
        <v>ZEA NAVARRO JUAN ESTEBAN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4.3999999999999995</v>
      </c>
      <c r="E15" s="199"/>
      <c r="F15" s="18">
        <v>4.3</v>
      </c>
      <c r="G15" s="18">
        <v>4.3</v>
      </c>
      <c r="H15" s="18">
        <v>4.3</v>
      </c>
      <c r="I15" s="18">
        <v>4.3</v>
      </c>
      <c r="J15" s="18">
        <v>4.3</v>
      </c>
      <c r="K15" s="18"/>
    </row>
    <row r="16" spans="1:11" s="2" customFormat="1" ht="15" customHeight="1">
      <c r="A16" s="12">
        <v>4</v>
      </c>
      <c r="B16" s="28" t="str">
        <f>LIDER!F46</f>
        <v>PALMERA MARTINEZ FRANCISCO JAVIER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4.3999999999999995</v>
      </c>
      <c r="E16" s="199"/>
      <c r="F16" s="18">
        <v>4.3</v>
      </c>
      <c r="G16" s="18">
        <v>4.3</v>
      </c>
      <c r="H16" s="18">
        <v>4.3</v>
      </c>
      <c r="I16" s="18">
        <v>4.3</v>
      </c>
      <c r="J16" s="18">
        <v>4.3</v>
      </c>
      <c r="K16" s="18"/>
    </row>
    <row r="17" spans="1:11" s="2" customFormat="1" ht="15" customHeight="1">
      <c r="A17" s="12">
        <v>5</v>
      </c>
      <c r="B17" s="28" t="str">
        <f>LIDER!F47</f>
        <v>CONTRERAS MARTÍNEZ MARLON MANUEL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4.3999999999999995</v>
      </c>
      <c r="E17" s="199"/>
      <c r="F17" s="18">
        <v>4.3</v>
      </c>
      <c r="G17" s="18">
        <v>4.3</v>
      </c>
      <c r="H17" s="18">
        <v>4.3</v>
      </c>
      <c r="I17" s="18">
        <v>4.3</v>
      </c>
      <c r="J17" s="18">
        <v>4.3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112</v>
      </c>
      <c r="C19" s="32" t="str">
        <f>IF('S-ASIG-03'!D19="","",'S-ASIG-03'!D19)</f>
        <v>LIST</v>
      </c>
      <c r="D19" s="35" t="s">
        <v>109</v>
      </c>
      <c r="E19" s="201" t="str">
        <f>LIDER!$E$31</f>
        <v xml:space="preserve">GRUPO#3: Análisis integral de los aspectos legales, tributarios, administrativos, 
macroeconómicos, tecnológicos e internacionales que configuran el perfil empresarial de 
Nestlé Colombia S.A. en los negocios internacionales. </v>
      </c>
      <c r="F19" s="201"/>
      <c r="G19" s="201"/>
      <c r="H19" s="201"/>
      <c r="I19" s="201"/>
      <c r="J19" s="201"/>
      <c r="K19" s="201"/>
    </row>
    <row r="20" spans="1:11" s="2" customFormat="1" ht="12.75">
      <c r="A20" s="9">
        <v>1</v>
      </c>
      <c r="B20" s="28" t="str">
        <f>LIDER!G43</f>
        <v>FONTALVO RODRIGUEZ ISABELLA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4.3</v>
      </c>
      <c r="E20" s="199">
        <v>4.3</v>
      </c>
      <c r="F20" s="24">
        <v>4.3</v>
      </c>
      <c r="G20" s="24">
        <v>4.3</v>
      </c>
      <c r="H20" s="24">
        <v>4.3</v>
      </c>
      <c r="I20" s="24">
        <v>4.3</v>
      </c>
      <c r="J20" s="24">
        <v>4.3</v>
      </c>
      <c r="K20" s="24"/>
    </row>
    <row r="21" spans="1:11" s="2" customFormat="1" ht="15" customHeight="1">
      <c r="A21" s="12">
        <v>2</v>
      </c>
      <c r="B21" s="28" t="str">
        <f>LIDER!G44</f>
        <v>LARA MAURY MARÍA ANGÉLICA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4.3</v>
      </c>
      <c r="E21" s="199"/>
      <c r="F21" s="18">
        <v>4.3</v>
      </c>
      <c r="G21" s="18">
        <v>4.3</v>
      </c>
      <c r="H21" s="18">
        <v>4.3</v>
      </c>
      <c r="I21" s="18">
        <v>4.3</v>
      </c>
      <c r="J21" s="18">
        <v>4.3</v>
      </c>
      <c r="K21" s="18"/>
    </row>
    <row r="22" spans="1:11" s="2" customFormat="1" ht="15" customHeight="1">
      <c r="A22" s="12">
        <v>3</v>
      </c>
      <c r="B22" s="28" t="str">
        <f>LIDER!G45</f>
        <v>PEREZ ALVAREZ DILAN ANDRES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4.3</v>
      </c>
      <c r="E22" s="199"/>
      <c r="F22" s="18">
        <v>4.3</v>
      </c>
      <c r="G22" s="18">
        <v>4.3</v>
      </c>
      <c r="H22" s="18">
        <v>4.3</v>
      </c>
      <c r="I22" s="18">
        <v>4.3</v>
      </c>
      <c r="J22" s="18">
        <v>4.3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IF('S-ASIG-03'!D23="","",'S-ASIG-03'!D23)</f>
        <v/>
      </c>
      <c r="D23" s="30" t="str">
        <f>IF(B23=0,"",IF(C23="",$E$20*LIDER!$H$19+F23*LIDER!$H$20+G23*LIDER!$H$21+H23*LIDER!$H$22+I23*LIDER!$H$23+J23*LIDER!$H$24+K23*LIDER!$H$25,"N"))</f>
        <v/>
      </c>
      <c r="E23" s="19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9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114</v>
      </c>
      <c r="C26" s="32" t="str">
        <f>IF('S-ASIG-03'!D26="","",'S-ASIG-03'!D26)</f>
        <v>LIST</v>
      </c>
      <c r="D26" s="35" t="s">
        <v>109</v>
      </c>
      <c r="E26" s="201" t="str">
        <f>LIDER!$E$32</f>
        <v>GRUPO#4: Análisis de los aspectos legales, tributarios, administrativos, macroeconómicos,
tecnológicos e internacionales de la empresa Arturo Calle S.A.S. en los negocios
internacionales</v>
      </c>
      <c r="F26" s="201"/>
      <c r="G26" s="201"/>
      <c r="H26" s="201"/>
      <c r="I26" s="201"/>
      <c r="J26" s="201"/>
      <c r="K26" s="201"/>
    </row>
    <row r="27" spans="1:11" s="2" customFormat="1" ht="12.75">
      <c r="A27" s="9">
        <v>1</v>
      </c>
      <c r="B27" s="28" t="str">
        <f>LIDER!H43</f>
        <v>BURGOS CAUSIL SHADIA TATIANA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4.2</v>
      </c>
      <c r="E27" s="199">
        <v>4.2</v>
      </c>
      <c r="F27" s="24">
        <v>4.2</v>
      </c>
      <c r="G27" s="24">
        <v>4.2</v>
      </c>
      <c r="H27" s="24">
        <v>4.2</v>
      </c>
      <c r="I27" s="24">
        <v>4.2</v>
      </c>
      <c r="J27" s="24">
        <v>4.2</v>
      </c>
      <c r="K27" s="24"/>
    </row>
    <row r="28" spans="1:11" s="2" customFormat="1" ht="15" customHeight="1">
      <c r="A28" s="12">
        <v>2</v>
      </c>
      <c r="B28" s="28" t="str">
        <f>LIDER!H44</f>
        <v>CASTRO SAYAS KEVIN ENRIQUE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4.2</v>
      </c>
      <c r="E28" s="199"/>
      <c r="F28" s="18">
        <v>4.2</v>
      </c>
      <c r="G28" s="18">
        <v>4.2</v>
      </c>
      <c r="H28" s="18">
        <v>4.2</v>
      </c>
      <c r="I28" s="18">
        <v>4.2</v>
      </c>
      <c r="J28" s="18">
        <v>4.2</v>
      </c>
      <c r="K28" s="18"/>
    </row>
    <row r="29" spans="1:11" s="2" customFormat="1" ht="15" customHeight="1">
      <c r="A29" s="12">
        <v>3</v>
      </c>
      <c r="B29" s="28" t="str">
        <f>LIDER!H45</f>
        <v>CERVERA BLANCO ALAN DAVID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4.2</v>
      </c>
      <c r="E29" s="199"/>
      <c r="F29" s="18">
        <v>4.2</v>
      </c>
      <c r="G29" s="18">
        <v>4.2</v>
      </c>
      <c r="H29" s="18">
        <v>4.2</v>
      </c>
      <c r="I29" s="18">
        <v>4.2</v>
      </c>
      <c r="J29" s="18">
        <v>4.2</v>
      </c>
      <c r="K29" s="18"/>
    </row>
    <row r="30" spans="1:11" s="2" customFormat="1" ht="15" customHeight="1">
      <c r="A30" s="12">
        <v>4</v>
      </c>
      <c r="B30" s="28" t="str">
        <f>LIDER!H46</f>
        <v>GONZALEZ PATERNINA YULIETH ISABEL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4.2</v>
      </c>
      <c r="E30" s="199"/>
      <c r="F30" s="18">
        <v>4.2</v>
      </c>
      <c r="G30" s="18">
        <v>4.2</v>
      </c>
      <c r="H30" s="18">
        <v>4.2</v>
      </c>
      <c r="I30" s="18">
        <v>4.2</v>
      </c>
      <c r="J30" s="18">
        <v>4.2</v>
      </c>
      <c r="K30" s="18"/>
    </row>
    <row r="31" spans="1:11" s="2" customFormat="1" ht="15" customHeight="1">
      <c r="A31" s="12">
        <v>5</v>
      </c>
      <c r="B31" s="28" t="str">
        <f>LIDER!H47</f>
        <v>GONZALEZ SOTO NICOLE ANDREA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4.2</v>
      </c>
      <c r="E31" s="199"/>
      <c r="F31" s="18">
        <v>4.2</v>
      </c>
      <c r="G31" s="18">
        <v>4.2</v>
      </c>
      <c r="H31" s="18">
        <v>4.2</v>
      </c>
      <c r="I31" s="18">
        <v>4.2</v>
      </c>
      <c r="J31" s="18">
        <v>4.2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116</v>
      </c>
      <c r="C33" s="32" t="str">
        <f>IF('S-ASIG-03'!D33="","",'S-ASIG-03'!D33)</f>
        <v>LIST</v>
      </c>
      <c r="D33" s="35" t="s">
        <v>109</v>
      </c>
      <c r="E33" s="201" t="str">
        <f>LIDER!$E$33</f>
        <v xml:space="preserve">GRUPO#5: Aspectos legales, tributarios, administrativos, macroeconómicos, aduaneros, tecnológicos e 
internacionales que definen el perfil de Cementos Argos en los negocios internacionales </v>
      </c>
      <c r="F33" s="201"/>
      <c r="G33" s="201"/>
      <c r="H33" s="201"/>
      <c r="I33" s="201"/>
      <c r="J33" s="201"/>
      <c r="K33" s="201"/>
    </row>
    <row r="34" spans="1:11" s="2" customFormat="1" ht="12.75">
      <c r="A34" s="9">
        <v>1</v>
      </c>
      <c r="B34" s="28" t="str">
        <f>LIDER!E51</f>
        <v>CANTILLO ZABALETA JULIANA ISABEL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3.7000000000000006</v>
      </c>
      <c r="E34" s="199">
        <v>3.7</v>
      </c>
      <c r="F34" s="24">
        <v>3.7</v>
      </c>
      <c r="G34" s="24">
        <v>3.7</v>
      </c>
      <c r="H34" s="24">
        <v>3.7</v>
      </c>
      <c r="I34" s="24">
        <v>3.7</v>
      </c>
      <c r="J34" s="24">
        <v>3.7</v>
      </c>
      <c r="K34" s="24"/>
    </row>
    <row r="35" spans="1:11" s="2" customFormat="1" ht="15" customHeight="1">
      <c r="A35" s="12">
        <v>2</v>
      </c>
      <c r="B35" s="28" t="str">
        <f>LIDER!E52</f>
        <v>DAVILA GONZALEZ ALANA ARAI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3.7000000000000006</v>
      </c>
      <c r="E35" s="199"/>
      <c r="F35" s="18">
        <v>3.7</v>
      </c>
      <c r="G35" s="18">
        <v>3.7</v>
      </c>
      <c r="H35" s="18">
        <v>3.7</v>
      </c>
      <c r="I35" s="18">
        <v>3.7</v>
      </c>
      <c r="J35" s="18">
        <v>3.7</v>
      </c>
      <c r="K35" s="18"/>
    </row>
    <row r="36" spans="1:11" s="2" customFormat="1" ht="15" customHeight="1">
      <c r="A36" s="12">
        <v>3</v>
      </c>
      <c r="B36" s="28" t="str">
        <f>LIDER!E53</f>
        <v>OBANDO MARSIGLIA JESED ALEJANDRO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3.7000000000000006</v>
      </c>
      <c r="E36" s="199"/>
      <c r="F36" s="18">
        <v>3.7</v>
      </c>
      <c r="G36" s="18">
        <v>3.7</v>
      </c>
      <c r="H36" s="18">
        <v>3.7</v>
      </c>
      <c r="I36" s="18">
        <v>3.7</v>
      </c>
      <c r="J36" s="18">
        <v>3.7</v>
      </c>
      <c r="K36" s="18"/>
    </row>
    <row r="37" spans="1:11" s="2" customFormat="1" ht="15" customHeight="1">
      <c r="A37" s="12">
        <v>4</v>
      </c>
      <c r="B37" s="28" t="str">
        <f>LIDER!E54</f>
        <v>GARCÍA REYES VALERY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3.7000000000000006</v>
      </c>
      <c r="E37" s="199"/>
      <c r="F37" s="18">
        <v>3.7</v>
      </c>
      <c r="G37" s="18">
        <v>3.7</v>
      </c>
      <c r="H37" s="18">
        <v>3.7</v>
      </c>
      <c r="I37" s="18">
        <v>3.7</v>
      </c>
      <c r="J37" s="18">
        <v>3.7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9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118</v>
      </c>
      <c r="C40" s="32" t="str">
        <f>IF('S-ASIG-03'!D40="","",'S-ASIG-03'!D40)</f>
        <v>LIST</v>
      </c>
      <c r="D40" s="35" t="s">
        <v>109</v>
      </c>
      <c r="E40" s="201" t="str">
        <f>LIDER!$E$34</f>
        <v>GRUPO#6: Análisis de los aspectos legales, tributarios, administrativos, macroeconómicos, aduaneros, tecnológicos e
internacionales que definen el perfil de Alpina S.A.S en los negocios internacionales</v>
      </c>
      <c r="F40" s="201"/>
      <c r="G40" s="201"/>
      <c r="H40" s="201"/>
      <c r="I40" s="201"/>
      <c r="J40" s="201"/>
      <c r="K40" s="201"/>
    </row>
    <row r="41" spans="1:11" s="2" customFormat="1" ht="12.75">
      <c r="A41" s="9">
        <v>1</v>
      </c>
      <c r="B41" s="28" t="str">
        <f>LIDER!F51</f>
        <v>ALVARADO MAS Y RUBI LOHANA  VICTORIA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3.3999999999999995</v>
      </c>
      <c r="E41" s="199">
        <v>3.4</v>
      </c>
      <c r="F41" s="24">
        <v>3.4</v>
      </c>
      <c r="G41" s="24">
        <v>3.4</v>
      </c>
      <c r="H41" s="24">
        <v>3.4</v>
      </c>
      <c r="I41" s="24">
        <v>3.4</v>
      </c>
      <c r="J41" s="24">
        <v>3.4</v>
      </c>
      <c r="K41" s="24"/>
    </row>
    <row r="42" spans="1:11" s="2" customFormat="1" ht="15" customHeight="1">
      <c r="A42" s="12">
        <v>2</v>
      </c>
      <c r="B42" s="28" t="str">
        <f>LIDER!F52</f>
        <v>MANOTAS ACEVEDO LAURA DANIELA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3.3999999999999995</v>
      </c>
      <c r="E42" s="199"/>
      <c r="F42" s="18">
        <v>3.4</v>
      </c>
      <c r="G42" s="18">
        <v>3.4</v>
      </c>
      <c r="H42" s="18">
        <v>3.4</v>
      </c>
      <c r="I42" s="18">
        <v>3.4</v>
      </c>
      <c r="J42" s="18">
        <v>3.4</v>
      </c>
      <c r="K42" s="18"/>
    </row>
    <row r="43" spans="1:11" s="2" customFormat="1" ht="15" customHeight="1">
      <c r="A43" s="12">
        <v>3</v>
      </c>
      <c r="B43" s="28" t="str">
        <f>LIDER!F53</f>
        <v>RIVERA MENDOZA EDITH MARIA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3.3999999999999995</v>
      </c>
      <c r="E43" s="199"/>
      <c r="F43" s="18">
        <v>3.4</v>
      </c>
      <c r="G43" s="18">
        <v>3.4</v>
      </c>
      <c r="H43" s="18">
        <v>3.4</v>
      </c>
      <c r="I43" s="18">
        <v>3.4</v>
      </c>
      <c r="J43" s="18">
        <v>3.4</v>
      </c>
      <c r="K43" s="18"/>
    </row>
    <row r="44" spans="1:11" s="2" customFormat="1" ht="15" customHeight="1">
      <c r="A44" s="12">
        <v>4</v>
      </c>
      <c r="B44" s="28" t="str">
        <f>LIDER!F54</f>
        <v>THERAN MENDOZA JESUS DAVID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3.3999999999999995</v>
      </c>
      <c r="E44" s="199"/>
      <c r="F44" s="18">
        <v>3.4</v>
      </c>
      <c r="G44" s="18">
        <v>3.4</v>
      </c>
      <c r="H44" s="18">
        <v>3.4</v>
      </c>
      <c r="I44" s="18">
        <v>3.4</v>
      </c>
      <c r="J44" s="18">
        <v>3.4</v>
      </c>
      <c r="K44" s="18"/>
    </row>
    <row r="45" spans="1:11" s="2" customFormat="1" ht="15" customHeight="1">
      <c r="A45" s="12">
        <v>5</v>
      </c>
      <c r="B45" s="28" t="str">
        <f>LIDER!F55</f>
        <v>RODRIGUEZ PEREZ JEAN CARLOS</v>
      </c>
      <c r="C45" s="33" t="str">
        <f>IF('S-ASIG-03'!D45="","",'S-ASIG-03'!D45)</f>
        <v/>
      </c>
      <c r="D45" s="30">
        <f>IF(B45=0,"",IF(C45="",$E$41*LIDER!$H$19+F45*LIDER!$H$20+G45*LIDER!$H$21+H45*LIDER!$H$22+I45*LIDER!$H$23+J45*LIDER!$H$24+K45*LIDER!$H$25,"N"))</f>
        <v>3.3999999999999995</v>
      </c>
      <c r="E45" s="199"/>
      <c r="F45" s="18">
        <v>3.4</v>
      </c>
      <c r="G45" s="18">
        <v>3.4</v>
      </c>
      <c r="H45" s="18">
        <v>3.4</v>
      </c>
      <c r="I45" s="18">
        <v>3.4</v>
      </c>
      <c r="J45" s="18">
        <v>3.4</v>
      </c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120</v>
      </c>
      <c r="C47" s="32" t="str">
        <f>IF('S-ASIG-03'!D47="","",'S-ASIG-03'!D47)</f>
        <v>LIST</v>
      </c>
      <c r="D47" s="35" t="s">
        <v>109</v>
      </c>
      <c r="E47" s="201" t="str">
        <f>LIDER!$E$35</f>
        <v xml:space="preserve">GRUPO#7: Aspectos Legales, Tributarios, Administrativos, Macroeconómicos, Aduaneros, 
Tecnológicos, e Internacional que Definen el Perfil de Agofer S.A.S en los Negocios 
Internacionales </v>
      </c>
      <c r="F47" s="201"/>
      <c r="G47" s="201"/>
      <c r="H47" s="201"/>
      <c r="I47" s="201"/>
      <c r="J47" s="201"/>
      <c r="K47" s="201"/>
    </row>
    <row r="48" spans="1:11" s="2" customFormat="1" ht="12.75">
      <c r="A48" s="9">
        <v>1</v>
      </c>
      <c r="B48" s="28" t="str">
        <f>LIDER!G51</f>
        <v>CAMPO PÉREZ NALIETH NICOHL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4</v>
      </c>
      <c r="E48" s="199">
        <v>4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/>
    </row>
    <row r="49" spans="1:11" s="2" customFormat="1" ht="15" customHeight="1">
      <c r="A49" s="12">
        <v>2</v>
      </c>
      <c r="B49" s="28" t="str">
        <f>LIDER!G52</f>
        <v>NOVOA GOMEZ IANA MARCELA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4</v>
      </c>
      <c r="E49" s="199"/>
      <c r="F49" s="18">
        <v>4</v>
      </c>
      <c r="G49" s="18">
        <v>4</v>
      </c>
      <c r="H49" s="18">
        <v>4</v>
      </c>
      <c r="I49" s="18">
        <v>4</v>
      </c>
      <c r="J49" s="18">
        <v>4</v>
      </c>
      <c r="K49" s="18"/>
    </row>
    <row r="50" spans="1:11" s="2" customFormat="1" ht="15" customHeight="1">
      <c r="A50" s="12">
        <v>3</v>
      </c>
      <c r="B50" s="28" t="str">
        <f>LIDER!G53</f>
        <v>OSPINO MARTÍNEZ KAROLAY SOFIA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4</v>
      </c>
      <c r="E50" s="199"/>
      <c r="F50" s="18">
        <v>4</v>
      </c>
      <c r="G50" s="18">
        <v>4</v>
      </c>
      <c r="H50" s="18">
        <v>4</v>
      </c>
      <c r="I50" s="18">
        <v>4</v>
      </c>
      <c r="J50" s="18">
        <v>4</v>
      </c>
      <c r="K50" s="18"/>
    </row>
    <row r="51" spans="1:11" s="2" customFormat="1" ht="15" customHeight="1">
      <c r="A51" s="12">
        <v>4</v>
      </c>
      <c r="B51" s="28" t="str">
        <f>LIDER!G54</f>
        <v>PEREZ VERGARA VALERIA</v>
      </c>
      <c r="C51" s="33" t="str">
        <f>IF('S-ASIG-03'!D51="","",'S-ASIG-03'!D51)</f>
        <v/>
      </c>
      <c r="D51" s="30">
        <f>IF(B51=0,"",IF(C51="",$E$48*LIDER!$H$19+F51*LIDER!$H$20+G51*LIDER!$H$21+H51*LIDER!$H$22+I51*LIDER!$H$23+J51*LIDER!$H$24+K51*LIDER!$H$25,"N"))</f>
        <v>4</v>
      </c>
      <c r="E51" s="199"/>
      <c r="F51" s="18">
        <v>4</v>
      </c>
      <c r="G51" s="18">
        <v>4</v>
      </c>
      <c r="H51" s="18">
        <v>4</v>
      </c>
      <c r="I51" s="18">
        <v>4</v>
      </c>
      <c r="J51" s="18">
        <v>4</v>
      </c>
      <c r="K51" s="18"/>
    </row>
    <row r="52" spans="1:11" s="2" customFormat="1" ht="15" customHeight="1">
      <c r="A52" s="12">
        <v>5</v>
      </c>
      <c r="B52" s="28" t="str">
        <f>LIDER!G55</f>
        <v>PETRO ROSARIO VALERIE SARED</v>
      </c>
      <c r="C52" s="33" t="str">
        <f>IF('S-ASIG-03'!D52="","",'S-ASIG-03'!D52)</f>
        <v/>
      </c>
      <c r="D52" s="30">
        <f>IF(B52=0,"",IF(C52="",$E$48*LIDER!$H$19+F52*LIDER!$H$20+G52*LIDER!$H$21+H52*LIDER!$H$22+I52*LIDER!$H$23+J52*LIDER!$H$24+K52*LIDER!$H$25,"N"))</f>
        <v>4</v>
      </c>
      <c r="E52" s="199"/>
      <c r="F52" s="18">
        <v>4</v>
      </c>
      <c r="G52" s="18">
        <v>4</v>
      </c>
      <c r="H52" s="18">
        <v>4</v>
      </c>
      <c r="I52" s="18">
        <v>4</v>
      </c>
      <c r="J52" s="18">
        <v>4</v>
      </c>
      <c r="K52" s="18"/>
    </row>
    <row r="53" spans="1:11" s="2" customFormat="1" ht="15.75" customHeight="1" thickBot="1">
      <c r="A53" s="13">
        <v>6</v>
      </c>
      <c r="B53" s="28" t="str">
        <f>LIDER!G56</f>
        <v>RAMOS ORTEGA LAURA INÉS</v>
      </c>
      <c r="C53" s="33" t="str">
        <f>IF('S-ASIG-03'!D53="","",'S-ASIG-03'!D53)</f>
        <v/>
      </c>
      <c r="D53" s="30">
        <f>IF(B53=0,"",IF(C53="",$E$48*LIDER!$H$19+F53*LIDER!$H$20+G53*LIDER!$H$21+H53*LIDER!$H$22+I53*LIDER!$H$23+J53*LIDER!$H$24+K53*LIDER!$H$25,"N"))</f>
        <v>4</v>
      </c>
      <c r="E53" s="199"/>
      <c r="F53" s="26">
        <v>4</v>
      </c>
      <c r="G53" s="26">
        <v>4</v>
      </c>
      <c r="H53" s="26">
        <v>4</v>
      </c>
      <c r="I53" s="26">
        <v>4</v>
      </c>
      <c r="J53" s="26">
        <v>4</v>
      </c>
      <c r="K53" s="26"/>
    </row>
    <row r="54" spans="1:11" s="2" customFormat="1" ht="15.75" customHeight="1" thickBot="1">
      <c r="A54" s="14"/>
      <c r="B54" s="27" t="s">
        <v>122</v>
      </c>
      <c r="C54" s="32" t="str">
        <f>IF('S-ASIG-03'!D54="","",'S-ASIG-03'!D54)</f>
        <v>LIST</v>
      </c>
      <c r="D54" s="35" t="s">
        <v>109</v>
      </c>
      <c r="E54" s="201" t="str">
        <f>LIDER!$E$36</f>
        <v>GRUPO#8: Aspectos legales, tributarios, administrativos, macroeconómicos, aduaneros y tecnológicos que definen el perfil de Terpel S.A. en los negocios internacionales</v>
      </c>
      <c r="F54" s="201"/>
      <c r="G54" s="201"/>
      <c r="H54" s="201"/>
      <c r="I54" s="201"/>
      <c r="J54" s="201"/>
      <c r="K54" s="201"/>
    </row>
    <row r="55" spans="1:11" s="2" customFormat="1" ht="12.75">
      <c r="A55" s="9">
        <v>1</v>
      </c>
      <c r="B55" s="28" t="str">
        <f>LIDER!H51</f>
        <v>BARRIOS RAMIREZ JUAN JOSE</v>
      </c>
      <c r="C55" s="33" t="str">
        <f>IF('S-ASIG-03'!D55="","",'S-ASIG-03'!D55)</f>
        <v/>
      </c>
      <c r="D55" s="30">
        <f>IF(B55=0,"",IF(C55="",$E$55*LIDER!$H$19+F55*LIDER!$H$20+G55*LIDER!$H$21+H55*LIDER!$H$22+I55*LIDER!$H$23+J55*LIDER!$H$24+K55*LIDER!$H$25,"N"))</f>
        <v>3.8999999999999995</v>
      </c>
      <c r="E55" s="199">
        <v>4</v>
      </c>
      <c r="F55" s="24">
        <v>3.8</v>
      </c>
      <c r="G55" s="24">
        <v>3.8</v>
      </c>
      <c r="H55" s="24">
        <v>3.8</v>
      </c>
      <c r="I55" s="24">
        <v>3.8</v>
      </c>
      <c r="J55" s="24">
        <v>3.8</v>
      </c>
      <c r="K55" s="24"/>
    </row>
    <row r="56" spans="1:11" s="2" customFormat="1" ht="15" customHeight="1">
      <c r="A56" s="12">
        <v>2</v>
      </c>
      <c r="B56" s="28" t="str">
        <f>LIDER!H52</f>
        <v>HERRERA PRADA JAIDER DAVID</v>
      </c>
      <c r="C56" s="33" t="str">
        <f>IF('S-ASIG-03'!D56="","",'S-ASIG-03'!D56)</f>
        <v/>
      </c>
      <c r="D56" s="30">
        <f>IF(B56=0,"",IF(C56="",$E$55*LIDER!$H$19+F56*LIDER!$H$20+G56*LIDER!$H$21+H56*LIDER!$H$22+I56*LIDER!$H$23+J56*LIDER!$H$24+K56*LIDER!$H$25,"N"))</f>
        <v>3.8999999999999995</v>
      </c>
      <c r="E56" s="199"/>
      <c r="F56" s="18">
        <v>3.8</v>
      </c>
      <c r="G56" s="18">
        <v>3.8</v>
      </c>
      <c r="H56" s="18">
        <v>3.8</v>
      </c>
      <c r="I56" s="18">
        <v>3.8</v>
      </c>
      <c r="J56" s="18">
        <v>3.8</v>
      </c>
      <c r="K56" s="18"/>
    </row>
    <row r="57" spans="1:11" s="2" customFormat="1" ht="15" customHeight="1">
      <c r="A57" s="12">
        <v>3</v>
      </c>
      <c r="B57" s="28" t="str">
        <f>LIDER!H53</f>
        <v>GARCIA SUAREZ ANDREA CAROLINA</v>
      </c>
      <c r="C57" s="33" t="str">
        <f>IF('S-ASIG-03'!D57="","",'S-ASIG-03'!D57)</f>
        <v/>
      </c>
      <c r="D57" s="30">
        <f>IF(B57=0,"",IF(C57="",$E$55*LIDER!$H$19+F57*LIDER!$H$20+G57*LIDER!$H$21+H57*LIDER!$H$22+I57*LIDER!$H$23+J57*LIDER!$H$24+K57*LIDER!$H$25,"N"))</f>
        <v>3.8999999999999995</v>
      </c>
      <c r="E57" s="199"/>
      <c r="F57" s="18">
        <v>3.8</v>
      </c>
      <c r="G57" s="18">
        <v>3.8</v>
      </c>
      <c r="H57" s="18">
        <v>3.8</v>
      </c>
      <c r="I57" s="18">
        <v>3.8</v>
      </c>
      <c r="J57" s="18">
        <v>3.8</v>
      </c>
      <c r="K57" s="18"/>
    </row>
    <row r="58" spans="1:11" s="2" customFormat="1" ht="15" customHeight="1">
      <c r="A58" s="12">
        <v>4</v>
      </c>
      <c r="B58" s="28" t="str">
        <f>LIDER!H54</f>
        <v>PEREZ GELIS LUISA FERNANDA</v>
      </c>
      <c r="C58" s="33" t="str">
        <f>IF('S-ASIG-03'!D58="","",'S-ASIG-03'!D58)</f>
        <v/>
      </c>
      <c r="D58" s="30">
        <f>IF(B58=0,"",IF(C58="",$E$55*LIDER!$H$19+F58*LIDER!$H$20+G58*LIDER!$H$21+H58*LIDER!$H$22+I58*LIDER!$H$23+J58*LIDER!$H$24+K58*LIDER!$H$25,"N"))</f>
        <v>3.8999999999999995</v>
      </c>
      <c r="E58" s="199"/>
      <c r="F58" s="18">
        <v>3.8</v>
      </c>
      <c r="G58" s="18">
        <v>3.8</v>
      </c>
      <c r="H58" s="18">
        <v>3.8</v>
      </c>
      <c r="I58" s="18">
        <v>3.8</v>
      </c>
      <c r="J58" s="18">
        <v>3.8</v>
      </c>
      <c r="K58" s="18"/>
    </row>
    <row r="59" spans="1:11" s="2" customFormat="1" ht="15" customHeight="1">
      <c r="A59" s="12">
        <v>5</v>
      </c>
      <c r="B59" s="28" t="str">
        <f>LIDER!H55</f>
        <v>LOPEZ PAYARES OSMAN JUNIOR</v>
      </c>
      <c r="C59" s="33" t="str">
        <f>IF('S-ASIG-03'!D59="","",'S-ASIG-03'!D59)</f>
        <v/>
      </c>
      <c r="D59" s="30">
        <f>IF(B59=0,"",IF(C59="",$E$55*LIDER!$H$19+F59*LIDER!$H$20+G59*LIDER!$H$21+H59*LIDER!$H$22+I59*LIDER!$H$23+J59*LIDER!$H$24+K59*LIDER!$H$25,"N"))</f>
        <v>3.8999999999999995</v>
      </c>
      <c r="E59" s="199"/>
      <c r="F59" s="18">
        <v>3.8</v>
      </c>
      <c r="G59" s="18">
        <v>3.8</v>
      </c>
      <c r="H59" s="18">
        <v>3.8</v>
      </c>
      <c r="I59" s="18">
        <v>3.8</v>
      </c>
      <c r="J59" s="18">
        <v>3.8</v>
      </c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124</v>
      </c>
      <c r="C61" s="32" t="str">
        <f>IF('S-ASIG-03'!D61="","",'S-ASIG-03'!D61)</f>
        <v>LIST</v>
      </c>
      <c r="D61" s="35" t="s">
        <v>109</v>
      </c>
      <c r="E61" s="201" t="str">
        <f>LIDER!$E$37</f>
        <v>GRUPO#9: Aspectos, legales, tributarios, administrativos, macroeconómicos, aduaneros e internacionales que definen el
perfil de Samsung  en los negocios internacionales.</v>
      </c>
      <c r="F61" s="201"/>
      <c r="G61" s="201"/>
      <c r="H61" s="201"/>
      <c r="I61" s="201"/>
      <c r="J61" s="201"/>
      <c r="K61" s="201"/>
    </row>
    <row r="62" spans="1:11" s="2" customFormat="1" ht="12.75">
      <c r="A62" s="9">
        <v>1</v>
      </c>
      <c r="B62" s="28" t="str">
        <f>LIDER!E59</f>
        <v>CORDOBA RODRIGUEZ ADRIANO</v>
      </c>
      <c r="C62" s="33" t="str">
        <f>IF('S-ASIG-03'!D62="","",'S-ASIG-03'!D62)</f>
        <v/>
      </c>
      <c r="D62" s="30">
        <f>IF(B62=0,"",IF(C62="",$E$62*LIDER!$H$19+F62*LIDER!$H$20+G62*LIDER!$H$21+H62*LIDER!$H$22+I62*LIDER!$H$23+J62*LIDER!$H$24+K62*LIDER!$H$25,"N"))</f>
        <v>3.5</v>
      </c>
      <c r="E62" s="199">
        <v>3.5</v>
      </c>
      <c r="F62" s="24">
        <v>3.5</v>
      </c>
      <c r="G62" s="24">
        <v>3.5</v>
      </c>
      <c r="H62" s="24">
        <v>3.5</v>
      </c>
      <c r="I62" s="24">
        <v>3.5</v>
      </c>
      <c r="J62" s="24">
        <v>3.5</v>
      </c>
      <c r="K62" s="24"/>
    </row>
    <row r="63" spans="1:11" s="2" customFormat="1" ht="15" customHeight="1">
      <c r="A63" s="12">
        <v>2</v>
      </c>
      <c r="B63" s="28" t="str">
        <f>LIDER!E60</f>
        <v>ZUÑIGA IGLESIAS EMMANUEL DAVID</v>
      </c>
      <c r="C63" s="33" t="str">
        <f>IF('S-ASIG-03'!D63="","",'S-ASIG-03'!D63)</f>
        <v/>
      </c>
      <c r="D63" s="30">
        <f>IF(B63=0,"",IF(C63="",$E$62*LIDER!$H$19+F63*LIDER!$H$20+G63*LIDER!$H$21+H63*LIDER!$H$22+I63*LIDER!$H$23+J63*LIDER!$H$24+K63*LIDER!$H$25,"N"))</f>
        <v>3.5</v>
      </c>
      <c r="E63" s="199"/>
      <c r="F63" s="18">
        <v>3.5</v>
      </c>
      <c r="G63" s="18">
        <v>3.5</v>
      </c>
      <c r="H63" s="18">
        <v>3.5</v>
      </c>
      <c r="I63" s="18">
        <v>3.5</v>
      </c>
      <c r="J63" s="18">
        <v>3.5</v>
      </c>
      <c r="K63" s="18"/>
    </row>
    <row r="64" spans="1:11" s="2" customFormat="1" ht="15" customHeight="1">
      <c r="A64" s="12">
        <v>3</v>
      </c>
      <c r="B64" s="28" t="str">
        <f>LIDER!E61</f>
        <v>ORTÍZ ZUÑIGA WILYS JUNIOR</v>
      </c>
      <c r="C64" s="33" t="str">
        <f>IF('S-ASIG-03'!D64="","",'S-ASIG-03'!D64)</f>
        <v/>
      </c>
      <c r="D64" s="30">
        <f>IF(B64=0,"",IF(C64="",$E$62*LIDER!$H$19+F64*LIDER!$H$20+G64*LIDER!$H$21+H64*LIDER!$H$22+I64*LIDER!$H$23+J64*LIDER!$H$24+K64*LIDER!$H$25,"N"))</f>
        <v>3.5</v>
      </c>
      <c r="E64" s="199"/>
      <c r="F64" s="18">
        <v>3.5</v>
      </c>
      <c r="G64" s="18">
        <v>3.5</v>
      </c>
      <c r="H64" s="18">
        <v>3.5</v>
      </c>
      <c r="I64" s="18">
        <v>3.5</v>
      </c>
      <c r="J64" s="18">
        <v>3.5</v>
      </c>
      <c r="K64" s="18"/>
    </row>
    <row r="65" spans="1:11" s="2" customFormat="1" ht="15" customHeight="1">
      <c r="A65" s="12">
        <v>4</v>
      </c>
      <c r="B65" s="28" t="str">
        <f>LIDER!E62</f>
        <v>DE ORO MOLINA RONNY AMEL</v>
      </c>
      <c r="C65" s="33" t="str">
        <f>IF('S-ASIG-03'!D65="","",'S-ASIG-03'!D65)</f>
        <v/>
      </c>
      <c r="D65" s="30">
        <f>IF(B65=0,"",IF(C65="",$E$62*LIDER!$H$19+F65*LIDER!$H$20+G65*LIDER!$H$21+H65*LIDER!$H$22+I65*LIDER!$H$23+J65*LIDER!$H$24+K65*LIDER!$H$25,"N"))</f>
        <v>3.5</v>
      </c>
      <c r="E65" s="199"/>
      <c r="F65" s="18">
        <v>3.5</v>
      </c>
      <c r="G65" s="18">
        <v>3.5</v>
      </c>
      <c r="H65" s="18">
        <v>3.5</v>
      </c>
      <c r="I65" s="18">
        <v>3.5</v>
      </c>
      <c r="J65" s="18">
        <v>3.5</v>
      </c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IF('S-ASIG-03'!D68="","",'S-ASIG-03'!D68)</f>
        <v>LIST</v>
      </c>
      <c r="D68" s="35" t="s">
        <v>109</v>
      </c>
      <c r="E68" s="201" t="str">
        <f>LIDER!$E$38</f>
        <v>GRUPO#10</v>
      </c>
      <c r="F68" s="201"/>
      <c r="G68" s="201"/>
      <c r="H68" s="201"/>
      <c r="I68" s="201"/>
      <c r="J68" s="201"/>
      <c r="K68" s="201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IF('S-ASIG-03'!D75="","",'S-ASIG-03'!D75)</f>
        <v>LIST</v>
      </c>
      <c r="D75" s="35" t="s">
        <v>109</v>
      </c>
      <c r="E75" s="201" t="str">
        <f>LIDER!$E$39</f>
        <v>GRUPO#11</v>
      </c>
      <c r="F75" s="201"/>
      <c r="G75" s="201"/>
      <c r="H75" s="201"/>
      <c r="I75" s="201"/>
      <c r="J75" s="201"/>
      <c r="K75" s="201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IF('S-ASIG-03'!D82="","",'S-ASIG-03'!D82)</f>
        <v>LIST</v>
      </c>
      <c r="D82" s="35" t="s">
        <v>109</v>
      </c>
      <c r="E82" s="201" t="str">
        <f>LIDER!$E$40</f>
        <v>GRUPO#12</v>
      </c>
      <c r="F82" s="201"/>
      <c r="G82" s="201"/>
      <c r="H82" s="201"/>
      <c r="I82" s="201"/>
      <c r="J82" s="201"/>
      <c r="K82" s="201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200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35" activePane="bottomRight" state="frozen"/>
      <selection pane="bottomRight" activeCell="F41" sqref="F41:J45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LIDER!F4</f>
        <v>TECNOLOGIA APLICADA</v>
      </c>
      <c r="C2" s="3"/>
      <c r="E2" s="216" t="s">
        <v>104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105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21" t="str">
        <f>CONCATENATE(LIDER!F4," - ",LIDER!F6," - ",LIDER!F5)</f>
        <v>TECNOLOGIA APLICADA - 2386 - ARMANDO ACOSTA JULIO</v>
      </c>
      <c r="F4" s="222"/>
      <c r="G4" s="222"/>
      <c r="H4" s="222"/>
      <c r="I4" s="222"/>
      <c r="J4" s="222"/>
      <c r="K4" s="223"/>
    </row>
    <row r="5" spans="1:11" s="2" customFormat="1" ht="15.75" customHeight="1" thickBot="1">
      <c r="A5" s="8"/>
      <c r="B5" s="27" t="s">
        <v>106</v>
      </c>
      <c r="C5" s="34" t="str">
        <f>IF('S-ASIG-04'!D5="","",'S-ASIG-04'!D5)</f>
        <v>LIST</v>
      </c>
      <c r="D5" s="35" t="s">
        <v>109</v>
      </c>
      <c r="E5" s="201" t="str">
        <f>LIDER!$E$29</f>
        <v xml:space="preserve">GRUPO#1: Aspectos Legales, Tributarios, Administrativos, Macroeconómicos, Aduaneros, Tecnológicos
e Internacionales que Definen el perfil de la empresa Apple Colombia S.A.S. </v>
      </c>
      <c r="F5" s="201"/>
      <c r="G5" s="201"/>
      <c r="H5" s="201"/>
      <c r="I5" s="201"/>
      <c r="J5" s="201"/>
      <c r="K5" s="201"/>
    </row>
    <row r="6" spans="1:11" s="2" customFormat="1" ht="12.75">
      <c r="A6" s="9">
        <v>1</v>
      </c>
      <c r="B6" s="28" t="str">
        <f>LIDER!E43</f>
        <v>BERRIO LOPEZ VALENTINA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4.6499999999999995</v>
      </c>
      <c r="E6" s="199">
        <v>4.7</v>
      </c>
      <c r="F6" s="24">
        <v>4.5999999999999996</v>
      </c>
      <c r="G6" s="24">
        <v>4.5999999999999996</v>
      </c>
      <c r="H6" s="24">
        <v>4.5999999999999996</v>
      </c>
      <c r="I6" s="24">
        <v>4.5999999999999996</v>
      </c>
      <c r="J6" s="24">
        <v>4.5999999999999996</v>
      </c>
      <c r="K6" s="24"/>
    </row>
    <row r="7" spans="1:11" s="2" customFormat="1" ht="15" customHeight="1">
      <c r="A7" s="12">
        <v>2</v>
      </c>
      <c r="B7" s="28" t="str">
        <f>LIDER!E44</f>
        <v>BOHÓRQUEZ CANTERO SANTIAGO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4.6499999999999995</v>
      </c>
      <c r="E7" s="199"/>
      <c r="F7" s="18">
        <v>4.5999999999999996</v>
      </c>
      <c r="G7" s="18">
        <v>4.5999999999999996</v>
      </c>
      <c r="H7" s="18">
        <v>4.5999999999999996</v>
      </c>
      <c r="I7" s="18">
        <v>4.5999999999999996</v>
      </c>
      <c r="J7" s="18">
        <v>4.5999999999999996</v>
      </c>
      <c r="K7" s="18"/>
    </row>
    <row r="8" spans="1:11" s="2" customFormat="1" ht="15" customHeight="1">
      <c r="A8" s="12">
        <v>3</v>
      </c>
      <c r="B8" s="28" t="str">
        <f>LIDER!E45</f>
        <v>CAMPOS ABREU NICOLE ANTHONELLA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4.6499999999999995</v>
      </c>
      <c r="E8" s="199"/>
      <c r="F8" s="18">
        <v>4.5999999999999996</v>
      </c>
      <c r="G8" s="18">
        <v>4.5999999999999996</v>
      </c>
      <c r="H8" s="18">
        <v>4.5999999999999996</v>
      </c>
      <c r="I8" s="18">
        <v>4.5999999999999996</v>
      </c>
      <c r="J8" s="18">
        <v>4.5999999999999996</v>
      </c>
      <c r="K8" s="18"/>
    </row>
    <row r="9" spans="1:11" s="2" customFormat="1" ht="15" customHeight="1">
      <c r="A9" s="12">
        <v>4</v>
      </c>
      <c r="B9" s="28" t="str">
        <f>LIDER!E46</f>
        <v>RUIZ CHICO LAURA SOFIA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4.6499999999999995</v>
      </c>
      <c r="E9" s="199"/>
      <c r="F9" s="18">
        <v>4.5999999999999996</v>
      </c>
      <c r="G9" s="18">
        <v>4.5999999999999996</v>
      </c>
      <c r="H9" s="18">
        <v>4.5999999999999996</v>
      </c>
      <c r="I9" s="18">
        <v>4.5999999999999996</v>
      </c>
      <c r="J9" s="18">
        <v>4.5999999999999996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9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110</v>
      </c>
      <c r="C12" s="32" t="str">
        <f>IF('S-ASIG-04'!D12="","",'S-ASIG-04'!D12)</f>
        <v>LIST</v>
      </c>
      <c r="D12" s="35" t="s">
        <v>109</v>
      </c>
      <c r="E12" s="201" t="str">
        <f>LIDER!$E$30</f>
        <v xml:space="preserve">GRUPO#2: Caracterización de los aspectos legales, tributarios, administrativos, macroeconómicos, 
tecnológicos e internacionales que definen el perfil empresarial de Ecopetrol S.A. en los 
negocios internacionales </v>
      </c>
      <c r="F12" s="201"/>
      <c r="G12" s="201"/>
      <c r="H12" s="201"/>
      <c r="I12" s="201"/>
      <c r="J12" s="201"/>
      <c r="K12" s="201"/>
    </row>
    <row r="13" spans="1:11" s="2" customFormat="1" ht="12.75">
      <c r="A13" s="9">
        <v>1</v>
      </c>
      <c r="B13" s="28" t="str">
        <f>LIDER!F43</f>
        <v>BUENDIA CAÑATE DONICEL DE JESUS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4.1499999999999995</v>
      </c>
      <c r="E13" s="199">
        <v>4</v>
      </c>
      <c r="F13" s="24">
        <v>4.3</v>
      </c>
      <c r="G13" s="24">
        <v>4.3</v>
      </c>
      <c r="H13" s="24">
        <v>4.3</v>
      </c>
      <c r="I13" s="24">
        <v>4.3</v>
      </c>
      <c r="J13" s="24">
        <v>4.3</v>
      </c>
      <c r="K13" s="24"/>
    </row>
    <row r="14" spans="1:11" s="2" customFormat="1" ht="15" customHeight="1">
      <c r="A14" s="12">
        <v>2</v>
      </c>
      <c r="B14" s="28" t="str">
        <f>LIDER!F44</f>
        <v>MARRUGO CORREA MATEO DE JESUS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4.1499999999999995</v>
      </c>
      <c r="E14" s="199"/>
      <c r="F14" s="18">
        <v>4.3</v>
      </c>
      <c r="G14" s="18">
        <v>4.3</v>
      </c>
      <c r="H14" s="18">
        <v>4.3</v>
      </c>
      <c r="I14" s="18">
        <v>4.3</v>
      </c>
      <c r="J14" s="18">
        <v>4.3</v>
      </c>
      <c r="K14" s="18"/>
    </row>
    <row r="15" spans="1:11" s="2" customFormat="1" ht="15" customHeight="1">
      <c r="A15" s="12">
        <v>3</v>
      </c>
      <c r="B15" s="28" t="str">
        <f>LIDER!F45</f>
        <v>ZEA NAVARRO JUAN ESTEBAN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4.1499999999999995</v>
      </c>
      <c r="E15" s="199"/>
      <c r="F15" s="18">
        <v>4.3</v>
      </c>
      <c r="G15" s="18">
        <v>4.3</v>
      </c>
      <c r="H15" s="18">
        <v>4.3</v>
      </c>
      <c r="I15" s="18">
        <v>4.3</v>
      </c>
      <c r="J15" s="18">
        <v>4.3</v>
      </c>
      <c r="K15" s="18"/>
    </row>
    <row r="16" spans="1:11" s="2" customFormat="1" ht="15" customHeight="1">
      <c r="A16" s="12">
        <v>4</v>
      </c>
      <c r="B16" s="28" t="str">
        <f>LIDER!F46</f>
        <v>PALMERA MARTINEZ FRANCISCO JAVIER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4.1499999999999995</v>
      </c>
      <c r="E16" s="199"/>
      <c r="F16" s="18">
        <v>4.3</v>
      </c>
      <c r="G16" s="18">
        <v>4.3</v>
      </c>
      <c r="H16" s="18">
        <v>4.3</v>
      </c>
      <c r="I16" s="18">
        <v>4.3</v>
      </c>
      <c r="J16" s="18">
        <v>4.3</v>
      </c>
      <c r="K16" s="18"/>
    </row>
    <row r="17" spans="1:11" s="2" customFormat="1" ht="15" customHeight="1">
      <c r="A17" s="12">
        <v>5</v>
      </c>
      <c r="B17" s="28" t="str">
        <f>LIDER!F47</f>
        <v>CONTRERAS MARTÍNEZ MARLON MANUEL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4.1499999999999995</v>
      </c>
      <c r="E17" s="199"/>
      <c r="F17" s="18">
        <v>4.3</v>
      </c>
      <c r="G17" s="18">
        <v>4.3</v>
      </c>
      <c r="H17" s="18">
        <v>4.3</v>
      </c>
      <c r="I17" s="18">
        <v>4.3</v>
      </c>
      <c r="J17" s="18">
        <v>4.3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112</v>
      </c>
      <c r="C19" s="32" t="str">
        <f>IF('S-ASIG-04'!D19="","",'S-ASIG-04'!D19)</f>
        <v>LIST</v>
      </c>
      <c r="D19" s="35" t="s">
        <v>109</v>
      </c>
      <c r="E19" s="201" t="str">
        <f>LIDER!$E$31</f>
        <v xml:space="preserve">GRUPO#3: Análisis integral de los aspectos legales, tributarios, administrativos, 
macroeconómicos, tecnológicos e internacionales que configuran el perfil empresarial de 
Nestlé Colombia S.A. en los negocios internacionales. </v>
      </c>
      <c r="F19" s="201"/>
      <c r="G19" s="201"/>
      <c r="H19" s="201"/>
      <c r="I19" s="201"/>
      <c r="J19" s="201"/>
      <c r="K19" s="201"/>
    </row>
    <row r="20" spans="1:11" s="2" customFormat="1" ht="12.75">
      <c r="A20" s="9">
        <v>1</v>
      </c>
      <c r="B20" s="28" t="str">
        <f>LIDER!G43</f>
        <v>FONTALVO RODRIGUEZ ISABELLA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4.55</v>
      </c>
      <c r="E20" s="199">
        <v>4.5999999999999996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LARA MAURY MARÍA ANGÉLICA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4.55</v>
      </c>
      <c r="E21" s="199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PEREZ ALVAREZ DILAN ANDRES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4.55</v>
      </c>
      <c r="E22" s="199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IF('S-ASIG-04'!D23="","",'S-ASIG-04'!D23)</f>
        <v/>
      </c>
      <c r="D23" s="30" t="str">
        <f>IF(B23=0,"",IF(C23="",$E$20*LIDER!$H$19+F23*LIDER!$H$20+G23*LIDER!$H$21+H23*LIDER!$H$22+I23*LIDER!$H$23+J23*LIDER!$H$24+K23*LIDER!$H$25,"N"))</f>
        <v/>
      </c>
      <c r="E23" s="19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9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114</v>
      </c>
      <c r="C26" s="32" t="str">
        <f>IF('S-ASIG-04'!D26="","",'S-ASIG-04'!D26)</f>
        <v>LIST</v>
      </c>
      <c r="D26" s="35" t="s">
        <v>109</v>
      </c>
      <c r="E26" s="201" t="str">
        <f>LIDER!$E$32</f>
        <v>GRUPO#4: Análisis de los aspectos legales, tributarios, administrativos, macroeconómicos,
tecnológicos e internacionales de la empresa Arturo Calle S.A.S. en los negocios
internacionales</v>
      </c>
      <c r="F26" s="201"/>
      <c r="G26" s="201"/>
      <c r="H26" s="201"/>
      <c r="I26" s="201"/>
      <c r="J26" s="201"/>
      <c r="K26" s="201"/>
    </row>
    <row r="27" spans="1:11" s="2" customFormat="1" ht="12.75">
      <c r="A27" s="9">
        <v>1</v>
      </c>
      <c r="B27" s="28" t="str">
        <f>LIDER!H43</f>
        <v>BURGOS CAUSIL SHADIA TATIANA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4.45</v>
      </c>
      <c r="E27" s="199">
        <v>4.4000000000000004</v>
      </c>
      <c r="F27" s="24">
        <v>4.5</v>
      </c>
      <c r="G27" s="24">
        <v>4.5</v>
      </c>
      <c r="H27" s="24">
        <v>4.5</v>
      </c>
      <c r="I27" s="24">
        <v>4.5</v>
      </c>
      <c r="J27" s="24">
        <v>4.5</v>
      </c>
      <c r="K27" s="24"/>
    </row>
    <row r="28" spans="1:11" s="2" customFormat="1" ht="15" customHeight="1">
      <c r="A28" s="12">
        <v>2</v>
      </c>
      <c r="B28" s="28" t="str">
        <f>LIDER!H44</f>
        <v>CASTRO SAYAS KEVIN ENRIQUE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4.45</v>
      </c>
      <c r="E28" s="199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CERVERA BLANCO ALAN DAVID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4.45</v>
      </c>
      <c r="E29" s="199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GONZALEZ PATERNINA YULIETH ISABEL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4.45</v>
      </c>
      <c r="E30" s="199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GONZALEZ SOTO NICOLE ANDREA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4.45</v>
      </c>
      <c r="E31" s="199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116</v>
      </c>
      <c r="C33" s="32" t="str">
        <f>IF('S-ASIG-04'!D33="","",'S-ASIG-04'!D33)</f>
        <v>LIST</v>
      </c>
      <c r="D33" s="35" t="s">
        <v>109</v>
      </c>
      <c r="E33" s="201" t="str">
        <f>LIDER!$E$33</f>
        <v xml:space="preserve">GRUPO#5: Aspectos legales, tributarios, administrativos, macroeconómicos, aduaneros, tecnológicos e 
internacionales que definen el perfil de Cementos Argos en los negocios internacionales </v>
      </c>
      <c r="F33" s="201"/>
      <c r="G33" s="201"/>
      <c r="H33" s="201"/>
      <c r="I33" s="201"/>
      <c r="J33" s="201"/>
      <c r="K33" s="201"/>
    </row>
    <row r="34" spans="1:11" s="2" customFormat="1" ht="12.75">
      <c r="A34" s="9">
        <v>1</v>
      </c>
      <c r="B34" s="28" t="str">
        <f>LIDER!E51</f>
        <v>CANTILLO ZABALETA JULIANA ISABEL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3.6500000000000004</v>
      </c>
      <c r="E34" s="199">
        <v>3.6</v>
      </c>
      <c r="F34" s="24">
        <v>3.7</v>
      </c>
      <c r="G34" s="24">
        <v>3.7</v>
      </c>
      <c r="H34" s="24">
        <v>3.7</v>
      </c>
      <c r="I34" s="24">
        <v>3.7</v>
      </c>
      <c r="J34" s="24">
        <v>3.7</v>
      </c>
      <c r="K34" s="24"/>
    </row>
    <row r="35" spans="1:11" s="2" customFormat="1" ht="15" customHeight="1">
      <c r="A35" s="12">
        <v>2</v>
      </c>
      <c r="B35" s="28" t="str">
        <f>LIDER!E52</f>
        <v>DAVILA GONZALEZ ALANA ARAI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3.6500000000000004</v>
      </c>
      <c r="E35" s="199"/>
      <c r="F35" s="18">
        <v>3.7</v>
      </c>
      <c r="G35" s="18">
        <v>3.7</v>
      </c>
      <c r="H35" s="18">
        <v>3.7</v>
      </c>
      <c r="I35" s="18">
        <v>3.7</v>
      </c>
      <c r="J35" s="18">
        <v>3.7</v>
      </c>
      <c r="K35" s="18"/>
    </row>
    <row r="36" spans="1:11" s="2" customFormat="1" ht="15" customHeight="1">
      <c r="A36" s="12">
        <v>3</v>
      </c>
      <c r="B36" s="28" t="str">
        <f>LIDER!E53</f>
        <v>OBANDO MARSIGLIA JESED ALEJANDRO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3.6500000000000004</v>
      </c>
      <c r="E36" s="199"/>
      <c r="F36" s="18">
        <v>3.7</v>
      </c>
      <c r="G36" s="18">
        <v>3.7</v>
      </c>
      <c r="H36" s="18">
        <v>3.7</v>
      </c>
      <c r="I36" s="18">
        <v>3.7</v>
      </c>
      <c r="J36" s="18">
        <v>3.7</v>
      </c>
      <c r="K36" s="18"/>
    </row>
    <row r="37" spans="1:11" s="2" customFormat="1" ht="15" customHeight="1">
      <c r="A37" s="12">
        <v>4</v>
      </c>
      <c r="B37" s="28" t="str">
        <f>LIDER!E54</f>
        <v>GARCÍA REYES VALERY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3.6500000000000004</v>
      </c>
      <c r="E37" s="199"/>
      <c r="F37" s="18">
        <v>3.7</v>
      </c>
      <c r="G37" s="18">
        <v>3.7</v>
      </c>
      <c r="H37" s="18">
        <v>3.7</v>
      </c>
      <c r="I37" s="18">
        <v>3.7</v>
      </c>
      <c r="J37" s="18">
        <v>3.7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9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118</v>
      </c>
      <c r="C40" s="32" t="str">
        <f>IF('S-ASIG-04'!D40="","",'S-ASIG-04'!D40)</f>
        <v>LIST</v>
      </c>
      <c r="D40" s="35" t="s">
        <v>109</v>
      </c>
      <c r="E40" s="201" t="str">
        <f>LIDER!$E$34</f>
        <v>GRUPO#6: Análisis de los aspectos legales, tributarios, administrativos, macroeconómicos, aduaneros, tecnológicos e
internacionales que definen el perfil de Alpina S.A.S en los negocios internacionales</v>
      </c>
      <c r="F40" s="201"/>
      <c r="G40" s="201"/>
      <c r="H40" s="201"/>
      <c r="I40" s="201"/>
      <c r="J40" s="201"/>
      <c r="K40" s="201"/>
    </row>
    <row r="41" spans="1:11" s="2" customFormat="1" ht="12.75">
      <c r="A41" s="9">
        <v>1</v>
      </c>
      <c r="B41" s="28" t="str">
        <f>LIDER!F51</f>
        <v>ALVARADO MAS Y RUBI LOHANA  VICTORIA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3.4</v>
      </c>
      <c r="E41" s="199">
        <v>3.3</v>
      </c>
      <c r="F41" s="24">
        <v>3.5</v>
      </c>
      <c r="G41" s="24">
        <v>3.5</v>
      </c>
      <c r="H41" s="24">
        <v>3.5</v>
      </c>
      <c r="I41" s="24">
        <v>3.5</v>
      </c>
      <c r="J41" s="24">
        <v>3.5</v>
      </c>
      <c r="K41" s="24"/>
    </row>
    <row r="42" spans="1:11" s="2" customFormat="1" ht="15" customHeight="1">
      <c r="A42" s="12">
        <v>2</v>
      </c>
      <c r="B42" s="28" t="str">
        <f>LIDER!F52</f>
        <v>MANOTAS ACEVEDO LAURA DANIELA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3.4</v>
      </c>
      <c r="E42" s="199"/>
      <c r="F42" s="18">
        <v>3.5</v>
      </c>
      <c r="G42" s="18">
        <v>3.5</v>
      </c>
      <c r="H42" s="18">
        <v>3.5</v>
      </c>
      <c r="I42" s="18">
        <v>3.5</v>
      </c>
      <c r="J42" s="18">
        <v>3.5</v>
      </c>
      <c r="K42" s="18"/>
    </row>
    <row r="43" spans="1:11" s="2" customFormat="1" ht="15" customHeight="1">
      <c r="A43" s="12">
        <v>3</v>
      </c>
      <c r="B43" s="28" t="str">
        <f>LIDER!F53</f>
        <v>RIVERA MENDOZA EDITH MARIA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3.4</v>
      </c>
      <c r="E43" s="199"/>
      <c r="F43" s="18">
        <v>3.5</v>
      </c>
      <c r="G43" s="18">
        <v>3.5</v>
      </c>
      <c r="H43" s="18">
        <v>3.5</v>
      </c>
      <c r="I43" s="18">
        <v>3.5</v>
      </c>
      <c r="J43" s="18">
        <v>3.5</v>
      </c>
      <c r="K43" s="18"/>
    </row>
    <row r="44" spans="1:11" s="2" customFormat="1" ht="15" customHeight="1">
      <c r="A44" s="12">
        <v>4</v>
      </c>
      <c r="B44" s="28" t="str">
        <f>LIDER!F54</f>
        <v>THERAN MENDOZA JESUS DAVID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3.4</v>
      </c>
      <c r="E44" s="199"/>
      <c r="F44" s="18">
        <v>3.5</v>
      </c>
      <c r="G44" s="18">
        <v>3.5</v>
      </c>
      <c r="H44" s="18">
        <v>3.5</v>
      </c>
      <c r="I44" s="18">
        <v>3.5</v>
      </c>
      <c r="J44" s="18">
        <v>3.5</v>
      </c>
      <c r="K44" s="18"/>
    </row>
    <row r="45" spans="1:11" s="2" customFormat="1" ht="15" customHeight="1">
      <c r="A45" s="12">
        <v>5</v>
      </c>
      <c r="B45" s="28" t="str">
        <f>LIDER!F55</f>
        <v>RODRIGUEZ PEREZ JEAN CARLOS</v>
      </c>
      <c r="C45" s="33" t="str">
        <f>IF('S-ASIG-04'!D45="","",'S-ASIG-04'!D45)</f>
        <v/>
      </c>
      <c r="D45" s="30">
        <f>IF(B45=0,"",IF(C45="",$E$41*LIDER!$H$19+F45*LIDER!$H$20+G45*LIDER!$H$21+H45*LIDER!$H$22+I45*LIDER!$H$23+J45*LIDER!$H$24+K45*LIDER!$H$25,"N"))</f>
        <v>3.4</v>
      </c>
      <c r="E45" s="199"/>
      <c r="F45" s="18">
        <v>3.5</v>
      </c>
      <c r="G45" s="18">
        <v>3.5</v>
      </c>
      <c r="H45" s="18">
        <v>3.5</v>
      </c>
      <c r="I45" s="18">
        <v>3.5</v>
      </c>
      <c r="J45" s="18">
        <v>3.5</v>
      </c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120</v>
      </c>
      <c r="C47" s="32" t="str">
        <f>IF('S-ASIG-04'!D47="","",'S-ASIG-04'!D47)</f>
        <v>LIST</v>
      </c>
      <c r="D47" s="35" t="s">
        <v>109</v>
      </c>
      <c r="E47" s="201" t="str">
        <f>LIDER!$E$35</f>
        <v xml:space="preserve">GRUPO#7: Aspectos Legales, Tributarios, Administrativos, Macroeconómicos, Aduaneros, 
Tecnológicos, e Internacional que Definen el Perfil de Agofer S.A.S en los Negocios 
Internacionales </v>
      </c>
      <c r="F47" s="201"/>
      <c r="G47" s="201"/>
      <c r="H47" s="201"/>
      <c r="I47" s="201"/>
      <c r="J47" s="201"/>
      <c r="K47" s="201"/>
    </row>
    <row r="48" spans="1:11" s="2" customFormat="1" ht="12.75">
      <c r="A48" s="9">
        <v>1</v>
      </c>
      <c r="B48" s="28" t="str">
        <f>LIDER!G51</f>
        <v>CAMPO PÉREZ NALIETH NICOHL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0</v>
      </c>
      <c r="E48" s="19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NOVOA GOMEZ IANA MARCELA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0</v>
      </c>
      <c r="E49" s="19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OSPINO MARTÍNEZ KAROLAY SOFIA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0</v>
      </c>
      <c r="E50" s="19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PEREZ VERGARA VALERIA</v>
      </c>
      <c r="C51" s="33" t="str">
        <f>IF('S-ASIG-04'!D51="","",'S-ASIG-04'!D51)</f>
        <v/>
      </c>
      <c r="D51" s="30">
        <f>IF(B51=0,"",IF(C51="",$E$48*LIDER!$H$19+F51*LIDER!$H$20+G51*LIDER!$H$21+H51*LIDER!$H$22+I51*LIDER!$H$23+J51*LIDER!$H$24+K51*LIDER!$H$25,"N"))</f>
        <v>0</v>
      </c>
      <c r="E51" s="19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PETRO ROSARIO VALERIE SARED</v>
      </c>
      <c r="C52" s="33" t="str">
        <f>IF('S-ASIG-04'!D52="","",'S-ASIG-04'!D52)</f>
        <v/>
      </c>
      <c r="D52" s="30">
        <f>IF(B52=0,"",IF(C52="",$E$48*LIDER!$H$19+F52*LIDER!$H$20+G52*LIDER!$H$21+H52*LIDER!$H$22+I52*LIDER!$H$23+J52*LIDER!$H$24+K52*LIDER!$H$25,"N"))</f>
        <v>0</v>
      </c>
      <c r="E52" s="19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 t="str">
        <f>LIDER!G56</f>
        <v>RAMOS ORTEGA LAURA INÉS</v>
      </c>
      <c r="C53" s="33" t="str">
        <f>IF('S-ASIG-04'!D53="","",'S-ASIG-04'!D53)</f>
        <v/>
      </c>
      <c r="D53" s="30">
        <f>IF(B53=0,"",IF(C53="",$E$48*LIDER!$H$19+F53*LIDER!$H$20+G53*LIDER!$H$21+H53*LIDER!$H$22+I53*LIDER!$H$23+J53*LIDER!$H$24+K53*LIDER!$H$25,"N"))</f>
        <v>0</v>
      </c>
      <c r="E53" s="19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122</v>
      </c>
      <c r="C54" s="32" t="str">
        <f>IF('S-ASIG-04'!D54="","",'S-ASIG-04'!D54)</f>
        <v>LIST</v>
      </c>
      <c r="D54" s="35" t="s">
        <v>109</v>
      </c>
      <c r="E54" s="201" t="str">
        <f>LIDER!$E$36</f>
        <v>GRUPO#8: Aspectos legales, tributarios, administrativos, macroeconómicos, aduaneros y tecnológicos que definen el perfil de Terpel S.A. en los negocios internacionales</v>
      </c>
      <c r="F54" s="201"/>
      <c r="G54" s="201"/>
      <c r="H54" s="201"/>
      <c r="I54" s="201"/>
      <c r="J54" s="201"/>
      <c r="K54" s="201"/>
    </row>
    <row r="55" spans="1:11" s="2" customFormat="1" ht="12.75">
      <c r="A55" s="9">
        <v>1</v>
      </c>
      <c r="B55" s="28" t="str">
        <f>LIDER!H51</f>
        <v>BARRIOS RAMIREZ JUAN JOSE</v>
      </c>
      <c r="C55" s="33" t="str">
        <f>IF('S-ASIG-04'!D55="","",'S-ASIG-04'!D55)</f>
        <v/>
      </c>
      <c r="D55" s="30">
        <f>IF(B55=0,"",IF(C55="",$E$55*LIDER!$H$19+F55*LIDER!$H$20+G55*LIDER!$H$21+H55*LIDER!$H$22+I55*LIDER!$H$23+J55*LIDER!$H$24+K55*LIDER!$H$25,"N"))</f>
        <v>0</v>
      </c>
      <c r="E55" s="19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HERRERA PRADA JAIDER DAVID</v>
      </c>
      <c r="C56" s="33" t="str">
        <f>IF('S-ASIG-04'!D56="","",'S-ASIG-04'!D56)</f>
        <v/>
      </c>
      <c r="D56" s="30">
        <f>IF(B56=0,"",IF(C56="",$E$55*LIDER!$H$19+F56*LIDER!$H$20+G56*LIDER!$H$21+H56*LIDER!$H$22+I56*LIDER!$H$23+J56*LIDER!$H$24+K56*LIDER!$H$25,"N"))</f>
        <v>0</v>
      </c>
      <c r="E56" s="19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GARCIA SUAREZ ANDREA CAROLINA</v>
      </c>
      <c r="C57" s="33" t="str">
        <f>IF('S-ASIG-04'!D57="","",'S-ASIG-04'!D57)</f>
        <v/>
      </c>
      <c r="D57" s="30">
        <f>IF(B57=0,"",IF(C57="",$E$55*LIDER!$H$19+F57*LIDER!$H$20+G57*LIDER!$H$21+H57*LIDER!$H$22+I57*LIDER!$H$23+J57*LIDER!$H$24+K57*LIDER!$H$25,"N"))</f>
        <v>0</v>
      </c>
      <c r="E57" s="19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PEREZ GELIS LUISA FERNANDA</v>
      </c>
      <c r="C58" s="33" t="str">
        <f>IF('S-ASIG-04'!D58="","",'S-ASIG-04'!D58)</f>
        <v/>
      </c>
      <c r="D58" s="30">
        <f>IF(B58=0,"",IF(C58="",$E$55*LIDER!$H$19+F58*LIDER!$H$20+G58*LIDER!$H$21+H58*LIDER!$H$22+I58*LIDER!$H$23+J58*LIDER!$H$24+K58*LIDER!$H$25,"N"))</f>
        <v>0</v>
      </c>
      <c r="E58" s="19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LOPEZ PAYARES OSMAN JUNIOR</v>
      </c>
      <c r="C59" s="33" t="str">
        <f>IF('S-ASIG-04'!D59="","",'S-ASIG-04'!D59)</f>
        <v/>
      </c>
      <c r="D59" s="30">
        <f>IF(B59=0,"",IF(C59="",$E$55*LIDER!$H$19+F59*LIDER!$H$20+G59*LIDER!$H$21+H59*LIDER!$H$22+I59*LIDER!$H$23+J59*LIDER!$H$24+K59*LIDER!$H$25,"N"))</f>
        <v>0</v>
      </c>
      <c r="E59" s="19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124</v>
      </c>
      <c r="C61" s="32" t="str">
        <f>IF('S-ASIG-04'!D61="","",'S-ASIG-04'!D61)</f>
        <v>LIST</v>
      </c>
      <c r="D61" s="35" t="s">
        <v>109</v>
      </c>
      <c r="E61" s="201" t="str">
        <f>LIDER!$E$37</f>
        <v>GRUPO#9: Aspectos, legales, tributarios, administrativos, macroeconómicos, aduaneros e internacionales que definen el
perfil de Samsung  en los negocios internacionales.</v>
      </c>
      <c r="F61" s="201"/>
      <c r="G61" s="201"/>
      <c r="H61" s="201"/>
      <c r="I61" s="201"/>
      <c r="J61" s="201"/>
      <c r="K61" s="201"/>
    </row>
    <row r="62" spans="1:11" s="2" customFormat="1" ht="12.75">
      <c r="A62" s="9">
        <v>1</v>
      </c>
      <c r="B62" s="28" t="str">
        <f>LIDER!E59</f>
        <v>CORDOBA RODRIGUEZ ADRIANO</v>
      </c>
      <c r="C62" s="33" t="str">
        <f>IF('S-ASIG-04'!D62="","",'S-ASIG-04'!D62)</f>
        <v/>
      </c>
      <c r="D62" s="30">
        <f>IF(B62=0,"",IF(C62="",$E$62*LIDER!$H$19+F62*LIDER!$H$20+G62*LIDER!$H$21+H62*LIDER!$H$22+I62*LIDER!$H$23+J62*LIDER!$H$24+K62*LIDER!$H$25,"N"))</f>
        <v>0</v>
      </c>
      <c r="E62" s="19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ZUÑIGA IGLESIAS EMMANUEL DAVID</v>
      </c>
      <c r="C63" s="33" t="str">
        <f>IF('S-ASIG-04'!D63="","",'S-ASIG-04'!D63)</f>
        <v/>
      </c>
      <c r="D63" s="30">
        <f>IF(B63=0,"",IF(C63="",$E$62*LIDER!$H$19+F63*LIDER!$H$20+G63*LIDER!$H$21+H63*LIDER!$H$22+I63*LIDER!$H$23+J63*LIDER!$H$24+K63*LIDER!$H$25,"N"))</f>
        <v>0</v>
      </c>
      <c r="E63" s="19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ORTÍZ ZUÑIGA WILYS JUNIOR</v>
      </c>
      <c r="C64" s="33" t="str">
        <f>IF('S-ASIG-04'!D64="","",'S-ASIG-04'!D64)</f>
        <v/>
      </c>
      <c r="D64" s="30">
        <f>IF(B64=0,"",IF(C64="",$E$62*LIDER!$H$19+F64*LIDER!$H$20+G64*LIDER!$H$21+H64*LIDER!$H$22+I64*LIDER!$H$23+J64*LIDER!$H$24+K64*LIDER!$H$25,"N"))</f>
        <v>0</v>
      </c>
      <c r="E64" s="19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DE ORO MOLINA RONNY AMEL</v>
      </c>
      <c r="C65" s="33" t="str">
        <f>IF('S-ASIG-04'!D65="","",'S-ASIG-04'!D65)</f>
        <v/>
      </c>
      <c r="D65" s="30">
        <f>IF(B65=0,"",IF(C65="",$E$62*LIDER!$H$19+F65*LIDER!$H$20+G65*LIDER!$H$21+H65*LIDER!$H$22+I65*LIDER!$H$23+J65*LIDER!$H$24+K65*LIDER!$H$25,"N"))</f>
        <v>0</v>
      </c>
      <c r="E65" s="19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IF('S-ASIG-04'!D68="","",'S-ASIG-04'!D68)</f>
        <v>LIST</v>
      </c>
      <c r="D68" s="35" t="s">
        <v>109</v>
      </c>
      <c r="E68" s="201" t="str">
        <f>LIDER!$E$38</f>
        <v>GRUPO#10</v>
      </c>
      <c r="F68" s="201"/>
      <c r="G68" s="201"/>
      <c r="H68" s="201"/>
      <c r="I68" s="201"/>
      <c r="J68" s="201"/>
      <c r="K68" s="201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IF('S-ASIG-04'!D75="","",'S-ASIG-04'!D75)</f>
        <v>LIST</v>
      </c>
      <c r="D75" s="35" t="s">
        <v>109</v>
      </c>
      <c r="E75" s="201" t="str">
        <f>LIDER!$E$39</f>
        <v>GRUPO#11</v>
      </c>
      <c r="F75" s="201"/>
      <c r="G75" s="201"/>
      <c r="H75" s="201"/>
      <c r="I75" s="201"/>
      <c r="J75" s="201"/>
      <c r="K75" s="201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IF('S-ASIG-04'!D82="","",'S-ASIG-04'!D82)</f>
        <v>LIST</v>
      </c>
      <c r="D82" s="35" t="s">
        <v>109</v>
      </c>
      <c r="E82" s="201" t="str">
        <f>LIDER!$E$40</f>
        <v>GRUPO#12</v>
      </c>
      <c r="F82" s="201"/>
      <c r="G82" s="201"/>
      <c r="H82" s="201"/>
      <c r="I82" s="201"/>
      <c r="J82" s="201"/>
      <c r="K82" s="201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200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47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LIDER!G4</f>
        <v>MATEMÁTICAS FINANCIERAS</v>
      </c>
      <c r="C2" s="3"/>
      <c r="E2" s="216" t="s">
        <v>104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105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21" t="str">
        <f>CONCATENATE(LIDER!G4," - ",LIDER!G6," - ",LIDER!G5)</f>
        <v>MATEMÁTICAS FINANCIERAS - 1410 - JORGE LUIS PUERTA SALAS</v>
      </c>
      <c r="F4" s="222"/>
      <c r="G4" s="222"/>
      <c r="H4" s="222"/>
      <c r="I4" s="222"/>
      <c r="J4" s="222"/>
      <c r="K4" s="223"/>
    </row>
    <row r="5" spans="1:11" s="2" customFormat="1" ht="15.75" customHeight="1" thickBot="1">
      <c r="A5" s="8"/>
      <c r="B5" s="27" t="s">
        <v>106</v>
      </c>
      <c r="C5" s="34" t="str">
        <f>IF('S-ASIG-05'!D5="","",'S-ASIG-05'!D5)</f>
        <v>LIST</v>
      </c>
      <c r="D5" s="35" t="s">
        <v>109</v>
      </c>
      <c r="E5" s="201" t="str">
        <f>LIDER!$E$29</f>
        <v xml:space="preserve">GRUPO#1: Aspectos Legales, Tributarios, Administrativos, Macroeconómicos, Aduaneros, Tecnológicos
e Internacionales que Definen el perfil de la empresa Apple Colombia S.A.S. </v>
      </c>
      <c r="F5" s="201"/>
      <c r="G5" s="201"/>
      <c r="H5" s="201"/>
      <c r="I5" s="201"/>
      <c r="J5" s="201"/>
      <c r="K5" s="201"/>
    </row>
    <row r="6" spans="1:11" s="2" customFormat="1" ht="12.75">
      <c r="A6" s="9">
        <v>1</v>
      </c>
      <c r="B6" s="28" t="str">
        <f>LIDER!E43</f>
        <v>BERRIO LOPEZ VALENTINA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BOHÓRQUEZ CANTERO SANTIAGO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9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CAMPOS ABREU NICOLE ANTHONELLA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9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RUIZ CHICO LAURA SOFIA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9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9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110</v>
      </c>
      <c r="C12" s="32" t="str">
        <f>IF('S-ASIG-05'!D12="","",'S-ASIG-05'!D12)</f>
        <v>LIST</v>
      </c>
      <c r="D12" s="35" t="s">
        <v>109</v>
      </c>
      <c r="E12" s="201" t="str">
        <f>LIDER!$E$30</f>
        <v xml:space="preserve">GRUPO#2: Caracterización de los aspectos legales, tributarios, administrativos, macroeconómicos, 
tecnológicos e internacionales que definen el perfil empresarial de Ecopetrol S.A. en los 
negocios internacionales </v>
      </c>
      <c r="F12" s="201"/>
      <c r="G12" s="201"/>
      <c r="H12" s="201"/>
      <c r="I12" s="201"/>
      <c r="J12" s="201"/>
      <c r="K12" s="201"/>
    </row>
    <row r="13" spans="1:11" s="2" customFormat="1" ht="12.75">
      <c r="A13" s="9">
        <v>1</v>
      </c>
      <c r="B13" s="28" t="str">
        <f>LIDER!F43</f>
        <v>BUENDIA CAÑATE DONICEL DE JESUS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9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MARRUGO CORREA MATEO DE JESUS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9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ZEA NAVARRO JUAN ESTEBAN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9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PALMERA MARTINEZ FRANCISCO JAVIER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9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CONTRERAS MARTÍNEZ MARLON MANUEL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9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112</v>
      </c>
      <c r="C19" s="32" t="str">
        <f>IF('S-ASIG-05'!D19="","",'S-ASIG-05'!D19)</f>
        <v>LIST</v>
      </c>
      <c r="D19" s="35" t="s">
        <v>109</v>
      </c>
      <c r="E19" s="201" t="str">
        <f>LIDER!$E$31</f>
        <v xml:space="preserve">GRUPO#3: Análisis integral de los aspectos legales, tributarios, administrativos, 
macroeconómicos, tecnológicos e internacionales que configuran el perfil empresarial de 
Nestlé Colombia S.A. en los negocios internacionales. </v>
      </c>
      <c r="F19" s="201"/>
      <c r="G19" s="201"/>
      <c r="H19" s="201"/>
      <c r="I19" s="201"/>
      <c r="J19" s="201"/>
      <c r="K19" s="201"/>
    </row>
    <row r="20" spans="1:11" s="2" customFormat="1" ht="12.75">
      <c r="A20" s="9">
        <v>1</v>
      </c>
      <c r="B20" s="28" t="str">
        <f>LIDER!G43</f>
        <v>FONTALVO RODRIGUEZ ISABELLA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9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LARA MAURY MARÍA ANGÉLICA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9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PEREZ ALVAREZ DILAN ANDRES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9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IF('S-ASIG-05'!D23="","",'S-ASIG-05'!D23)</f>
        <v/>
      </c>
      <c r="D23" s="30" t="str">
        <f>IF(B23=0,"",IF(C23="",$E$20*LIDER!$H$19+F23*LIDER!$H$20+G23*LIDER!$H$21+H23*LIDER!$H$22+I23*LIDER!$H$23+J23*LIDER!$H$24+K23*LIDER!$H$25,"N"))</f>
        <v/>
      </c>
      <c r="E23" s="19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9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114</v>
      </c>
      <c r="C26" s="32" t="str">
        <f>IF('S-ASIG-05'!D26="","",'S-ASIG-05'!D26)</f>
        <v>LIST</v>
      </c>
      <c r="D26" s="35" t="s">
        <v>109</v>
      </c>
      <c r="E26" s="201" t="str">
        <f>LIDER!$E$32</f>
        <v>GRUPO#4: Análisis de los aspectos legales, tributarios, administrativos, macroeconómicos,
tecnológicos e internacionales de la empresa Arturo Calle S.A.S. en los negocios
internacionales</v>
      </c>
      <c r="F26" s="201"/>
      <c r="G26" s="201"/>
      <c r="H26" s="201"/>
      <c r="I26" s="201"/>
      <c r="J26" s="201"/>
      <c r="K26" s="201"/>
    </row>
    <row r="27" spans="1:11" s="2" customFormat="1" ht="12.75">
      <c r="A27" s="9">
        <v>1</v>
      </c>
      <c r="B27" s="28" t="str">
        <f>LIDER!H43</f>
        <v>BURGOS CAUSIL SHADIA TATIANA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9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CASTRO SAYAS KEVIN ENRIQUE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9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CERVERA BLANCO ALAN DAVID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9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GONZALEZ PATERNINA YULIETH ISABEL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9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GONZALEZ SOTO NICOLE ANDREA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9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116</v>
      </c>
      <c r="C33" s="32" t="str">
        <f>IF('S-ASIG-05'!D33="","",'S-ASIG-05'!D33)</f>
        <v>LIST</v>
      </c>
      <c r="D33" s="35" t="s">
        <v>109</v>
      </c>
      <c r="E33" s="201" t="str">
        <f>LIDER!$E$33</f>
        <v xml:space="preserve">GRUPO#5: Aspectos legales, tributarios, administrativos, macroeconómicos, aduaneros, tecnológicos e 
internacionales que definen el perfil de Cementos Argos en los negocios internacionales </v>
      </c>
      <c r="F33" s="201"/>
      <c r="G33" s="201"/>
      <c r="H33" s="201"/>
      <c r="I33" s="201"/>
      <c r="J33" s="201"/>
      <c r="K33" s="201"/>
    </row>
    <row r="34" spans="1:11" s="2" customFormat="1" ht="12.75">
      <c r="A34" s="9">
        <v>1</v>
      </c>
      <c r="B34" s="28" t="str">
        <f>LIDER!E51</f>
        <v>CANTILLO ZABALETA JULIANA ISABEL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9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DAVILA GONZALEZ ALANA ARAI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9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OBANDO MARSIGLIA JESED ALEJANDRO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9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GARCÍA REYES VALERY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9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9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118</v>
      </c>
      <c r="C40" s="32" t="str">
        <f>IF('S-ASIG-05'!D40="","",'S-ASIG-05'!D40)</f>
        <v>LIST</v>
      </c>
      <c r="D40" s="35" t="s">
        <v>109</v>
      </c>
      <c r="E40" s="201" t="str">
        <f>LIDER!$E$34</f>
        <v>GRUPO#6: Análisis de los aspectos legales, tributarios, administrativos, macroeconómicos, aduaneros, tecnológicos e
internacionales que definen el perfil de Alpina S.A.S en los negocios internacionales</v>
      </c>
      <c r="F40" s="201"/>
      <c r="G40" s="201"/>
      <c r="H40" s="201"/>
      <c r="I40" s="201"/>
      <c r="J40" s="201"/>
      <c r="K40" s="201"/>
    </row>
    <row r="41" spans="1:11" s="2" customFormat="1" ht="12.75">
      <c r="A41" s="9">
        <v>1</v>
      </c>
      <c r="B41" s="28" t="str">
        <f>LIDER!F51</f>
        <v>ALVARADO MAS Y RUBI LOHANA  VICTORIA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9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MANOTAS ACEVEDO LAURA DANIELA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9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RIVERA MENDOZA EDITH MARIA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0</v>
      </c>
      <c r="E43" s="19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THERAN MENDOZA JESUS DAVID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0</v>
      </c>
      <c r="E44" s="19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RODRIGUEZ PEREZ JEAN CARLOS</v>
      </c>
      <c r="C45" s="33" t="str">
        <f>IF('S-ASIG-05'!D45="","",'S-ASIG-05'!D45)</f>
        <v/>
      </c>
      <c r="D45" s="30">
        <f>IF(B45=0,"",IF(C45="",$E$41*LIDER!$H$19+F45*LIDER!$H$20+G45*LIDER!$H$21+H45*LIDER!$H$22+I45*LIDER!$H$23+J45*LIDER!$H$24+K45*LIDER!$H$25,"N"))</f>
        <v>0</v>
      </c>
      <c r="E45" s="19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120</v>
      </c>
      <c r="C47" s="32" t="str">
        <f>IF('S-ASIG-05'!D47="","",'S-ASIG-05'!D47)</f>
        <v>LIST</v>
      </c>
      <c r="D47" s="35" t="s">
        <v>109</v>
      </c>
      <c r="E47" s="201" t="str">
        <f>LIDER!$E$35</f>
        <v xml:space="preserve">GRUPO#7: Aspectos Legales, Tributarios, Administrativos, Macroeconómicos, Aduaneros, 
Tecnológicos, e Internacional que Definen el Perfil de Agofer S.A.S en los Negocios 
Internacionales </v>
      </c>
      <c r="F47" s="201"/>
      <c r="G47" s="201"/>
      <c r="H47" s="201"/>
      <c r="I47" s="201"/>
      <c r="J47" s="201"/>
      <c r="K47" s="201"/>
    </row>
    <row r="48" spans="1:11" s="2" customFormat="1" ht="12.75">
      <c r="A48" s="9">
        <v>1</v>
      </c>
      <c r="B48" s="28" t="str">
        <f>LIDER!G51</f>
        <v>CAMPO PÉREZ NALIETH NICOHL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0</v>
      </c>
      <c r="E48" s="19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NOVOA GOMEZ IANA MARCELA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0</v>
      </c>
      <c r="E49" s="19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OSPINO MARTÍNEZ KAROLAY SOFIA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0</v>
      </c>
      <c r="E50" s="19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PEREZ VERGARA VALERIA</v>
      </c>
      <c r="C51" s="33" t="str">
        <f>IF('S-ASIG-05'!D51="","",'S-ASIG-05'!D51)</f>
        <v/>
      </c>
      <c r="D51" s="30">
        <f>IF(B51=0,"",IF(C51="",$E$48*LIDER!$H$19+F51*LIDER!$H$20+G51*LIDER!$H$21+H51*LIDER!$H$22+I51*LIDER!$H$23+J51*LIDER!$H$24+K51*LIDER!$H$25,"N"))</f>
        <v>0</v>
      </c>
      <c r="E51" s="19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PETRO ROSARIO VALERIE SARED</v>
      </c>
      <c r="C52" s="33" t="str">
        <f>IF('S-ASIG-05'!D52="","",'S-ASIG-05'!D52)</f>
        <v/>
      </c>
      <c r="D52" s="30">
        <f>IF(B52=0,"",IF(C52="",$E$48*LIDER!$H$19+F52*LIDER!$H$20+G52*LIDER!$H$21+H52*LIDER!$H$22+I52*LIDER!$H$23+J52*LIDER!$H$24+K52*LIDER!$H$25,"N"))</f>
        <v>0</v>
      </c>
      <c r="E52" s="19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 t="str">
        <f>LIDER!G56</f>
        <v>RAMOS ORTEGA LAURA INÉS</v>
      </c>
      <c r="C53" s="33" t="str">
        <f>IF('S-ASIG-05'!D53="","",'S-ASIG-05'!D53)</f>
        <v/>
      </c>
      <c r="D53" s="30">
        <f>IF(B53=0,"",IF(C53="",$E$48*LIDER!$H$19+F53*LIDER!$H$20+G53*LIDER!$H$21+H53*LIDER!$H$22+I53*LIDER!$H$23+J53*LIDER!$H$24+K53*LIDER!$H$25,"N"))</f>
        <v>0</v>
      </c>
      <c r="E53" s="19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122</v>
      </c>
      <c r="C54" s="32" t="str">
        <f>IF('S-ASIG-05'!D54="","",'S-ASIG-05'!D54)</f>
        <v>LIST</v>
      </c>
      <c r="D54" s="35" t="s">
        <v>109</v>
      </c>
      <c r="E54" s="201" t="str">
        <f>LIDER!$E$36</f>
        <v>GRUPO#8: Aspectos legales, tributarios, administrativos, macroeconómicos, aduaneros y tecnológicos que definen el perfil de Terpel S.A. en los negocios internacionales</v>
      </c>
      <c r="F54" s="201"/>
      <c r="G54" s="201"/>
      <c r="H54" s="201"/>
      <c r="I54" s="201"/>
      <c r="J54" s="201"/>
      <c r="K54" s="201"/>
    </row>
    <row r="55" spans="1:11" s="2" customFormat="1" ht="12.75">
      <c r="A55" s="9">
        <v>1</v>
      </c>
      <c r="B55" s="28" t="str">
        <f>LIDER!H51</f>
        <v>BARRIOS RAMIREZ JUAN JOSE</v>
      </c>
      <c r="C55" s="33" t="str">
        <f>IF('S-ASIG-05'!D55="","",'S-ASIG-05'!D55)</f>
        <v/>
      </c>
      <c r="D55" s="30">
        <f>IF(B55=0,"",IF(C55="",$E$55*LIDER!$H$19+F55*LIDER!$H$20+G55*LIDER!$H$21+H55*LIDER!$H$22+I55*LIDER!$H$23+J55*LIDER!$H$24+K55*LIDER!$H$25,"N"))</f>
        <v>0</v>
      </c>
      <c r="E55" s="19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HERRERA PRADA JAIDER DAVID</v>
      </c>
      <c r="C56" s="33" t="str">
        <f>IF('S-ASIG-05'!D56="","",'S-ASIG-05'!D56)</f>
        <v/>
      </c>
      <c r="D56" s="30">
        <f>IF(B56=0,"",IF(C56="",$E$55*LIDER!$H$19+F56*LIDER!$H$20+G56*LIDER!$H$21+H56*LIDER!$H$22+I56*LIDER!$H$23+J56*LIDER!$H$24+K56*LIDER!$H$25,"N"))</f>
        <v>0</v>
      </c>
      <c r="E56" s="19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GARCIA SUAREZ ANDREA CAROLINA</v>
      </c>
      <c r="C57" s="33" t="str">
        <f>IF('S-ASIG-05'!D57="","",'S-ASIG-05'!D57)</f>
        <v/>
      </c>
      <c r="D57" s="30">
        <f>IF(B57=0,"",IF(C57="",$E$55*LIDER!$H$19+F57*LIDER!$H$20+G57*LIDER!$H$21+H57*LIDER!$H$22+I57*LIDER!$H$23+J57*LIDER!$H$24+K57*LIDER!$H$25,"N"))</f>
        <v>0</v>
      </c>
      <c r="E57" s="19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PEREZ GELIS LUISA FERNANDA</v>
      </c>
      <c r="C58" s="33" t="str">
        <f>IF('S-ASIG-05'!D58="","",'S-ASIG-05'!D58)</f>
        <v/>
      </c>
      <c r="D58" s="30">
        <f>IF(B58=0,"",IF(C58="",$E$55*LIDER!$H$19+F58*LIDER!$H$20+G58*LIDER!$H$21+H58*LIDER!$H$22+I58*LIDER!$H$23+J58*LIDER!$H$24+K58*LIDER!$H$25,"N"))</f>
        <v>0</v>
      </c>
      <c r="E58" s="19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LOPEZ PAYARES OSMAN JUNIOR</v>
      </c>
      <c r="C59" s="33" t="str">
        <f>IF('S-ASIG-05'!D59="","",'S-ASIG-05'!D59)</f>
        <v/>
      </c>
      <c r="D59" s="30">
        <f>IF(B59=0,"",IF(C59="",$E$55*LIDER!$H$19+F59*LIDER!$H$20+G59*LIDER!$H$21+H59*LIDER!$H$22+I59*LIDER!$H$23+J59*LIDER!$H$24+K59*LIDER!$H$25,"N"))</f>
        <v>0</v>
      </c>
      <c r="E59" s="19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124</v>
      </c>
      <c r="C61" s="32" t="str">
        <f>IF('S-ASIG-05'!D61="","",'S-ASIG-05'!D61)</f>
        <v>LIST</v>
      </c>
      <c r="D61" s="35" t="s">
        <v>109</v>
      </c>
      <c r="E61" s="201" t="str">
        <f>LIDER!$E$37</f>
        <v>GRUPO#9: Aspectos, legales, tributarios, administrativos, macroeconómicos, aduaneros e internacionales que definen el
perfil de Samsung  en los negocios internacionales.</v>
      </c>
      <c r="F61" s="201"/>
      <c r="G61" s="201"/>
      <c r="H61" s="201"/>
      <c r="I61" s="201"/>
      <c r="J61" s="201"/>
      <c r="K61" s="201"/>
    </row>
    <row r="62" spans="1:11" s="2" customFormat="1" ht="12.75">
      <c r="A62" s="9">
        <v>1</v>
      </c>
      <c r="B62" s="28" t="str">
        <f>LIDER!E59</f>
        <v>CORDOBA RODRIGUEZ ADRIANO</v>
      </c>
      <c r="C62" s="33" t="str">
        <f>IF('S-ASIG-05'!D62="","",'S-ASIG-05'!D62)</f>
        <v/>
      </c>
      <c r="D62" s="30">
        <f>IF(B62=0,"",IF(C62="",$E$62*LIDER!$H$19+F62*LIDER!$H$20+G62*LIDER!$H$21+H62*LIDER!$H$22+I62*LIDER!$H$23+J62*LIDER!$H$24+K62*LIDER!$H$25,"N"))</f>
        <v>0</v>
      </c>
      <c r="E62" s="19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ZUÑIGA IGLESIAS EMMANUEL DAVID</v>
      </c>
      <c r="C63" s="33" t="str">
        <f>IF('S-ASIG-05'!D63="","",'S-ASIG-05'!D63)</f>
        <v/>
      </c>
      <c r="D63" s="30">
        <f>IF(B63=0,"",IF(C63="",$E$62*LIDER!$H$19+F63*LIDER!$H$20+G63*LIDER!$H$21+H63*LIDER!$H$22+I63*LIDER!$H$23+J63*LIDER!$H$24+K63*LIDER!$H$25,"N"))</f>
        <v>0</v>
      </c>
      <c r="E63" s="19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ORTÍZ ZUÑIGA WILYS JUNIOR</v>
      </c>
      <c r="C64" s="33" t="str">
        <f>IF('S-ASIG-05'!D64="","",'S-ASIG-05'!D64)</f>
        <v/>
      </c>
      <c r="D64" s="30">
        <f>IF(B64=0,"",IF(C64="",$E$62*LIDER!$H$19+F64*LIDER!$H$20+G64*LIDER!$H$21+H64*LIDER!$H$22+I64*LIDER!$H$23+J64*LIDER!$H$24+K64*LIDER!$H$25,"N"))</f>
        <v>0</v>
      </c>
      <c r="E64" s="19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DE ORO MOLINA RONNY AMEL</v>
      </c>
      <c r="C65" s="33" t="str">
        <f>IF('S-ASIG-05'!D65="","",'S-ASIG-05'!D65)</f>
        <v/>
      </c>
      <c r="D65" s="30">
        <f>IF(B65=0,"",IF(C65="",$E$62*LIDER!$H$19+F65*LIDER!$H$20+G65*LIDER!$H$21+H65*LIDER!$H$22+I65*LIDER!$H$23+J65*LIDER!$H$24+K65*LIDER!$H$25,"N"))</f>
        <v>0</v>
      </c>
      <c r="E65" s="19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IF('S-ASIG-05'!D68="","",'S-ASIG-05'!D68)</f>
        <v>LIST</v>
      </c>
      <c r="D68" s="35" t="s">
        <v>109</v>
      </c>
      <c r="E68" s="201" t="str">
        <f>LIDER!$E$38</f>
        <v>GRUPO#10</v>
      </c>
      <c r="F68" s="201"/>
      <c r="G68" s="201"/>
      <c r="H68" s="201"/>
      <c r="I68" s="201"/>
      <c r="J68" s="201"/>
      <c r="K68" s="201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IF('S-ASIG-05'!D75="","",'S-ASIG-05'!D75)</f>
        <v>LIST</v>
      </c>
      <c r="D75" s="35" t="s">
        <v>109</v>
      </c>
      <c r="E75" s="201" t="str">
        <f>LIDER!$E$39</f>
        <v>GRUPO#11</v>
      </c>
      <c r="F75" s="201"/>
      <c r="G75" s="201"/>
      <c r="H75" s="201"/>
      <c r="I75" s="201"/>
      <c r="J75" s="201"/>
      <c r="K75" s="201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IF('S-ASIG-05'!D82="","",'S-ASIG-05'!D82)</f>
        <v>LIST</v>
      </c>
      <c r="D82" s="35" t="s">
        <v>109</v>
      </c>
      <c r="E82" s="201" t="str">
        <f>LIDER!$E$40</f>
        <v>GRUPO#12</v>
      </c>
      <c r="F82" s="201"/>
      <c r="G82" s="201"/>
      <c r="H82" s="201"/>
      <c r="I82" s="201"/>
      <c r="J82" s="201"/>
      <c r="K82" s="201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200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>
        <f>LIDER!H4</f>
        <v>0</v>
      </c>
      <c r="C2" s="3"/>
      <c r="E2" s="216" t="s">
        <v>104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105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21" t="str">
        <f>CONCATENATE(LIDER!H4," - ",LIDER!H6," - ",LIDER!H5)</f>
        <v xml:space="preserve"> -  - </v>
      </c>
      <c r="F4" s="222"/>
      <c r="G4" s="222"/>
      <c r="H4" s="222"/>
      <c r="I4" s="222"/>
      <c r="J4" s="222"/>
      <c r="K4" s="223"/>
    </row>
    <row r="5" spans="1:11" s="2" customFormat="1" ht="15.75" customHeight="1" thickBot="1">
      <c r="A5" s="8"/>
      <c r="B5" s="27" t="s">
        <v>106</v>
      </c>
      <c r="C5" s="34" t="str">
        <f>IF('S-ASIG-06'!D5="","",'S-ASIG-06'!D5)</f>
        <v>LIST</v>
      </c>
      <c r="D5" s="35" t="s">
        <v>109</v>
      </c>
      <c r="E5" s="201" t="str">
        <f>LIDER!$E$29</f>
        <v xml:space="preserve">GRUPO#1: Aspectos Legales, Tributarios, Administrativos, Macroeconómicos, Aduaneros, Tecnológicos
e Internacionales que Definen el perfil de la empresa Apple Colombia S.A.S. </v>
      </c>
      <c r="F5" s="201"/>
      <c r="G5" s="201"/>
      <c r="H5" s="201"/>
      <c r="I5" s="201"/>
      <c r="J5" s="201"/>
      <c r="K5" s="201"/>
    </row>
    <row r="6" spans="1:11" s="2" customFormat="1" ht="12.75">
      <c r="A6" s="9">
        <v>1</v>
      </c>
      <c r="B6" s="28" t="str">
        <f>LIDER!E43</f>
        <v>BERRIO LOPEZ VALENTINA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BOHÓRQUEZ CANTERO SANTIAGO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CAMPOS ABREU NICOLE ANTHONELLA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RUIZ CHICO LAURA SOFIA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9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110</v>
      </c>
      <c r="C12" s="32" t="str">
        <f>IF('S-ASIG-06'!D12="","",'S-ASIG-06'!D12)</f>
        <v>LIST</v>
      </c>
      <c r="D12" s="35" t="s">
        <v>109</v>
      </c>
      <c r="E12" s="201" t="str">
        <f>LIDER!$E$30</f>
        <v xml:space="preserve">GRUPO#2: Caracterización de los aspectos legales, tributarios, administrativos, macroeconómicos, 
tecnológicos e internacionales que definen el perfil empresarial de Ecopetrol S.A. en los 
negocios internacionales </v>
      </c>
      <c r="F12" s="201"/>
      <c r="G12" s="201"/>
      <c r="H12" s="201"/>
      <c r="I12" s="201"/>
      <c r="J12" s="201"/>
      <c r="K12" s="201"/>
    </row>
    <row r="13" spans="1:11" s="2" customFormat="1" ht="12.75">
      <c r="A13" s="9">
        <v>1</v>
      </c>
      <c r="B13" s="28" t="str">
        <f>LIDER!F43</f>
        <v>BUENDIA CAÑATE DONICEL DE JESUS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MARRUGO CORREA MATEO DE JESUS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ZEA NAVARRO JUAN ESTEBAN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PALMERA MARTINEZ FRANCISCO JAVIER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CONTRERAS MARTÍNEZ MARLON MANUEL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9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112</v>
      </c>
      <c r="C19" s="32" t="str">
        <f>IF('S-ASIG-06'!D19="","",'S-ASIG-06'!D19)</f>
        <v>LIST</v>
      </c>
      <c r="D19" s="35" t="s">
        <v>109</v>
      </c>
      <c r="E19" s="201" t="str">
        <f>LIDER!$E$31</f>
        <v xml:space="preserve">GRUPO#3: Análisis integral de los aspectos legales, tributarios, administrativos, 
macroeconómicos, tecnológicos e internacionales que configuran el perfil empresarial de 
Nestlé Colombia S.A. en los negocios internacionales. </v>
      </c>
      <c r="F19" s="201"/>
      <c r="G19" s="201"/>
      <c r="H19" s="201"/>
      <c r="I19" s="201"/>
      <c r="J19" s="201"/>
      <c r="K19" s="201"/>
    </row>
    <row r="20" spans="1:11" s="2" customFormat="1" ht="12.75">
      <c r="A20" s="9">
        <v>1</v>
      </c>
      <c r="B20" s="28" t="str">
        <f>LIDER!G43</f>
        <v>FONTALVO RODRIGUEZ ISABELLA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LARA MAURY MARÍA ANGÉLICA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PEREZ ALVAREZ DILAN ANDRES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IF('S-ASIG-06'!D23="","",'S-ASIG-06'!D23)</f>
        <v/>
      </c>
      <c r="D23" s="30" t="str">
        <f>IF(B23=0,"",IF(C23="",$E$20*LIDER!$H$19+F23*LIDER!$H$20+G23*LIDER!$H$21+H23*LIDER!$H$22+I23*LIDER!$H$23+J23*LIDER!$H$24+K23*LIDER!$H$25,"N"))</f>
        <v/>
      </c>
      <c r="E23" s="19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9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114</v>
      </c>
      <c r="C26" s="32" t="str">
        <f>IF('S-ASIG-06'!D26="","",'S-ASIG-06'!D26)</f>
        <v>LIST</v>
      </c>
      <c r="D26" s="35" t="s">
        <v>109</v>
      </c>
      <c r="E26" s="201" t="str">
        <f>LIDER!$E$32</f>
        <v>GRUPO#4: Análisis de los aspectos legales, tributarios, administrativos, macroeconómicos,
tecnológicos e internacionales de la empresa Arturo Calle S.A.S. en los negocios
internacionales</v>
      </c>
      <c r="F26" s="201"/>
      <c r="G26" s="201"/>
      <c r="H26" s="201"/>
      <c r="I26" s="201"/>
      <c r="J26" s="201"/>
      <c r="K26" s="201"/>
    </row>
    <row r="27" spans="1:11" s="2" customFormat="1" ht="12.75">
      <c r="A27" s="9">
        <v>1</v>
      </c>
      <c r="B27" s="28" t="str">
        <f>LIDER!H43</f>
        <v>BURGOS CAUSIL SHADIA TATIANA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9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CASTRO SAYAS KEVIN ENRIQUE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9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CERVERA BLANCO ALAN DAVID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9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GONZALEZ PATERNINA YULIETH ISABEL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9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GONZALEZ SOTO NICOLE ANDREA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9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116</v>
      </c>
      <c r="C33" s="32" t="str">
        <f>IF('S-ASIG-06'!D33="","",'S-ASIG-06'!D33)</f>
        <v>LIST</v>
      </c>
      <c r="D33" s="35" t="s">
        <v>109</v>
      </c>
      <c r="E33" s="201" t="str">
        <f>LIDER!$E$33</f>
        <v xml:space="preserve">GRUPO#5: Aspectos legales, tributarios, administrativos, macroeconómicos, aduaneros, tecnológicos e 
internacionales que definen el perfil de Cementos Argos en los negocios internacionales </v>
      </c>
      <c r="F33" s="201"/>
      <c r="G33" s="201"/>
      <c r="H33" s="201"/>
      <c r="I33" s="201"/>
      <c r="J33" s="201"/>
      <c r="K33" s="201"/>
    </row>
    <row r="34" spans="1:11" s="2" customFormat="1" ht="12.75">
      <c r="A34" s="9">
        <v>1</v>
      </c>
      <c r="B34" s="28" t="str">
        <f>LIDER!E51</f>
        <v>CANTILLO ZABALETA JULIANA ISABEL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9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DAVILA GONZALEZ ALANA ARAI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9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OBANDO MARSIGLIA JESED ALEJANDRO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9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GARCÍA REYES VALERY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9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9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118</v>
      </c>
      <c r="C40" s="32" t="str">
        <f>IF('S-ASIG-06'!D40="","",'S-ASIG-06'!D40)</f>
        <v>LIST</v>
      </c>
      <c r="D40" s="35" t="s">
        <v>109</v>
      </c>
      <c r="E40" s="201" t="str">
        <f>LIDER!$E$34</f>
        <v>GRUPO#6: Análisis de los aspectos legales, tributarios, administrativos, macroeconómicos, aduaneros, tecnológicos e
internacionales que definen el perfil de Alpina S.A.S en los negocios internacionales</v>
      </c>
      <c r="F40" s="201"/>
      <c r="G40" s="201"/>
      <c r="H40" s="201"/>
      <c r="I40" s="201"/>
      <c r="J40" s="201"/>
      <c r="K40" s="201"/>
    </row>
    <row r="41" spans="1:11" s="2" customFormat="1" ht="12.75">
      <c r="A41" s="9">
        <v>1</v>
      </c>
      <c r="B41" s="28" t="str">
        <f>LIDER!F51</f>
        <v>ALVARADO MAS Y RUBI LOHANA  VICTORIA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9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MANOTAS ACEVEDO LAURA DANIELA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9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RIVERA MENDOZA EDITH MARIA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9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THERAN MENDOZA JESUS DAVID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0</v>
      </c>
      <c r="E44" s="19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RODRIGUEZ PEREZ JEAN CARLOS</v>
      </c>
      <c r="C45" s="33" t="str">
        <f>IF('S-ASIG-06'!D45="","",'S-ASIG-06'!D45)</f>
        <v/>
      </c>
      <c r="D45" s="30">
        <f>IF(B45=0,"",IF(C45="",$E$41*LIDER!$H$19+F45*LIDER!$H$20+G45*LIDER!$H$21+H45*LIDER!$H$22+I45*LIDER!$H$23+J45*LIDER!$H$24+K45*LIDER!$H$25,"N"))</f>
        <v>0</v>
      </c>
      <c r="E45" s="19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120</v>
      </c>
      <c r="C47" s="32" t="str">
        <f>IF('S-ASIG-06'!D47="","",'S-ASIG-06'!D47)</f>
        <v>LIST</v>
      </c>
      <c r="D47" s="35" t="s">
        <v>109</v>
      </c>
      <c r="E47" s="201" t="str">
        <f>LIDER!$E$35</f>
        <v xml:space="preserve">GRUPO#7: Aspectos Legales, Tributarios, Administrativos, Macroeconómicos, Aduaneros, 
Tecnológicos, e Internacional que Definen el Perfil de Agofer S.A.S en los Negocios 
Internacionales </v>
      </c>
      <c r="F47" s="201"/>
      <c r="G47" s="201"/>
      <c r="H47" s="201"/>
      <c r="I47" s="201"/>
      <c r="J47" s="201"/>
      <c r="K47" s="201"/>
    </row>
    <row r="48" spans="1:11" s="2" customFormat="1" ht="12.75">
      <c r="A48" s="9">
        <v>1</v>
      </c>
      <c r="B48" s="28" t="str">
        <f>LIDER!G51</f>
        <v>CAMPO PÉREZ NALIETH NICOHL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0</v>
      </c>
      <c r="E48" s="19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NOVOA GOMEZ IANA MARCELA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0</v>
      </c>
      <c r="E49" s="19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OSPINO MARTÍNEZ KAROLAY SOFIA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0</v>
      </c>
      <c r="E50" s="19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PEREZ VERGARA VALERIA</v>
      </c>
      <c r="C51" s="33" t="str">
        <f>IF('S-ASIG-06'!D51="","",'S-ASIG-06'!D51)</f>
        <v/>
      </c>
      <c r="D51" s="30">
        <f>IF(B51=0,"",IF(C51="",$E$48*LIDER!$H$19+F51*LIDER!$H$20+G51*LIDER!$H$21+H51*LIDER!$H$22+I51*LIDER!$H$23+J51*LIDER!$H$24+K51*LIDER!$H$25,"N"))</f>
        <v>0</v>
      </c>
      <c r="E51" s="19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PETRO ROSARIO VALERIE SARED</v>
      </c>
      <c r="C52" s="33" t="str">
        <f>IF('S-ASIG-06'!D52="","",'S-ASIG-06'!D52)</f>
        <v/>
      </c>
      <c r="D52" s="30">
        <f>IF(B52=0,"",IF(C52="",$E$48*LIDER!$H$19+F52*LIDER!$H$20+G52*LIDER!$H$21+H52*LIDER!$H$22+I52*LIDER!$H$23+J52*LIDER!$H$24+K52*LIDER!$H$25,"N"))</f>
        <v>0</v>
      </c>
      <c r="E52" s="19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 t="str">
        <f>LIDER!G56</f>
        <v>RAMOS ORTEGA LAURA INÉS</v>
      </c>
      <c r="C53" s="33" t="str">
        <f>IF('S-ASIG-06'!D53="","",'S-ASIG-06'!D53)</f>
        <v/>
      </c>
      <c r="D53" s="30">
        <f>IF(B53=0,"",IF(C53="",$E$48*LIDER!$H$19+F53*LIDER!$H$20+G53*LIDER!$H$21+H53*LIDER!$H$22+I53*LIDER!$H$23+J53*LIDER!$H$24+K53*LIDER!$H$25,"N"))</f>
        <v>0</v>
      </c>
      <c r="E53" s="19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122</v>
      </c>
      <c r="C54" s="32" t="str">
        <f>IF('S-ASIG-06'!D54="","",'S-ASIG-06'!D54)</f>
        <v>LIST</v>
      </c>
      <c r="D54" s="35" t="s">
        <v>109</v>
      </c>
      <c r="E54" s="201" t="str">
        <f>LIDER!$E$36</f>
        <v>GRUPO#8: Aspectos legales, tributarios, administrativos, macroeconómicos, aduaneros y tecnológicos que definen el perfil de Terpel S.A. en los negocios internacionales</v>
      </c>
      <c r="F54" s="201"/>
      <c r="G54" s="201"/>
      <c r="H54" s="201"/>
      <c r="I54" s="201"/>
      <c r="J54" s="201"/>
      <c r="K54" s="201"/>
    </row>
    <row r="55" spans="1:11" s="2" customFormat="1" ht="12.75">
      <c r="A55" s="9">
        <v>1</v>
      </c>
      <c r="B55" s="28" t="str">
        <f>LIDER!H51</f>
        <v>BARRIOS RAMIREZ JUAN JOSE</v>
      </c>
      <c r="C55" s="33" t="str">
        <f>IF('S-ASIG-06'!D55="","",'S-ASIG-06'!D55)</f>
        <v/>
      </c>
      <c r="D55" s="30">
        <f>IF(B55=0,"",IF(C55="",$E$55*LIDER!$H$19+F55*LIDER!$H$20+G55*LIDER!$H$21+H55*LIDER!$H$22+I55*LIDER!$H$23+J55*LIDER!$H$24+K55*LIDER!$H$25,"N"))</f>
        <v>0</v>
      </c>
      <c r="E55" s="19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HERRERA PRADA JAIDER DAVID</v>
      </c>
      <c r="C56" s="33" t="str">
        <f>IF('S-ASIG-06'!D56="","",'S-ASIG-06'!D56)</f>
        <v/>
      </c>
      <c r="D56" s="30">
        <f>IF(B56=0,"",IF(C56="",$E$55*LIDER!$H$19+F56*LIDER!$H$20+G56*LIDER!$H$21+H56*LIDER!$H$22+I56*LIDER!$H$23+J56*LIDER!$H$24+K56*LIDER!$H$25,"N"))</f>
        <v>0</v>
      </c>
      <c r="E56" s="19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GARCIA SUAREZ ANDREA CAROLINA</v>
      </c>
      <c r="C57" s="33" t="str">
        <f>IF('S-ASIG-06'!D57="","",'S-ASIG-06'!D57)</f>
        <v/>
      </c>
      <c r="D57" s="30">
        <f>IF(B57=0,"",IF(C57="",$E$55*LIDER!$H$19+F57*LIDER!$H$20+G57*LIDER!$H$21+H57*LIDER!$H$22+I57*LIDER!$H$23+J57*LIDER!$H$24+K57*LIDER!$H$25,"N"))</f>
        <v>0</v>
      </c>
      <c r="E57" s="19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PEREZ GELIS LUISA FERNANDA</v>
      </c>
      <c r="C58" s="33" t="str">
        <f>IF('S-ASIG-06'!D58="","",'S-ASIG-06'!D58)</f>
        <v/>
      </c>
      <c r="D58" s="30">
        <f>IF(B58=0,"",IF(C58="",$E$55*LIDER!$H$19+F58*LIDER!$H$20+G58*LIDER!$H$21+H58*LIDER!$H$22+I58*LIDER!$H$23+J58*LIDER!$H$24+K58*LIDER!$H$25,"N"))</f>
        <v>0</v>
      </c>
      <c r="E58" s="19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LOPEZ PAYARES OSMAN JUNIOR</v>
      </c>
      <c r="C59" s="33" t="str">
        <f>IF('S-ASIG-06'!D59="","",'S-ASIG-06'!D59)</f>
        <v/>
      </c>
      <c r="D59" s="30">
        <f>IF(B59=0,"",IF(C59="",$E$55*LIDER!$H$19+F59*LIDER!$H$20+G59*LIDER!$H$21+H59*LIDER!$H$22+I59*LIDER!$H$23+J59*LIDER!$H$24+K59*LIDER!$H$25,"N"))</f>
        <v>0</v>
      </c>
      <c r="E59" s="19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124</v>
      </c>
      <c r="C61" s="32" t="str">
        <f>IF('S-ASIG-06'!D61="","",'S-ASIG-06'!D61)</f>
        <v>LIST</v>
      </c>
      <c r="D61" s="35" t="s">
        <v>109</v>
      </c>
      <c r="E61" s="201" t="str">
        <f>LIDER!$E$37</f>
        <v>GRUPO#9: Aspectos, legales, tributarios, administrativos, macroeconómicos, aduaneros e internacionales que definen el
perfil de Samsung  en los negocios internacionales.</v>
      </c>
      <c r="F61" s="201"/>
      <c r="G61" s="201"/>
      <c r="H61" s="201"/>
      <c r="I61" s="201"/>
      <c r="J61" s="201"/>
      <c r="K61" s="201"/>
    </row>
    <row r="62" spans="1:11" s="2" customFormat="1" ht="12.75">
      <c r="A62" s="9">
        <v>1</v>
      </c>
      <c r="B62" s="28" t="str">
        <f>LIDER!E59</f>
        <v>CORDOBA RODRIGUEZ ADRIANO</v>
      </c>
      <c r="C62" s="33" t="str">
        <f>IF('S-ASIG-06'!D62="","",'S-ASIG-06'!D62)</f>
        <v/>
      </c>
      <c r="D62" s="30">
        <f>IF(B62=0,"",IF(C62="",$E$62*LIDER!$H$19+F62*LIDER!$H$20+G62*LIDER!$H$21+H62*LIDER!$H$22+I62*LIDER!$H$23+J62*LIDER!$H$24+K62*LIDER!$H$25,"N"))</f>
        <v>0</v>
      </c>
      <c r="E62" s="19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ZUÑIGA IGLESIAS EMMANUEL DAVID</v>
      </c>
      <c r="C63" s="33" t="str">
        <f>IF('S-ASIG-06'!D63="","",'S-ASIG-06'!D63)</f>
        <v/>
      </c>
      <c r="D63" s="30">
        <f>IF(B63=0,"",IF(C63="",$E$62*LIDER!$H$19+F63*LIDER!$H$20+G63*LIDER!$H$21+H63*LIDER!$H$22+I63*LIDER!$H$23+J63*LIDER!$H$24+K63*LIDER!$H$25,"N"))</f>
        <v>0</v>
      </c>
      <c r="E63" s="19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ORTÍZ ZUÑIGA WILYS JUNIOR</v>
      </c>
      <c r="C64" s="33" t="str">
        <f>IF('S-ASIG-06'!D64="","",'S-ASIG-06'!D64)</f>
        <v/>
      </c>
      <c r="D64" s="30">
        <f>IF(B64=0,"",IF(C64="",$E$62*LIDER!$H$19+F64*LIDER!$H$20+G64*LIDER!$H$21+H64*LIDER!$H$22+I64*LIDER!$H$23+J64*LIDER!$H$24+K64*LIDER!$H$25,"N"))</f>
        <v>0</v>
      </c>
      <c r="E64" s="19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DE ORO MOLINA RONNY AMEL</v>
      </c>
      <c r="C65" s="33" t="str">
        <f>IF('S-ASIG-06'!D65="","",'S-ASIG-06'!D65)</f>
        <v/>
      </c>
      <c r="D65" s="30">
        <f>IF(B65=0,"",IF(C65="",$E$62*LIDER!$H$19+F65*LIDER!$H$20+G65*LIDER!$H$21+H65*LIDER!$H$22+I65*LIDER!$H$23+J65*LIDER!$H$24+K65*LIDER!$H$25,"N"))</f>
        <v>0</v>
      </c>
      <c r="E65" s="19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IF('S-ASIG-06'!D68="","",'S-ASIG-06'!D68)</f>
        <v>LIST</v>
      </c>
      <c r="D68" s="35" t="s">
        <v>109</v>
      </c>
      <c r="E68" s="201" t="str">
        <f>LIDER!$E$38</f>
        <v>GRUPO#10</v>
      </c>
      <c r="F68" s="201"/>
      <c r="G68" s="201"/>
      <c r="H68" s="201"/>
      <c r="I68" s="201"/>
      <c r="J68" s="201"/>
      <c r="K68" s="201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IF('S-ASIG-06'!D75="","",'S-ASIG-06'!D75)</f>
        <v>LIST</v>
      </c>
      <c r="D75" s="35" t="s">
        <v>109</v>
      </c>
      <c r="E75" s="201" t="str">
        <f>LIDER!$E$39</f>
        <v>GRUPO#11</v>
      </c>
      <c r="F75" s="201"/>
      <c r="G75" s="201"/>
      <c r="H75" s="201"/>
      <c r="I75" s="201"/>
      <c r="J75" s="201"/>
      <c r="K75" s="201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IF('S-ASIG-06'!D82="","",'S-ASIG-06'!D82)</f>
        <v>LIST</v>
      </c>
      <c r="D82" s="35" t="s">
        <v>109</v>
      </c>
      <c r="E82" s="201" t="str">
        <f>LIDER!$E$40</f>
        <v>GRUPO#12</v>
      </c>
      <c r="F82" s="201"/>
      <c r="G82" s="201"/>
      <c r="H82" s="201"/>
      <c r="I82" s="201"/>
      <c r="J82" s="201"/>
      <c r="K82" s="201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200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>
        <f>LIDER!I4</f>
        <v>0</v>
      </c>
      <c r="C2" s="3"/>
      <c r="E2" s="216" t="s">
        <v>104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105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21" t="str">
        <f>CONCATENATE(LIDER!I4," - ",LIDER!I6," - ",LIDER!I5)</f>
        <v xml:space="preserve"> -  - </v>
      </c>
      <c r="F4" s="222"/>
      <c r="G4" s="222"/>
      <c r="H4" s="222"/>
      <c r="I4" s="222"/>
      <c r="J4" s="222"/>
      <c r="K4" s="223"/>
    </row>
    <row r="5" spans="1:11" s="2" customFormat="1" ht="15.75" customHeight="1" thickBot="1">
      <c r="A5" s="8"/>
      <c r="B5" s="27" t="s">
        <v>106</v>
      </c>
      <c r="C5" s="34" t="str">
        <f>IF('S-ASIG-07'!D5="","",'S-ASIG-07'!D5)</f>
        <v>LIST</v>
      </c>
      <c r="D5" s="35" t="s">
        <v>109</v>
      </c>
      <c r="E5" s="201" t="str">
        <f>LIDER!$E$29</f>
        <v xml:space="preserve">GRUPO#1: Aspectos Legales, Tributarios, Administrativos, Macroeconómicos, Aduaneros, Tecnológicos
e Internacionales que Definen el perfil de la empresa Apple Colombia S.A.S. </v>
      </c>
      <c r="F5" s="201"/>
      <c r="G5" s="201"/>
      <c r="H5" s="201"/>
      <c r="I5" s="201"/>
      <c r="J5" s="201"/>
      <c r="K5" s="201"/>
    </row>
    <row r="6" spans="1:11" s="2" customFormat="1" ht="12.75">
      <c r="A6" s="9">
        <v>1</v>
      </c>
      <c r="B6" s="28" t="str">
        <f>LIDER!E43</f>
        <v>BERRIO LOPEZ VALENTINA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BOHÓRQUEZ CANTERO SANTIAGO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CAMPOS ABREU NICOLE ANTHONELLA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RUIZ CHICO LAURA SOFIA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9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110</v>
      </c>
      <c r="C12" s="32" t="str">
        <f>IF('S-ASIG-07'!D12="","",'S-ASIG-07'!D12)</f>
        <v>LIST</v>
      </c>
      <c r="D12" s="35" t="s">
        <v>109</v>
      </c>
      <c r="E12" s="201" t="str">
        <f>LIDER!$E$30</f>
        <v xml:space="preserve">GRUPO#2: Caracterización de los aspectos legales, tributarios, administrativos, macroeconómicos, 
tecnológicos e internacionales que definen el perfil empresarial de Ecopetrol S.A. en los 
negocios internacionales </v>
      </c>
      <c r="F12" s="201"/>
      <c r="G12" s="201"/>
      <c r="H12" s="201"/>
      <c r="I12" s="201"/>
      <c r="J12" s="201"/>
      <c r="K12" s="201"/>
    </row>
    <row r="13" spans="1:11" s="2" customFormat="1" ht="12.75">
      <c r="A13" s="9">
        <v>1</v>
      </c>
      <c r="B13" s="28" t="str">
        <f>LIDER!F43</f>
        <v>BUENDIA CAÑATE DONICEL DE JESUS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MARRUGO CORREA MATEO DE JESUS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ZEA NAVARRO JUAN ESTEBAN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PALMERA MARTINEZ FRANCISCO JAVIER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CONTRERAS MARTÍNEZ MARLON MANUEL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9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112</v>
      </c>
      <c r="C19" s="32" t="str">
        <f>IF('S-ASIG-07'!D19="","",'S-ASIG-07'!D19)</f>
        <v>LIST</v>
      </c>
      <c r="D19" s="35" t="s">
        <v>109</v>
      </c>
      <c r="E19" s="201" t="str">
        <f>LIDER!$E$31</f>
        <v xml:space="preserve">GRUPO#3: Análisis integral de los aspectos legales, tributarios, administrativos, 
macroeconómicos, tecnológicos e internacionales que configuran el perfil empresarial de 
Nestlé Colombia S.A. en los negocios internacionales. </v>
      </c>
      <c r="F19" s="201"/>
      <c r="G19" s="201"/>
      <c r="H19" s="201"/>
      <c r="I19" s="201"/>
      <c r="J19" s="201"/>
      <c r="K19" s="201"/>
    </row>
    <row r="20" spans="1:11" s="2" customFormat="1" ht="12.75">
      <c r="A20" s="9">
        <v>1</v>
      </c>
      <c r="B20" s="28" t="str">
        <f>LIDER!G43</f>
        <v>FONTALVO RODRIGUEZ ISABELLA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LARA MAURY MARÍA ANGÉLICA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PEREZ ALVAREZ DILAN ANDRES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IF('S-ASIG-07'!D23="","",'S-ASIG-07'!D23)</f>
        <v/>
      </c>
      <c r="D23" s="30" t="str">
        <f>IF(B23=0,"",IF(C23="",$E$20*LIDER!$H$19+F23*LIDER!$H$20+G23*LIDER!$H$21+H23*LIDER!$H$22+I23*LIDER!$H$23+J23*LIDER!$H$24+K23*LIDER!$H$25,"N"))</f>
        <v/>
      </c>
      <c r="E23" s="19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9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114</v>
      </c>
      <c r="C26" s="32" t="str">
        <f>IF('S-ASIG-07'!D26="","",'S-ASIG-07'!D26)</f>
        <v>LIST</v>
      </c>
      <c r="D26" s="35" t="s">
        <v>109</v>
      </c>
      <c r="E26" s="201" t="str">
        <f>LIDER!$E$32</f>
        <v>GRUPO#4: Análisis de los aspectos legales, tributarios, administrativos, macroeconómicos,
tecnológicos e internacionales de la empresa Arturo Calle S.A.S. en los negocios
internacionales</v>
      </c>
      <c r="F26" s="201"/>
      <c r="G26" s="201"/>
      <c r="H26" s="201"/>
      <c r="I26" s="201"/>
      <c r="J26" s="201"/>
      <c r="K26" s="201"/>
    </row>
    <row r="27" spans="1:11" s="2" customFormat="1" ht="12.75">
      <c r="A27" s="9">
        <v>1</v>
      </c>
      <c r="B27" s="28" t="str">
        <f>LIDER!H43</f>
        <v>BURGOS CAUSIL SHADIA TATIANA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CASTRO SAYAS KEVIN ENRIQUE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CERVERA BLANCO ALAN DAVID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GONZALEZ PATERNINA YULIETH ISABEL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9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GONZALEZ SOTO NICOLE ANDREA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9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116</v>
      </c>
      <c r="C33" s="32" t="str">
        <f>IF('S-ASIG-07'!D33="","",'S-ASIG-07'!D33)</f>
        <v>LIST</v>
      </c>
      <c r="D33" s="35" t="s">
        <v>109</v>
      </c>
      <c r="E33" s="201" t="str">
        <f>LIDER!$E$33</f>
        <v xml:space="preserve">GRUPO#5: Aspectos legales, tributarios, administrativos, macroeconómicos, aduaneros, tecnológicos e 
internacionales que definen el perfil de Cementos Argos en los negocios internacionales </v>
      </c>
      <c r="F33" s="201"/>
      <c r="G33" s="201"/>
      <c r="H33" s="201"/>
      <c r="I33" s="201"/>
      <c r="J33" s="201"/>
      <c r="K33" s="201"/>
    </row>
    <row r="34" spans="1:11" s="2" customFormat="1" ht="12.75">
      <c r="A34" s="9">
        <v>1</v>
      </c>
      <c r="B34" s="28" t="str">
        <f>LIDER!E51</f>
        <v>CANTILLO ZABALETA JULIANA ISABEL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9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DAVILA GONZALEZ ALANA ARAI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9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OBANDO MARSIGLIA JESED ALEJANDRO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9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GARCÍA REYES VALERY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9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9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118</v>
      </c>
      <c r="C40" s="32" t="str">
        <f>IF('S-ASIG-07'!D40="","",'S-ASIG-07'!D40)</f>
        <v>LIST</v>
      </c>
      <c r="D40" s="35" t="s">
        <v>109</v>
      </c>
      <c r="E40" s="201" t="str">
        <f>LIDER!$E$34</f>
        <v>GRUPO#6: Análisis de los aspectos legales, tributarios, administrativos, macroeconómicos, aduaneros, tecnológicos e
internacionales que definen el perfil de Alpina S.A.S en los negocios internacionales</v>
      </c>
      <c r="F40" s="201"/>
      <c r="G40" s="201"/>
      <c r="H40" s="201"/>
      <c r="I40" s="201"/>
      <c r="J40" s="201"/>
      <c r="K40" s="201"/>
    </row>
    <row r="41" spans="1:11" s="2" customFormat="1" ht="12.75">
      <c r="A41" s="9">
        <v>1</v>
      </c>
      <c r="B41" s="28" t="str">
        <f>LIDER!F51</f>
        <v>ALVARADO MAS Y RUBI LOHANA  VICTORIA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9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MANOTAS ACEVEDO LAURA DANIELA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9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RIVERA MENDOZA EDITH MARIA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9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THERAN MENDOZA JESUS DAVID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9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RODRIGUEZ PEREZ JEAN CARLOS</v>
      </c>
      <c r="C45" s="33" t="str">
        <f>IF('S-ASIG-07'!D45="","",'S-ASIG-07'!D45)</f>
        <v/>
      </c>
      <c r="D45" s="30">
        <f>IF(B45=0,"",IF(C45="",$E$41*LIDER!$H$19+F45*LIDER!$H$20+G45*LIDER!$H$21+H45*LIDER!$H$22+I45*LIDER!$H$23+J45*LIDER!$H$24+K45*LIDER!$H$25,"N"))</f>
        <v>0</v>
      </c>
      <c r="E45" s="19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120</v>
      </c>
      <c r="C47" s="32" t="str">
        <f>IF('S-ASIG-07'!D47="","",'S-ASIG-07'!D47)</f>
        <v>LIST</v>
      </c>
      <c r="D47" s="35" t="s">
        <v>109</v>
      </c>
      <c r="E47" s="201" t="str">
        <f>LIDER!$E$35</f>
        <v xml:space="preserve">GRUPO#7: Aspectos Legales, Tributarios, Administrativos, Macroeconómicos, Aduaneros, 
Tecnológicos, e Internacional que Definen el Perfil de Agofer S.A.S en los Negocios 
Internacionales </v>
      </c>
      <c r="F47" s="201"/>
      <c r="G47" s="201"/>
      <c r="H47" s="201"/>
      <c r="I47" s="201"/>
      <c r="J47" s="201"/>
      <c r="K47" s="201"/>
    </row>
    <row r="48" spans="1:11" s="2" customFormat="1" ht="12.75">
      <c r="A48" s="9">
        <v>1</v>
      </c>
      <c r="B48" s="28" t="str">
        <f>LIDER!G51</f>
        <v>CAMPO PÉREZ NALIETH NICOHL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9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NOVOA GOMEZ IANA MARCELA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0</v>
      </c>
      <c r="E49" s="19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OSPINO MARTÍNEZ KAROLAY SOFIA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0</v>
      </c>
      <c r="E50" s="19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PEREZ VERGARA VALERIA</v>
      </c>
      <c r="C51" s="33" t="str">
        <f>IF('S-ASIG-07'!D51="","",'S-ASIG-07'!D51)</f>
        <v/>
      </c>
      <c r="D51" s="30">
        <f>IF(B51=0,"",IF(C51="",$E$48*LIDER!$H$19+F51*LIDER!$H$20+G51*LIDER!$H$21+H51*LIDER!$H$22+I51*LIDER!$H$23+J51*LIDER!$H$24+K51*LIDER!$H$25,"N"))</f>
        <v>0</v>
      </c>
      <c r="E51" s="19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PETRO ROSARIO VALERIE SARED</v>
      </c>
      <c r="C52" s="33" t="str">
        <f>IF('S-ASIG-07'!D52="","",'S-ASIG-07'!D52)</f>
        <v/>
      </c>
      <c r="D52" s="30">
        <f>IF(B52=0,"",IF(C52="",$E$48*LIDER!$H$19+F52*LIDER!$H$20+G52*LIDER!$H$21+H52*LIDER!$H$22+I52*LIDER!$H$23+J52*LIDER!$H$24+K52*LIDER!$H$25,"N"))</f>
        <v>0</v>
      </c>
      <c r="E52" s="19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 t="str">
        <f>LIDER!G56</f>
        <v>RAMOS ORTEGA LAURA INÉS</v>
      </c>
      <c r="C53" s="33" t="str">
        <f>IF('S-ASIG-07'!D53="","",'S-ASIG-07'!D53)</f>
        <v/>
      </c>
      <c r="D53" s="30">
        <f>IF(B53=0,"",IF(C53="",$E$48*LIDER!$H$19+F53*LIDER!$H$20+G53*LIDER!$H$21+H53*LIDER!$H$22+I53*LIDER!$H$23+J53*LIDER!$H$24+K53*LIDER!$H$25,"N"))</f>
        <v>0</v>
      </c>
      <c r="E53" s="19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122</v>
      </c>
      <c r="C54" s="32" t="str">
        <f>IF('S-ASIG-07'!D54="","",'S-ASIG-07'!D54)</f>
        <v>LIST</v>
      </c>
      <c r="D54" s="35" t="s">
        <v>109</v>
      </c>
      <c r="E54" s="201" t="str">
        <f>LIDER!$E$36</f>
        <v>GRUPO#8: Aspectos legales, tributarios, administrativos, macroeconómicos, aduaneros y tecnológicos que definen el perfil de Terpel S.A. en los negocios internacionales</v>
      </c>
      <c r="F54" s="201"/>
      <c r="G54" s="201"/>
      <c r="H54" s="201"/>
      <c r="I54" s="201"/>
      <c r="J54" s="201"/>
      <c r="K54" s="201"/>
    </row>
    <row r="55" spans="1:11" s="2" customFormat="1" ht="12.75">
      <c r="A55" s="9">
        <v>1</v>
      </c>
      <c r="B55" s="28" t="str">
        <f>LIDER!H51</f>
        <v>BARRIOS RAMIREZ JUAN JOSE</v>
      </c>
      <c r="C55" s="33" t="str">
        <f>IF('S-ASIG-07'!D55="","",'S-ASIG-07'!D55)</f>
        <v/>
      </c>
      <c r="D55" s="30">
        <f>IF(B55=0,"",IF(C55="",$E$55*LIDER!$H$19+F55*LIDER!$H$20+G55*LIDER!$H$21+H55*LIDER!$H$22+I55*LIDER!$H$23+J55*LIDER!$H$24+K55*LIDER!$H$25,"N"))</f>
        <v>0</v>
      </c>
      <c r="E55" s="19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HERRERA PRADA JAIDER DAVID</v>
      </c>
      <c r="C56" s="33" t="str">
        <f>IF('S-ASIG-07'!D56="","",'S-ASIG-07'!D56)</f>
        <v/>
      </c>
      <c r="D56" s="30">
        <f>IF(B56=0,"",IF(C56="",$E$55*LIDER!$H$19+F56*LIDER!$H$20+G56*LIDER!$H$21+H56*LIDER!$H$22+I56*LIDER!$H$23+J56*LIDER!$H$24+K56*LIDER!$H$25,"N"))</f>
        <v>0</v>
      </c>
      <c r="E56" s="19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GARCIA SUAREZ ANDREA CAROLINA</v>
      </c>
      <c r="C57" s="33" t="str">
        <f>IF('S-ASIG-07'!D57="","",'S-ASIG-07'!D57)</f>
        <v/>
      </c>
      <c r="D57" s="30">
        <f>IF(B57=0,"",IF(C57="",$E$55*LIDER!$H$19+F57*LIDER!$H$20+G57*LIDER!$H$21+H57*LIDER!$H$22+I57*LIDER!$H$23+J57*LIDER!$H$24+K57*LIDER!$H$25,"N"))</f>
        <v>0</v>
      </c>
      <c r="E57" s="19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PEREZ GELIS LUISA FERNANDA</v>
      </c>
      <c r="C58" s="33" t="str">
        <f>IF('S-ASIG-07'!D58="","",'S-ASIG-07'!D58)</f>
        <v/>
      </c>
      <c r="D58" s="30">
        <f>IF(B58=0,"",IF(C58="",$E$55*LIDER!$H$19+F58*LIDER!$H$20+G58*LIDER!$H$21+H58*LIDER!$H$22+I58*LIDER!$H$23+J58*LIDER!$H$24+K58*LIDER!$H$25,"N"))</f>
        <v>0</v>
      </c>
      <c r="E58" s="19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LOPEZ PAYARES OSMAN JUNIOR</v>
      </c>
      <c r="C59" s="33" t="str">
        <f>IF('S-ASIG-07'!D59="","",'S-ASIG-07'!D59)</f>
        <v/>
      </c>
      <c r="D59" s="30">
        <f>IF(B59=0,"",IF(C59="",$E$55*LIDER!$H$19+F59*LIDER!$H$20+G59*LIDER!$H$21+H59*LIDER!$H$22+I59*LIDER!$H$23+J59*LIDER!$H$24+K59*LIDER!$H$25,"N"))</f>
        <v>0</v>
      </c>
      <c r="E59" s="19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124</v>
      </c>
      <c r="C61" s="32" t="str">
        <f>IF('S-ASIG-07'!D61="","",'S-ASIG-07'!D61)</f>
        <v>LIST</v>
      </c>
      <c r="D61" s="35" t="s">
        <v>109</v>
      </c>
      <c r="E61" s="201" t="str">
        <f>LIDER!$E$37</f>
        <v>GRUPO#9: Aspectos, legales, tributarios, administrativos, macroeconómicos, aduaneros e internacionales que definen el
perfil de Samsung  en los negocios internacionales.</v>
      </c>
      <c r="F61" s="201"/>
      <c r="G61" s="201"/>
      <c r="H61" s="201"/>
      <c r="I61" s="201"/>
      <c r="J61" s="201"/>
      <c r="K61" s="201"/>
    </row>
    <row r="62" spans="1:11" s="2" customFormat="1" ht="12.75">
      <c r="A62" s="9">
        <v>1</v>
      </c>
      <c r="B62" s="28" t="str">
        <f>LIDER!E59</f>
        <v>CORDOBA RODRIGUEZ ADRIANO</v>
      </c>
      <c r="C62" s="33" t="str">
        <f>IF('S-ASIG-07'!D62="","",'S-ASIG-07'!D62)</f>
        <v/>
      </c>
      <c r="D62" s="30">
        <f>IF(B62=0,"",IF(C62="",$E$62*LIDER!$H$19+F62*LIDER!$H$20+G62*LIDER!$H$21+H62*LIDER!$H$22+I62*LIDER!$H$23+J62*LIDER!$H$24+K62*LIDER!$H$25,"N"))</f>
        <v>0</v>
      </c>
      <c r="E62" s="19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ZUÑIGA IGLESIAS EMMANUEL DAVID</v>
      </c>
      <c r="C63" s="33" t="str">
        <f>IF('S-ASIG-07'!D63="","",'S-ASIG-07'!D63)</f>
        <v/>
      </c>
      <c r="D63" s="30">
        <f>IF(B63=0,"",IF(C63="",$E$62*LIDER!$H$19+F63*LIDER!$H$20+G63*LIDER!$H$21+H63*LIDER!$H$22+I63*LIDER!$H$23+J63*LIDER!$H$24+K63*LIDER!$H$25,"N"))</f>
        <v>0</v>
      </c>
      <c r="E63" s="19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ORTÍZ ZUÑIGA WILYS JUNIOR</v>
      </c>
      <c r="C64" s="33" t="str">
        <f>IF('S-ASIG-07'!D64="","",'S-ASIG-07'!D64)</f>
        <v/>
      </c>
      <c r="D64" s="30">
        <f>IF(B64=0,"",IF(C64="",$E$62*LIDER!$H$19+F64*LIDER!$H$20+G64*LIDER!$H$21+H64*LIDER!$H$22+I64*LIDER!$H$23+J64*LIDER!$H$24+K64*LIDER!$H$25,"N"))</f>
        <v>0</v>
      </c>
      <c r="E64" s="19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DE ORO MOLINA RONNY AMEL</v>
      </c>
      <c r="C65" s="33" t="str">
        <f>IF('S-ASIG-07'!D65="","",'S-ASIG-07'!D65)</f>
        <v/>
      </c>
      <c r="D65" s="30">
        <f>IF(B65=0,"",IF(C65="",$E$62*LIDER!$H$19+F65*LIDER!$H$20+G65*LIDER!$H$21+H65*LIDER!$H$22+I65*LIDER!$H$23+J65*LIDER!$H$24+K65*LIDER!$H$25,"N"))</f>
        <v>0</v>
      </c>
      <c r="E65" s="19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IF('S-ASIG-07'!D68="","",'S-ASIG-07'!D68)</f>
        <v>LIST</v>
      </c>
      <c r="D68" s="35" t="s">
        <v>109</v>
      </c>
      <c r="E68" s="201" t="str">
        <f>LIDER!$E$38</f>
        <v>GRUPO#10</v>
      </c>
      <c r="F68" s="201"/>
      <c r="G68" s="201"/>
      <c r="H68" s="201"/>
      <c r="I68" s="201"/>
      <c r="J68" s="201"/>
      <c r="K68" s="201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IF('S-ASIG-07'!D75="","",'S-ASIG-07'!D75)</f>
        <v>LIST</v>
      </c>
      <c r="D75" s="35" t="s">
        <v>109</v>
      </c>
      <c r="E75" s="201" t="str">
        <f>LIDER!$E$39</f>
        <v>GRUPO#11</v>
      </c>
      <c r="F75" s="201"/>
      <c r="G75" s="201"/>
      <c r="H75" s="201"/>
      <c r="I75" s="201"/>
      <c r="J75" s="201"/>
      <c r="K75" s="201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IF('S-ASIG-07'!D82="","",'S-ASIG-07'!D82)</f>
        <v>LIST</v>
      </c>
      <c r="D82" s="35" t="s">
        <v>109</v>
      </c>
      <c r="E82" s="201" t="str">
        <f>LIDER!$E$40</f>
        <v>GRUPO#12</v>
      </c>
      <c r="F82" s="201"/>
      <c r="G82" s="201"/>
      <c r="H82" s="201"/>
      <c r="I82" s="201"/>
      <c r="J82" s="201"/>
      <c r="K82" s="201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200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M5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SEM-03</v>
      </c>
      <c r="Q1" s="43" t="str">
        <f>LIDER!G2</f>
        <v>SECCIÓN:</v>
      </c>
      <c r="R1" s="44">
        <f>LIDER!H2</f>
        <v>4</v>
      </c>
      <c r="S1" s="42"/>
      <c r="T1" s="42"/>
      <c r="U1" s="45"/>
    </row>
    <row r="2" spans="1:22" ht="20.100000000000001" customHeight="1" thickBot="1">
      <c r="G2" s="142" t="s">
        <v>130</v>
      </c>
      <c r="H2" s="143"/>
      <c r="I2" s="143"/>
      <c r="J2" s="143"/>
      <c r="K2" s="143"/>
      <c r="L2" s="143"/>
      <c r="M2" s="144"/>
      <c r="N2" s="2"/>
      <c r="O2" s="147" t="s">
        <v>131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1530</v>
      </c>
      <c r="H3" s="49" t="str">
        <f>CONCATENATE("N° : ",LIDER!D6)</f>
        <v>N° : 2488</v>
      </c>
      <c r="I3" s="49" t="str">
        <f>CONCATENATE("N° : ",LIDER!E6)</f>
        <v>N° : 2480</v>
      </c>
      <c r="J3" s="49" t="str">
        <f>CONCATENATE("N° : ",LIDER!F6)</f>
        <v>N° : 2386</v>
      </c>
      <c r="K3" s="49" t="str">
        <f>CONCATENATE("N° : ",LIDER!G6)</f>
        <v>N° : 1410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1530</v>
      </c>
      <c r="P3" s="49" t="str">
        <f t="shared" ref="P3:U3" si="0">H3</f>
        <v>N° : 2488</v>
      </c>
      <c r="Q3" s="49" t="str">
        <f t="shared" si="0"/>
        <v>N° : 2480</v>
      </c>
      <c r="R3" s="49" t="str">
        <f t="shared" si="0"/>
        <v>N° : 2386</v>
      </c>
      <c r="S3" s="49" t="str">
        <f t="shared" si="0"/>
        <v>N° : 1410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21</v>
      </c>
      <c r="C4" s="53" t="s">
        <v>132</v>
      </c>
      <c r="D4" s="54" t="s">
        <v>133</v>
      </c>
      <c r="E4" s="55" t="s">
        <v>134</v>
      </c>
      <c r="G4" s="56" t="str">
        <f>MID(LIDER!C4,1,9)</f>
        <v>MACROECON</v>
      </c>
      <c r="H4" s="57" t="str">
        <f>MID(LIDER!D4,1,9)</f>
        <v>LEGISLACI</v>
      </c>
      <c r="I4" s="57" t="str">
        <f>MID(LIDER!E4,1,9)</f>
        <v>INTERNACI</v>
      </c>
      <c r="J4" s="57" t="str">
        <f>MID(LIDER!F4,1,9)</f>
        <v>TECNOLOGI</v>
      </c>
      <c r="K4" s="57" t="str">
        <f>MID(LIDER!G4,1,9)</f>
        <v>MATEMÁTIC</v>
      </c>
      <c r="L4" s="57" t="str">
        <f>MID(LIDER!H4,1,9)</f>
        <v/>
      </c>
      <c r="M4" s="58" t="str">
        <f>MID(LIDER!I4,1,9)</f>
        <v/>
      </c>
      <c r="N4" s="59" t="s">
        <v>135</v>
      </c>
      <c r="O4" s="60" t="str">
        <f t="shared" ref="O4:U4" si="1">G4</f>
        <v>MACROECON</v>
      </c>
      <c r="P4" s="61" t="str">
        <f t="shared" si="1"/>
        <v>LEGISLACI</v>
      </c>
      <c r="Q4" s="61" t="str">
        <f t="shared" si="1"/>
        <v>INTERNACI</v>
      </c>
      <c r="R4" s="61" t="str">
        <f t="shared" si="1"/>
        <v>TECNOLOGI</v>
      </c>
      <c r="S4" s="61" t="str">
        <f t="shared" si="1"/>
        <v>MATEMÁTIC</v>
      </c>
      <c r="T4" s="61" t="str">
        <f t="shared" si="1"/>
        <v/>
      </c>
      <c r="U4" s="62" t="str">
        <f t="shared" si="1"/>
        <v/>
      </c>
      <c r="V4" s="59" t="s">
        <v>136</v>
      </c>
    </row>
    <row r="5" spans="1:22" ht="15" customHeight="1">
      <c r="A5" s="12">
        <v>1</v>
      </c>
      <c r="B5" s="63" t="str">
        <f>LIDER!C23</f>
        <v>DORIA LEON ESTEBAN DAVID</v>
      </c>
      <c r="C5" s="64">
        <f>IF(B5=0,"",IFERROR(VLOOKUP(B5,'S-ASIG-01'!$B$5:$E$88,2,0),0))</f>
        <v>0</v>
      </c>
      <c r="D5" s="65">
        <f t="shared" ref="D5:D36" si="2">IF(B5=0,"",IFERROR(SUMIF(G5:M5,"&gt;0",G5:M5)/COUNTIF(G5:M5,"&gt;0"),0))</f>
        <v>0</v>
      </c>
      <c r="E5" s="66">
        <f t="shared" ref="E5:E36" si="3">IF(B5=0,"",IFERROR(SUMIF(O5:U5,"&gt;0",O5:U5)/COUNTIF(O5:U5,"&gt;0"),0))</f>
        <v>0</v>
      </c>
      <c r="F5" s="47"/>
      <c r="G5" s="67">
        <f>IF(B5=0,"",IFERROR(VLOOKUP(B5,'S-ASIG-01'!$B$5:$E$88,4,0),0))</f>
        <v>0</v>
      </c>
      <c r="H5" s="65">
        <f>IF(B5=0,"",IFERROR(VLOOKUP(B5,'S-ASIG-02'!$B$5:$E$88,4,0),0))</f>
        <v>0</v>
      </c>
      <c r="I5" s="65">
        <f>IF(B5=0,"",IFERROR(VLOOKUP(B5,'S-ASIG-03'!$B$5:$E$88,4,0),0))</f>
        <v>0</v>
      </c>
      <c r="J5" s="65">
        <f>IF(B5=0,"",IFERROR(VLOOKUP(B5,'S-ASIG-04'!$B$5:$E$88,4,0),0))</f>
        <v>0</v>
      </c>
      <c r="K5" s="65">
        <f>IF(B5=0,"",IFERROR(VLOOKUP(B5,'S-ASIG-05'!$B$5:$E$88,4,0),0))</f>
        <v>0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137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138</v>
      </c>
    </row>
    <row r="6" spans="1:22" ht="15" customHeight="1">
      <c r="A6" s="12">
        <v>2</v>
      </c>
      <c r="B6" s="70" t="str">
        <f>LIDER!C33</f>
        <v>MENDOZA MUÑOZ MATEO JAVIER</v>
      </c>
      <c r="C6" s="64">
        <f>IF(B6=0,"",IFERROR(VLOOKUP(B6,'S-ASIG-01'!$B$5:$E$88,2,0),0))</f>
        <v>0</v>
      </c>
      <c r="D6" s="65">
        <f t="shared" si="2"/>
        <v>0</v>
      </c>
      <c r="E6" s="66">
        <f t="shared" si="3"/>
        <v>0</v>
      </c>
      <c r="F6" s="47"/>
      <c r="G6" s="71">
        <f>IF(B6=0,"",IFERROR(VLOOKUP(B6,'S-ASIG-01'!$B$5:$E$88,4,0),0))</f>
        <v>0</v>
      </c>
      <c r="H6" s="72">
        <f>IF(B6=0,"",IFERROR(VLOOKUP(B6,'S-ASIG-02'!$B$5:$E$88,4,0),0))</f>
        <v>0</v>
      </c>
      <c r="I6" s="72">
        <f>IF(B6=0,"",IFERROR(VLOOKUP(B6,'S-ASIG-03'!$B$5:$E$88,4,0),0))</f>
        <v>0</v>
      </c>
      <c r="J6" s="72">
        <f>IF(B6=0,"",IFERROR(VLOOKUP(B6,'S-ASIG-04'!$B$5:$E$88,4,0),0))</f>
        <v>0</v>
      </c>
      <c r="K6" s="72">
        <f>IF(B6=0,"",IFERROR(VLOOKUP(B6,'S-ASIG-05'!$B$5:$E$88,4,0),0))</f>
        <v>0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137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138</v>
      </c>
    </row>
    <row r="7" spans="1:22" ht="15" customHeight="1">
      <c r="A7" s="12">
        <v>3</v>
      </c>
      <c r="B7" s="70" t="str">
        <f>LIDER!C34</f>
        <v>NOGUERA PATIÑO JUAN PABLO</v>
      </c>
      <c r="C7" s="64">
        <f>IF(B7=0,"",IFERROR(VLOOKUP(B7,'S-ASIG-01'!$B$5:$E$88,2,0),0))</f>
        <v>0</v>
      </c>
      <c r="D7" s="65">
        <f t="shared" si="2"/>
        <v>0</v>
      </c>
      <c r="E7" s="66">
        <f t="shared" si="3"/>
        <v>0</v>
      </c>
      <c r="F7" s="47"/>
      <c r="G7" s="71">
        <f>IF(B7=0,"",IFERROR(VLOOKUP(B7,'S-ASIG-01'!$B$5:$E$88,4,0),0))</f>
        <v>0</v>
      </c>
      <c r="H7" s="72">
        <f>IF(B7=0,"",IFERROR(VLOOKUP(B7,'S-ASIG-02'!$B$5:$E$88,4,0),0))</f>
        <v>0</v>
      </c>
      <c r="I7" s="72">
        <f>IF(B7=0,"",IFERROR(VLOOKUP(B7,'S-ASIG-03'!$B$5:$E$88,4,0),0))</f>
        <v>0</v>
      </c>
      <c r="J7" s="72">
        <f>IF(B7=0,"",IFERROR(VLOOKUP(B7,'S-ASIG-04'!$B$5:$E$88,4,0),0))</f>
        <v>0</v>
      </c>
      <c r="K7" s="72">
        <f>IF(B7=0,"",IFERROR(VLOOKUP(B7,'S-ASIG-05'!$B$5:$E$88,4,0),0))</f>
        <v>0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137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138</v>
      </c>
    </row>
    <row r="8" spans="1:22" ht="15" customHeight="1">
      <c r="A8" s="12">
        <v>4</v>
      </c>
      <c r="B8" s="70" t="str">
        <f>LIDER!C50</f>
        <v>ZURIQUE GONZALEZ EDGAR MAURICIO</v>
      </c>
      <c r="C8" s="64">
        <f>IF(B8=0,"",IFERROR(VLOOKUP(B8,'S-ASIG-01'!$B$5:$E$88,2,0),0))</f>
        <v>0</v>
      </c>
      <c r="D8" s="65">
        <f t="shared" si="2"/>
        <v>0</v>
      </c>
      <c r="E8" s="66">
        <f t="shared" si="3"/>
        <v>0</v>
      </c>
      <c r="F8" s="47"/>
      <c r="G8" s="71">
        <f>IF(B8=0,"",IFERROR(VLOOKUP(B8,'S-ASIG-01'!$B$5:$E$88,4,0),0))</f>
        <v>0</v>
      </c>
      <c r="H8" s="72">
        <f>IF(B8=0,"",IFERROR(VLOOKUP(B8,'S-ASIG-02'!$B$5:$E$88,4,0),0))</f>
        <v>0</v>
      </c>
      <c r="I8" s="72">
        <f>IF(B8=0,"",IFERROR(VLOOKUP(B8,'S-ASIG-03'!$B$5:$E$88,4,0),0))</f>
        <v>0</v>
      </c>
      <c r="J8" s="72">
        <f>IF(B8=0,"",IFERROR(VLOOKUP(B8,'S-ASIG-04'!$B$5:$E$88,4,0),0))</f>
        <v>0</v>
      </c>
      <c r="K8" s="72">
        <f>IF(B8=0,"",IFERROR(VLOOKUP(B8,'S-ASIG-05'!$B$5:$E$88,4,0),0))</f>
        <v>0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137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138</v>
      </c>
    </row>
    <row r="9" spans="1:22" ht="15" hidden="1" customHeight="1">
      <c r="A9" s="12">
        <v>5</v>
      </c>
      <c r="B9" s="70">
        <f>LIDER!C54</f>
        <v>0</v>
      </c>
      <c r="C9" s="64" t="str">
        <f>IF(B9=0,"",IFERROR(VLOOKUP(B9,'S-ASIG-01'!$B$5:$E$88,2,0),0))</f>
        <v/>
      </c>
      <c r="D9" s="65" t="str">
        <f t="shared" si="2"/>
        <v/>
      </c>
      <c r="E9" s="66" t="str">
        <f t="shared" si="3"/>
        <v/>
      </c>
      <c r="F9" s="47"/>
      <c r="G9" s="71" t="str">
        <f>IF(B9=0,"",IFERROR(VLOOKUP(B9,'S-ASIG-01'!$B$5:$E$88,4,0),0))</f>
        <v/>
      </c>
      <c r="H9" s="72" t="str">
        <f>IF(B9=0,"",IFERROR(VLOOKUP(B9,'S-ASIG-02'!$B$5:$E$88,4,0),0))</f>
        <v/>
      </c>
      <c r="I9" s="72" t="str">
        <f>IF(B9=0,"",IFERROR(VLOOKUP(B9,'S-ASIG-03'!$B$5:$E$88,4,0),0))</f>
        <v/>
      </c>
      <c r="J9" s="72" t="str">
        <f>IF(B9=0,"",IFERROR(VLOOKUP(B9,'S-ASIG-04'!$B$5:$E$88,4,0),0))</f>
        <v/>
      </c>
      <c r="K9" s="72" t="str">
        <f>IF(B9=0,"",IFERROR(VLOOKUP(B9,'S-ASIG-05'!$B$5:$E$88,4,0),0))</f>
        <v/>
      </c>
      <c r="L9" s="72" t="str">
        <f>IF(B9=0,"",IFERROR(VLOOKUP(B9,'S-ASIG-06'!$B$5:$E$88,4,0),0))</f>
        <v/>
      </c>
      <c r="M9" s="73" t="str">
        <f>IF(B9=0,"",IFERROR(VLOOKUP(B9,'S-ASIG-07'!$B$5:$E$88,4,0),0))</f>
        <v/>
      </c>
      <c r="N9" s="68" t="s">
        <v>137</v>
      </c>
      <c r="O9" s="71" t="str">
        <f>IF(B9=0,"",IFERROR(VLOOKUP(B9,'T-ASIG-01'!$B$5:$D$88,3,0),0))</f>
        <v/>
      </c>
      <c r="P9" s="72" t="str">
        <f>IF(B9=0,"",IFERROR(VLOOKUP(B9,'T-ASIG-02'!$B$5:$D$88,3,0),0))</f>
        <v/>
      </c>
      <c r="Q9" s="72" t="str">
        <f>IF(B9=0,"",IFERROR(VLOOKUP(B9,'T-ASIG-03'!$B$5:$D$88,3,0),0))</f>
        <v/>
      </c>
      <c r="R9" s="72" t="str">
        <f>IF(B9=0,"",IFERROR(VLOOKUP(B9,'T-ASIG-04'!$B$5:$D$88,3,0),0))</f>
        <v/>
      </c>
      <c r="S9" s="72" t="str">
        <f>IF(B9=0,"",IFERROR(VLOOKUP(B9,'T-ASIG-05'!$B$5:$D$88,3,0),0))</f>
        <v/>
      </c>
      <c r="T9" s="72" t="str">
        <f>IF(B9=0,"",IFERROR(VLOOKUP(B9,'T-ASIG-06'!$B$5:$D$88,3,0),0))</f>
        <v/>
      </c>
      <c r="U9" s="73" t="str">
        <f>IF(B9=0,"",IFERROR(VLOOKUP(B9,'T-ASIG-07'!$B$5:$D$88,3,0),0))</f>
        <v/>
      </c>
      <c r="V9" s="69" t="s">
        <v>138</v>
      </c>
    </row>
    <row r="10" spans="1:22" ht="15" hidden="1" customHeight="1">
      <c r="A10" s="12">
        <v>6</v>
      </c>
      <c r="B10" s="70">
        <f>LIDER!C55</f>
        <v>0</v>
      </c>
      <c r="C10" s="64" t="str">
        <f>IF(B10=0,"",IFERROR(VLOOKUP(B10,'S-ASIG-01'!$B$5:$E$88,2,0),0))</f>
        <v/>
      </c>
      <c r="D10" s="65" t="str">
        <f t="shared" si="2"/>
        <v/>
      </c>
      <c r="E10" s="66" t="str">
        <f t="shared" si="3"/>
        <v/>
      </c>
      <c r="F10" s="47"/>
      <c r="G10" s="71" t="str">
        <f>IF(B10=0,"",IFERROR(VLOOKUP(B10,'S-ASIG-01'!$B$5:$E$88,4,0),0))</f>
        <v/>
      </c>
      <c r="H10" s="72" t="str">
        <f>IF(B10=0,"",IFERROR(VLOOKUP(B10,'S-ASIG-02'!$B$5:$E$88,4,0),0))</f>
        <v/>
      </c>
      <c r="I10" s="72" t="str">
        <f>IF(B10=0,"",IFERROR(VLOOKUP(B10,'S-ASIG-03'!$B$5:$E$88,4,0),0))</f>
        <v/>
      </c>
      <c r="J10" s="72" t="str">
        <f>IF(B10=0,"",IFERROR(VLOOKUP(B10,'S-ASIG-04'!$B$5:$E$88,4,0),0))</f>
        <v/>
      </c>
      <c r="K10" s="72" t="str">
        <f>IF(B10=0,"",IFERROR(VLOOKUP(B10,'S-ASIG-05'!$B$5:$E$88,4,0),0))</f>
        <v/>
      </c>
      <c r="L10" s="72" t="str">
        <f>IF(B10=0,"",IFERROR(VLOOKUP(B10,'S-ASIG-06'!$B$5:$E$88,4,0),0))</f>
        <v/>
      </c>
      <c r="M10" s="73" t="str">
        <f>IF(B10=0,"",IFERROR(VLOOKUP(B10,'S-ASIG-07'!$B$5:$E$88,4,0),0))</f>
        <v/>
      </c>
      <c r="N10" s="68" t="s">
        <v>137</v>
      </c>
      <c r="O10" s="71" t="str">
        <f>IF(B10=0,"",IFERROR(VLOOKUP(B10,'T-ASIG-01'!$B$5:$D$88,3,0),0))</f>
        <v/>
      </c>
      <c r="P10" s="72" t="str">
        <f>IF(B10=0,"",IFERROR(VLOOKUP(B10,'T-ASIG-02'!$B$5:$D$88,3,0),0))</f>
        <v/>
      </c>
      <c r="Q10" s="72" t="str">
        <f>IF(B10=0,"",IFERROR(VLOOKUP(B10,'T-ASIG-03'!$B$5:$D$88,3,0),0))</f>
        <v/>
      </c>
      <c r="R10" s="72" t="str">
        <f>IF(B10=0,"",IFERROR(VLOOKUP(B10,'T-ASIG-04'!$B$5:$D$88,3,0),0))</f>
        <v/>
      </c>
      <c r="S10" s="72" t="str">
        <f>IF(B10=0,"",IFERROR(VLOOKUP(B10,'T-ASIG-05'!$B$5:$D$88,3,0),0))</f>
        <v/>
      </c>
      <c r="T10" s="72" t="str">
        <f>IF(B10=0,"",IFERROR(VLOOKUP(B10,'T-ASIG-06'!$B$5:$D$88,3,0),0))</f>
        <v/>
      </c>
      <c r="U10" s="73" t="str">
        <f>IF(B10=0,"",IFERROR(VLOOKUP(B10,'T-ASIG-07'!$B$5:$D$88,3,0),0))</f>
        <v/>
      </c>
      <c r="V10" s="69" t="s">
        <v>138</v>
      </c>
    </row>
    <row r="11" spans="1:22" ht="15" hidden="1" customHeight="1">
      <c r="A11" s="12">
        <v>7</v>
      </c>
      <c r="B11" s="70">
        <f>LIDER!C56</f>
        <v>0</v>
      </c>
      <c r="C11" s="64" t="str">
        <f>IF(B11=0,"",IFERROR(VLOOKUP(B11,'S-ASIG-01'!$B$5:$E$88,2,0),0))</f>
        <v/>
      </c>
      <c r="D11" s="65" t="str">
        <f t="shared" si="2"/>
        <v/>
      </c>
      <c r="E11" s="66" t="str">
        <f t="shared" si="3"/>
        <v/>
      </c>
      <c r="F11" s="47"/>
      <c r="G11" s="71" t="str">
        <f>IF(B11=0,"",IFERROR(VLOOKUP(B11,'S-ASIG-01'!$B$5:$E$88,4,0),0))</f>
        <v/>
      </c>
      <c r="H11" s="72" t="str">
        <f>IF(B11=0,"",IFERROR(VLOOKUP(B11,'S-ASIG-02'!$B$5:$E$88,4,0),0))</f>
        <v/>
      </c>
      <c r="I11" s="72" t="str">
        <f>IF(B11=0,"",IFERROR(VLOOKUP(B11,'S-ASIG-03'!$B$5:$E$88,4,0),0))</f>
        <v/>
      </c>
      <c r="J11" s="72" t="str">
        <f>IF(B11=0,"",IFERROR(VLOOKUP(B11,'S-ASIG-04'!$B$5:$E$88,4,0),0))</f>
        <v/>
      </c>
      <c r="K11" s="72" t="str">
        <f>IF(B11=0,"",IFERROR(VLOOKUP(B11,'S-ASIG-05'!$B$5:$E$88,4,0),0))</f>
        <v/>
      </c>
      <c r="L11" s="72" t="str">
        <f>IF(B11=0,"",IFERROR(VLOOKUP(B11,'S-ASIG-06'!$B$5:$E$88,4,0),0))</f>
        <v/>
      </c>
      <c r="M11" s="73" t="str">
        <f>IF(B11=0,"",IFERROR(VLOOKUP(B11,'S-ASIG-07'!$B$5:$E$88,4,0),0))</f>
        <v/>
      </c>
      <c r="N11" s="68" t="s">
        <v>137</v>
      </c>
      <c r="O11" s="71" t="str">
        <f>IF(B11=0,"",IFERROR(VLOOKUP(B11,'T-ASIG-01'!$B$5:$D$88,3,0),0))</f>
        <v/>
      </c>
      <c r="P11" s="72" t="str">
        <f>IF(B11=0,"",IFERROR(VLOOKUP(B11,'T-ASIG-02'!$B$5:$D$88,3,0),0))</f>
        <v/>
      </c>
      <c r="Q11" s="72" t="str">
        <f>IF(B11=0,"",IFERROR(VLOOKUP(B11,'T-ASIG-03'!$B$5:$D$88,3,0),0))</f>
        <v/>
      </c>
      <c r="R11" s="72" t="str">
        <f>IF(B11=0,"",IFERROR(VLOOKUP(B11,'T-ASIG-04'!$B$5:$D$88,3,0),0))</f>
        <v/>
      </c>
      <c r="S11" s="72" t="str">
        <f>IF(B11=0,"",IFERROR(VLOOKUP(B11,'T-ASIG-05'!$B$5:$D$88,3,0),0))</f>
        <v/>
      </c>
      <c r="T11" s="72" t="str">
        <f>IF(B11=0,"",IFERROR(VLOOKUP(B11,'T-ASIG-06'!$B$5:$D$88,3,0),0))</f>
        <v/>
      </c>
      <c r="U11" s="73" t="str">
        <f>IF(B11=0,"",IFERROR(VLOOKUP(B11,'T-ASIG-07'!$B$5:$D$88,3,0),0))</f>
        <v/>
      </c>
      <c r="V11" s="69" t="s">
        <v>138</v>
      </c>
    </row>
    <row r="12" spans="1:22" ht="15" hidden="1" customHeight="1">
      <c r="A12" s="12">
        <v>8</v>
      </c>
      <c r="B12" s="70">
        <f>LIDER!C57</f>
        <v>0</v>
      </c>
      <c r="C12" s="64" t="str">
        <f>IF(B12=0,"",IFERROR(VLOOKUP(B12,'S-ASIG-01'!$B$5:$E$88,2,0),0))</f>
        <v/>
      </c>
      <c r="D12" s="65" t="str">
        <f t="shared" si="2"/>
        <v/>
      </c>
      <c r="E12" s="66" t="str">
        <f t="shared" si="3"/>
        <v/>
      </c>
      <c r="F12" s="47"/>
      <c r="G12" s="71" t="str">
        <f>IF(B12=0,"",IFERROR(VLOOKUP(B12,'S-ASIG-01'!$B$5:$E$88,4,0),0))</f>
        <v/>
      </c>
      <c r="H12" s="72" t="str">
        <f>IF(B12=0,"",IFERROR(VLOOKUP(B12,'S-ASIG-02'!$B$5:$E$88,4,0),0))</f>
        <v/>
      </c>
      <c r="I12" s="72" t="str">
        <f>IF(B12=0,"",IFERROR(VLOOKUP(B12,'S-ASIG-03'!$B$5:$E$88,4,0),0))</f>
        <v/>
      </c>
      <c r="J12" s="72" t="str">
        <f>IF(B12=0,"",IFERROR(VLOOKUP(B12,'S-ASIG-04'!$B$5:$E$88,4,0),0))</f>
        <v/>
      </c>
      <c r="K12" s="72" t="str">
        <f>IF(B12=0,"",IFERROR(VLOOKUP(B12,'S-ASIG-05'!$B$5:$E$88,4,0),0))</f>
        <v/>
      </c>
      <c r="L12" s="72" t="str">
        <f>IF(B12=0,"",IFERROR(VLOOKUP(B12,'S-ASIG-06'!$B$5:$E$88,4,0),0))</f>
        <v/>
      </c>
      <c r="M12" s="73" t="str">
        <f>IF(B12=0,"",IFERROR(VLOOKUP(B12,'S-ASIG-07'!$B$5:$E$88,4,0),0))</f>
        <v/>
      </c>
      <c r="N12" s="68" t="s">
        <v>137</v>
      </c>
      <c r="O12" s="71" t="str">
        <f>IF(B12=0,"",IFERROR(VLOOKUP(B12,'T-ASIG-01'!$B$5:$D$88,3,0),0))</f>
        <v/>
      </c>
      <c r="P12" s="72" t="str">
        <f>IF(B12=0,"",IFERROR(VLOOKUP(B12,'T-ASIG-02'!$B$5:$D$88,3,0),0))</f>
        <v/>
      </c>
      <c r="Q12" s="72" t="str">
        <f>IF(B12=0,"",IFERROR(VLOOKUP(B12,'T-ASIG-03'!$B$5:$D$88,3,0),0))</f>
        <v/>
      </c>
      <c r="R12" s="72" t="str">
        <f>IF(B12=0,"",IFERROR(VLOOKUP(B12,'T-ASIG-04'!$B$5:$D$88,3,0),0))</f>
        <v/>
      </c>
      <c r="S12" s="72" t="str">
        <f>IF(B12=0,"",IFERROR(VLOOKUP(B12,'T-ASIG-05'!$B$5:$D$88,3,0),0))</f>
        <v/>
      </c>
      <c r="T12" s="72" t="str">
        <f>IF(B12=0,"",IFERROR(VLOOKUP(B12,'T-ASIG-06'!$B$5:$D$88,3,0),0))</f>
        <v/>
      </c>
      <c r="U12" s="73" t="str">
        <f>IF(B12=0,"",IFERROR(VLOOKUP(B12,'T-ASIG-07'!$B$5:$D$88,3,0),0))</f>
        <v/>
      </c>
      <c r="V12" s="69" t="s">
        <v>138</v>
      </c>
    </row>
    <row r="13" spans="1:22" ht="15" hidden="1" customHeight="1">
      <c r="A13" s="12">
        <v>9</v>
      </c>
      <c r="B13" s="70">
        <f>LIDER!C58</f>
        <v>0</v>
      </c>
      <c r="C13" s="64" t="str">
        <f>IF(B13=0,"",IFERROR(VLOOKUP(B13,'S-ASIG-01'!$B$5:$E$88,2,0),0))</f>
        <v/>
      </c>
      <c r="D13" s="65" t="str">
        <f t="shared" si="2"/>
        <v/>
      </c>
      <c r="E13" s="66" t="str">
        <f t="shared" si="3"/>
        <v/>
      </c>
      <c r="F13" s="47"/>
      <c r="G13" s="71" t="str">
        <f>IF(B13=0,"",IFERROR(VLOOKUP(B13,'S-ASIG-01'!$B$5:$E$88,4,0),0))</f>
        <v/>
      </c>
      <c r="H13" s="72" t="str">
        <f>IF(B13=0,"",IFERROR(VLOOKUP(B13,'S-ASIG-02'!$B$5:$E$88,4,0),0))</f>
        <v/>
      </c>
      <c r="I13" s="72" t="str">
        <f>IF(B13=0,"",IFERROR(VLOOKUP(B13,'S-ASIG-03'!$B$5:$E$88,4,0),0))</f>
        <v/>
      </c>
      <c r="J13" s="72" t="str">
        <f>IF(B13=0,"",IFERROR(VLOOKUP(B13,'S-ASIG-04'!$B$5:$E$88,4,0),0))</f>
        <v/>
      </c>
      <c r="K13" s="72" t="str">
        <f>IF(B13=0,"",IFERROR(VLOOKUP(B13,'S-ASIG-05'!$B$5:$E$88,4,0),0))</f>
        <v/>
      </c>
      <c r="L13" s="72" t="str">
        <f>IF(B13=0,"",IFERROR(VLOOKUP(B13,'S-ASIG-06'!$B$5:$E$88,4,0),0))</f>
        <v/>
      </c>
      <c r="M13" s="73" t="str">
        <f>IF(B13=0,"",IFERROR(VLOOKUP(B13,'S-ASIG-07'!$B$5:$E$88,4,0),0))</f>
        <v/>
      </c>
      <c r="N13" s="68" t="s">
        <v>137</v>
      </c>
      <c r="O13" s="71" t="str">
        <f>IF(B13=0,"",IFERROR(VLOOKUP(B13,'T-ASIG-01'!$B$5:$D$88,3,0),0))</f>
        <v/>
      </c>
      <c r="P13" s="72" t="str">
        <f>IF(B13=0,"",IFERROR(VLOOKUP(B13,'T-ASIG-02'!$B$5:$D$88,3,0),0))</f>
        <v/>
      </c>
      <c r="Q13" s="72" t="str">
        <f>IF(B13=0,"",IFERROR(VLOOKUP(B13,'T-ASIG-03'!$B$5:$D$88,3,0),0))</f>
        <v/>
      </c>
      <c r="R13" s="72" t="str">
        <f>IF(B13=0,"",IFERROR(VLOOKUP(B13,'T-ASIG-04'!$B$5:$D$88,3,0),0))</f>
        <v/>
      </c>
      <c r="S13" s="72" t="str">
        <f>IF(B13=0,"",IFERROR(VLOOKUP(B13,'T-ASIG-05'!$B$5:$D$88,3,0),0))</f>
        <v/>
      </c>
      <c r="T13" s="72" t="str">
        <f>IF(B13=0,"",IFERROR(VLOOKUP(B13,'T-ASIG-06'!$B$5:$D$88,3,0),0))</f>
        <v/>
      </c>
      <c r="U13" s="73" t="str">
        <f>IF(B13=0,"",IFERROR(VLOOKUP(B13,'T-ASIG-07'!$B$5:$D$88,3,0),0))</f>
        <v/>
      </c>
      <c r="V13" s="69" t="s">
        <v>138</v>
      </c>
    </row>
    <row r="14" spans="1:22" ht="15" customHeight="1">
      <c r="A14" s="12">
        <v>10</v>
      </c>
      <c r="B14" s="70" t="str">
        <f>LIDER!C10</f>
        <v>BERRIO LOPEZ VALENTINA</v>
      </c>
      <c r="C14" s="64" t="str">
        <f>IF(B14=0,"",IFERROR(VLOOKUP(B14,'S-ASIG-01'!$B$5:$E$88,2,0),0))</f>
        <v>G01</v>
      </c>
      <c r="D14" s="65">
        <f t="shared" si="2"/>
        <v>4.0959999999999992</v>
      </c>
      <c r="E14" s="66">
        <f t="shared" si="3"/>
        <v>4.2625000000000002</v>
      </c>
      <c r="F14" s="47"/>
      <c r="G14" s="71">
        <f>IF(B14=0,"",IFERROR(VLOOKUP(B14,'S-ASIG-01'!$B$5:$E$88,4,0),0))</f>
        <v>4.1899999999999995</v>
      </c>
      <c r="H14" s="72">
        <f>IF(B14=0,"",IFERROR(VLOOKUP(B14,'S-ASIG-02'!$B$5:$E$88,4,0),0))</f>
        <v>4.04</v>
      </c>
      <c r="I14" s="72">
        <f>IF(B14=0,"",IFERROR(VLOOKUP(B14,'S-ASIG-03'!$B$5:$E$88,4,0),0))</f>
        <v>3.9999999999999996</v>
      </c>
      <c r="J14" s="72">
        <f>IF(B14=0,"",IFERROR(VLOOKUP(B14,'S-ASIG-04'!$B$5:$E$88,4,0),0))</f>
        <v>4.0999999999999996</v>
      </c>
      <c r="K14" s="72">
        <f>IF(B14=0,"",IFERROR(VLOOKUP(B14,'S-ASIG-05'!$B$5:$E$88,4,0),0))</f>
        <v>4.1499999999999995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137</v>
      </c>
      <c r="O14" s="71">
        <f>IF(B14=0,"",IFERROR(VLOOKUP(B14,'T-ASIG-01'!$B$5:$D$88,3,0),0))</f>
        <v>4.0999999999999996</v>
      </c>
      <c r="P14" s="72">
        <f>IF(B14=0,"",IFERROR(VLOOKUP(B14,'T-ASIG-02'!$B$5:$D$88,3,0),0))</f>
        <v>4.2</v>
      </c>
      <c r="Q14" s="72">
        <f>IF(B14=0,"",IFERROR(VLOOKUP(B14,'T-ASIG-03'!$B$5:$D$88,3,0),0))</f>
        <v>4.1000000000000005</v>
      </c>
      <c r="R14" s="72">
        <f>IF(B14=0,"",IFERROR(VLOOKUP(B14,'T-ASIG-04'!$B$5:$D$88,3,0),0))</f>
        <v>4.6499999999999995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138</v>
      </c>
    </row>
    <row r="15" spans="1:22" ht="15" customHeight="1">
      <c r="A15" s="12">
        <v>11</v>
      </c>
      <c r="B15" s="70" t="str">
        <f>LIDER!C11</f>
        <v>BOHÓRQUEZ CANTERO SANTIAGO</v>
      </c>
      <c r="C15" s="64" t="str">
        <f>IF(B15=0,"",IFERROR(VLOOKUP(B15,'S-ASIG-01'!$B$5:$E$88,2,0),0))</f>
        <v>G01</v>
      </c>
      <c r="D15" s="65">
        <f t="shared" si="2"/>
        <v>4.0959999999999992</v>
      </c>
      <c r="E15" s="66">
        <f t="shared" si="3"/>
        <v>4.2625000000000002</v>
      </c>
      <c r="F15" s="47"/>
      <c r="G15" s="71">
        <f>IF(B15=0,"",IFERROR(VLOOKUP(B15,'S-ASIG-01'!$B$5:$E$88,4,0),0))</f>
        <v>4.1899999999999995</v>
      </c>
      <c r="H15" s="72">
        <f>IF(B15=0,"",IFERROR(VLOOKUP(B15,'S-ASIG-02'!$B$5:$E$88,4,0),0))</f>
        <v>4.04</v>
      </c>
      <c r="I15" s="72">
        <f>IF(B15=0,"",IFERROR(VLOOKUP(B15,'S-ASIG-03'!$B$5:$E$88,4,0),0))</f>
        <v>3.9999999999999996</v>
      </c>
      <c r="J15" s="72">
        <f>IF(B15=0,"",IFERROR(VLOOKUP(B15,'S-ASIG-04'!$B$5:$E$88,4,0),0))</f>
        <v>4.0999999999999996</v>
      </c>
      <c r="K15" s="72">
        <f>IF(B15=0,"",IFERROR(VLOOKUP(B15,'S-ASIG-05'!$B$5:$E$88,4,0),0))</f>
        <v>4.1499999999999995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137</v>
      </c>
      <c r="O15" s="71">
        <f>IF(B15=0,"",IFERROR(VLOOKUP(B15,'T-ASIG-01'!$B$5:$D$88,3,0),0))</f>
        <v>4.0999999999999996</v>
      </c>
      <c r="P15" s="72">
        <f>IF(B15=0,"",IFERROR(VLOOKUP(B15,'T-ASIG-02'!$B$5:$D$88,3,0),0))</f>
        <v>4.2</v>
      </c>
      <c r="Q15" s="72">
        <f>IF(B15=0,"",IFERROR(VLOOKUP(B15,'T-ASIG-03'!$B$5:$D$88,3,0),0))</f>
        <v>4.1000000000000005</v>
      </c>
      <c r="R15" s="72">
        <f>IF(B15=0,"",IFERROR(VLOOKUP(B15,'T-ASIG-04'!$B$5:$D$88,3,0),0))</f>
        <v>4.6499999999999995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138</v>
      </c>
    </row>
    <row r="16" spans="1:22" ht="15" customHeight="1">
      <c r="A16" s="12">
        <v>12</v>
      </c>
      <c r="B16" s="70" t="str">
        <f>LIDER!C15</f>
        <v>CAMPOS ABREU NICOLE ANTHONELLA</v>
      </c>
      <c r="C16" s="64" t="str">
        <f>IF(B16=0,"",IFERROR(VLOOKUP(B16,'S-ASIG-01'!$B$5:$E$88,2,0),0))</f>
        <v>G01</v>
      </c>
      <c r="D16" s="65">
        <f t="shared" si="2"/>
        <v>4.0959999999999992</v>
      </c>
      <c r="E16" s="66">
        <f t="shared" si="3"/>
        <v>4.2625000000000002</v>
      </c>
      <c r="F16" s="47"/>
      <c r="G16" s="71">
        <f>IF(B16=0,"",IFERROR(VLOOKUP(B16,'S-ASIG-01'!$B$5:$E$88,4,0),0))</f>
        <v>4.1899999999999995</v>
      </c>
      <c r="H16" s="72">
        <f>IF(B16=0,"",IFERROR(VLOOKUP(B16,'S-ASIG-02'!$B$5:$E$88,4,0),0))</f>
        <v>4.04</v>
      </c>
      <c r="I16" s="72">
        <f>IF(B16=0,"",IFERROR(VLOOKUP(B16,'S-ASIG-03'!$B$5:$E$88,4,0),0))</f>
        <v>3.9999999999999996</v>
      </c>
      <c r="J16" s="72">
        <f>IF(B16=0,"",IFERROR(VLOOKUP(B16,'S-ASIG-04'!$B$5:$E$88,4,0),0))</f>
        <v>4.0999999999999996</v>
      </c>
      <c r="K16" s="72">
        <f>IF(B16=0,"",IFERROR(VLOOKUP(B16,'S-ASIG-05'!$B$5:$E$88,4,0),0))</f>
        <v>4.1499999999999995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137</v>
      </c>
      <c r="O16" s="71">
        <f>IF(B16=0,"",IFERROR(VLOOKUP(B16,'T-ASIG-01'!$B$5:$D$88,3,0),0))</f>
        <v>4.0999999999999996</v>
      </c>
      <c r="P16" s="72">
        <f>IF(B16=0,"",IFERROR(VLOOKUP(B16,'T-ASIG-02'!$B$5:$D$88,3,0),0))</f>
        <v>4.2</v>
      </c>
      <c r="Q16" s="72">
        <f>IF(B16=0,"",IFERROR(VLOOKUP(B16,'T-ASIG-03'!$B$5:$D$88,3,0),0))</f>
        <v>4.1000000000000005</v>
      </c>
      <c r="R16" s="72">
        <f>IF(B16=0,"",IFERROR(VLOOKUP(B16,'T-ASIG-04'!$B$5:$D$88,3,0),0))</f>
        <v>4.6499999999999995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138</v>
      </c>
    </row>
    <row r="17" spans="1:22" ht="15" customHeight="1">
      <c r="A17" s="12">
        <v>13</v>
      </c>
      <c r="B17" s="70" t="str">
        <f>LIDER!C46</f>
        <v>RUIZ CHICO LAURA SOFIA</v>
      </c>
      <c r="C17" s="64" t="str">
        <f>IF(B17=0,"",IFERROR(VLOOKUP(B17,'S-ASIG-01'!$B$5:$E$88,2,0),0))</f>
        <v>G01</v>
      </c>
      <c r="D17" s="65">
        <f t="shared" si="2"/>
        <v>4.0959999999999992</v>
      </c>
      <c r="E17" s="66">
        <f t="shared" si="3"/>
        <v>4.2625000000000002</v>
      </c>
      <c r="F17" s="47"/>
      <c r="G17" s="71">
        <f>IF(B17=0,"",IFERROR(VLOOKUP(B17,'S-ASIG-01'!$B$5:$E$88,4,0),0))</f>
        <v>4.1899999999999995</v>
      </c>
      <c r="H17" s="72">
        <f>IF(B17=0,"",IFERROR(VLOOKUP(B17,'S-ASIG-02'!$B$5:$E$88,4,0),0))</f>
        <v>4.04</v>
      </c>
      <c r="I17" s="72">
        <f>IF(B17=0,"",IFERROR(VLOOKUP(B17,'S-ASIG-03'!$B$5:$E$88,4,0),0))</f>
        <v>3.9999999999999996</v>
      </c>
      <c r="J17" s="72">
        <f>IF(B17=0,"",IFERROR(VLOOKUP(B17,'S-ASIG-04'!$B$5:$E$88,4,0),0))</f>
        <v>4.0999999999999996</v>
      </c>
      <c r="K17" s="72">
        <f>IF(B17=0,"",IFERROR(VLOOKUP(B17,'S-ASIG-05'!$B$5:$E$88,4,0),0))</f>
        <v>4.1499999999999995</v>
      </c>
      <c r="L17" s="72">
        <f>IF(B17=0,"",IFERROR(VLOOKUP(B17,'S-ASIG-06'!$B$5:$E$88,4,0),0))</f>
        <v>0</v>
      </c>
      <c r="M17" s="73">
        <f>IF(B17=0,"",IFERROR(VLOOKUP(B17,'S-ASIG-07'!$B$5:$E$88,4,0),0))</f>
        <v>0</v>
      </c>
      <c r="N17" s="68" t="s">
        <v>137</v>
      </c>
      <c r="O17" s="71">
        <f>IF(B17=0,"",IFERROR(VLOOKUP(B17,'T-ASIG-01'!$B$5:$D$88,3,0),0))</f>
        <v>4.0999999999999996</v>
      </c>
      <c r="P17" s="72">
        <f>IF(B17=0,"",IFERROR(VLOOKUP(B17,'T-ASIG-02'!$B$5:$D$88,3,0),0))</f>
        <v>4.2</v>
      </c>
      <c r="Q17" s="72">
        <f>IF(B17=0,"",IFERROR(VLOOKUP(B17,'T-ASIG-03'!$B$5:$D$88,3,0),0))</f>
        <v>4.1000000000000005</v>
      </c>
      <c r="R17" s="72">
        <f>IF(B17=0,"",IFERROR(VLOOKUP(B17,'T-ASIG-04'!$B$5:$D$88,3,0),0))</f>
        <v>4.6499999999999995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138</v>
      </c>
    </row>
    <row r="18" spans="1:22" ht="15" customHeight="1">
      <c r="A18" s="12">
        <v>14</v>
      </c>
      <c r="B18" s="70" t="str">
        <f>LIDER!C12</f>
        <v>BUENDIA CAÑATE DONICEL DE JESUS</v>
      </c>
      <c r="C18" s="64" t="str">
        <f>IF(B18=0,"",IFERROR(VLOOKUP(B18,'S-ASIG-01'!$B$5:$E$88,2,0),0))</f>
        <v>G02</v>
      </c>
      <c r="D18" s="65">
        <f t="shared" si="2"/>
        <v>3.8259999999999996</v>
      </c>
      <c r="E18" s="66">
        <f t="shared" si="3"/>
        <v>4.3499999999999996</v>
      </c>
      <c r="F18" s="47"/>
      <c r="G18" s="71">
        <f>IF(B18=0,"",IFERROR(VLOOKUP(B18,'S-ASIG-01'!$B$5:$E$88,4,0),0))</f>
        <v>3.8899999999999997</v>
      </c>
      <c r="H18" s="72">
        <f>IF(B18=0,"",IFERROR(VLOOKUP(B18,'S-ASIG-02'!$B$5:$E$88,4,0),0))</f>
        <v>3.6500000000000004</v>
      </c>
      <c r="I18" s="72">
        <f>IF(B18=0,"",IFERROR(VLOOKUP(B18,'S-ASIG-03'!$B$5:$E$88,4,0),0))</f>
        <v>3.9</v>
      </c>
      <c r="J18" s="72">
        <f>IF(B18=0,"",IFERROR(VLOOKUP(B18,'S-ASIG-04'!$B$5:$E$88,4,0),0))</f>
        <v>3.85</v>
      </c>
      <c r="K18" s="72">
        <f>IF(B18=0,"",IFERROR(VLOOKUP(B18,'S-ASIG-05'!$B$5:$E$88,4,0),0))</f>
        <v>3.8400000000000003</v>
      </c>
      <c r="L18" s="72">
        <f>IF(B18=0,"",IFERROR(VLOOKUP(B18,'S-ASIG-06'!$B$5:$E$88,4,0),0))</f>
        <v>0</v>
      </c>
      <c r="M18" s="73">
        <f>IF(B18=0,"",IFERROR(VLOOKUP(B18,'S-ASIG-07'!$B$5:$E$88,4,0),0))</f>
        <v>0</v>
      </c>
      <c r="N18" s="68" t="s">
        <v>137</v>
      </c>
      <c r="O18" s="71">
        <f>IF(B18=0,"",IFERROR(VLOOKUP(B18,'T-ASIG-01'!$B$5:$D$88,3,0),0))</f>
        <v>4.4499999999999993</v>
      </c>
      <c r="P18" s="72">
        <f>IF(B18=0,"",IFERROR(VLOOKUP(B18,'T-ASIG-02'!$B$5:$D$88,3,0),0))</f>
        <v>4.4000000000000004</v>
      </c>
      <c r="Q18" s="72">
        <f>IF(B18=0,"",IFERROR(VLOOKUP(B18,'T-ASIG-03'!$B$5:$D$88,3,0),0))</f>
        <v>4.3999999999999995</v>
      </c>
      <c r="R18" s="72">
        <f>IF(B18=0,"",IFERROR(VLOOKUP(B18,'T-ASIG-04'!$B$5:$D$88,3,0),0))</f>
        <v>4.1499999999999995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138</v>
      </c>
    </row>
    <row r="19" spans="1:22" ht="15" customHeight="1">
      <c r="A19" s="12">
        <v>15</v>
      </c>
      <c r="B19" s="70" t="str">
        <f>LIDER!C19</f>
        <v>CONTRERAS MARTÍNEZ MARLON MANUEL</v>
      </c>
      <c r="C19" s="64" t="str">
        <f>IF(B19=0,"",IFERROR(VLOOKUP(B19,'S-ASIG-01'!$B$5:$E$88,2,0),0))</f>
        <v>G02</v>
      </c>
      <c r="D19" s="65">
        <f t="shared" si="2"/>
        <v>3.8259999999999996</v>
      </c>
      <c r="E19" s="66">
        <f t="shared" si="3"/>
        <v>4.3499999999999996</v>
      </c>
      <c r="F19" s="47"/>
      <c r="G19" s="71">
        <f>IF(B19=0,"",IFERROR(VLOOKUP(B19,'S-ASIG-01'!$B$5:$E$88,4,0),0))</f>
        <v>3.8899999999999997</v>
      </c>
      <c r="H19" s="72">
        <f>IF(B19=0,"",IFERROR(VLOOKUP(B19,'S-ASIG-02'!$B$5:$E$88,4,0),0))</f>
        <v>3.6500000000000004</v>
      </c>
      <c r="I19" s="72">
        <f>IF(B19=0,"",IFERROR(VLOOKUP(B19,'S-ASIG-03'!$B$5:$E$88,4,0),0))</f>
        <v>3.9</v>
      </c>
      <c r="J19" s="72">
        <f>IF(B19=0,"",IFERROR(VLOOKUP(B19,'S-ASIG-04'!$B$5:$E$88,4,0),0))</f>
        <v>3.85</v>
      </c>
      <c r="K19" s="72">
        <f>IF(B19=0,"",IFERROR(VLOOKUP(B19,'S-ASIG-05'!$B$5:$E$88,4,0),0))</f>
        <v>3.8400000000000003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137</v>
      </c>
      <c r="O19" s="71">
        <f>IF(B19=0,"",IFERROR(VLOOKUP(B19,'T-ASIG-01'!$B$5:$D$88,3,0),0))</f>
        <v>4.4499999999999993</v>
      </c>
      <c r="P19" s="72">
        <f>IF(B19=0,"",IFERROR(VLOOKUP(B19,'T-ASIG-02'!$B$5:$D$88,3,0),0))</f>
        <v>4.4000000000000004</v>
      </c>
      <c r="Q19" s="72">
        <f>IF(B19=0,"",IFERROR(VLOOKUP(B19,'T-ASIG-03'!$B$5:$D$88,3,0),0))</f>
        <v>4.3999999999999995</v>
      </c>
      <c r="R19" s="72">
        <f>IF(B19=0,"",IFERROR(VLOOKUP(B19,'T-ASIG-04'!$B$5:$D$88,3,0),0))</f>
        <v>4.1499999999999995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138</v>
      </c>
    </row>
    <row r="20" spans="1:22" ht="15" customHeight="1">
      <c r="A20" s="12">
        <v>16</v>
      </c>
      <c r="B20" s="70" t="str">
        <f>LIDER!C32</f>
        <v>MARRUGO CORREA MATEO DE JESUS</v>
      </c>
      <c r="C20" s="64" t="str">
        <f>IF(B20=0,"",IFERROR(VLOOKUP(B20,'S-ASIG-01'!$B$5:$E$88,2,0),0))</f>
        <v>G02</v>
      </c>
      <c r="D20" s="65">
        <f t="shared" si="2"/>
        <v>3.8259999999999996</v>
      </c>
      <c r="E20" s="66">
        <f t="shared" si="3"/>
        <v>4.3499999999999996</v>
      </c>
      <c r="F20" s="47"/>
      <c r="G20" s="71">
        <f>IF(B20=0,"",IFERROR(VLOOKUP(B20,'S-ASIG-01'!$B$5:$E$88,4,0),0))</f>
        <v>3.8899999999999997</v>
      </c>
      <c r="H20" s="72">
        <f>IF(B20=0,"",IFERROR(VLOOKUP(B20,'S-ASIG-02'!$B$5:$E$88,4,0),0))</f>
        <v>3.6500000000000004</v>
      </c>
      <c r="I20" s="72">
        <f>IF(B20=0,"",IFERROR(VLOOKUP(B20,'S-ASIG-03'!$B$5:$E$88,4,0),0))</f>
        <v>3.9</v>
      </c>
      <c r="J20" s="72">
        <f>IF(B20=0,"",IFERROR(VLOOKUP(B20,'S-ASIG-04'!$B$5:$E$88,4,0),0))</f>
        <v>3.85</v>
      </c>
      <c r="K20" s="72">
        <f>IF(B20=0,"",IFERROR(VLOOKUP(B20,'S-ASIG-05'!$B$5:$E$88,4,0),0))</f>
        <v>3.8400000000000003</v>
      </c>
      <c r="L20" s="72">
        <f>IF(B20=0,"",IFERROR(VLOOKUP(B20,'S-ASIG-06'!$B$5:$E$88,4,0),0))</f>
        <v>0</v>
      </c>
      <c r="M20" s="73">
        <f>IF(B20=0,"",IFERROR(VLOOKUP(B20,'S-ASIG-07'!$B$5:$E$88,4,0),0))</f>
        <v>0</v>
      </c>
      <c r="N20" s="68" t="s">
        <v>137</v>
      </c>
      <c r="O20" s="71">
        <f>IF(B20=0,"",IFERROR(VLOOKUP(B20,'T-ASIG-01'!$B$5:$D$88,3,0),0))</f>
        <v>4.4499999999999993</v>
      </c>
      <c r="P20" s="72">
        <f>IF(B20=0,"",IFERROR(VLOOKUP(B20,'T-ASIG-02'!$B$5:$D$88,3,0),0))</f>
        <v>4.4000000000000004</v>
      </c>
      <c r="Q20" s="72">
        <f>IF(B20=0,"",IFERROR(VLOOKUP(B20,'T-ASIG-03'!$B$5:$D$88,3,0),0))</f>
        <v>4.3999999999999995</v>
      </c>
      <c r="R20" s="72">
        <f>IF(B20=0,"",IFERROR(VLOOKUP(B20,'T-ASIG-04'!$B$5:$D$88,3,0),0))</f>
        <v>4.1499999999999995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138</v>
      </c>
    </row>
    <row r="21" spans="1:22" ht="15" customHeight="1">
      <c r="A21" s="12">
        <v>17</v>
      </c>
      <c r="B21" s="70" t="str">
        <f>LIDER!C38</f>
        <v>PALMERA MARTINEZ FRANCISCO JAVIER</v>
      </c>
      <c r="C21" s="64" t="str">
        <f>IF(B21=0,"",IFERROR(VLOOKUP(B21,'S-ASIG-01'!$B$5:$E$88,2,0),0))</f>
        <v>G02</v>
      </c>
      <c r="D21" s="65">
        <f t="shared" si="2"/>
        <v>3.8259999999999996</v>
      </c>
      <c r="E21" s="66">
        <f t="shared" si="3"/>
        <v>4.3499999999999996</v>
      </c>
      <c r="F21" s="47"/>
      <c r="G21" s="71">
        <f>IF(B21=0,"",IFERROR(VLOOKUP(B21,'S-ASIG-01'!$B$5:$E$88,4,0),0))</f>
        <v>3.8899999999999997</v>
      </c>
      <c r="H21" s="72">
        <f>IF(B21=0,"",IFERROR(VLOOKUP(B21,'S-ASIG-02'!$B$5:$E$88,4,0),0))</f>
        <v>3.6500000000000004</v>
      </c>
      <c r="I21" s="72">
        <f>IF(B21=0,"",IFERROR(VLOOKUP(B21,'S-ASIG-03'!$B$5:$E$88,4,0),0))</f>
        <v>3.9</v>
      </c>
      <c r="J21" s="72">
        <f>IF(B21=0,"",IFERROR(VLOOKUP(B21,'S-ASIG-04'!$B$5:$E$88,4,0),0))</f>
        <v>3.85</v>
      </c>
      <c r="K21" s="72">
        <f>IF(B21=0,"",IFERROR(VLOOKUP(B21,'S-ASIG-05'!$B$5:$E$88,4,0),0))</f>
        <v>3.8400000000000003</v>
      </c>
      <c r="L21" s="72">
        <f>IF(B21=0,"",IFERROR(VLOOKUP(B21,'S-ASIG-06'!$B$5:$E$88,4,0),0))</f>
        <v>0</v>
      </c>
      <c r="M21" s="73">
        <f>IF(B21=0,"",IFERROR(VLOOKUP(B21,'S-ASIG-07'!$B$5:$E$88,4,0),0))</f>
        <v>0</v>
      </c>
      <c r="N21" s="68" t="s">
        <v>137</v>
      </c>
      <c r="O21" s="71">
        <f>IF(B21=0,"",IFERROR(VLOOKUP(B21,'T-ASIG-01'!$B$5:$D$88,3,0),0))</f>
        <v>4.4499999999999993</v>
      </c>
      <c r="P21" s="72">
        <f>IF(B21=0,"",IFERROR(VLOOKUP(B21,'T-ASIG-02'!$B$5:$D$88,3,0),0))</f>
        <v>4.4000000000000004</v>
      </c>
      <c r="Q21" s="72">
        <f>IF(B21=0,"",IFERROR(VLOOKUP(B21,'T-ASIG-03'!$B$5:$D$88,3,0),0))</f>
        <v>4.3999999999999995</v>
      </c>
      <c r="R21" s="72">
        <f>IF(B21=0,"",IFERROR(VLOOKUP(B21,'T-ASIG-04'!$B$5:$D$88,3,0),0))</f>
        <v>4.1499999999999995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138</v>
      </c>
    </row>
    <row r="22" spans="1:22" ht="15" customHeight="1">
      <c r="A22" s="12">
        <v>18</v>
      </c>
      <c r="B22" s="70" t="str">
        <f>LIDER!C48</f>
        <v>ZEA NAVARRO JUAN ESTEBAN</v>
      </c>
      <c r="C22" s="64" t="str">
        <f>IF(B22=0,"",IFERROR(VLOOKUP(B22,'S-ASIG-01'!$B$5:$E$88,2,0),0))</f>
        <v>G02</v>
      </c>
      <c r="D22" s="65">
        <f t="shared" si="2"/>
        <v>3.8259999999999996</v>
      </c>
      <c r="E22" s="66">
        <f t="shared" si="3"/>
        <v>4.3499999999999996</v>
      </c>
      <c r="F22" s="47"/>
      <c r="G22" s="71">
        <f>IF(B22=0,"",IFERROR(VLOOKUP(B22,'S-ASIG-01'!$B$5:$E$88,4,0),0))</f>
        <v>3.8899999999999997</v>
      </c>
      <c r="H22" s="72">
        <f>IF(B22=0,"",IFERROR(VLOOKUP(B22,'S-ASIG-02'!$B$5:$E$88,4,0),0))</f>
        <v>3.6500000000000004</v>
      </c>
      <c r="I22" s="72">
        <f>IF(B22=0,"",IFERROR(VLOOKUP(B22,'S-ASIG-03'!$B$5:$E$88,4,0),0))</f>
        <v>3.9</v>
      </c>
      <c r="J22" s="72">
        <f>IF(B22=0,"",IFERROR(VLOOKUP(B22,'S-ASIG-04'!$B$5:$E$88,4,0),0))</f>
        <v>3.85</v>
      </c>
      <c r="K22" s="72">
        <f>IF(B22=0,"",IFERROR(VLOOKUP(B22,'S-ASIG-05'!$B$5:$E$88,4,0),0))</f>
        <v>3.8400000000000003</v>
      </c>
      <c r="L22" s="72">
        <f>IF(B22=0,"",IFERROR(VLOOKUP(B22,'S-ASIG-06'!$B$5:$E$88,4,0),0))</f>
        <v>0</v>
      </c>
      <c r="M22" s="73">
        <f>IF(B22=0,"",IFERROR(VLOOKUP(B22,'S-ASIG-07'!$B$5:$E$88,4,0),0))</f>
        <v>0</v>
      </c>
      <c r="N22" s="68" t="s">
        <v>137</v>
      </c>
      <c r="O22" s="71">
        <f>IF(B22=0,"",IFERROR(VLOOKUP(B22,'T-ASIG-01'!$B$5:$D$88,3,0),0))</f>
        <v>4.4499999999999993</v>
      </c>
      <c r="P22" s="72">
        <f>IF(B22=0,"",IFERROR(VLOOKUP(B22,'T-ASIG-02'!$B$5:$D$88,3,0),0))</f>
        <v>4.4000000000000004</v>
      </c>
      <c r="Q22" s="72">
        <f>IF(B22=0,"",IFERROR(VLOOKUP(B22,'T-ASIG-03'!$B$5:$D$88,3,0),0))</f>
        <v>4.3999999999999995</v>
      </c>
      <c r="R22" s="72">
        <f>IF(B22=0,"",IFERROR(VLOOKUP(B22,'T-ASIG-04'!$B$5:$D$88,3,0),0))</f>
        <v>4.1499999999999995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138</v>
      </c>
    </row>
    <row r="23" spans="1:22" ht="15" customHeight="1">
      <c r="A23" s="12">
        <v>19</v>
      </c>
      <c r="B23" s="70" t="str">
        <f>LIDER!C24</f>
        <v>FONTALVO RODRIGUEZ ISABELLA</v>
      </c>
      <c r="C23" s="64" t="str">
        <f>IF(B23=0,"",IFERROR(VLOOKUP(B23,'S-ASIG-01'!$B$5:$E$88,2,0),0))</f>
        <v>G03</v>
      </c>
      <c r="D23" s="65">
        <f t="shared" si="2"/>
        <v>4.048</v>
      </c>
      <c r="E23" s="66">
        <f t="shared" si="3"/>
        <v>4.4249999999999998</v>
      </c>
      <c r="F23" s="47"/>
      <c r="G23" s="71">
        <f>IF(B23=0,"",IFERROR(VLOOKUP(B23,'S-ASIG-01'!$B$5:$E$88,4,0),0))</f>
        <v>4.0600000000000005</v>
      </c>
      <c r="H23" s="72">
        <f>IF(B23=0,"",IFERROR(VLOOKUP(B23,'S-ASIG-02'!$B$5:$E$88,4,0),0))</f>
        <v>4.2</v>
      </c>
      <c r="I23" s="72">
        <f>IF(B23=0,"",IFERROR(VLOOKUP(B23,'S-ASIG-03'!$B$5:$E$88,4,0),0))</f>
        <v>3.9</v>
      </c>
      <c r="J23" s="72">
        <f>IF(B23=0,"",IFERROR(VLOOKUP(B23,'S-ASIG-04'!$B$5:$E$88,4,0),0))</f>
        <v>4.13</v>
      </c>
      <c r="K23" s="72">
        <f>IF(B23=0,"",IFERROR(VLOOKUP(B23,'S-ASIG-05'!$B$5:$E$88,4,0),0))</f>
        <v>3.9499999999999997</v>
      </c>
      <c r="L23" s="72">
        <f>IF(B23=0,"",IFERROR(VLOOKUP(B23,'S-ASIG-06'!$B$5:$E$88,4,0),0))</f>
        <v>0</v>
      </c>
      <c r="M23" s="73">
        <f>IF(B23=0,"",IFERROR(VLOOKUP(B23,'S-ASIG-07'!$B$5:$E$88,4,0),0))</f>
        <v>0</v>
      </c>
      <c r="N23" s="68" t="s">
        <v>137</v>
      </c>
      <c r="O23" s="71">
        <f>IF(B23=0,"",IFERROR(VLOOKUP(B23,'T-ASIG-01'!$B$5:$D$88,3,0),0))</f>
        <v>4.55</v>
      </c>
      <c r="P23" s="72">
        <f>IF(B23=0,"",IFERROR(VLOOKUP(B23,'T-ASIG-02'!$B$5:$D$88,3,0),0))</f>
        <v>4.3</v>
      </c>
      <c r="Q23" s="72">
        <f>IF(B23=0,"",IFERROR(VLOOKUP(B23,'T-ASIG-03'!$B$5:$D$88,3,0),0))</f>
        <v>4.3</v>
      </c>
      <c r="R23" s="72">
        <f>IF(B23=0,"",IFERROR(VLOOKUP(B23,'T-ASIG-04'!$B$5:$D$88,3,0),0))</f>
        <v>4.55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138</v>
      </c>
    </row>
    <row r="24" spans="1:22" ht="15" customHeight="1">
      <c r="A24" s="12">
        <v>20</v>
      </c>
      <c r="B24" s="70" t="str">
        <f>LIDER!C29</f>
        <v>LARA MAURY MARÍA ANGÉLICA</v>
      </c>
      <c r="C24" s="64" t="str">
        <f>IF(B24=0,"",IFERROR(VLOOKUP(B24,'S-ASIG-01'!$B$5:$E$88,2,0),0))</f>
        <v>G03</v>
      </c>
      <c r="D24" s="65">
        <f t="shared" si="2"/>
        <v>4.048</v>
      </c>
      <c r="E24" s="66">
        <f t="shared" si="3"/>
        <v>4.4249999999999998</v>
      </c>
      <c r="F24" s="47"/>
      <c r="G24" s="71">
        <f>IF(B24=0,"",IFERROR(VLOOKUP(B24,'S-ASIG-01'!$B$5:$E$88,4,0),0))</f>
        <v>4.0600000000000005</v>
      </c>
      <c r="H24" s="72">
        <f>IF(B24=0,"",IFERROR(VLOOKUP(B24,'S-ASIG-02'!$B$5:$E$88,4,0),0))</f>
        <v>4.2</v>
      </c>
      <c r="I24" s="72">
        <f>IF(B24=0,"",IFERROR(VLOOKUP(B24,'S-ASIG-03'!$B$5:$E$88,4,0),0))</f>
        <v>3.9</v>
      </c>
      <c r="J24" s="72">
        <f>IF(B24=0,"",IFERROR(VLOOKUP(B24,'S-ASIG-04'!$B$5:$E$88,4,0),0))</f>
        <v>4.13</v>
      </c>
      <c r="K24" s="72">
        <f>IF(B24=0,"",IFERROR(VLOOKUP(B24,'S-ASIG-05'!$B$5:$E$88,4,0),0))</f>
        <v>3.9499999999999997</v>
      </c>
      <c r="L24" s="72">
        <f>IF(B24=0,"",IFERROR(VLOOKUP(B24,'S-ASIG-06'!$B$5:$E$88,4,0),0))</f>
        <v>0</v>
      </c>
      <c r="M24" s="73">
        <f>IF(B24=0,"",IFERROR(VLOOKUP(B24,'S-ASIG-07'!$B$5:$E$88,4,0),0))</f>
        <v>0</v>
      </c>
      <c r="N24" s="68" t="s">
        <v>137</v>
      </c>
      <c r="O24" s="71">
        <f>IF(B24=0,"",IFERROR(VLOOKUP(B24,'T-ASIG-01'!$B$5:$D$88,3,0),0))</f>
        <v>4.55</v>
      </c>
      <c r="P24" s="72">
        <f>IF(B24=0,"",IFERROR(VLOOKUP(B24,'T-ASIG-02'!$B$5:$D$88,3,0),0))</f>
        <v>4.3</v>
      </c>
      <c r="Q24" s="72">
        <f>IF(B24=0,"",IFERROR(VLOOKUP(B24,'T-ASIG-03'!$B$5:$D$88,3,0),0))</f>
        <v>4.3</v>
      </c>
      <c r="R24" s="72">
        <f>IF(B24=0,"",IFERROR(VLOOKUP(B24,'T-ASIG-04'!$B$5:$D$88,3,0),0))</f>
        <v>4.55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138</v>
      </c>
    </row>
    <row r="25" spans="1:22" ht="15" customHeight="1">
      <c r="A25" s="12">
        <v>21</v>
      </c>
      <c r="B25" s="70" t="str">
        <f>LIDER!C39</f>
        <v>PEREZ ALVAREZ DILAN ANDRES</v>
      </c>
      <c r="C25" s="64" t="str">
        <f>IF(B25=0,"",IFERROR(VLOOKUP(B25,'S-ASIG-01'!$B$5:$E$88,2,0),0))</f>
        <v>G03</v>
      </c>
      <c r="D25" s="65">
        <f t="shared" si="2"/>
        <v>4.048</v>
      </c>
      <c r="E25" s="66">
        <f t="shared" si="3"/>
        <v>4.4249999999999998</v>
      </c>
      <c r="F25" s="47"/>
      <c r="G25" s="71">
        <f>IF(B25=0,"",IFERROR(VLOOKUP(B25,'S-ASIG-01'!$B$5:$E$88,4,0),0))</f>
        <v>4.0600000000000005</v>
      </c>
      <c r="H25" s="72">
        <f>IF(B25=0,"",IFERROR(VLOOKUP(B25,'S-ASIG-02'!$B$5:$E$88,4,0),0))</f>
        <v>4.2</v>
      </c>
      <c r="I25" s="72">
        <f>IF(B25=0,"",IFERROR(VLOOKUP(B25,'S-ASIG-03'!$B$5:$E$88,4,0),0))</f>
        <v>3.9</v>
      </c>
      <c r="J25" s="72">
        <f>IF(B25=0,"",IFERROR(VLOOKUP(B25,'S-ASIG-04'!$B$5:$E$88,4,0),0))</f>
        <v>4.13</v>
      </c>
      <c r="K25" s="72">
        <f>IF(B25=0,"",IFERROR(VLOOKUP(B25,'S-ASIG-05'!$B$5:$E$88,4,0),0))</f>
        <v>3.9499999999999997</v>
      </c>
      <c r="L25" s="72">
        <f>IF(B25=0,"",IFERROR(VLOOKUP(B25,'S-ASIG-06'!$B$5:$E$88,4,0),0))</f>
        <v>0</v>
      </c>
      <c r="M25" s="73">
        <f>IF(B25=0,"",IFERROR(VLOOKUP(B25,'S-ASIG-07'!$B$5:$E$88,4,0),0))</f>
        <v>0</v>
      </c>
      <c r="N25" s="68" t="s">
        <v>137</v>
      </c>
      <c r="O25" s="71">
        <f>IF(B25=0,"",IFERROR(VLOOKUP(B25,'T-ASIG-01'!$B$5:$D$88,3,0),0))</f>
        <v>4.55</v>
      </c>
      <c r="P25" s="72">
        <f>IF(B25=0,"",IFERROR(VLOOKUP(B25,'T-ASIG-02'!$B$5:$D$88,3,0),0))</f>
        <v>4.3</v>
      </c>
      <c r="Q25" s="72">
        <f>IF(B25=0,"",IFERROR(VLOOKUP(B25,'T-ASIG-03'!$B$5:$D$88,3,0),0))</f>
        <v>4.3</v>
      </c>
      <c r="R25" s="72">
        <f>IF(B25=0,"",IFERROR(VLOOKUP(B25,'T-ASIG-04'!$B$5:$D$88,3,0),0))</f>
        <v>4.55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138</v>
      </c>
    </row>
    <row r="26" spans="1:22" ht="15" customHeight="1">
      <c r="A26" s="12">
        <v>22</v>
      </c>
      <c r="B26" s="70" t="str">
        <f>LIDER!C13</f>
        <v>BURGOS CAUSIL SHADIA TATIANA</v>
      </c>
      <c r="C26" s="64" t="str">
        <f>IF(B26=0,"",IFERROR(VLOOKUP(B26,'S-ASIG-01'!$B$5:$E$88,2,0),0))</f>
        <v>G04</v>
      </c>
      <c r="D26" s="65">
        <f t="shared" si="2"/>
        <v>4.0739999999999998</v>
      </c>
      <c r="E26" s="66">
        <f t="shared" si="3"/>
        <v>4.3125</v>
      </c>
      <c r="F26" s="47"/>
      <c r="G26" s="71">
        <f>IF(B26=0,"",IFERROR(VLOOKUP(B26,'S-ASIG-01'!$B$5:$E$88,4,0),0))</f>
        <v>4.1399999999999997</v>
      </c>
      <c r="H26" s="72">
        <f>IF(B26=0,"",IFERROR(VLOOKUP(B26,'S-ASIG-02'!$B$5:$E$88,4,0),0))</f>
        <v>3.9</v>
      </c>
      <c r="I26" s="72">
        <f>IF(B26=0,"",IFERROR(VLOOKUP(B26,'S-ASIG-03'!$B$5:$E$88,4,0),0))</f>
        <v>3.9999999999999996</v>
      </c>
      <c r="J26" s="72">
        <f>IF(B26=0,"",IFERROR(VLOOKUP(B26,'S-ASIG-04'!$B$5:$E$88,4,0),0))</f>
        <v>4.16</v>
      </c>
      <c r="K26" s="72">
        <f>IF(B26=0,"",IFERROR(VLOOKUP(B26,'S-ASIG-05'!$B$5:$E$88,4,0),0))</f>
        <v>4.17</v>
      </c>
      <c r="L26" s="72">
        <f>IF(B26=0,"",IFERROR(VLOOKUP(B26,'S-ASIG-06'!$B$5:$E$88,4,0),0))</f>
        <v>0</v>
      </c>
      <c r="M26" s="73">
        <f>IF(B26=0,"",IFERROR(VLOOKUP(B26,'S-ASIG-07'!$B$5:$E$88,4,0),0))</f>
        <v>0</v>
      </c>
      <c r="N26" s="68" t="s">
        <v>137</v>
      </c>
      <c r="O26" s="71">
        <f>IF(B26=0,"",IFERROR(VLOOKUP(B26,'T-ASIG-01'!$B$5:$D$88,3,0),0))</f>
        <v>4.3500000000000005</v>
      </c>
      <c r="P26" s="72">
        <f>IF(B26=0,"",IFERROR(VLOOKUP(B26,'T-ASIG-02'!$B$5:$D$88,3,0),0))</f>
        <v>4.25</v>
      </c>
      <c r="Q26" s="72">
        <f>IF(B26=0,"",IFERROR(VLOOKUP(B26,'T-ASIG-03'!$B$5:$D$88,3,0),0))</f>
        <v>4.2</v>
      </c>
      <c r="R26" s="72">
        <f>IF(B26=0,"",IFERROR(VLOOKUP(B26,'T-ASIG-04'!$B$5:$D$88,3,0),0))</f>
        <v>4.45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138</v>
      </c>
    </row>
    <row r="27" spans="1:22" ht="15" customHeight="1">
      <c r="A27" s="12">
        <v>23</v>
      </c>
      <c r="B27" s="70" t="str">
        <f>LIDER!C17</f>
        <v>CASTRO SAYAS KEVIN ENRIQUE</v>
      </c>
      <c r="C27" s="64" t="str">
        <f>IF(B27=0,"",IFERROR(VLOOKUP(B27,'S-ASIG-01'!$B$5:$E$88,2,0),0))</f>
        <v>G04</v>
      </c>
      <c r="D27" s="65">
        <f t="shared" si="2"/>
        <v>4.0739999999999998</v>
      </c>
      <c r="E27" s="66">
        <f t="shared" si="3"/>
        <v>4.3125</v>
      </c>
      <c r="F27" s="47"/>
      <c r="G27" s="71">
        <f>IF(B27=0,"",IFERROR(VLOOKUP(B27,'S-ASIG-01'!$B$5:$E$88,4,0),0))</f>
        <v>4.1399999999999997</v>
      </c>
      <c r="H27" s="72">
        <f>IF(B27=0,"",IFERROR(VLOOKUP(B27,'S-ASIG-02'!$B$5:$E$88,4,0),0))</f>
        <v>3.9</v>
      </c>
      <c r="I27" s="72">
        <f>IF(B27=0,"",IFERROR(VLOOKUP(B27,'S-ASIG-03'!$B$5:$E$88,4,0),0))</f>
        <v>3.9999999999999996</v>
      </c>
      <c r="J27" s="72">
        <f>IF(B27=0,"",IFERROR(VLOOKUP(B27,'S-ASIG-04'!$B$5:$E$88,4,0),0))</f>
        <v>4.16</v>
      </c>
      <c r="K27" s="72">
        <f>IF(B27=0,"",IFERROR(VLOOKUP(B27,'S-ASIG-05'!$B$5:$E$88,4,0),0))</f>
        <v>4.17</v>
      </c>
      <c r="L27" s="72">
        <f>IF(B27=0,"",IFERROR(VLOOKUP(B27,'S-ASIG-06'!$B$5:$E$88,4,0),0))</f>
        <v>0</v>
      </c>
      <c r="M27" s="73">
        <f>IF(B27=0,"",IFERROR(VLOOKUP(B27,'S-ASIG-07'!$B$5:$E$88,4,0),0))</f>
        <v>0</v>
      </c>
      <c r="N27" s="68" t="s">
        <v>137</v>
      </c>
      <c r="O27" s="71">
        <f>IF(B27=0,"",IFERROR(VLOOKUP(B27,'T-ASIG-01'!$B$5:$D$88,3,0),0))</f>
        <v>4.3500000000000005</v>
      </c>
      <c r="P27" s="72">
        <f>IF(B27=0,"",IFERROR(VLOOKUP(B27,'T-ASIG-02'!$B$5:$D$88,3,0),0))</f>
        <v>4.25</v>
      </c>
      <c r="Q27" s="72">
        <f>IF(B27=0,"",IFERROR(VLOOKUP(B27,'T-ASIG-03'!$B$5:$D$88,3,0),0))</f>
        <v>4.2</v>
      </c>
      <c r="R27" s="72">
        <f>IF(B27=0,"",IFERROR(VLOOKUP(B27,'T-ASIG-04'!$B$5:$D$88,3,0),0))</f>
        <v>4.45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138</v>
      </c>
    </row>
    <row r="28" spans="1:22" ht="15" customHeight="1">
      <c r="A28" s="12">
        <v>24</v>
      </c>
      <c r="B28" s="70" t="str">
        <f>LIDER!C18</f>
        <v>CERVERA BLANCO ALAN DAVID</v>
      </c>
      <c r="C28" s="64" t="str">
        <f>IF(B28=0,"",IFERROR(VLOOKUP(B28,'S-ASIG-01'!$B$5:$E$88,2,0),0))</f>
        <v>G04</v>
      </c>
      <c r="D28" s="65">
        <f t="shared" si="2"/>
        <v>4.0739999999999998</v>
      </c>
      <c r="E28" s="66">
        <f t="shared" si="3"/>
        <v>4.3125</v>
      </c>
      <c r="F28" s="47"/>
      <c r="G28" s="71">
        <f>IF(B28=0,"",IFERROR(VLOOKUP(B28,'S-ASIG-01'!$B$5:$E$88,4,0),0))</f>
        <v>4.1399999999999997</v>
      </c>
      <c r="H28" s="72">
        <f>IF(B28=0,"",IFERROR(VLOOKUP(B28,'S-ASIG-02'!$B$5:$E$88,4,0),0))</f>
        <v>3.9</v>
      </c>
      <c r="I28" s="72">
        <f>IF(B28=0,"",IFERROR(VLOOKUP(B28,'S-ASIG-03'!$B$5:$E$88,4,0),0))</f>
        <v>3.9999999999999996</v>
      </c>
      <c r="J28" s="72">
        <f>IF(B28=0,"",IFERROR(VLOOKUP(B28,'S-ASIG-04'!$B$5:$E$88,4,0),0))</f>
        <v>4.16</v>
      </c>
      <c r="K28" s="72">
        <f>IF(B28=0,"",IFERROR(VLOOKUP(B28,'S-ASIG-05'!$B$5:$E$88,4,0),0))</f>
        <v>4.17</v>
      </c>
      <c r="L28" s="72">
        <f>IF(B28=0,"",IFERROR(VLOOKUP(B28,'S-ASIG-06'!$B$5:$E$88,4,0),0))</f>
        <v>0</v>
      </c>
      <c r="M28" s="73">
        <f>IF(B28=0,"",IFERROR(VLOOKUP(B28,'S-ASIG-07'!$B$5:$E$88,4,0),0))</f>
        <v>0</v>
      </c>
      <c r="N28" s="68" t="s">
        <v>137</v>
      </c>
      <c r="O28" s="71">
        <f>IF(B28=0,"",IFERROR(VLOOKUP(B28,'T-ASIG-01'!$B$5:$D$88,3,0),0))</f>
        <v>4.3500000000000005</v>
      </c>
      <c r="P28" s="72">
        <f>IF(B28=0,"",IFERROR(VLOOKUP(B28,'T-ASIG-02'!$B$5:$D$88,3,0),0))</f>
        <v>4.25</v>
      </c>
      <c r="Q28" s="72">
        <f>IF(B28=0,"",IFERROR(VLOOKUP(B28,'T-ASIG-03'!$B$5:$D$88,3,0),0))</f>
        <v>4.2</v>
      </c>
      <c r="R28" s="72">
        <f>IF(B28=0,"",IFERROR(VLOOKUP(B28,'T-ASIG-04'!$B$5:$D$88,3,0),0))</f>
        <v>4.45</v>
      </c>
      <c r="S28" s="72">
        <f>IF(B28=0,"",IFERROR(VLOOKUP(B28,'T-ASIG-05'!$B$5:$D$88,3,0),0))</f>
        <v>0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138</v>
      </c>
    </row>
    <row r="29" spans="1:22" ht="15" customHeight="1">
      <c r="A29" s="12">
        <v>25</v>
      </c>
      <c r="B29" s="70" t="str">
        <f>LIDER!C26</f>
        <v>GONZALEZ PATERNINA YULIETH ISABEL</v>
      </c>
      <c r="C29" s="64" t="str">
        <f>IF(B29=0,"",IFERROR(VLOOKUP(B29,'S-ASIG-01'!$B$5:$E$88,2,0),0))</f>
        <v>G04</v>
      </c>
      <c r="D29" s="65">
        <f t="shared" si="2"/>
        <v>4.0739999999999998</v>
      </c>
      <c r="E29" s="66">
        <f t="shared" si="3"/>
        <v>4.3125</v>
      </c>
      <c r="F29" s="47"/>
      <c r="G29" s="71">
        <f>IF(B29=0,"",IFERROR(VLOOKUP(B29,'S-ASIG-01'!$B$5:$E$88,4,0),0))</f>
        <v>4.1399999999999997</v>
      </c>
      <c r="H29" s="72">
        <f>IF(B29=0,"",IFERROR(VLOOKUP(B29,'S-ASIG-02'!$B$5:$E$88,4,0),0))</f>
        <v>3.9</v>
      </c>
      <c r="I29" s="72">
        <f>IF(B29=0,"",IFERROR(VLOOKUP(B29,'S-ASIG-03'!$B$5:$E$88,4,0),0))</f>
        <v>3.9999999999999996</v>
      </c>
      <c r="J29" s="72">
        <f>IF(B29=0,"",IFERROR(VLOOKUP(B29,'S-ASIG-04'!$B$5:$E$88,4,0),0))</f>
        <v>4.16</v>
      </c>
      <c r="K29" s="72">
        <f>IF(B29=0,"",IFERROR(VLOOKUP(B29,'S-ASIG-05'!$B$5:$E$88,4,0),0))</f>
        <v>4.17</v>
      </c>
      <c r="L29" s="72">
        <f>IF(B29=0,"",IFERROR(VLOOKUP(B29,'S-ASIG-06'!$B$5:$E$88,4,0),0))</f>
        <v>0</v>
      </c>
      <c r="M29" s="73">
        <f>IF(B29=0,"",IFERROR(VLOOKUP(B29,'S-ASIG-07'!$B$5:$E$88,4,0),0))</f>
        <v>0</v>
      </c>
      <c r="N29" s="68" t="s">
        <v>137</v>
      </c>
      <c r="O29" s="71">
        <f>IF(B29=0,"",IFERROR(VLOOKUP(B29,'T-ASIG-01'!$B$5:$D$88,3,0),0))</f>
        <v>4.3500000000000005</v>
      </c>
      <c r="P29" s="72">
        <f>IF(B29=0,"",IFERROR(VLOOKUP(B29,'T-ASIG-02'!$B$5:$D$88,3,0),0))</f>
        <v>4.25</v>
      </c>
      <c r="Q29" s="72">
        <f>IF(B29=0,"",IFERROR(VLOOKUP(B29,'T-ASIG-03'!$B$5:$D$88,3,0),0))</f>
        <v>4.2</v>
      </c>
      <c r="R29" s="72">
        <f>IF(B29=0,"",IFERROR(VLOOKUP(B29,'T-ASIG-04'!$B$5:$D$88,3,0),0))</f>
        <v>4.45</v>
      </c>
      <c r="S29" s="72">
        <f>IF(B29=0,"",IFERROR(VLOOKUP(B29,'T-ASIG-05'!$B$5:$D$88,3,0),0))</f>
        <v>0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138</v>
      </c>
    </row>
    <row r="30" spans="1:22" ht="15" customHeight="1">
      <c r="A30" s="12">
        <v>26</v>
      </c>
      <c r="B30" s="70" t="str">
        <f>LIDER!C27</f>
        <v>GONZALEZ SOTO NICOLE ANDREA</v>
      </c>
      <c r="C30" s="64" t="str">
        <f>IF(B30=0,"",IFERROR(VLOOKUP(B30,'S-ASIG-01'!$B$5:$E$88,2,0),0))</f>
        <v>G04</v>
      </c>
      <c r="D30" s="65">
        <f t="shared" si="2"/>
        <v>4.0739999999999998</v>
      </c>
      <c r="E30" s="66">
        <f t="shared" si="3"/>
        <v>4.3125</v>
      </c>
      <c r="F30" s="47"/>
      <c r="G30" s="71">
        <f>IF(B30=0,"",IFERROR(VLOOKUP(B30,'S-ASIG-01'!$B$5:$E$88,4,0),0))</f>
        <v>4.1399999999999997</v>
      </c>
      <c r="H30" s="72">
        <f>IF(B30=0,"",IFERROR(VLOOKUP(B30,'S-ASIG-02'!$B$5:$E$88,4,0),0))</f>
        <v>3.9</v>
      </c>
      <c r="I30" s="72">
        <f>IF(B30=0,"",IFERROR(VLOOKUP(B30,'S-ASIG-03'!$B$5:$E$88,4,0),0))</f>
        <v>3.9999999999999996</v>
      </c>
      <c r="J30" s="72">
        <f>IF(B30=0,"",IFERROR(VLOOKUP(B30,'S-ASIG-04'!$B$5:$E$88,4,0),0))</f>
        <v>4.16</v>
      </c>
      <c r="K30" s="72">
        <f>IF(B30=0,"",IFERROR(VLOOKUP(B30,'S-ASIG-05'!$B$5:$E$88,4,0),0))</f>
        <v>4.17</v>
      </c>
      <c r="L30" s="72">
        <f>IF(B30=0,"",IFERROR(VLOOKUP(B30,'S-ASIG-06'!$B$5:$E$88,4,0),0))</f>
        <v>0</v>
      </c>
      <c r="M30" s="73">
        <f>IF(B30=0,"",IFERROR(VLOOKUP(B30,'S-ASIG-07'!$B$5:$E$88,4,0),0))</f>
        <v>0</v>
      </c>
      <c r="N30" s="68" t="s">
        <v>137</v>
      </c>
      <c r="O30" s="71">
        <f>IF(B30=0,"",IFERROR(VLOOKUP(B30,'T-ASIG-01'!$B$5:$D$88,3,0),0))</f>
        <v>4.3500000000000005</v>
      </c>
      <c r="P30" s="72">
        <f>IF(B30=0,"",IFERROR(VLOOKUP(B30,'T-ASIG-02'!$B$5:$D$88,3,0),0))</f>
        <v>4.25</v>
      </c>
      <c r="Q30" s="72">
        <f>IF(B30=0,"",IFERROR(VLOOKUP(B30,'T-ASIG-03'!$B$5:$D$88,3,0),0))</f>
        <v>4.2</v>
      </c>
      <c r="R30" s="72">
        <f>IF(B30=0,"",IFERROR(VLOOKUP(B30,'T-ASIG-04'!$B$5:$D$88,3,0),0))</f>
        <v>4.45</v>
      </c>
      <c r="S30" s="72">
        <f>IF(B30=0,"",IFERROR(VLOOKUP(B30,'T-ASIG-05'!$B$5:$D$88,3,0),0))</f>
        <v>0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138</v>
      </c>
    </row>
    <row r="31" spans="1:22" ht="15" customHeight="1">
      <c r="A31" s="12">
        <v>27</v>
      </c>
      <c r="B31" s="70" t="str">
        <f>LIDER!C16</f>
        <v>CANTILLO ZABALETA JULIANA ISABEL</v>
      </c>
      <c r="C31" s="64" t="str">
        <f>IF(B31=0,"",IFERROR(VLOOKUP(B31,'S-ASIG-01'!$B$5:$E$88,2,0),0))</f>
        <v>G05</v>
      </c>
      <c r="D31" s="65">
        <f t="shared" si="2"/>
        <v>4.05</v>
      </c>
      <c r="E31" s="66">
        <f t="shared" si="3"/>
        <v>3.7375000000000003</v>
      </c>
      <c r="F31" s="47"/>
      <c r="G31" s="71">
        <f>IF(B31=0,"",IFERROR(VLOOKUP(B31,'S-ASIG-01'!$B$5:$E$88,4,0),0))</f>
        <v>4.09</v>
      </c>
      <c r="H31" s="72">
        <f>IF(B31=0,"",IFERROR(VLOOKUP(B31,'S-ASIG-02'!$B$5:$E$88,4,0),0))</f>
        <v>3.94</v>
      </c>
      <c r="I31" s="72">
        <f>IF(B31=0,"",IFERROR(VLOOKUP(B31,'S-ASIG-03'!$B$5:$E$88,4,0),0))</f>
        <v>3.9999999999999996</v>
      </c>
      <c r="J31" s="72">
        <f>IF(B31=0,"",IFERROR(VLOOKUP(B31,'S-ASIG-04'!$B$5:$E$88,4,0),0))</f>
        <v>4.1500000000000004</v>
      </c>
      <c r="K31" s="72">
        <f>IF(B31=0,"",IFERROR(VLOOKUP(B31,'S-ASIG-05'!$B$5:$E$88,4,0),0))</f>
        <v>4.07</v>
      </c>
      <c r="L31" s="72">
        <f>IF(B31=0,"",IFERROR(VLOOKUP(B31,'S-ASIG-06'!$B$5:$E$88,4,0),0))</f>
        <v>0</v>
      </c>
      <c r="M31" s="73">
        <f>IF(B31=0,"",IFERROR(VLOOKUP(B31,'S-ASIG-07'!$B$5:$E$88,4,0),0))</f>
        <v>0</v>
      </c>
      <c r="N31" s="68" t="s">
        <v>137</v>
      </c>
      <c r="O31" s="71">
        <f>IF(B31=0,"",IFERROR(VLOOKUP(B31,'T-ASIG-01'!$B$5:$D$88,3,0),0))</f>
        <v>4</v>
      </c>
      <c r="P31" s="72">
        <f>IF(B31=0,"",IFERROR(VLOOKUP(B31,'T-ASIG-02'!$B$5:$D$88,3,0),0))</f>
        <v>3.6</v>
      </c>
      <c r="Q31" s="72">
        <f>IF(B31=0,"",IFERROR(VLOOKUP(B31,'T-ASIG-03'!$B$5:$D$88,3,0),0))</f>
        <v>3.7000000000000006</v>
      </c>
      <c r="R31" s="72">
        <f>IF(B31=0,"",IFERROR(VLOOKUP(B31,'T-ASIG-04'!$B$5:$D$88,3,0),0))</f>
        <v>3.6500000000000004</v>
      </c>
      <c r="S31" s="72">
        <f>IF(B31=0,"",IFERROR(VLOOKUP(B31,'T-ASIG-05'!$B$5:$D$88,3,0),0))</f>
        <v>0</v>
      </c>
      <c r="T31" s="72">
        <f>IF(B31=0,"",IFERROR(VLOOKUP(B31,'T-ASIG-06'!$B$5:$D$88,3,0),0))</f>
        <v>0</v>
      </c>
      <c r="U31" s="73">
        <f>IF(B31=0,"",IFERROR(VLOOKUP(B31,'T-ASIG-07'!$B$5:$D$88,3,0),0))</f>
        <v>0</v>
      </c>
      <c r="V31" s="69" t="s">
        <v>138</v>
      </c>
    </row>
    <row r="32" spans="1:22" ht="15" customHeight="1">
      <c r="A32" s="12">
        <v>28</v>
      </c>
      <c r="B32" s="70" t="str">
        <f>LIDER!C21</f>
        <v>DAVILA GONZALEZ ALANA ARAI</v>
      </c>
      <c r="C32" s="64" t="str">
        <f>IF(B32=0,"",IFERROR(VLOOKUP(B32,'S-ASIG-01'!$B$5:$E$88,2,0),0))</f>
        <v>G05</v>
      </c>
      <c r="D32" s="65">
        <f t="shared" si="2"/>
        <v>4.05</v>
      </c>
      <c r="E32" s="66">
        <f t="shared" si="3"/>
        <v>3.7375000000000003</v>
      </c>
      <c r="F32" s="47"/>
      <c r="G32" s="71">
        <f>IF(B32=0,"",IFERROR(VLOOKUP(B32,'S-ASIG-01'!$B$5:$E$88,4,0),0))</f>
        <v>4.09</v>
      </c>
      <c r="H32" s="72">
        <f>IF(B32=0,"",IFERROR(VLOOKUP(B32,'S-ASIG-02'!$B$5:$E$88,4,0),0))</f>
        <v>3.94</v>
      </c>
      <c r="I32" s="72">
        <f>IF(B32=0,"",IFERROR(VLOOKUP(B32,'S-ASIG-03'!$B$5:$E$88,4,0),0))</f>
        <v>3.9999999999999996</v>
      </c>
      <c r="J32" s="72">
        <f>IF(B32=0,"",IFERROR(VLOOKUP(B32,'S-ASIG-04'!$B$5:$E$88,4,0),0))</f>
        <v>4.1500000000000004</v>
      </c>
      <c r="K32" s="72">
        <f>IF(B32=0,"",IFERROR(VLOOKUP(B32,'S-ASIG-05'!$B$5:$E$88,4,0),0))</f>
        <v>4.07</v>
      </c>
      <c r="L32" s="72">
        <f>IF(B32=0,"",IFERROR(VLOOKUP(B32,'S-ASIG-06'!$B$5:$E$88,4,0),0))</f>
        <v>0</v>
      </c>
      <c r="M32" s="73">
        <f>IF(B32=0,"",IFERROR(VLOOKUP(B32,'S-ASIG-07'!$B$5:$E$88,4,0),0))</f>
        <v>0</v>
      </c>
      <c r="N32" s="68" t="s">
        <v>137</v>
      </c>
      <c r="O32" s="71">
        <f>IF(B32=0,"",IFERROR(VLOOKUP(B32,'T-ASIG-01'!$B$5:$D$88,3,0),0))</f>
        <v>4</v>
      </c>
      <c r="P32" s="72">
        <f>IF(B32=0,"",IFERROR(VLOOKUP(B32,'T-ASIG-02'!$B$5:$D$88,3,0),0))</f>
        <v>3.6</v>
      </c>
      <c r="Q32" s="72">
        <f>IF(B32=0,"",IFERROR(VLOOKUP(B32,'T-ASIG-03'!$B$5:$D$88,3,0),0))</f>
        <v>3.7000000000000006</v>
      </c>
      <c r="R32" s="72">
        <f>IF(B32=0,"",IFERROR(VLOOKUP(B32,'T-ASIG-04'!$B$5:$D$88,3,0),0))</f>
        <v>3.6500000000000004</v>
      </c>
      <c r="S32" s="72">
        <f>IF(B32=0,"",IFERROR(VLOOKUP(B32,'T-ASIG-05'!$B$5:$D$88,3,0),0))</f>
        <v>0</v>
      </c>
      <c r="T32" s="72">
        <f>IF(B32=0,"",IFERROR(VLOOKUP(B32,'T-ASIG-06'!$B$5:$D$88,3,0),0))</f>
        <v>0</v>
      </c>
      <c r="U32" s="73">
        <f>IF(B32=0,"",IFERROR(VLOOKUP(B32,'T-ASIG-07'!$B$5:$D$88,3,0),0))</f>
        <v>0</v>
      </c>
      <c r="V32" s="69" t="s">
        <v>138</v>
      </c>
    </row>
    <row r="33" spans="1:22" ht="15" customHeight="1">
      <c r="A33" s="12">
        <v>29</v>
      </c>
      <c r="B33" s="70" t="str">
        <f>LIDER!C36</f>
        <v>OBANDO MARSIGLIA JESED ALEJANDRO</v>
      </c>
      <c r="C33" s="64" t="str">
        <f>IF(B33=0,"",IFERROR(VLOOKUP(B33,'S-ASIG-01'!$B$5:$E$88,2,0),0))</f>
        <v>G05</v>
      </c>
      <c r="D33" s="65">
        <f t="shared" si="2"/>
        <v>4.05</v>
      </c>
      <c r="E33" s="66">
        <f t="shared" si="3"/>
        <v>3.7375000000000003</v>
      </c>
      <c r="F33" s="47"/>
      <c r="G33" s="71">
        <f>IF(B33=0,"",IFERROR(VLOOKUP(B33,'S-ASIG-01'!$B$5:$E$88,4,0),0))</f>
        <v>4.09</v>
      </c>
      <c r="H33" s="72">
        <f>IF(B33=0,"",IFERROR(VLOOKUP(B33,'S-ASIG-02'!$B$5:$E$88,4,0),0))</f>
        <v>3.94</v>
      </c>
      <c r="I33" s="72">
        <f>IF(B33=0,"",IFERROR(VLOOKUP(B33,'S-ASIG-03'!$B$5:$E$88,4,0),0))</f>
        <v>3.9999999999999996</v>
      </c>
      <c r="J33" s="72">
        <f>IF(B33=0,"",IFERROR(VLOOKUP(B33,'S-ASIG-04'!$B$5:$E$88,4,0),0))</f>
        <v>4.1500000000000004</v>
      </c>
      <c r="K33" s="72">
        <f>IF(B33=0,"",IFERROR(VLOOKUP(B33,'S-ASIG-05'!$B$5:$E$88,4,0),0))</f>
        <v>4.07</v>
      </c>
      <c r="L33" s="72">
        <f>IF(B33=0,"",IFERROR(VLOOKUP(B33,'S-ASIG-06'!$B$5:$E$88,4,0),0))</f>
        <v>0</v>
      </c>
      <c r="M33" s="73">
        <f>IF(B33=0,"",IFERROR(VLOOKUP(B33,'S-ASIG-07'!$B$5:$E$88,4,0),0))</f>
        <v>0</v>
      </c>
      <c r="N33" s="68" t="s">
        <v>137</v>
      </c>
      <c r="O33" s="71">
        <f>IF(B33=0,"",IFERROR(VLOOKUP(B33,'T-ASIG-01'!$B$5:$D$88,3,0),0))</f>
        <v>4</v>
      </c>
      <c r="P33" s="72">
        <f>IF(B33=0,"",IFERROR(VLOOKUP(B33,'T-ASIG-02'!$B$5:$D$88,3,0),0))</f>
        <v>3.6</v>
      </c>
      <c r="Q33" s="72">
        <f>IF(B33=0,"",IFERROR(VLOOKUP(B33,'T-ASIG-03'!$B$5:$D$88,3,0),0))</f>
        <v>3.7000000000000006</v>
      </c>
      <c r="R33" s="72">
        <f>IF(B33=0,"",IFERROR(VLOOKUP(B33,'T-ASIG-04'!$B$5:$D$88,3,0),0))</f>
        <v>3.6500000000000004</v>
      </c>
      <c r="S33" s="72">
        <f>IF(B33=0,"",IFERROR(VLOOKUP(B33,'T-ASIG-05'!$B$5:$D$88,3,0),0))</f>
        <v>0</v>
      </c>
      <c r="T33" s="72">
        <f>IF(B33=0,"",IFERROR(VLOOKUP(B33,'T-ASIG-06'!$B$5:$D$88,3,0),0))</f>
        <v>0</v>
      </c>
      <c r="U33" s="73">
        <f>IF(B33=0,"",IFERROR(VLOOKUP(B33,'T-ASIG-07'!$B$5:$D$88,3,0),0))</f>
        <v>0</v>
      </c>
      <c r="V33" s="69" t="s">
        <v>138</v>
      </c>
    </row>
    <row r="34" spans="1:22" ht="15" customHeight="1">
      <c r="A34" s="12">
        <v>30</v>
      </c>
      <c r="B34" s="70" t="str">
        <f>LIDER!C51</f>
        <v>GARCÍA REYES VALERY</v>
      </c>
      <c r="C34" s="64" t="str">
        <f>IF(B34=0,"",IFERROR(VLOOKUP(B34,'S-ASIG-01'!$B$5:$E$88,2,0),0))</f>
        <v>G05</v>
      </c>
      <c r="D34" s="65">
        <f t="shared" si="2"/>
        <v>4.05</v>
      </c>
      <c r="E34" s="66">
        <f t="shared" si="3"/>
        <v>3.7375000000000003</v>
      </c>
      <c r="F34" s="47"/>
      <c r="G34" s="71">
        <f>IF(B34=0,"",IFERROR(VLOOKUP(B34,'S-ASIG-01'!$B$5:$E$88,4,0),0))</f>
        <v>4.09</v>
      </c>
      <c r="H34" s="72">
        <f>IF(B34=0,"",IFERROR(VLOOKUP(B34,'S-ASIG-02'!$B$5:$E$88,4,0),0))</f>
        <v>3.94</v>
      </c>
      <c r="I34" s="72">
        <f>IF(B34=0,"",IFERROR(VLOOKUP(B34,'S-ASIG-03'!$B$5:$E$88,4,0),0))</f>
        <v>3.9999999999999996</v>
      </c>
      <c r="J34" s="72">
        <f>IF(B34=0,"",IFERROR(VLOOKUP(B34,'S-ASIG-04'!$B$5:$E$88,4,0),0))</f>
        <v>4.1500000000000004</v>
      </c>
      <c r="K34" s="72">
        <f>IF(B34=0,"",IFERROR(VLOOKUP(B34,'S-ASIG-05'!$B$5:$E$88,4,0),0))</f>
        <v>4.07</v>
      </c>
      <c r="L34" s="72">
        <f>IF(B34=0,"",IFERROR(VLOOKUP(B34,'S-ASIG-06'!$B$5:$E$88,4,0),0))</f>
        <v>0</v>
      </c>
      <c r="M34" s="73">
        <f>IF(B34=0,"",IFERROR(VLOOKUP(B34,'S-ASIG-07'!$B$5:$E$88,4,0),0))</f>
        <v>0</v>
      </c>
      <c r="N34" s="68" t="s">
        <v>137</v>
      </c>
      <c r="O34" s="71">
        <f>IF(B34=0,"",IFERROR(VLOOKUP(B34,'T-ASIG-01'!$B$5:$D$88,3,0),0))</f>
        <v>4</v>
      </c>
      <c r="P34" s="72">
        <f>IF(B34=0,"",IFERROR(VLOOKUP(B34,'T-ASIG-02'!$B$5:$D$88,3,0),0))</f>
        <v>3.6</v>
      </c>
      <c r="Q34" s="72">
        <f>IF(B34=0,"",IFERROR(VLOOKUP(B34,'T-ASIG-03'!$B$5:$D$88,3,0),0))</f>
        <v>3.7000000000000006</v>
      </c>
      <c r="R34" s="72">
        <f>IF(B34=0,"",IFERROR(VLOOKUP(B34,'T-ASIG-04'!$B$5:$D$88,3,0),0))</f>
        <v>3.6500000000000004</v>
      </c>
      <c r="S34" s="72">
        <f>IF(B34=0,"",IFERROR(VLOOKUP(B34,'T-ASIG-05'!$B$5:$D$88,3,0),0))</f>
        <v>0</v>
      </c>
      <c r="T34" s="72">
        <f>IF(B34=0,"",IFERROR(VLOOKUP(B34,'T-ASIG-06'!$B$5:$D$88,3,0),0))</f>
        <v>0</v>
      </c>
      <c r="U34" s="73">
        <f>IF(B34=0,"",IFERROR(VLOOKUP(B34,'T-ASIG-07'!$B$5:$D$88,3,0),0))</f>
        <v>0</v>
      </c>
      <c r="V34" s="69" t="s">
        <v>138</v>
      </c>
    </row>
    <row r="35" spans="1:22" ht="15" customHeight="1">
      <c r="A35" s="12">
        <v>31</v>
      </c>
      <c r="B35" s="70" t="str">
        <f>LIDER!C31</f>
        <v>MANOTAS ACEVEDO LAURA DANIELA</v>
      </c>
      <c r="C35" s="64" t="str">
        <f>IF(B35=0,"",IFERROR(VLOOKUP(B35,'S-ASIG-01'!$B$5:$E$88,2,0),0))</f>
        <v>G06</v>
      </c>
      <c r="D35" s="65">
        <f t="shared" si="2"/>
        <v>3.6360000000000001</v>
      </c>
      <c r="E35" s="66">
        <f t="shared" si="3"/>
        <v>3.5000000000000004</v>
      </c>
      <c r="F35" s="47"/>
      <c r="G35" s="71">
        <f>IF(B35=0,"",IFERROR(VLOOKUP(B35,'S-ASIG-01'!$B$5:$E$88,4,0),0))</f>
        <v>3.7600000000000002</v>
      </c>
      <c r="H35" s="72">
        <f>IF(B35=0,"",IFERROR(VLOOKUP(B35,'S-ASIG-02'!$B$5:$E$88,4,0),0))</f>
        <v>3.1999999999999997</v>
      </c>
      <c r="I35" s="72">
        <f>IF(B35=0,"",IFERROR(VLOOKUP(B35,'S-ASIG-03'!$B$5:$E$88,4,0),0))</f>
        <v>3.5000000000000004</v>
      </c>
      <c r="J35" s="72">
        <f>IF(B35=0,"",IFERROR(VLOOKUP(B35,'S-ASIG-04'!$B$5:$E$88,4,0),0))</f>
        <v>3.9999999999999996</v>
      </c>
      <c r="K35" s="72">
        <f>IF(B35=0,"",IFERROR(VLOOKUP(B35,'S-ASIG-05'!$B$5:$E$88,4,0),0))</f>
        <v>3.7199999999999998</v>
      </c>
      <c r="L35" s="72">
        <f>IF(B35=0,"",IFERROR(VLOOKUP(B35,'S-ASIG-06'!$B$5:$E$88,4,0),0))</f>
        <v>0</v>
      </c>
      <c r="M35" s="73">
        <f>IF(B35=0,"",IFERROR(VLOOKUP(B35,'S-ASIG-07'!$B$5:$E$88,4,0),0))</f>
        <v>0</v>
      </c>
      <c r="N35" s="68" t="s">
        <v>137</v>
      </c>
      <c r="O35" s="71">
        <f>IF(B35=0,"",IFERROR(VLOOKUP(B35,'T-ASIG-01'!$B$5:$D$88,3,0),0))</f>
        <v>4</v>
      </c>
      <c r="P35" s="72">
        <f>IF(B35=0,"",IFERROR(VLOOKUP(B35,'T-ASIG-02'!$B$5:$D$88,3,0),0))</f>
        <v>3.2000000000000011</v>
      </c>
      <c r="Q35" s="72">
        <f>IF(B35=0,"",IFERROR(VLOOKUP(B35,'T-ASIG-03'!$B$5:$D$88,3,0),0))</f>
        <v>3.3999999999999995</v>
      </c>
      <c r="R35" s="72">
        <f>IF(B35=0,"",IFERROR(VLOOKUP(B35,'T-ASIG-04'!$B$5:$D$88,3,0),0))</f>
        <v>3.4</v>
      </c>
      <c r="S35" s="72">
        <f>IF(B35=0,"",IFERROR(VLOOKUP(B35,'T-ASIG-05'!$B$5:$D$88,3,0),0))</f>
        <v>0</v>
      </c>
      <c r="T35" s="72">
        <f>IF(B35=0,"",IFERROR(VLOOKUP(B35,'T-ASIG-06'!$B$5:$D$88,3,0),0))</f>
        <v>0</v>
      </c>
      <c r="U35" s="73">
        <f>IF(B35=0,"",IFERROR(VLOOKUP(B35,'T-ASIG-07'!$B$5:$D$88,3,0),0))</f>
        <v>0</v>
      </c>
      <c r="V35" s="69" t="s">
        <v>138</v>
      </c>
    </row>
    <row r="36" spans="1:22" ht="15" customHeight="1">
      <c r="A36" s="12">
        <v>32</v>
      </c>
      <c r="B36" s="70" t="str">
        <f>LIDER!C44</f>
        <v>RIVERA MENDOZA EDITH MARIA</v>
      </c>
      <c r="C36" s="64" t="str">
        <f>IF(B36=0,"",IFERROR(VLOOKUP(B36,'S-ASIG-01'!$B$5:$E$88,2,0),0))</f>
        <v>G06</v>
      </c>
      <c r="D36" s="65">
        <f t="shared" si="2"/>
        <v>3.6360000000000001</v>
      </c>
      <c r="E36" s="66">
        <f t="shared" si="3"/>
        <v>3.5000000000000004</v>
      </c>
      <c r="F36" s="47"/>
      <c r="G36" s="71">
        <f>IF(B36=0,"",IFERROR(VLOOKUP(B36,'S-ASIG-01'!$B$5:$E$88,4,0),0))</f>
        <v>3.7600000000000002</v>
      </c>
      <c r="H36" s="72">
        <f>IF(B36=0,"",IFERROR(VLOOKUP(B36,'S-ASIG-02'!$B$5:$E$88,4,0),0))</f>
        <v>3.1999999999999997</v>
      </c>
      <c r="I36" s="72">
        <f>IF(B36=0,"",IFERROR(VLOOKUP(B36,'S-ASIG-03'!$B$5:$E$88,4,0),0))</f>
        <v>3.5000000000000004</v>
      </c>
      <c r="J36" s="72">
        <f>IF(B36=0,"",IFERROR(VLOOKUP(B36,'S-ASIG-04'!$B$5:$E$88,4,0),0))</f>
        <v>3.9999999999999996</v>
      </c>
      <c r="K36" s="72">
        <f>IF(B36=0,"",IFERROR(VLOOKUP(B36,'S-ASIG-05'!$B$5:$E$88,4,0),0))</f>
        <v>3.7199999999999998</v>
      </c>
      <c r="L36" s="72">
        <f>IF(B36=0,"",IFERROR(VLOOKUP(B36,'S-ASIG-06'!$B$5:$E$88,4,0),0))</f>
        <v>0</v>
      </c>
      <c r="M36" s="73">
        <f>IF(B36=0,"",IFERROR(VLOOKUP(B36,'S-ASIG-07'!$B$5:$E$88,4,0),0))</f>
        <v>0</v>
      </c>
      <c r="N36" s="68" t="s">
        <v>137</v>
      </c>
      <c r="O36" s="71">
        <f>IF(B36=0,"",IFERROR(VLOOKUP(B36,'T-ASIG-01'!$B$5:$D$88,3,0),0))</f>
        <v>4</v>
      </c>
      <c r="P36" s="72">
        <f>IF(B36=0,"",IFERROR(VLOOKUP(B36,'T-ASIG-02'!$B$5:$D$88,3,0),0))</f>
        <v>3.2000000000000011</v>
      </c>
      <c r="Q36" s="72">
        <f>IF(B36=0,"",IFERROR(VLOOKUP(B36,'T-ASIG-03'!$B$5:$D$88,3,0),0))</f>
        <v>3.3999999999999995</v>
      </c>
      <c r="R36" s="72">
        <f>IF(B36=0,"",IFERROR(VLOOKUP(B36,'T-ASIG-04'!$B$5:$D$88,3,0),0))</f>
        <v>3.4</v>
      </c>
      <c r="S36" s="72">
        <f>IF(B36=0,"",IFERROR(VLOOKUP(B36,'T-ASIG-05'!$B$5:$D$88,3,0),0))</f>
        <v>0</v>
      </c>
      <c r="T36" s="72">
        <f>IF(B36=0,"",IFERROR(VLOOKUP(B36,'T-ASIG-06'!$B$5:$D$88,3,0),0))</f>
        <v>0</v>
      </c>
      <c r="U36" s="73">
        <f>IF(B36=0,"",IFERROR(VLOOKUP(B36,'T-ASIG-07'!$B$5:$D$88,3,0),0))</f>
        <v>0</v>
      </c>
      <c r="V36" s="69" t="s">
        <v>138</v>
      </c>
    </row>
    <row r="37" spans="1:22" ht="15" customHeight="1">
      <c r="A37" s="12">
        <v>33</v>
      </c>
      <c r="B37" s="70" t="str">
        <f>LIDER!C45</f>
        <v>RODRIGUEZ PEREZ JEAN CARLOS</v>
      </c>
      <c r="C37" s="64" t="str">
        <f>IF(B37=0,"",IFERROR(VLOOKUP(B37,'S-ASIG-01'!$B$5:$E$88,2,0),0))</f>
        <v>G06</v>
      </c>
      <c r="D37" s="65">
        <f t="shared" ref="D37:D54" si="4">IF(B37=0,"",IFERROR(SUMIF(G37:M37,"&gt;0",G37:M37)/COUNTIF(G37:M37,"&gt;0"),0))</f>
        <v>3.6360000000000001</v>
      </c>
      <c r="E37" s="66">
        <f t="shared" ref="E37:E54" si="5">IF(B37=0,"",IFERROR(SUMIF(O37:U37,"&gt;0",O37:U37)/COUNTIF(O37:U37,"&gt;0"),0))</f>
        <v>3.5000000000000004</v>
      </c>
      <c r="F37" s="47"/>
      <c r="G37" s="71">
        <f>IF(B37=0,"",IFERROR(VLOOKUP(B37,'S-ASIG-01'!$B$5:$E$88,4,0),0))</f>
        <v>3.7600000000000002</v>
      </c>
      <c r="H37" s="72">
        <f>IF(B37=0,"",IFERROR(VLOOKUP(B37,'S-ASIG-02'!$B$5:$E$88,4,0),0))</f>
        <v>3.1999999999999997</v>
      </c>
      <c r="I37" s="72">
        <f>IF(B37=0,"",IFERROR(VLOOKUP(B37,'S-ASIG-03'!$B$5:$E$88,4,0),0))</f>
        <v>3.5000000000000004</v>
      </c>
      <c r="J37" s="72">
        <f>IF(B37=0,"",IFERROR(VLOOKUP(B37,'S-ASIG-04'!$B$5:$E$88,4,0),0))</f>
        <v>3.9999999999999996</v>
      </c>
      <c r="K37" s="72">
        <f>IF(B37=0,"",IFERROR(VLOOKUP(B37,'S-ASIG-05'!$B$5:$E$88,4,0),0))</f>
        <v>3.7199999999999998</v>
      </c>
      <c r="L37" s="72">
        <f>IF(B37=0,"",IFERROR(VLOOKUP(B37,'S-ASIG-06'!$B$5:$E$88,4,0),0))</f>
        <v>0</v>
      </c>
      <c r="M37" s="73">
        <f>IF(B37=0,"",IFERROR(VLOOKUP(B37,'S-ASIG-07'!$B$5:$E$88,4,0),0))</f>
        <v>0</v>
      </c>
      <c r="N37" s="68" t="s">
        <v>137</v>
      </c>
      <c r="O37" s="71">
        <f>IF(B37=0,"",IFERROR(VLOOKUP(B37,'T-ASIG-01'!$B$5:$D$88,3,0),0))</f>
        <v>4</v>
      </c>
      <c r="P37" s="72">
        <f>IF(B37=0,"",IFERROR(VLOOKUP(B37,'T-ASIG-02'!$B$5:$D$88,3,0),0))</f>
        <v>3.2000000000000011</v>
      </c>
      <c r="Q37" s="72">
        <f>IF(B37=0,"",IFERROR(VLOOKUP(B37,'T-ASIG-03'!$B$5:$D$88,3,0),0))</f>
        <v>3.3999999999999995</v>
      </c>
      <c r="R37" s="72">
        <f>IF(B37=0,"",IFERROR(VLOOKUP(B37,'T-ASIG-04'!$B$5:$D$88,3,0),0))</f>
        <v>3.4</v>
      </c>
      <c r="S37" s="72">
        <f>IF(B37=0,"",IFERROR(VLOOKUP(B37,'T-ASIG-05'!$B$5:$D$88,3,0),0))</f>
        <v>0</v>
      </c>
      <c r="T37" s="72">
        <f>IF(B37=0,"",IFERROR(VLOOKUP(B37,'T-ASIG-06'!$B$5:$D$88,3,0),0))</f>
        <v>0</v>
      </c>
      <c r="U37" s="73">
        <f>IF(B37=0,"",IFERROR(VLOOKUP(B37,'T-ASIG-07'!$B$5:$D$88,3,0),0))</f>
        <v>0</v>
      </c>
      <c r="V37" s="69" t="s">
        <v>138</v>
      </c>
    </row>
    <row r="38" spans="1:22" ht="15" customHeight="1">
      <c r="A38" s="12">
        <v>34</v>
      </c>
      <c r="B38" s="70" t="str">
        <f>LIDER!C47</f>
        <v>THERAN MENDOZA JESUS DAVID</v>
      </c>
      <c r="C38" s="64" t="str">
        <f>IF(B38=0,"",IFERROR(VLOOKUP(B38,'S-ASIG-01'!$B$5:$E$88,2,0),0))</f>
        <v>G06</v>
      </c>
      <c r="D38" s="65">
        <f t="shared" si="4"/>
        <v>3.6360000000000001</v>
      </c>
      <c r="E38" s="66">
        <f t="shared" si="5"/>
        <v>3.5000000000000004</v>
      </c>
      <c r="F38" s="47"/>
      <c r="G38" s="71">
        <f>IF(B38=0,"",IFERROR(VLOOKUP(B38,'S-ASIG-01'!$B$5:$E$88,4,0),0))</f>
        <v>3.7600000000000002</v>
      </c>
      <c r="H38" s="72">
        <f>IF(B38=0,"",IFERROR(VLOOKUP(B38,'S-ASIG-02'!$B$5:$E$88,4,0),0))</f>
        <v>3.1999999999999997</v>
      </c>
      <c r="I38" s="72">
        <f>IF(B38=0,"",IFERROR(VLOOKUP(B38,'S-ASIG-03'!$B$5:$E$88,4,0),0))</f>
        <v>3.5000000000000004</v>
      </c>
      <c r="J38" s="72">
        <f>IF(B38=0,"",IFERROR(VLOOKUP(B38,'S-ASIG-04'!$B$5:$E$88,4,0),0))</f>
        <v>3.9999999999999996</v>
      </c>
      <c r="K38" s="72">
        <f>IF(B38=0,"",IFERROR(VLOOKUP(B38,'S-ASIG-05'!$B$5:$E$88,4,0),0))</f>
        <v>3.7199999999999998</v>
      </c>
      <c r="L38" s="72">
        <f>IF(B38=0,"",IFERROR(VLOOKUP(B38,'S-ASIG-06'!$B$5:$E$88,4,0),0))</f>
        <v>0</v>
      </c>
      <c r="M38" s="73">
        <f>IF(B38=0,"",IFERROR(VLOOKUP(B38,'S-ASIG-07'!$B$5:$E$88,4,0),0))</f>
        <v>0</v>
      </c>
      <c r="N38" s="68" t="s">
        <v>137</v>
      </c>
      <c r="O38" s="71">
        <f>IF(B38=0,"",IFERROR(VLOOKUP(B38,'T-ASIG-01'!$B$5:$D$88,3,0),0))</f>
        <v>4</v>
      </c>
      <c r="P38" s="72">
        <f>IF(B38=0,"",IFERROR(VLOOKUP(B38,'T-ASIG-02'!$B$5:$D$88,3,0),0))</f>
        <v>3.2000000000000011</v>
      </c>
      <c r="Q38" s="72">
        <f>IF(B38=0,"",IFERROR(VLOOKUP(B38,'T-ASIG-03'!$B$5:$D$88,3,0),0))</f>
        <v>3.3999999999999995</v>
      </c>
      <c r="R38" s="72">
        <f>IF(B38=0,"",IFERROR(VLOOKUP(B38,'T-ASIG-04'!$B$5:$D$88,3,0),0))</f>
        <v>3.4</v>
      </c>
      <c r="S38" s="72">
        <f>IF(B38=0,"",IFERROR(VLOOKUP(B38,'T-ASIG-05'!$B$5:$D$88,3,0),0))</f>
        <v>0</v>
      </c>
      <c r="T38" s="72">
        <f>IF(B38=0,"",IFERROR(VLOOKUP(B38,'T-ASIG-06'!$B$5:$D$88,3,0),0))</f>
        <v>0</v>
      </c>
      <c r="U38" s="73">
        <f>IF(B38=0,"",IFERROR(VLOOKUP(B38,'T-ASIG-07'!$B$5:$D$88,3,0),0))</f>
        <v>0</v>
      </c>
      <c r="V38" s="69" t="s">
        <v>138</v>
      </c>
    </row>
    <row r="39" spans="1:22" ht="15" customHeight="1">
      <c r="A39" s="12">
        <v>35</v>
      </c>
      <c r="B39" s="70" t="str">
        <f>LIDER!C52</f>
        <v>ALVARADO MAS Y RUBI LOHANA  VICTORIA</v>
      </c>
      <c r="C39" s="64" t="str">
        <f>IF(B39=0,"",IFERROR(VLOOKUP(B39,'S-ASIG-01'!$B$5:$E$88,2,0),0))</f>
        <v>G06</v>
      </c>
      <c r="D39" s="65">
        <f t="shared" si="4"/>
        <v>3.6360000000000001</v>
      </c>
      <c r="E39" s="66">
        <f t="shared" si="5"/>
        <v>3.5000000000000004</v>
      </c>
      <c r="F39" s="47"/>
      <c r="G39" s="71">
        <f>IF(B39=0,"",IFERROR(VLOOKUP(B39,'S-ASIG-01'!$B$5:$E$88,4,0),0))</f>
        <v>3.7600000000000002</v>
      </c>
      <c r="H39" s="72">
        <f>IF(B39=0,"",IFERROR(VLOOKUP(B39,'S-ASIG-02'!$B$5:$E$88,4,0),0))</f>
        <v>3.1999999999999997</v>
      </c>
      <c r="I39" s="72">
        <f>IF(B39=0,"",IFERROR(VLOOKUP(B39,'S-ASIG-03'!$B$5:$E$88,4,0),0))</f>
        <v>3.5000000000000004</v>
      </c>
      <c r="J39" s="72">
        <f>IF(B39=0,"",IFERROR(VLOOKUP(B39,'S-ASIG-04'!$B$5:$E$88,4,0),0))</f>
        <v>3.9999999999999996</v>
      </c>
      <c r="K39" s="72">
        <f>IF(B39=0,"",IFERROR(VLOOKUP(B39,'S-ASIG-05'!$B$5:$E$88,4,0),0))</f>
        <v>3.7199999999999998</v>
      </c>
      <c r="L39" s="72">
        <f>IF(B39=0,"",IFERROR(VLOOKUP(B39,'S-ASIG-06'!$B$5:$E$88,4,0),0))</f>
        <v>0</v>
      </c>
      <c r="M39" s="73">
        <f>IF(B39=0,"",IFERROR(VLOOKUP(B39,'S-ASIG-07'!$B$5:$E$88,4,0),0))</f>
        <v>0</v>
      </c>
      <c r="N39" s="68" t="s">
        <v>137</v>
      </c>
      <c r="O39" s="71">
        <f>IF(B39=0,"",IFERROR(VLOOKUP(B39,'T-ASIG-01'!$B$5:$D$88,3,0),0))</f>
        <v>4</v>
      </c>
      <c r="P39" s="72">
        <f>IF(B39=0,"",IFERROR(VLOOKUP(B39,'T-ASIG-02'!$B$5:$D$88,3,0),0))</f>
        <v>3.2000000000000011</v>
      </c>
      <c r="Q39" s="72">
        <f>IF(B39=0,"",IFERROR(VLOOKUP(B39,'T-ASIG-03'!$B$5:$D$88,3,0),0))</f>
        <v>3.3999999999999995</v>
      </c>
      <c r="R39" s="72">
        <f>IF(B39=0,"",IFERROR(VLOOKUP(B39,'T-ASIG-04'!$B$5:$D$88,3,0),0))</f>
        <v>3.4</v>
      </c>
      <c r="S39" s="72">
        <f>IF(B39=0,"",IFERROR(VLOOKUP(B39,'T-ASIG-05'!$B$5:$D$88,3,0),0))</f>
        <v>0</v>
      </c>
      <c r="T39" s="72">
        <f>IF(B39=0,"",IFERROR(VLOOKUP(B39,'T-ASIG-06'!$B$5:$D$88,3,0),0))</f>
        <v>0</v>
      </c>
      <c r="U39" s="73">
        <f>IF(B39=0,"",IFERROR(VLOOKUP(B39,'T-ASIG-07'!$B$5:$D$88,3,0),0))</f>
        <v>0</v>
      </c>
      <c r="V39" s="69" t="s">
        <v>138</v>
      </c>
    </row>
    <row r="40" spans="1:22" ht="15" customHeight="1">
      <c r="A40" s="12">
        <v>36</v>
      </c>
      <c r="B40" s="70" t="str">
        <f>LIDER!C14</f>
        <v>CAMPO PÉREZ NALIETH NICOHL</v>
      </c>
      <c r="C40" s="64" t="str">
        <f>IF(B40=0,"",IFERROR(VLOOKUP(B40,'S-ASIG-01'!$B$5:$E$88,2,0),0))</f>
        <v>G07</v>
      </c>
      <c r="D40" s="65">
        <f t="shared" si="4"/>
        <v>4.0019999999999998</v>
      </c>
      <c r="E40" s="66">
        <f t="shared" si="5"/>
        <v>4.2666666666666666</v>
      </c>
      <c r="F40" s="47"/>
      <c r="G40" s="71">
        <f>IF(B40=0,"",IFERROR(VLOOKUP(B40,'S-ASIG-01'!$B$5:$E$88,4,0),0))</f>
        <v>4.05</v>
      </c>
      <c r="H40" s="72">
        <f>IF(B40=0,"",IFERROR(VLOOKUP(B40,'S-ASIG-02'!$B$5:$E$88,4,0),0))</f>
        <v>3.75</v>
      </c>
      <c r="I40" s="72">
        <f>IF(B40=0,"",IFERROR(VLOOKUP(B40,'S-ASIG-03'!$B$5:$E$88,4,0),0))</f>
        <v>3.9999999999999996</v>
      </c>
      <c r="J40" s="72">
        <f>IF(B40=0,"",IFERROR(VLOOKUP(B40,'S-ASIG-04'!$B$5:$E$88,4,0),0))</f>
        <v>4.3</v>
      </c>
      <c r="K40" s="72">
        <f>IF(B40=0,"",IFERROR(VLOOKUP(B40,'S-ASIG-05'!$B$5:$E$88,4,0),0))</f>
        <v>3.9099999999999997</v>
      </c>
      <c r="L40" s="72">
        <f>IF(B40=0,"",IFERROR(VLOOKUP(B40,'S-ASIG-06'!$B$5:$E$88,4,0),0))</f>
        <v>0</v>
      </c>
      <c r="M40" s="73">
        <f>IF(B40=0,"",IFERROR(VLOOKUP(B40,'S-ASIG-07'!$B$5:$E$88,4,0),0))</f>
        <v>0</v>
      </c>
      <c r="N40" s="68" t="s">
        <v>137</v>
      </c>
      <c r="O40" s="71">
        <f>IF(B40=0,"",IFERROR(VLOOKUP(B40,'T-ASIG-01'!$B$5:$D$88,3,0),0))</f>
        <v>4.7</v>
      </c>
      <c r="P40" s="72">
        <f>IF(B40=0,"",IFERROR(VLOOKUP(B40,'T-ASIG-02'!$B$5:$D$88,3,0),0))</f>
        <v>4.1000000000000005</v>
      </c>
      <c r="Q40" s="72">
        <f>IF(B40=0,"",IFERROR(VLOOKUP(B40,'T-ASIG-03'!$B$5:$D$88,3,0),0))</f>
        <v>4</v>
      </c>
      <c r="R40" s="72">
        <f>IF(B40=0,"",IFERROR(VLOOKUP(B40,'T-ASIG-04'!$B$5:$D$88,3,0),0))</f>
        <v>0</v>
      </c>
      <c r="S40" s="72">
        <f>IF(B40=0,"",IFERROR(VLOOKUP(B40,'T-ASIG-05'!$B$5:$D$88,3,0),0))</f>
        <v>0</v>
      </c>
      <c r="T40" s="72">
        <f>IF(B40=0,"",IFERROR(VLOOKUP(B40,'T-ASIG-06'!$B$5:$D$88,3,0),0))</f>
        <v>0</v>
      </c>
      <c r="U40" s="73">
        <f>IF(B40=0,"",IFERROR(VLOOKUP(B40,'T-ASIG-07'!$B$5:$D$88,3,0),0))</f>
        <v>0</v>
      </c>
      <c r="V40" s="69" t="s">
        <v>138</v>
      </c>
    </row>
    <row r="41" spans="1:22" ht="15" customHeight="1">
      <c r="A41" s="12">
        <v>37</v>
      </c>
      <c r="B41" s="70" t="str">
        <f>LIDER!C35</f>
        <v>NOVOA GOMEZ IANA MARCELA</v>
      </c>
      <c r="C41" s="64" t="str">
        <f>IF(B41=0,"",IFERROR(VLOOKUP(B41,'S-ASIG-01'!$B$5:$E$88,2,0),0))</f>
        <v>G07</v>
      </c>
      <c r="D41" s="65">
        <f t="shared" si="4"/>
        <v>4.0019999999999998</v>
      </c>
      <c r="E41" s="66">
        <f t="shared" si="5"/>
        <v>4.2666666666666666</v>
      </c>
      <c r="F41" s="47"/>
      <c r="G41" s="71">
        <f>IF(B41=0,"",IFERROR(VLOOKUP(B41,'S-ASIG-01'!$B$5:$E$88,4,0),0))</f>
        <v>4.05</v>
      </c>
      <c r="H41" s="72">
        <f>IF(B41=0,"",IFERROR(VLOOKUP(B41,'S-ASIG-02'!$B$5:$E$88,4,0),0))</f>
        <v>3.75</v>
      </c>
      <c r="I41" s="72">
        <f>IF(B41=0,"",IFERROR(VLOOKUP(B41,'S-ASIG-03'!$B$5:$E$88,4,0),0))</f>
        <v>3.9999999999999996</v>
      </c>
      <c r="J41" s="72">
        <f>IF(B41=0,"",IFERROR(VLOOKUP(B41,'S-ASIG-04'!$B$5:$E$88,4,0),0))</f>
        <v>4.3</v>
      </c>
      <c r="K41" s="72">
        <f>IF(B41=0,"",IFERROR(VLOOKUP(B41,'S-ASIG-05'!$B$5:$E$88,4,0),0))</f>
        <v>3.9099999999999997</v>
      </c>
      <c r="L41" s="72">
        <f>IF(B41=0,"",IFERROR(VLOOKUP(B41,'S-ASIG-06'!$B$5:$E$88,4,0),0))</f>
        <v>0</v>
      </c>
      <c r="M41" s="73">
        <f>IF(B41=0,"",IFERROR(VLOOKUP(B41,'S-ASIG-07'!$B$5:$E$88,4,0),0))</f>
        <v>0</v>
      </c>
      <c r="N41" s="68" t="s">
        <v>137</v>
      </c>
      <c r="O41" s="71">
        <f>IF(B41=0,"",IFERROR(VLOOKUP(B41,'T-ASIG-01'!$B$5:$D$88,3,0),0))</f>
        <v>4.7</v>
      </c>
      <c r="P41" s="72">
        <f>IF(B41=0,"",IFERROR(VLOOKUP(B41,'T-ASIG-02'!$B$5:$D$88,3,0),0))</f>
        <v>4.1000000000000005</v>
      </c>
      <c r="Q41" s="72">
        <f>IF(B41=0,"",IFERROR(VLOOKUP(B41,'T-ASIG-03'!$B$5:$D$88,3,0),0))</f>
        <v>4</v>
      </c>
      <c r="R41" s="72">
        <f>IF(B41=0,"",IFERROR(VLOOKUP(B41,'T-ASIG-04'!$B$5:$D$88,3,0),0))</f>
        <v>0</v>
      </c>
      <c r="S41" s="72">
        <f>IF(B41=0,"",IFERROR(VLOOKUP(B41,'T-ASIG-05'!$B$5:$D$88,3,0),0))</f>
        <v>0</v>
      </c>
      <c r="T41" s="72">
        <f>IF(B41=0,"",IFERROR(VLOOKUP(B41,'T-ASIG-06'!$B$5:$D$88,3,0),0))</f>
        <v>0</v>
      </c>
      <c r="U41" s="73">
        <f>IF(B41=0,"",IFERROR(VLOOKUP(B41,'T-ASIG-07'!$B$5:$D$88,3,0),0))</f>
        <v>0</v>
      </c>
      <c r="V41" s="69" t="s">
        <v>138</v>
      </c>
    </row>
    <row r="42" spans="1:22" ht="15" customHeight="1">
      <c r="A42" s="12">
        <v>38</v>
      </c>
      <c r="B42" s="70" t="str">
        <f>LIDER!C37</f>
        <v>OSPINO MARTÍNEZ KAROLAY SOFIA</v>
      </c>
      <c r="C42" s="64" t="str">
        <f>IF(B42=0,"",IFERROR(VLOOKUP(B42,'S-ASIG-01'!$B$5:$E$88,2,0),0))</f>
        <v>G07</v>
      </c>
      <c r="D42" s="65">
        <f t="shared" si="4"/>
        <v>4.0019999999999998</v>
      </c>
      <c r="E42" s="66">
        <f t="shared" si="5"/>
        <v>4.2666666666666666</v>
      </c>
      <c r="F42" s="47"/>
      <c r="G42" s="71">
        <f>IF(B42=0,"",IFERROR(VLOOKUP(B42,'S-ASIG-01'!$B$5:$E$88,4,0),0))</f>
        <v>4.05</v>
      </c>
      <c r="H42" s="72">
        <f>IF(B42=0,"",IFERROR(VLOOKUP(B42,'S-ASIG-02'!$B$5:$E$88,4,0),0))</f>
        <v>3.75</v>
      </c>
      <c r="I42" s="72">
        <f>IF(B42=0,"",IFERROR(VLOOKUP(B42,'S-ASIG-03'!$B$5:$E$88,4,0),0))</f>
        <v>3.9999999999999996</v>
      </c>
      <c r="J42" s="72">
        <f>IF(B42=0,"",IFERROR(VLOOKUP(B42,'S-ASIG-04'!$B$5:$E$88,4,0),0))</f>
        <v>4.3</v>
      </c>
      <c r="K42" s="72">
        <f>IF(B42=0,"",IFERROR(VLOOKUP(B42,'S-ASIG-05'!$B$5:$E$88,4,0),0))</f>
        <v>3.9099999999999997</v>
      </c>
      <c r="L42" s="72">
        <f>IF(B42=0,"",IFERROR(VLOOKUP(B42,'S-ASIG-06'!$B$5:$E$88,4,0),0))</f>
        <v>0</v>
      </c>
      <c r="M42" s="73">
        <f>IF(B42=0,"",IFERROR(VLOOKUP(B42,'S-ASIG-07'!$B$5:$E$88,4,0),0))</f>
        <v>0</v>
      </c>
      <c r="N42" s="68" t="s">
        <v>137</v>
      </c>
      <c r="O42" s="71">
        <f>IF(B42=0,"",IFERROR(VLOOKUP(B42,'T-ASIG-01'!$B$5:$D$88,3,0),0))</f>
        <v>4.7</v>
      </c>
      <c r="P42" s="72">
        <f>IF(B42=0,"",IFERROR(VLOOKUP(B42,'T-ASIG-02'!$B$5:$D$88,3,0),0))</f>
        <v>4.1000000000000005</v>
      </c>
      <c r="Q42" s="72">
        <f>IF(B42=0,"",IFERROR(VLOOKUP(B42,'T-ASIG-03'!$B$5:$D$88,3,0),0))</f>
        <v>4</v>
      </c>
      <c r="R42" s="72">
        <f>IF(B42=0,"",IFERROR(VLOOKUP(B42,'T-ASIG-04'!$B$5:$D$88,3,0),0))</f>
        <v>0</v>
      </c>
      <c r="S42" s="72">
        <f>IF(B42=0,"",IFERROR(VLOOKUP(B42,'T-ASIG-05'!$B$5:$D$88,3,0),0))</f>
        <v>0</v>
      </c>
      <c r="T42" s="72">
        <f>IF(B42=0,"",IFERROR(VLOOKUP(B42,'T-ASIG-06'!$B$5:$D$88,3,0),0))</f>
        <v>0</v>
      </c>
      <c r="U42" s="73">
        <f>IF(B42=0,"",IFERROR(VLOOKUP(B42,'T-ASIG-07'!$B$5:$D$88,3,0),0))</f>
        <v>0</v>
      </c>
      <c r="V42" s="69" t="s">
        <v>138</v>
      </c>
    </row>
    <row r="43" spans="1:22" ht="15" customHeight="1">
      <c r="A43" s="12">
        <v>39</v>
      </c>
      <c r="B43" s="70" t="str">
        <f>LIDER!C41</f>
        <v>PEREZ VERGARA VALERIA</v>
      </c>
      <c r="C43" s="64" t="str">
        <f>IF(B43=0,"",IFERROR(VLOOKUP(B43,'S-ASIG-01'!$B$5:$E$88,2,0),0))</f>
        <v>G07</v>
      </c>
      <c r="D43" s="65">
        <f t="shared" si="4"/>
        <v>4.0019999999999998</v>
      </c>
      <c r="E43" s="66">
        <f t="shared" si="5"/>
        <v>4.2666666666666666</v>
      </c>
      <c r="F43" s="47"/>
      <c r="G43" s="71">
        <f>IF(B43=0,"",IFERROR(VLOOKUP(B43,'S-ASIG-01'!$B$5:$E$88,4,0),0))</f>
        <v>4.05</v>
      </c>
      <c r="H43" s="72">
        <f>IF(B43=0,"",IFERROR(VLOOKUP(B43,'S-ASIG-02'!$B$5:$E$88,4,0),0))</f>
        <v>3.75</v>
      </c>
      <c r="I43" s="72">
        <f>IF(B43=0,"",IFERROR(VLOOKUP(B43,'S-ASIG-03'!$B$5:$E$88,4,0),0))</f>
        <v>3.9999999999999996</v>
      </c>
      <c r="J43" s="72">
        <f>IF(B43=0,"",IFERROR(VLOOKUP(B43,'S-ASIG-04'!$B$5:$E$88,4,0),0))</f>
        <v>4.3</v>
      </c>
      <c r="K43" s="72">
        <f>IF(B43=0,"",IFERROR(VLOOKUP(B43,'S-ASIG-05'!$B$5:$E$88,4,0),0))</f>
        <v>3.9099999999999997</v>
      </c>
      <c r="L43" s="72">
        <f>IF(B43=0,"",IFERROR(VLOOKUP(B43,'S-ASIG-06'!$B$5:$E$88,4,0),0))</f>
        <v>0</v>
      </c>
      <c r="M43" s="73">
        <f>IF(B43=0,"",IFERROR(VLOOKUP(B43,'S-ASIG-07'!$B$5:$E$88,4,0),0))</f>
        <v>0</v>
      </c>
      <c r="N43" s="68" t="s">
        <v>137</v>
      </c>
      <c r="O43" s="71">
        <f>IF(B43=0,"",IFERROR(VLOOKUP(B43,'T-ASIG-01'!$B$5:$D$88,3,0),0))</f>
        <v>4.7</v>
      </c>
      <c r="P43" s="72">
        <f>IF(B43=0,"",IFERROR(VLOOKUP(B43,'T-ASIG-02'!$B$5:$D$88,3,0),0))</f>
        <v>4.1000000000000005</v>
      </c>
      <c r="Q43" s="72">
        <f>IF(B43=0,"",IFERROR(VLOOKUP(B43,'T-ASIG-03'!$B$5:$D$88,3,0),0))</f>
        <v>4</v>
      </c>
      <c r="R43" s="72">
        <f>IF(B43=0,"",IFERROR(VLOOKUP(B43,'T-ASIG-04'!$B$5:$D$88,3,0),0))</f>
        <v>0</v>
      </c>
      <c r="S43" s="72">
        <f>IF(B43=0,"",IFERROR(VLOOKUP(B43,'T-ASIG-05'!$B$5:$D$88,3,0),0))</f>
        <v>0</v>
      </c>
      <c r="T43" s="72">
        <f>IF(B43=0,"",IFERROR(VLOOKUP(B43,'T-ASIG-06'!$B$5:$D$88,3,0),0))</f>
        <v>0</v>
      </c>
      <c r="U43" s="73">
        <f>IF(B43=0,"",IFERROR(VLOOKUP(B43,'T-ASIG-07'!$B$5:$D$88,3,0),0))</f>
        <v>0</v>
      </c>
      <c r="V43" s="69" t="s">
        <v>138</v>
      </c>
    </row>
    <row r="44" spans="1:22" ht="15" customHeight="1">
      <c r="A44" s="12">
        <v>40</v>
      </c>
      <c r="B44" s="70" t="str">
        <f>LIDER!C42</f>
        <v>PETRO ROSARIO VALERIE SARED</v>
      </c>
      <c r="C44" s="64" t="str">
        <f>IF(B44=0,"",IFERROR(VLOOKUP(B44,'S-ASIG-01'!$B$5:$E$88,2,0),0))</f>
        <v>G07</v>
      </c>
      <c r="D44" s="65">
        <f t="shared" si="4"/>
        <v>4.0019999999999998</v>
      </c>
      <c r="E44" s="66">
        <f t="shared" si="5"/>
        <v>4.2666666666666666</v>
      </c>
      <c r="F44" s="47"/>
      <c r="G44" s="71">
        <f>IF(B44=0,"",IFERROR(VLOOKUP(B44,'S-ASIG-01'!$B$5:$E$88,4,0),0))</f>
        <v>4.05</v>
      </c>
      <c r="H44" s="72">
        <f>IF(B44=0,"",IFERROR(VLOOKUP(B44,'S-ASIG-02'!$B$5:$E$88,4,0),0))</f>
        <v>3.75</v>
      </c>
      <c r="I44" s="72">
        <f>IF(B44=0,"",IFERROR(VLOOKUP(B44,'S-ASIG-03'!$B$5:$E$88,4,0),0))</f>
        <v>3.9999999999999996</v>
      </c>
      <c r="J44" s="72">
        <f>IF(B44=0,"",IFERROR(VLOOKUP(B44,'S-ASIG-04'!$B$5:$E$88,4,0),0))</f>
        <v>4.3</v>
      </c>
      <c r="K44" s="72">
        <f>IF(B44=0,"",IFERROR(VLOOKUP(B44,'S-ASIG-05'!$B$5:$E$88,4,0),0))</f>
        <v>3.9099999999999997</v>
      </c>
      <c r="L44" s="72">
        <f>IF(B44=0,"",IFERROR(VLOOKUP(B44,'S-ASIG-06'!$B$5:$E$88,4,0),0))</f>
        <v>0</v>
      </c>
      <c r="M44" s="73">
        <f>IF(B44=0,"",IFERROR(VLOOKUP(B44,'S-ASIG-07'!$B$5:$E$88,4,0),0))</f>
        <v>0</v>
      </c>
      <c r="N44" s="68" t="s">
        <v>137</v>
      </c>
      <c r="O44" s="71">
        <f>IF(B44=0,"",IFERROR(VLOOKUP(B44,'T-ASIG-01'!$B$5:$D$88,3,0),0))</f>
        <v>4.7</v>
      </c>
      <c r="P44" s="72">
        <f>IF(B44=0,"",IFERROR(VLOOKUP(B44,'T-ASIG-02'!$B$5:$D$88,3,0),0))</f>
        <v>4.1000000000000005</v>
      </c>
      <c r="Q44" s="72">
        <f>IF(B44=0,"",IFERROR(VLOOKUP(B44,'T-ASIG-03'!$B$5:$D$88,3,0),0))</f>
        <v>4</v>
      </c>
      <c r="R44" s="72">
        <f>IF(B44=0,"",IFERROR(VLOOKUP(B44,'T-ASIG-04'!$B$5:$D$88,3,0),0))</f>
        <v>0</v>
      </c>
      <c r="S44" s="72">
        <f>IF(B44=0,"",IFERROR(VLOOKUP(B44,'T-ASIG-05'!$B$5:$D$88,3,0),0))</f>
        <v>0</v>
      </c>
      <c r="T44" s="72">
        <f>IF(B44=0,"",IFERROR(VLOOKUP(B44,'T-ASIG-06'!$B$5:$D$88,3,0),0))</f>
        <v>0</v>
      </c>
      <c r="U44" s="73">
        <f>IF(B44=0,"",IFERROR(VLOOKUP(B44,'T-ASIG-07'!$B$5:$D$88,3,0),0))</f>
        <v>0</v>
      </c>
      <c r="V44" s="69" t="s">
        <v>138</v>
      </c>
    </row>
    <row r="45" spans="1:22" ht="15" customHeight="1">
      <c r="A45" s="12">
        <v>41</v>
      </c>
      <c r="B45" s="70" t="str">
        <f>LIDER!C43</f>
        <v>RAMOS ORTEGA LAURA INÉS</v>
      </c>
      <c r="C45" s="64" t="str">
        <f>IF(B45=0,"",IFERROR(VLOOKUP(B45,'S-ASIG-01'!$B$5:$E$88,2,0),0))</f>
        <v>G07</v>
      </c>
      <c r="D45" s="65">
        <f t="shared" si="4"/>
        <v>4.0019999999999998</v>
      </c>
      <c r="E45" s="66">
        <f t="shared" si="5"/>
        <v>4.2666666666666666</v>
      </c>
      <c r="F45" s="47"/>
      <c r="G45" s="71">
        <f>IF(B45=0,"",IFERROR(VLOOKUP(B45,'S-ASIG-01'!$B$5:$E$88,4,0),0))</f>
        <v>4.05</v>
      </c>
      <c r="H45" s="72">
        <f>IF(B45=0,"",IFERROR(VLOOKUP(B45,'S-ASIG-02'!$B$5:$E$88,4,0),0))</f>
        <v>3.75</v>
      </c>
      <c r="I45" s="72">
        <f>IF(B45=0,"",IFERROR(VLOOKUP(B45,'S-ASIG-03'!$B$5:$E$88,4,0),0))</f>
        <v>3.9999999999999996</v>
      </c>
      <c r="J45" s="72">
        <f>IF(B45=0,"",IFERROR(VLOOKUP(B45,'S-ASIG-04'!$B$5:$E$88,4,0),0))</f>
        <v>4.3</v>
      </c>
      <c r="K45" s="72">
        <f>IF(B45=0,"",IFERROR(VLOOKUP(B45,'S-ASIG-05'!$B$5:$E$88,4,0),0))</f>
        <v>3.9099999999999997</v>
      </c>
      <c r="L45" s="72">
        <f>IF(B45=0,"",IFERROR(VLOOKUP(B45,'S-ASIG-06'!$B$5:$E$88,4,0),0))</f>
        <v>0</v>
      </c>
      <c r="M45" s="73">
        <f>IF(B45=0,"",IFERROR(VLOOKUP(B45,'S-ASIG-07'!$B$5:$E$88,4,0),0))</f>
        <v>0</v>
      </c>
      <c r="N45" s="68" t="s">
        <v>137</v>
      </c>
      <c r="O45" s="71">
        <f>IF(B45=0,"",IFERROR(VLOOKUP(B45,'T-ASIG-01'!$B$5:$D$88,3,0),0))</f>
        <v>4.7</v>
      </c>
      <c r="P45" s="72">
        <f>IF(B45=0,"",IFERROR(VLOOKUP(B45,'T-ASIG-02'!$B$5:$D$88,3,0),0))</f>
        <v>4.1000000000000005</v>
      </c>
      <c r="Q45" s="72">
        <f>IF(B45=0,"",IFERROR(VLOOKUP(B45,'T-ASIG-03'!$B$5:$D$88,3,0),0))</f>
        <v>4</v>
      </c>
      <c r="R45" s="72">
        <f>IF(B45=0,"",IFERROR(VLOOKUP(B45,'T-ASIG-04'!$B$5:$D$88,3,0),0))</f>
        <v>0</v>
      </c>
      <c r="S45" s="72">
        <f>IF(B45=0,"",IFERROR(VLOOKUP(B45,'T-ASIG-05'!$B$5:$D$88,3,0),0))</f>
        <v>0</v>
      </c>
      <c r="T45" s="72">
        <f>IF(B45=0,"",IFERROR(VLOOKUP(B45,'T-ASIG-06'!$B$5:$D$88,3,0),0))</f>
        <v>0</v>
      </c>
      <c r="U45" s="73">
        <f>IF(B45=0,"",IFERROR(VLOOKUP(B45,'T-ASIG-07'!$B$5:$D$88,3,0),0))</f>
        <v>0</v>
      </c>
      <c r="V45" s="69" t="s">
        <v>138</v>
      </c>
    </row>
    <row r="46" spans="1:22" ht="15" customHeight="1">
      <c r="A46" s="12">
        <v>42</v>
      </c>
      <c r="B46" s="70" t="str">
        <f>LIDER!C9</f>
        <v>BARRIOS RAMIREZ JUAN JOSE</v>
      </c>
      <c r="C46" s="64" t="str">
        <f>IF(B46=0,"",IFERROR(VLOOKUP(B46,'S-ASIG-01'!$B$5:$E$88,2,0),0))</f>
        <v>G08</v>
      </c>
      <c r="D46" s="65">
        <f t="shared" si="4"/>
        <v>4.0179999999999998</v>
      </c>
      <c r="E46" s="66">
        <f t="shared" si="5"/>
        <v>4.0333333333333323</v>
      </c>
      <c r="F46" s="47"/>
      <c r="G46" s="71">
        <f>IF(B46=0,"",IFERROR(VLOOKUP(B46,'S-ASIG-01'!$B$5:$E$88,4,0),0))</f>
        <v>4.0600000000000005</v>
      </c>
      <c r="H46" s="72">
        <f>IF(B46=0,"",IFERROR(VLOOKUP(B46,'S-ASIG-02'!$B$5:$E$88,4,0),0))</f>
        <v>3.8400000000000003</v>
      </c>
      <c r="I46" s="72">
        <f>IF(B46=0,"",IFERROR(VLOOKUP(B46,'S-ASIG-03'!$B$5:$E$88,4,0),0))</f>
        <v>3.9999999999999996</v>
      </c>
      <c r="J46" s="72">
        <f>IF(B46=0,"",IFERROR(VLOOKUP(B46,'S-ASIG-04'!$B$5:$E$88,4,0),0))</f>
        <v>4.12</v>
      </c>
      <c r="K46" s="72">
        <f>IF(B46=0,"",IFERROR(VLOOKUP(B46,'S-ASIG-05'!$B$5:$E$88,4,0),0))</f>
        <v>4.07</v>
      </c>
      <c r="L46" s="72">
        <f>IF(B46=0,"",IFERROR(VLOOKUP(B46,'S-ASIG-06'!$B$5:$E$88,4,0),0))</f>
        <v>0</v>
      </c>
      <c r="M46" s="73">
        <f>IF(B46=0,"",IFERROR(VLOOKUP(B46,'S-ASIG-07'!$B$5:$E$88,4,0),0))</f>
        <v>0</v>
      </c>
      <c r="N46" s="68" t="s">
        <v>137</v>
      </c>
      <c r="O46" s="71">
        <f>IF(B46=0,"",IFERROR(VLOOKUP(B46,'T-ASIG-01'!$B$5:$D$88,3,0),0))</f>
        <v>4</v>
      </c>
      <c r="P46" s="72">
        <f>IF(B46=0,"",IFERROR(VLOOKUP(B46,'T-ASIG-02'!$B$5:$D$88,3,0),0))</f>
        <v>4.2</v>
      </c>
      <c r="Q46" s="72">
        <f>IF(B46=0,"",IFERROR(VLOOKUP(B46,'T-ASIG-03'!$B$5:$D$88,3,0),0))</f>
        <v>3.8999999999999995</v>
      </c>
      <c r="R46" s="72">
        <f>IF(B46=0,"",IFERROR(VLOOKUP(B46,'T-ASIG-04'!$B$5:$D$88,3,0),0))</f>
        <v>0</v>
      </c>
      <c r="S46" s="72">
        <f>IF(B46=0,"",IFERROR(VLOOKUP(B46,'T-ASIG-05'!$B$5:$D$88,3,0),0))</f>
        <v>0</v>
      </c>
      <c r="T46" s="72">
        <f>IF(B46=0,"",IFERROR(VLOOKUP(B46,'T-ASIG-06'!$B$5:$D$88,3,0),0))</f>
        <v>0</v>
      </c>
      <c r="U46" s="73">
        <f>IF(B46=0,"",IFERROR(VLOOKUP(B46,'T-ASIG-07'!$B$5:$D$88,3,0),0))</f>
        <v>0</v>
      </c>
      <c r="V46" s="69" t="s">
        <v>138</v>
      </c>
    </row>
    <row r="47" spans="1:22" ht="15" customHeight="1">
      <c r="A47" s="12">
        <v>43</v>
      </c>
      <c r="B47" s="70" t="str">
        <f>LIDER!C25</f>
        <v>GARCIA SUAREZ ANDREA CAROLINA</v>
      </c>
      <c r="C47" s="64" t="str">
        <f>IF(B47=0,"",IFERROR(VLOOKUP(B47,'S-ASIG-01'!$B$5:$E$88,2,0),0))</f>
        <v>G08</v>
      </c>
      <c r="D47" s="65">
        <f t="shared" si="4"/>
        <v>4.0179999999999998</v>
      </c>
      <c r="E47" s="66">
        <f t="shared" si="5"/>
        <v>4.0333333333333323</v>
      </c>
      <c r="F47" s="47"/>
      <c r="G47" s="71">
        <f>IF(B47=0,"",IFERROR(VLOOKUP(B47,'S-ASIG-01'!$B$5:$E$88,4,0),0))</f>
        <v>4.0600000000000005</v>
      </c>
      <c r="H47" s="72">
        <f>IF(B47=0,"",IFERROR(VLOOKUP(B47,'S-ASIG-02'!$B$5:$E$88,4,0),0))</f>
        <v>3.8400000000000003</v>
      </c>
      <c r="I47" s="72">
        <f>IF(B47=0,"",IFERROR(VLOOKUP(B47,'S-ASIG-03'!$B$5:$E$88,4,0),0))</f>
        <v>3.9999999999999996</v>
      </c>
      <c r="J47" s="72">
        <f>IF(B47=0,"",IFERROR(VLOOKUP(B47,'S-ASIG-04'!$B$5:$E$88,4,0),0))</f>
        <v>4.12</v>
      </c>
      <c r="K47" s="72">
        <f>IF(B47=0,"",IFERROR(VLOOKUP(B47,'S-ASIG-05'!$B$5:$E$88,4,0),0))</f>
        <v>4.07</v>
      </c>
      <c r="L47" s="72">
        <f>IF(B47=0,"",IFERROR(VLOOKUP(B47,'S-ASIG-06'!$B$5:$E$88,4,0),0))</f>
        <v>0</v>
      </c>
      <c r="M47" s="73">
        <f>IF(B47=0,"",IFERROR(VLOOKUP(B47,'S-ASIG-07'!$B$5:$E$88,4,0),0))</f>
        <v>0</v>
      </c>
      <c r="N47" s="68" t="s">
        <v>137</v>
      </c>
      <c r="O47" s="71">
        <f>IF(B47=0,"",IFERROR(VLOOKUP(B47,'T-ASIG-01'!$B$5:$D$88,3,0),0))</f>
        <v>4</v>
      </c>
      <c r="P47" s="72">
        <f>IF(B47=0,"",IFERROR(VLOOKUP(B47,'T-ASIG-02'!$B$5:$D$88,3,0),0))</f>
        <v>4.2</v>
      </c>
      <c r="Q47" s="72">
        <f>IF(B47=0,"",IFERROR(VLOOKUP(B47,'T-ASIG-03'!$B$5:$D$88,3,0),0))</f>
        <v>3.8999999999999995</v>
      </c>
      <c r="R47" s="72">
        <f>IF(B47=0,"",IFERROR(VLOOKUP(B47,'T-ASIG-04'!$B$5:$D$88,3,0),0))</f>
        <v>0</v>
      </c>
      <c r="S47" s="72">
        <f>IF(B47=0,"",IFERROR(VLOOKUP(B47,'T-ASIG-05'!$B$5:$D$88,3,0),0))</f>
        <v>0</v>
      </c>
      <c r="T47" s="72">
        <f>IF(B47=0,"",IFERROR(VLOOKUP(B47,'T-ASIG-06'!$B$5:$D$88,3,0),0))</f>
        <v>0</v>
      </c>
      <c r="U47" s="73">
        <f>IF(B47=0,"",IFERROR(VLOOKUP(B47,'T-ASIG-07'!$B$5:$D$88,3,0),0))</f>
        <v>0</v>
      </c>
      <c r="V47" s="69" t="s">
        <v>138</v>
      </c>
    </row>
    <row r="48" spans="1:22" ht="15" customHeight="1">
      <c r="A48" s="12">
        <v>44</v>
      </c>
      <c r="B48" s="70" t="str">
        <f>LIDER!C28</f>
        <v>HERRERA PRADA JAIDER DAVID</v>
      </c>
      <c r="C48" s="64" t="str">
        <f>IF(B48=0,"",IFERROR(VLOOKUP(B48,'S-ASIG-01'!$B$5:$E$88,2,0),0))</f>
        <v>G08</v>
      </c>
      <c r="D48" s="65">
        <f t="shared" si="4"/>
        <v>4.0179999999999998</v>
      </c>
      <c r="E48" s="66">
        <f t="shared" si="5"/>
        <v>4.0333333333333323</v>
      </c>
      <c r="F48" s="47"/>
      <c r="G48" s="71">
        <f>IF(B48=0,"",IFERROR(VLOOKUP(B48,'S-ASIG-01'!$B$5:$E$88,4,0),0))</f>
        <v>4.0600000000000005</v>
      </c>
      <c r="H48" s="72">
        <f>IF(B48=0,"",IFERROR(VLOOKUP(B48,'S-ASIG-02'!$B$5:$E$88,4,0),0))</f>
        <v>3.8400000000000003</v>
      </c>
      <c r="I48" s="72">
        <f>IF(B48=0,"",IFERROR(VLOOKUP(B48,'S-ASIG-03'!$B$5:$E$88,4,0),0))</f>
        <v>3.9999999999999996</v>
      </c>
      <c r="J48" s="72">
        <f>IF(B48=0,"",IFERROR(VLOOKUP(B48,'S-ASIG-04'!$B$5:$E$88,4,0),0))</f>
        <v>4.12</v>
      </c>
      <c r="K48" s="72">
        <f>IF(B48=0,"",IFERROR(VLOOKUP(B48,'S-ASIG-05'!$B$5:$E$88,4,0),0))</f>
        <v>4.07</v>
      </c>
      <c r="L48" s="72">
        <f>IF(B48=0,"",IFERROR(VLOOKUP(B48,'S-ASIG-06'!$B$5:$E$88,4,0),0))</f>
        <v>0</v>
      </c>
      <c r="M48" s="73">
        <f>IF(B48=0,"",IFERROR(VLOOKUP(B48,'S-ASIG-07'!$B$5:$E$88,4,0),0))</f>
        <v>0</v>
      </c>
      <c r="N48" s="68" t="s">
        <v>137</v>
      </c>
      <c r="O48" s="71">
        <f>IF(B48=0,"",IFERROR(VLOOKUP(B48,'T-ASIG-01'!$B$5:$D$88,3,0),0))</f>
        <v>4</v>
      </c>
      <c r="P48" s="72">
        <f>IF(B48=0,"",IFERROR(VLOOKUP(B48,'T-ASIG-02'!$B$5:$D$88,3,0),0))</f>
        <v>4.2</v>
      </c>
      <c r="Q48" s="72">
        <f>IF(B48=0,"",IFERROR(VLOOKUP(B48,'T-ASIG-03'!$B$5:$D$88,3,0),0))</f>
        <v>3.8999999999999995</v>
      </c>
      <c r="R48" s="72">
        <f>IF(B48=0,"",IFERROR(VLOOKUP(B48,'T-ASIG-04'!$B$5:$D$88,3,0),0))</f>
        <v>0</v>
      </c>
      <c r="S48" s="72">
        <f>IF(B48=0,"",IFERROR(VLOOKUP(B48,'T-ASIG-05'!$B$5:$D$88,3,0),0))</f>
        <v>0</v>
      </c>
      <c r="T48" s="72">
        <f>IF(B48=0,"",IFERROR(VLOOKUP(B48,'T-ASIG-06'!$B$5:$D$88,3,0),0))</f>
        <v>0</v>
      </c>
      <c r="U48" s="73">
        <f>IF(B48=0,"",IFERROR(VLOOKUP(B48,'T-ASIG-07'!$B$5:$D$88,3,0),0))</f>
        <v>0</v>
      </c>
      <c r="V48" s="69" t="s">
        <v>138</v>
      </c>
    </row>
    <row r="49" spans="1:22" ht="15" customHeight="1">
      <c r="A49" s="12">
        <v>45</v>
      </c>
      <c r="B49" s="70" t="str">
        <f>LIDER!C30</f>
        <v>LOPEZ PAYARES OSMAN JUNIOR</v>
      </c>
      <c r="C49" s="64" t="str">
        <f>IF(B49=0,"",IFERROR(VLOOKUP(B49,'S-ASIG-01'!$B$5:$E$88,2,0),0))</f>
        <v>G08</v>
      </c>
      <c r="D49" s="65">
        <f t="shared" si="4"/>
        <v>4.0179999999999998</v>
      </c>
      <c r="E49" s="66">
        <f t="shared" si="5"/>
        <v>4.0333333333333323</v>
      </c>
      <c r="F49" s="47"/>
      <c r="G49" s="71">
        <f>IF(B49=0,"",IFERROR(VLOOKUP(B49,'S-ASIG-01'!$B$5:$E$88,4,0),0))</f>
        <v>4.0600000000000005</v>
      </c>
      <c r="H49" s="72">
        <f>IF(B49=0,"",IFERROR(VLOOKUP(B49,'S-ASIG-02'!$B$5:$E$88,4,0),0))</f>
        <v>3.8400000000000003</v>
      </c>
      <c r="I49" s="72">
        <f>IF(B49=0,"",IFERROR(VLOOKUP(B49,'S-ASIG-03'!$B$5:$E$88,4,0),0))</f>
        <v>3.9999999999999996</v>
      </c>
      <c r="J49" s="72">
        <f>IF(B49=0,"",IFERROR(VLOOKUP(B49,'S-ASIG-04'!$B$5:$E$88,4,0),0))</f>
        <v>4.12</v>
      </c>
      <c r="K49" s="72">
        <f>IF(B49=0,"",IFERROR(VLOOKUP(B49,'S-ASIG-05'!$B$5:$E$88,4,0),0))</f>
        <v>4.07</v>
      </c>
      <c r="L49" s="72">
        <f>IF(B49=0,"",IFERROR(VLOOKUP(B49,'S-ASIG-06'!$B$5:$E$88,4,0),0))</f>
        <v>0</v>
      </c>
      <c r="M49" s="73">
        <f>IF(B49=0,"",IFERROR(VLOOKUP(B49,'S-ASIG-07'!$B$5:$E$88,4,0),0))</f>
        <v>0</v>
      </c>
      <c r="N49" s="68" t="s">
        <v>137</v>
      </c>
      <c r="O49" s="71">
        <f>IF(B49=0,"",IFERROR(VLOOKUP(B49,'T-ASIG-01'!$B$5:$D$88,3,0),0))</f>
        <v>4</v>
      </c>
      <c r="P49" s="72">
        <f>IF(B49=0,"",IFERROR(VLOOKUP(B49,'T-ASIG-02'!$B$5:$D$88,3,0),0))</f>
        <v>4.2</v>
      </c>
      <c r="Q49" s="72">
        <f>IF(B49=0,"",IFERROR(VLOOKUP(B49,'T-ASIG-03'!$B$5:$D$88,3,0),0))</f>
        <v>3.8999999999999995</v>
      </c>
      <c r="R49" s="72">
        <f>IF(B49=0,"",IFERROR(VLOOKUP(B49,'T-ASIG-04'!$B$5:$D$88,3,0),0))</f>
        <v>0</v>
      </c>
      <c r="S49" s="72">
        <f>IF(B49=0,"",IFERROR(VLOOKUP(B49,'T-ASIG-05'!$B$5:$D$88,3,0),0))</f>
        <v>0</v>
      </c>
      <c r="T49" s="72">
        <f>IF(B49=0,"",IFERROR(VLOOKUP(B49,'T-ASIG-06'!$B$5:$D$88,3,0),0))</f>
        <v>0</v>
      </c>
      <c r="U49" s="73">
        <f>IF(B49=0,"",IFERROR(VLOOKUP(B49,'T-ASIG-07'!$B$5:$D$88,3,0),0))</f>
        <v>0</v>
      </c>
      <c r="V49" s="69" t="s">
        <v>138</v>
      </c>
    </row>
    <row r="50" spans="1:22" ht="15" customHeight="1">
      <c r="A50" s="12">
        <v>46</v>
      </c>
      <c r="B50" s="70" t="str">
        <f>LIDER!C40</f>
        <v>PEREZ GELIS LUISA FERNANDA</v>
      </c>
      <c r="C50" s="64" t="str">
        <f>IF(B50=0,"",IFERROR(VLOOKUP(B50,'S-ASIG-01'!$B$5:$E$88,2,0),0))</f>
        <v>G08</v>
      </c>
      <c r="D50" s="65">
        <f t="shared" si="4"/>
        <v>4.0179999999999998</v>
      </c>
      <c r="E50" s="66">
        <f t="shared" si="5"/>
        <v>4.0333333333333323</v>
      </c>
      <c r="F50" s="47"/>
      <c r="G50" s="71">
        <f>IF(B50=0,"",IFERROR(VLOOKUP(B50,'S-ASIG-01'!$B$5:$E$88,4,0),0))</f>
        <v>4.0600000000000005</v>
      </c>
      <c r="H50" s="72">
        <f>IF(B50=0,"",IFERROR(VLOOKUP(B50,'S-ASIG-02'!$B$5:$E$88,4,0),0))</f>
        <v>3.8400000000000003</v>
      </c>
      <c r="I50" s="72">
        <f>IF(B50=0,"",IFERROR(VLOOKUP(B50,'S-ASIG-03'!$B$5:$E$88,4,0),0))</f>
        <v>3.9999999999999996</v>
      </c>
      <c r="J50" s="72">
        <f>IF(B50=0,"",IFERROR(VLOOKUP(B50,'S-ASIG-04'!$B$5:$E$88,4,0),0))</f>
        <v>4.12</v>
      </c>
      <c r="K50" s="72">
        <f>IF(B50=0,"",IFERROR(VLOOKUP(B50,'S-ASIG-05'!$B$5:$E$88,4,0),0))</f>
        <v>4.07</v>
      </c>
      <c r="L50" s="72">
        <f>IF(B50=0,"",IFERROR(VLOOKUP(B50,'S-ASIG-06'!$B$5:$E$88,4,0),0))</f>
        <v>0</v>
      </c>
      <c r="M50" s="73">
        <f>IF(B50=0,"",IFERROR(VLOOKUP(B50,'S-ASIG-07'!$B$5:$E$88,4,0),0))</f>
        <v>0</v>
      </c>
      <c r="N50" s="68" t="s">
        <v>137</v>
      </c>
      <c r="O50" s="71">
        <f>IF(B50=0,"",IFERROR(VLOOKUP(B50,'T-ASIG-01'!$B$5:$D$88,3,0),0))</f>
        <v>4</v>
      </c>
      <c r="P50" s="72">
        <f>IF(B50=0,"",IFERROR(VLOOKUP(B50,'T-ASIG-02'!$B$5:$D$88,3,0),0))</f>
        <v>4.2</v>
      </c>
      <c r="Q50" s="72">
        <f>IF(B50=0,"",IFERROR(VLOOKUP(B50,'T-ASIG-03'!$B$5:$D$88,3,0),0))</f>
        <v>3.8999999999999995</v>
      </c>
      <c r="R50" s="72">
        <f>IF(B50=0,"",IFERROR(VLOOKUP(B50,'T-ASIG-04'!$B$5:$D$88,3,0),0))</f>
        <v>0</v>
      </c>
      <c r="S50" s="72">
        <f>IF(B50=0,"",IFERROR(VLOOKUP(B50,'T-ASIG-05'!$B$5:$D$88,3,0),0))</f>
        <v>0</v>
      </c>
      <c r="T50" s="72">
        <f>IF(B50=0,"",IFERROR(VLOOKUP(B50,'T-ASIG-06'!$B$5:$D$88,3,0),0))</f>
        <v>0</v>
      </c>
      <c r="U50" s="73">
        <f>IF(B50=0,"",IFERROR(VLOOKUP(B50,'T-ASIG-07'!$B$5:$D$88,3,0),0))</f>
        <v>0</v>
      </c>
      <c r="V50" s="69" t="s">
        <v>138</v>
      </c>
    </row>
    <row r="51" spans="1:22" ht="15" customHeight="1">
      <c r="A51" s="12">
        <v>47</v>
      </c>
      <c r="B51" s="70" t="str">
        <f>LIDER!C20</f>
        <v>CORDOBA RODRIGUEZ ADRIANO</v>
      </c>
      <c r="C51" s="64" t="str">
        <f>IF(B51=0,"",IFERROR(VLOOKUP(B51,'S-ASIG-01'!$B$5:$E$88,2,0),0))</f>
        <v>G09</v>
      </c>
      <c r="D51" s="65">
        <f t="shared" si="4"/>
        <v>3.1450000000000005</v>
      </c>
      <c r="E51" s="66">
        <f t="shared" si="5"/>
        <v>3.7250000000000001</v>
      </c>
      <c r="F51" s="47"/>
      <c r="G51" s="71">
        <f>IF(B51=0,"",IFERROR(VLOOKUP(B51,'S-ASIG-01'!$B$5:$E$88,4,0),0))</f>
        <v>3.0200000000000005</v>
      </c>
      <c r="H51" s="72" t="str">
        <f>IF(B51=0,"",IFERROR(VLOOKUP(B51,'S-ASIG-02'!$B$5:$E$88,4,0),0))</f>
        <v>N</v>
      </c>
      <c r="I51" s="72">
        <f>IF(B51=0,"",IFERROR(VLOOKUP(B51,'S-ASIG-03'!$B$5:$E$88,4,0),0))</f>
        <v>3</v>
      </c>
      <c r="J51" s="72">
        <f>IF(B51=0,"",IFERROR(VLOOKUP(B51,'S-ASIG-04'!$B$5:$E$88,4,0),0))</f>
        <v>3.5000000000000004</v>
      </c>
      <c r="K51" s="72">
        <f>IF(B51=0,"",IFERROR(VLOOKUP(B51,'S-ASIG-05'!$B$5:$E$88,4,0),0))</f>
        <v>3.0600000000000005</v>
      </c>
      <c r="L51" s="72">
        <f>IF(B51=0,"",IFERROR(VLOOKUP(B51,'S-ASIG-06'!$B$5:$E$88,4,0),0))</f>
        <v>0</v>
      </c>
      <c r="M51" s="73">
        <f>IF(B51=0,"",IFERROR(VLOOKUP(B51,'S-ASIG-07'!$B$5:$E$88,4,0),0))</f>
        <v>0</v>
      </c>
      <c r="N51" s="68" t="s">
        <v>137</v>
      </c>
      <c r="O51" s="71">
        <f>IF(B51=0,"",IFERROR(VLOOKUP(B51,'T-ASIG-01'!$B$5:$D$88,3,0),0))</f>
        <v>3.95</v>
      </c>
      <c r="P51" s="72" t="str">
        <f>IF(B51=0,"",IFERROR(VLOOKUP(B51,'T-ASIG-02'!$B$5:$D$88,3,0),0))</f>
        <v>N</v>
      </c>
      <c r="Q51" s="72">
        <f>IF(B51=0,"",IFERROR(VLOOKUP(B51,'T-ASIG-03'!$B$5:$D$88,3,0),0))</f>
        <v>3.5</v>
      </c>
      <c r="R51" s="72">
        <f>IF(B51=0,"",IFERROR(VLOOKUP(B51,'T-ASIG-04'!$B$5:$D$88,3,0),0))</f>
        <v>0</v>
      </c>
      <c r="S51" s="72">
        <f>IF(B51=0,"",IFERROR(VLOOKUP(B51,'T-ASIG-05'!$B$5:$D$88,3,0),0))</f>
        <v>0</v>
      </c>
      <c r="T51" s="72">
        <f>IF(B51=0,"",IFERROR(VLOOKUP(B51,'T-ASIG-06'!$B$5:$D$88,3,0),0))</f>
        <v>0</v>
      </c>
      <c r="U51" s="73">
        <f>IF(B51=0,"",IFERROR(VLOOKUP(B51,'T-ASIG-07'!$B$5:$D$88,3,0),0))</f>
        <v>0</v>
      </c>
      <c r="V51" s="69" t="s">
        <v>138</v>
      </c>
    </row>
    <row r="52" spans="1:22" ht="15" customHeight="1">
      <c r="A52" s="12">
        <v>48</v>
      </c>
      <c r="B52" s="70" t="str">
        <f>LIDER!C22</f>
        <v>DE ORO MOLINA RONNY AMEL</v>
      </c>
      <c r="C52" s="64" t="str">
        <f>IF(B52=0,"",IFERROR(VLOOKUP(B52,'S-ASIG-01'!$B$5:$E$88,2,0),0))</f>
        <v>G09</v>
      </c>
      <c r="D52" s="65">
        <f t="shared" si="4"/>
        <v>3.1450000000000005</v>
      </c>
      <c r="E52" s="66">
        <f t="shared" si="5"/>
        <v>3.7250000000000001</v>
      </c>
      <c r="F52" s="47"/>
      <c r="G52" s="71">
        <f>IF(B52=0,"",IFERROR(VLOOKUP(B52,'S-ASIG-01'!$B$5:$E$88,4,0),0))</f>
        <v>3.0200000000000005</v>
      </c>
      <c r="H52" s="72" t="str">
        <f>IF(B52=0,"",IFERROR(VLOOKUP(B52,'S-ASIG-02'!$B$5:$E$88,4,0),0))</f>
        <v>N</v>
      </c>
      <c r="I52" s="72">
        <f>IF(B52=0,"",IFERROR(VLOOKUP(B52,'S-ASIG-03'!$B$5:$E$88,4,0),0))</f>
        <v>3</v>
      </c>
      <c r="J52" s="72">
        <f>IF(B52=0,"",IFERROR(VLOOKUP(B52,'S-ASIG-04'!$B$5:$E$88,4,0),0))</f>
        <v>3.5000000000000004</v>
      </c>
      <c r="K52" s="72">
        <f>IF(B52=0,"",IFERROR(VLOOKUP(B52,'S-ASIG-05'!$B$5:$E$88,4,0),0))</f>
        <v>3.0600000000000005</v>
      </c>
      <c r="L52" s="72">
        <f>IF(B52=0,"",IFERROR(VLOOKUP(B52,'S-ASIG-06'!$B$5:$E$88,4,0),0))</f>
        <v>0</v>
      </c>
      <c r="M52" s="73">
        <f>IF(B52=0,"",IFERROR(VLOOKUP(B52,'S-ASIG-07'!$B$5:$E$88,4,0),0))</f>
        <v>0</v>
      </c>
      <c r="N52" s="68" t="s">
        <v>137</v>
      </c>
      <c r="O52" s="71">
        <f>IF(B52=0,"",IFERROR(VLOOKUP(B52,'T-ASIG-01'!$B$5:$D$88,3,0),0))</f>
        <v>3.95</v>
      </c>
      <c r="P52" s="72" t="str">
        <f>IF(B52=0,"",IFERROR(VLOOKUP(B52,'T-ASIG-02'!$B$5:$D$88,3,0),0))</f>
        <v>N</v>
      </c>
      <c r="Q52" s="72">
        <f>IF(B52=0,"",IFERROR(VLOOKUP(B52,'T-ASIG-03'!$B$5:$D$88,3,0),0))</f>
        <v>3.5</v>
      </c>
      <c r="R52" s="72">
        <f>IF(B52=0,"",IFERROR(VLOOKUP(B52,'T-ASIG-04'!$B$5:$D$88,3,0),0))</f>
        <v>0</v>
      </c>
      <c r="S52" s="72">
        <f>IF(B52=0,"",IFERROR(VLOOKUP(B52,'T-ASIG-05'!$B$5:$D$88,3,0),0))</f>
        <v>0</v>
      </c>
      <c r="T52" s="72">
        <f>IF(B52=0,"",IFERROR(VLOOKUP(B52,'T-ASIG-06'!$B$5:$D$88,3,0),0))</f>
        <v>0</v>
      </c>
      <c r="U52" s="73">
        <f>IF(B52=0,"",IFERROR(VLOOKUP(B52,'T-ASIG-07'!$B$5:$D$88,3,0),0))</f>
        <v>0</v>
      </c>
      <c r="V52" s="69" t="s">
        <v>138</v>
      </c>
    </row>
    <row r="53" spans="1:22" ht="15" customHeight="1">
      <c r="A53" s="12">
        <v>49</v>
      </c>
      <c r="B53" s="70" t="str">
        <f>LIDER!C49</f>
        <v>ZUÑIGA IGLESIAS EMMANUEL DAVID</v>
      </c>
      <c r="C53" s="64" t="str">
        <f>IF(B53=0,"",IFERROR(VLOOKUP(B53,'S-ASIG-01'!$B$5:$E$88,2,0),0))</f>
        <v>G09</v>
      </c>
      <c r="D53" s="65">
        <f t="shared" si="4"/>
        <v>3.1450000000000005</v>
      </c>
      <c r="E53" s="66">
        <f t="shared" si="5"/>
        <v>3.65</v>
      </c>
      <c r="F53" s="47"/>
      <c r="G53" s="71">
        <f>IF(B53=0,"",IFERROR(VLOOKUP(B53,'S-ASIG-01'!$B$5:$E$88,4,0),0))</f>
        <v>3.0200000000000005</v>
      </c>
      <c r="H53" s="72">
        <f>IF(B53=0,"",IFERROR(VLOOKUP(B53,'S-ASIG-02'!$B$5:$E$88,4,0),0))</f>
        <v>0</v>
      </c>
      <c r="I53" s="72">
        <f>IF(B53=0,"",IFERROR(VLOOKUP(B53,'S-ASIG-03'!$B$5:$E$88,4,0),0))</f>
        <v>3</v>
      </c>
      <c r="J53" s="72">
        <f>IF(B53=0,"",IFERROR(VLOOKUP(B53,'S-ASIG-04'!$B$5:$E$88,4,0),0))</f>
        <v>3.5000000000000004</v>
      </c>
      <c r="K53" s="72">
        <f>IF(B53=0,"",IFERROR(VLOOKUP(B53,'S-ASIG-05'!$B$5:$E$88,4,0),0))</f>
        <v>3.0600000000000005</v>
      </c>
      <c r="L53" s="72">
        <f>IF(B53=0,"",IFERROR(VLOOKUP(B53,'S-ASIG-06'!$B$5:$E$88,4,0),0))</f>
        <v>0</v>
      </c>
      <c r="M53" s="73">
        <f>IF(B53=0,"",IFERROR(VLOOKUP(B53,'S-ASIG-07'!$B$5:$E$88,4,0),0))</f>
        <v>0</v>
      </c>
      <c r="N53" s="68" t="s">
        <v>137</v>
      </c>
      <c r="O53" s="71">
        <f>IF(B53=0,"",IFERROR(VLOOKUP(B53,'T-ASIG-01'!$B$5:$D$88,3,0),0))</f>
        <v>3.95</v>
      </c>
      <c r="P53" s="72">
        <f>IF(B53=0,"",IFERROR(VLOOKUP(B53,'T-ASIG-02'!$B$5:$D$88,3,0),0))</f>
        <v>3.5</v>
      </c>
      <c r="Q53" s="72">
        <f>IF(B53=0,"",IFERROR(VLOOKUP(B53,'T-ASIG-03'!$B$5:$D$88,3,0),0))</f>
        <v>3.5</v>
      </c>
      <c r="R53" s="72">
        <f>IF(B53=0,"",IFERROR(VLOOKUP(B53,'T-ASIG-04'!$B$5:$D$88,3,0),0))</f>
        <v>0</v>
      </c>
      <c r="S53" s="72">
        <f>IF(B53=0,"",IFERROR(VLOOKUP(B53,'T-ASIG-05'!$B$5:$D$88,3,0),0))</f>
        <v>0</v>
      </c>
      <c r="T53" s="72">
        <f>IF(B53=0,"",IFERROR(VLOOKUP(B53,'T-ASIG-06'!$B$5:$D$88,3,0),0))</f>
        <v>0</v>
      </c>
      <c r="U53" s="73">
        <f>IF(B53=0,"",IFERROR(VLOOKUP(B53,'T-ASIG-07'!$B$5:$D$88,3,0),0))</f>
        <v>0</v>
      </c>
      <c r="V53" s="69" t="s">
        <v>138</v>
      </c>
    </row>
    <row r="54" spans="1:22" ht="15" customHeight="1" thickBot="1">
      <c r="A54" s="15">
        <v>50</v>
      </c>
      <c r="B54" s="74" t="str">
        <f>LIDER!C53</f>
        <v>ORTÍZ ZUÑIGA WILYS JUNIOR</v>
      </c>
      <c r="C54" s="75" t="str">
        <f>IF(B54=0,"",IFERROR(VLOOKUP(B54,'S-ASIG-01'!$B$5:$E$88,2,0),0))</f>
        <v>G09</v>
      </c>
      <c r="D54" s="76">
        <f t="shared" si="4"/>
        <v>3.1450000000000005</v>
      </c>
      <c r="E54" s="77">
        <f t="shared" si="5"/>
        <v>3.7250000000000001</v>
      </c>
      <c r="F54" s="47"/>
      <c r="G54" s="78">
        <f>IF(B54=0,"",IFERROR(VLOOKUP(B54,'S-ASIG-01'!$B$5:$E$88,4,0),0))</f>
        <v>3.0200000000000005</v>
      </c>
      <c r="H54" s="79" t="str">
        <f>IF(B54=0,"",IFERROR(VLOOKUP(B54,'S-ASIG-02'!$B$5:$E$88,4,0),0))</f>
        <v>N</v>
      </c>
      <c r="I54" s="79">
        <f>IF(B54=0,"",IFERROR(VLOOKUP(B54,'S-ASIG-03'!$B$5:$E$88,4,0),0))</f>
        <v>3</v>
      </c>
      <c r="J54" s="79">
        <f>IF(B54=0,"",IFERROR(VLOOKUP(B54,'S-ASIG-04'!$B$5:$E$88,4,0),0))</f>
        <v>3.5000000000000004</v>
      </c>
      <c r="K54" s="79">
        <f>IF(B54=0,"",IFERROR(VLOOKUP(B54,'S-ASIG-05'!$B$5:$E$88,4,0),0))</f>
        <v>3.0600000000000005</v>
      </c>
      <c r="L54" s="79">
        <f>IF(B54=0,"",IFERROR(VLOOKUP(B54,'S-ASIG-06'!$B$5:$E$88,4,0),0))</f>
        <v>0</v>
      </c>
      <c r="M54" s="80">
        <f>IF(B54=0,"",IFERROR(VLOOKUP(B54,'S-ASIG-07'!$B$5:$E$88,4,0),0))</f>
        <v>0</v>
      </c>
      <c r="N54" s="68" t="s">
        <v>137</v>
      </c>
      <c r="O54" s="78">
        <f>IF(B54=0,"",IFERROR(VLOOKUP(B54,'T-ASIG-01'!$B$5:$D$88,3,0),0))</f>
        <v>3.95</v>
      </c>
      <c r="P54" s="79" t="str">
        <f>IF(B54=0,"",IFERROR(VLOOKUP(B54,'T-ASIG-02'!$B$5:$D$88,3,0),0))</f>
        <v>N</v>
      </c>
      <c r="Q54" s="79">
        <f>IF(B54=0,"",IFERROR(VLOOKUP(B54,'T-ASIG-03'!$B$5:$D$88,3,0),0))</f>
        <v>3.5</v>
      </c>
      <c r="R54" s="79">
        <f>IF(B54=0,"",IFERROR(VLOOKUP(B54,'T-ASIG-04'!$B$5:$D$88,3,0),0))</f>
        <v>0</v>
      </c>
      <c r="S54" s="79">
        <f>IF(B54=0,"",IFERROR(VLOOKUP(B54,'T-ASIG-05'!$B$5:$D$88,3,0),0))</f>
        <v>0</v>
      </c>
      <c r="T54" s="79">
        <f>IF(B54=0,"",IFERROR(VLOOKUP(B54,'T-ASIG-06'!$B$5:$D$88,3,0),0))</f>
        <v>0</v>
      </c>
      <c r="U54" s="80">
        <f>IF(B54=0,"",IFERROR(VLOOKUP(B54,'T-ASIG-07'!$B$5:$D$88,3,0),0))</f>
        <v>0</v>
      </c>
      <c r="V54" s="69" t="s">
        <v>138</v>
      </c>
    </row>
  </sheetData>
  <sheetProtection algorithmName="SHA-512" hashValue="PbR5BdyD+8P+C93GDb8SfPEue3rLWQY15DGpKPFGTOp9/xCDsV/Hb8XWyro8unUk8gnpsTJybUPVeCUhwReEBQ==" saltValue="eVh9YBxmoO961z/94/ZomQ==" spinCount="100000" sheet="1" objects="1" scenarios="1"/>
  <autoFilter ref="B4:E4" xr:uid="{A552E55D-77B5-4F91-A8D3-B332FB7E1763}">
    <sortState xmlns:xlrd2="http://schemas.microsoft.com/office/spreadsheetml/2017/richdata2" ref="B5:E54">
      <sortCondition ref="C4"/>
    </sortState>
  </autoFilter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OSWALDO BLANQUICETT</cp:lastModifiedBy>
  <cp:revision/>
  <dcterms:created xsi:type="dcterms:W3CDTF">2025-09-29T20:45:44Z</dcterms:created>
  <dcterms:modified xsi:type="dcterms:W3CDTF">2026-05-19T17:19:51Z</dcterms:modified>
  <cp:category/>
  <cp:contentStatus/>
</cp:coreProperties>
</file>