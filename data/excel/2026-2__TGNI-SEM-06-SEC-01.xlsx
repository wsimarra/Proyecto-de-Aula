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6-OJO\PRIMERA ENTREGA\"/>
    </mc:Choice>
  </mc:AlternateContent>
  <xr:revisionPtr revIDLastSave="235" documentId="13_ncr:1_{D1BAF7E5-8AED-42B5-8725-C033A93FCE6D}" xr6:coauthVersionLast="47" xr6:coauthVersionMax="47" xr10:uidLastSave="{B2D759FE-8147-4BBF-9C3A-2F950EA8941F}"/>
  <bookViews>
    <workbookView xWindow="-120" yWindow="-120" windowWidth="20730" windowHeight="11040" tabRatio="815" firstSheet="4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D81" i="6"/>
  <c r="B81" i="6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D58" i="6"/>
  <c r="B58" i="6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D83" i="5"/>
  <c r="B83" i="5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D72" i="4"/>
  <c r="B72" i="4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B85" i="11"/>
  <c r="E85" i="11" s="1"/>
  <c r="C84" i="11"/>
  <c r="C85" i="11" s="1"/>
  <c r="C86" i="11" s="1"/>
  <c r="C87" i="11" s="1"/>
  <c r="C88" i="11" s="1"/>
  <c r="B84" i="11"/>
  <c r="E84" i="11" s="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7" l="1"/>
  <c r="D42" i="3"/>
  <c r="D36" i="6"/>
  <c r="D37" i="16"/>
  <c r="D21" i="16"/>
  <c r="D48" i="4"/>
  <c r="D49" i="6"/>
  <c r="D22" i="7"/>
  <c r="D37" i="4"/>
  <c r="D21" i="4"/>
  <c r="D22" i="5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<sst xmlns="http://schemas.openxmlformats.org/spreadsheetml/2006/main" count="699" uniqueCount="119">
  <si>
    <t>TECNOLOGÍA EN GESTIÓN DE NEGOCIOS INTERN</t>
  </si>
  <si>
    <t>SEMESTRE:</t>
  </si>
  <si>
    <t>SEM-06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</si>
  <si>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</si>
  <si>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</si>
  <si>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</si>
  <si>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</si>
  <si>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</si>
  <si>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</si>
  <si>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</si>
  <si>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</si>
  <si>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INNOVACION Y EMPRENDIMIENTO</t>
  </si>
  <si>
    <t>ELECTIVA DE PROFUNDIZACION III</t>
  </si>
  <si>
    <t>AMBIENTE Y DESARROLLO</t>
  </si>
  <si>
    <t>FINANZAS INTERNACIONALES</t>
  </si>
  <si>
    <t>D.F.I.</t>
  </si>
  <si>
    <t>ELECTIVA LIBRE SOCIOHUMANÍ II</t>
  </si>
  <si>
    <t>GABRIEL EDUARDO CARDONA TUÑON</t>
  </si>
  <si>
    <t>LUIS CARLOS PUELLO SUÁREZ</t>
  </si>
  <si>
    <t>DEIRY BARRETO GUERRA</t>
  </si>
  <si>
    <t>ARNOLD SANTAMARIA BELEÑO</t>
  </si>
  <si>
    <t>RAFAEL UGARRIZA DIAZ</t>
  </si>
  <si>
    <t>LIZETH MARIA CONEO GAMARRA</t>
  </si>
  <si>
    <t>LISTA DE ESTUDIANTES</t>
  </si>
  <si>
    <t>SEGUNDA ENTREGA - CRITERIO DE EVALUACIÓN DOCUMENTO - SEGUNDO CORTE</t>
  </si>
  <si>
    <t>PONDERACIÓN</t>
  </si>
  <si>
    <t>ADMINISTRACIÓN DE EMPRESAS C.I</t>
  </si>
  <si>
    <t>ORNEYS ALEJANDRO BELEÑO ALCÁZAR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</si>
  <si>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</si>
  <si>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</si>
  <si>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VALERIE ANDREA MONTES HERNANDEZ</t>
  </si>
  <si>
    <t>ANTEPROYECTO: Portada, planteamiento del problema, justificacion del trabajo o proyecto de aula, objetivos, marco teorico, diseño metodologico.</t>
  </si>
  <si>
    <t>CONTADURÍA PÚBLICA</t>
  </si>
  <si>
    <t>GABRIEL ERNESTO QUIROZ LOPEZ</t>
  </si>
  <si>
    <t>RESULTADOS:  Analiza, integra y aplica de manera coherente los aspectos para la Construcción de la marca empresarial (Branding)</t>
  </si>
  <si>
    <t>NEGOCIOS INTERNACIONALES PROFESIONAL</t>
  </si>
  <si>
    <t>KENET JAVIER RAMIREZ DEL RIO</t>
  </si>
  <si>
    <t>RESULTADOS:  Analiza, integra y aplica de manera coherente los aspectos del  Plan de distribución.</t>
  </si>
  <si>
    <t>ZCHARIL JANNI BARRIOS ZUÑIGA</t>
  </si>
  <si>
    <t>RESULTADOS:  Analiza, integra y aplica de manera coherente los aspectos para  el  Análisis ambiental y social.</t>
  </si>
  <si>
    <t>TECNOLOGíA EN GESTION CONTABLE</t>
  </si>
  <si>
    <t>YULIBETH CARRASQUILLA TRESPALACIOS</t>
  </si>
  <si>
    <t>BILIOGRAFIA: Las referencias bibliograficas: adoptan las normas APA. El documento es producto de un rastreo bibliografico que muestra analisis y sistensis.</t>
  </si>
  <si>
    <t>TECNOLOGÍA EN GESTIÓN DE MARKETING</t>
  </si>
  <si>
    <t>SHARON GUERRERO DE AVILA</t>
  </si>
  <si>
    <t>ASESORIAS: Anexó la hoja de tutoria firmada ( 3 fimas minmimo).</t>
  </si>
  <si>
    <t>TECNOLOGÍA EN GESTIÓN DEL TALENTO HUMANO</t>
  </si>
  <si>
    <t>VALENTINA SOFIA PADILLA AGUDELO</t>
  </si>
  <si>
    <t>TECNOLOGÍA EN GESTIÓN FINANCIERA</t>
  </si>
  <si>
    <t>NEYS DEL CARMEN ARROYO QUINTANA</t>
  </si>
  <si>
    <t>TECNOLOGÍA EN GESTIÓN LOGISTICA Y PORTUARIA</t>
  </si>
  <si>
    <t>BIANCA FIORELLA CARAZO PUELLO</t>
  </si>
  <si>
    <t>ENTREGA FINAL - CRITERIO DE EVALUACIÓN SUSTENTACIÓN - TERCER CORTE</t>
  </si>
  <si>
    <t>TECNOLOGÍA EN GESTIÓN TURISTICA Y HOTELERA</t>
  </si>
  <si>
    <t>LUIS MARIO MARRUGO DIAZ</t>
  </si>
  <si>
    <t>Evaluación del Documento Final</t>
  </si>
  <si>
    <t>DANIA LICETH ACOSTA SALAZAR</t>
  </si>
  <si>
    <t>Sustentación de los Resultados: Se refleja un dominio del tema, la  información está delimitada y es clara. Hay una jerarquía y fluidez en las ideas que presenta.</t>
  </si>
  <si>
    <t>ANDRES FELIPE ALFARO LARES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</si>
  <si>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</si>
  <si>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LUISA DANIELA ALVAREZ ARGUMEDO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</si>
  <si>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</si>
  <si>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NICOLE ANDREA BARRAZA CARDOZO</t>
  </si>
  <si>
    <t>Tiempo: El uso del tiempo fue apropiado, se ajusta al previsto.
Ofrece una conclusión donde condensa las ideas principales del objetivo general y los específicos.</t>
  </si>
  <si>
    <t>DANIELA BOLAÑOS CUELLAR</t>
  </si>
  <si>
    <t>Uso de Recursos Audiovisuales Tecnológicos: La sustentación se acompaña de recursos visuales pertinentes, atractivos y de gran calidad</t>
  </si>
  <si>
    <t>MARIA FERNANDA BERRIO BUSTOS</t>
  </si>
  <si>
    <t>JESUS DANIEL MOLINA SANCHEZ</t>
  </si>
  <si>
    <t>MANUEL ALEJANDRO POLO MARTINEZ</t>
  </si>
  <si>
    <t>DANNA JUDITH SOTO CAMARGO</t>
  </si>
  <si>
    <t>TITULOS DE LOS PROYECTOS DE AULA</t>
  </si>
  <si>
    <t>ANA JOHANA AHUMADA MONTERO</t>
  </si>
  <si>
    <t>GRUPO#1</t>
  </si>
  <si>
    <t>EVELIN TATIANA CASTRO MONTAÑO</t>
  </si>
  <si>
    <t>GRUPO#2</t>
  </si>
  <si>
    <t>HELEN SOFIA DAZA VILLAMIZAR</t>
  </si>
  <si>
    <t>GRUPO#3</t>
  </si>
  <si>
    <t>NICOLLE LIZETH MORALES PUELLO</t>
  </si>
  <si>
    <t>GRUPO#4</t>
  </si>
  <si>
    <t>ELIZABETH ZAMORA MARTINEZ</t>
  </si>
  <si>
    <t>GRUPO#5</t>
  </si>
  <si>
    <t>AISHA CARMONA DIAZ</t>
  </si>
  <si>
    <t>GRUPO#6</t>
  </si>
  <si>
    <t>HEIDY JOSEFINA HERRERA PERTUZ</t>
  </si>
  <si>
    <t>GRUPO#7</t>
  </si>
  <si>
    <t>DANNA SOFIA OROZCO TORRES</t>
  </si>
  <si>
    <t>GRUPO#8</t>
  </si>
  <si>
    <t>JERALDINE RAMIREZ ARTEAGA</t>
  </si>
  <si>
    <t>GRUPO#9</t>
  </si>
  <si>
    <t>NICOLLE VALENTINA RODRIGUEZ FIGUEROA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</si>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</sst>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2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  <fill>
      <patternFill patternType="solid">
        <fgColor rgb="FFF2F2F2"/>
        <bgColor rgb="FF00000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21" xfId="0" applyFont="1" applyFill="1" applyBorder="1" applyAlignment="1" applyProtection="1">
      <alignment horizontal="left" vertical="top"/>
      <protection hidden="1"/>
    </xf>
    <xf numFmtId="0" fontId="4" fillId="4" borderId="56" xfId="0" applyFont="1" applyFill="1" applyBorder="1" applyAlignment="1" applyProtection="1">
      <alignment horizontal="left" vertical="top"/>
      <protection hidden="1"/>
    </xf>
    <xf numFmtId="0" fontId="4" fillId="4" borderId="57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29" fillId="12" borderId="49" xfId="0" applyNumberFormat="1" applyFont="1" applyFill="1" applyBorder="1" applyAlignment="1" applyProtection="1">
      <alignment horizontal="center" vertical="center"/>
      <protection locked="0"/>
    </xf>
    <xf numFmtId="164" fontId="29" fillId="0" borderId="46" xfId="0" applyNumberFormat="1" applyFont="1" applyBorder="1" applyAlignment="1" applyProtection="1">
      <alignment horizontal="center" vertical="center"/>
      <protection locked="0"/>
    </xf>
    <xf numFmtId="164" fontId="29" fillId="12" borderId="46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D18" workbookViewId="0">
      <selection activeCell="G51" sqref="G51:G5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0</v>
      </c>
      <c r="C2" s="157"/>
      <c r="D2" s="158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 t="s">
        <v>16</v>
      </c>
      <c r="I4" s="131"/>
    </row>
    <row r="5" spans="2:9" ht="24.95" customHeight="1" thickBot="1">
      <c r="C5" s="132" t="s">
        <v>17</v>
      </c>
      <c r="D5" s="132" t="s">
        <v>18</v>
      </c>
      <c r="E5" s="132" t="s">
        <v>19</v>
      </c>
      <c r="F5" s="132" t="s">
        <v>20</v>
      </c>
      <c r="G5" s="132" t="s">
        <v>21</v>
      </c>
      <c r="H5" s="133" t="s">
        <v>22</v>
      </c>
      <c r="I5" s="133"/>
    </row>
    <row r="6" spans="2:9" ht="24.95" customHeight="1" thickBot="1">
      <c r="C6" s="134">
        <v>2302</v>
      </c>
      <c r="D6" s="134">
        <v>2318</v>
      </c>
      <c r="E6" s="134">
        <v>1084</v>
      </c>
      <c r="F6" s="134">
        <v>1442</v>
      </c>
      <c r="G6" s="134">
        <v>1448</v>
      </c>
      <c r="H6" s="134">
        <v>2119</v>
      </c>
      <c r="I6" s="134"/>
    </row>
    <row r="7" spans="2:9" ht="13.5" thickBot="1"/>
    <row r="8" spans="2:9" ht="20.100000000000001" customHeight="1">
      <c r="B8" s="108"/>
      <c r="C8" s="109" t="s">
        <v>23</v>
      </c>
      <c r="E8" s="159" t="s">
        <v>24</v>
      </c>
      <c r="F8" s="160"/>
      <c r="G8" s="16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2" t="s">
        <v>28</v>
      </c>
      <c r="F9" s="163"/>
      <c r="G9" s="164"/>
      <c r="H9" s="135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5" t="s">
        <v>31</v>
      </c>
      <c r="F10" s="166"/>
      <c r="G10" s="167"/>
      <c r="H10" s="136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2" t="s">
        <v>34</v>
      </c>
      <c r="F11" s="163"/>
      <c r="G11" s="164"/>
      <c r="H11" s="135">
        <v>0.1</v>
      </c>
      <c r="I11" s="69" t="s">
        <v>35</v>
      </c>
    </row>
    <row r="12" spans="2:9" ht="15" customHeight="1">
      <c r="B12" s="108">
        <v>4</v>
      </c>
      <c r="C12" s="111" t="s">
        <v>36</v>
      </c>
      <c r="E12" s="165" t="s">
        <v>37</v>
      </c>
      <c r="F12" s="166"/>
      <c r="G12" s="167"/>
      <c r="H12" s="135">
        <v>0.1</v>
      </c>
      <c r="I12" s="69" t="s">
        <v>0</v>
      </c>
    </row>
    <row r="13" spans="2:9" ht="15" customHeight="1">
      <c r="B13" s="108">
        <v>5</v>
      </c>
      <c r="C13" s="111" t="s">
        <v>38</v>
      </c>
      <c r="E13" s="168" t="s">
        <v>39</v>
      </c>
      <c r="F13" s="169"/>
      <c r="G13" s="170"/>
      <c r="H13" s="135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1" t="s">
        <v>42</v>
      </c>
      <c r="F14" s="172"/>
      <c r="G14" s="173"/>
      <c r="H14" s="136">
        <v>0.2</v>
      </c>
      <c r="I14" s="69" t="s">
        <v>43</v>
      </c>
    </row>
    <row r="15" spans="2:9" ht="15" customHeight="1" thickBot="1">
      <c r="B15" s="108">
        <v>7</v>
      </c>
      <c r="C15" s="111" t="s">
        <v>44</v>
      </c>
      <c r="E15" s="180" t="s">
        <v>45</v>
      </c>
      <c r="F15" s="181"/>
      <c r="G15" s="182"/>
      <c r="H15" s="135">
        <v>0.1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7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9"/>
      <c r="F17" s="189"/>
      <c r="G17" s="189"/>
      <c r="H17" s="189"/>
      <c r="I17" s="69" t="s">
        <v>50</v>
      </c>
    </row>
    <row r="18" spans="2:9" ht="15" customHeight="1" thickBot="1">
      <c r="B18" s="108">
        <v>10</v>
      </c>
      <c r="C18" s="111" t="s">
        <v>51</v>
      </c>
      <c r="E18" s="196" t="s">
        <v>52</v>
      </c>
      <c r="F18" s="197"/>
      <c r="G18" s="197"/>
      <c r="H18" s="113" t="s">
        <v>25</v>
      </c>
      <c r="I18" s="69" t="s">
        <v>53</v>
      </c>
    </row>
    <row r="19" spans="2:9" ht="15" customHeight="1">
      <c r="B19" s="108">
        <v>11</v>
      </c>
      <c r="C19" s="111" t="s">
        <v>54</v>
      </c>
      <c r="E19" s="186" t="s">
        <v>55</v>
      </c>
      <c r="F19" s="187"/>
      <c r="G19" s="188"/>
      <c r="H19" s="138">
        <v>0.5</v>
      </c>
    </row>
    <row r="20" spans="2:9" ht="15" customHeight="1">
      <c r="B20" s="108">
        <v>12</v>
      </c>
      <c r="C20" s="111" t="s">
        <v>56</v>
      </c>
      <c r="E20" s="190" t="s">
        <v>57</v>
      </c>
      <c r="F20" s="191"/>
      <c r="G20" s="192"/>
      <c r="H20" s="139">
        <v>0.2</v>
      </c>
    </row>
    <row r="21" spans="2:9" ht="15" customHeight="1">
      <c r="B21" s="108">
        <v>13</v>
      </c>
      <c r="C21" s="111" t="s">
        <v>58</v>
      </c>
      <c r="E21" s="198" t="s">
        <v>59</v>
      </c>
      <c r="F21" s="199"/>
      <c r="G21" s="200"/>
      <c r="H21" s="140">
        <v>0.1</v>
      </c>
    </row>
    <row r="22" spans="2:9" ht="15" customHeight="1">
      <c r="B22" s="108">
        <v>14</v>
      </c>
      <c r="C22" s="111" t="s">
        <v>60</v>
      </c>
      <c r="E22" s="190" t="s">
        <v>61</v>
      </c>
      <c r="F22" s="172"/>
      <c r="G22" s="173"/>
      <c r="H22" s="139">
        <v>0.05</v>
      </c>
    </row>
    <row r="23" spans="2:9" ht="15" customHeight="1">
      <c r="B23" s="108">
        <v>15</v>
      </c>
      <c r="C23" s="111" t="s">
        <v>62</v>
      </c>
      <c r="E23" s="198" t="s">
        <v>63</v>
      </c>
      <c r="F23" s="199"/>
      <c r="G23" s="200"/>
      <c r="H23" s="141">
        <v>0.05</v>
      </c>
    </row>
    <row r="24" spans="2:9" ht="15" customHeight="1">
      <c r="B24" s="108">
        <v>16</v>
      </c>
      <c r="C24" s="111" t="s">
        <v>64</v>
      </c>
      <c r="E24" s="190" t="s">
        <v>65</v>
      </c>
      <c r="F24" s="191"/>
      <c r="G24" s="192"/>
      <c r="H24" s="139">
        <v>0.1</v>
      </c>
    </row>
    <row r="25" spans="2:9" ht="15" customHeight="1" thickBot="1">
      <c r="B25" s="108">
        <v>17</v>
      </c>
      <c r="C25" s="111" t="s">
        <v>66</v>
      </c>
      <c r="E25" s="183"/>
      <c r="F25" s="184"/>
      <c r="G25" s="185"/>
      <c r="H25" s="140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93" t="s">
        <v>70</v>
      </c>
      <c r="F28" s="194"/>
      <c r="G28" s="194"/>
      <c r="H28" s="195"/>
    </row>
    <row r="29" spans="2:9" ht="15" customHeight="1" thickBot="1">
      <c r="B29" s="108">
        <v>21</v>
      </c>
      <c r="C29" s="111" t="s">
        <v>71</v>
      </c>
      <c r="E29" s="177" t="s">
        <v>72</v>
      </c>
      <c r="F29" s="178"/>
      <c r="G29" s="178"/>
      <c r="H29" s="179"/>
    </row>
    <row r="30" spans="2:9" ht="15" customHeight="1" thickBot="1">
      <c r="B30" s="108">
        <v>22</v>
      </c>
      <c r="C30" s="111" t="s">
        <v>73</v>
      </c>
      <c r="E30" s="174" t="s">
        <v>74</v>
      </c>
      <c r="F30" s="175"/>
      <c r="G30" s="175"/>
      <c r="H30" s="176"/>
    </row>
    <row r="31" spans="2:9" ht="15" customHeight="1" thickBot="1">
      <c r="B31" s="108">
        <v>23</v>
      </c>
      <c r="C31" s="111" t="s">
        <v>75</v>
      </c>
      <c r="E31" s="177" t="s">
        <v>76</v>
      </c>
      <c r="F31" s="178"/>
      <c r="G31" s="178"/>
      <c r="H31" s="179"/>
    </row>
    <row r="32" spans="2:9" ht="15" customHeight="1" thickBot="1">
      <c r="B32" s="108">
        <v>24</v>
      </c>
      <c r="C32" s="111" t="s">
        <v>77</v>
      </c>
      <c r="E32" s="174" t="s">
        <v>78</v>
      </c>
      <c r="F32" s="175"/>
      <c r="G32" s="175"/>
      <c r="H32" s="176"/>
    </row>
    <row r="33" spans="2:8" ht="15" customHeight="1" thickBot="1">
      <c r="B33" s="108">
        <v>25</v>
      </c>
      <c r="C33" s="111" t="s">
        <v>79</v>
      </c>
      <c r="E33" s="177" t="s">
        <v>80</v>
      </c>
      <c r="F33" s="178"/>
      <c r="G33" s="178"/>
      <c r="H33" s="179"/>
    </row>
    <row r="34" spans="2:8" ht="15" customHeight="1" thickBot="1">
      <c r="B34" s="108">
        <v>26</v>
      </c>
      <c r="C34" s="111" t="s">
        <v>81</v>
      </c>
      <c r="E34" s="174" t="s">
        <v>82</v>
      </c>
      <c r="F34" s="175"/>
      <c r="G34" s="175"/>
      <c r="H34" s="176"/>
    </row>
    <row r="35" spans="2:8" ht="15" customHeight="1" thickBot="1">
      <c r="B35" s="108">
        <v>27</v>
      </c>
      <c r="C35" s="111" t="s">
        <v>83</v>
      </c>
      <c r="E35" s="177" t="s">
        <v>84</v>
      </c>
      <c r="F35" s="178"/>
      <c r="G35" s="178"/>
      <c r="H35" s="179"/>
    </row>
    <row r="36" spans="2:8" ht="15" customHeight="1" thickBot="1">
      <c r="B36" s="108">
        <v>28</v>
      </c>
      <c r="C36" s="111" t="s">
        <v>85</v>
      </c>
      <c r="E36" s="174" t="s">
        <v>86</v>
      </c>
      <c r="F36" s="175"/>
      <c r="G36" s="175"/>
      <c r="H36" s="176"/>
    </row>
    <row r="37" spans="2:8" ht="15" customHeight="1" thickBot="1">
      <c r="B37" s="108">
        <v>29</v>
      </c>
      <c r="C37" s="111" t="s">
        <v>87</v>
      </c>
      <c r="E37" s="177" t="s">
        <v>88</v>
      </c>
      <c r="F37" s="178"/>
      <c r="G37" s="178"/>
      <c r="H37" s="179"/>
    </row>
    <row r="38" spans="2:8" ht="15" customHeight="1" thickBot="1">
      <c r="B38" s="108">
        <v>30</v>
      </c>
      <c r="C38" s="111" t="s">
        <v>89</v>
      </c>
      <c r="E38" s="174" t="s">
        <v>90</v>
      </c>
      <c r="F38" s="175"/>
      <c r="G38" s="175"/>
      <c r="H38" s="176"/>
    </row>
    <row r="39" spans="2:8" ht="15" customHeight="1" thickBot="1">
      <c r="B39" s="108">
        <v>31</v>
      </c>
      <c r="C39" s="111"/>
      <c r="E39" s="177" t="s">
        <v>91</v>
      </c>
      <c r="F39" s="178"/>
      <c r="G39" s="178"/>
      <c r="H39" s="179"/>
    </row>
    <row r="40" spans="2:8" ht="15" customHeight="1" thickBot="1">
      <c r="B40" s="108">
        <v>32</v>
      </c>
      <c r="C40" s="111"/>
      <c r="E40" s="174" t="s">
        <v>92</v>
      </c>
      <c r="F40" s="175"/>
      <c r="G40" s="175"/>
      <c r="H40" s="17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38</v>
      </c>
      <c r="G43" s="119" t="s">
        <v>49</v>
      </c>
      <c r="H43" s="120" t="s">
        <v>56</v>
      </c>
    </row>
    <row r="44" spans="2:8" ht="15" customHeight="1">
      <c r="B44" s="108">
        <v>36</v>
      </c>
      <c r="C44" s="111"/>
      <c r="E44" s="121" t="s">
        <v>30</v>
      </c>
      <c r="F44" s="122" t="s">
        <v>41</v>
      </c>
      <c r="G44" s="122" t="s">
        <v>51</v>
      </c>
      <c r="H44" s="123" t="s">
        <v>58</v>
      </c>
    </row>
    <row r="45" spans="2:8" ht="15" customHeight="1">
      <c r="B45" s="108">
        <v>37</v>
      </c>
      <c r="C45" s="111"/>
      <c r="E45" s="124" t="s">
        <v>33</v>
      </c>
      <c r="F45" s="125" t="s">
        <v>44</v>
      </c>
      <c r="G45" s="125" t="s">
        <v>54</v>
      </c>
      <c r="H45" s="126" t="s">
        <v>60</v>
      </c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/>
      <c r="H46" s="123" t="s">
        <v>62</v>
      </c>
    </row>
    <row r="47" spans="2:8" ht="15" customHeight="1">
      <c r="B47" s="108">
        <v>39</v>
      </c>
      <c r="C47" s="111"/>
      <c r="E47" s="124"/>
      <c r="F47" s="125"/>
      <c r="G47" s="125"/>
      <c r="H47" s="126" t="s">
        <v>64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66</v>
      </c>
      <c r="F51" s="119" t="s">
        <v>71</v>
      </c>
      <c r="G51" s="119" t="s">
        <v>81</v>
      </c>
      <c r="H51" s="120"/>
    </row>
    <row r="52" spans="2:8" ht="15" customHeight="1">
      <c r="B52" s="108">
        <v>44</v>
      </c>
      <c r="C52" s="111"/>
      <c r="E52" s="121" t="s">
        <v>67</v>
      </c>
      <c r="F52" s="122" t="s">
        <v>73</v>
      </c>
      <c r="G52" s="122" t="s">
        <v>83</v>
      </c>
      <c r="H52" s="123"/>
    </row>
    <row r="53" spans="2:8" ht="15" customHeight="1">
      <c r="B53" s="108">
        <v>45</v>
      </c>
      <c r="C53" s="111"/>
      <c r="E53" s="124" t="s">
        <v>68</v>
      </c>
      <c r="F53" s="125" t="s">
        <v>75</v>
      </c>
      <c r="G53" s="125" t="s">
        <v>85</v>
      </c>
      <c r="H53" s="126"/>
    </row>
    <row r="54" spans="2:8" ht="15" customHeight="1">
      <c r="B54" s="108">
        <v>46</v>
      </c>
      <c r="C54" s="111"/>
      <c r="E54" s="121" t="s">
        <v>69</v>
      </c>
      <c r="F54" s="122" t="s">
        <v>77</v>
      </c>
      <c r="G54" s="122" t="s">
        <v>87</v>
      </c>
      <c r="H54" s="123"/>
    </row>
    <row r="55" spans="2:8" ht="15" customHeight="1">
      <c r="B55" s="108">
        <v>47</v>
      </c>
      <c r="C55" s="111"/>
      <c r="E55" s="124"/>
      <c r="F55" s="125" t="s">
        <v>79</v>
      </c>
      <c r="G55" s="125" t="s">
        <v>89</v>
      </c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tIhzsg+DsInE0A5E0vUb9xGP02xD4SrtsVOKKIujRvnwTn1Lah7fYPYn71jNdoD/QCtSWs2HilhxC1bTqgi07A==" saltValue="i1J1nmu0+GXBQP4/LLHyM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K54" sqref="F54:L54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INNOVACION Y EMPRENDIMIENTO</v>
      </c>
      <c r="C2" s="82"/>
      <c r="D2" s="3"/>
      <c r="F2" s="152" t="s">
        <v>93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CONCATENATE(LIDER!C4," - ",LIDER!C6," - ",LIDER!C5)</f>
        <v>INNOVACION Y EMPRENDIMIENTO - 2302 - GABRIEL EDUARDO CARDONA TUÑON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95</v>
      </c>
      <c r="D5" s="32" t="s">
        <v>96</v>
      </c>
      <c r="E5" s="89" t="s">
        <v>97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ORNEYS ALEJANDRO BELEÑO ALCÁZAR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VALERIE ANDREA MONTES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GABRIEL ERNESTO QUIROZ LOPEZ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KENET JAVIER RAMIREZ DEL RIO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98</v>
      </c>
      <c r="D12" s="32" t="str">
        <f>D5</f>
        <v>LIST</v>
      </c>
      <c r="E12" s="89" t="s">
        <v>97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3.3200000000000003</v>
      </c>
      <c r="F13" s="143">
        <v>3.8</v>
      </c>
      <c r="G13" s="145">
        <v>3.6</v>
      </c>
      <c r="H13" s="147">
        <v>3.6</v>
      </c>
      <c r="I13" s="145">
        <v>3.6</v>
      </c>
      <c r="J13" s="147">
        <v>3.6</v>
      </c>
      <c r="K13" s="145">
        <v>3.8</v>
      </c>
      <c r="L13" s="147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3.3200000000000003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SHARON GUERRERO DE AVILA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3.3200000000000003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VALENTINA SOFIA PADILLA AGUDELO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3.3200000000000003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99</v>
      </c>
      <c r="D19" s="32" t="str">
        <f>D12</f>
        <v>LIST</v>
      </c>
      <c r="E19" s="89" t="s">
        <v>97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NEYS DEL CARMEN ARROYO QUINTANA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3.8500000000000005</v>
      </c>
      <c r="F20" s="143">
        <v>4</v>
      </c>
      <c r="G20" s="145">
        <v>4.3</v>
      </c>
      <c r="H20" s="147">
        <v>4.3</v>
      </c>
      <c r="I20" s="145">
        <v>4.3</v>
      </c>
      <c r="J20" s="147">
        <v>4.3</v>
      </c>
      <c r="K20" s="145">
        <v>4.5</v>
      </c>
      <c r="L20" s="147"/>
    </row>
    <row r="21" spans="1:12" s="2" customFormat="1" ht="15" customHeight="1">
      <c r="A21" s="12">
        <v>2</v>
      </c>
      <c r="B21" s="10" t="str">
        <f>LIDER!G44</f>
        <v>BIANCA FIORELLA CARAZO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3.8500000000000005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LUIS MARIO MARRUGO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3.8500000000000005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100</v>
      </c>
      <c r="D26" s="32" t="str">
        <f>D19</f>
        <v>LIST</v>
      </c>
      <c r="E26" s="89" t="s">
        <v>97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DANIA LICETH ACOSTA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</v>
      </c>
      <c r="F27" s="143">
        <v>4</v>
      </c>
      <c r="G27" s="145">
        <v>3.8</v>
      </c>
      <c r="H27" s="147">
        <v>3.8</v>
      </c>
      <c r="I27" s="145">
        <v>3.8</v>
      </c>
      <c r="J27" s="147">
        <v>3.8</v>
      </c>
      <c r="K27" s="145">
        <v>4</v>
      </c>
      <c r="L27" s="147"/>
    </row>
    <row r="28" spans="1:12" s="2" customFormat="1" ht="15" customHeight="1">
      <c r="A28" s="12">
        <v>2</v>
      </c>
      <c r="B28" s="10" t="str">
        <f>LIDER!H44</f>
        <v>ANDRES FELIPE ALFARO LARES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LUISA DANIELA ALVAREZ ARGUMEDO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NICOLE ANDREA BARRAZA CARDOZO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DANIELA BOLAÑOS CUELLAR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101</v>
      </c>
      <c r="D33" s="32" t="str">
        <f>D26</f>
        <v>LIST</v>
      </c>
      <c r="E33" s="89" t="s">
        <v>97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FERNANDA BERRIO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</v>
      </c>
      <c r="F34" s="143">
        <v>3.8</v>
      </c>
      <c r="G34" s="145">
        <v>3.8</v>
      </c>
      <c r="H34" s="147">
        <v>3.8</v>
      </c>
      <c r="I34" s="145">
        <v>3.8</v>
      </c>
      <c r="J34" s="147">
        <v>3.8</v>
      </c>
      <c r="K34" s="145">
        <v>3.8</v>
      </c>
      <c r="L34" s="147">
        <v>3.8</v>
      </c>
    </row>
    <row r="35" spans="1:12" s="2" customFormat="1" ht="15" customHeight="1">
      <c r="A35" s="12">
        <v>2</v>
      </c>
      <c r="B35" s="10" t="str">
        <f>LIDER!E52</f>
        <v>JESUS DANIEL MOLINA SANCHEZ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102</v>
      </c>
      <c r="D40" s="32" t="str">
        <f>D33</f>
        <v>LIST</v>
      </c>
      <c r="E40" s="89" t="s">
        <v>97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ANA JOHANA AHUMADA MONTERO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3.5500000000000003</v>
      </c>
      <c r="F41" s="143">
        <v>4</v>
      </c>
      <c r="G41" s="145">
        <v>3.7</v>
      </c>
      <c r="H41" s="147">
        <v>3.7</v>
      </c>
      <c r="I41" s="145">
        <v>3.7</v>
      </c>
      <c r="J41" s="147">
        <v>3.7</v>
      </c>
      <c r="K41" s="145">
        <v>4.5</v>
      </c>
      <c r="L41" s="147"/>
    </row>
    <row r="42" spans="1:12" s="2" customFormat="1" ht="15" customHeight="1">
      <c r="A42" s="12">
        <v>2</v>
      </c>
      <c r="B42" s="10" t="str">
        <f>LIDER!F52</f>
        <v>EVELIN TATIANA CASTRO MONTAÑO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3.5500000000000003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HELEN SOFIA DAZA VILLAMIZAR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3.5500000000000003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NICOLLE LIZETH MORALES PUELLO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3.5500000000000003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ELIZABETH ZAMORA MARTINEZ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3.5500000000000003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84</v>
      </c>
      <c r="C47" s="88" t="s">
        <v>103</v>
      </c>
      <c r="D47" s="32" t="str">
        <f>D40</f>
        <v>LIST</v>
      </c>
      <c r="E47" s="89" t="s">
        <v>97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AISHA CARMONA DIAZ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4.1300000000000008</v>
      </c>
      <c r="F48" s="143">
        <v>4.7</v>
      </c>
      <c r="G48" s="145">
        <v>4.5</v>
      </c>
      <c r="H48" s="147">
        <v>4.5</v>
      </c>
      <c r="I48" s="145">
        <v>4.5</v>
      </c>
      <c r="J48" s="147">
        <v>4.5</v>
      </c>
      <c r="K48" s="145">
        <v>4.7</v>
      </c>
      <c r="L48" s="147"/>
    </row>
    <row r="49" spans="1:12" s="2" customFormat="1" ht="15" customHeight="1">
      <c r="A49" s="12">
        <v>2</v>
      </c>
      <c r="B49" s="10" t="str">
        <f>LIDER!G52</f>
        <v>HEIDY JOSEFINA HERRERA PERTUZ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4.1300000000000008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DANNA SOFIA OROZCO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4.1300000000000008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JERALDINE RAMIREZ ARTEAGA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4.1300000000000008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NICOLLE VALENTINA RODRIGUEZ FIGUEROA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4.1300000000000008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86</v>
      </c>
      <c r="C54" s="88" t="s">
        <v>104</v>
      </c>
      <c r="D54" s="32" t="str">
        <f>D47</f>
        <v>LIST</v>
      </c>
      <c r="E54" s="89" t="s">
        <v>97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88</v>
      </c>
      <c r="C61" s="88" t="s">
        <v>105</v>
      </c>
      <c r="D61" s="32" t="str">
        <f>D54</f>
        <v>LIST</v>
      </c>
      <c r="E61" s="89" t="s">
        <v>97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90</v>
      </c>
      <c r="C68" s="88" t="s">
        <v>106</v>
      </c>
      <c r="D68" s="32" t="str">
        <f>D61</f>
        <v>LIST</v>
      </c>
      <c r="E68" s="89" t="s">
        <v>97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91</v>
      </c>
      <c r="C75" s="88" t="s">
        <v>107</v>
      </c>
      <c r="D75" s="32" t="str">
        <f>D68</f>
        <v>LIST</v>
      </c>
      <c r="E75" s="89" t="s">
        <v>97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92</v>
      </c>
      <c r="C82" s="88" t="s">
        <v>108</v>
      </c>
      <c r="D82" s="32" t="str">
        <f>D75</f>
        <v>LIST</v>
      </c>
      <c r="E82" s="89" t="s">
        <v>97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3" activePane="bottomRight" state="frozen"/>
      <selection pane="bottomRight" activeCell="D52" sqref="D5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ELECTIVA DE PROFUNDIZACION III</v>
      </c>
      <c r="C2" s="82"/>
      <c r="D2" s="3"/>
      <c r="F2" s="152" t="s">
        <v>93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CONCATENATE(LIDER!D4," - ",LIDER!D6," - ",LIDER!D5)</f>
        <v>ELECTIVA DE PROFUNDIZACION III - 2318 - LUIS CARLOS PUELLO SUÁREZ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95</v>
      </c>
      <c r="D5" s="32" t="s">
        <v>96</v>
      </c>
      <c r="E5" s="89" t="s">
        <v>97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ORNEYS ALEJANDRO BELEÑO ALCÁZAR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4.96</v>
      </c>
      <c r="F6" s="143">
        <v>5</v>
      </c>
      <c r="G6" s="145">
        <v>5</v>
      </c>
      <c r="H6" s="147">
        <v>5</v>
      </c>
      <c r="I6" s="145">
        <v>5</v>
      </c>
      <c r="J6" s="147">
        <v>5</v>
      </c>
      <c r="K6" s="145">
        <v>4.8</v>
      </c>
      <c r="L6" s="147">
        <v>5</v>
      </c>
    </row>
    <row r="7" spans="1:12" s="2" customFormat="1" ht="15" customHeight="1">
      <c r="A7" s="12">
        <v>2</v>
      </c>
      <c r="B7" s="10" t="str">
        <f>LIDER!E44</f>
        <v>VALERIE ANDREA MONTES HERNANDEZ</v>
      </c>
      <c r="C7" s="90" t="str">
        <f t="shared" ref="C7:C11" si="0">C6</f>
        <v>G01</v>
      </c>
      <c r="D7" s="96" t="s">
        <v>109</v>
      </c>
      <c r="E7" s="11" t="str">
        <f>IF(B7=0,0,IF(D7="",$F$6*LIDER!$H$9+$G$6*LIDER!$H$10+$H$6*LIDER!$H$11+$I$6*LIDER!$H$12+$J$6*LIDER!$H$13+$K$6*LIDER!$H$14+$L$6*LIDER!$H$15,"N"))</f>
        <v>N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GABRIEL ERNESTO QUIROZ LOPEZ</v>
      </c>
      <c r="C8" s="90" t="str">
        <f t="shared" si="0"/>
        <v>G01</v>
      </c>
      <c r="D8" s="96" t="s">
        <v>109</v>
      </c>
      <c r="E8" s="11" t="str">
        <f>IF(B8=0,0,IF(D8="",$F$6*LIDER!$H$9+$G$6*LIDER!$H$10+$H$6*LIDER!$H$11+$I$6*LIDER!$H$12+$J$6*LIDER!$H$13+$K$6*LIDER!$H$14+$L$6*LIDER!$H$15,"N"))</f>
        <v>N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KENET JAVIER RAMIREZ DEL RIO</v>
      </c>
      <c r="C9" s="90" t="str">
        <f t="shared" si="0"/>
        <v>G01</v>
      </c>
      <c r="D9" s="96" t="s">
        <v>109</v>
      </c>
      <c r="E9" s="11" t="str">
        <f>IF(B9=0,0,IF(D9="",$F$6*LIDER!$H$9+$G$6*LIDER!$H$10+$H$6*LIDER!$H$11+$I$6*LIDER!$H$12+$J$6*LIDER!$H$13+$K$6*LIDER!$H$14+$L$6*LIDER!$H$15,"N"))</f>
        <v>N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98</v>
      </c>
      <c r="D12" s="32" t="str">
        <f>D5</f>
        <v>LIST</v>
      </c>
      <c r="E12" s="89" t="s">
        <v>97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 t="s">
        <v>109</v>
      </c>
      <c r="E13" s="11" t="str">
        <f>IF(B13=0,0,IF(D13="",$F$13*LIDER!$H$9+$G$13*LIDER!$H$10+$H$13*LIDER!$H$11+$I$13*LIDER!$H$12+$J$13*LIDER!$H$13+$K$13*LIDER!$H$14+$L$13*LIDER!$H$15,"N"))</f>
        <v>N</v>
      </c>
      <c r="F13" s="143">
        <v>4.8</v>
      </c>
      <c r="G13" s="145">
        <v>5</v>
      </c>
      <c r="H13" s="147">
        <v>4.8</v>
      </c>
      <c r="I13" s="145">
        <v>4.8</v>
      </c>
      <c r="J13" s="147">
        <v>4.8</v>
      </c>
      <c r="K13" s="145">
        <v>4.5</v>
      </c>
      <c r="L13" s="147">
        <v>5</v>
      </c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4.8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SHARON GUERRERO DE AVILA</v>
      </c>
      <c r="C15" s="90" t="str">
        <f t="shared" si="1"/>
        <v>G02</v>
      </c>
      <c r="D15" s="96" t="s">
        <v>109</v>
      </c>
      <c r="E15" s="11" t="str">
        <f>IF(B15=0,0,IF(D15="",$F$13*LIDER!$H$9+$G$13*LIDER!$H$10+$H$13*LIDER!$H$11+$I$13*LIDER!$H$12+$J$13*LIDER!$H$13+$K$13*LIDER!$H$14+$L$13*LIDER!$H$15,"N"))</f>
        <v>N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VALENTINA SOFIA PADILLA AGUDELO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4.8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99</v>
      </c>
      <c r="D19" s="32" t="str">
        <f>D12</f>
        <v>LIST</v>
      </c>
      <c r="E19" s="89" t="s">
        <v>97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NEYS DEL CARMEN ARROYO QUINTANA</v>
      </c>
      <c r="C20" s="90" t="str">
        <f>C19</f>
        <v>G03</v>
      </c>
      <c r="D20" s="95" t="s">
        <v>109</v>
      </c>
      <c r="E20" s="11" t="str">
        <f>IF(B20=0,0,IF(D20="",$F$20*LIDER!$H$9+$G$20*LIDER!$H$10+$H$20*LIDER!$H$11+$I$20*LIDER!$H$12+$J$20*LIDER!$H$13+$K$20*LIDER!$H$14+$L$20*LIDER!$H$15,"N"))</f>
        <v>N</v>
      </c>
      <c r="F20" s="143">
        <v>5</v>
      </c>
      <c r="G20" s="145">
        <v>5</v>
      </c>
      <c r="H20" s="147">
        <v>5</v>
      </c>
      <c r="I20" s="145">
        <v>5</v>
      </c>
      <c r="J20" s="147">
        <v>5</v>
      </c>
      <c r="K20" s="145">
        <v>4.5</v>
      </c>
      <c r="L20" s="147">
        <v>5</v>
      </c>
    </row>
    <row r="21" spans="1:12" s="2" customFormat="1" ht="15" customHeight="1">
      <c r="A21" s="12">
        <v>2</v>
      </c>
      <c r="B21" s="10" t="str">
        <f>LIDER!G44</f>
        <v>BIANCA FIORELLA CARAZO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4.9000000000000004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LUIS MARIO MARRUGO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4.9000000000000004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100</v>
      </c>
      <c r="D26" s="32" t="str">
        <f>D19</f>
        <v>LIST</v>
      </c>
      <c r="E26" s="89" t="s">
        <v>97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DANIA LICETH ACOSTA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4.9000000000000004</v>
      </c>
      <c r="F27" s="143">
        <v>4.8</v>
      </c>
      <c r="G27" s="145">
        <v>5</v>
      </c>
      <c r="H27" s="147">
        <v>5</v>
      </c>
      <c r="I27" s="145">
        <v>5</v>
      </c>
      <c r="J27" s="147">
        <v>5</v>
      </c>
      <c r="K27" s="145">
        <v>4.7</v>
      </c>
      <c r="L27" s="147">
        <v>5</v>
      </c>
    </row>
    <row r="28" spans="1:12" s="2" customFormat="1" ht="15" customHeight="1">
      <c r="A28" s="12">
        <v>2</v>
      </c>
      <c r="B28" s="10" t="str">
        <f>LIDER!H44</f>
        <v>ANDRES FELIPE ALFARO LARES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4.9000000000000004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LUISA DANIELA ALVAREZ ARGUMEDO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4.9000000000000004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NICOLE ANDREA BARRAZA CARDOZO</v>
      </c>
      <c r="C30" s="90" t="str">
        <f t="shared" si="3"/>
        <v>G04</v>
      </c>
      <c r="D30" s="96" t="s">
        <v>109</v>
      </c>
      <c r="E30" s="11" t="str">
        <f>IF(B30=0,0,IF(D30="",$F$27*LIDER!$H$9+$G$27*LIDER!$H$10+$H$27*LIDER!$H$11+$I$27*LIDER!$H$12+$J$27*LIDER!$H$13+$K$27*LIDER!$H$14+$L$27*LIDER!$H$15,"N"))</f>
        <v>N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DANIELA BOLAÑOS CUELLAR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4.9000000000000004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101</v>
      </c>
      <c r="D33" s="32" t="str">
        <f>D26</f>
        <v>LIST</v>
      </c>
      <c r="E33" s="89" t="s">
        <v>97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FERNANDA BERRIO BUSTOS</v>
      </c>
      <c r="C34" s="90" t="str">
        <f>C33</f>
        <v>G05</v>
      </c>
      <c r="D34" s="95" t="s">
        <v>109</v>
      </c>
      <c r="E34" s="11" t="str">
        <f>IF(B34=0,0,IF(D34="",$F$34*LIDER!$H$9+$G$34*LIDER!$H$10+$H$34*LIDER!$H$11+$I$34*LIDER!$H$12+$J$34*LIDER!$H$13+$K$34*LIDER!$H$14+$L$34*LIDER!$H$15,"N"))</f>
        <v>N</v>
      </c>
      <c r="F34" s="143">
        <v>4.8</v>
      </c>
      <c r="G34" s="145">
        <v>5</v>
      </c>
      <c r="H34" s="147">
        <v>5</v>
      </c>
      <c r="I34" s="145">
        <v>5</v>
      </c>
      <c r="J34" s="147">
        <v>5</v>
      </c>
      <c r="K34" s="145">
        <v>4.7</v>
      </c>
      <c r="L34" s="147">
        <v>5</v>
      </c>
    </row>
    <row r="35" spans="1:12" s="2" customFormat="1" ht="15" customHeight="1">
      <c r="A35" s="12">
        <v>2</v>
      </c>
      <c r="B35" s="10" t="str">
        <f>LIDER!E52</f>
        <v>JESUS DANIEL MOLINA SANCHEZ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4.9000000000000004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4.9000000000000004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4.9000000000000004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102</v>
      </c>
      <c r="D40" s="32" t="str">
        <f>D33</f>
        <v>LIST</v>
      </c>
      <c r="E40" s="89" t="s">
        <v>97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ANA JOHANA AHUMADA MONTERO</v>
      </c>
      <c r="C41" s="90" t="str">
        <f>C40</f>
        <v>G06</v>
      </c>
      <c r="D41" s="95" t="s">
        <v>109</v>
      </c>
      <c r="E41" s="11" t="str">
        <f>IF(B41=0,0,IF(D41="",$F$41*LIDER!$H$9+$G$41*LIDER!$H$10+$H$41*LIDER!$H$11+$I$41*LIDER!$H$12+$J$41*LIDER!$H$13+$K$41*LIDER!$H$14+$L$41*LIDER!$H$15,"N"))</f>
        <v>N</v>
      </c>
      <c r="F41" s="143">
        <v>4.8</v>
      </c>
      <c r="G41" s="145">
        <v>5</v>
      </c>
      <c r="H41" s="147">
        <v>5</v>
      </c>
      <c r="I41" s="145">
        <v>5</v>
      </c>
      <c r="J41" s="147">
        <v>5</v>
      </c>
      <c r="K41" s="145">
        <v>4.5</v>
      </c>
      <c r="L41" s="147">
        <v>5</v>
      </c>
    </row>
    <row r="42" spans="1:12" s="2" customFormat="1" ht="15" customHeight="1">
      <c r="A42" s="12">
        <v>2</v>
      </c>
      <c r="B42" s="10" t="str">
        <f>LIDER!F52</f>
        <v>EVELIN TATIANA CASTRO MONTAÑO</v>
      </c>
      <c r="C42" s="90" t="str">
        <f t="shared" ref="C42:C46" si="5">C41</f>
        <v>G06</v>
      </c>
      <c r="D42" s="96" t="s">
        <v>109</v>
      </c>
      <c r="E42" s="11" t="str">
        <f>IF(B42=0,0,IF(D42="",$F$41*LIDER!$H$9+$G$41*LIDER!$H$10+$H$41*LIDER!$H$11+$I$41*LIDER!$H$12+$J$41*LIDER!$H$13+$K$41*LIDER!$H$14+$L$41*LIDER!$H$15,"N"))</f>
        <v>N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HELEN SOFIA DAZA VILLAMIZAR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4.8600000000000003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NICOLLE LIZETH MORALES PUELLO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4.8600000000000003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ELIZABETH ZAMORA MARTINEZ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4.8600000000000003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84</v>
      </c>
      <c r="C47" s="88" t="s">
        <v>103</v>
      </c>
      <c r="D47" s="32" t="str">
        <f>D40</f>
        <v>LIST</v>
      </c>
      <c r="E47" s="89" t="s">
        <v>97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AISHA CARMONA DIAZ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4.9000000000000004</v>
      </c>
      <c r="F48" s="143">
        <v>4.8</v>
      </c>
      <c r="G48" s="145">
        <v>5</v>
      </c>
      <c r="H48" s="147">
        <v>5</v>
      </c>
      <c r="I48" s="145">
        <v>4.8</v>
      </c>
      <c r="J48" s="147">
        <v>5</v>
      </c>
      <c r="K48" s="145">
        <v>4.8</v>
      </c>
      <c r="L48" s="147">
        <v>5</v>
      </c>
    </row>
    <row r="49" spans="1:12" s="2" customFormat="1" ht="15" customHeight="1">
      <c r="A49" s="12">
        <v>2</v>
      </c>
      <c r="B49" s="10" t="str">
        <f>LIDER!G52</f>
        <v>HEIDY JOSEFINA HERRERA PERTUZ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4.9000000000000004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DANNA SOFIA OROZCO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4.9000000000000004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JERALDINE RAMIREZ ARTEAGA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4.9000000000000004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NICOLLE VALENTINA RODRIGUEZ FIGUEROA</v>
      </c>
      <c r="C52" s="90" t="str">
        <f t="shared" si="6"/>
        <v>G07</v>
      </c>
      <c r="D52" s="96" t="s">
        <v>109</v>
      </c>
      <c r="E52" s="11" t="str">
        <f>IF(B52=0,0,IF(D52="",$F$48*LIDER!$H$9+$G$48*LIDER!$H$10+$H$48*LIDER!$H$11+$I$48*LIDER!$H$12+$J$48*LIDER!$H$13+$K$48*LIDER!$H$14+$L$48*LIDER!$H$15,"N"))</f>
        <v>N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86</v>
      </c>
      <c r="C54" s="88" t="s">
        <v>104</v>
      </c>
      <c r="D54" s="32" t="str">
        <f>D47</f>
        <v>LIST</v>
      </c>
      <c r="E54" s="89" t="s">
        <v>97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88</v>
      </c>
      <c r="C61" s="88" t="s">
        <v>105</v>
      </c>
      <c r="D61" s="32" t="str">
        <f>D54</f>
        <v>LIST</v>
      </c>
      <c r="E61" s="89" t="s">
        <v>97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90</v>
      </c>
      <c r="C68" s="88" t="s">
        <v>106</v>
      </c>
      <c r="D68" s="32" t="str">
        <f>D61</f>
        <v>LIST</v>
      </c>
      <c r="E68" s="89" t="s">
        <v>97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91</v>
      </c>
      <c r="C75" s="88" t="s">
        <v>107</v>
      </c>
      <c r="D75" s="32" t="str">
        <f>D68</f>
        <v>LIST</v>
      </c>
      <c r="E75" s="89" t="s">
        <v>97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92</v>
      </c>
      <c r="C82" s="88" t="s">
        <v>108</v>
      </c>
      <c r="D82" s="32" t="str">
        <f>D75</f>
        <v>LIST</v>
      </c>
      <c r="E82" s="89" t="s">
        <v>97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I41" sqref="I41:I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AMBIENTE Y DESARROLLO</v>
      </c>
      <c r="C2" s="82"/>
      <c r="D2" s="3"/>
      <c r="F2" s="152" t="s">
        <v>93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CONCATENATE(LIDER!E4," - ",LIDER!E6," - ",LIDER!E5)</f>
        <v>AMBIENTE Y DESARROLLO - 1084 - DEIRY BARRETO GUERRA</v>
      </c>
      <c r="G4" s="155"/>
      <c r="H4" s="155"/>
      <c r="I4" s="155"/>
      <c r="J4" s="155"/>
      <c r="K4" s="155"/>
      <c r="L4" s="155"/>
    </row>
    <row r="5" spans="1:12" s="2" customFormat="1" ht="15.75" customHeight="1">
      <c r="A5" s="8"/>
      <c r="B5" s="25" t="s">
        <v>72</v>
      </c>
      <c r="C5" s="88" t="s">
        <v>95</v>
      </c>
      <c r="D5" s="32" t="s">
        <v>96</v>
      </c>
      <c r="E5" s="89" t="s">
        <v>97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26.25" customHeight="1">
      <c r="A6" s="9">
        <v>1</v>
      </c>
      <c r="B6" s="10" t="str">
        <f>LIDER!E43</f>
        <v>ORNEYS ALEJANDRO BELEÑO ALCÁZAR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4.1500000000000004</v>
      </c>
      <c r="F6" s="201">
        <v>4</v>
      </c>
      <c r="G6" s="202">
        <v>4</v>
      </c>
      <c r="H6" s="203">
        <v>4.3</v>
      </c>
      <c r="I6" s="202">
        <v>3.9</v>
      </c>
      <c r="J6" s="203">
        <v>4.5</v>
      </c>
      <c r="K6" s="202">
        <v>3.9</v>
      </c>
      <c r="L6" s="203">
        <v>5</v>
      </c>
    </row>
    <row r="7" spans="1:12" s="2" customFormat="1" ht="15" customHeight="1">
      <c r="A7" s="12">
        <v>2</v>
      </c>
      <c r="B7" s="10" t="str">
        <f>LIDER!E44</f>
        <v>VALERIE ANDREA MONTES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4.1500000000000004</v>
      </c>
      <c r="F7" s="201"/>
      <c r="G7" s="202"/>
      <c r="H7" s="203"/>
      <c r="I7" s="202"/>
      <c r="J7" s="203"/>
      <c r="K7" s="202"/>
      <c r="L7" s="203"/>
    </row>
    <row r="8" spans="1:12" s="2" customFormat="1" ht="15" customHeight="1">
      <c r="A8" s="12">
        <v>3</v>
      </c>
      <c r="B8" s="10" t="str">
        <f>LIDER!E45</f>
        <v>GABRIEL ERNESTO QUIROZ LOPEZ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4.1500000000000004</v>
      </c>
      <c r="F8" s="201"/>
      <c r="G8" s="202"/>
      <c r="H8" s="203"/>
      <c r="I8" s="202"/>
      <c r="J8" s="203"/>
      <c r="K8" s="202"/>
      <c r="L8" s="203"/>
    </row>
    <row r="9" spans="1:12" s="2" customFormat="1" ht="15" customHeight="1">
      <c r="A9" s="12">
        <v>4</v>
      </c>
      <c r="B9" s="10" t="str">
        <f>LIDER!E46</f>
        <v>KENET JAVIER RAMIREZ DEL RIO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4.1500000000000004</v>
      </c>
      <c r="F9" s="201"/>
      <c r="G9" s="202"/>
      <c r="H9" s="203"/>
      <c r="I9" s="202"/>
      <c r="J9" s="203"/>
      <c r="K9" s="202"/>
      <c r="L9" s="203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202"/>
      <c r="H10" s="203"/>
      <c r="I10" s="202"/>
      <c r="J10" s="203"/>
      <c r="K10" s="202"/>
      <c r="L10" s="203"/>
    </row>
    <row r="11" spans="1:12" s="2" customFormat="1" ht="15.75" customHeigh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202"/>
      <c r="H11" s="203"/>
      <c r="I11" s="202"/>
      <c r="J11" s="203"/>
      <c r="K11" s="202"/>
      <c r="L11" s="203"/>
    </row>
    <row r="12" spans="1:12" s="2" customFormat="1" ht="15.75" customHeight="1">
      <c r="A12" s="8"/>
      <c r="B12" s="25" t="s">
        <v>74</v>
      </c>
      <c r="C12" s="88" t="s">
        <v>98</v>
      </c>
      <c r="D12" s="32" t="str">
        <f>D5</f>
        <v>LIST</v>
      </c>
      <c r="E12" s="89" t="s">
        <v>97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26.25" customHeight="1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3.9800000000000004</v>
      </c>
      <c r="F13" s="201">
        <v>4</v>
      </c>
      <c r="G13" s="202">
        <v>4</v>
      </c>
      <c r="H13" s="203">
        <v>3.9</v>
      </c>
      <c r="I13" s="202">
        <v>3.9</v>
      </c>
      <c r="J13" s="203">
        <v>3.9</v>
      </c>
      <c r="K13" s="202">
        <v>3.8</v>
      </c>
      <c r="L13" s="203">
        <v>4.5</v>
      </c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3.9800000000000004</v>
      </c>
      <c r="F14" s="201"/>
      <c r="G14" s="202"/>
      <c r="H14" s="203"/>
      <c r="I14" s="202"/>
      <c r="J14" s="203"/>
      <c r="K14" s="202"/>
      <c r="L14" s="203"/>
    </row>
    <row r="15" spans="1:12" s="2" customFormat="1" ht="15" customHeight="1">
      <c r="A15" s="12">
        <v>3</v>
      </c>
      <c r="B15" s="10" t="str">
        <f>LIDER!F45</f>
        <v>SHARON GUERRERO DE AVILA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3.9800000000000004</v>
      </c>
      <c r="F15" s="201"/>
      <c r="G15" s="202"/>
      <c r="H15" s="203"/>
      <c r="I15" s="202"/>
      <c r="J15" s="203"/>
      <c r="K15" s="202"/>
      <c r="L15" s="203"/>
    </row>
    <row r="16" spans="1:12" s="2" customFormat="1" ht="15" customHeight="1">
      <c r="A16" s="12">
        <v>4</v>
      </c>
      <c r="B16" s="10" t="str">
        <f>LIDER!F46</f>
        <v>VALENTINA SOFIA PADILLA AGUDELO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3.9800000000000004</v>
      </c>
      <c r="F16" s="201"/>
      <c r="G16" s="202"/>
      <c r="H16" s="203"/>
      <c r="I16" s="202"/>
      <c r="J16" s="203"/>
      <c r="K16" s="202"/>
      <c r="L16" s="203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202"/>
      <c r="H17" s="203"/>
      <c r="I17" s="202"/>
      <c r="J17" s="203"/>
      <c r="K17" s="202"/>
      <c r="L17" s="203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202"/>
      <c r="H18" s="203"/>
      <c r="I18" s="202"/>
      <c r="J18" s="203"/>
      <c r="K18" s="202"/>
      <c r="L18" s="203"/>
    </row>
    <row r="19" spans="1:12" s="2" customFormat="1" ht="15.75" customHeight="1">
      <c r="A19" s="14"/>
      <c r="B19" s="25" t="s">
        <v>76</v>
      </c>
      <c r="C19" s="88" t="s">
        <v>99</v>
      </c>
      <c r="D19" s="32" t="str">
        <f>D12</f>
        <v>LIST</v>
      </c>
      <c r="E19" s="89" t="s">
        <v>97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26.25" customHeight="1">
      <c r="A20" s="9">
        <v>1</v>
      </c>
      <c r="B20" s="10" t="str">
        <f>LIDER!G43</f>
        <v>NEYS DEL CARMEN ARROYO QUINTANA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3.95</v>
      </c>
      <c r="F20" s="201">
        <v>4</v>
      </c>
      <c r="G20" s="202">
        <v>4</v>
      </c>
      <c r="H20" s="203">
        <v>4</v>
      </c>
      <c r="I20" s="202">
        <v>4.3</v>
      </c>
      <c r="J20" s="203">
        <v>4.2</v>
      </c>
      <c r="K20" s="202">
        <v>3</v>
      </c>
      <c r="L20" s="203">
        <v>5</v>
      </c>
    </row>
    <row r="21" spans="1:12" s="2" customFormat="1" ht="15" customHeight="1">
      <c r="A21" s="12">
        <v>2</v>
      </c>
      <c r="B21" s="10" t="str">
        <f>LIDER!G44</f>
        <v>BIANCA FIORELLA CARAZO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3.95</v>
      </c>
      <c r="F21" s="201"/>
      <c r="G21" s="202"/>
      <c r="H21" s="203"/>
      <c r="I21" s="202"/>
      <c r="J21" s="203"/>
      <c r="K21" s="202"/>
      <c r="L21" s="203"/>
    </row>
    <row r="22" spans="1:12" s="2" customFormat="1" ht="15" customHeight="1">
      <c r="A22" s="12">
        <v>3</v>
      </c>
      <c r="B22" s="10" t="str">
        <f>LIDER!G45</f>
        <v>LUIS MARIO MARRUGO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3.95</v>
      </c>
      <c r="F22" s="201"/>
      <c r="G22" s="202"/>
      <c r="H22" s="203"/>
      <c r="I22" s="202"/>
      <c r="J22" s="203"/>
      <c r="K22" s="202"/>
      <c r="L22" s="203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202"/>
      <c r="H23" s="203"/>
      <c r="I23" s="202"/>
      <c r="J23" s="203"/>
      <c r="K23" s="202"/>
      <c r="L23" s="203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202"/>
      <c r="H24" s="203"/>
      <c r="I24" s="202"/>
      <c r="J24" s="203"/>
      <c r="K24" s="202"/>
      <c r="L24" s="203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202"/>
      <c r="H25" s="203"/>
      <c r="I25" s="202"/>
      <c r="J25" s="203"/>
      <c r="K25" s="202"/>
      <c r="L25" s="203"/>
    </row>
    <row r="26" spans="1:12" s="2" customFormat="1" ht="15.75" customHeight="1">
      <c r="A26" s="14"/>
      <c r="B26" s="25" t="s">
        <v>78</v>
      </c>
      <c r="C26" s="88" t="s">
        <v>100</v>
      </c>
      <c r="D26" s="32" t="str">
        <f>D19</f>
        <v>LIST</v>
      </c>
      <c r="E26" s="89" t="s">
        <v>97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26.25" customHeight="1">
      <c r="A27" s="9">
        <v>1</v>
      </c>
      <c r="B27" s="10" t="str">
        <f>LIDER!H43</f>
        <v>DANIA LICETH ACOSTA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4.2100000000000009</v>
      </c>
      <c r="F27" s="201">
        <v>4</v>
      </c>
      <c r="G27" s="202">
        <v>3.9</v>
      </c>
      <c r="H27" s="203">
        <v>4.5</v>
      </c>
      <c r="I27" s="202">
        <v>4.5</v>
      </c>
      <c r="J27" s="203">
        <v>4.5</v>
      </c>
      <c r="K27" s="202">
        <v>3.9</v>
      </c>
      <c r="L27" s="203">
        <v>5</v>
      </c>
    </row>
    <row r="28" spans="1:12" s="2" customFormat="1" ht="15" customHeight="1">
      <c r="A28" s="12">
        <v>2</v>
      </c>
      <c r="B28" s="10" t="str">
        <f>LIDER!H44</f>
        <v>ANDRES FELIPE ALFARO LARES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4.2100000000000009</v>
      </c>
      <c r="F28" s="201"/>
      <c r="G28" s="202"/>
      <c r="H28" s="203"/>
      <c r="I28" s="202"/>
      <c r="J28" s="203"/>
      <c r="K28" s="202"/>
      <c r="L28" s="203"/>
    </row>
    <row r="29" spans="1:12" s="2" customFormat="1" ht="15" customHeight="1">
      <c r="A29" s="12">
        <v>3</v>
      </c>
      <c r="B29" s="10" t="str">
        <f>LIDER!H45</f>
        <v>LUISA DANIELA ALVAREZ ARGUMEDO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4.2100000000000009</v>
      </c>
      <c r="F29" s="201"/>
      <c r="G29" s="202"/>
      <c r="H29" s="203"/>
      <c r="I29" s="202"/>
      <c r="J29" s="203"/>
      <c r="K29" s="202"/>
      <c r="L29" s="203"/>
    </row>
    <row r="30" spans="1:12" s="2" customFormat="1" ht="15" customHeight="1">
      <c r="A30" s="12">
        <v>4</v>
      </c>
      <c r="B30" s="10" t="str">
        <f>LIDER!H46</f>
        <v>NICOLE ANDREA BARRAZA CARDOZO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4.2100000000000009</v>
      </c>
      <c r="F30" s="201"/>
      <c r="G30" s="202"/>
      <c r="H30" s="203"/>
      <c r="I30" s="202"/>
      <c r="J30" s="203"/>
      <c r="K30" s="202"/>
      <c r="L30" s="203"/>
    </row>
    <row r="31" spans="1:12" s="2" customFormat="1" ht="15" customHeight="1">
      <c r="A31" s="12">
        <v>5</v>
      </c>
      <c r="B31" s="10" t="str">
        <f>LIDER!H47</f>
        <v>DANIELA BOLAÑOS CUELLAR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4.2100000000000009</v>
      </c>
      <c r="F31" s="201"/>
      <c r="G31" s="202"/>
      <c r="H31" s="203"/>
      <c r="I31" s="202"/>
      <c r="J31" s="203"/>
      <c r="K31" s="202"/>
      <c r="L31" s="203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202"/>
      <c r="H32" s="203"/>
      <c r="I32" s="202"/>
      <c r="J32" s="203"/>
      <c r="K32" s="202"/>
      <c r="L32" s="203"/>
    </row>
    <row r="33" spans="1:12" s="2" customFormat="1" ht="15.75" customHeight="1">
      <c r="A33" s="14"/>
      <c r="B33" s="25" t="s">
        <v>80</v>
      </c>
      <c r="C33" s="88" t="s">
        <v>101</v>
      </c>
      <c r="D33" s="32" t="str">
        <f>D26</f>
        <v>LIST</v>
      </c>
      <c r="E33" s="89" t="s">
        <v>97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26.25" customHeight="1">
      <c r="A34" s="9">
        <v>1</v>
      </c>
      <c r="B34" s="10" t="str">
        <f>LIDER!E51</f>
        <v>MARIA FERNANDA BERRIO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4.2500000000000009</v>
      </c>
      <c r="F34" s="201">
        <v>4</v>
      </c>
      <c r="G34" s="202">
        <v>3.9</v>
      </c>
      <c r="H34" s="203">
        <v>4.5</v>
      </c>
      <c r="I34" s="202">
        <v>4.3</v>
      </c>
      <c r="J34" s="203">
        <v>4.5</v>
      </c>
      <c r="K34" s="202">
        <v>4.2</v>
      </c>
      <c r="L34" s="203">
        <v>5</v>
      </c>
    </row>
    <row r="35" spans="1:12" s="2" customFormat="1" ht="15" customHeight="1">
      <c r="A35" s="12">
        <v>2</v>
      </c>
      <c r="B35" s="10" t="str">
        <f>LIDER!E52</f>
        <v>JESUS DANIEL MOLINA SANCHEZ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4.2500000000000009</v>
      </c>
      <c r="F35" s="201"/>
      <c r="G35" s="202"/>
      <c r="H35" s="203"/>
      <c r="I35" s="202"/>
      <c r="J35" s="203"/>
      <c r="K35" s="202"/>
      <c r="L35" s="203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4.2500000000000009</v>
      </c>
      <c r="F36" s="201"/>
      <c r="G36" s="202"/>
      <c r="H36" s="203"/>
      <c r="I36" s="202"/>
      <c r="J36" s="203"/>
      <c r="K36" s="202"/>
      <c r="L36" s="203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4.2500000000000009</v>
      </c>
      <c r="F37" s="201"/>
      <c r="G37" s="202"/>
      <c r="H37" s="203"/>
      <c r="I37" s="202"/>
      <c r="J37" s="203"/>
      <c r="K37" s="202"/>
      <c r="L37" s="203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202"/>
      <c r="H38" s="203"/>
      <c r="I38" s="202"/>
      <c r="J38" s="203"/>
      <c r="K38" s="202"/>
      <c r="L38" s="203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202"/>
      <c r="H39" s="203"/>
      <c r="I39" s="202"/>
      <c r="J39" s="203"/>
      <c r="K39" s="202"/>
      <c r="L39" s="203"/>
    </row>
    <row r="40" spans="1:12" s="2" customFormat="1" ht="15.75" customHeight="1">
      <c r="A40" s="14"/>
      <c r="B40" s="25" t="s">
        <v>82</v>
      </c>
      <c r="C40" s="88" t="s">
        <v>102</v>
      </c>
      <c r="D40" s="32" t="str">
        <f>D33</f>
        <v>LIST</v>
      </c>
      <c r="E40" s="89" t="s">
        <v>97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26.25" customHeight="1">
      <c r="A41" s="9">
        <v>1</v>
      </c>
      <c r="B41" s="10" t="str">
        <f>LIDER!F51</f>
        <v>ANA JOHANA AHUMADA MONTERO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3.7900000000000005</v>
      </c>
      <c r="F41" s="201">
        <v>3.9</v>
      </c>
      <c r="G41" s="202">
        <v>3.9</v>
      </c>
      <c r="H41" s="203">
        <v>4.5</v>
      </c>
      <c r="I41" s="202">
        <v>3.5</v>
      </c>
      <c r="J41" s="203">
        <v>4.3</v>
      </c>
      <c r="K41" s="202">
        <v>2.5</v>
      </c>
      <c r="L41" s="203">
        <v>5</v>
      </c>
    </row>
    <row r="42" spans="1:12" s="2" customFormat="1" ht="15" customHeight="1">
      <c r="A42" s="12">
        <v>2</v>
      </c>
      <c r="B42" s="10" t="str">
        <f>LIDER!F52</f>
        <v>EVELIN TATIANA CASTRO MONTAÑO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3.7900000000000005</v>
      </c>
      <c r="F42" s="201"/>
      <c r="G42" s="202"/>
      <c r="H42" s="203"/>
      <c r="I42" s="202"/>
      <c r="J42" s="203"/>
      <c r="K42" s="202"/>
      <c r="L42" s="203"/>
    </row>
    <row r="43" spans="1:12" s="2" customFormat="1" ht="15" customHeight="1">
      <c r="A43" s="12">
        <v>3</v>
      </c>
      <c r="B43" s="10" t="str">
        <f>LIDER!F53</f>
        <v>HELEN SOFIA DAZA VILLAMIZAR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3.7900000000000005</v>
      </c>
      <c r="F43" s="201"/>
      <c r="G43" s="202"/>
      <c r="H43" s="203"/>
      <c r="I43" s="202"/>
      <c r="J43" s="203"/>
      <c r="K43" s="202"/>
      <c r="L43" s="203"/>
    </row>
    <row r="44" spans="1:12" s="2" customFormat="1" ht="15" customHeight="1">
      <c r="A44" s="12">
        <v>4</v>
      </c>
      <c r="B44" s="10" t="str">
        <f>LIDER!F54</f>
        <v>NICOLLE LIZETH MORALES PUELLO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3.7900000000000005</v>
      </c>
      <c r="F44" s="201"/>
      <c r="G44" s="202"/>
      <c r="H44" s="203"/>
      <c r="I44" s="202"/>
      <c r="J44" s="203"/>
      <c r="K44" s="202"/>
      <c r="L44" s="203"/>
    </row>
    <row r="45" spans="1:12" s="2" customFormat="1" ht="15" customHeight="1">
      <c r="A45" s="12">
        <v>5</v>
      </c>
      <c r="B45" s="10" t="str">
        <f>LIDER!F55</f>
        <v>ELIZABETH ZAMORA MARTINEZ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3.7900000000000005</v>
      </c>
      <c r="F45" s="201"/>
      <c r="G45" s="202"/>
      <c r="H45" s="203"/>
      <c r="I45" s="202"/>
      <c r="J45" s="203"/>
      <c r="K45" s="202"/>
      <c r="L45" s="203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202"/>
      <c r="H46" s="203"/>
      <c r="I46" s="202"/>
      <c r="J46" s="203"/>
      <c r="K46" s="202"/>
      <c r="L46" s="203"/>
    </row>
    <row r="47" spans="1:12" s="2" customFormat="1" ht="15.75" customHeight="1">
      <c r="A47" s="14"/>
      <c r="B47" s="25" t="s">
        <v>84</v>
      </c>
      <c r="C47" s="88" t="s">
        <v>103</v>
      </c>
      <c r="D47" s="32" t="str">
        <f>D40</f>
        <v>LIST</v>
      </c>
      <c r="E47" s="89" t="s">
        <v>97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26.25" customHeight="1">
      <c r="A48" s="9">
        <v>1</v>
      </c>
      <c r="B48" s="10" t="str">
        <f>LIDER!G51</f>
        <v>AISHA CARMONA DIAZ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4.1399999999999997</v>
      </c>
      <c r="F48" s="201">
        <v>4</v>
      </c>
      <c r="G48" s="202">
        <v>4</v>
      </c>
      <c r="H48" s="203">
        <v>4.2</v>
      </c>
      <c r="I48" s="202">
        <v>4</v>
      </c>
      <c r="J48" s="203">
        <v>4.4000000000000004</v>
      </c>
      <c r="K48" s="202">
        <v>3.9</v>
      </c>
      <c r="L48" s="203">
        <v>5</v>
      </c>
    </row>
    <row r="49" spans="1:12" s="2" customFormat="1" ht="15" customHeight="1">
      <c r="A49" s="12">
        <v>2</v>
      </c>
      <c r="B49" s="10" t="str">
        <f>LIDER!G52</f>
        <v>HEIDY JOSEFINA HERRERA PERTUZ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4.1399999999999997</v>
      </c>
      <c r="F49" s="201"/>
      <c r="G49" s="202"/>
      <c r="H49" s="203"/>
      <c r="I49" s="202"/>
      <c r="J49" s="203"/>
      <c r="K49" s="202"/>
      <c r="L49" s="203"/>
    </row>
    <row r="50" spans="1:12" s="2" customFormat="1" ht="15" customHeight="1">
      <c r="A50" s="12">
        <v>3</v>
      </c>
      <c r="B50" s="10" t="str">
        <f>LIDER!G53</f>
        <v>DANNA SOFIA OROZCO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4.1399999999999997</v>
      </c>
      <c r="F50" s="201"/>
      <c r="G50" s="202"/>
      <c r="H50" s="203"/>
      <c r="I50" s="202"/>
      <c r="J50" s="203"/>
      <c r="K50" s="202"/>
      <c r="L50" s="203"/>
    </row>
    <row r="51" spans="1:12" s="2" customFormat="1" ht="15" customHeight="1">
      <c r="A51" s="12">
        <v>4</v>
      </c>
      <c r="B51" s="10" t="str">
        <f>LIDER!G54</f>
        <v>JERALDINE RAMIREZ ARTEAGA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4.1399999999999997</v>
      </c>
      <c r="F51" s="201"/>
      <c r="G51" s="202"/>
      <c r="H51" s="203"/>
      <c r="I51" s="202"/>
      <c r="J51" s="203"/>
      <c r="K51" s="202"/>
      <c r="L51" s="203"/>
    </row>
    <row r="52" spans="1:12" s="2" customFormat="1" ht="15" customHeight="1">
      <c r="A52" s="12">
        <v>5</v>
      </c>
      <c r="B52" s="10" t="str">
        <f>LIDER!G55</f>
        <v>NICOLLE VALENTINA RODRIGUEZ FIGUEROA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4.1399999999999997</v>
      </c>
      <c r="F52" s="201"/>
      <c r="G52" s="202"/>
      <c r="H52" s="203"/>
      <c r="I52" s="202"/>
      <c r="J52" s="203"/>
      <c r="K52" s="202"/>
      <c r="L52" s="203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202"/>
      <c r="H53" s="203"/>
      <c r="I53" s="202"/>
      <c r="J53" s="203"/>
      <c r="K53" s="202"/>
      <c r="L53" s="203"/>
    </row>
    <row r="54" spans="1:12" s="2" customFormat="1" ht="15.75" customHeight="1">
      <c r="A54" s="14"/>
      <c r="B54" s="25" t="s">
        <v>86</v>
      </c>
      <c r="C54" s="88" t="s">
        <v>104</v>
      </c>
      <c r="D54" s="32" t="str">
        <f>D47</f>
        <v>LIST</v>
      </c>
      <c r="E54" s="89" t="s">
        <v>97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88</v>
      </c>
      <c r="C61" s="88" t="s">
        <v>105</v>
      </c>
      <c r="D61" s="32" t="str">
        <f>D54</f>
        <v>LIST</v>
      </c>
      <c r="E61" s="89" t="s">
        <v>97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90</v>
      </c>
      <c r="C68" s="88" t="s">
        <v>106</v>
      </c>
      <c r="D68" s="32" t="str">
        <f>D61</f>
        <v>LIST</v>
      </c>
      <c r="E68" s="89" t="s">
        <v>97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91</v>
      </c>
      <c r="C75" s="88" t="s">
        <v>107</v>
      </c>
      <c r="D75" s="32" t="str">
        <f>D68</f>
        <v>LIST</v>
      </c>
      <c r="E75" s="89" t="s">
        <v>97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92</v>
      </c>
      <c r="C82" s="88" t="s">
        <v>108</v>
      </c>
      <c r="D82" s="32" t="str">
        <f>D75</f>
        <v>LIST</v>
      </c>
      <c r="E82" s="89" t="s">
        <v>97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8" activePane="bottomRight" state="frozen"/>
      <selection pane="bottomRight" activeCell="F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FINANZAS INTERNACIONALES</v>
      </c>
      <c r="C2" s="82"/>
      <c r="D2" s="3"/>
      <c r="F2" s="152" t="s">
        <v>93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CONCATENATE(LIDER!F4," - ",LIDER!F6," - ",LIDER!F5)</f>
        <v>FINANZAS INTERNACIONALES - 1442 - ARNOLD SANTAMARIA BELEÑO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95</v>
      </c>
      <c r="D5" s="32" t="s">
        <v>96</v>
      </c>
      <c r="E5" s="89" t="s">
        <v>97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ORNEYS ALEJANDRO BELEÑO ALCÁZAR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4.3400000000000007</v>
      </c>
      <c r="F6" s="143">
        <v>4.3</v>
      </c>
      <c r="G6" s="145">
        <v>4.4000000000000004</v>
      </c>
      <c r="H6" s="147">
        <v>4.3</v>
      </c>
      <c r="I6" s="145">
        <v>4.3</v>
      </c>
      <c r="J6" s="147">
        <v>4.3</v>
      </c>
      <c r="K6" s="145">
        <v>4.3</v>
      </c>
      <c r="L6" s="147">
        <v>4.5</v>
      </c>
    </row>
    <row r="7" spans="1:12" s="2" customFormat="1" ht="15" customHeight="1">
      <c r="A7" s="12">
        <v>2</v>
      </c>
      <c r="B7" s="10" t="str">
        <f>LIDER!E44</f>
        <v>VALERIE ANDREA MONTES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4.3400000000000007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GABRIEL ERNESTO QUIROZ LOPEZ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4.3400000000000007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KENET JAVIER RAMIREZ DEL RIO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4.3400000000000007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98</v>
      </c>
      <c r="D12" s="32" t="str">
        <f>D5</f>
        <v>LIST</v>
      </c>
      <c r="E12" s="89" t="s">
        <v>97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4.3800000000000008</v>
      </c>
      <c r="F13" s="143">
        <v>4.4000000000000004</v>
      </c>
      <c r="G13" s="145">
        <v>4.4000000000000004</v>
      </c>
      <c r="H13" s="147">
        <v>4.3</v>
      </c>
      <c r="I13" s="145">
        <v>4.2</v>
      </c>
      <c r="J13" s="147">
        <v>4.3</v>
      </c>
      <c r="K13" s="145">
        <v>4.5</v>
      </c>
      <c r="L13" s="147">
        <v>4.4000000000000004</v>
      </c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4.3800000000000008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SHARON GUERRERO DE AVILA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4.3800000000000008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VALENTINA SOFIA PADILLA AGUDELO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4.3800000000000008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99</v>
      </c>
      <c r="D19" s="32" t="str">
        <f>D12</f>
        <v>LIST</v>
      </c>
      <c r="E19" s="89" t="s">
        <v>97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NEYS DEL CARMEN ARROYO QUINTANA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4.4400000000000004</v>
      </c>
      <c r="F20" s="143">
        <v>4.4000000000000004</v>
      </c>
      <c r="G20" s="145">
        <v>4.4000000000000004</v>
      </c>
      <c r="H20" s="147">
        <v>4.4000000000000004</v>
      </c>
      <c r="I20" s="145">
        <v>4.4000000000000004</v>
      </c>
      <c r="J20" s="147">
        <v>4.4000000000000004</v>
      </c>
      <c r="K20" s="145">
        <v>4.5999999999999996</v>
      </c>
      <c r="L20" s="147">
        <v>4.4000000000000004</v>
      </c>
    </row>
    <row r="21" spans="1:12" s="2" customFormat="1" ht="15" customHeight="1">
      <c r="A21" s="12">
        <v>2</v>
      </c>
      <c r="B21" s="10" t="str">
        <f>LIDER!G44</f>
        <v>BIANCA FIORELLA CARAZO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4.4400000000000004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LUIS MARIO MARRUGO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4.4400000000000004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100</v>
      </c>
      <c r="D26" s="32" t="str">
        <f>D19</f>
        <v>LIST</v>
      </c>
      <c r="E26" s="89" t="s">
        <v>97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DANIA LICETH ACOSTA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4.4800000000000004</v>
      </c>
      <c r="F27" s="143">
        <v>4.5</v>
      </c>
      <c r="G27" s="145">
        <v>4.5</v>
      </c>
      <c r="H27" s="147">
        <v>4.4000000000000004</v>
      </c>
      <c r="I27" s="145">
        <v>4.3</v>
      </c>
      <c r="J27" s="147">
        <v>4.3</v>
      </c>
      <c r="K27" s="145">
        <v>4.5999999999999996</v>
      </c>
      <c r="L27" s="147">
        <v>4.5999999999999996</v>
      </c>
    </row>
    <row r="28" spans="1:12" s="2" customFormat="1" ht="15" customHeight="1">
      <c r="A28" s="12">
        <v>2</v>
      </c>
      <c r="B28" s="10" t="str">
        <f>LIDER!H44</f>
        <v>ANDRES FELIPE ALFARO LARES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4.4800000000000004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LUISA DANIELA ALVAREZ ARGUMEDO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4.4800000000000004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NICOLE ANDREA BARRAZA CARDOZO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4.4800000000000004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DANIELA BOLAÑOS CUELLAR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4.4800000000000004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101</v>
      </c>
      <c r="D33" s="32" t="str">
        <f>D26</f>
        <v>LIST</v>
      </c>
      <c r="E33" s="89" t="s">
        <v>97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FERNANDA BERRIO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4.4200000000000008</v>
      </c>
      <c r="F34" s="143">
        <v>4.4000000000000004</v>
      </c>
      <c r="G34" s="145">
        <v>4.4000000000000004</v>
      </c>
      <c r="H34" s="147">
        <v>4.3</v>
      </c>
      <c r="I34" s="145">
        <v>4.3</v>
      </c>
      <c r="J34" s="147">
        <v>4.3</v>
      </c>
      <c r="K34" s="145">
        <v>4.5999999999999996</v>
      </c>
      <c r="L34" s="147">
        <v>4.5</v>
      </c>
    </row>
    <row r="35" spans="1:12" s="2" customFormat="1" ht="15" customHeight="1">
      <c r="A35" s="12">
        <v>2</v>
      </c>
      <c r="B35" s="10" t="str">
        <f>LIDER!E52</f>
        <v>JESUS DANIEL MOLINA SANCHEZ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4.4200000000000008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4.4200000000000008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4.4200000000000008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102</v>
      </c>
      <c r="D40" s="32" t="str">
        <f>D33</f>
        <v>LIST</v>
      </c>
      <c r="E40" s="89" t="s">
        <v>97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ANA JOHANA AHUMADA MONTERO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4.3600000000000003</v>
      </c>
      <c r="F41" s="143">
        <v>4.3</v>
      </c>
      <c r="G41" s="145">
        <v>4.3</v>
      </c>
      <c r="H41" s="147">
        <v>4.3</v>
      </c>
      <c r="I41" s="145">
        <v>4.3</v>
      </c>
      <c r="J41" s="147">
        <v>4.3</v>
      </c>
      <c r="K41" s="145">
        <v>4.5</v>
      </c>
      <c r="L41" s="147">
        <v>4.5</v>
      </c>
    </row>
    <row r="42" spans="1:12" s="2" customFormat="1" ht="15" customHeight="1">
      <c r="A42" s="12">
        <v>2</v>
      </c>
      <c r="B42" s="10" t="str">
        <f>LIDER!F52</f>
        <v>EVELIN TATIANA CASTRO MONTAÑO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4.3600000000000003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HELEN SOFIA DAZA VILLAMIZAR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4.3600000000000003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NICOLLE LIZETH MORALES PUELLO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4.3600000000000003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ELIZABETH ZAMORA MARTINEZ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4.3600000000000003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84</v>
      </c>
      <c r="C47" s="88" t="s">
        <v>103</v>
      </c>
      <c r="D47" s="32" t="str">
        <f>D40</f>
        <v>LIST</v>
      </c>
      <c r="E47" s="89" t="s">
        <v>97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AISHA CARMONA DIAZ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4.4300000000000006</v>
      </c>
      <c r="F48" s="143">
        <v>4.4000000000000004</v>
      </c>
      <c r="G48" s="145">
        <v>4.4000000000000004</v>
      </c>
      <c r="H48" s="147">
        <v>4.4000000000000004</v>
      </c>
      <c r="I48" s="145">
        <v>4.3</v>
      </c>
      <c r="J48" s="147">
        <v>4.3</v>
      </c>
      <c r="K48" s="145">
        <v>4.5999999999999996</v>
      </c>
      <c r="L48" s="147">
        <v>4.5</v>
      </c>
    </row>
    <row r="49" spans="1:12" s="2" customFormat="1" ht="15" customHeight="1">
      <c r="A49" s="12">
        <v>2</v>
      </c>
      <c r="B49" s="10" t="str">
        <f>LIDER!G52</f>
        <v>HEIDY JOSEFINA HERRERA PERTUZ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4.4300000000000006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DANNA SOFIA OROZCO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4.4300000000000006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JERALDINE RAMIREZ ARTEAGA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4.4300000000000006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NICOLLE VALENTINA RODRIGUEZ FIGUEROA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4.4300000000000006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86</v>
      </c>
      <c r="C54" s="88" t="s">
        <v>104</v>
      </c>
      <c r="D54" s="32" t="str">
        <f>D47</f>
        <v>LIST</v>
      </c>
      <c r="E54" s="89" t="s">
        <v>97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88</v>
      </c>
      <c r="C61" s="88" t="s">
        <v>105</v>
      </c>
      <c r="D61" s="32" t="str">
        <f>D54</f>
        <v>LIST</v>
      </c>
      <c r="E61" s="89" t="s">
        <v>97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90</v>
      </c>
      <c r="C68" s="88" t="s">
        <v>106</v>
      </c>
      <c r="D68" s="32" t="str">
        <f>D61</f>
        <v>LIST</v>
      </c>
      <c r="E68" s="89" t="s">
        <v>97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91</v>
      </c>
      <c r="C75" s="88" t="s">
        <v>107</v>
      </c>
      <c r="D75" s="32" t="str">
        <f>D68</f>
        <v>LIST</v>
      </c>
      <c r="E75" s="89" t="s">
        <v>97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92</v>
      </c>
      <c r="C82" s="88" t="s">
        <v>108</v>
      </c>
      <c r="D82" s="32" t="str">
        <f>D75</f>
        <v>LIST</v>
      </c>
      <c r="E82" s="89" t="s">
        <v>97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D.F.I.</v>
      </c>
      <c r="C2" s="82"/>
      <c r="D2" s="3"/>
      <c r="F2" s="152" t="s">
        <v>93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CONCATENATE(LIDER!G4," - ",LIDER!G6," - ",LIDER!G5)</f>
        <v>D.F.I. - 1448 - RAFAEL UGARRIZA DIAZ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95</v>
      </c>
      <c r="D5" s="32" t="s">
        <v>96</v>
      </c>
      <c r="E5" s="89" t="s">
        <v>97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ORNEYS ALEJANDRO BELEÑO ALCÁZAR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VALERIE ANDREA MONTES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GABRIEL ERNESTO QUIROZ LOPEZ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KENET JAVIER RAMIREZ DEL RIO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98</v>
      </c>
      <c r="D12" s="32" t="str">
        <f>D5</f>
        <v>LIST</v>
      </c>
      <c r="E12" s="89" t="s">
        <v>97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SHARON GUERRERO DE AVILA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VALENTINA SOFIA PADILLA AGUDELO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99</v>
      </c>
      <c r="D19" s="32" t="str">
        <f>D12</f>
        <v>LIST</v>
      </c>
      <c r="E19" s="89" t="s">
        <v>97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NEYS DEL CARMEN ARROYO QUINTANA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BIANCA FIORELLA CARAZO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LUIS MARIO MARRUGO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100</v>
      </c>
      <c r="D26" s="32" t="str">
        <f>D19</f>
        <v>LIST</v>
      </c>
      <c r="E26" s="89" t="s">
        <v>97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DANIA LICETH ACOSTA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ANDRES FELIPE ALFARO LARES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LUISA DANIELA ALVAREZ ARGUMEDO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NICOLE ANDREA BARRAZA CARDOZO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DANIELA BOLAÑOS CUELLAR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101</v>
      </c>
      <c r="D33" s="32" t="str">
        <f>D26</f>
        <v>LIST</v>
      </c>
      <c r="E33" s="89" t="s">
        <v>97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FERNANDA BERRIO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JESUS DANIEL MOLINA SANCHEZ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102</v>
      </c>
      <c r="D40" s="32" t="str">
        <f>D33</f>
        <v>LIST</v>
      </c>
      <c r="E40" s="89" t="s">
        <v>97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ANA JOHANA AHUMADA MONTERO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 t="str">
        <f>LIDER!F52</f>
        <v>EVELIN TATIANA CASTRO MONTAÑO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HELEN SOFIA DAZA VILLAMIZAR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NICOLLE LIZETH MORALES PUELLO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ELIZABETH ZAMORA MARTINEZ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84</v>
      </c>
      <c r="C47" s="88" t="s">
        <v>103</v>
      </c>
      <c r="D47" s="32" t="str">
        <f>D40</f>
        <v>LIST</v>
      </c>
      <c r="E47" s="89" t="s">
        <v>97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AISHA CARMONA DIAZ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 t="str">
        <f>LIDER!G52</f>
        <v>HEIDY JOSEFINA HERRERA PERTUZ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DANNA SOFIA OROZCO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JERALDINE RAMIREZ ARTEAGA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NICOLLE VALENTINA RODRIGUEZ FIGUEROA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86</v>
      </c>
      <c r="C54" s="88" t="s">
        <v>104</v>
      </c>
      <c r="D54" s="32" t="str">
        <f>D47</f>
        <v>LIST</v>
      </c>
      <c r="E54" s="89" t="s">
        <v>97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88</v>
      </c>
      <c r="C61" s="88" t="s">
        <v>105</v>
      </c>
      <c r="D61" s="32" t="str">
        <f>D54</f>
        <v>LIST</v>
      </c>
      <c r="E61" s="89" t="s">
        <v>97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90</v>
      </c>
      <c r="C68" s="88" t="s">
        <v>106</v>
      </c>
      <c r="D68" s="32" t="str">
        <f>D61</f>
        <v>LIST</v>
      </c>
      <c r="E68" s="89" t="s">
        <v>97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91</v>
      </c>
      <c r="C75" s="88" t="s">
        <v>107</v>
      </c>
      <c r="D75" s="32" t="str">
        <f>D68</f>
        <v>LIST</v>
      </c>
      <c r="E75" s="89" t="s">
        <v>97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92</v>
      </c>
      <c r="C82" s="88" t="s">
        <v>108</v>
      </c>
      <c r="D82" s="32" t="str">
        <f>D75</f>
        <v>LIST</v>
      </c>
      <c r="E82" s="89" t="s">
        <v>97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G4" activePane="bottomRight" state="frozen"/>
      <selection pane="bottomRight" activeCell="I48" sqref="I48:I5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ELECTIVA LIBRE SOCIOHUMANÍ II</v>
      </c>
      <c r="C2" s="82"/>
      <c r="D2" s="3"/>
      <c r="F2" s="152" t="s">
        <v>93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CONCATENATE(LIDER!H4," - ",LIDER!H6," - ",LIDER!H5)</f>
        <v>ELECTIVA LIBRE SOCIOHUMANÍ II - 2119 - LIZETH MARIA CONEO GAMARRA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95</v>
      </c>
      <c r="D5" s="32" t="s">
        <v>96</v>
      </c>
      <c r="E5" s="89" t="s">
        <v>97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ORNEYS ALEJANDRO BELEÑO ALCÁZAR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4.57</v>
      </c>
      <c r="F6" s="143">
        <v>4.5</v>
      </c>
      <c r="G6" s="145">
        <v>4.8</v>
      </c>
      <c r="H6" s="147">
        <v>4.3</v>
      </c>
      <c r="I6" s="145">
        <v>4.3</v>
      </c>
      <c r="J6" s="147">
        <v>4.3</v>
      </c>
      <c r="K6" s="145">
        <v>4.5999999999999996</v>
      </c>
      <c r="L6" s="147">
        <v>5</v>
      </c>
    </row>
    <row r="7" spans="1:12" s="2" customFormat="1" ht="15" customHeight="1">
      <c r="A7" s="12">
        <v>2</v>
      </c>
      <c r="B7" s="10" t="str">
        <f>LIDER!E44</f>
        <v>VALERIE ANDREA MONTES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4.57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GABRIEL ERNESTO QUIROZ LOPEZ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4.57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KENET JAVIER RAMIREZ DEL RIO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4.57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98</v>
      </c>
      <c r="D12" s="32" t="str">
        <f>D5</f>
        <v>LIST</v>
      </c>
      <c r="E12" s="89" t="s">
        <v>97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3.9799999999999995</v>
      </c>
      <c r="F13" s="143">
        <v>4</v>
      </c>
      <c r="G13" s="145">
        <v>3.6</v>
      </c>
      <c r="H13" s="147">
        <v>4</v>
      </c>
      <c r="I13" s="145">
        <v>4</v>
      </c>
      <c r="J13" s="147">
        <v>4</v>
      </c>
      <c r="K13" s="145">
        <v>3.8</v>
      </c>
      <c r="L13" s="147">
        <v>5</v>
      </c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3.9799999999999995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SHARON GUERRERO DE AVILA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3.9799999999999995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VALENTINA SOFIA PADILLA AGUDELO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3.9799999999999995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99</v>
      </c>
      <c r="D19" s="32" t="str">
        <f>D12</f>
        <v>LIST</v>
      </c>
      <c r="E19" s="89" t="s">
        <v>97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NEYS DEL CARMEN ARROYO QUINTANA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3.61</v>
      </c>
      <c r="F20" s="143">
        <v>3.8</v>
      </c>
      <c r="G20" s="145">
        <v>3.8</v>
      </c>
      <c r="H20" s="147">
        <v>4</v>
      </c>
      <c r="I20" s="145">
        <v>4</v>
      </c>
      <c r="J20" s="147">
        <v>3.9</v>
      </c>
      <c r="K20" s="145">
        <v>2</v>
      </c>
      <c r="L20" s="147">
        <v>5</v>
      </c>
    </row>
    <row r="21" spans="1:12" s="2" customFormat="1" ht="15" customHeight="1">
      <c r="A21" s="12">
        <v>2</v>
      </c>
      <c r="B21" s="10" t="str">
        <f>LIDER!G44</f>
        <v>BIANCA FIORELLA CARAZO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3.61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LUIS MARIO MARRUGO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3.61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100</v>
      </c>
      <c r="D26" s="32" t="str">
        <f>D19</f>
        <v>LIST</v>
      </c>
      <c r="E26" s="89" t="s">
        <v>97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DANIA LICETH ACOSTA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4.1399999999999997</v>
      </c>
      <c r="F27" s="143">
        <v>4</v>
      </c>
      <c r="G27" s="145">
        <v>4.2</v>
      </c>
      <c r="H27" s="147">
        <v>4</v>
      </c>
      <c r="I27" s="145">
        <v>4</v>
      </c>
      <c r="J27" s="147">
        <v>4</v>
      </c>
      <c r="K27" s="145">
        <v>4</v>
      </c>
      <c r="L27" s="147">
        <v>5</v>
      </c>
    </row>
    <row r="28" spans="1:12" s="2" customFormat="1" ht="15" customHeight="1">
      <c r="A28" s="12">
        <v>2</v>
      </c>
      <c r="B28" s="10" t="str">
        <f>LIDER!H44</f>
        <v>ANDRES FELIPE ALFARO LARES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4.1399999999999997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LUISA DANIELA ALVAREZ ARGUMEDO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4.1399999999999997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NICOLE ANDREA BARRAZA CARDOZO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4.1399999999999997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DANIELA BOLAÑOS CUELLAR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4.1399999999999997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101</v>
      </c>
      <c r="D33" s="32" t="str">
        <f>D26</f>
        <v>LIST</v>
      </c>
      <c r="E33" s="89" t="s">
        <v>97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FERNANDA BERRIO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3.32</v>
      </c>
      <c r="F34" s="143">
        <v>3.8</v>
      </c>
      <c r="G34" s="145">
        <v>3.6</v>
      </c>
      <c r="H34" s="147">
        <v>3.8</v>
      </c>
      <c r="I34" s="145">
        <v>3.8</v>
      </c>
      <c r="J34" s="147">
        <v>3.8</v>
      </c>
      <c r="K34" s="145">
        <v>3.5</v>
      </c>
      <c r="L34" s="147"/>
    </row>
    <row r="35" spans="1:12" s="2" customFormat="1" ht="15" customHeight="1">
      <c r="A35" s="12">
        <v>2</v>
      </c>
      <c r="B35" s="10" t="str">
        <f>LIDER!E52</f>
        <v>JESUS DANIEL MOLINA SANCHEZ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3.32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3.32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3.32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102</v>
      </c>
      <c r="D40" s="32" t="str">
        <f>D33</f>
        <v>LIST</v>
      </c>
      <c r="E40" s="89" t="s">
        <v>97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ANA JOHANA AHUMADA MONTERO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2.8100000000000005</v>
      </c>
      <c r="F41" s="143">
        <v>3</v>
      </c>
      <c r="G41" s="145">
        <v>3.3</v>
      </c>
      <c r="H41" s="147">
        <v>3.5</v>
      </c>
      <c r="I41" s="145">
        <v>3.5</v>
      </c>
      <c r="J41" s="147">
        <v>3.5</v>
      </c>
      <c r="K41" s="145">
        <v>1</v>
      </c>
      <c r="L41" s="147">
        <v>3</v>
      </c>
    </row>
    <row r="42" spans="1:12" s="2" customFormat="1" ht="15" customHeight="1">
      <c r="A42" s="12">
        <v>2</v>
      </c>
      <c r="B42" s="10" t="str">
        <f>LIDER!F52</f>
        <v>EVELIN TATIANA CASTRO MONTAÑO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2.8100000000000005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HELEN SOFIA DAZA VILLAMIZAR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2.8100000000000005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NICOLLE LIZETH MORALES PUELLO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2.8100000000000005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ELIZABETH ZAMORA MARTINEZ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2.8100000000000005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84</v>
      </c>
      <c r="C47" s="88" t="s">
        <v>103</v>
      </c>
      <c r="D47" s="32" t="str">
        <f>D40</f>
        <v>LIST</v>
      </c>
      <c r="E47" s="89" t="s">
        <v>97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AISHA CARMONA DIAZ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4.57</v>
      </c>
      <c r="F48" s="143">
        <v>4.5</v>
      </c>
      <c r="G48" s="145">
        <v>4.5</v>
      </c>
      <c r="H48" s="147">
        <v>4.2</v>
      </c>
      <c r="I48" s="145">
        <v>4.2</v>
      </c>
      <c r="J48" s="147">
        <v>4.3</v>
      </c>
      <c r="K48" s="145">
        <v>5</v>
      </c>
      <c r="L48" s="147">
        <v>5</v>
      </c>
    </row>
    <row r="49" spans="1:12" s="2" customFormat="1" ht="15" customHeight="1">
      <c r="A49" s="12">
        <v>2</v>
      </c>
      <c r="B49" s="10" t="str">
        <f>LIDER!G52</f>
        <v>HEIDY JOSEFINA HERRERA PERTUZ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4.57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DANNA SOFIA OROZCO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4.57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JERALDINE RAMIREZ ARTEAGA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4.57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NICOLLE VALENTINA RODRIGUEZ FIGUEROA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4.57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86</v>
      </c>
      <c r="C54" s="88" t="s">
        <v>104</v>
      </c>
      <c r="D54" s="32" t="str">
        <f>D47</f>
        <v>LIST</v>
      </c>
      <c r="E54" s="89" t="s">
        <v>97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88</v>
      </c>
      <c r="C61" s="88" t="s">
        <v>105</v>
      </c>
      <c r="D61" s="32" t="str">
        <f>D54</f>
        <v>LIST</v>
      </c>
      <c r="E61" s="89" t="s">
        <v>97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90</v>
      </c>
      <c r="C68" s="88" t="s">
        <v>106</v>
      </c>
      <c r="D68" s="32" t="str">
        <f>D61</f>
        <v>LIST</v>
      </c>
      <c r="E68" s="89" t="s">
        <v>97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91</v>
      </c>
      <c r="C75" s="88" t="s">
        <v>107</v>
      </c>
      <c r="D75" s="32" t="str">
        <f>D68</f>
        <v>LIST</v>
      </c>
      <c r="E75" s="89" t="s">
        <v>97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92</v>
      </c>
      <c r="C82" s="88" t="s">
        <v>108</v>
      </c>
      <c r="D82" s="32" t="str">
        <f>D75</f>
        <v>LIST</v>
      </c>
      <c r="E82" s="89" t="s">
        <v>97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152" t="s">
        <v>93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para la Construcción de la marca empresarial (Branding)</v>
      </c>
      <c r="I3" s="86" t="str">
        <f>LIDER!E12</f>
        <v>RESULTADOS:  Analiza, integra y aplica de manera coherente los aspectos del  Plan de distribución.</v>
      </c>
      <c r="J3" s="85" t="str">
        <f>LIDER!E13</f>
        <v>RESULTADOS:  Analiza, integra y aplica de manera coherente los aspectos para  el  Análisis ambiental y social.</v>
      </c>
      <c r="K3" s="86" t="str">
        <f>LIDER!E14</f>
        <v>BILIOGRAFIA: Las referencias bibliograficas: adoptan las normas APA. El documento es producto de un rastreo bibliografico que muestra analisis y sistensis.</v>
      </c>
      <c r="L3" s="85" t="str">
        <f>LIDER!E15</f>
        <v>ASESORIAS: Anexó la hoja de tutoria firmada ( 3 fimas minmimo).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CONCATENATE(LIDER!I4," - ",LIDER!I6," - ",LIDER!I5)</f>
        <v xml:space="preserve"> -  - 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95</v>
      </c>
      <c r="D5" s="32" t="s">
        <v>96</v>
      </c>
      <c r="E5" s="89" t="s">
        <v>97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ORNEYS ALEJANDRO BELEÑO ALCÁZAR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VALERIE ANDREA MONTES HERNANDEZ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GABRIEL ERNESTO QUIROZ LOPEZ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KENET JAVIER RAMIREZ DEL RIO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98</v>
      </c>
      <c r="D12" s="32" t="str">
        <f>D5</f>
        <v>LIST</v>
      </c>
      <c r="E12" s="89" t="s">
        <v>97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SHARON GUERRERO DE AVILA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VALENTINA SOFIA PADILLA AGUDELO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99</v>
      </c>
      <c r="D19" s="32" t="str">
        <f>D12</f>
        <v>LIST</v>
      </c>
      <c r="E19" s="89" t="s">
        <v>97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NEYS DEL CARMEN ARROYO QUINTANA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BIANCA FIORELLA CARAZO PUELLO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LUIS MARIO MARRUGO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100</v>
      </c>
      <c r="D26" s="32" t="str">
        <f>D19</f>
        <v>LIST</v>
      </c>
      <c r="E26" s="89" t="s">
        <v>97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DANIA LICETH ACOSTA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ANDRES FELIPE ALFARO LARES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LUISA DANIELA ALVAREZ ARGUMEDO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NICOLE ANDREA BARRAZA CARDOZO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DANIELA BOLAÑOS CUELLAR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101</v>
      </c>
      <c r="D33" s="32" t="str">
        <f>D26</f>
        <v>LIST</v>
      </c>
      <c r="E33" s="89" t="s">
        <v>97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MARIA FERNANDA BERRIO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JESUS DANIEL MOLINA SANCHEZ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MANUEL ALEJANDRO POLO MARTINEZ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DANNA JUDITH SOTO CAMARGO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102</v>
      </c>
      <c r="D40" s="32" t="str">
        <f>D33</f>
        <v>LIST</v>
      </c>
      <c r="E40" s="89" t="s">
        <v>97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ANA JOHANA AHUMADA MONTERO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 t="str">
        <f>LIDER!F52</f>
        <v>EVELIN TATIANA CASTRO MONTAÑO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 t="str">
        <f>LIDER!F53</f>
        <v>HELEN SOFIA DAZA VILLAMIZAR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 t="str">
        <f>LIDER!F54</f>
        <v>NICOLLE LIZETH MORALES PUELLO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 t="str">
        <f>LIDER!F55</f>
        <v>ELIZABETH ZAMORA MARTINEZ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84</v>
      </c>
      <c r="C47" s="88" t="s">
        <v>103</v>
      </c>
      <c r="D47" s="32" t="str">
        <f>D40</f>
        <v>LIST</v>
      </c>
      <c r="E47" s="89" t="s">
        <v>97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 t="str">
        <f>LIDER!G51</f>
        <v>AISHA CARMONA DIAZ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 t="str">
        <f>LIDER!G52</f>
        <v>HEIDY JOSEFINA HERRERA PERTUZ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 t="str">
        <f>LIDER!G53</f>
        <v>DANNA SOFIA OROZCO TORRES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 t="str">
        <f>LIDER!G54</f>
        <v>JERALDINE RAMIREZ ARTEAGA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 t="str">
        <f>LIDER!G55</f>
        <v>NICOLLE VALENTINA RODRIGUEZ FIGUEROA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86</v>
      </c>
      <c r="C54" s="88" t="s">
        <v>104</v>
      </c>
      <c r="D54" s="32" t="str">
        <f>D47</f>
        <v>LIST</v>
      </c>
      <c r="E54" s="89" t="s">
        <v>97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88</v>
      </c>
      <c r="C61" s="88" t="s">
        <v>105</v>
      </c>
      <c r="D61" s="32" t="str">
        <f>D54</f>
        <v>LIST</v>
      </c>
      <c r="E61" s="89" t="s">
        <v>97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90</v>
      </c>
      <c r="C68" s="88" t="s">
        <v>106</v>
      </c>
      <c r="D68" s="32" t="str">
        <f>D61</f>
        <v>LIST</v>
      </c>
      <c r="E68" s="89" t="s">
        <v>97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91</v>
      </c>
      <c r="C75" s="88" t="s">
        <v>107</v>
      </c>
      <c r="D75" s="32" t="str">
        <f>D68</f>
        <v>LIST</v>
      </c>
      <c r="E75" s="89" t="s">
        <v>97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92</v>
      </c>
      <c r="C82" s="88" t="s">
        <v>108</v>
      </c>
      <c r="D82" s="32" t="str">
        <f>D75</f>
        <v>LIST</v>
      </c>
      <c r="E82" s="89" t="s">
        <v>97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INNOVACION Y EMPRENDIMIENTO</v>
      </c>
      <c r="C2" s="3"/>
      <c r="E2" s="205" t="s">
        <v>93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CONCATENATE(LIDER!C4," - ",LIDER!C6," - ",LIDER!C5)</f>
        <v>INNOVACION Y EMPRENDIMIENTO - 2302 - GABRIEL EDUARDO CARDONA TUÑON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97</v>
      </c>
      <c r="E5" s="208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ORNEYS ALEJANDRO BELEÑO ALCÁZAR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ANDREA MONTES HERNANDEZ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 ERNESTO QUIROZ LOPEZ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KENET JAVIER RAMIREZ DEL RIO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97</v>
      </c>
      <c r="E12" s="208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SHARON GUERRERO DE AVILA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VALENTINA SOFIA PADILLA AGUDELO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97</v>
      </c>
      <c r="E19" s="208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NEYS DEL CARMEN ARROYO QUINTANA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BIANCA FIORELLA CARAZO PUELLO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LUIS MARIO MARRUGO DIAZ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0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97</v>
      </c>
      <c r="E26" s="208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DANIA LICETH ACOSTA SALAZAR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ALFARO LARES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LUISA DANIELA ALVAREZ ARGUMEDO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NICOLE ANDREA BARRAZA CARDOZO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BOLAÑOS CUELLAR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97</v>
      </c>
      <c r="E33" s="208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FERNANDA BERRIO BUSTOS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JESUS DANIEL MOLINA SANCHEZ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97</v>
      </c>
      <c r="E40" s="208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ANA JOHANA AHUMADA MONTERO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EVELIN TATIANA CASTRO MONTAÑO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HELEN SOFIA DAZA VILLAMIZAR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NICOLLE LIZETH MORALES PUELLO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0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ELIZABETH ZAMORA MARTINEZ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0</v>
      </c>
      <c r="E45" s="20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97</v>
      </c>
      <c r="E47" s="208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AISHA CARMONA DIAZ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HEIDY JOSEFINA HERRERA PERTUZ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0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DANNA SOFIA OROZCO TORRES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0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JERALDINE RAMIREZ ARTEAGA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0</v>
      </c>
      <c r="E51" s="20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NICOLLE VALENTINA RODRIGUEZ FIGUEROA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0</v>
      </c>
      <c r="E52" s="20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97</v>
      </c>
      <c r="E54" s="208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97</v>
      </c>
      <c r="E61" s="208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97</v>
      </c>
      <c r="E68" s="208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IF('S-ASIG-01'!D75="","",'S-ASIG-01'!D75)</f>
        <v>LIST</v>
      </c>
      <c r="D75" s="35" t="s">
        <v>97</v>
      </c>
      <c r="E75" s="208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IF('S-ASIG-01'!D82="","",'S-ASIG-01'!D82)</f>
        <v>LIST</v>
      </c>
      <c r="D82" s="35" t="s">
        <v>97</v>
      </c>
      <c r="E82" s="208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ELECTIVA DE PROFUNDIZACION III</v>
      </c>
      <c r="C2" s="3"/>
      <c r="E2" s="205" t="s">
        <v>93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CONCATENATE(LIDER!D4," - ",LIDER!D6," - ",LIDER!D5)</f>
        <v>ELECTIVA DE PROFUNDIZACION III - 2318 - LUIS CARLOS PUELLO SUÁREZ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97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ORNEYS ALEJANDRO BELEÑO ALCÁZAR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ANDREA MONTES HERNANDEZ</v>
      </c>
      <c r="C7" s="33" t="str">
        <f>IF('S-ASIG-02'!D7="","",'S-ASIG-02'!D7)</f>
        <v>N</v>
      </c>
      <c r="D7" s="30" t="str">
        <f>IF(B7=0,"",IF(C7="",$E$6*LIDER!$H$19+F7*LIDER!$H$20+G7*LIDER!$H$21+H7*LIDER!$H$22+I7*LIDER!$H$23+J7*LIDER!$H$24+K7*LIDER!$H$25,"N"))</f>
        <v>N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 ERNESTO QUIROZ LOPEZ</v>
      </c>
      <c r="C8" s="33" t="str">
        <f>IF('S-ASIG-02'!D8="","",'S-ASIG-02'!D8)</f>
        <v>N</v>
      </c>
      <c r="D8" s="30" t="str">
        <f>IF(B8=0,"",IF(C8="",$E$6*LIDER!$H$19+F8*LIDER!$H$20+G8*LIDER!$H$21+H8*LIDER!$H$22+I8*LIDER!$H$23+J8*LIDER!$H$24+K8*LIDER!$H$25,"N"))</f>
        <v>N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KENET JAVIER RAMIREZ DEL RIO</v>
      </c>
      <c r="C9" s="33" t="str">
        <f>IF('S-ASIG-02'!D9="","",'S-ASIG-02'!D9)</f>
        <v>N</v>
      </c>
      <c r="D9" s="30" t="str">
        <f>IF(B9=0,"",IF(C9="",$E$6*LIDER!$H$19+F9*LIDER!$H$20+G9*LIDER!$H$21+H9*LIDER!$H$22+I9*LIDER!$H$23+J9*LIDER!$H$24+K9*LIDER!$H$25,"N"))</f>
        <v>N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97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IF('S-ASIG-02'!D13="","",'S-ASIG-02'!D13)</f>
        <v>N</v>
      </c>
      <c r="D13" s="30" t="str">
        <f>IF(B13=0,"",IF(C13="",$E$13*LIDER!$H$19+F13*LIDER!$H$20+G13*LIDER!$H$21+H13*LIDER!$H$22+I13*LIDER!$H$23+J13*LIDER!$H$24+K13*LIDER!$H$25,"N"))</f>
        <v>N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SHARON GUERRERO DE AVILA</v>
      </c>
      <c r="C15" s="33" t="str">
        <f>IF('S-ASIG-02'!D15="","",'S-ASIG-02'!D15)</f>
        <v>N</v>
      </c>
      <c r="D15" s="30" t="str">
        <f>IF(B15=0,"",IF(C15="",$E$13*LIDER!$H$19+F15*LIDER!$H$20+G15*LIDER!$H$21+H15*LIDER!$H$22+I15*LIDER!$H$23+J15*LIDER!$H$24+K15*LIDER!$H$25,"N"))</f>
        <v>N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VALENTINA SOFIA PADILLA AGUDELO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97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NEYS DEL CARMEN ARROYO QUINTANA</v>
      </c>
      <c r="C20" s="33" t="str">
        <f>IF('S-ASIG-02'!D20="","",'S-ASIG-02'!D20)</f>
        <v>N</v>
      </c>
      <c r="D20" s="30" t="str">
        <f>IF(B20=0,"",IF(C20="",$E$20*LIDER!$H$19+F20*LIDER!$H$20+G20*LIDER!$H$21+H20*LIDER!$H$22+I20*LIDER!$H$23+J20*LIDER!$H$24+K20*LIDER!$H$25,"N"))</f>
        <v>N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BIANCA FIORELLA CARAZO PUELLO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LUIS MARIO MARRUGO DIAZ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97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DANIA LICETH ACOSTA SALAZAR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ALFARO LARES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LUISA DANIELA ALVAREZ ARGUMEDO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NICOLE ANDREA BARRAZA CARDOZO</v>
      </c>
      <c r="C30" s="33" t="str">
        <f>IF('S-ASIG-02'!D30="","",'S-ASIG-02'!D30)</f>
        <v>N</v>
      </c>
      <c r="D30" s="30" t="str">
        <f>IF(B30=0,"",IF(C30="",$E$27*LIDER!$H$19+F30*LIDER!$H$20+G30*LIDER!$H$21+H30*LIDER!$H$22+I30*LIDER!$H$23+J30*LIDER!$H$24+K30*LIDER!$H$25,"N"))</f>
        <v>N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BOLAÑOS CUELLAR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97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FERNANDA BERRIO BUSTOS</v>
      </c>
      <c r="C34" s="33" t="str">
        <f>IF('S-ASIG-02'!D34="","",'S-ASIG-02'!D34)</f>
        <v>N</v>
      </c>
      <c r="D34" s="30" t="str">
        <f>IF(B34=0,"",IF(C34="",$E$34*LIDER!$H$19+F34*LIDER!$H$20+G34*LIDER!$H$21+H34*LIDER!$H$22+I34*LIDER!$H$23+J34*LIDER!$H$24+K34*LIDER!$H$25,"N"))</f>
        <v>N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JESUS DANIEL MOLINA SANCHEZ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97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ANA JOHANA AHUMADA MONTERO</v>
      </c>
      <c r="C41" s="33" t="str">
        <f>IF('S-ASIG-02'!D41="","",'S-ASIG-02'!D41)</f>
        <v>N</v>
      </c>
      <c r="D41" s="30" t="str">
        <f>IF(B41=0,"",IF(C41="",$E$41*LIDER!$H$19+F41*LIDER!$H$20+G41*LIDER!$H$21+H41*LIDER!$H$22+I41*LIDER!$H$23+J41*LIDER!$H$24+K41*LIDER!$H$25,"N"))</f>
        <v>N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EVELIN TATIANA CASTRO MONTAÑO</v>
      </c>
      <c r="C42" s="33" t="str">
        <f>IF('S-ASIG-02'!D42="","",'S-ASIG-02'!D42)</f>
        <v>N</v>
      </c>
      <c r="D42" s="30" t="str">
        <f>IF(B42=0,"",IF(C42="",$E$41*LIDER!$H$19+F42*LIDER!$H$20+G42*LIDER!$H$21+H42*LIDER!$H$22+I42*LIDER!$H$23+J42*LIDER!$H$24+K42*LIDER!$H$25,"N"))</f>
        <v>N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HELEN SOFIA DAZA VILLAMIZAR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NICOLLE LIZETH MORALES PUELLO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ELIZABETH ZAMORA MARTINEZ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97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AISHA CARMONA DIAZ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HEIDY JOSEFINA HERRERA PERTUZ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DANNA SOFIA OROZCO TORRES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JERALDINE RAMIREZ ARTEAGA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NICOLLE VALENTINA RODRIGUEZ FIGUEROA</v>
      </c>
      <c r="C52" s="33" t="str">
        <f>IF('S-ASIG-02'!D52="","",'S-ASIG-02'!D52)</f>
        <v>N</v>
      </c>
      <c r="D52" s="30" t="str">
        <f>IF(B52=0,"",IF(C52="",$E$48*LIDER!$H$19+F52*LIDER!$H$20+G52*LIDER!$H$21+H52*LIDER!$H$22+I52*LIDER!$H$23+J52*LIDER!$H$24+K52*LIDER!$H$25,"N"))</f>
        <v>N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97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97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97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IF('S-ASIG-02'!D75="","",'S-ASIG-02'!D75)</f>
        <v>LIST</v>
      </c>
      <c r="D75" s="35" t="s">
        <v>97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IF('S-ASIG-02'!D82="","",'S-ASIG-02'!D82)</f>
        <v>LIST</v>
      </c>
      <c r="D82" s="35" t="s">
        <v>97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AMBIENTE Y DESARROLLO</v>
      </c>
      <c r="C2" s="3"/>
      <c r="E2" s="205" t="s">
        <v>93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CONCATENATE(LIDER!E4," - ",LIDER!E6," - ",LIDER!E5)</f>
        <v>AMBIENTE Y DESARROLLO - 1084 - DEIRY BARRETO GUERRA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97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ORNEYS ALEJANDRO BELEÑO ALCÁZAR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ANDREA MONTES HERNANDEZ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 ERNESTO QUIROZ LOPEZ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KENET JAVIER RAMIREZ DEL RIO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97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SHARON GUERRERO DE AVILA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VALENTINA SOFIA PADILLA AGUDELO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97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NEYS DEL CARMEN ARROYO QUINTANA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BIANCA FIORELLA CARAZO PUELLO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LUIS MARIO MARRUGO DIAZ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97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DANIA LICETH ACOSTA SALAZAR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ALFARO LARES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LUISA DANIELA ALVAREZ ARGUMEDO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NICOLE ANDREA BARRAZA CARDOZO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BOLAÑOS CUELLAR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97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FERNANDA BERRIO BUSTOS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JESUS DANIEL MOLINA SANCHEZ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97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ANA JOHANA AHUMADA MONTERO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EVELIN TATIANA CASTRO MONTAÑO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HELEN SOFIA DAZA VILLAMIZAR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NICOLLE LIZETH MORALES PUELLO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ELIZABETH ZAMORA MARTINEZ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97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AISHA CARMONA DIAZ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HEIDY JOSEFINA HERRERA PERTUZ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DANNA SOFIA OROZCO TORRES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JERALDINE RAMIREZ ARTEAGA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NICOLLE VALENTINA RODRIGUEZ FIGUEROA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97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97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97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IF('S-ASIG-03'!D75="","",'S-ASIG-03'!D75)</f>
        <v>LIST</v>
      </c>
      <c r="D75" s="35" t="s">
        <v>97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IF('S-ASIG-03'!D82="","",'S-ASIG-03'!D82)</f>
        <v>LIST</v>
      </c>
      <c r="D82" s="35" t="s">
        <v>97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FINANZAS INTERNACIONALES</v>
      </c>
      <c r="C2" s="3"/>
      <c r="E2" s="205" t="s">
        <v>93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CONCATENATE(LIDER!F4," - ",LIDER!F6," - ",LIDER!F5)</f>
        <v>FINANZAS INTERNACIONALES - 1442 - ARNOLD SANTAMARIA BELEÑO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97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ORNEYS ALEJANDRO BELEÑO ALCÁZAR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ANDREA MONTES HERNANDEZ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 ERNESTO QUIROZ LOPEZ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KENET JAVIER RAMIREZ DEL RIO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97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SHARON GUERRERO DE AVILA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VALENTINA SOFIA PADILLA AGUDELO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97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NEYS DEL CARMEN ARROYO QUINTANA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BIANCA FIORELLA CARAZO PUELLO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LUIS MARIO MARRUGO DIAZ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97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DANIA LICETH ACOSTA SALAZAR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ALFARO LARES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LUISA DANIELA ALVAREZ ARGUMEDO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NICOLE ANDREA BARRAZA CARDOZO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BOLAÑOS CUELLAR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97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FERNANDA BERRIO BUSTOS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JESUS DANIEL MOLINA SANCHEZ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97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ANA JOHANA AHUMADA MONTERO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EVELIN TATIANA CASTRO MONTAÑO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HELEN SOFIA DAZA VILLAMIZAR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NICOLLE LIZETH MORALES PUELLO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ELIZABETH ZAMORA MARTINEZ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97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AISHA CARMONA DIAZ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HEIDY JOSEFINA HERRERA PERTUZ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DANNA SOFIA OROZCO TORRES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JERALDINE RAMIREZ ARTEAGA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NICOLLE VALENTINA RODRIGUEZ FIGUEROA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97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97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97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IF('S-ASIG-04'!D75="","",'S-ASIG-04'!D75)</f>
        <v>LIST</v>
      </c>
      <c r="D75" s="35" t="s">
        <v>97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IF('S-ASIG-04'!D82="","",'S-ASIG-04'!D82)</f>
        <v>LIST</v>
      </c>
      <c r="D82" s="35" t="s">
        <v>97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D.F.I.</v>
      </c>
      <c r="C2" s="3"/>
      <c r="E2" s="205" t="s">
        <v>93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CONCATENATE(LIDER!G4," - ",LIDER!G6," - ",LIDER!G5)</f>
        <v>D.F.I. - 1448 - RAFAEL UGARRIZA DIAZ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97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ORNEYS ALEJANDRO BELEÑO ALCÁZAR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ANDREA MONTES HERNANDEZ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 ERNESTO QUIROZ LOPEZ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KENET JAVIER RAMIREZ DEL RIO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97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SHARON GUERRERO DE AVILA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VALENTINA SOFIA PADILLA AGUDELO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97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NEYS DEL CARMEN ARROYO QUINTANA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BIANCA FIORELLA CARAZO PUELLO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LUIS MARIO MARRUGO DIAZ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97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DANIA LICETH ACOSTA SALAZAR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ALFARO LARES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LUISA DANIELA ALVAREZ ARGUMEDO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NICOLE ANDREA BARRAZA CARDOZO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BOLAÑOS CUELLAR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97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FERNANDA BERRIO BUSTOS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JESUS DANIEL MOLINA SANCHEZ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97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ANA JOHANA AHUMADA MONTERO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EVELIN TATIANA CASTRO MONTAÑO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HELEN SOFIA DAZA VILLAMIZAR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NICOLLE LIZETH MORALES PUELLO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ELIZABETH ZAMORA MARTINEZ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97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AISHA CARMONA DIAZ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HEIDY JOSEFINA HERRERA PERTUZ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DANNA SOFIA OROZCO TORRES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JERALDINE RAMIREZ ARTEAGA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NICOLLE VALENTINA RODRIGUEZ FIGUEROA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97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97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97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IF('S-ASIG-05'!D75="","",'S-ASIG-05'!D75)</f>
        <v>LIST</v>
      </c>
      <c r="D75" s="35" t="s">
        <v>97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IF('S-ASIG-05'!D82="","",'S-ASIG-05'!D82)</f>
        <v>LIST</v>
      </c>
      <c r="D82" s="35" t="s">
        <v>97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ELECTIVA LIBRE SOCIOHUMANÍ II</v>
      </c>
      <c r="C2" s="3"/>
      <c r="E2" s="205" t="s">
        <v>93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CONCATENATE(LIDER!H4," - ",LIDER!H6," - ",LIDER!H5)</f>
        <v>ELECTIVA LIBRE SOCIOHUMANÍ II - 2119 - LIZETH MARIA CONEO GAMARRA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97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ORNEYS ALEJANDRO BELEÑO ALCÁZAR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ANDREA MONTES HERNANDEZ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 ERNESTO QUIROZ LOPEZ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KENET JAVIER RAMIREZ DEL RIO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97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SHARON GUERRERO DE AVILA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VALENTINA SOFIA PADILLA AGUDELO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97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NEYS DEL CARMEN ARROYO QUINTANA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BIANCA FIORELLA CARAZO PUELLO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LUIS MARIO MARRUGO DIAZ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97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DANIA LICETH ACOSTA SALAZAR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ALFARO LARES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LUISA DANIELA ALVAREZ ARGUMEDO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NICOLE ANDREA BARRAZA CARDOZO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BOLAÑOS CUELLAR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97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FERNANDA BERRIO BUSTOS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JESUS DANIEL MOLINA SANCHEZ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97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ANA JOHANA AHUMADA MONTERO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EVELIN TATIANA CASTRO MONTAÑO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HELEN SOFIA DAZA VILLAMIZAR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NICOLLE LIZETH MORALES PUELLO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ELIZABETH ZAMORA MARTINEZ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97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AISHA CARMONA DIAZ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HEIDY JOSEFINA HERRERA PERTUZ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DANNA SOFIA OROZCO TORRES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JERALDINE RAMIREZ ARTEAGA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NICOLLE VALENTINA RODRIGUEZ FIGUEROA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97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97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97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IF('S-ASIG-06'!D75="","",'S-ASIG-06'!D75)</f>
        <v>LIST</v>
      </c>
      <c r="D75" s="35" t="s">
        <v>97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IF('S-ASIG-06'!D82="","",'S-ASIG-06'!D82)</f>
        <v>LIST</v>
      </c>
      <c r="D82" s="35" t="s">
        <v>97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05" t="s">
        <v>93</v>
      </c>
      <c r="F2" s="206"/>
      <c r="G2" s="206"/>
      <c r="H2" s="206"/>
      <c r="I2" s="206"/>
      <c r="J2" s="206"/>
      <c r="K2" s="207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0" t="str">
        <f>CONCATENATE(LIDER!I4," - ",LIDER!I6," - ",LIDER!I5)</f>
        <v xml:space="preserve"> -  - </v>
      </c>
      <c r="F4" s="211"/>
      <c r="G4" s="211"/>
      <c r="H4" s="211"/>
      <c r="I4" s="211"/>
      <c r="J4" s="211"/>
      <c r="K4" s="212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97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ORNEYS ALEJANDRO BELEÑO ALCÁZAR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VALERIE ANDREA MONTES HERNANDEZ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 ERNESTO QUIROZ LOPEZ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KENET JAVIER RAMIREZ DEL RIO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97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SHARON GUERRERO DE AVILA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VALENTINA SOFIA PADILLA AGUDELO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97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NEYS DEL CARMEN ARROYO QUINTANA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BIANCA FIORELLA CARAZO PUELLO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LUIS MARIO MARRUGO DIAZ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97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DANIA LICETH ACOSTA SALAZAR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ANDRES FELIPE ALFARO LARES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LUISA DANIELA ALVAREZ ARGUMEDO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NICOLE ANDREA BARRAZA CARDOZO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DANIELA BOLAÑOS CUELLAR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97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MARIA FERNANDA BERRIO BUSTOS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JESUS DANIEL MOLINA SANCHEZ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MANUEL ALEJANDRO POLO MARTINEZ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DANNA JUDITH SOTO CAMARGO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97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ANA JOHANA AHUMADA MONTERO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EVELIN TATIANA CASTRO MONTAÑO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HELEN SOFIA DAZA VILLAMIZAR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NICOLLE LIZETH MORALES PUELLO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ELIZABETH ZAMORA MARTINEZ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97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 t="str">
        <f>LIDER!G51</f>
        <v>AISHA CARMONA DIAZ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HEIDY JOSEFINA HERRERA PERTUZ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DANNA SOFIA OROZCO TORRES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JERALDINE RAMIREZ ARTEAGA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NICOLLE VALENTINA RODRIGUEZ FIGUEROA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97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97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97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IF('S-ASIG-07'!D75="","",'S-ASIG-07'!D75)</f>
        <v>LIST</v>
      </c>
      <c r="D75" s="35" t="s">
        <v>97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IF('S-ASIG-07'!D82="","",'S-ASIG-07'!D82)</f>
        <v>LIST</v>
      </c>
      <c r="D82" s="35" t="s">
        <v>97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/>
      <selection pane="bottomLeft" activeCell="F62" sqref="F62:J67"/>
      <selection pane="topRight" activeCell="F62" sqref="F62:J67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7" t="str">
        <f>LIDER!B2</f>
        <v>TECNOLOGÍA EN GESTIÓN DE NEGOCIOS INTERN</v>
      </c>
      <c r="H1" s="217"/>
      <c r="I1" s="217"/>
      <c r="J1" s="217"/>
      <c r="K1" s="217"/>
      <c r="L1" s="217"/>
      <c r="M1" s="217"/>
      <c r="N1" s="216" t="str">
        <f>LIDER!E2</f>
        <v>SEMESTRE:</v>
      </c>
      <c r="O1" s="216"/>
      <c r="P1" s="44" t="str">
        <f>LIDER!F2</f>
        <v>SEM-06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3" t="s">
        <v>110</v>
      </c>
      <c r="H2" s="214"/>
      <c r="I2" s="214"/>
      <c r="J2" s="214"/>
      <c r="K2" s="214"/>
      <c r="L2" s="214"/>
      <c r="M2" s="215"/>
      <c r="N2" s="2"/>
      <c r="O2" s="218" t="s">
        <v>111</v>
      </c>
      <c r="P2" s="219"/>
      <c r="Q2" s="219"/>
      <c r="R2" s="219"/>
      <c r="S2" s="219"/>
      <c r="T2" s="219"/>
      <c r="U2" s="220"/>
    </row>
    <row r="3" spans="1:22" ht="20.100000000000001" customHeight="1" thickBot="1">
      <c r="G3" s="48" t="str">
        <f>CONCATENATE("N° : ",LIDER!C6)</f>
        <v>N° : 2302</v>
      </c>
      <c r="H3" s="49" t="str">
        <f>CONCATENATE("N° : ",LIDER!D6)</f>
        <v>N° : 2318</v>
      </c>
      <c r="I3" s="49" t="str">
        <f>CONCATENATE("N° : ",LIDER!E6)</f>
        <v>N° : 1084</v>
      </c>
      <c r="J3" s="49" t="str">
        <f>CONCATENATE("N° : ",LIDER!F6)</f>
        <v>N° : 1442</v>
      </c>
      <c r="K3" s="49" t="str">
        <f>CONCATENATE("N° : ",LIDER!G6)</f>
        <v>N° : 1448</v>
      </c>
      <c r="L3" s="49" t="str">
        <f>CONCATENATE("N° : ",LIDER!H6)</f>
        <v>N° : 2119</v>
      </c>
      <c r="M3" s="50" t="str">
        <f>CONCATENATE("N° : ",LIDER!I6)</f>
        <v xml:space="preserve">N° : </v>
      </c>
      <c r="O3" s="48" t="str">
        <f>G3</f>
        <v>N° : 2302</v>
      </c>
      <c r="P3" s="49" t="str">
        <f t="shared" ref="P3:U3" si="0">H3</f>
        <v>N° : 2318</v>
      </c>
      <c r="Q3" s="49" t="str">
        <f t="shared" si="0"/>
        <v>N° : 1084</v>
      </c>
      <c r="R3" s="49" t="str">
        <f t="shared" si="0"/>
        <v>N° : 1442</v>
      </c>
      <c r="S3" s="49" t="str">
        <f t="shared" si="0"/>
        <v>N° : 1448</v>
      </c>
      <c r="T3" s="49" t="str">
        <f t="shared" si="0"/>
        <v>N° : 2119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112</v>
      </c>
      <c r="D4" s="54" t="s">
        <v>113</v>
      </c>
      <c r="E4" s="55" t="s">
        <v>114</v>
      </c>
      <c r="G4" s="56" t="str">
        <f>MID(LIDER!C4,1,9)</f>
        <v>INNOVACIO</v>
      </c>
      <c r="H4" s="57" t="str">
        <f>MID(LIDER!D4,1,9)</f>
        <v xml:space="preserve">ELECTIVA </v>
      </c>
      <c r="I4" s="57" t="str">
        <f>MID(LIDER!E4,1,9)</f>
        <v xml:space="preserve">AMBIENTE </v>
      </c>
      <c r="J4" s="57" t="str">
        <f>MID(LIDER!F4,1,9)</f>
        <v xml:space="preserve">FINANZAS </v>
      </c>
      <c r="K4" s="57" t="str">
        <f>MID(LIDER!G4,1,9)</f>
        <v>D.F.I.</v>
      </c>
      <c r="L4" s="57" t="str">
        <f>MID(LIDER!H4,1,9)</f>
        <v xml:space="preserve">ELECTIVA </v>
      </c>
      <c r="M4" s="58" t="str">
        <f>MID(LIDER!I4,1,9)</f>
        <v/>
      </c>
      <c r="N4" s="59" t="s">
        <v>115</v>
      </c>
      <c r="O4" s="60" t="str">
        <f t="shared" ref="O4:U4" si="1">G4</f>
        <v>INNOVACIO</v>
      </c>
      <c r="P4" s="61" t="str">
        <f t="shared" si="1"/>
        <v xml:space="preserve">ELECTIVA </v>
      </c>
      <c r="Q4" s="61" t="str">
        <f t="shared" si="1"/>
        <v xml:space="preserve">AMBIENTE </v>
      </c>
      <c r="R4" s="61" t="str">
        <f t="shared" si="1"/>
        <v xml:space="preserve">FINANZAS </v>
      </c>
      <c r="S4" s="61" t="str">
        <f t="shared" si="1"/>
        <v>D.F.I.</v>
      </c>
      <c r="T4" s="61" t="str">
        <f t="shared" si="1"/>
        <v xml:space="preserve">ELECTIVA </v>
      </c>
      <c r="U4" s="62" t="str">
        <f t="shared" si="1"/>
        <v/>
      </c>
      <c r="V4" s="59" t="s">
        <v>116</v>
      </c>
    </row>
    <row r="5" spans="1:22" ht="15" customHeight="1">
      <c r="A5" s="12">
        <v>1</v>
      </c>
      <c r="B5" s="63" t="str">
        <f>LIDER!C9</f>
        <v>ORNEYS ALEJANDRO BELEÑO ALCÁZAR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4.5049999999999999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0</v>
      </c>
      <c r="H5" s="65">
        <f>IF(B5=0,"",IFERROR(VLOOKUP(B5,'S-ASIG-02'!$B$5:$E$88,4,0),0))</f>
        <v>4.96</v>
      </c>
      <c r="I5" s="65">
        <f>IF(B5=0,"",IFERROR(VLOOKUP(B5,'S-ASIG-03'!$B$5:$E$88,4,0),0))</f>
        <v>4.1500000000000004</v>
      </c>
      <c r="J5" s="65">
        <f>IF(B5=0,"",IFERROR(VLOOKUP(B5,'S-ASIG-04'!$B$5:$E$88,4,0),0))</f>
        <v>4.3400000000000007</v>
      </c>
      <c r="K5" s="65">
        <f>IF(B5=0,"",IFERROR(VLOOKUP(B5,'S-ASIG-05'!$B$5:$E$88,4,0),0))</f>
        <v>0</v>
      </c>
      <c r="L5" s="65">
        <f>IF(B5=0,"",IFERROR(VLOOKUP(B5,'S-ASIG-06'!$B$5:$E$88,4,0),0))</f>
        <v>4.57</v>
      </c>
      <c r="M5" s="66">
        <f>IF(B5=0,"",IFERROR(VLOOKUP(B5,'S-ASIG-07'!$B$5:$E$88,4,0),0))</f>
        <v>0</v>
      </c>
      <c r="N5" s="68" t="s">
        <v>117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118</v>
      </c>
    </row>
    <row r="6" spans="1:22" ht="15" customHeight="1">
      <c r="A6" s="12">
        <v>2</v>
      </c>
      <c r="B6" s="70" t="str">
        <f>LIDER!C10</f>
        <v>VALERIE ANDREA MONTES HERNANDEZ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4.3533333333333344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0</v>
      </c>
      <c r="H6" s="72" t="str">
        <f>IF(B6=0,"",IFERROR(VLOOKUP(B6,'S-ASIG-02'!$B$5:$E$88,4,0),0))</f>
        <v>N</v>
      </c>
      <c r="I6" s="72">
        <f>IF(B6=0,"",IFERROR(VLOOKUP(B6,'S-ASIG-03'!$B$5:$E$88,4,0),0))</f>
        <v>4.1500000000000004</v>
      </c>
      <c r="J6" s="72">
        <f>IF(B6=0,"",IFERROR(VLOOKUP(B6,'S-ASIG-04'!$B$5:$E$88,4,0),0))</f>
        <v>4.3400000000000007</v>
      </c>
      <c r="K6" s="72">
        <f>IF(B6=0,"",IFERROR(VLOOKUP(B6,'S-ASIG-05'!$B$5:$E$88,4,0),0))</f>
        <v>0</v>
      </c>
      <c r="L6" s="72">
        <f>IF(B6=0,"",IFERROR(VLOOKUP(B6,'S-ASIG-06'!$B$5:$E$88,4,0),0))</f>
        <v>4.57</v>
      </c>
      <c r="M6" s="73">
        <f>IF(B6=0,"",IFERROR(VLOOKUP(B6,'S-ASIG-07'!$B$5:$E$88,4,0),0))</f>
        <v>0</v>
      </c>
      <c r="N6" s="68" t="s">
        <v>117</v>
      </c>
      <c r="O6" s="71">
        <f>IF(B6=0,"",IFERROR(VLOOKUP(B6,'T-ASIG-01'!$B$5:$D$88,3,0),0))</f>
        <v>0</v>
      </c>
      <c r="P6" s="72" t="str">
        <f>IF(B6=0,"",IFERROR(VLOOKUP(B6,'T-ASIG-02'!$B$5:$D$88,3,0),0))</f>
        <v>N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118</v>
      </c>
    </row>
    <row r="7" spans="1:22" ht="15" customHeight="1">
      <c r="A7" s="12">
        <v>3</v>
      </c>
      <c r="B7" s="70" t="str">
        <f>LIDER!C11</f>
        <v>GABRIEL ERNESTO QUIROZ LOPEZ</v>
      </c>
      <c r="C7" s="64" t="str">
        <f>IF(B7=0,"",IFERROR(VLOOKUP(B7,'S-ASIG-01'!$B$5:$E$88,2,0),0))</f>
        <v>G01</v>
      </c>
      <c r="D7" s="65">
        <f t="shared" si="2"/>
        <v>4.3533333333333344</v>
      </c>
      <c r="E7" s="66">
        <f t="shared" si="3"/>
        <v>0</v>
      </c>
      <c r="F7" s="47"/>
      <c r="G7" s="71">
        <f>IF(B7=0,"",IFERROR(VLOOKUP(B7,'S-ASIG-01'!$B$5:$E$88,4,0),0))</f>
        <v>0</v>
      </c>
      <c r="H7" s="72" t="str">
        <f>IF(B7=0,"",IFERROR(VLOOKUP(B7,'S-ASIG-02'!$B$5:$E$88,4,0),0))</f>
        <v>N</v>
      </c>
      <c r="I7" s="72">
        <f>IF(B7=0,"",IFERROR(VLOOKUP(B7,'S-ASIG-03'!$B$5:$E$88,4,0),0))</f>
        <v>4.1500000000000004</v>
      </c>
      <c r="J7" s="72">
        <f>IF(B7=0,"",IFERROR(VLOOKUP(B7,'S-ASIG-04'!$B$5:$E$88,4,0),0))</f>
        <v>4.3400000000000007</v>
      </c>
      <c r="K7" s="72">
        <f>IF(B7=0,"",IFERROR(VLOOKUP(B7,'S-ASIG-05'!$B$5:$E$88,4,0),0))</f>
        <v>0</v>
      </c>
      <c r="L7" s="72">
        <f>IF(B7=0,"",IFERROR(VLOOKUP(B7,'S-ASIG-06'!$B$5:$E$88,4,0),0))</f>
        <v>4.57</v>
      </c>
      <c r="M7" s="73">
        <f>IF(B7=0,"",IFERROR(VLOOKUP(B7,'S-ASIG-07'!$B$5:$E$88,4,0),0))</f>
        <v>0</v>
      </c>
      <c r="N7" s="68" t="s">
        <v>117</v>
      </c>
      <c r="O7" s="71">
        <f>IF(B7=0,"",IFERROR(VLOOKUP(B7,'T-ASIG-01'!$B$5:$D$88,3,0),0))</f>
        <v>0</v>
      </c>
      <c r="P7" s="72" t="str">
        <f>IF(B7=0,"",IFERROR(VLOOKUP(B7,'T-ASIG-02'!$B$5:$D$88,3,0),0))</f>
        <v>N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118</v>
      </c>
    </row>
    <row r="8" spans="1:22" ht="15" customHeight="1">
      <c r="A8" s="12">
        <v>4</v>
      </c>
      <c r="B8" s="70" t="str">
        <f>LIDER!C12</f>
        <v>KENET JAVIER RAMIREZ DEL RIO</v>
      </c>
      <c r="C8" s="64" t="str">
        <f>IF(B8=0,"",IFERROR(VLOOKUP(B8,'S-ASIG-01'!$B$5:$E$88,2,0),0))</f>
        <v>G01</v>
      </c>
      <c r="D8" s="65">
        <f t="shared" si="2"/>
        <v>4.3533333333333344</v>
      </c>
      <c r="E8" s="66">
        <f t="shared" si="3"/>
        <v>0</v>
      </c>
      <c r="F8" s="47"/>
      <c r="G8" s="71">
        <f>IF(B8=0,"",IFERROR(VLOOKUP(B8,'S-ASIG-01'!$B$5:$E$88,4,0),0))</f>
        <v>0</v>
      </c>
      <c r="H8" s="72" t="str">
        <f>IF(B8=0,"",IFERROR(VLOOKUP(B8,'S-ASIG-02'!$B$5:$E$88,4,0),0))</f>
        <v>N</v>
      </c>
      <c r="I8" s="72">
        <f>IF(B8=0,"",IFERROR(VLOOKUP(B8,'S-ASIG-03'!$B$5:$E$88,4,0),0))</f>
        <v>4.1500000000000004</v>
      </c>
      <c r="J8" s="72">
        <f>IF(B8=0,"",IFERROR(VLOOKUP(B8,'S-ASIG-04'!$B$5:$E$88,4,0),0))</f>
        <v>4.3400000000000007</v>
      </c>
      <c r="K8" s="72">
        <f>IF(B8=0,"",IFERROR(VLOOKUP(B8,'S-ASIG-05'!$B$5:$E$88,4,0),0))</f>
        <v>0</v>
      </c>
      <c r="L8" s="72">
        <f>IF(B8=0,"",IFERROR(VLOOKUP(B8,'S-ASIG-06'!$B$5:$E$88,4,0),0))</f>
        <v>4.57</v>
      </c>
      <c r="M8" s="73">
        <f>IF(B8=0,"",IFERROR(VLOOKUP(B8,'S-ASIG-07'!$B$5:$E$88,4,0),0))</f>
        <v>0</v>
      </c>
      <c r="N8" s="68" t="s">
        <v>117</v>
      </c>
      <c r="O8" s="71">
        <f>IF(B8=0,"",IFERROR(VLOOKUP(B8,'T-ASIG-01'!$B$5:$D$88,3,0),0))</f>
        <v>0</v>
      </c>
      <c r="P8" s="72" t="str">
        <f>IF(B8=0,"",IFERROR(VLOOKUP(B8,'T-ASIG-02'!$B$5:$D$88,3,0),0))</f>
        <v>N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118</v>
      </c>
    </row>
    <row r="9" spans="1:22" ht="15" customHeight="1">
      <c r="A9" s="12">
        <v>5</v>
      </c>
      <c r="B9" s="70" t="str">
        <f>LIDER!C13</f>
        <v>ZCHARIL JANNI BARRIOS ZUÑIGA</v>
      </c>
      <c r="C9" s="64" t="str">
        <f>IF(B9=0,"",IFERROR(VLOOKUP(B9,'S-ASIG-01'!$B$5:$E$88,2,0),0))</f>
        <v>G02</v>
      </c>
      <c r="D9" s="65">
        <f t="shared" si="2"/>
        <v>3.915</v>
      </c>
      <c r="E9" s="66">
        <f t="shared" si="3"/>
        <v>0</v>
      </c>
      <c r="F9" s="47"/>
      <c r="G9" s="71">
        <f>IF(B9=0,"",IFERROR(VLOOKUP(B9,'S-ASIG-01'!$B$5:$E$88,4,0),0))</f>
        <v>3.3200000000000003</v>
      </c>
      <c r="H9" s="72" t="str">
        <f>IF(B9=0,"",IFERROR(VLOOKUP(B9,'S-ASIG-02'!$B$5:$E$88,4,0),0))</f>
        <v>N</v>
      </c>
      <c r="I9" s="72">
        <f>IF(B9=0,"",IFERROR(VLOOKUP(B9,'S-ASIG-03'!$B$5:$E$88,4,0),0))</f>
        <v>3.9800000000000004</v>
      </c>
      <c r="J9" s="72">
        <f>IF(B9=0,"",IFERROR(VLOOKUP(B9,'S-ASIG-04'!$B$5:$E$88,4,0),0))</f>
        <v>4.3800000000000008</v>
      </c>
      <c r="K9" s="72">
        <f>IF(B9=0,"",IFERROR(VLOOKUP(B9,'S-ASIG-05'!$B$5:$E$88,4,0),0))</f>
        <v>0</v>
      </c>
      <c r="L9" s="72">
        <f>IF(B9=0,"",IFERROR(VLOOKUP(B9,'S-ASIG-06'!$B$5:$E$88,4,0),0))</f>
        <v>3.9799999999999995</v>
      </c>
      <c r="M9" s="73">
        <f>IF(B9=0,"",IFERROR(VLOOKUP(B9,'S-ASIG-07'!$B$5:$E$88,4,0),0))</f>
        <v>0</v>
      </c>
      <c r="N9" s="68" t="s">
        <v>117</v>
      </c>
      <c r="O9" s="71">
        <f>IF(B9=0,"",IFERROR(VLOOKUP(B9,'T-ASIG-01'!$B$5:$D$88,3,0),0))</f>
        <v>0</v>
      </c>
      <c r="P9" s="72" t="str">
        <f>IF(B9=0,"",IFERROR(VLOOKUP(B9,'T-ASIG-02'!$B$5:$D$88,3,0),0))</f>
        <v>N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118</v>
      </c>
    </row>
    <row r="10" spans="1:22" ht="15" customHeight="1">
      <c r="A10" s="12">
        <v>6</v>
      </c>
      <c r="B10" s="70" t="str">
        <f>LIDER!C14</f>
        <v>YULIBETH CARRASQUILLA TRESPALACIOS</v>
      </c>
      <c r="C10" s="64" t="str">
        <f>IF(B10=0,"",IFERROR(VLOOKUP(B10,'S-ASIG-01'!$B$5:$E$88,2,0),0))</f>
        <v>G02</v>
      </c>
      <c r="D10" s="65">
        <f t="shared" si="2"/>
        <v>4.0920000000000005</v>
      </c>
      <c r="E10" s="66">
        <f t="shared" si="3"/>
        <v>0</v>
      </c>
      <c r="F10" s="47"/>
      <c r="G10" s="71">
        <f>IF(B10=0,"",IFERROR(VLOOKUP(B10,'S-ASIG-01'!$B$5:$E$88,4,0),0))</f>
        <v>3.3200000000000003</v>
      </c>
      <c r="H10" s="72">
        <f>IF(B10=0,"",IFERROR(VLOOKUP(B10,'S-ASIG-02'!$B$5:$E$88,4,0),0))</f>
        <v>4.8</v>
      </c>
      <c r="I10" s="72">
        <f>IF(B10=0,"",IFERROR(VLOOKUP(B10,'S-ASIG-03'!$B$5:$E$88,4,0),0))</f>
        <v>3.9800000000000004</v>
      </c>
      <c r="J10" s="72">
        <f>IF(B10=0,"",IFERROR(VLOOKUP(B10,'S-ASIG-04'!$B$5:$E$88,4,0),0))</f>
        <v>4.3800000000000008</v>
      </c>
      <c r="K10" s="72">
        <f>IF(B10=0,"",IFERROR(VLOOKUP(B10,'S-ASIG-05'!$B$5:$E$88,4,0),0))</f>
        <v>0</v>
      </c>
      <c r="L10" s="72">
        <f>IF(B10=0,"",IFERROR(VLOOKUP(B10,'S-ASIG-06'!$B$5:$E$88,4,0),0))</f>
        <v>3.9799999999999995</v>
      </c>
      <c r="M10" s="73">
        <f>IF(B10=0,"",IFERROR(VLOOKUP(B10,'S-ASIG-07'!$B$5:$E$88,4,0),0))</f>
        <v>0</v>
      </c>
      <c r="N10" s="68" t="s">
        <v>117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118</v>
      </c>
    </row>
    <row r="11" spans="1:22" ht="15" customHeight="1">
      <c r="A11" s="12">
        <v>7</v>
      </c>
      <c r="B11" s="70" t="str">
        <f>LIDER!C15</f>
        <v>SHARON GUERRERO DE AVILA</v>
      </c>
      <c r="C11" s="64" t="str">
        <f>IF(B11=0,"",IFERROR(VLOOKUP(B11,'S-ASIG-01'!$B$5:$E$88,2,0),0))</f>
        <v>G02</v>
      </c>
      <c r="D11" s="65">
        <f t="shared" si="2"/>
        <v>3.915</v>
      </c>
      <c r="E11" s="66">
        <f t="shared" si="3"/>
        <v>0</v>
      </c>
      <c r="F11" s="47"/>
      <c r="G11" s="71">
        <f>IF(B11=0,"",IFERROR(VLOOKUP(B11,'S-ASIG-01'!$B$5:$E$88,4,0),0))</f>
        <v>3.3200000000000003</v>
      </c>
      <c r="H11" s="72" t="str">
        <f>IF(B11=0,"",IFERROR(VLOOKUP(B11,'S-ASIG-02'!$B$5:$E$88,4,0),0))</f>
        <v>N</v>
      </c>
      <c r="I11" s="72">
        <f>IF(B11=0,"",IFERROR(VLOOKUP(B11,'S-ASIG-03'!$B$5:$E$88,4,0),0))</f>
        <v>3.9800000000000004</v>
      </c>
      <c r="J11" s="72">
        <f>IF(B11=0,"",IFERROR(VLOOKUP(B11,'S-ASIG-04'!$B$5:$E$88,4,0),0))</f>
        <v>4.3800000000000008</v>
      </c>
      <c r="K11" s="72">
        <f>IF(B11=0,"",IFERROR(VLOOKUP(B11,'S-ASIG-05'!$B$5:$E$88,4,0),0))</f>
        <v>0</v>
      </c>
      <c r="L11" s="72">
        <f>IF(B11=0,"",IFERROR(VLOOKUP(B11,'S-ASIG-06'!$B$5:$E$88,4,0),0))</f>
        <v>3.9799999999999995</v>
      </c>
      <c r="M11" s="73">
        <f>IF(B11=0,"",IFERROR(VLOOKUP(B11,'S-ASIG-07'!$B$5:$E$88,4,0),0))</f>
        <v>0</v>
      </c>
      <c r="N11" s="68" t="s">
        <v>117</v>
      </c>
      <c r="O11" s="71">
        <f>IF(B11=0,"",IFERROR(VLOOKUP(B11,'T-ASIG-01'!$B$5:$D$88,3,0),0))</f>
        <v>0</v>
      </c>
      <c r="P11" s="72" t="str">
        <f>IF(B11=0,"",IFERROR(VLOOKUP(B11,'T-ASIG-02'!$B$5:$D$88,3,0),0))</f>
        <v>N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118</v>
      </c>
    </row>
    <row r="12" spans="1:22" ht="15" customHeight="1">
      <c r="A12" s="12">
        <v>8</v>
      </c>
      <c r="B12" s="70" t="str">
        <f>LIDER!C16</f>
        <v>VALENTINA SOFIA PADILLA AGUDELO</v>
      </c>
      <c r="C12" s="64" t="str">
        <f>IF(B12=0,"",IFERROR(VLOOKUP(B12,'S-ASIG-01'!$B$5:$E$88,2,0),0))</f>
        <v>G02</v>
      </c>
      <c r="D12" s="65">
        <f t="shared" si="2"/>
        <v>4.0920000000000005</v>
      </c>
      <c r="E12" s="66">
        <f t="shared" si="3"/>
        <v>0</v>
      </c>
      <c r="F12" s="47"/>
      <c r="G12" s="71">
        <f>IF(B12=0,"",IFERROR(VLOOKUP(B12,'S-ASIG-01'!$B$5:$E$88,4,0),0))</f>
        <v>3.3200000000000003</v>
      </c>
      <c r="H12" s="72">
        <f>IF(B12=0,"",IFERROR(VLOOKUP(B12,'S-ASIG-02'!$B$5:$E$88,4,0),0))</f>
        <v>4.8</v>
      </c>
      <c r="I12" s="72">
        <f>IF(B12=0,"",IFERROR(VLOOKUP(B12,'S-ASIG-03'!$B$5:$E$88,4,0),0))</f>
        <v>3.9800000000000004</v>
      </c>
      <c r="J12" s="72">
        <f>IF(B12=0,"",IFERROR(VLOOKUP(B12,'S-ASIG-04'!$B$5:$E$88,4,0),0))</f>
        <v>4.3800000000000008</v>
      </c>
      <c r="K12" s="72">
        <f>IF(B12=0,"",IFERROR(VLOOKUP(B12,'S-ASIG-05'!$B$5:$E$88,4,0),0))</f>
        <v>0</v>
      </c>
      <c r="L12" s="72">
        <f>IF(B12=0,"",IFERROR(VLOOKUP(B12,'S-ASIG-06'!$B$5:$E$88,4,0),0))</f>
        <v>3.9799999999999995</v>
      </c>
      <c r="M12" s="73">
        <f>IF(B12=0,"",IFERROR(VLOOKUP(B12,'S-ASIG-07'!$B$5:$E$88,4,0),0))</f>
        <v>0</v>
      </c>
      <c r="N12" s="68" t="s">
        <v>117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118</v>
      </c>
    </row>
    <row r="13" spans="1:22" ht="15" customHeight="1">
      <c r="A13" s="12">
        <v>9</v>
      </c>
      <c r="B13" s="70" t="str">
        <f>LIDER!C17</f>
        <v>NEYS DEL CARMEN ARROYO QUINTANA</v>
      </c>
      <c r="C13" s="64" t="str">
        <f>IF(B13=0,"",IFERROR(VLOOKUP(B13,'S-ASIG-01'!$B$5:$E$88,2,0),0))</f>
        <v>G03</v>
      </c>
      <c r="D13" s="65">
        <f t="shared" si="2"/>
        <v>3.9625000000000004</v>
      </c>
      <c r="E13" s="66">
        <f t="shared" si="3"/>
        <v>0</v>
      </c>
      <c r="F13" s="47"/>
      <c r="G13" s="71">
        <f>IF(B13=0,"",IFERROR(VLOOKUP(B13,'S-ASIG-01'!$B$5:$E$88,4,0),0))</f>
        <v>3.8500000000000005</v>
      </c>
      <c r="H13" s="72" t="str">
        <f>IF(B13=0,"",IFERROR(VLOOKUP(B13,'S-ASIG-02'!$B$5:$E$88,4,0),0))</f>
        <v>N</v>
      </c>
      <c r="I13" s="72">
        <f>IF(B13=0,"",IFERROR(VLOOKUP(B13,'S-ASIG-03'!$B$5:$E$88,4,0),0))</f>
        <v>3.95</v>
      </c>
      <c r="J13" s="72">
        <f>IF(B13=0,"",IFERROR(VLOOKUP(B13,'S-ASIG-04'!$B$5:$E$88,4,0),0))</f>
        <v>4.4400000000000004</v>
      </c>
      <c r="K13" s="72">
        <f>IF(B13=0,"",IFERROR(VLOOKUP(B13,'S-ASIG-05'!$B$5:$E$88,4,0),0))</f>
        <v>0</v>
      </c>
      <c r="L13" s="72">
        <f>IF(B13=0,"",IFERROR(VLOOKUP(B13,'S-ASIG-06'!$B$5:$E$88,4,0),0))</f>
        <v>3.61</v>
      </c>
      <c r="M13" s="73">
        <f>IF(B13=0,"",IFERROR(VLOOKUP(B13,'S-ASIG-07'!$B$5:$E$88,4,0),0))</f>
        <v>0</v>
      </c>
      <c r="N13" s="68" t="s">
        <v>117</v>
      </c>
      <c r="O13" s="71">
        <f>IF(B13=0,"",IFERROR(VLOOKUP(B13,'T-ASIG-01'!$B$5:$D$88,3,0),0))</f>
        <v>0</v>
      </c>
      <c r="P13" s="72" t="str">
        <f>IF(B13=0,"",IFERROR(VLOOKUP(B13,'T-ASIG-02'!$B$5:$D$88,3,0),0))</f>
        <v>N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118</v>
      </c>
    </row>
    <row r="14" spans="1:22" ht="15" customHeight="1">
      <c r="A14" s="12">
        <v>10</v>
      </c>
      <c r="B14" s="70" t="str">
        <f>LIDER!C18</f>
        <v>BIANCA FIORELLA CARAZO PUELLO</v>
      </c>
      <c r="C14" s="64" t="str">
        <f>IF(B14=0,"",IFERROR(VLOOKUP(B14,'S-ASIG-01'!$B$5:$E$88,2,0),0))</f>
        <v>G03</v>
      </c>
      <c r="D14" s="65">
        <f t="shared" si="2"/>
        <v>4.1500000000000004</v>
      </c>
      <c r="E14" s="66">
        <f t="shared" si="3"/>
        <v>0</v>
      </c>
      <c r="F14" s="47"/>
      <c r="G14" s="71">
        <f>IF(B14=0,"",IFERROR(VLOOKUP(B14,'S-ASIG-01'!$B$5:$E$88,4,0),0))</f>
        <v>3.8500000000000005</v>
      </c>
      <c r="H14" s="72">
        <f>IF(B14=0,"",IFERROR(VLOOKUP(B14,'S-ASIG-02'!$B$5:$E$88,4,0),0))</f>
        <v>4.9000000000000004</v>
      </c>
      <c r="I14" s="72">
        <f>IF(B14=0,"",IFERROR(VLOOKUP(B14,'S-ASIG-03'!$B$5:$E$88,4,0),0))</f>
        <v>3.95</v>
      </c>
      <c r="J14" s="72">
        <f>IF(B14=0,"",IFERROR(VLOOKUP(B14,'S-ASIG-04'!$B$5:$E$88,4,0),0))</f>
        <v>4.4400000000000004</v>
      </c>
      <c r="K14" s="72">
        <f>IF(B14=0,"",IFERROR(VLOOKUP(B14,'S-ASIG-05'!$B$5:$E$88,4,0),0))</f>
        <v>0</v>
      </c>
      <c r="L14" s="72">
        <f>IF(B14=0,"",IFERROR(VLOOKUP(B14,'S-ASIG-06'!$B$5:$E$88,4,0),0))</f>
        <v>3.61</v>
      </c>
      <c r="M14" s="73">
        <f>IF(B14=0,"",IFERROR(VLOOKUP(B14,'S-ASIG-07'!$B$5:$E$88,4,0),0))</f>
        <v>0</v>
      </c>
      <c r="N14" s="68" t="s">
        <v>117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118</v>
      </c>
    </row>
    <row r="15" spans="1:22" ht="15" customHeight="1">
      <c r="A15" s="12">
        <v>11</v>
      </c>
      <c r="B15" s="70" t="str">
        <f>LIDER!C19</f>
        <v>LUIS MARIO MARRUGO DIAZ</v>
      </c>
      <c r="C15" s="64" t="str">
        <f>IF(B15=0,"",IFERROR(VLOOKUP(B15,'S-ASIG-01'!$B$5:$E$88,2,0),0))</f>
        <v>G03</v>
      </c>
      <c r="D15" s="65">
        <f t="shared" si="2"/>
        <v>4.1500000000000004</v>
      </c>
      <c r="E15" s="66">
        <f t="shared" si="3"/>
        <v>0</v>
      </c>
      <c r="F15" s="47"/>
      <c r="G15" s="71">
        <f>IF(B15=0,"",IFERROR(VLOOKUP(B15,'S-ASIG-01'!$B$5:$E$88,4,0),0))</f>
        <v>3.8500000000000005</v>
      </c>
      <c r="H15" s="72">
        <f>IF(B15=0,"",IFERROR(VLOOKUP(B15,'S-ASIG-02'!$B$5:$E$88,4,0),0))</f>
        <v>4.9000000000000004</v>
      </c>
      <c r="I15" s="72">
        <f>IF(B15=0,"",IFERROR(VLOOKUP(B15,'S-ASIG-03'!$B$5:$E$88,4,0),0))</f>
        <v>3.95</v>
      </c>
      <c r="J15" s="72">
        <f>IF(B15=0,"",IFERROR(VLOOKUP(B15,'S-ASIG-04'!$B$5:$E$88,4,0),0))</f>
        <v>4.4400000000000004</v>
      </c>
      <c r="K15" s="72">
        <f>IF(B15=0,"",IFERROR(VLOOKUP(B15,'S-ASIG-05'!$B$5:$E$88,4,0),0))</f>
        <v>0</v>
      </c>
      <c r="L15" s="72">
        <f>IF(B15=0,"",IFERROR(VLOOKUP(B15,'S-ASIG-06'!$B$5:$E$88,4,0),0))</f>
        <v>3.61</v>
      </c>
      <c r="M15" s="73">
        <f>IF(B15=0,"",IFERROR(VLOOKUP(B15,'S-ASIG-07'!$B$5:$E$88,4,0),0))</f>
        <v>0</v>
      </c>
      <c r="N15" s="68" t="s">
        <v>117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118</v>
      </c>
    </row>
    <row r="16" spans="1:22" ht="15" customHeight="1">
      <c r="A16" s="12">
        <v>12</v>
      </c>
      <c r="B16" s="70" t="str">
        <f>LIDER!C20</f>
        <v>DANIA LICETH ACOSTA SALAZAR</v>
      </c>
      <c r="C16" s="64" t="str">
        <f>IF(B16=0,"",IFERROR(VLOOKUP(B16,'S-ASIG-01'!$B$5:$E$88,2,0),0))</f>
        <v>G04</v>
      </c>
      <c r="D16" s="65">
        <f t="shared" si="2"/>
        <v>4.2460000000000004</v>
      </c>
      <c r="E16" s="66">
        <f t="shared" si="3"/>
        <v>0</v>
      </c>
      <c r="F16" s="47"/>
      <c r="G16" s="71">
        <f>IF(B16=0,"",IFERROR(VLOOKUP(B16,'S-ASIG-01'!$B$5:$E$88,4,0),0))</f>
        <v>3.5</v>
      </c>
      <c r="H16" s="72">
        <f>IF(B16=0,"",IFERROR(VLOOKUP(B16,'S-ASIG-02'!$B$5:$E$88,4,0),0))</f>
        <v>4.9000000000000004</v>
      </c>
      <c r="I16" s="72">
        <f>IF(B16=0,"",IFERROR(VLOOKUP(B16,'S-ASIG-03'!$B$5:$E$88,4,0),0))</f>
        <v>4.2100000000000009</v>
      </c>
      <c r="J16" s="72">
        <f>IF(B16=0,"",IFERROR(VLOOKUP(B16,'S-ASIG-04'!$B$5:$E$88,4,0),0))</f>
        <v>4.4800000000000004</v>
      </c>
      <c r="K16" s="72">
        <f>IF(B16=0,"",IFERROR(VLOOKUP(B16,'S-ASIG-05'!$B$5:$E$88,4,0),0))</f>
        <v>0</v>
      </c>
      <c r="L16" s="72">
        <f>IF(B16=0,"",IFERROR(VLOOKUP(B16,'S-ASIG-06'!$B$5:$E$88,4,0),0))</f>
        <v>4.1399999999999997</v>
      </c>
      <c r="M16" s="73">
        <f>IF(B16=0,"",IFERROR(VLOOKUP(B16,'S-ASIG-07'!$B$5:$E$88,4,0),0))</f>
        <v>0</v>
      </c>
      <c r="N16" s="68" t="s">
        <v>117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118</v>
      </c>
    </row>
    <row r="17" spans="1:22" ht="15" customHeight="1">
      <c r="A17" s="12">
        <v>13</v>
      </c>
      <c r="B17" s="70" t="str">
        <f>LIDER!C21</f>
        <v>ANDRES FELIPE ALFARO LARES</v>
      </c>
      <c r="C17" s="64" t="str">
        <f>IF(B17=0,"",IFERROR(VLOOKUP(B17,'S-ASIG-01'!$B$5:$E$88,2,0),0))</f>
        <v>G04</v>
      </c>
      <c r="D17" s="65">
        <f t="shared" si="2"/>
        <v>4.2460000000000004</v>
      </c>
      <c r="E17" s="66">
        <f t="shared" si="3"/>
        <v>0</v>
      </c>
      <c r="F17" s="47"/>
      <c r="G17" s="71">
        <f>IF(B17=0,"",IFERROR(VLOOKUP(B17,'S-ASIG-01'!$B$5:$E$88,4,0),0))</f>
        <v>3.5</v>
      </c>
      <c r="H17" s="72">
        <f>IF(B17=0,"",IFERROR(VLOOKUP(B17,'S-ASIG-02'!$B$5:$E$88,4,0),0))</f>
        <v>4.9000000000000004</v>
      </c>
      <c r="I17" s="72">
        <f>IF(B17=0,"",IFERROR(VLOOKUP(B17,'S-ASIG-03'!$B$5:$E$88,4,0),0))</f>
        <v>4.2100000000000009</v>
      </c>
      <c r="J17" s="72">
        <f>IF(B17=0,"",IFERROR(VLOOKUP(B17,'S-ASIG-04'!$B$5:$E$88,4,0),0))</f>
        <v>4.4800000000000004</v>
      </c>
      <c r="K17" s="72">
        <f>IF(B17=0,"",IFERROR(VLOOKUP(B17,'S-ASIG-05'!$B$5:$E$88,4,0),0))</f>
        <v>0</v>
      </c>
      <c r="L17" s="72">
        <f>IF(B17=0,"",IFERROR(VLOOKUP(B17,'S-ASIG-06'!$B$5:$E$88,4,0),0))</f>
        <v>4.1399999999999997</v>
      </c>
      <c r="M17" s="73">
        <f>IF(B17=0,"",IFERROR(VLOOKUP(B17,'S-ASIG-07'!$B$5:$E$88,4,0),0))</f>
        <v>0</v>
      </c>
      <c r="N17" s="68" t="s">
        <v>117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118</v>
      </c>
    </row>
    <row r="18" spans="1:22" ht="15" customHeight="1">
      <c r="A18" s="12">
        <v>14</v>
      </c>
      <c r="B18" s="70" t="str">
        <f>LIDER!C22</f>
        <v>LUISA DANIELA ALVAREZ ARGUMEDO</v>
      </c>
      <c r="C18" s="64" t="str">
        <f>IF(B18=0,"",IFERROR(VLOOKUP(B18,'S-ASIG-01'!$B$5:$E$88,2,0),0))</f>
        <v>G04</v>
      </c>
      <c r="D18" s="65">
        <f t="shared" si="2"/>
        <v>4.2460000000000004</v>
      </c>
      <c r="E18" s="66">
        <f t="shared" si="3"/>
        <v>0</v>
      </c>
      <c r="F18" s="47"/>
      <c r="G18" s="71">
        <f>IF(B18=0,"",IFERROR(VLOOKUP(B18,'S-ASIG-01'!$B$5:$E$88,4,0),0))</f>
        <v>3.5</v>
      </c>
      <c r="H18" s="72">
        <f>IF(B18=0,"",IFERROR(VLOOKUP(B18,'S-ASIG-02'!$B$5:$E$88,4,0),0))</f>
        <v>4.9000000000000004</v>
      </c>
      <c r="I18" s="72">
        <f>IF(B18=0,"",IFERROR(VLOOKUP(B18,'S-ASIG-03'!$B$5:$E$88,4,0),0))</f>
        <v>4.2100000000000009</v>
      </c>
      <c r="J18" s="72">
        <f>IF(B18=0,"",IFERROR(VLOOKUP(B18,'S-ASIG-04'!$B$5:$E$88,4,0),0))</f>
        <v>4.4800000000000004</v>
      </c>
      <c r="K18" s="72">
        <f>IF(B18=0,"",IFERROR(VLOOKUP(B18,'S-ASIG-05'!$B$5:$E$88,4,0),0))</f>
        <v>0</v>
      </c>
      <c r="L18" s="72">
        <f>IF(B18=0,"",IFERROR(VLOOKUP(B18,'S-ASIG-06'!$B$5:$E$88,4,0),0))</f>
        <v>4.1399999999999997</v>
      </c>
      <c r="M18" s="73">
        <f>IF(B18=0,"",IFERROR(VLOOKUP(B18,'S-ASIG-07'!$B$5:$E$88,4,0),0))</f>
        <v>0</v>
      </c>
      <c r="N18" s="68" t="s">
        <v>117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118</v>
      </c>
    </row>
    <row r="19" spans="1:22" ht="15" customHeight="1">
      <c r="A19" s="12">
        <v>15</v>
      </c>
      <c r="B19" s="70" t="str">
        <f>LIDER!C23</f>
        <v>NICOLE ANDREA BARRAZA CARDOZO</v>
      </c>
      <c r="C19" s="64" t="str">
        <f>IF(B19=0,"",IFERROR(VLOOKUP(B19,'S-ASIG-01'!$B$5:$E$88,2,0),0))</f>
        <v>G04</v>
      </c>
      <c r="D19" s="65">
        <f t="shared" si="2"/>
        <v>4.0825000000000005</v>
      </c>
      <c r="E19" s="66">
        <f t="shared" si="3"/>
        <v>0</v>
      </c>
      <c r="F19" s="47"/>
      <c r="G19" s="71">
        <f>IF(B19=0,"",IFERROR(VLOOKUP(B19,'S-ASIG-01'!$B$5:$E$88,4,0),0))</f>
        <v>3.5</v>
      </c>
      <c r="H19" s="72" t="str">
        <f>IF(B19=0,"",IFERROR(VLOOKUP(B19,'S-ASIG-02'!$B$5:$E$88,4,0),0))</f>
        <v>N</v>
      </c>
      <c r="I19" s="72">
        <f>IF(B19=0,"",IFERROR(VLOOKUP(B19,'S-ASIG-03'!$B$5:$E$88,4,0),0))</f>
        <v>4.2100000000000009</v>
      </c>
      <c r="J19" s="72">
        <f>IF(B19=0,"",IFERROR(VLOOKUP(B19,'S-ASIG-04'!$B$5:$E$88,4,0),0))</f>
        <v>4.4800000000000004</v>
      </c>
      <c r="K19" s="72">
        <f>IF(B19=0,"",IFERROR(VLOOKUP(B19,'S-ASIG-05'!$B$5:$E$88,4,0),0))</f>
        <v>0</v>
      </c>
      <c r="L19" s="72">
        <f>IF(B19=0,"",IFERROR(VLOOKUP(B19,'S-ASIG-06'!$B$5:$E$88,4,0),0))</f>
        <v>4.1399999999999997</v>
      </c>
      <c r="M19" s="73">
        <f>IF(B19=0,"",IFERROR(VLOOKUP(B19,'S-ASIG-07'!$B$5:$E$88,4,0),0))</f>
        <v>0</v>
      </c>
      <c r="N19" s="68" t="s">
        <v>117</v>
      </c>
      <c r="O19" s="71">
        <f>IF(B19=0,"",IFERROR(VLOOKUP(B19,'T-ASIG-01'!$B$5:$D$88,3,0),0))</f>
        <v>0</v>
      </c>
      <c r="P19" s="72" t="str">
        <f>IF(B19=0,"",IFERROR(VLOOKUP(B19,'T-ASIG-02'!$B$5:$D$88,3,0),0))</f>
        <v>N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118</v>
      </c>
    </row>
    <row r="20" spans="1:22" ht="15" customHeight="1">
      <c r="A20" s="12">
        <v>16</v>
      </c>
      <c r="B20" s="70" t="str">
        <f>LIDER!C24</f>
        <v>DANIELA BOLAÑOS CUELLAR</v>
      </c>
      <c r="C20" s="64" t="str">
        <f>IF(B20=0,"",IFERROR(VLOOKUP(B20,'S-ASIG-01'!$B$5:$E$88,2,0),0))</f>
        <v>G04</v>
      </c>
      <c r="D20" s="65">
        <f t="shared" si="2"/>
        <v>4.2460000000000004</v>
      </c>
      <c r="E20" s="66">
        <f t="shared" si="3"/>
        <v>0</v>
      </c>
      <c r="F20" s="47"/>
      <c r="G20" s="71">
        <f>IF(B20=0,"",IFERROR(VLOOKUP(B20,'S-ASIG-01'!$B$5:$E$88,4,0),0))</f>
        <v>3.5</v>
      </c>
      <c r="H20" s="72">
        <f>IF(B20=0,"",IFERROR(VLOOKUP(B20,'S-ASIG-02'!$B$5:$E$88,4,0),0))</f>
        <v>4.9000000000000004</v>
      </c>
      <c r="I20" s="72">
        <f>IF(B20=0,"",IFERROR(VLOOKUP(B20,'S-ASIG-03'!$B$5:$E$88,4,0),0))</f>
        <v>4.2100000000000009</v>
      </c>
      <c r="J20" s="72">
        <f>IF(B20=0,"",IFERROR(VLOOKUP(B20,'S-ASIG-04'!$B$5:$E$88,4,0),0))</f>
        <v>4.4800000000000004</v>
      </c>
      <c r="K20" s="72">
        <f>IF(B20=0,"",IFERROR(VLOOKUP(B20,'S-ASIG-05'!$B$5:$E$88,4,0),0))</f>
        <v>0</v>
      </c>
      <c r="L20" s="72">
        <f>IF(B20=0,"",IFERROR(VLOOKUP(B20,'S-ASIG-06'!$B$5:$E$88,4,0),0))</f>
        <v>4.1399999999999997</v>
      </c>
      <c r="M20" s="73">
        <f>IF(B20=0,"",IFERROR(VLOOKUP(B20,'S-ASIG-07'!$B$5:$E$88,4,0),0))</f>
        <v>0</v>
      </c>
      <c r="N20" s="68" t="s">
        <v>117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118</v>
      </c>
    </row>
    <row r="21" spans="1:22" ht="15" customHeight="1">
      <c r="A21" s="12">
        <v>17</v>
      </c>
      <c r="B21" s="70" t="str">
        <f>LIDER!C25</f>
        <v>MARIA FERNANDA BERRIO BUSTOS</v>
      </c>
      <c r="C21" s="64" t="str">
        <f>IF(B21=0,"",IFERROR(VLOOKUP(B21,'S-ASIG-01'!$B$5:$E$88,2,0),0))</f>
        <v>G05</v>
      </c>
      <c r="D21" s="65">
        <f t="shared" si="2"/>
        <v>3.9475000000000007</v>
      </c>
      <c r="E21" s="66">
        <f t="shared" si="3"/>
        <v>0</v>
      </c>
      <c r="F21" s="47"/>
      <c r="G21" s="71">
        <f>IF(B21=0,"",IFERROR(VLOOKUP(B21,'S-ASIG-01'!$B$5:$E$88,4,0),0))</f>
        <v>3.8</v>
      </c>
      <c r="H21" s="72" t="str">
        <f>IF(B21=0,"",IFERROR(VLOOKUP(B21,'S-ASIG-02'!$B$5:$E$88,4,0),0))</f>
        <v>N</v>
      </c>
      <c r="I21" s="72">
        <f>IF(B21=0,"",IFERROR(VLOOKUP(B21,'S-ASIG-03'!$B$5:$E$88,4,0),0))</f>
        <v>4.2500000000000009</v>
      </c>
      <c r="J21" s="72">
        <f>IF(B21=0,"",IFERROR(VLOOKUP(B21,'S-ASIG-04'!$B$5:$E$88,4,0),0))</f>
        <v>4.4200000000000008</v>
      </c>
      <c r="K21" s="72">
        <f>IF(B21=0,"",IFERROR(VLOOKUP(B21,'S-ASIG-05'!$B$5:$E$88,4,0),0))</f>
        <v>0</v>
      </c>
      <c r="L21" s="72">
        <f>IF(B21=0,"",IFERROR(VLOOKUP(B21,'S-ASIG-06'!$B$5:$E$88,4,0),0))</f>
        <v>3.32</v>
      </c>
      <c r="M21" s="73">
        <f>IF(B21=0,"",IFERROR(VLOOKUP(B21,'S-ASIG-07'!$B$5:$E$88,4,0),0))</f>
        <v>0</v>
      </c>
      <c r="N21" s="68" t="s">
        <v>117</v>
      </c>
      <c r="O21" s="71">
        <f>IF(B21=0,"",IFERROR(VLOOKUP(B21,'T-ASIG-01'!$B$5:$D$88,3,0),0))</f>
        <v>0</v>
      </c>
      <c r="P21" s="72" t="str">
        <f>IF(B21=0,"",IFERROR(VLOOKUP(B21,'T-ASIG-02'!$B$5:$D$88,3,0),0))</f>
        <v>N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118</v>
      </c>
    </row>
    <row r="22" spans="1:22" ht="15" customHeight="1">
      <c r="A22" s="12">
        <v>18</v>
      </c>
      <c r="B22" s="70" t="str">
        <f>LIDER!C26</f>
        <v>JESUS DANIEL MOLINA SANCHEZ</v>
      </c>
      <c r="C22" s="64" t="str">
        <f>IF(B22=0,"",IFERROR(VLOOKUP(B22,'S-ASIG-01'!$B$5:$E$88,2,0),0))</f>
        <v>G05</v>
      </c>
      <c r="D22" s="65">
        <f t="shared" si="2"/>
        <v>4.1379999999999999</v>
      </c>
      <c r="E22" s="66">
        <f t="shared" si="3"/>
        <v>0</v>
      </c>
      <c r="F22" s="47"/>
      <c r="G22" s="71">
        <f>IF(B22=0,"",IFERROR(VLOOKUP(B22,'S-ASIG-01'!$B$5:$E$88,4,0),0))</f>
        <v>3.8</v>
      </c>
      <c r="H22" s="72">
        <f>IF(B22=0,"",IFERROR(VLOOKUP(B22,'S-ASIG-02'!$B$5:$E$88,4,0),0))</f>
        <v>4.9000000000000004</v>
      </c>
      <c r="I22" s="72">
        <f>IF(B22=0,"",IFERROR(VLOOKUP(B22,'S-ASIG-03'!$B$5:$E$88,4,0),0))</f>
        <v>4.2500000000000009</v>
      </c>
      <c r="J22" s="72">
        <f>IF(B22=0,"",IFERROR(VLOOKUP(B22,'S-ASIG-04'!$B$5:$E$88,4,0),0))</f>
        <v>4.4200000000000008</v>
      </c>
      <c r="K22" s="72">
        <f>IF(B22=0,"",IFERROR(VLOOKUP(B22,'S-ASIG-05'!$B$5:$E$88,4,0),0))</f>
        <v>0</v>
      </c>
      <c r="L22" s="72">
        <f>IF(B22=0,"",IFERROR(VLOOKUP(B22,'S-ASIG-06'!$B$5:$E$88,4,0),0))</f>
        <v>3.32</v>
      </c>
      <c r="M22" s="73">
        <f>IF(B22=0,"",IFERROR(VLOOKUP(B22,'S-ASIG-07'!$B$5:$E$88,4,0),0))</f>
        <v>0</v>
      </c>
      <c r="N22" s="68" t="s">
        <v>117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118</v>
      </c>
    </row>
    <row r="23" spans="1:22" ht="15" customHeight="1">
      <c r="A23" s="12">
        <v>19</v>
      </c>
      <c r="B23" s="70" t="str">
        <f>LIDER!C27</f>
        <v>MANUEL ALEJANDRO POLO MARTINEZ</v>
      </c>
      <c r="C23" s="64" t="str">
        <f>IF(B23=0,"",IFERROR(VLOOKUP(B23,'S-ASIG-01'!$B$5:$E$88,2,0),0))</f>
        <v>G05</v>
      </c>
      <c r="D23" s="65">
        <f t="shared" si="2"/>
        <v>4.1379999999999999</v>
      </c>
      <c r="E23" s="66">
        <f t="shared" si="3"/>
        <v>0</v>
      </c>
      <c r="F23" s="47"/>
      <c r="G23" s="71">
        <f>IF(B23=0,"",IFERROR(VLOOKUP(B23,'S-ASIG-01'!$B$5:$E$88,4,0),0))</f>
        <v>3.8</v>
      </c>
      <c r="H23" s="72">
        <f>IF(B23=0,"",IFERROR(VLOOKUP(B23,'S-ASIG-02'!$B$5:$E$88,4,0),0))</f>
        <v>4.9000000000000004</v>
      </c>
      <c r="I23" s="72">
        <f>IF(B23=0,"",IFERROR(VLOOKUP(B23,'S-ASIG-03'!$B$5:$E$88,4,0),0))</f>
        <v>4.2500000000000009</v>
      </c>
      <c r="J23" s="72">
        <f>IF(B23=0,"",IFERROR(VLOOKUP(B23,'S-ASIG-04'!$B$5:$E$88,4,0),0))</f>
        <v>4.4200000000000008</v>
      </c>
      <c r="K23" s="72">
        <f>IF(B23=0,"",IFERROR(VLOOKUP(B23,'S-ASIG-05'!$B$5:$E$88,4,0),0))</f>
        <v>0</v>
      </c>
      <c r="L23" s="72">
        <f>IF(B23=0,"",IFERROR(VLOOKUP(B23,'S-ASIG-06'!$B$5:$E$88,4,0),0))</f>
        <v>3.32</v>
      </c>
      <c r="M23" s="73">
        <f>IF(B23=0,"",IFERROR(VLOOKUP(B23,'S-ASIG-07'!$B$5:$E$88,4,0),0))</f>
        <v>0</v>
      </c>
      <c r="N23" s="68" t="s">
        <v>117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118</v>
      </c>
    </row>
    <row r="24" spans="1:22" ht="15" customHeight="1">
      <c r="A24" s="12">
        <v>20</v>
      </c>
      <c r="B24" s="70" t="str">
        <f>LIDER!C28</f>
        <v>DANNA JUDITH SOTO CAMARGO</v>
      </c>
      <c r="C24" s="64" t="str">
        <f>IF(B24=0,"",IFERROR(VLOOKUP(B24,'S-ASIG-01'!$B$5:$E$88,2,0),0))</f>
        <v>G05</v>
      </c>
      <c r="D24" s="65">
        <f t="shared" si="2"/>
        <v>4.1379999999999999</v>
      </c>
      <c r="E24" s="66">
        <f t="shared" si="3"/>
        <v>0</v>
      </c>
      <c r="F24" s="47"/>
      <c r="G24" s="71">
        <f>IF(B24=0,"",IFERROR(VLOOKUP(B24,'S-ASIG-01'!$B$5:$E$88,4,0),0))</f>
        <v>3.8</v>
      </c>
      <c r="H24" s="72">
        <f>IF(B24=0,"",IFERROR(VLOOKUP(B24,'S-ASIG-02'!$B$5:$E$88,4,0),0))</f>
        <v>4.9000000000000004</v>
      </c>
      <c r="I24" s="72">
        <f>IF(B24=0,"",IFERROR(VLOOKUP(B24,'S-ASIG-03'!$B$5:$E$88,4,0),0))</f>
        <v>4.2500000000000009</v>
      </c>
      <c r="J24" s="72">
        <f>IF(B24=0,"",IFERROR(VLOOKUP(B24,'S-ASIG-04'!$B$5:$E$88,4,0),0))</f>
        <v>4.4200000000000008</v>
      </c>
      <c r="K24" s="72">
        <f>IF(B24=0,"",IFERROR(VLOOKUP(B24,'S-ASIG-05'!$B$5:$E$88,4,0),0))</f>
        <v>0</v>
      </c>
      <c r="L24" s="72">
        <f>IF(B24=0,"",IFERROR(VLOOKUP(B24,'S-ASIG-06'!$B$5:$E$88,4,0),0))</f>
        <v>3.32</v>
      </c>
      <c r="M24" s="73">
        <f>IF(B24=0,"",IFERROR(VLOOKUP(B24,'S-ASIG-07'!$B$5:$E$88,4,0),0))</f>
        <v>0</v>
      </c>
      <c r="N24" s="68" t="s">
        <v>117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118</v>
      </c>
    </row>
    <row r="25" spans="1:22" ht="15" customHeight="1">
      <c r="A25" s="12">
        <v>21</v>
      </c>
      <c r="B25" s="70" t="str">
        <f>LIDER!C29</f>
        <v>ANA JOHANA AHUMADA MONTERO</v>
      </c>
      <c r="C25" s="64" t="str">
        <f>IF(B25=0,"",IFERROR(VLOOKUP(B25,'S-ASIG-01'!$B$5:$E$88,2,0),0))</f>
        <v>G06</v>
      </c>
      <c r="D25" s="65">
        <f t="shared" si="2"/>
        <v>3.6275000000000004</v>
      </c>
      <c r="E25" s="66">
        <f t="shared" si="3"/>
        <v>0</v>
      </c>
      <c r="F25" s="47"/>
      <c r="G25" s="71">
        <f>IF(B25=0,"",IFERROR(VLOOKUP(B25,'S-ASIG-01'!$B$5:$E$88,4,0),0))</f>
        <v>3.5500000000000003</v>
      </c>
      <c r="H25" s="72" t="str">
        <f>IF(B25=0,"",IFERROR(VLOOKUP(B25,'S-ASIG-02'!$B$5:$E$88,4,0),0))</f>
        <v>N</v>
      </c>
      <c r="I25" s="72">
        <f>IF(B25=0,"",IFERROR(VLOOKUP(B25,'S-ASIG-03'!$B$5:$E$88,4,0),0))</f>
        <v>3.7900000000000005</v>
      </c>
      <c r="J25" s="72">
        <f>IF(B25=0,"",IFERROR(VLOOKUP(B25,'S-ASIG-04'!$B$5:$E$88,4,0),0))</f>
        <v>4.3600000000000003</v>
      </c>
      <c r="K25" s="72">
        <f>IF(B25=0,"",IFERROR(VLOOKUP(B25,'S-ASIG-05'!$B$5:$E$88,4,0),0))</f>
        <v>0</v>
      </c>
      <c r="L25" s="72">
        <f>IF(B25=0,"",IFERROR(VLOOKUP(B25,'S-ASIG-06'!$B$5:$E$88,4,0),0))</f>
        <v>2.8100000000000005</v>
      </c>
      <c r="M25" s="73">
        <f>IF(B25=0,"",IFERROR(VLOOKUP(B25,'S-ASIG-07'!$B$5:$E$88,4,0),0))</f>
        <v>0</v>
      </c>
      <c r="N25" s="68" t="s">
        <v>117</v>
      </c>
      <c r="O25" s="71">
        <f>IF(B25=0,"",IFERROR(VLOOKUP(B25,'T-ASIG-01'!$B$5:$D$88,3,0),0))</f>
        <v>0</v>
      </c>
      <c r="P25" s="72" t="str">
        <f>IF(B25=0,"",IFERROR(VLOOKUP(B25,'T-ASIG-02'!$B$5:$D$88,3,0),0))</f>
        <v>N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118</v>
      </c>
    </row>
    <row r="26" spans="1:22" ht="15" customHeight="1">
      <c r="A26" s="12">
        <v>22</v>
      </c>
      <c r="B26" s="70" t="str">
        <f>LIDER!C30</f>
        <v>EVELIN TATIANA CASTRO MONTAÑO</v>
      </c>
      <c r="C26" s="64" t="str">
        <f>IF(B26=0,"",IFERROR(VLOOKUP(B26,'S-ASIG-01'!$B$5:$E$88,2,0),0))</f>
        <v>G06</v>
      </c>
      <c r="D26" s="65">
        <f t="shared" si="2"/>
        <v>3.6275000000000004</v>
      </c>
      <c r="E26" s="66">
        <f t="shared" si="3"/>
        <v>0</v>
      </c>
      <c r="F26" s="47"/>
      <c r="G26" s="71">
        <f>IF(B26=0,"",IFERROR(VLOOKUP(B26,'S-ASIG-01'!$B$5:$E$88,4,0),0))</f>
        <v>3.5500000000000003</v>
      </c>
      <c r="H26" s="72" t="str">
        <f>IF(B26=0,"",IFERROR(VLOOKUP(B26,'S-ASIG-02'!$B$5:$E$88,4,0),0))</f>
        <v>N</v>
      </c>
      <c r="I26" s="72">
        <f>IF(B26=0,"",IFERROR(VLOOKUP(B26,'S-ASIG-03'!$B$5:$E$88,4,0),0))</f>
        <v>3.7900000000000005</v>
      </c>
      <c r="J26" s="72">
        <f>IF(B26=0,"",IFERROR(VLOOKUP(B26,'S-ASIG-04'!$B$5:$E$88,4,0),0))</f>
        <v>4.3600000000000003</v>
      </c>
      <c r="K26" s="72">
        <f>IF(B26=0,"",IFERROR(VLOOKUP(B26,'S-ASIG-05'!$B$5:$E$88,4,0),0))</f>
        <v>0</v>
      </c>
      <c r="L26" s="72">
        <f>IF(B26=0,"",IFERROR(VLOOKUP(B26,'S-ASIG-06'!$B$5:$E$88,4,0),0))</f>
        <v>2.8100000000000005</v>
      </c>
      <c r="M26" s="73">
        <f>IF(B26=0,"",IFERROR(VLOOKUP(B26,'S-ASIG-07'!$B$5:$E$88,4,0),0))</f>
        <v>0</v>
      </c>
      <c r="N26" s="68" t="s">
        <v>117</v>
      </c>
      <c r="O26" s="71">
        <f>IF(B26=0,"",IFERROR(VLOOKUP(B26,'T-ASIG-01'!$B$5:$D$88,3,0),0))</f>
        <v>0</v>
      </c>
      <c r="P26" s="72" t="str">
        <f>IF(B26=0,"",IFERROR(VLOOKUP(B26,'T-ASIG-02'!$B$5:$D$88,3,0),0))</f>
        <v>N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118</v>
      </c>
    </row>
    <row r="27" spans="1:22" ht="15" customHeight="1">
      <c r="A27" s="12">
        <v>23</v>
      </c>
      <c r="B27" s="70" t="str">
        <f>LIDER!C31</f>
        <v>HELEN SOFIA DAZA VILLAMIZAR</v>
      </c>
      <c r="C27" s="64" t="str">
        <f>IF(B27=0,"",IFERROR(VLOOKUP(B27,'S-ASIG-01'!$B$5:$E$88,2,0),0))</f>
        <v>G06</v>
      </c>
      <c r="D27" s="65">
        <f t="shared" si="2"/>
        <v>3.874000000000001</v>
      </c>
      <c r="E27" s="66">
        <f t="shared" si="3"/>
        <v>0</v>
      </c>
      <c r="F27" s="47"/>
      <c r="G27" s="71">
        <f>IF(B27=0,"",IFERROR(VLOOKUP(B27,'S-ASIG-01'!$B$5:$E$88,4,0),0))</f>
        <v>3.5500000000000003</v>
      </c>
      <c r="H27" s="72">
        <f>IF(B27=0,"",IFERROR(VLOOKUP(B27,'S-ASIG-02'!$B$5:$E$88,4,0),0))</f>
        <v>4.8600000000000003</v>
      </c>
      <c r="I27" s="72">
        <f>IF(B27=0,"",IFERROR(VLOOKUP(B27,'S-ASIG-03'!$B$5:$E$88,4,0),0))</f>
        <v>3.7900000000000005</v>
      </c>
      <c r="J27" s="72">
        <f>IF(B27=0,"",IFERROR(VLOOKUP(B27,'S-ASIG-04'!$B$5:$E$88,4,0),0))</f>
        <v>4.3600000000000003</v>
      </c>
      <c r="K27" s="72">
        <f>IF(B27=0,"",IFERROR(VLOOKUP(B27,'S-ASIG-05'!$B$5:$E$88,4,0),0))</f>
        <v>0</v>
      </c>
      <c r="L27" s="72">
        <f>IF(B27=0,"",IFERROR(VLOOKUP(B27,'S-ASIG-06'!$B$5:$E$88,4,0),0))</f>
        <v>2.8100000000000005</v>
      </c>
      <c r="M27" s="73">
        <f>IF(B27=0,"",IFERROR(VLOOKUP(B27,'S-ASIG-07'!$B$5:$E$88,4,0),0))</f>
        <v>0</v>
      </c>
      <c r="N27" s="68" t="s">
        <v>117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118</v>
      </c>
    </row>
    <row r="28" spans="1:22" ht="15" customHeight="1">
      <c r="A28" s="12">
        <v>24</v>
      </c>
      <c r="B28" s="70" t="str">
        <f>LIDER!C32</f>
        <v>NICOLLE LIZETH MORALES PUELLO</v>
      </c>
      <c r="C28" s="64" t="str">
        <f>IF(B28=0,"",IFERROR(VLOOKUP(B28,'S-ASIG-01'!$B$5:$E$88,2,0),0))</f>
        <v>G06</v>
      </c>
      <c r="D28" s="65">
        <f t="shared" si="2"/>
        <v>3.874000000000001</v>
      </c>
      <c r="E28" s="66">
        <f t="shared" si="3"/>
        <v>0</v>
      </c>
      <c r="F28" s="47"/>
      <c r="G28" s="71">
        <f>IF(B28=0,"",IFERROR(VLOOKUP(B28,'S-ASIG-01'!$B$5:$E$88,4,0),0))</f>
        <v>3.5500000000000003</v>
      </c>
      <c r="H28" s="72">
        <f>IF(B28=0,"",IFERROR(VLOOKUP(B28,'S-ASIG-02'!$B$5:$E$88,4,0),0))</f>
        <v>4.8600000000000003</v>
      </c>
      <c r="I28" s="72">
        <f>IF(B28=0,"",IFERROR(VLOOKUP(B28,'S-ASIG-03'!$B$5:$E$88,4,0),0))</f>
        <v>3.7900000000000005</v>
      </c>
      <c r="J28" s="72">
        <f>IF(B28=0,"",IFERROR(VLOOKUP(B28,'S-ASIG-04'!$B$5:$E$88,4,0),0))</f>
        <v>4.3600000000000003</v>
      </c>
      <c r="K28" s="72">
        <f>IF(B28=0,"",IFERROR(VLOOKUP(B28,'S-ASIG-05'!$B$5:$E$88,4,0),0))</f>
        <v>0</v>
      </c>
      <c r="L28" s="72">
        <f>IF(B28=0,"",IFERROR(VLOOKUP(B28,'S-ASIG-06'!$B$5:$E$88,4,0),0))</f>
        <v>2.8100000000000005</v>
      </c>
      <c r="M28" s="73">
        <f>IF(B28=0,"",IFERROR(VLOOKUP(B28,'S-ASIG-07'!$B$5:$E$88,4,0),0))</f>
        <v>0</v>
      </c>
      <c r="N28" s="68" t="s">
        <v>117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118</v>
      </c>
    </row>
    <row r="29" spans="1:22" ht="15" customHeight="1">
      <c r="A29" s="12">
        <v>25</v>
      </c>
      <c r="B29" s="70" t="str">
        <f>LIDER!C33</f>
        <v>ELIZABETH ZAMORA MARTINEZ</v>
      </c>
      <c r="C29" s="64" t="str">
        <f>IF(B29=0,"",IFERROR(VLOOKUP(B29,'S-ASIG-01'!$B$5:$E$88,2,0),0))</f>
        <v>G06</v>
      </c>
      <c r="D29" s="65">
        <f t="shared" si="2"/>
        <v>3.874000000000001</v>
      </c>
      <c r="E29" s="66">
        <f t="shared" si="3"/>
        <v>0</v>
      </c>
      <c r="F29" s="47"/>
      <c r="G29" s="71">
        <f>IF(B29=0,"",IFERROR(VLOOKUP(B29,'S-ASIG-01'!$B$5:$E$88,4,0),0))</f>
        <v>3.5500000000000003</v>
      </c>
      <c r="H29" s="72">
        <f>IF(B29=0,"",IFERROR(VLOOKUP(B29,'S-ASIG-02'!$B$5:$E$88,4,0),0))</f>
        <v>4.8600000000000003</v>
      </c>
      <c r="I29" s="72">
        <f>IF(B29=0,"",IFERROR(VLOOKUP(B29,'S-ASIG-03'!$B$5:$E$88,4,0),0))</f>
        <v>3.7900000000000005</v>
      </c>
      <c r="J29" s="72">
        <f>IF(B29=0,"",IFERROR(VLOOKUP(B29,'S-ASIG-04'!$B$5:$E$88,4,0),0))</f>
        <v>4.3600000000000003</v>
      </c>
      <c r="K29" s="72">
        <f>IF(B29=0,"",IFERROR(VLOOKUP(B29,'S-ASIG-05'!$B$5:$E$88,4,0),0))</f>
        <v>0</v>
      </c>
      <c r="L29" s="72">
        <f>IF(B29=0,"",IFERROR(VLOOKUP(B29,'S-ASIG-06'!$B$5:$E$88,4,0),0))</f>
        <v>2.8100000000000005</v>
      </c>
      <c r="M29" s="73">
        <f>IF(B29=0,"",IFERROR(VLOOKUP(B29,'S-ASIG-07'!$B$5:$E$88,4,0),0))</f>
        <v>0</v>
      </c>
      <c r="N29" s="68" t="s">
        <v>117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118</v>
      </c>
    </row>
    <row r="30" spans="1:22" ht="15" customHeight="1">
      <c r="A30" s="12">
        <v>26</v>
      </c>
      <c r="B30" s="70" t="str">
        <f>LIDER!C34</f>
        <v>AISHA CARMONA DIAZ</v>
      </c>
      <c r="C30" s="64" t="str">
        <f>IF(B30=0,"",IFERROR(VLOOKUP(B30,'S-ASIG-01'!$B$5:$E$88,2,0),0))</f>
        <v>G07</v>
      </c>
      <c r="D30" s="65">
        <f t="shared" si="2"/>
        <v>4.4340000000000002</v>
      </c>
      <c r="E30" s="66">
        <f t="shared" si="3"/>
        <v>0</v>
      </c>
      <c r="F30" s="47"/>
      <c r="G30" s="71">
        <f>IF(B30=0,"",IFERROR(VLOOKUP(B30,'S-ASIG-01'!$B$5:$E$88,4,0),0))</f>
        <v>4.1300000000000008</v>
      </c>
      <c r="H30" s="72">
        <f>IF(B30=0,"",IFERROR(VLOOKUP(B30,'S-ASIG-02'!$B$5:$E$88,4,0),0))</f>
        <v>4.9000000000000004</v>
      </c>
      <c r="I30" s="72">
        <f>IF(B30=0,"",IFERROR(VLOOKUP(B30,'S-ASIG-03'!$B$5:$E$88,4,0),0))</f>
        <v>4.1399999999999997</v>
      </c>
      <c r="J30" s="72">
        <f>IF(B30=0,"",IFERROR(VLOOKUP(B30,'S-ASIG-04'!$B$5:$E$88,4,0),0))</f>
        <v>4.4300000000000006</v>
      </c>
      <c r="K30" s="72">
        <f>IF(B30=0,"",IFERROR(VLOOKUP(B30,'S-ASIG-05'!$B$5:$E$88,4,0),0))</f>
        <v>0</v>
      </c>
      <c r="L30" s="72">
        <f>IF(B30=0,"",IFERROR(VLOOKUP(B30,'S-ASIG-06'!$B$5:$E$88,4,0),0))</f>
        <v>4.57</v>
      </c>
      <c r="M30" s="73">
        <f>IF(B30=0,"",IFERROR(VLOOKUP(B30,'S-ASIG-07'!$B$5:$E$88,4,0),0))</f>
        <v>0</v>
      </c>
      <c r="N30" s="68" t="s">
        <v>117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118</v>
      </c>
    </row>
    <row r="31" spans="1:22" ht="15" customHeight="1">
      <c r="A31" s="12">
        <v>27</v>
      </c>
      <c r="B31" s="70" t="str">
        <f>LIDER!C35</f>
        <v>HEIDY JOSEFINA HERRERA PERTUZ</v>
      </c>
      <c r="C31" s="64" t="str">
        <f>IF(B31=0,"",IFERROR(VLOOKUP(B31,'S-ASIG-01'!$B$5:$E$88,2,0),0))</f>
        <v>G07</v>
      </c>
      <c r="D31" s="65">
        <f t="shared" si="2"/>
        <v>4.4340000000000002</v>
      </c>
      <c r="E31" s="66">
        <f t="shared" si="3"/>
        <v>0</v>
      </c>
      <c r="F31" s="47"/>
      <c r="G31" s="71">
        <f>IF(B31=0,"",IFERROR(VLOOKUP(B31,'S-ASIG-01'!$B$5:$E$88,4,0),0))</f>
        <v>4.1300000000000008</v>
      </c>
      <c r="H31" s="72">
        <f>IF(B31=0,"",IFERROR(VLOOKUP(B31,'S-ASIG-02'!$B$5:$E$88,4,0),0))</f>
        <v>4.9000000000000004</v>
      </c>
      <c r="I31" s="72">
        <f>IF(B31=0,"",IFERROR(VLOOKUP(B31,'S-ASIG-03'!$B$5:$E$88,4,0),0))</f>
        <v>4.1399999999999997</v>
      </c>
      <c r="J31" s="72">
        <f>IF(B31=0,"",IFERROR(VLOOKUP(B31,'S-ASIG-04'!$B$5:$E$88,4,0),0))</f>
        <v>4.4300000000000006</v>
      </c>
      <c r="K31" s="72">
        <f>IF(B31=0,"",IFERROR(VLOOKUP(B31,'S-ASIG-05'!$B$5:$E$88,4,0),0))</f>
        <v>0</v>
      </c>
      <c r="L31" s="72">
        <f>IF(B31=0,"",IFERROR(VLOOKUP(B31,'S-ASIG-06'!$B$5:$E$88,4,0),0))</f>
        <v>4.57</v>
      </c>
      <c r="M31" s="73">
        <f>IF(B31=0,"",IFERROR(VLOOKUP(B31,'S-ASIG-07'!$B$5:$E$88,4,0),0))</f>
        <v>0</v>
      </c>
      <c r="N31" s="68" t="s">
        <v>117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118</v>
      </c>
    </row>
    <row r="32" spans="1:22" ht="15" customHeight="1">
      <c r="A32" s="12">
        <v>28</v>
      </c>
      <c r="B32" s="70" t="str">
        <f>LIDER!C36</f>
        <v>DANNA SOFIA OROZCO TORRES</v>
      </c>
      <c r="C32" s="64" t="str">
        <f>IF(B32=0,"",IFERROR(VLOOKUP(B32,'S-ASIG-01'!$B$5:$E$88,2,0),0))</f>
        <v>G07</v>
      </c>
      <c r="D32" s="65">
        <f t="shared" si="2"/>
        <v>4.4340000000000002</v>
      </c>
      <c r="E32" s="66">
        <f t="shared" si="3"/>
        <v>0</v>
      </c>
      <c r="F32" s="47"/>
      <c r="G32" s="71">
        <f>IF(B32=0,"",IFERROR(VLOOKUP(B32,'S-ASIG-01'!$B$5:$E$88,4,0),0))</f>
        <v>4.1300000000000008</v>
      </c>
      <c r="H32" s="72">
        <f>IF(B32=0,"",IFERROR(VLOOKUP(B32,'S-ASIG-02'!$B$5:$E$88,4,0),0))</f>
        <v>4.9000000000000004</v>
      </c>
      <c r="I32" s="72">
        <f>IF(B32=0,"",IFERROR(VLOOKUP(B32,'S-ASIG-03'!$B$5:$E$88,4,0),0))</f>
        <v>4.1399999999999997</v>
      </c>
      <c r="J32" s="72">
        <f>IF(B32=0,"",IFERROR(VLOOKUP(B32,'S-ASIG-04'!$B$5:$E$88,4,0),0))</f>
        <v>4.4300000000000006</v>
      </c>
      <c r="K32" s="72">
        <f>IF(B32=0,"",IFERROR(VLOOKUP(B32,'S-ASIG-05'!$B$5:$E$88,4,0),0))</f>
        <v>0</v>
      </c>
      <c r="L32" s="72">
        <f>IF(B32=0,"",IFERROR(VLOOKUP(B32,'S-ASIG-06'!$B$5:$E$88,4,0),0))</f>
        <v>4.57</v>
      </c>
      <c r="M32" s="73">
        <f>IF(B32=0,"",IFERROR(VLOOKUP(B32,'S-ASIG-07'!$B$5:$E$88,4,0),0))</f>
        <v>0</v>
      </c>
      <c r="N32" s="68" t="s">
        <v>117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118</v>
      </c>
    </row>
    <row r="33" spans="1:22" ht="15" customHeight="1">
      <c r="A33" s="12">
        <v>29</v>
      </c>
      <c r="B33" s="70" t="str">
        <f>LIDER!C37</f>
        <v>JERALDINE RAMIREZ ARTEAGA</v>
      </c>
      <c r="C33" s="64" t="str">
        <f>IF(B33=0,"",IFERROR(VLOOKUP(B33,'S-ASIG-01'!$B$5:$E$88,2,0),0))</f>
        <v>G07</v>
      </c>
      <c r="D33" s="65">
        <f t="shared" si="2"/>
        <v>4.4340000000000002</v>
      </c>
      <c r="E33" s="66">
        <f t="shared" si="3"/>
        <v>0</v>
      </c>
      <c r="F33" s="47"/>
      <c r="G33" s="71">
        <f>IF(B33=0,"",IFERROR(VLOOKUP(B33,'S-ASIG-01'!$B$5:$E$88,4,0),0))</f>
        <v>4.1300000000000008</v>
      </c>
      <c r="H33" s="72">
        <f>IF(B33=0,"",IFERROR(VLOOKUP(B33,'S-ASIG-02'!$B$5:$E$88,4,0),0))</f>
        <v>4.9000000000000004</v>
      </c>
      <c r="I33" s="72">
        <f>IF(B33=0,"",IFERROR(VLOOKUP(B33,'S-ASIG-03'!$B$5:$E$88,4,0),0))</f>
        <v>4.1399999999999997</v>
      </c>
      <c r="J33" s="72">
        <f>IF(B33=0,"",IFERROR(VLOOKUP(B33,'S-ASIG-04'!$B$5:$E$88,4,0),0))</f>
        <v>4.4300000000000006</v>
      </c>
      <c r="K33" s="72">
        <f>IF(B33=0,"",IFERROR(VLOOKUP(B33,'S-ASIG-05'!$B$5:$E$88,4,0),0))</f>
        <v>0</v>
      </c>
      <c r="L33" s="72">
        <f>IF(B33=0,"",IFERROR(VLOOKUP(B33,'S-ASIG-06'!$B$5:$E$88,4,0),0))</f>
        <v>4.57</v>
      </c>
      <c r="M33" s="73">
        <f>IF(B33=0,"",IFERROR(VLOOKUP(B33,'S-ASIG-07'!$B$5:$E$88,4,0),0))</f>
        <v>0</v>
      </c>
      <c r="N33" s="68" t="s">
        <v>117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118</v>
      </c>
    </row>
    <row r="34" spans="1:22" ht="15" customHeight="1">
      <c r="A34" s="12">
        <v>30</v>
      </c>
      <c r="B34" s="70" t="str">
        <f>LIDER!C38</f>
        <v>NICOLLE VALENTINA RODRIGUEZ FIGUEROA</v>
      </c>
      <c r="C34" s="64" t="str">
        <f>IF(B34=0,"",IFERROR(VLOOKUP(B34,'S-ASIG-01'!$B$5:$E$88,2,0),0))</f>
        <v>G07</v>
      </c>
      <c r="D34" s="65">
        <f t="shared" si="2"/>
        <v>4.3174999999999999</v>
      </c>
      <c r="E34" s="66">
        <f t="shared" si="3"/>
        <v>0</v>
      </c>
      <c r="F34" s="47"/>
      <c r="G34" s="71">
        <f>IF(B34=0,"",IFERROR(VLOOKUP(B34,'S-ASIG-01'!$B$5:$E$88,4,0),0))</f>
        <v>4.1300000000000008</v>
      </c>
      <c r="H34" s="72" t="str">
        <f>IF(B34=0,"",IFERROR(VLOOKUP(B34,'S-ASIG-02'!$B$5:$E$88,4,0),0))</f>
        <v>N</v>
      </c>
      <c r="I34" s="72">
        <f>IF(B34=0,"",IFERROR(VLOOKUP(B34,'S-ASIG-03'!$B$5:$E$88,4,0),0))</f>
        <v>4.1399999999999997</v>
      </c>
      <c r="J34" s="72">
        <f>IF(B34=0,"",IFERROR(VLOOKUP(B34,'S-ASIG-04'!$B$5:$E$88,4,0),0))</f>
        <v>4.4300000000000006</v>
      </c>
      <c r="K34" s="72">
        <f>IF(B34=0,"",IFERROR(VLOOKUP(B34,'S-ASIG-05'!$B$5:$E$88,4,0),0))</f>
        <v>0</v>
      </c>
      <c r="L34" s="72">
        <f>IF(B34=0,"",IFERROR(VLOOKUP(B34,'S-ASIG-06'!$B$5:$E$88,4,0),0))</f>
        <v>4.57</v>
      </c>
      <c r="M34" s="73">
        <f>IF(B34=0,"",IFERROR(VLOOKUP(B34,'S-ASIG-07'!$B$5:$E$88,4,0),0))</f>
        <v>0</v>
      </c>
      <c r="N34" s="68" t="s">
        <v>117</v>
      </c>
      <c r="O34" s="71">
        <f>IF(B34=0,"",IFERROR(VLOOKUP(B34,'T-ASIG-01'!$B$5:$D$88,3,0),0))</f>
        <v>0</v>
      </c>
      <c r="P34" s="72" t="str">
        <f>IF(B34=0,"",IFERROR(VLOOKUP(B34,'T-ASIG-02'!$B$5:$D$88,3,0),0))</f>
        <v>N</v>
      </c>
      <c r="Q34" s="72">
        <f>IF(B34=0,"",IFERROR(VLOOKUP(B34,'T-ASIG-03'!$B$5:$D$88,3,0),0))</f>
        <v>0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118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117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118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117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118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117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118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117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118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117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118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117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118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117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118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117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118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117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118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117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118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117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118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117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118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117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118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117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118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117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118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117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118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117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118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117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118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117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118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117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118</v>
      </c>
    </row>
  </sheetData>
  <sheetProtection algorithmName="SHA-512" hashValue="bbRyFBvXnAyAqm28968Pb77JeNLDAAiwQeq1J22+zBLuyHyAY8uGm8UsL22LdpnBZsbe0t5Lt8V/mqAJeo45Ag==" saltValue="y/g9owKEFRd92idXAxXOH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2026-10-15T21:45:58Z</dcterms:modified>
  <cp:category/>
  <cp:contentStatus/>
</cp:coreProperties>
</file>