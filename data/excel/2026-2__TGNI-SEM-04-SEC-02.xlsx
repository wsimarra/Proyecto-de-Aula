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W I L F R A N\Desktop\TECNOLOGICO COMFENALCO\2026-2\GESTION DE PROYECTOS DE AULA\TGNI\GUIAS PA TGNI\SEMESTRE-4\PRIMERA ENTREGA\"/>
    </mc:Choice>
  </mc:AlternateContent>
  <xr:revisionPtr revIDLastSave="239" documentId="13_ncr:1_{F8BF03F4-5B2D-4D5F-8736-5DC2048EC416}" xr6:coauthVersionLast="47" xr6:coauthVersionMax="47" xr10:uidLastSave="{D086DA87-2E37-472D-A7E3-A75EF5D84217}"/>
  <bookViews>
    <workbookView xWindow="-120" yWindow="-120" windowWidth="20730" windowHeight="11040" tabRatio="815" firstSheet="5" activeTab="3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D10" i="16"/>
  <c r="B10" i="16"/>
  <c r="D9" i="16"/>
  <c r="B9" i="16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D48" i="7" s="1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D18" i="7"/>
  <c r="B18" i="7"/>
  <c r="B17" i="7"/>
  <c r="D17" i="7" s="1"/>
  <c r="B16" i="7"/>
  <c r="D16" i="7" s="1"/>
  <c r="B15" i="7"/>
  <c r="D15" i="7" s="1"/>
  <c r="B14" i="7"/>
  <c r="D14" i="7" s="1"/>
  <c r="B13" i="7"/>
  <c r="D13" i="7" s="1"/>
  <c r="D11" i="7"/>
  <c r="B11" i="7"/>
  <c r="D10" i="7"/>
  <c r="B10" i="7"/>
  <c r="D9" i="7"/>
  <c r="B9" i="7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D49" i="6" s="1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D59" i="6"/>
  <c r="B59" i="6"/>
  <c r="D58" i="6"/>
  <c r="B58" i="6"/>
  <c r="B57" i="6"/>
  <c r="D57" i="6" s="1"/>
  <c r="B56" i="6"/>
  <c r="D56" i="6" s="1"/>
  <c r="B55" i="6"/>
  <c r="D55" i="6" s="1"/>
  <c r="D53" i="6"/>
  <c r="B53" i="6"/>
  <c r="D52" i="6"/>
  <c r="B52" i="6"/>
  <c r="B51" i="6"/>
  <c r="D51" i="6" s="1"/>
  <c r="B50" i="6"/>
  <c r="D50" i="6" s="1"/>
  <c r="B49" i="6"/>
  <c r="B48" i="6"/>
  <c r="D46" i="6"/>
  <c r="B46" i="6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D9" i="6"/>
  <c r="B9" i="6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D59" i="5"/>
  <c r="B59" i="5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D9" i="5"/>
  <c r="B9" i="5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D9" i="4"/>
  <c r="B9" i="4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E60" i="15"/>
  <c r="B60" i="15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E55" i="15"/>
  <c r="C55" i="15"/>
  <c r="B55" i="15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E49" i="15"/>
  <c r="C49" i="15"/>
  <c r="B49" i="15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B32" i="15"/>
  <c r="E32" i="15" s="1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E10" i="15"/>
  <c r="B10" i="15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E55" i="14"/>
  <c r="C55" i="14"/>
  <c r="B55" i="14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B45" i="14"/>
  <c r="E45" i="14" s="1"/>
  <c r="B44" i="14"/>
  <c r="E44" i="14" s="1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E10" i="14"/>
  <c r="B10" i="14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E60" i="13"/>
  <c r="B60" i="13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E55" i="13"/>
  <c r="C55" i="13"/>
  <c r="B55" i="13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E48" i="13"/>
  <c r="C48" i="13"/>
  <c r="C49" i="13" s="1"/>
  <c r="C50" i="13" s="1"/>
  <c r="C51" i="13" s="1"/>
  <c r="C52" i="13" s="1"/>
  <c r="C53" i="13" s="1"/>
  <c r="B48" i="13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E10" i="13"/>
  <c r="B10" i="13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E60" i="12"/>
  <c r="B60" i="12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B53" i="12"/>
  <c r="E53" i="12" s="1"/>
  <c r="B52" i="12"/>
  <c r="E52" i="12" s="1"/>
  <c r="B51" i="12"/>
  <c r="E51" i="12" s="1"/>
  <c r="E50" i="12"/>
  <c r="C50" i="12"/>
  <c r="C51" i="12" s="1"/>
  <c r="C52" i="12" s="1"/>
  <c r="C53" i="12" s="1"/>
  <c r="B50" i="12"/>
  <c r="E49" i="12"/>
  <c r="C49" i="12"/>
  <c r="B49" i="12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B32" i="12"/>
  <c r="E32" i="12" s="1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E10" i="12"/>
  <c r="B10" i="12"/>
  <c r="E9" i="12"/>
  <c r="B9" i="12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E56" i="11"/>
  <c r="C56" i="11"/>
  <c r="C57" i="11" s="1"/>
  <c r="C58" i="11" s="1"/>
  <c r="C59" i="11" s="1"/>
  <c r="C60" i="11" s="1"/>
  <c r="B56" i="11"/>
  <c r="C55" i="11"/>
  <c r="B55" i="11"/>
  <c r="E55" i="11" s="1"/>
  <c r="F54" i="11"/>
  <c r="B53" i="11"/>
  <c r="E53" i="11" s="1"/>
  <c r="B52" i="11"/>
  <c r="E52" i="11" s="1"/>
  <c r="B51" i="11"/>
  <c r="E51" i="11" s="1"/>
  <c r="E50" i="11"/>
  <c r="B50" i="1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B32" i="11"/>
  <c r="E32" i="11" s="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E55" i="10"/>
  <c r="C55" i="10"/>
  <c r="B55" i="10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E10" i="10"/>
  <c r="B10" i="10"/>
  <c r="E9" i="10"/>
  <c r="B9" i="10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2" i="3" l="1"/>
  <c r="D37" i="4"/>
  <c r="D36" i="6"/>
  <c r="D37" i="16"/>
  <c r="D21" i="4"/>
  <c r="D22" i="5"/>
  <c r="D22" i="7"/>
  <c r="D21" i="16"/>
  <c r="D64" i="6"/>
  <c r="D49" i="3"/>
  <c r="D36" i="4"/>
  <c r="D43" i="7"/>
  <c r="D36" i="16"/>
  <c r="D48" i="3"/>
  <c r="D34" i="7"/>
  <c r="D34" i="4"/>
  <c r="D48" i="6"/>
  <c r="D49" i="7"/>
  <c r="D34" i="16"/>
  <c r="D49" i="4"/>
  <c r="D36" i="5"/>
  <c r="D49" i="16"/>
  <c r="D37" i="3"/>
  <c r="D48" i="16"/>
  <c r="D42" i="5"/>
  <c r="D37" i="6"/>
  <c r="D22" i="16"/>
  <c r="D21" i="6"/>
  <c r="D21" i="7"/>
  <c r="D22" i="4"/>
  <c r="D22" i="3"/>
  <c r="D21" i="5"/>
  <c r="D10" i="4"/>
  <c r="D20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<sst xmlns="http://schemas.openxmlformats.org/spreadsheetml/2006/main" count="686" uniqueCount="122">
  <si>
    <t>TECNOLOGÍA EN GESTIÓN DE NEGOCIOS INTERN</t>
  </si>
  <si>
    <t>SEMESTRE:</t>
  </si>
  <si>
    <t>SEM-04</t>
  </si>
  <si>
    <t>SECCIÓN:</t>
  </si>
  <si>
    <t>LIDER</t>
  </si>
  <si>
    <t>DISCIPLINAR#2</t>
  </si>
  <si>
    <t>DISCIPLINAR#3</t>
  </si>
  <si>
    <t>DISCIPLINAR#4</t>
  </si>
  <si>
    <t>DISCIPLINAR#5</t>
  </si>
  <si>
    <t>DISCIPLINAR#6</t>
  </si>
  <si>
    <t>DISCIPLINAR#7</t>
  </si>
  <si>
    <t>ESTADÍSTICA</t>
  </si>
  <si>
    <t>ETICA</t>
  </si>
  <si>
    <t>ELECTIVA DE PROFUNDIZACION I</t>
  </si>
  <si>
    <t>IMPORTACIONES Y EXPORTACIONES</t>
  </si>
  <si>
    <t>FUNDAMENTOS DE MERCADEO</t>
  </si>
  <si>
    <t>FUNDAMENTOS DE FINANZAS</t>
  </si>
  <si>
    <t>OSVALDO ALCIDE BLANQUICET LOZANO</t>
  </si>
  <si>
    <t>LEIDY ENID QUINTERO SÁNCHEZ</t>
  </si>
  <si>
    <t>HUMBERTO MARQUEZ PEÑALOZA</t>
  </si>
  <si>
    <t>REYNALDO ARTURO ROJAS TRILLOS</t>
  </si>
  <si>
    <t>ANGELA LUBO CASTRILLON</t>
  </si>
  <si>
    <t>LEONARDO CARLOS DE ORO BARRIOS</t>
  </si>
  <si>
    <t>LISTA DE ESTUDIANTES</t>
  </si>
  <si>
    <t>SEGUNDA ENTREGA - CRITERIO DE EVALUACIÓN DOCUMENTO - SEGUNDO CORTE</t>
  </si>
  <si>
    <t>PONDERACIÓN</t>
  </si>
  <si>
    <t>ADMINISTRACIÓN DE EMPRESAS C.I</t>
  </si>
  <si>
    <t>ISABELLA FONTALVO RODRIGUEZ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</si>
  <si>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</si>
  <si>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</si>
  <si>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MARÍA ANGÉLICA LARA MAURY</t>
  </si>
  <si>
    <t>ANTEPROYECTO: Portada, planteamiento del problema, justificacion del trabajo o proyecto de aula, objetivos, marco teorico, diseño metodologico.</t>
  </si>
  <si>
    <t>CONTADURÍA PÚBLICA</t>
  </si>
  <si>
    <t>DILAN ANDRES PEREZ ALVAREZ</t>
  </si>
  <si>
    <t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t>
  </si>
  <si>
    <t>NEGOCIOS INTERNACIONALES PROFESIONAL</t>
  </si>
  <si>
    <t>MERLIN YAMAL SMITH FLOREZ GONZALEZ</t>
  </si>
  <si>
    <t>BILIOGRAFIA: Las referencias bibliograficas adoptan las normas APA. El documento es producto de un rastreo bibliografico que muestra analisis y sistensis.</t>
  </si>
  <si>
    <t>NELCY CAROLINA MEZA PÉREZ</t>
  </si>
  <si>
    <t>ASESORIAS: Anexó la hoja de tutoria firmada ( 3 fimas minmimo).</t>
  </si>
  <si>
    <t>TECNOLOGíA EN GESTION CONTABLE</t>
  </si>
  <si>
    <t>MIGUEL MATEO PEREZ JIMENEZ</t>
  </si>
  <si>
    <t>TECNOLOGÍA EN GESTIÓN DE MARKETING</t>
  </si>
  <si>
    <t>EDWIN JAVIER ROJANO ZÚÑIGA</t>
  </si>
  <si>
    <t>TECNOLOGÍA EN GESTIÓN DEL TALENTO HUMANO</t>
  </si>
  <si>
    <t>MIGUEL ANTONIO BARON REVOLLO</t>
  </si>
  <si>
    <t>TECNOLOGÍA EN GESTIÓN FINANCIERA</t>
  </si>
  <si>
    <t>MATTHIAS MATTHIAS CAMPO PASSO</t>
  </si>
  <si>
    <t>TECNOLOGÍA EN GESTIÓN LOGISTICA Y PORTUARIA</t>
  </si>
  <si>
    <t>VALERY GARCÍA REYES</t>
  </si>
  <si>
    <t>ENTREGA FINAL - CRITERIO DE EVALUACIÓN SUSTENTACIÓN - TERCER CORTE</t>
  </si>
  <si>
    <t>TECNOLOGÍA EN GESTIÓN TURISTICA Y HOTELERA</t>
  </si>
  <si>
    <t>JUAN DAVID LOPEZ VIDES</t>
  </si>
  <si>
    <t>Evaluación del Documento Final</t>
  </si>
  <si>
    <t>ALEJANDRA MORENO VILLALOBO</t>
  </si>
  <si>
    <t>Sustentación de los Resultados: Se refleja un dominio del tema, la  información está delimitada y es clara. Hay una jerarquía y fluidez en las ideas que presenta.</t>
  </si>
  <si>
    <t>DONICEL DE JESUS BUENDIA CAÑATE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</si>
  <si>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</si>
  <si>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MARLON MANUEL CONTRERAS MARTÍNEZ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</si>
  <si>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</si>
  <si>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ALANA ARAI DAVILA GONZALEZ</t>
  </si>
  <si>
    <t>Tiempo: El uso del tiempo fue apropiado, se ajusta al previsto.
Ofrece una conclusión donde condensa las ideas principales del objetivo general y los específicos.</t>
  </si>
  <si>
    <t>MATEO DE JESUS MARRUGO CORREA</t>
  </si>
  <si>
    <t>Uso de Recursos Audiovisuales Tecnológicos: La sustentación se acompaña de recursos visuales pertinentes, atractivos y de gran calidad</t>
  </si>
  <si>
    <t>FRANCISCO JAVIER PALMERA MARTINEZ</t>
  </si>
  <si>
    <t>JUAN ESTEBAN ZEA NAVARRO</t>
  </si>
  <si>
    <t>JEREMY MACOLL DIAZ PEREZ</t>
  </si>
  <si>
    <t>SARA OYOLA MARTINEZ</t>
  </si>
  <si>
    <t>TITULOS DE LOS PROYECTOS DE AULA</t>
  </si>
  <si>
    <t>DARIANY PEÑARANDA LLACH</t>
  </si>
  <si>
    <t xml:space="preserve">GRUPO#1: ANÁLISIS DE OPORTUNIDADES PARA UNA PLATAFORMA DIGITAL DE ACOMPAÑAMIENTO A LA INTERNACIONALIZACIÓN DE PYMES COLOMBIANAS EN ESPAÑA, CHILE Y MÉXICO. </t>
  </si>
  <si>
    <t>MARIANGEL ROMERO VANEGAS</t>
  </si>
  <si>
    <t>GRUPO#2: Estudio de mercado a partir de la Oportunidad de Negocio para la Implementación de un Probador Virtual e Interactivo 3D en el Sector E-Commerce de Moda</t>
  </si>
  <si>
    <t>ISAIAS FERNANDO SALCEDO CAICEDO</t>
  </si>
  <si>
    <t>GRUPO#3: TINTO SKIN, OPORTUNIDAD DE NEGOCIOS EN TRES MERCADOS:  ECUADOR, PERÚ, EE.UU</t>
  </si>
  <si>
    <t>LUCINDA GARCIA CASTRO</t>
  </si>
  <si>
    <t xml:space="preserve">GRUPO#4: IDENTIFICACIÓN DE UNA OPORTUNIDAD DE NEGOCIO PARA LA COMERCIALIZACIÓN DE ROPA DEPORTIVA DE LA MARCA ARVIA EN LOS MERCADOS POTENCIALES DE COSTA RICA, GUATEMALA, HONDURAS.
</t>
  </si>
  <si>
    <t>CARLOS JULIO LOPEZ ALEMAN</t>
  </si>
  <si>
    <t xml:space="preserve">GRUPO#5: Análisis de Oportunidades para la Internacionalización de un Servicio de Beauty Tech B2B en  México, Ecuador y Estados Unidos. </t>
  </si>
  <si>
    <t>LAURA SOFÍA PÉREZ ARÉVALO</t>
  </si>
  <si>
    <t xml:space="preserve">GRUPO#6: ¿CÓMO IDENTIFICAR UNA OPORTUNIDAD DE NEGOCIO PARA TROPISNACK MEDIANTE EL ANALISIS DE MERCADOS POTENCIALES COMO ESPAÑA, CHILE &amp; ESTADOS UNIDOS? 
</t>
  </si>
  <si>
    <t>DYLAN ANDRES RANGEL LOPEZ</t>
  </si>
  <si>
    <t>GRUPO#7</t>
  </si>
  <si>
    <t>SANTIAGO TANGARIFE PONCE</t>
  </si>
  <si>
    <t>GRUPO#8</t>
  </si>
  <si>
    <t>Danna Alejandra Castro Espinosa</t>
  </si>
  <si>
    <t>GRUPO#9</t>
  </si>
  <si>
    <t>GRUPO#10</t>
  </si>
  <si>
    <t>GRUPO#11</t>
  </si>
  <si>
    <t>GRUPO#12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</si>
  <si>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</si>
  <si>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</si>
  <si>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</si>
  <si>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</si>
  <si>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</si>
  <si>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</si>
  <si>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</si>
  <si>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</si>
  <si>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</si>
  <si>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</si>
  <si>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GRUPO#4</t>
  </si>
  <si>
    <t>G04</t>
  </si>
  <si>
    <t>GRUPO#5</t>
  </si>
  <si>
    <t>G05</t>
  </si>
  <si>
    <t>GRUPO#6</t>
  </si>
  <si>
    <t>G06</t>
  </si>
  <si>
    <t>G07</t>
  </si>
  <si>
    <t>G08</t>
  </si>
  <si>
    <t>G09</t>
  </si>
  <si>
    <t>G10</t>
  </si>
  <si>
    <t>G11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</si>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</sst>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0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10" borderId="17" xfId="0" applyFont="1" applyFill="1" applyBorder="1" applyAlignment="1" applyProtection="1">
      <alignment vertical="center" wrapText="1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0" borderId="17" xfId="0" applyFont="1" applyBorder="1" applyAlignment="1" applyProtection="1">
      <alignment vertical="center" wrapText="1"/>
      <protection locked="0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A16" zoomScale="95" zoomScaleNormal="95" workbookViewId="0">
      <selection activeCell="F48" sqref="F48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6" t="s">
        <v>0</v>
      </c>
      <c r="C2" s="157"/>
      <c r="D2" s="158"/>
      <c r="E2" s="101" t="s">
        <v>1</v>
      </c>
      <c r="F2" s="102" t="s">
        <v>2</v>
      </c>
      <c r="G2" s="101" t="s">
        <v>3</v>
      </c>
      <c r="H2" s="41">
        <v>2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0" t="s">
        <v>11</v>
      </c>
      <c r="D4" s="130" t="s">
        <v>12</v>
      </c>
      <c r="E4" s="130" t="s">
        <v>13</v>
      </c>
      <c r="F4" s="130" t="s">
        <v>14</v>
      </c>
      <c r="G4" s="130" t="s">
        <v>15</v>
      </c>
      <c r="H4" s="131" t="s">
        <v>16</v>
      </c>
      <c r="I4" s="131"/>
    </row>
    <row r="5" spans="2:9" ht="24.95" customHeight="1" thickBot="1">
      <c r="C5" s="132" t="s">
        <v>17</v>
      </c>
      <c r="D5" s="132" t="s">
        <v>18</v>
      </c>
      <c r="E5" s="132" t="s">
        <v>19</v>
      </c>
      <c r="F5" s="132" t="s">
        <v>20</v>
      </c>
      <c r="G5" s="132" t="s">
        <v>21</v>
      </c>
      <c r="H5" s="133" t="s">
        <v>22</v>
      </c>
      <c r="I5" s="133"/>
    </row>
    <row r="6" spans="2:9" ht="24.95" customHeight="1" thickBot="1">
      <c r="C6" s="134">
        <v>1796</v>
      </c>
      <c r="D6" s="134">
        <v>2263</v>
      </c>
      <c r="E6" s="134">
        <v>2275</v>
      </c>
      <c r="F6" s="134">
        <v>1437</v>
      </c>
      <c r="G6" s="134">
        <v>1351</v>
      </c>
      <c r="H6" s="134">
        <v>1474</v>
      </c>
      <c r="I6" s="134"/>
    </row>
    <row r="7" spans="2:9" ht="13.5" thickBot="1"/>
    <row r="8" spans="2:9" ht="20.100000000000001" customHeight="1">
      <c r="B8" s="108"/>
      <c r="C8" s="109" t="s">
        <v>23</v>
      </c>
      <c r="E8" s="159" t="s">
        <v>24</v>
      </c>
      <c r="F8" s="160"/>
      <c r="G8" s="161"/>
      <c r="H8" s="110" t="s">
        <v>25</v>
      </c>
      <c r="I8" s="69" t="s">
        <v>26</v>
      </c>
    </row>
    <row r="9" spans="2:9" ht="15" customHeight="1">
      <c r="B9" s="108">
        <v>1</v>
      </c>
      <c r="C9" s="111" t="s">
        <v>27</v>
      </c>
      <c r="E9" s="162" t="s">
        <v>28</v>
      </c>
      <c r="F9" s="163"/>
      <c r="G9" s="164"/>
      <c r="H9" s="135">
        <v>0.2</v>
      </c>
      <c r="I9" s="69" t="s">
        <v>29</v>
      </c>
    </row>
    <row r="10" spans="2:9" ht="15" customHeight="1">
      <c r="B10" s="108">
        <v>2</v>
      </c>
      <c r="C10" s="111" t="s">
        <v>30</v>
      </c>
      <c r="E10" s="165" t="s">
        <v>31</v>
      </c>
      <c r="F10" s="166"/>
      <c r="G10" s="167"/>
      <c r="H10" s="136">
        <v>0.2</v>
      </c>
      <c r="I10" s="69" t="s">
        <v>32</v>
      </c>
    </row>
    <row r="11" spans="2:9" ht="15" customHeight="1">
      <c r="B11" s="108">
        <v>3</v>
      </c>
      <c r="C11" s="111" t="s">
        <v>33</v>
      </c>
      <c r="E11" s="162" t="s">
        <v>34</v>
      </c>
      <c r="F11" s="163"/>
      <c r="G11" s="164"/>
      <c r="H11" s="135">
        <v>0.3</v>
      </c>
      <c r="I11" s="69" t="s">
        <v>35</v>
      </c>
    </row>
    <row r="12" spans="2:9" ht="15" customHeight="1">
      <c r="B12" s="108">
        <v>4</v>
      </c>
      <c r="C12" s="111" t="s">
        <v>36</v>
      </c>
      <c r="E12" s="165" t="s">
        <v>37</v>
      </c>
      <c r="F12" s="166"/>
      <c r="G12" s="167"/>
      <c r="H12" s="136">
        <v>0.2</v>
      </c>
      <c r="I12" s="69" t="s">
        <v>0</v>
      </c>
    </row>
    <row r="13" spans="2:9" ht="15" customHeight="1">
      <c r="B13" s="108">
        <v>5</v>
      </c>
      <c r="C13" s="111" t="s">
        <v>38</v>
      </c>
      <c r="E13" s="168" t="s">
        <v>39</v>
      </c>
      <c r="F13" s="169"/>
      <c r="G13" s="170"/>
      <c r="H13" s="135">
        <v>0.1</v>
      </c>
      <c r="I13" s="69" t="s">
        <v>40</v>
      </c>
    </row>
    <row r="14" spans="2:9" ht="15" customHeight="1">
      <c r="B14" s="108">
        <v>6</v>
      </c>
      <c r="C14" s="111" t="s">
        <v>41</v>
      </c>
      <c r="E14" s="171"/>
      <c r="F14" s="172"/>
      <c r="G14" s="173"/>
      <c r="H14" s="136">
        <v>0</v>
      </c>
      <c r="I14" s="69" t="s">
        <v>42</v>
      </c>
    </row>
    <row r="15" spans="2:9" ht="15" customHeight="1" thickBot="1">
      <c r="B15" s="108">
        <v>7</v>
      </c>
      <c r="C15" s="111" t="s">
        <v>43</v>
      </c>
      <c r="E15" s="181"/>
      <c r="F15" s="182"/>
      <c r="G15" s="183"/>
      <c r="H15" s="135">
        <v>0</v>
      </c>
      <c r="I15" s="69" t="s">
        <v>44</v>
      </c>
    </row>
    <row r="16" spans="2:9" ht="15" customHeight="1" thickBot="1">
      <c r="B16" s="108">
        <v>8</v>
      </c>
      <c r="C16" s="111" t="s">
        <v>45</v>
      </c>
      <c r="E16" s="112"/>
      <c r="F16" s="112"/>
      <c r="G16" s="112"/>
      <c r="H16" s="137">
        <f>IF(SUM(H9:H15)&gt;1,"Más del 100%",SUM(H9:H15))</f>
        <v>0.99999999999999989</v>
      </c>
      <c r="I16" s="69" t="s">
        <v>46</v>
      </c>
    </row>
    <row r="17" spans="2:9" ht="15" customHeight="1" thickBot="1">
      <c r="B17" s="108">
        <v>9</v>
      </c>
      <c r="C17" s="111" t="s">
        <v>47</v>
      </c>
      <c r="E17" s="190"/>
      <c r="F17" s="190"/>
      <c r="G17" s="190"/>
      <c r="H17" s="190"/>
      <c r="I17" s="69" t="s">
        <v>48</v>
      </c>
    </row>
    <row r="18" spans="2:9" ht="15" customHeight="1" thickBot="1">
      <c r="B18" s="108">
        <v>10</v>
      </c>
      <c r="C18" s="111" t="s">
        <v>49</v>
      </c>
      <c r="E18" s="197" t="s">
        <v>50</v>
      </c>
      <c r="F18" s="198"/>
      <c r="G18" s="198"/>
      <c r="H18" s="113" t="s">
        <v>25</v>
      </c>
      <c r="I18" s="69" t="s">
        <v>51</v>
      </c>
    </row>
    <row r="19" spans="2:9" ht="15" customHeight="1">
      <c r="B19" s="108">
        <v>11</v>
      </c>
      <c r="C19" s="111" t="s">
        <v>52</v>
      </c>
      <c r="E19" s="187" t="s">
        <v>53</v>
      </c>
      <c r="F19" s="188"/>
      <c r="G19" s="189"/>
      <c r="H19" s="138">
        <v>0.5</v>
      </c>
    </row>
    <row r="20" spans="2:9" ht="15" customHeight="1">
      <c r="B20" s="108">
        <v>12</v>
      </c>
      <c r="C20" s="111" t="s">
        <v>54</v>
      </c>
      <c r="E20" s="191" t="s">
        <v>55</v>
      </c>
      <c r="F20" s="192"/>
      <c r="G20" s="193"/>
      <c r="H20" s="139">
        <v>0.2</v>
      </c>
    </row>
    <row r="21" spans="2:9" ht="15" customHeight="1">
      <c r="B21" s="108">
        <v>13</v>
      </c>
      <c r="C21" s="111" t="s">
        <v>56</v>
      </c>
      <c r="E21" s="199" t="s">
        <v>57</v>
      </c>
      <c r="F21" s="200"/>
      <c r="G21" s="201"/>
      <c r="H21" s="140">
        <v>0.1</v>
      </c>
    </row>
    <row r="22" spans="2:9" ht="15" customHeight="1">
      <c r="B22" s="108">
        <v>14</v>
      </c>
      <c r="C22" s="111" t="s">
        <v>58</v>
      </c>
      <c r="E22" s="191" t="s">
        <v>59</v>
      </c>
      <c r="F22" s="172"/>
      <c r="G22" s="173"/>
      <c r="H22" s="139">
        <v>0.05</v>
      </c>
    </row>
    <row r="23" spans="2:9" ht="15" customHeight="1">
      <c r="B23" s="108">
        <v>15</v>
      </c>
      <c r="C23" s="111" t="s">
        <v>60</v>
      </c>
      <c r="E23" s="199" t="s">
        <v>61</v>
      </c>
      <c r="F23" s="200"/>
      <c r="G23" s="201"/>
      <c r="H23" s="141">
        <v>0.05</v>
      </c>
    </row>
    <row r="24" spans="2:9" ht="15" customHeight="1">
      <c r="B24" s="108">
        <v>16</v>
      </c>
      <c r="C24" s="111" t="s">
        <v>62</v>
      </c>
      <c r="E24" s="191" t="s">
        <v>63</v>
      </c>
      <c r="F24" s="192"/>
      <c r="G24" s="193"/>
      <c r="H24" s="139">
        <v>0.1</v>
      </c>
    </row>
    <row r="25" spans="2:9" ht="15" customHeight="1" thickBot="1">
      <c r="B25" s="108">
        <v>17</v>
      </c>
      <c r="C25" s="111" t="s">
        <v>64</v>
      </c>
      <c r="E25" s="184"/>
      <c r="F25" s="185"/>
      <c r="G25" s="186"/>
      <c r="H25" s="140"/>
    </row>
    <row r="26" spans="2:9" ht="15" customHeight="1" thickBot="1">
      <c r="B26" s="108">
        <v>18</v>
      </c>
      <c r="C26" s="111" t="s">
        <v>65</v>
      </c>
      <c r="E26" s="114"/>
      <c r="F26" s="114"/>
      <c r="G26" s="114"/>
      <c r="H26" s="137">
        <f>IF(SUM(H19:H25)&gt;1,"Más del 100%",SUM(H19:H25))</f>
        <v>1</v>
      </c>
    </row>
    <row r="27" spans="2:9" ht="15" customHeight="1" thickBot="1">
      <c r="B27" s="108">
        <v>19</v>
      </c>
      <c r="C27" s="111" t="s">
        <v>66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67</v>
      </c>
      <c r="E28" s="194" t="s">
        <v>68</v>
      </c>
      <c r="F28" s="195"/>
      <c r="G28" s="195"/>
      <c r="H28" s="196"/>
    </row>
    <row r="29" spans="2:9" ht="15" customHeight="1" thickBot="1">
      <c r="B29" s="108">
        <v>21</v>
      </c>
      <c r="C29" s="111" t="s">
        <v>69</v>
      </c>
      <c r="E29" s="177" t="s">
        <v>70</v>
      </c>
      <c r="F29" s="178"/>
      <c r="G29" s="178"/>
      <c r="H29" s="179"/>
    </row>
    <row r="30" spans="2:9" ht="15" customHeight="1" thickBot="1">
      <c r="B30" s="108">
        <v>22</v>
      </c>
      <c r="C30" s="111" t="s">
        <v>71</v>
      </c>
      <c r="E30" s="174" t="s">
        <v>72</v>
      </c>
      <c r="F30" s="175"/>
      <c r="G30" s="175"/>
      <c r="H30" s="176"/>
    </row>
    <row r="31" spans="2:9" ht="15" customHeight="1">
      <c r="B31" s="108">
        <v>23</v>
      </c>
      <c r="C31" s="111" t="s">
        <v>73</v>
      </c>
      <c r="E31" s="202" t="s">
        <v>74</v>
      </c>
      <c r="F31" s="178"/>
      <c r="G31" s="178"/>
      <c r="H31" s="179"/>
    </row>
    <row r="32" spans="2:9" ht="15" customHeight="1">
      <c r="B32" s="108">
        <v>24</v>
      </c>
      <c r="C32" s="111" t="s">
        <v>75</v>
      </c>
      <c r="E32" s="180" t="s">
        <v>76</v>
      </c>
      <c r="F32" s="175"/>
      <c r="G32" s="175"/>
      <c r="H32" s="176"/>
    </row>
    <row r="33" spans="2:8" ht="15" customHeight="1" thickBot="1">
      <c r="B33" s="108">
        <v>25</v>
      </c>
      <c r="C33" s="111" t="s">
        <v>77</v>
      </c>
      <c r="E33" s="177" t="s">
        <v>78</v>
      </c>
      <c r="F33" s="178"/>
      <c r="G33" s="178"/>
      <c r="H33" s="179"/>
    </row>
    <row r="34" spans="2:8" ht="15" customHeight="1">
      <c r="B34" s="108">
        <v>26</v>
      </c>
      <c r="C34" s="111" t="s">
        <v>79</v>
      </c>
      <c r="E34" s="180" t="s">
        <v>80</v>
      </c>
      <c r="F34" s="175"/>
      <c r="G34" s="175"/>
      <c r="H34" s="176"/>
    </row>
    <row r="35" spans="2:8" ht="15" customHeight="1" thickBot="1">
      <c r="B35" s="108">
        <v>27</v>
      </c>
      <c r="C35" s="111" t="s">
        <v>81</v>
      </c>
      <c r="E35" s="177" t="s">
        <v>82</v>
      </c>
      <c r="F35" s="178"/>
      <c r="G35" s="178"/>
      <c r="H35" s="179"/>
    </row>
    <row r="36" spans="2:8" ht="15" customHeight="1" thickBot="1">
      <c r="B36" s="108">
        <v>28</v>
      </c>
      <c r="C36" s="111" t="s">
        <v>83</v>
      </c>
      <c r="E36" s="174" t="s">
        <v>84</v>
      </c>
      <c r="F36" s="175"/>
      <c r="G36" s="175"/>
      <c r="H36" s="176"/>
    </row>
    <row r="37" spans="2:8" ht="15" customHeight="1" thickBot="1">
      <c r="B37" s="108">
        <v>29</v>
      </c>
      <c r="C37" s="111" t="s">
        <v>85</v>
      </c>
      <c r="E37" s="177" t="s">
        <v>86</v>
      </c>
      <c r="F37" s="178"/>
      <c r="G37" s="178"/>
      <c r="H37" s="179"/>
    </row>
    <row r="38" spans="2:8" ht="15" customHeight="1" thickBot="1">
      <c r="B38" s="108">
        <v>30</v>
      </c>
      <c r="C38" s="111"/>
      <c r="E38" s="174" t="s">
        <v>87</v>
      </c>
      <c r="F38" s="175"/>
      <c r="G38" s="175"/>
      <c r="H38" s="176"/>
    </row>
    <row r="39" spans="2:8" ht="15" customHeight="1" thickBot="1">
      <c r="B39" s="108">
        <v>31</v>
      </c>
      <c r="C39" s="111"/>
      <c r="E39" s="177" t="s">
        <v>88</v>
      </c>
      <c r="F39" s="178"/>
      <c r="G39" s="178"/>
      <c r="H39" s="179"/>
    </row>
    <row r="40" spans="2:8" ht="15" customHeight="1" thickBot="1">
      <c r="B40" s="108">
        <v>32</v>
      </c>
      <c r="C40" s="111"/>
      <c r="E40" s="174" t="s">
        <v>89</v>
      </c>
      <c r="F40" s="175"/>
      <c r="G40" s="175"/>
      <c r="H40" s="176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GRUPO#1: ANÁLISIS DE</v>
      </c>
      <c r="F42" s="116" t="str">
        <f>MID(E30,1,20)</f>
        <v xml:space="preserve">GRUPO#2: Estudio de </v>
      </c>
      <c r="G42" s="116" t="str">
        <f>MID(E31,1,20)</f>
        <v>GRUPO#3: TINTO SKIN,</v>
      </c>
      <c r="H42" s="117" t="str">
        <f>MID(E32,1,20)</f>
        <v>GRUPO#4: IDENTIFICAC</v>
      </c>
    </row>
    <row r="43" spans="2:8" ht="15" customHeight="1">
      <c r="B43" s="108">
        <v>35</v>
      </c>
      <c r="C43" s="111"/>
      <c r="E43" s="118" t="s">
        <v>27</v>
      </c>
      <c r="F43" s="119" t="s">
        <v>36</v>
      </c>
      <c r="G43" s="119" t="s">
        <v>45</v>
      </c>
      <c r="H43" s="120" t="s">
        <v>56</v>
      </c>
    </row>
    <row r="44" spans="2:8" ht="15" customHeight="1">
      <c r="B44" s="108">
        <v>36</v>
      </c>
      <c r="C44" s="111"/>
      <c r="E44" s="121" t="s">
        <v>30</v>
      </c>
      <c r="F44" s="122" t="s">
        <v>38</v>
      </c>
      <c r="G44" s="122" t="s">
        <v>47</v>
      </c>
      <c r="H44" s="123" t="s">
        <v>58</v>
      </c>
    </row>
    <row r="45" spans="2:8" ht="15" customHeight="1">
      <c r="B45" s="108">
        <v>37</v>
      </c>
      <c r="C45" s="111"/>
      <c r="E45" s="124" t="s">
        <v>33</v>
      </c>
      <c r="F45" s="125" t="s">
        <v>41</v>
      </c>
      <c r="G45" s="125" t="s">
        <v>49</v>
      </c>
      <c r="H45" s="126" t="s">
        <v>60</v>
      </c>
    </row>
    <row r="46" spans="2:8" ht="15" customHeight="1">
      <c r="B46" s="108">
        <v>38</v>
      </c>
      <c r="C46" s="111"/>
      <c r="E46" s="121"/>
      <c r="F46" s="122" t="s">
        <v>43</v>
      </c>
      <c r="G46" s="122" t="s">
        <v>52</v>
      </c>
      <c r="H46" s="123" t="s">
        <v>62</v>
      </c>
    </row>
    <row r="47" spans="2:8" ht="15" customHeight="1">
      <c r="B47" s="108">
        <v>39</v>
      </c>
      <c r="C47" s="111"/>
      <c r="E47" s="124"/>
      <c r="F47" s="125" t="s">
        <v>85</v>
      </c>
      <c r="G47" s="125" t="s">
        <v>54</v>
      </c>
      <c r="H47" s="126" t="s">
        <v>64</v>
      </c>
    </row>
    <row r="48" spans="2:8" ht="15" customHeight="1" thickBot="1">
      <c r="B48" s="108">
        <v>40</v>
      </c>
      <c r="C48" s="111"/>
      <c r="E48" s="127"/>
      <c r="F48" s="128"/>
      <c r="G48" s="128"/>
      <c r="H48" s="129" t="s">
        <v>65</v>
      </c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GRUPO#5: Análisis de</v>
      </c>
      <c r="F50" s="116" t="str">
        <f>MID(E34,1,20)</f>
        <v>GRUPO#6: ¿CÓMO IDENT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 t="s">
        <v>66</v>
      </c>
      <c r="F51" s="119" t="s">
        <v>75</v>
      </c>
      <c r="G51" s="119"/>
      <c r="H51" s="120"/>
    </row>
    <row r="52" spans="2:8" ht="15" customHeight="1">
      <c r="B52" s="108">
        <v>44</v>
      </c>
      <c r="C52" s="111"/>
      <c r="E52" s="121" t="s">
        <v>67</v>
      </c>
      <c r="F52" s="122" t="s">
        <v>77</v>
      </c>
      <c r="G52" s="122"/>
      <c r="H52" s="123"/>
    </row>
    <row r="53" spans="2:8" ht="15" customHeight="1">
      <c r="B53" s="108">
        <v>45</v>
      </c>
      <c r="C53" s="111"/>
      <c r="E53" s="124" t="s">
        <v>69</v>
      </c>
      <c r="F53" s="125" t="s">
        <v>79</v>
      </c>
      <c r="G53" s="125"/>
      <c r="H53" s="126"/>
    </row>
    <row r="54" spans="2:8" ht="15" customHeight="1">
      <c r="B54" s="108">
        <v>46</v>
      </c>
      <c r="C54" s="111"/>
      <c r="E54" s="121" t="s">
        <v>71</v>
      </c>
      <c r="F54" s="122" t="s">
        <v>81</v>
      </c>
      <c r="G54" s="122"/>
      <c r="H54" s="123"/>
    </row>
    <row r="55" spans="2:8" ht="15" customHeight="1">
      <c r="B55" s="108">
        <v>47</v>
      </c>
      <c r="C55" s="111"/>
      <c r="E55" s="124" t="s">
        <v>73</v>
      </c>
      <c r="F55" s="125" t="s">
        <v>83</v>
      </c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6J3gwtOi92yCxPKLnw4IpRLggbCT+heA0EUqa+l4BLziQGOciR25Aa3z86HDn6F0u3XKizqKHuRdiZP+dTsV3A==" saltValue="E3fYrq7ndGmNwJJyFuNI2w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workbookViewId="0">
      <pane xSplit="5" ySplit="3" topLeftCell="F4" activePane="bottomRight" state="frozen"/>
      <selection pane="bottomRight" activeCell="F41" sqref="F41:F46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LIDER!C4</f>
        <v>ESTADÍSTICA</v>
      </c>
      <c r="C2" s="82"/>
      <c r="D2" s="3"/>
      <c r="F2" s="152" t="s">
        <v>90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91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CONCATENATE(LIDER!C4," - ",LIDER!C6," - ",LIDER!C5)</f>
        <v>ESTADÍSTICA - 1796 - OSVALDO ALCIDE BLANQUICET LOZANO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92</v>
      </c>
      <c r="C5" s="88" t="s">
        <v>93</v>
      </c>
      <c r="D5" s="32" t="s">
        <v>94</v>
      </c>
      <c r="E5" s="89" t="s">
        <v>95</v>
      </c>
      <c r="F5" s="142" t="str">
        <f>LIDER!$E$29</f>
        <v xml:space="preserve">GRUPO#1: ANÁLISIS DE OPORTUNIDADES PARA UNA PLATAFORMA DIGITAL DE ACOMPAÑAMIENTO A LA INTERNACIONALIZACIÓN DE PYMES COLOMBIANAS EN ESPAÑA, CHILE Y MÉXICO.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ISABELLA FONTALVO RODRIGUEZ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4.1800000000000006</v>
      </c>
      <c r="F6" s="143">
        <v>4</v>
      </c>
      <c r="G6" s="145">
        <v>4.3</v>
      </c>
      <c r="H6" s="147">
        <v>4.4000000000000004</v>
      </c>
      <c r="I6" s="145">
        <v>4</v>
      </c>
      <c r="J6" s="147">
        <v>4</v>
      </c>
      <c r="K6" s="145"/>
      <c r="L6" s="147"/>
    </row>
    <row r="7" spans="1:12" s="2" customFormat="1" ht="15" customHeight="1">
      <c r="A7" s="12">
        <v>2</v>
      </c>
      <c r="B7" s="10" t="str">
        <f>LIDER!E44</f>
        <v>MARÍA ANGÉLICA LARA MAURY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4.1800000000000006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DILAN ANDRES PEREZ ALVAREZ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4.1800000000000006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96</v>
      </c>
      <c r="C12" s="88" t="s">
        <v>97</v>
      </c>
      <c r="D12" s="32" t="str">
        <f>D5</f>
        <v>LIST</v>
      </c>
      <c r="E12" s="89" t="s">
        <v>95</v>
      </c>
      <c r="F12" s="142" t="str">
        <f>LIDER!$E$30</f>
        <v>GRUPO#2: Estudio de mercado a partir de la Oportunidad de Negocio para la Implementación de un Probador Virtual e Interactivo 3D en el Sector E-Commerce de Moda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MERLIN YAMAL SMITH FLOREZ GONZALEZ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4.01</v>
      </c>
      <c r="F13" s="143">
        <v>3.1</v>
      </c>
      <c r="G13" s="145">
        <v>3.9</v>
      </c>
      <c r="H13" s="147">
        <v>4.2</v>
      </c>
      <c r="I13" s="145">
        <v>4.5</v>
      </c>
      <c r="J13" s="147">
        <v>4.5</v>
      </c>
      <c r="K13" s="145"/>
      <c r="L13" s="147"/>
    </row>
    <row r="14" spans="1:12" s="2" customFormat="1" ht="15" customHeight="1">
      <c r="A14" s="12">
        <v>2</v>
      </c>
      <c r="B14" s="10" t="str">
        <f>LIDER!F44</f>
        <v>NELCY CAROLINA MEZA PÉREZ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4.01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MIGUEL MATEO PEREZ JIMENEZ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4.01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EDWIN JAVIER ROJANO ZÚÑIGA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4.01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Danna Alejandra Castro Espinosa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4.01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98</v>
      </c>
      <c r="C19" s="88" t="s">
        <v>99</v>
      </c>
      <c r="D19" s="32" t="str">
        <f>D12</f>
        <v>LIST</v>
      </c>
      <c r="E19" s="89" t="s">
        <v>95</v>
      </c>
      <c r="F19" s="142" t="str">
        <f>LIDER!$E$31</f>
        <v>GRUPO#3: TINTO SKIN, OPORTUNIDAD DE NEGOCIOS EN TRES MERCADOS:  ECUADOR, PERÚ, EE.UU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MIGUEL ANTONIO BARON REVOLLO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3.97</v>
      </c>
      <c r="F20" s="143">
        <v>4</v>
      </c>
      <c r="G20" s="145">
        <v>4</v>
      </c>
      <c r="H20" s="147">
        <v>3.9</v>
      </c>
      <c r="I20" s="145">
        <v>4</v>
      </c>
      <c r="J20" s="147">
        <v>4</v>
      </c>
      <c r="K20" s="145"/>
      <c r="L20" s="147"/>
    </row>
    <row r="21" spans="1:12" s="2" customFormat="1" ht="15" customHeight="1">
      <c r="A21" s="12">
        <v>2</v>
      </c>
      <c r="B21" s="10" t="str">
        <f>LIDER!G44</f>
        <v>MATTHIAS MATTHIAS CAMPO PASSO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3.97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VALERY GARCÍA REYES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3.97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JUAN DAVID LOPEZ VIDES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3.97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 t="str">
        <f>LIDER!G47</f>
        <v>ALEJANDRA MORENO VILLALOBO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3.97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100</v>
      </c>
      <c r="C26" s="88" t="s">
        <v>101</v>
      </c>
      <c r="D26" s="32" t="str">
        <f>D19</f>
        <v>LIST</v>
      </c>
      <c r="E26" s="89" t="s">
        <v>95</v>
      </c>
      <c r="F26" s="142" t="str">
        <f>LIDER!$E$32</f>
        <v xml:space="preserve">GRUPO#4: IDENTIFICACIÓN DE UNA OPORTUNIDAD DE NEGOCIO PARA LA COMERCIALIZACIÓN DE ROPA DEPORTIVA DE LA MARCA ARVIA EN LOS MERCADOS POTENCIALES DE COSTA RICA, GUATEMALA, HONDURAS.
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DONICEL DE JESUS BUENDIA CAÑATE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4.0600000000000005</v>
      </c>
      <c r="F27" s="143">
        <v>4.0999999999999996</v>
      </c>
      <c r="G27" s="145">
        <v>4.2</v>
      </c>
      <c r="H27" s="147">
        <v>4</v>
      </c>
      <c r="I27" s="145">
        <v>4</v>
      </c>
      <c r="J27" s="147">
        <v>4</v>
      </c>
      <c r="K27" s="145"/>
      <c r="L27" s="147"/>
    </row>
    <row r="28" spans="1:12" s="2" customFormat="1" ht="15" customHeight="1">
      <c r="A28" s="12">
        <v>2</v>
      </c>
      <c r="B28" s="10" t="str">
        <f>LIDER!H44</f>
        <v>MARLON MANUEL CONTRERAS MARTÍNEZ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4.0600000000000005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ALANA ARAI DAVILA GONZALEZ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4.0600000000000005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MATEO DE JESUS MARRUGO CORREA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4.0600000000000005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FRANCISCO JAVIER PALMERA MARTINEZ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4.0600000000000005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 t="str">
        <f>LIDER!H48</f>
        <v>JUAN ESTEBAN ZEA NAVARRO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4.0600000000000005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102</v>
      </c>
      <c r="C33" s="88" t="s">
        <v>103</v>
      </c>
      <c r="D33" s="32" t="str">
        <f>D26</f>
        <v>LIST</v>
      </c>
      <c r="E33" s="89" t="s">
        <v>95</v>
      </c>
      <c r="F33" s="142" t="str">
        <f>LIDER!$E$33</f>
        <v xml:space="preserve">GRUPO#5: Análisis de Oportunidades para la Internacionalización de un Servicio de Beauty Tech B2B en  México, Ecuador y Estados Unidos. 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JEREMY MACOLL DIAZ PEREZ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4.2200000000000006</v>
      </c>
      <c r="F34" s="143">
        <v>4.0999999999999996</v>
      </c>
      <c r="G34" s="145">
        <v>4.2</v>
      </c>
      <c r="H34" s="147">
        <v>4.4000000000000004</v>
      </c>
      <c r="I34" s="145">
        <v>4.0999999999999996</v>
      </c>
      <c r="J34" s="147">
        <v>4.2</v>
      </c>
      <c r="K34" s="145"/>
      <c r="L34" s="147"/>
    </row>
    <row r="35" spans="1:12" s="2" customFormat="1" ht="15" customHeight="1">
      <c r="A35" s="12">
        <v>2</v>
      </c>
      <c r="B35" s="10" t="str">
        <f>LIDER!E52</f>
        <v>SARA OYOLA MARTINEZ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4.2200000000000006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DARIANY PEÑARANDA LLACH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4.2200000000000006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MARIANGEL ROMERO VANEGAS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4.2200000000000006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ISAIAS FERNANDO SALCEDO CAICEDO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4.2200000000000006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104</v>
      </c>
      <c r="C40" s="88" t="s">
        <v>105</v>
      </c>
      <c r="D40" s="32" t="str">
        <f>D33</f>
        <v>LIST</v>
      </c>
      <c r="E40" s="89" t="s">
        <v>95</v>
      </c>
      <c r="F40" s="142" t="str">
        <f>LIDER!$E$34</f>
        <v xml:space="preserve">GRUPO#6: ¿CÓMO IDENTIFICAR UNA OPORTUNIDAD DE NEGOCIO PARA TROPISNACK MEDIANTE EL ANALISIS DE MERCADOS POTENCIALES COMO ESPAÑA, CHILE &amp; ESTADOS UNIDOS? 
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LUCINDA GARCIA CASTRO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4.45</v>
      </c>
      <c r="F41" s="143">
        <v>4.4000000000000004</v>
      </c>
      <c r="G41" s="145">
        <v>4.5</v>
      </c>
      <c r="H41" s="147">
        <v>4.5</v>
      </c>
      <c r="I41" s="145">
        <v>4.4000000000000004</v>
      </c>
      <c r="J41" s="147">
        <v>4.4000000000000004</v>
      </c>
      <c r="K41" s="145"/>
      <c r="L41" s="147"/>
    </row>
    <row r="42" spans="1:12" s="2" customFormat="1" ht="15" customHeight="1">
      <c r="A42" s="12">
        <v>2</v>
      </c>
      <c r="B42" s="10" t="str">
        <f>LIDER!F52</f>
        <v>CARLOS JULIO LOPEZ ALEMAN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4.45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 t="str">
        <f>LIDER!F53</f>
        <v>LAURA SOFÍA PÉREZ ARÉVALO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4.45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 t="str">
        <f>LIDER!F54</f>
        <v>DYLAN ANDRES RANGEL LOPEZ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4.45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 t="str">
        <f>LIDER!F55</f>
        <v>SANTIAGO TANGARIFE PONCE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4.45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82</v>
      </c>
      <c r="C47" s="88" t="s">
        <v>106</v>
      </c>
      <c r="D47" s="32" t="str">
        <f>D40</f>
        <v>LIST</v>
      </c>
      <c r="E47" s="89" t="s">
        <v>95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84</v>
      </c>
      <c r="C54" s="88" t="s">
        <v>107</v>
      </c>
      <c r="D54" s="32" t="str">
        <f>D47</f>
        <v>LIST</v>
      </c>
      <c r="E54" s="89" t="s">
        <v>95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86</v>
      </c>
      <c r="C61" s="88" t="s">
        <v>108</v>
      </c>
      <c r="D61" s="32" t="str">
        <f>D54</f>
        <v>LIST</v>
      </c>
      <c r="E61" s="89" t="s">
        <v>95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87</v>
      </c>
      <c r="C68" s="88" t="s">
        <v>109</v>
      </c>
      <c r="D68" s="32" t="str">
        <f>D61</f>
        <v>LIST</v>
      </c>
      <c r="E68" s="89" t="s">
        <v>95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88</v>
      </c>
      <c r="C75" s="88" t="s">
        <v>110</v>
      </c>
      <c r="D75" s="32" t="str">
        <f>D68</f>
        <v>LIST</v>
      </c>
      <c r="E75" s="89" t="s">
        <v>95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89</v>
      </c>
      <c r="C82" s="88" t="s">
        <v>111</v>
      </c>
      <c r="D82" s="32" t="str">
        <f>D75</f>
        <v>LIST</v>
      </c>
      <c r="E82" s="89" t="s">
        <v>95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4" activePane="bottomRight" state="frozen"/>
      <selection pane="bottomRight" activeCell="J48" sqref="J48:J53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LIDER!D4</f>
        <v>ETICA</v>
      </c>
      <c r="C2" s="82"/>
      <c r="D2" s="3"/>
      <c r="F2" s="152" t="s">
        <v>90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91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CONCATENATE(LIDER!D4," - ",LIDER!D6," - ",LIDER!D5)</f>
        <v>ETICA - 2263 - LEIDY ENID QUINTERO SÁNCHEZ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92</v>
      </c>
      <c r="C5" s="88" t="s">
        <v>93</v>
      </c>
      <c r="D5" s="32" t="s">
        <v>94</v>
      </c>
      <c r="E5" s="89" t="s">
        <v>95</v>
      </c>
      <c r="F5" s="142" t="str">
        <f>LIDER!$E$29</f>
        <v xml:space="preserve">GRUPO#1: ANÁLISIS DE OPORTUNIDADES PARA UNA PLATAFORMA DIGITAL DE ACOMPAÑAMIENTO A LA INTERNACIONALIZACIÓN DE PYMES COLOMBIANAS EN ESPAÑA, CHILE Y MÉXICO.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ISABELLA FONTALVO RODRIGUEZ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3.3500000000000005</v>
      </c>
      <c r="F6" s="143">
        <v>3.5</v>
      </c>
      <c r="G6" s="145">
        <v>3</v>
      </c>
      <c r="H6" s="147">
        <v>3.5</v>
      </c>
      <c r="I6" s="145">
        <v>3</v>
      </c>
      <c r="J6" s="147">
        <v>4</v>
      </c>
      <c r="K6" s="145"/>
      <c r="L6" s="147"/>
    </row>
    <row r="7" spans="1:12" s="2" customFormat="1" ht="15" customHeight="1">
      <c r="A7" s="12">
        <v>2</v>
      </c>
      <c r="B7" s="10" t="str">
        <f>LIDER!E44</f>
        <v>MARÍA ANGÉLICA LARA MAURY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3.3500000000000005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DILAN ANDRES PEREZ ALVAREZ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3.3500000000000005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96</v>
      </c>
      <c r="C12" s="88" t="s">
        <v>97</v>
      </c>
      <c r="D12" s="32" t="str">
        <f>D5</f>
        <v>LIST</v>
      </c>
      <c r="E12" s="89" t="s">
        <v>95</v>
      </c>
      <c r="F12" s="142" t="str">
        <f>LIDER!$E$30</f>
        <v>GRUPO#2: Estudio de mercado a partir de la Oportunidad de Negocio para la Implementación de un Probador Virtual e Interactivo 3D en el Sector E-Commerce de Moda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MERLIN YAMAL SMITH FLOREZ GONZALEZ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2.9499999999999997</v>
      </c>
      <c r="F13" s="143">
        <v>2</v>
      </c>
      <c r="G13" s="145">
        <v>3</v>
      </c>
      <c r="H13" s="147">
        <v>3.5</v>
      </c>
      <c r="I13" s="145">
        <v>2.5</v>
      </c>
      <c r="J13" s="147">
        <v>4</v>
      </c>
      <c r="K13" s="145"/>
      <c r="L13" s="147"/>
    </row>
    <row r="14" spans="1:12" s="2" customFormat="1" ht="15" customHeight="1">
      <c r="A14" s="12">
        <v>2</v>
      </c>
      <c r="B14" s="10" t="str">
        <f>LIDER!F44</f>
        <v>NELCY CAROLINA MEZA PÉREZ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2.9499999999999997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MIGUEL MATEO PEREZ JIMENEZ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2.9499999999999997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EDWIN JAVIER ROJANO ZÚÑIGA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2.9499999999999997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Danna Alejandra Castro Espinosa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2.9499999999999997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98</v>
      </c>
      <c r="C19" s="88" t="s">
        <v>99</v>
      </c>
      <c r="D19" s="32" t="str">
        <f>D12</f>
        <v>LIST</v>
      </c>
      <c r="E19" s="89" t="s">
        <v>95</v>
      </c>
      <c r="F19" s="142" t="str">
        <f>LIDER!$E$31</f>
        <v>GRUPO#3: TINTO SKIN, OPORTUNIDAD DE NEGOCIOS EN TRES MERCADOS:  ECUADOR, PERÚ, EE.UU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MIGUEL ANTONIO BARON REVOLLO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3.15</v>
      </c>
      <c r="F20" s="143">
        <v>2</v>
      </c>
      <c r="G20" s="145">
        <v>3.3</v>
      </c>
      <c r="H20" s="147">
        <v>3.3</v>
      </c>
      <c r="I20" s="145">
        <v>3.5</v>
      </c>
      <c r="J20" s="147">
        <v>4</v>
      </c>
      <c r="K20" s="145"/>
      <c r="L20" s="147"/>
    </row>
    <row r="21" spans="1:12" s="2" customFormat="1" ht="15" customHeight="1">
      <c r="A21" s="12">
        <v>2</v>
      </c>
      <c r="B21" s="10" t="str">
        <f>LIDER!G44</f>
        <v>MATTHIAS MATTHIAS CAMPO PASSO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3.15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VALERY GARCÍA REYES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3.15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JUAN DAVID LOPEZ VIDES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3.15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 t="str">
        <f>LIDER!G47</f>
        <v>ALEJANDRA MORENO VILLALOBO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3.15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100</v>
      </c>
      <c r="C26" s="88" t="s">
        <v>101</v>
      </c>
      <c r="D26" s="32" t="str">
        <f>D19</f>
        <v>LIST</v>
      </c>
      <c r="E26" s="89" t="s">
        <v>95</v>
      </c>
      <c r="F26" s="142" t="str">
        <f>LIDER!$E$32</f>
        <v xml:space="preserve">GRUPO#4: IDENTIFICACIÓN DE UNA OPORTUNIDAD DE NEGOCIO PARA LA COMERCIALIZACIÓN DE ROPA DEPORTIVA DE LA MARCA ARVIA EN LOS MERCADOS POTENCIALES DE COSTA RICA, GUATEMALA, HONDURAS.
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DONICEL DE JESUS BUENDIA CAÑATE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3.3000000000000003</v>
      </c>
      <c r="F27" s="143">
        <v>3</v>
      </c>
      <c r="G27" s="145">
        <v>3.2</v>
      </c>
      <c r="H27" s="147">
        <v>3.2</v>
      </c>
      <c r="I27" s="145">
        <v>3.5</v>
      </c>
      <c r="J27" s="147">
        <v>4</v>
      </c>
      <c r="K27" s="145"/>
      <c r="L27" s="147"/>
    </row>
    <row r="28" spans="1:12" s="2" customFormat="1" ht="15" customHeight="1">
      <c r="A28" s="12">
        <v>2</v>
      </c>
      <c r="B28" s="10" t="str">
        <f>LIDER!H44</f>
        <v>MARLON MANUEL CONTRERAS MARTÍNEZ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3.3000000000000003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ALANA ARAI DAVILA GONZALEZ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3.3000000000000003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MATEO DE JESUS MARRUGO CORREA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3.3000000000000003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FRANCISCO JAVIER PALMERA MARTINEZ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3.3000000000000003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 t="str">
        <f>LIDER!H48</f>
        <v>JUAN ESTEBAN ZEA NAVARRO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3.3000000000000003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102</v>
      </c>
      <c r="C33" s="88" t="s">
        <v>103</v>
      </c>
      <c r="D33" s="32" t="str">
        <f>D26</f>
        <v>LIST</v>
      </c>
      <c r="E33" s="89" t="s">
        <v>95</v>
      </c>
      <c r="F33" s="142" t="str">
        <f>LIDER!$E$33</f>
        <v xml:space="preserve">GRUPO#5: Análisis de Oportunidades para la Internacionalización de un Servicio de Beauty Tech B2B en  México, Ecuador y Estados Unidos. 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JEREMY MACOLL DIAZ PEREZ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3.6500000000000004</v>
      </c>
      <c r="F34" s="143">
        <v>3</v>
      </c>
      <c r="G34" s="145">
        <v>3.8</v>
      </c>
      <c r="H34" s="147">
        <v>3.8</v>
      </c>
      <c r="I34" s="145">
        <v>3.5</v>
      </c>
      <c r="J34" s="147">
        <v>4.5</v>
      </c>
      <c r="K34" s="145"/>
      <c r="L34" s="147"/>
    </row>
    <row r="35" spans="1:12" s="2" customFormat="1" ht="15" customHeight="1">
      <c r="A35" s="12">
        <v>2</v>
      </c>
      <c r="B35" s="10" t="str">
        <f>LIDER!E52</f>
        <v>SARA OYOLA MARTINEZ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3.6500000000000004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DARIANY PEÑARANDA LLACH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3.6500000000000004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MARIANGEL ROMERO VANEGAS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3.6500000000000004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ISAIAS FERNANDO SALCEDO CAICEDO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3.6500000000000004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104</v>
      </c>
      <c r="C40" s="88" t="s">
        <v>105</v>
      </c>
      <c r="D40" s="32" t="str">
        <f>D33</f>
        <v>LIST</v>
      </c>
      <c r="E40" s="89" t="s">
        <v>95</v>
      </c>
      <c r="F40" s="142" t="str">
        <f>LIDER!$E$34</f>
        <v xml:space="preserve">GRUPO#6: ¿CÓMO IDENTIFICAR UNA OPORTUNIDAD DE NEGOCIO PARA TROPISNACK MEDIANTE EL ANALISIS DE MERCADOS POTENCIALES COMO ESPAÑA, CHILE &amp; ESTADOS UNIDOS? 
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LUCINDA GARCIA CASTRO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4.0999999999999996</v>
      </c>
      <c r="F41" s="143">
        <v>4</v>
      </c>
      <c r="G41" s="145">
        <v>4</v>
      </c>
      <c r="H41" s="147">
        <v>4</v>
      </c>
      <c r="I41" s="145">
        <v>4</v>
      </c>
      <c r="J41" s="147">
        <v>5</v>
      </c>
      <c r="K41" s="145"/>
      <c r="L41" s="147"/>
    </row>
    <row r="42" spans="1:12" s="2" customFormat="1" ht="15" customHeight="1">
      <c r="A42" s="12">
        <v>2</v>
      </c>
      <c r="B42" s="10" t="str">
        <f>LIDER!F52</f>
        <v>CARLOS JULIO LOPEZ ALEMAN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4.0999999999999996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 t="str">
        <f>LIDER!F53</f>
        <v>LAURA SOFÍA PÉREZ ARÉVALO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4.0999999999999996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 t="str">
        <f>LIDER!F54</f>
        <v>DYLAN ANDRES RANGEL LOPEZ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4.0999999999999996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 t="str">
        <f>LIDER!F55</f>
        <v>SANTIAGO TANGARIFE PONCE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4.0999999999999996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82</v>
      </c>
      <c r="C47" s="88" t="s">
        <v>106</v>
      </c>
      <c r="D47" s="32" t="str">
        <f>D40</f>
        <v>LIST</v>
      </c>
      <c r="E47" s="89" t="s">
        <v>95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84</v>
      </c>
      <c r="C54" s="88" t="s">
        <v>107</v>
      </c>
      <c r="D54" s="32" t="str">
        <f>D47</f>
        <v>LIST</v>
      </c>
      <c r="E54" s="89" t="s">
        <v>95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86</v>
      </c>
      <c r="C61" s="88" t="s">
        <v>108</v>
      </c>
      <c r="D61" s="32" t="str">
        <f>D54</f>
        <v>LIST</v>
      </c>
      <c r="E61" s="89" t="s">
        <v>95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87</v>
      </c>
      <c r="C68" s="88" t="s">
        <v>109</v>
      </c>
      <c r="D68" s="32" t="str">
        <f>D61</f>
        <v>LIST</v>
      </c>
      <c r="E68" s="89" t="s">
        <v>95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88</v>
      </c>
      <c r="C75" s="88" t="s">
        <v>110</v>
      </c>
      <c r="D75" s="32" t="str">
        <f>D68</f>
        <v>LIST</v>
      </c>
      <c r="E75" s="89" t="s">
        <v>95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89</v>
      </c>
      <c r="C82" s="88" t="s">
        <v>111</v>
      </c>
      <c r="D82" s="32" t="str">
        <f>D75</f>
        <v>LIST</v>
      </c>
      <c r="E82" s="89" t="s">
        <v>95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tabSelected="1" zoomScale="86" zoomScaleNormal="86" workbookViewId="0">
      <pane xSplit="5" ySplit="3" topLeftCell="F4" activePane="bottomRight" state="frozen"/>
      <selection pane="bottomRight" activeCell="I47" sqref="F47:L4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LIDER!E4</f>
        <v>ELECTIVA DE PROFUNDIZACION I</v>
      </c>
      <c r="C2" s="82"/>
      <c r="D2" s="3"/>
      <c r="F2" s="152" t="s">
        <v>90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91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CONCATENATE(LIDER!E4," - ",LIDER!E6," - ",LIDER!E5)</f>
        <v>ELECTIVA DE PROFUNDIZACION I - 2275 - HUMBERTO MARQUEZ PEÑALOZA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92</v>
      </c>
      <c r="C5" s="88" t="s">
        <v>93</v>
      </c>
      <c r="D5" s="32" t="s">
        <v>94</v>
      </c>
      <c r="E5" s="89" t="s">
        <v>95</v>
      </c>
      <c r="F5" s="142" t="str">
        <f>LIDER!$E$29</f>
        <v xml:space="preserve">GRUPO#1: ANÁLISIS DE OPORTUNIDADES PARA UNA PLATAFORMA DIGITAL DE ACOMPAÑAMIENTO A LA INTERNACIONALIZACIÓN DE PYMES COLOMBIANAS EN ESPAÑA, CHILE Y MÉXICO.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ISABELLA FONTALVO RODRIGUEZ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3.9000000000000004</v>
      </c>
      <c r="F6" s="143">
        <v>3.5</v>
      </c>
      <c r="G6" s="145">
        <v>4</v>
      </c>
      <c r="H6" s="147">
        <v>4</v>
      </c>
      <c r="I6" s="145">
        <v>3.5</v>
      </c>
      <c r="J6" s="147">
        <v>5</v>
      </c>
      <c r="K6" s="145"/>
      <c r="L6" s="147"/>
    </row>
    <row r="7" spans="1:12" s="2" customFormat="1" ht="15" customHeight="1">
      <c r="A7" s="12">
        <v>2</v>
      </c>
      <c r="B7" s="10" t="str">
        <f>LIDER!E44</f>
        <v>MARÍA ANGÉLICA LARA MAURY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3.9000000000000004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DILAN ANDRES PEREZ ALVAREZ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3.9000000000000004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96</v>
      </c>
      <c r="C12" s="88" t="s">
        <v>97</v>
      </c>
      <c r="D12" s="32" t="str">
        <f>D5</f>
        <v>LIST</v>
      </c>
      <c r="E12" s="89" t="s">
        <v>95</v>
      </c>
      <c r="F12" s="142" t="str">
        <f>LIDER!$E$30</f>
        <v>GRUPO#2: Estudio de mercado a partir de la Oportunidad de Negocio para la Implementación de un Probador Virtual e Interactivo 3D en el Sector E-Commerce de Moda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MERLIN YAMAL SMITH FLOREZ GONZALEZ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4.4499999999999993</v>
      </c>
      <c r="F13" s="143">
        <v>4</v>
      </c>
      <c r="G13" s="145">
        <v>4.5</v>
      </c>
      <c r="H13" s="147">
        <v>4.5</v>
      </c>
      <c r="I13" s="145">
        <v>4.5</v>
      </c>
      <c r="J13" s="147">
        <v>5</v>
      </c>
      <c r="K13" s="145"/>
      <c r="L13" s="147"/>
    </row>
    <row r="14" spans="1:12" s="2" customFormat="1" ht="15" customHeight="1">
      <c r="A14" s="12">
        <v>2</v>
      </c>
      <c r="B14" s="10" t="str">
        <f>LIDER!F44</f>
        <v>NELCY CAROLINA MEZA PÉREZ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4.4499999999999993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MIGUEL MATEO PEREZ JIMENEZ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4.4499999999999993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EDWIN JAVIER ROJANO ZÚÑIGA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4.4499999999999993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Danna Alejandra Castro Espinosa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4.4499999999999993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98</v>
      </c>
      <c r="C19" s="88" t="s">
        <v>99</v>
      </c>
      <c r="D19" s="32" t="str">
        <f>D12</f>
        <v>LIST</v>
      </c>
      <c r="E19" s="89" t="s">
        <v>95</v>
      </c>
      <c r="F19" s="142" t="str">
        <f>LIDER!$E$31</f>
        <v>GRUPO#3: TINTO SKIN, OPORTUNIDAD DE NEGOCIOS EN TRES MERCADOS:  ECUADOR, PERÚ, EE.UU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MIGUEL ANTONIO BARON REVOLLO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3.9000000000000004</v>
      </c>
      <c r="F20" s="143">
        <v>3.2</v>
      </c>
      <c r="G20" s="145">
        <v>4</v>
      </c>
      <c r="H20" s="147">
        <v>4.2</v>
      </c>
      <c r="I20" s="145">
        <v>3.5</v>
      </c>
      <c r="J20" s="147">
        <v>5</v>
      </c>
      <c r="K20" s="145"/>
      <c r="L20" s="147"/>
    </row>
    <row r="21" spans="1:12" s="2" customFormat="1" ht="15" customHeight="1">
      <c r="A21" s="12">
        <v>2</v>
      </c>
      <c r="B21" s="10" t="str">
        <f>LIDER!G44</f>
        <v>MATTHIAS MATTHIAS CAMPO PASSO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3.9000000000000004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VALERY GARCÍA REYES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3.9000000000000004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JUAN DAVID LOPEZ VIDES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3.9000000000000004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 t="str">
        <f>LIDER!G47</f>
        <v>ALEJANDRA MORENO VILLALOBO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3.9000000000000004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100</v>
      </c>
      <c r="C26" s="88" t="s">
        <v>101</v>
      </c>
      <c r="D26" s="32" t="str">
        <f>D19</f>
        <v>LIST</v>
      </c>
      <c r="E26" s="89" t="s">
        <v>95</v>
      </c>
      <c r="F26" s="142" t="str">
        <f>LIDER!$E$32</f>
        <v xml:space="preserve">GRUPO#4: IDENTIFICACIÓN DE UNA OPORTUNIDAD DE NEGOCIO PARA LA COMERCIALIZACIÓN DE ROPA DEPORTIVA DE LA MARCA ARVIA EN LOS MERCADOS POTENCIALES DE COSTA RICA, GUATEMALA, HONDURAS.
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DONICEL DE JESUS BUENDIA CAÑATE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3.9299999999999997</v>
      </c>
      <c r="F27" s="143">
        <v>3.5</v>
      </c>
      <c r="G27" s="145">
        <v>4</v>
      </c>
      <c r="H27" s="147">
        <v>4.0999999999999996</v>
      </c>
      <c r="I27" s="145">
        <v>3.5</v>
      </c>
      <c r="J27" s="147">
        <v>5</v>
      </c>
      <c r="K27" s="145"/>
      <c r="L27" s="147"/>
    </row>
    <row r="28" spans="1:12" s="2" customFormat="1" ht="15" customHeight="1">
      <c r="A28" s="12">
        <v>2</v>
      </c>
      <c r="B28" s="10" t="str">
        <f>LIDER!H44</f>
        <v>MARLON MANUEL CONTRERAS MARTÍNEZ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3.9299999999999997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ALANA ARAI DAVILA GONZALEZ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3.9299999999999997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MATEO DE JESUS MARRUGO CORREA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3.9299999999999997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FRANCISCO JAVIER PALMERA MARTINEZ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3.9299999999999997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 t="str">
        <f>LIDER!H48</f>
        <v>JUAN ESTEBAN ZEA NAVARRO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3.9299999999999997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102</v>
      </c>
      <c r="C33" s="88" t="s">
        <v>103</v>
      </c>
      <c r="D33" s="32" t="str">
        <f>D26</f>
        <v>LIST</v>
      </c>
      <c r="E33" s="89" t="s">
        <v>95</v>
      </c>
      <c r="F33" s="142" t="str">
        <f>LIDER!$E$33</f>
        <v xml:space="preserve">GRUPO#5: Análisis de Oportunidades para la Internacionalización de un Servicio de Beauty Tech B2B en  México, Ecuador y Estados Unidos. 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JEREMY MACOLL DIAZ PEREZ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4.0199999999999996</v>
      </c>
      <c r="F34" s="143">
        <v>3.5</v>
      </c>
      <c r="G34" s="145">
        <v>4</v>
      </c>
      <c r="H34" s="147">
        <v>4.2</v>
      </c>
      <c r="I34" s="145">
        <v>3.8</v>
      </c>
      <c r="J34" s="147">
        <v>5</v>
      </c>
      <c r="K34" s="145"/>
      <c r="L34" s="147"/>
    </row>
    <row r="35" spans="1:12" s="2" customFormat="1" ht="15" customHeight="1">
      <c r="A35" s="12">
        <v>2</v>
      </c>
      <c r="B35" s="10" t="str">
        <f>LIDER!E52</f>
        <v>SARA OYOLA MARTINEZ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4.0199999999999996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DARIANY PEÑARANDA LLACH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4.0199999999999996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MARIANGEL ROMERO VANEGAS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4.0199999999999996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ISAIAS FERNANDO SALCEDO CAICEDO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4.0199999999999996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104</v>
      </c>
      <c r="C40" s="88" t="s">
        <v>105</v>
      </c>
      <c r="D40" s="32" t="str">
        <f>D33</f>
        <v>LIST</v>
      </c>
      <c r="E40" s="89" t="s">
        <v>95</v>
      </c>
      <c r="F40" s="142" t="str">
        <f>LIDER!$E$34</f>
        <v xml:space="preserve">GRUPO#6: ¿CÓMO IDENTIFICAR UNA OPORTUNIDAD DE NEGOCIO PARA TROPISNACK MEDIANTE EL ANALISIS DE MERCADOS POTENCIALES COMO ESPAÑA, CHILE &amp; ESTADOS UNIDOS? 
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LUCINDA GARCIA CASTRO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3.34</v>
      </c>
      <c r="F41" s="143">
        <v>2.5</v>
      </c>
      <c r="G41" s="145">
        <v>3.5</v>
      </c>
      <c r="H41" s="147">
        <v>3.8</v>
      </c>
      <c r="I41" s="145">
        <v>2.5</v>
      </c>
      <c r="J41" s="147">
        <v>5</v>
      </c>
      <c r="K41" s="145"/>
      <c r="L41" s="147"/>
    </row>
    <row r="42" spans="1:12" s="2" customFormat="1" ht="15" customHeight="1">
      <c r="A42" s="12">
        <v>2</v>
      </c>
      <c r="B42" s="10" t="str">
        <f>LIDER!F52</f>
        <v>CARLOS JULIO LOPEZ ALEMAN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3.34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 t="str">
        <f>LIDER!F53</f>
        <v>LAURA SOFÍA PÉREZ ARÉVALO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3.34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 t="str">
        <f>LIDER!F54</f>
        <v>DYLAN ANDRES RANGEL LOPEZ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3.34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 t="str">
        <f>LIDER!F55</f>
        <v>SANTIAGO TANGARIFE PONCE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3.34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82</v>
      </c>
      <c r="C47" s="88" t="s">
        <v>106</v>
      </c>
      <c r="D47" s="32" t="str">
        <f>D40</f>
        <v>LIST</v>
      </c>
      <c r="E47" s="89" t="s">
        <v>95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84</v>
      </c>
      <c r="C54" s="88" t="s">
        <v>107</v>
      </c>
      <c r="D54" s="32" t="str">
        <f>D47</f>
        <v>LIST</v>
      </c>
      <c r="E54" s="89" t="s">
        <v>95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86</v>
      </c>
      <c r="C61" s="88" t="s">
        <v>108</v>
      </c>
      <c r="D61" s="32" t="str">
        <f>D54</f>
        <v>LIST</v>
      </c>
      <c r="E61" s="89" t="s">
        <v>95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87</v>
      </c>
      <c r="C68" s="88" t="s">
        <v>109</v>
      </c>
      <c r="D68" s="32" t="str">
        <f>D61</f>
        <v>LIST</v>
      </c>
      <c r="E68" s="89" t="s">
        <v>95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88</v>
      </c>
      <c r="C75" s="88" t="s">
        <v>110</v>
      </c>
      <c r="D75" s="32" t="str">
        <f>D68</f>
        <v>LIST</v>
      </c>
      <c r="E75" s="89" t="s">
        <v>95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89</v>
      </c>
      <c r="C82" s="88" t="s">
        <v>111</v>
      </c>
      <c r="D82" s="32" t="str">
        <f>D75</f>
        <v>LIST</v>
      </c>
      <c r="E82" s="89" t="s">
        <v>95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32" activePane="bottomRight" state="frozen"/>
      <selection pane="bottomRight" activeCell="H40" sqref="F40:L40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LIDER!F4</f>
        <v>IMPORTACIONES Y EXPORTACIONES</v>
      </c>
      <c r="C2" s="82"/>
      <c r="D2" s="3"/>
      <c r="F2" s="152" t="s">
        <v>90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91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CONCATENATE(LIDER!F4," - ",LIDER!F6," - ",LIDER!F5)</f>
        <v>IMPORTACIONES Y EXPORTACIONES - 1437 - REYNALDO ARTURO ROJAS TRILLOS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92</v>
      </c>
      <c r="C5" s="88" t="s">
        <v>93</v>
      </c>
      <c r="D5" s="32" t="s">
        <v>94</v>
      </c>
      <c r="E5" s="89" t="s">
        <v>95</v>
      </c>
      <c r="F5" s="142" t="str">
        <f>LIDER!$E$29</f>
        <v xml:space="preserve">GRUPO#1: ANÁLISIS DE OPORTUNIDADES PARA UNA PLATAFORMA DIGITAL DE ACOMPAÑAMIENTO A LA INTERNACIONALIZACIÓN DE PYMES COLOMBIANAS EN ESPAÑA, CHILE Y MÉXICO.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ISABELLA FONTALVO RODRIGUEZ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3.9599999999999995</v>
      </c>
      <c r="F6" s="143">
        <v>3.8</v>
      </c>
      <c r="G6" s="145">
        <v>3.5</v>
      </c>
      <c r="H6" s="147">
        <v>3.8</v>
      </c>
      <c r="I6" s="145">
        <v>4.3</v>
      </c>
      <c r="J6" s="147">
        <v>5</v>
      </c>
      <c r="K6" s="145"/>
      <c r="L6" s="147"/>
    </row>
    <row r="7" spans="1:12" s="2" customFormat="1" ht="15" customHeight="1">
      <c r="A7" s="12">
        <v>2</v>
      </c>
      <c r="B7" s="10" t="str">
        <f>LIDER!E44</f>
        <v>MARÍA ANGÉLICA LARA MAURY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3.9599999999999995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DILAN ANDRES PEREZ ALVAREZ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3.9599999999999995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96</v>
      </c>
      <c r="C12" s="88" t="s">
        <v>97</v>
      </c>
      <c r="D12" s="32" t="str">
        <f>D5</f>
        <v>LIST</v>
      </c>
      <c r="E12" s="89" t="s">
        <v>95</v>
      </c>
      <c r="F12" s="142" t="str">
        <f>LIDER!$E$30</f>
        <v>GRUPO#2: Estudio de mercado a partir de la Oportunidad de Negocio para la Implementación de un Probador Virtual e Interactivo 3D en el Sector E-Commerce de Moda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MERLIN YAMAL SMITH FLOREZ GONZALEZ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3.8499999999999996</v>
      </c>
      <c r="F13" s="143">
        <v>3.4</v>
      </c>
      <c r="G13" s="145">
        <v>3.5</v>
      </c>
      <c r="H13" s="147">
        <v>3.9</v>
      </c>
      <c r="I13" s="145">
        <v>4</v>
      </c>
      <c r="J13" s="147">
        <v>5</v>
      </c>
      <c r="K13" s="145"/>
      <c r="L13" s="147"/>
    </row>
    <row r="14" spans="1:12" s="2" customFormat="1" ht="15" customHeight="1">
      <c r="A14" s="12">
        <v>2</v>
      </c>
      <c r="B14" s="10" t="str">
        <f>LIDER!F44</f>
        <v>NELCY CAROLINA MEZA PÉREZ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3.8499999999999996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MIGUEL MATEO PEREZ JIMENEZ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3.8499999999999996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EDWIN JAVIER ROJANO ZÚÑIGA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3.8499999999999996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Danna Alejandra Castro Espinosa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3.8499999999999996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98</v>
      </c>
      <c r="C19" s="88" t="s">
        <v>99</v>
      </c>
      <c r="D19" s="32" t="str">
        <f>D12</f>
        <v>LIST</v>
      </c>
      <c r="E19" s="89" t="s">
        <v>95</v>
      </c>
      <c r="F19" s="142" t="str">
        <f>LIDER!$E$31</f>
        <v>GRUPO#3: TINTO SKIN, OPORTUNIDAD DE NEGOCIOS EN TRES MERCADOS:  ECUADOR, PERÚ, EE.UU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MIGUEL ANTONIO BARON REVOLLO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3.6900000000000004</v>
      </c>
      <c r="F20" s="143">
        <v>3.3</v>
      </c>
      <c r="G20" s="145">
        <v>3.6</v>
      </c>
      <c r="H20" s="147">
        <v>3.5</v>
      </c>
      <c r="I20" s="145">
        <v>3.8</v>
      </c>
      <c r="J20" s="147">
        <v>5</v>
      </c>
      <c r="K20" s="145"/>
      <c r="L20" s="147"/>
    </row>
    <row r="21" spans="1:12" s="2" customFormat="1" ht="15" customHeight="1">
      <c r="A21" s="12">
        <v>2</v>
      </c>
      <c r="B21" s="10" t="str">
        <f>LIDER!G44</f>
        <v>MATTHIAS MATTHIAS CAMPO PASSO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3.6900000000000004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VALERY GARCÍA REYES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3.6900000000000004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JUAN DAVID LOPEZ VIDES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3.6900000000000004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 t="str">
        <f>LIDER!G47</f>
        <v>ALEJANDRA MORENO VILLALOBO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3.6900000000000004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100</v>
      </c>
      <c r="C26" s="88" t="s">
        <v>101</v>
      </c>
      <c r="D26" s="32" t="str">
        <f>D19</f>
        <v>LIST</v>
      </c>
      <c r="E26" s="89" t="s">
        <v>95</v>
      </c>
      <c r="F26" s="142" t="str">
        <f>LIDER!$E$32</f>
        <v xml:space="preserve">GRUPO#4: IDENTIFICACIÓN DE UNA OPORTUNIDAD DE NEGOCIO PARA LA COMERCIALIZACIÓN DE ROPA DEPORTIVA DE LA MARCA ARVIA EN LOS MERCADOS POTENCIALES DE COSTA RICA, GUATEMALA, HONDURAS.
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DONICEL DE JESUS BUENDIA CAÑATE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3.7700000000000005</v>
      </c>
      <c r="F27" s="143">
        <v>3.4</v>
      </c>
      <c r="G27" s="145">
        <v>3.5</v>
      </c>
      <c r="H27" s="147">
        <v>3.7</v>
      </c>
      <c r="I27" s="145">
        <v>3.9</v>
      </c>
      <c r="J27" s="147">
        <v>5</v>
      </c>
      <c r="K27" s="145"/>
      <c r="L27" s="147"/>
    </row>
    <row r="28" spans="1:12" s="2" customFormat="1" ht="15" customHeight="1">
      <c r="A28" s="12">
        <v>2</v>
      </c>
      <c r="B28" s="10" t="str">
        <f>LIDER!H44</f>
        <v>MARLON MANUEL CONTRERAS MARTÍNEZ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3.7700000000000005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ALANA ARAI DAVILA GONZALEZ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3.7700000000000005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MATEO DE JESUS MARRUGO CORREA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3.7700000000000005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FRANCISCO JAVIER PALMERA MARTINEZ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3.7700000000000005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 t="str">
        <f>LIDER!H48</f>
        <v>JUAN ESTEBAN ZEA NAVARRO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3.7700000000000005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102</v>
      </c>
      <c r="C33" s="88" t="s">
        <v>103</v>
      </c>
      <c r="D33" s="32" t="str">
        <f>D26</f>
        <v>LIST</v>
      </c>
      <c r="E33" s="89" t="s">
        <v>95</v>
      </c>
      <c r="F33" s="142" t="str">
        <f>LIDER!$E$33</f>
        <v xml:space="preserve">GRUPO#5: Análisis de Oportunidades para la Internacionalización de un Servicio de Beauty Tech B2B en  México, Ecuador y Estados Unidos. 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JEREMY MACOLL DIAZ PEREZ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3.81</v>
      </c>
      <c r="F34" s="143">
        <v>3.5</v>
      </c>
      <c r="G34" s="145">
        <v>3.6</v>
      </c>
      <c r="H34" s="147">
        <v>3.9</v>
      </c>
      <c r="I34" s="145">
        <v>3.6</v>
      </c>
      <c r="J34" s="147">
        <v>5</v>
      </c>
      <c r="K34" s="145"/>
      <c r="L34" s="147"/>
    </row>
    <row r="35" spans="1:12" s="2" customFormat="1" ht="15" customHeight="1">
      <c r="A35" s="12">
        <v>2</v>
      </c>
      <c r="B35" s="10" t="str">
        <f>LIDER!E52</f>
        <v>SARA OYOLA MARTINEZ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3.81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DARIANY PEÑARANDA LLACH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3.81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MARIANGEL ROMERO VANEGAS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3.81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ISAIAS FERNANDO SALCEDO CAICEDO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3.81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104</v>
      </c>
      <c r="C40" s="88" t="s">
        <v>105</v>
      </c>
      <c r="D40" s="32" t="str">
        <f>D33</f>
        <v>LIST</v>
      </c>
      <c r="E40" s="89" t="s">
        <v>95</v>
      </c>
      <c r="F40" s="142" t="str">
        <f>LIDER!$E$34</f>
        <v xml:space="preserve">GRUPO#6: ¿CÓMO IDENTIFICAR UNA OPORTUNIDAD DE NEGOCIO PARA TROPISNACK MEDIANTE EL ANALISIS DE MERCADOS POTENCIALES COMO ESPAÑA, CHILE &amp; ESTADOS UNIDOS? 
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LUCINDA GARCIA CASTRO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3.8200000000000003</v>
      </c>
      <c r="F41" s="143">
        <v>3.5</v>
      </c>
      <c r="G41" s="145">
        <v>3.4</v>
      </c>
      <c r="H41" s="147">
        <v>3.8</v>
      </c>
      <c r="I41" s="145">
        <v>4</v>
      </c>
      <c r="J41" s="147">
        <v>5</v>
      </c>
      <c r="K41" s="145"/>
      <c r="L41" s="147"/>
    </row>
    <row r="42" spans="1:12" s="2" customFormat="1" ht="15" customHeight="1">
      <c r="A42" s="12">
        <v>2</v>
      </c>
      <c r="B42" s="10" t="str">
        <f>LIDER!F52</f>
        <v>CARLOS JULIO LOPEZ ALEMAN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3.8200000000000003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 t="str">
        <f>LIDER!F53</f>
        <v>LAURA SOFÍA PÉREZ ARÉVALO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3.8200000000000003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 t="str">
        <f>LIDER!F54</f>
        <v>DYLAN ANDRES RANGEL LOPEZ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3.8200000000000003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 t="str">
        <f>LIDER!F55</f>
        <v>SANTIAGO TANGARIFE PONCE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3.8200000000000003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82</v>
      </c>
      <c r="C47" s="88" t="s">
        <v>106</v>
      </c>
      <c r="D47" s="32" t="str">
        <f>D40</f>
        <v>LIST</v>
      </c>
      <c r="E47" s="89" t="s">
        <v>95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84</v>
      </c>
      <c r="C54" s="88" t="s">
        <v>107</v>
      </c>
      <c r="D54" s="32" t="str">
        <f>D47</f>
        <v>LIST</v>
      </c>
      <c r="E54" s="89" t="s">
        <v>95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86</v>
      </c>
      <c r="C61" s="88" t="s">
        <v>108</v>
      </c>
      <c r="D61" s="32" t="str">
        <f>D54</f>
        <v>LIST</v>
      </c>
      <c r="E61" s="89" t="s">
        <v>95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87</v>
      </c>
      <c r="C68" s="88" t="s">
        <v>109</v>
      </c>
      <c r="D68" s="32" t="str">
        <f>D61</f>
        <v>LIST</v>
      </c>
      <c r="E68" s="89" t="s">
        <v>95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88</v>
      </c>
      <c r="C75" s="88" t="s">
        <v>110</v>
      </c>
      <c r="D75" s="32" t="str">
        <f>D68</f>
        <v>LIST</v>
      </c>
      <c r="E75" s="89" t="s">
        <v>95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89</v>
      </c>
      <c r="C82" s="88" t="s">
        <v>111</v>
      </c>
      <c r="D82" s="32" t="str">
        <f>D75</f>
        <v>LIST</v>
      </c>
      <c r="E82" s="89" t="s">
        <v>95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26" activePane="bottomRight" state="frozen"/>
      <selection pane="bottomRight" activeCell="F40" sqref="F40:L40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LIDER!G4</f>
        <v>FUNDAMENTOS DE MERCADEO</v>
      </c>
      <c r="C2" s="82"/>
      <c r="D2" s="3"/>
      <c r="F2" s="152" t="s">
        <v>90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91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CONCATENATE(LIDER!G4," - ",LIDER!G6," - ",LIDER!G5)</f>
        <v>FUNDAMENTOS DE MERCADEO - 1351 - ANGELA LUBO CASTRILLON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92</v>
      </c>
      <c r="C5" s="88" t="s">
        <v>93</v>
      </c>
      <c r="D5" s="32" t="s">
        <v>94</v>
      </c>
      <c r="E5" s="89" t="s">
        <v>95</v>
      </c>
      <c r="F5" s="142" t="str">
        <f>LIDER!$E$29</f>
        <v xml:space="preserve">GRUPO#1: ANÁLISIS DE OPORTUNIDADES PARA UNA PLATAFORMA DIGITAL DE ACOMPAÑAMIENTO A LA INTERNACIONALIZACIÓN DE PYMES COLOMBIANAS EN ESPAÑA, CHILE Y MÉXICO.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ISABELLA FONTALVO RODRIGUEZ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3.96</v>
      </c>
      <c r="F6" s="143">
        <v>3.8</v>
      </c>
      <c r="G6" s="145">
        <v>4</v>
      </c>
      <c r="H6" s="147">
        <v>4</v>
      </c>
      <c r="I6" s="145">
        <v>3.5</v>
      </c>
      <c r="J6" s="147">
        <v>5</v>
      </c>
      <c r="K6" s="145"/>
      <c r="L6" s="147"/>
    </row>
    <row r="7" spans="1:12" s="2" customFormat="1" ht="15" customHeight="1">
      <c r="A7" s="12">
        <v>2</v>
      </c>
      <c r="B7" s="10" t="str">
        <f>LIDER!E44</f>
        <v>MARÍA ANGÉLICA LARA MAURY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3.96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DILAN ANDRES PEREZ ALVAREZ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3.96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96</v>
      </c>
      <c r="C12" s="88" t="s">
        <v>97</v>
      </c>
      <c r="D12" s="32" t="str">
        <f>D5</f>
        <v>LIST</v>
      </c>
      <c r="E12" s="89" t="s">
        <v>95</v>
      </c>
      <c r="F12" s="142" t="str">
        <f>LIDER!$E$30</f>
        <v>GRUPO#2: Estudio de mercado a partir de la Oportunidad de Negocio para la Implementación de un Probador Virtual e Interactivo 3D en el Sector E-Commerce de Moda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MERLIN YAMAL SMITH FLOREZ GONZALEZ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3.5500000000000003</v>
      </c>
      <c r="F13" s="143">
        <v>3</v>
      </c>
      <c r="G13" s="145">
        <v>3.5</v>
      </c>
      <c r="H13" s="147">
        <v>4</v>
      </c>
      <c r="I13" s="145">
        <v>3</v>
      </c>
      <c r="J13" s="147">
        <v>4.5</v>
      </c>
      <c r="K13" s="145"/>
      <c r="L13" s="147"/>
    </row>
    <row r="14" spans="1:12" s="2" customFormat="1" ht="15" customHeight="1">
      <c r="A14" s="12">
        <v>2</v>
      </c>
      <c r="B14" s="10" t="str">
        <f>LIDER!F44</f>
        <v>NELCY CAROLINA MEZA PÉREZ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3.5500000000000003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MIGUEL MATEO PEREZ JIMENEZ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3.5500000000000003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EDWIN JAVIER ROJANO ZÚÑIGA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3.5500000000000003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Danna Alejandra Castro Espinosa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3.5500000000000003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98</v>
      </c>
      <c r="C19" s="88" t="s">
        <v>99</v>
      </c>
      <c r="D19" s="32" t="str">
        <f>D12</f>
        <v>LIST</v>
      </c>
      <c r="E19" s="89" t="s">
        <v>95</v>
      </c>
      <c r="F19" s="142" t="str">
        <f>LIDER!$E$31</f>
        <v>GRUPO#3: TINTO SKIN, OPORTUNIDAD DE NEGOCIOS EN TRES MERCADOS:  ECUADOR, PERÚ, EE.UU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MIGUEL ANTONIO BARON REVOLLO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3.52</v>
      </c>
      <c r="F20" s="143">
        <v>3.5</v>
      </c>
      <c r="G20" s="145">
        <v>3.5</v>
      </c>
      <c r="H20" s="147">
        <v>3.4</v>
      </c>
      <c r="I20" s="145">
        <v>3.5</v>
      </c>
      <c r="J20" s="147">
        <v>4</v>
      </c>
      <c r="K20" s="145"/>
      <c r="L20" s="147"/>
    </row>
    <row r="21" spans="1:12" s="2" customFormat="1" ht="15" customHeight="1">
      <c r="A21" s="12">
        <v>2</v>
      </c>
      <c r="B21" s="10" t="str">
        <f>LIDER!G44</f>
        <v>MATTHIAS MATTHIAS CAMPO PASSO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3.52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VALERY GARCÍA REYES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3.52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JUAN DAVID LOPEZ VIDES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3.52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 t="str">
        <f>LIDER!G47</f>
        <v>ALEJANDRA MORENO VILLALOBO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3.52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100</v>
      </c>
      <c r="C26" s="88" t="s">
        <v>101</v>
      </c>
      <c r="D26" s="32" t="str">
        <f>D19</f>
        <v>LIST</v>
      </c>
      <c r="E26" s="89" t="s">
        <v>95</v>
      </c>
      <c r="F26" s="142" t="str">
        <f>LIDER!$E$32</f>
        <v xml:space="preserve">GRUPO#4: IDENTIFICACIÓN DE UNA OPORTUNIDAD DE NEGOCIO PARA LA COMERCIALIZACIÓN DE ROPA DEPORTIVA DE LA MARCA ARVIA EN LOS MERCADOS POTENCIALES DE COSTA RICA, GUATEMALA, HONDURAS.
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DONICEL DE JESUS BUENDIA CAÑATE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3.5500000000000003</v>
      </c>
      <c r="F27" s="143">
        <v>3.5</v>
      </c>
      <c r="G27" s="145">
        <v>3.5</v>
      </c>
      <c r="H27" s="147">
        <v>4</v>
      </c>
      <c r="I27" s="145">
        <v>3</v>
      </c>
      <c r="J27" s="147">
        <v>3.5</v>
      </c>
      <c r="K27" s="145"/>
      <c r="L27" s="147"/>
    </row>
    <row r="28" spans="1:12" s="2" customFormat="1" ht="15" customHeight="1">
      <c r="A28" s="12">
        <v>2</v>
      </c>
      <c r="B28" s="10" t="str">
        <f>LIDER!H44</f>
        <v>MARLON MANUEL CONTRERAS MARTÍNEZ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3.5500000000000003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ALANA ARAI DAVILA GONZALEZ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3.5500000000000003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MATEO DE JESUS MARRUGO CORREA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3.5500000000000003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FRANCISCO JAVIER PALMERA MARTINEZ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3.5500000000000003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 t="str">
        <f>LIDER!H48</f>
        <v>JUAN ESTEBAN ZEA NAVARRO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3.5500000000000003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102</v>
      </c>
      <c r="C33" s="88" t="s">
        <v>103</v>
      </c>
      <c r="D33" s="32" t="str">
        <f>D26</f>
        <v>LIST</v>
      </c>
      <c r="E33" s="89" t="s">
        <v>95</v>
      </c>
      <c r="F33" s="142" t="str">
        <f>LIDER!$E$33</f>
        <v xml:space="preserve">GRUPO#5: Análisis de Oportunidades para la Internacionalización de un Servicio de Beauty Tech B2B en  México, Ecuador y Estados Unidos. 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JEREMY MACOLL DIAZ PEREZ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3.7</v>
      </c>
      <c r="F34" s="143">
        <v>3.5</v>
      </c>
      <c r="G34" s="145">
        <v>3.5</v>
      </c>
      <c r="H34" s="147">
        <v>4</v>
      </c>
      <c r="I34" s="145">
        <v>3.5</v>
      </c>
      <c r="J34" s="147">
        <v>4</v>
      </c>
      <c r="K34" s="145"/>
      <c r="L34" s="147"/>
    </row>
    <row r="35" spans="1:12" s="2" customFormat="1" ht="15" customHeight="1">
      <c r="A35" s="12">
        <v>2</v>
      </c>
      <c r="B35" s="10" t="str">
        <f>LIDER!E52</f>
        <v>SARA OYOLA MARTINEZ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3.7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DARIANY PEÑARANDA LLACH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3.7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MARIANGEL ROMERO VANEGAS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3.7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ISAIAS FERNANDO SALCEDO CAICEDO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3.7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104</v>
      </c>
      <c r="C40" s="88" t="s">
        <v>105</v>
      </c>
      <c r="D40" s="32" t="str">
        <f>D33</f>
        <v>LIST</v>
      </c>
      <c r="E40" s="89" t="s">
        <v>95</v>
      </c>
      <c r="F40" s="142" t="str">
        <f>LIDER!$E$34</f>
        <v xml:space="preserve">GRUPO#6: ¿CÓMO IDENTIFICAR UNA OPORTUNIDAD DE NEGOCIO PARA TROPISNACK MEDIANTE EL ANALISIS DE MERCADOS POTENCIALES COMO ESPAÑA, CHILE &amp; ESTADOS UNIDOS? 
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LUCINDA GARCIA CASTRO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3.9</v>
      </c>
      <c r="F41" s="143">
        <v>3.5</v>
      </c>
      <c r="G41" s="145">
        <v>4</v>
      </c>
      <c r="H41" s="147">
        <v>4</v>
      </c>
      <c r="I41" s="145">
        <v>4</v>
      </c>
      <c r="J41" s="147">
        <v>4</v>
      </c>
      <c r="K41" s="145"/>
      <c r="L41" s="147"/>
    </row>
    <row r="42" spans="1:12" s="2" customFormat="1" ht="15" customHeight="1">
      <c r="A42" s="12">
        <v>2</v>
      </c>
      <c r="B42" s="10" t="str">
        <f>LIDER!F52</f>
        <v>CARLOS JULIO LOPEZ ALEMAN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3.9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 t="str">
        <f>LIDER!F53</f>
        <v>LAURA SOFÍA PÉREZ ARÉVALO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3.9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 t="str">
        <f>LIDER!F54</f>
        <v>DYLAN ANDRES RANGEL LOPEZ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3.9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 t="str">
        <f>LIDER!F55</f>
        <v>SANTIAGO TANGARIFE PONCE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3.9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82</v>
      </c>
      <c r="C47" s="88" t="s">
        <v>106</v>
      </c>
      <c r="D47" s="32" t="str">
        <f>D40</f>
        <v>LIST</v>
      </c>
      <c r="E47" s="89" t="s">
        <v>95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84</v>
      </c>
      <c r="C54" s="88" t="s">
        <v>107</v>
      </c>
      <c r="D54" s="32" t="str">
        <f>D47</f>
        <v>LIST</v>
      </c>
      <c r="E54" s="89" t="s">
        <v>95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86</v>
      </c>
      <c r="C61" s="88" t="s">
        <v>108</v>
      </c>
      <c r="D61" s="32" t="str">
        <f>D54</f>
        <v>LIST</v>
      </c>
      <c r="E61" s="89" t="s">
        <v>95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87</v>
      </c>
      <c r="C68" s="88" t="s">
        <v>109</v>
      </c>
      <c r="D68" s="32" t="str">
        <f>D61</f>
        <v>LIST</v>
      </c>
      <c r="E68" s="89" t="s">
        <v>95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88</v>
      </c>
      <c r="C75" s="88" t="s">
        <v>110</v>
      </c>
      <c r="D75" s="32" t="str">
        <f>D68</f>
        <v>LIST</v>
      </c>
      <c r="E75" s="89" t="s">
        <v>95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89</v>
      </c>
      <c r="C82" s="88" t="s">
        <v>111</v>
      </c>
      <c r="D82" s="32" t="str">
        <f>D75</f>
        <v>LIST</v>
      </c>
      <c r="E82" s="89" t="s">
        <v>95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I41" sqref="I41:I46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LIDER!H4</f>
        <v>FUNDAMENTOS DE FINANZAS</v>
      </c>
      <c r="C2" s="82"/>
      <c r="D2" s="3"/>
      <c r="F2" s="152" t="s">
        <v>90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91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CONCATENATE(LIDER!H4," - ",LIDER!H6," - ",LIDER!H5)</f>
        <v>FUNDAMENTOS DE FINANZAS - 1474 - LEONARDO CARLOS DE ORO BARRIOS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92</v>
      </c>
      <c r="C5" s="88" t="s">
        <v>93</v>
      </c>
      <c r="D5" s="32" t="s">
        <v>94</v>
      </c>
      <c r="E5" s="89" t="s">
        <v>95</v>
      </c>
      <c r="F5" s="142" t="str">
        <f>LIDER!$E$29</f>
        <v xml:space="preserve">GRUPO#1: ANÁLISIS DE OPORTUNIDADES PARA UNA PLATAFORMA DIGITAL DE ACOMPAÑAMIENTO A LA INTERNACIONALIZACIÓN DE PYMES COLOMBIANAS EN ESPAÑA, CHILE Y MÉXICO.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ISABELLA FONTALVO RODRIGUEZ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3.66</v>
      </c>
      <c r="F6" s="143">
        <v>3.5</v>
      </c>
      <c r="G6" s="145">
        <v>3.5</v>
      </c>
      <c r="H6" s="147">
        <v>4</v>
      </c>
      <c r="I6" s="145">
        <v>3.3</v>
      </c>
      <c r="J6" s="147">
        <v>4</v>
      </c>
      <c r="K6" s="145"/>
      <c r="L6" s="147"/>
    </row>
    <row r="7" spans="1:12" s="2" customFormat="1" ht="15" customHeight="1">
      <c r="A7" s="12">
        <v>2</v>
      </c>
      <c r="B7" s="10" t="str">
        <f>LIDER!E44</f>
        <v>MARÍA ANGÉLICA LARA MAURY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3.66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DILAN ANDRES PEREZ ALVAREZ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3.66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96</v>
      </c>
      <c r="C12" s="88" t="s">
        <v>97</v>
      </c>
      <c r="D12" s="32" t="str">
        <f>D5</f>
        <v>LIST</v>
      </c>
      <c r="E12" s="89" t="s">
        <v>95</v>
      </c>
      <c r="F12" s="142" t="str">
        <f>LIDER!$E$30</f>
        <v>GRUPO#2: Estudio de mercado a partir de la Oportunidad de Negocio para la Implementación de un Probador Virtual e Interactivo 3D en el Sector E-Commerce de Moda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MERLIN YAMAL SMITH FLOREZ GONZALEZ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3.33</v>
      </c>
      <c r="F13" s="143">
        <v>3.3</v>
      </c>
      <c r="G13" s="145">
        <v>3.3</v>
      </c>
      <c r="H13" s="147">
        <v>4</v>
      </c>
      <c r="I13" s="145">
        <v>2.5</v>
      </c>
      <c r="J13" s="147">
        <v>3.1</v>
      </c>
      <c r="K13" s="145"/>
      <c r="L13" s="147"/>
    </row>
    <row r="14" spans="1:12" s="2" customFormat="1" ht="15" customHeight="1">
      <c r="A14" s="12">
        <v>2</v>
      </c>
      <c r="B14" s="10" t="str">
        <f>LIDER!F44</f>
        <v>NELCY CAROLINA MEZA PÉREZ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3.33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MIGUEL MATEO PEREZ JIMENEZ</v>
      </c>
      <c r="C15" s="90" t="str">
        <f t="shared" si="1"/>
        <v>G02</v>
      </c>
      <c r="D15" s="96" t="s">
        <v>112</v>
      </c>
      <c r="E15" s="11" t="str">
        <f>IF(B15=0,0,IF(D15="",$F$13*LIDER!$H$9+$G$13*LIDER!$H$10+$H$13*LIDER!$H$11+$I$13*LIDER!$H$12+$J$13*LIDER!$H$13+$K$13*LIDER!$H$14+$L$13*LIDER!$H$15,"N"))</f>
        <v>N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EDWIN JAVIER ROJANO ZÚÑIGA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3.33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Danna Alejandra Castro Espinosa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3.33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98</v>
      </c>
      <c r="C19" s="88" t="s">
        <v>99</v>
      </c>
      <c r="D19" s="32" t="str">
        <f>D12</f>
        <v>LIST</v>
      </c>
      <c r="E19" s="89" t="s">
        <v>95</v>
      </c>
      <c r="F19" s="142" t="str">
        <f>LIDER!$E$31</f>
        <v>GRUPO#3: TINTO SKIN, OPORTUNIDAD DE NEGOCIOS EN TRES MERCADOS:  ECUADOR, PERÚ, EE.UU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MIGUEL ANTONIO BARON REVOLLO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3.35</v>
      </c>
      <c r="F20" s="143">
        <v>2.5</v>
      </c>
      <c r="G20" s="145">
        <v>3.5</v>
      </c>
      <c r="H20" s="147">
        <v>3.5</v>
      </c>
      <c r="I20" s="145">
        <v>3.5</v>
      </c>
      <c r="J20" s="147">
        <v>4</v>
      </c>
      <c r="K20" s="145"/>
      <c r="L20" s="147"/>
    </row>
    <row r="21" spans="1:12" s="2" customFormat="1" ht="15" customHeight="1">
      <c r="A21" s="12">
        <v>2</v>
      </c>
      <c r="B21" s="10" t="str">
        <f>LIDER!G44</f>
        <v>MATTHIAS MATTHIAS CAMPO PASSO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3.35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VALERY GARCÍA REYES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3.35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JUAN DAVID LOPEZ VIDES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3.35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 t="str">
        <f>LIDER!G47</f>
        <v>ALEJANDRA MORENO VILLALOBO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3.35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100</v>
      </c>
      <c r="C26" s="88" t="s">
        <v>101</v>
      </c>
      <c r="D26" s="32" t="str">
        <f>D19</f>
        <v>LIST</v>
      </c>
      <c r="E26" s="89" t="s">
        <v>95</v>
      </c>
      <c r="F26" s="142" t="str">
        <f>LIDER!$E$32</f>
        <v xml:space="preserve">GRUPO#4: IDENTIFICACIÓN DE UNA OPORTUNIDAD DE NEGOCIO PARA LA COMERCIALIZACIÓN DE ROPA DEPORTIVA DE LA MARCA ARVIA EN LOS MERCADOS POTENCIALES DE COSTA RICA, GUATEMALA, HONDURAS.
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DONICEL DE JESUS BUENDIA CAÑATE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3.3600000000000003</v>
      </c>
      <c r="F27" s="143">
        <v>3.3</v>
      </c>
      <c r="G27" s="145">
        <v>3.5</v>
      </c>
      <c r="H27" s="147">
        <v>3.5</v>
      </c>
      <c r="I27" s="145">
        <v>3</v>
      </c>
      <c r="J27" s="147">
        <v>3.5</v>
      </c>
      <c r="K27" s="145"/>
      <c r="L27" s="147"/>
    </row>
    <row r="28" spans="1:12" s="2" customFormat="1" ht="15" customHeight="1">
      <c r="A28" s="12">
        <v>2</v>
      </c>
      <c r="B28" s="10" t="str">
        <f>LIDER!H44</f>
        <v>MARLON MANUEL CONTRERAS MARTÍNEZ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3.3600000000000003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ALANA ARAI DAVILA GONZALEZ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3.3600000000000003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MATEO DE JESUS MARRUGO CORREA</v>
      </c>
      <c r="C30" s="90" t="str">
        <f t="shared" si="3"/>
        <v>G04</v>
      </c>
      <c r="D30" s="96" t="s">
        <v>112</v>
      </c>
      <c r="E30" s="11" t="str">
        <f>IF(B30=0,0,IF(D30="",$F$27*LIDER!$H$9+$G$27*LIDER!$H$10+$H$27*LIDER!$H$11+$I$27*LIDER!$H$12+$J$27*LIDER!$H$13+$K$27*LIDER!$H$14+$L$27*LIDER!$H$15,"N"))</f>
        <v>N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FRANCISCO JAVIER PALMERA MARTINEZ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3.3600000000000003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 t="str">
        <f>LIDER!H48</f>
        <v>JUAN ESTEBAN ZEA NAVARRO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3.3600000000000003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102</v>
      </c>
      <c r="C33" s="88" t="s">
        <v>103</v>
      </c>
      <c r="D33" s="32" t="str">
        <f>D26</f>
        <v>LIST</v>
      </c>
      <c r="E33" s="89" t="s">
        <v>95</v>
      </c>
      <c r="F33" s="142" t="str">
        <f>LIDER!$E$33</f>
        <v xml:space="preserve">GRUPO#5: Análisis de Oportunidades para la Internacionalización de un Servicio de Beauty Tech B2B en  México, Ecuador y Estados Unidos. 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JEREMY MACOLL DIAZ PEREZ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3.9000000000000004</v>
      </c>
      <c r="F34" s="143">
        <v>3.5</v>
      </c>
      <c r="G34" s="145">
        <v>4</v>
      </c>
      <c r="H34" s="147">
        <v>4</v>
      </c>
      <c r="I34" s="145">
        <v>3.5</v>
      </c>
      <c r="J34" s="147">
        <v>5</v>
      </c>
      <c r="K34" s="145"/>
      <c r="L34" s="147"/>
    </row>
    <row r="35" spans="1:12" s="2" customFormat="1" ht="15" customHeight="1">
      <c r="A35" s="12">
        <v>2</v>
      </c>
      <c r="B35" s="10" t="str">
        <f>LIDER!E52</f>
        <v>SARA OYOLA MARTINEZ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3.9000000000000004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DARIANY PEÑARANDA LLACH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3.9000000000000004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MARIANGEL ROMERO VANEGAS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3.9000000000000004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ISAIAS FERNANDO SALCEDO CAICEDO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3.9000000000000004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104</v>
      </c>
      <c r="C40" s="88" t="s">
        <v>105</v>
      </c>
      <c r="D40" s="32" t="str">
        <f>D33</f>
        <v>LIST</v>
      </c>
      <c r="E40" s="89" t="s">
        <v>95</v>
      </c>
      <c r="F40" s="142" t="str">
        <f>LIDER!$E$34</f>
        <v xml:space="preserve">GRUPO#6: ¿CÓMO IDENTIFICAR UNA OPORTUNIDAD DE NEGOCIO PARA TROPISNACK MEDIANTE EL ANALISIS DE MERCADOS POTENCIALES COMO ESPAÑA, CHILE &amp; ESTADOS UNIDOS? 
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LUCINDA GARCIA CASTRO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4.0599999999999996</v>
      </c>
      <c r="F41" s="143">
        <v>3.8</v>
      </c>
      <c r="G41" s="145">
        <v>4</v>
      </c>
      <c r="H41" s="147">
        <v>4</v>
      </c>
      <c r="I41" s="145">
        <v>4</v>
      </c>
      <c r="J41" s="147">
        <v>5</v>
      </c>
      <c r="K41" s="145"/>
      <c r="L41" s="147"/>
    </row>
    <row r="42" spans="1:12" s="2" customFormat="1" ht="15" customHeight="1">
      <c r="A42" s="12">
        <v>2</v>
      </c>
      <c r="B42" s="10" t="str">
        <f>LIDER!F52</f>
        <v>CARLOS JULIO LOPEZ ALEMAN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4.0599999999999996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 t="str">
        <f>LIDER!F53</f>
        <v>LAURA SOFÍA PÉREZ ARÉVALO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4.0599999999999996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 t="str">
        <f>LIDER!F54</f>
        <v>DYLAN ANDRES RANGEL LOPEZ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4.0599999999999996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 t="str">
        <f>LIDER!F55</f>
        <v>SANTIAGO TANGARIFE PONCE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4.0599999999999996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82</v>
      </c>
      <c r="C47" s="88" t="s">
        <v>106</v>
      </c>
      <c r="D47" s="32" t="str">
        <f>D40</f>
        <v>LIST</v>
      </c>
      <c r="E47" s="89" t="s">
        <v>95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84</v>
      </c>
      <c r="C54" s="88" t="s">
        <v>107</v>
      </c>
      <c r="D54" s="32" t="str">
        <f>D47</f>
        <v>LIST</v>
      </c>
      <c r="E54" s="89" t="s">
        <v>95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86</v>
      </c>
      <c r="C61" s="88" t="s">
        <v>108</v>
      </c>
      <c r="D61" s="32" t="str">
        <f>D54</f>
        <v>LIST</v>
      </c>
      <c r="E61" s="89" t="s">
        <v>95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87</v>
      </c>
      <c r="C68" s="88" t="s">
        <v>109</v>
      </c>
      <c r="D68" s="32" t="str">
        <f>D61</f>
        <v>LIST</v>
      </c>
      <c r="E68" s="89" t="s">
        <v>95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88</v>
      </c>
      <c r="C75" s="88" t="s">
        <v>110</v>
      </c>
      <c r="D75" s="32" t="str">
        <f>D68</f>
        <v>LIST</v>
      </c>
      <c r="E75" s="89" t="s">
        <v>95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89</v>
      </c>
      <c r="C82" s="88" t="s">
        <v>111</v>
      </c>
      <c r="D82" s="32" t="str">
        <f>D75</f>
        <v>LIST</v>
      </c>
      <c r="E82" s="89" t="s">
        <v>95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>
        <f>LIDER!I4</f>
        <v>0</v>
      </c>
      <c r="C2" s="82"/>
      <c r="D2" s="3"/>
      <c r="F2" s="152" t="s">
        <v>90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91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CONCATENATE(LIDER!I4," - ",LIDER!I6," - ",LIDER!I5)</f>
        <v xml:space="preserve"> -  - 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92</v>
      </c>
      <c r="C5" s="88" t="s">
        <v>93</v>
      </c>
      <c r="D5" s="32" t="s">
        <v>94</v>
      </c>
      <c r="E5" s="89" t="s">
        <v>95</v>
      </c>
      <c r="F5" s="142" t="str">
        <f>LIDER!$E$29</f>
        <v xml:space="preserve">GRUPO#1: ANÁLISIS DE OPORTUNIDADES PARA UNA PLATAFORMA DIGITAL DE ACOMPAÑAMIENTO A LA INTERNACIONALIZACIÓN DE PYMES COLOMBIANAS EN ESPAÑA, CHILE Y MÉXICO.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ISABELLA FONTALVO RODRIGUEZ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43"/>
      <c r="G6" s="145"/>
      <c r="H6" s="147"/>
      <c r="I6" s="145"/>
      <c r="J6" s="147"/>
      <c r="K6" s="145"/>
      <c r="L6" s="147"/>
    </row>
    <row r="7" spans="1:12" s="2" customFormat="1" ht="15" customHeight="1">
      <c r="A7" s="12">
        <v>2</v>
      </c>
      <c r="B7" s="10" t="str">
        <f>LIDER!E44</f>
        <v>MARÍA ANGÉLICA LARA MAURY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DILAN ANDRES PEREZ ALVAREZ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96</v>
      </c>
      <c r="C12" s="88" t="s">
        <v>97</v>
      </c>
      <c r="D12" s="32" t="str">
        <f>D5</f>
        <v>LIST</v>
      </c>
      <c r="E12" s="89" t="s">
        <v>95</v>
      </c>
      <c r="F12" s="142" t="str">
        <f>LIDER!$E$30</f>
        <v>GRUPO#2: Estudio de mercado a partir de la Oportunidad de Negocio para la Implementación de un Probador Virtual e Interactivo 3D en el Sector E-Commerce de Moda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MERLIN YAMAL SMITH FLOREZ GONZALEZ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43"/>
      <c r="G13" s="145"/>
      <c r="H13" s="147"/>
      <c r="I13" s="145"/>
      <c r="J13" s="147"/>
      <c r="K13" s="145"/>
      <c r="L13" s="147"/>
    </row>
    <row r="14" spans="1:12" s="2" customFormat="1" ht="15" customHeight="1">
      <c r="A14" s="12">
        <v>2</v>
      </c>
      <c r="B14" s="10" t="str">
        <f>LIDER!F44</f>
        <v>NELCY CAROLINA MEZA PÉREZ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MIGUEL MATEO PEREZ JIMENEZ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EDWIN JAVIER ROJANO ZÚÑIGA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Danna Alejandra Castro Espinosa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98</v>
      </c>
      <c r="C19" s="88" t="s">
        <v>99</v>
      </c>
      <c r="D19" s="32" t="str">
        <f>D12</f>
        <v>LIST</v>
      </c>
      <c r="E19" s="89" t="s">
        <v>95</v>
      </c>
      <c r="F19" s="142" t="str">
        <f>LIDER!$E$31</f>
        <v>GRUPO#3: TINTO SKIN, OPORTUNIDAD DE NEGOCIOS EN TRES MERCADOS:  ECUADOR, PERÚ, EE.UU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MIGUEL ANTONIO BARON REVOLLO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43"/>
      <c r="G20" s="145"/>
      <c r="H20" s="147"/>
      <c r="I20" s="145"/>
      <c r="J20" s="147"/>
      <c r="K20" s="145"/>
      <c r="L20" s="147"/>
    </row>
    <row r="21" spans="1:12" s="2" customFormat="1" ht="15" customHeight="1">
      <c r="A21" s="12">
        <v>2</v>
      </c>
      <c r="B21" s="10" t="str">
        <f>LIDER!G44</f>
        <v>MATTHIAS MATTHIAS CAMPO PASSO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VALERY GARCÍA REYES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JUAN DAVID LOPEZ VIDES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 t="str">
        <f>LIDER!G47</f>
        <v>ALEJANDRA MORENO VILLALOBO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100</v>
      </c>
      <c r="C26" s="88" t="s">
        <v>101</v>
      </c>
      <c r="D26" s="32" t="str">
        <f>D19</f>
        <v>LIST</v>
      </c>
      <c r="E26" s="89" t="s">
        <v>95</v>
      </c>
      <c r="F26" s="142" t="str">
        <f>LIDER!$E$32</f>
        <v xml:space="preserve">GRUPO#4: IDENTIFICACIÓN DE UNA OPORTUNIDAD DE NEGOCIO PARA LA COMERCIALIZACIÓN DE ROPA DEPORTIVA DE LA MARCA ARVIA EN LOS MERCADOS POTENCIALES DE COSTA RICA, GUATEMALA, HONDURAS.
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DONICEL DE JESUS BUENDIA CAÑATE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5"/>
      <c r="H27" s="147"/>
      <c r="I27" s="145"/>
      <c r="J27" s="147"/>
      <c r="K27" s="145"/>
      <c r="L27" s="147"/>
    </row>
    <row r="28" spans="1:12" s="2" customFormat="1" ht="15" customHeight="1">
      <c r="A28" s="12">
        <v>2</v>
      </c>
      <c r="B28" s="10" t="str">
        <f>LIDER!H44</f>
        <v>MARLON MANUEL CONTRERAS MARTÍNEZ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ALANA ARAI DAVILA GONZALEZ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MATEO DE JESUS MARRUGO CORREA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FRANCISCO JAVIER PALMERA MARTINEZ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 t="str">
        <f>LIDER!H48</f>
        <v>JUAN ESTEBAN ZEA NAVARRO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102</v>
      </c>
      <c r="C33" s="88" t="s">
        <v>103</v>
      </c>
      <c r="D33" s="32" t="str">
        <f>D26</f>
        <v>LIST</v>
      </c>
      <c r="E33" s="89" t="s">
        <v>95</v>
      </c>
      <c r="F33" s="142" t="str">
        <f>LIDER!$E$33</f>
        <v xml:space="preserve">GRUPO#5: Análisis de Oportunidades para la Internacionalización de un Servicio de Beauty Tech B2B en  México, Ecuador y Estados Unidos. 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JEREMY MACOLL DIAZ PEREZ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5"/>
      <c r="H34" s="147"/>
      <c r="I34" s="145"/>
      <c r="J34" s="147"/>
      <c r="K34" s="145"/>
      <c r="L34" s="147"/>
    </row>
    <row r="35" spans="1:12" s="2" customFormat="1" ht="15" customHeight="1">
      <c r="A35" s="12">
        <v>2</v>
      </c>
      <c r="B35" s="10" t="str">
        <f>LIDER!E52</f>
        <v>SARA OYOLA MARTINEZ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DARIANY PEÑARANDA LLACH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MARIANGEL ROMERO VANEGAS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ISAIAS FERNANDO SALCEDO CAICEDO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104</v>
      </c>
      <c r="C40" s="88" t="s">
        <v>105</v>
      </c>
      <c r="D40" s="32" t="str">
        <f>D33</f>
        <v>LIST</v>
      </c>
      <c r="E40" s="89" t="s">
        <v>95</v>
      </c>
      <c r="F40" s="142" t="str">
        <f>LIDER!$E$34</f>
        <v xml:space="preserve">GRUPO#6: ¿CÓMO IDENTIFICAR UNA OPORTUNIDAD DE NEGOCIO PARA TROPISNACK MEDIANTE EL ANALISIS DE MERCADOS POTENCIALES COMO ESPAÑA, CHILE &amp; ESTADOS UNIDOS? 
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LUCINDA GARCIA CASTRO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5"/>
      <c r="H41" s="147"/>
      <c r="I41" s="145"/>
      <c r="J41" s="147"/>
      <c r="K41" s="145"/>
      <c r="L41" s="147"/>
    </row>
    <row r="42" spans="1:12" s="2" customFormat="1" ht="15" customHeight="1">
      <c r="A42" s="12">
        <v>2</v>
      </c>
      <c r="B42" s="10" t="str">
        <f>LIDER!F52</f>
        <v>CARLOS JULIO LOPEZ ALEMAN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 t="str">
        <f>LIDER!F53</f>
        <v>LAURA SOFÍA PÉREZ ARÉVALO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 t="str">
        <f>LIDER!F54</f>
        <v>DYLAN ANDRES RANGEL LOPEZ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 t="str">
        <f>LIDER!F55</f>
        <v>SANTIAGO TANGARIFE PONCE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82</v>
      </c>
      <c r="C47" s="88" t="s">
        <v>106</v>
      </c>
      <c r="D47" s="32" t="str">
        <f>D40</f>
        <v>LIST</v>
      </c>
      <c r="E47" s="89" t="s">
        <v>95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84</v>
      </c>
      <c r="C54" s="88" t="s">
        <v>107</v>
      </c>
      <c r="D54" s="32" t="str">
        <f>D47</f>
        <v>LIST</v>
      </c>
      <c r="E54" s="89" t="s">
        <v>95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86</v>
      </c>
      <c r="C61" s="88" t="s">
        <v>108</v>
      </c>
      <c r="D61" s="32" t="str">
        <f>D54</f>
        <v>LIST</v>
      </c>
      <c r="E61" s="89" t="s">
        <v>95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87</v>
      </c>
      <c r="C68" s="88" t="s">
        <v>109</v>
      </c>
      <c r="D68" s="32" t="str">
        <f>D61</f>
        <v>LIST</v>
      </c>
      <c r="E68" s="89" t="s">
        <v>95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88</v>
      </c>
      <c r="C75" s="88" t="s">
        <v>110</v>
      </c>
      <c r="D75" s="32" t="str">
        <f>D68</f>
        <v>LIST</v>
      </c>
      <c r="E75" s="89" t="s">
        <v>95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89</v>
      </c>
      <c r="C82" s="88" t="s">
        <v>111</v>
      </c>
      <c r="D82" s="32" t="str">
        <f>D75</f>
        <v>LIST</v>
      </c>
      <c r="E82" s="89" t="s">
        <v>95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LIDER!C4</f>
        <v>ESTADÍSTICA</v>
      </c>
      <c r="C2" s="3"/>
      <c r="E2" s="204" t="s">
        <v>90</v>
      </c>
      <c r="F2" s="205"/>
      <c r="G2" s="205"/>
      <c r="H2" s="205"/>
      <c r="I2" s="205"/>
      <c r="J2" s="205"/>
      <c r="K2" s="206"/>
    </row>
    <row r="3" spans="1:11" s="2" customFormat="1" ht="145.5" customHeight="1" thickBot="1">
      <c r="B3" s="4" t="s">
        <v>91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9" t="str">
        <f>CONCATENATE(LIDER!C4," - ",LIDER!C6," - ",LIDER!C5)</f>
        <v>ESTADÍSTICA - 1796 - OSVALDO ALCIDE BLANQUICET LOZANO</v>
      </c>
      <c r="F4" s="210"/>
      <c r="G4" s="210"/>
      <c r="H4" s="210"/>
      <c r="I4" s="210"/>
      <c r="J4" s="210"/>
      <c r="K4" s="211"/>
    </row>
    <row r="5" spans="1:11" s="2" customFormat="1" ht="15.75" customHeight="1" thickBot="1">
      <c r="A5" s="8"/>
      <c r="B5" s="27" t="s">
        <v>92</v>
      </c>
      <c r="C5" s="32" t="str">
        <f>IF('S-ASIG-01'!D5="","",'S-ASIG-01'!D5)</f>
        <v>LIST</v>
      </c>
      <c r="D5" s="35" t="s">
        <v>95</v>
      </c>
      <c r="E5" s="207" t="str">
        <f>LIDER!$E$29</f>
        <v xml:space="preserve">GRUPO#1: ANÁLISIS DE OPORTUNIDADES PARA UNA PLATAFORMA DIGITAL DE ACOMPAÑAMIENTO A LA INTERNACIONALIZACIÓN DE PYMES COLOMBIANAS EN ESPAÑA, CHILE Y MÉXICO.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ISABELLA FONTALVO RODRIGUEZ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03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MARÍA ANGÉLICA LARA MAURY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03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DILAN ANDRES PEREZ ALVAREZ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03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IF('S-ASIG-01'!D9="","",'S-ASIG-01'!D9)</f>
        <v/>
      </c>
      <c r="D9" s="30" t="str">
        <f>IF(B9=0,"",IF(C9="",$E$6*LIDER!$H$19+F9*LIDER!$H$20+G9*LIDER!$H$21+H9*LIDER!$H$22+I9*LIDER!$H$23+J9*LIDER!$H$24+K9*LIDER!$H$25,"N"))</f>
        <v/>
      </c>
      <c r="E9" s="203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IF('S-ASIG-01'!D10="","",'S-ASIG-01'!D10)</f>
        <v/>
      </c>
      <c r="D10" s="30" t="str">
        <f>IF(B10=0,"",IF(C10="",$E$6*LIDER!$H$19+F10*LIDER!$H$20+G10*LIDER!$H$21+H10*LIDER!$H$22+I10*LIDER!$H$23+J10*LIDER!$H$24+K10*LIDER!$H$25,"N"))</f>
        <v/>
      </c>
      <c r="E10" s="203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3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96</v>
      </c>
      <c r="C12" s="32" t="str">
        <f>IF('S-ASIG-01'!D12="","",'S-ASIG-01'!D12)</f>
        <v>LIST</v>
      </c>
      <c r="D12" s="35" t="s">
        <v>95</v>
      </c>
      <c r="E12" s="207" t="str">
        <f>LIDER!$E$30</f>
        <v>GRUPO#2: Estudio de mercado a partir de la Oportunidad de Negocio para la Implementación de un Probador Virtual e Interactivo 3D en el Sector E-Commerce de Moda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MERLIN YAMAL SMITH FLOREZ GONZALEZ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03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NELCY CAROLINA MEZA PÉREZ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03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MIGUEL MATEO PEREZ JIMENEZ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03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EDWIN JAVIER ROJANO ZÚÑIGA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0</v>
      </c>
      <c r="E16" s="203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Danna Alejandra Castro Espinosa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0</v>
      </c>
      <c r="E17" s="203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3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98</v>
      </c>
      <c r="C19" s="32" t="str">
        <f>IF('S-ASIG-01'!D19="","",'S-ASIG-01'!D19)</f>
        <v>LIST</v>
      </c>
      <c r="D19" s="35" t="s">
        <v>95</v>
      </c>
      <c r="E19" s="207" t="str">
        <f>LIDER!$E$31</f>
        <v>GRUPO#3: TINTO SKIN, OPORTUNIDAD DE NEGOCIOS EN TRES MERCADOS:  ECUADOR, PERÚ, EE.UU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MIGUEL ANTONIO BARON REVOLLO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03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MATTHIAS MATTHIAS CAMPO PASSO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03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VALERY GARCÍA REYES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03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JUAN DAVID LOPEZ VIDES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0</v>
      </c>
      <c r="E23" s="203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ALEJANDRA MORENO VILLALOBO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0</v>
      </c>
      <c r="E24" s="203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3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100</v>
      </c>
      <c r="C26" s="32" t="str">
        <f>IF('S-ASIG-01'!D26="","",'S-ASIG-01'!D26)</f>
        <v>LIST</v>
      </c>
      <c r="D26" s="35" t="s">
        <v>95</v>
      </c>
      <c r="E26" s="207" t="str">
        <f>LIDER!$E$32</f>
        <v xml:space="preserve">GRUPO#4: IDENTIFICACIÓN DE UNA OPORTUNIDAD DE NEGOCIO PARA LA COMERCIALIZACIÓN DE ROPA DEPORTIVA DE LA MARCA ARVIA EN LOS MERCADOS POTENCIALES DE COSTA RICA, GUATEMALA, HONDURAS.
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DONICEL DE JESUS BUENDIA CAÑATE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0</v>
      </c>
      <c r="E27" s="203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MARLON MANUEL CONTRERAS MARTÍNEZ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0</v>
      </c>
      <c r="E28" s="203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ALANA ARAI DAVILA GONZALEZ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0</v>
      </c>
      <c r="E29" s="203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MATEO DE JESUS MARRUGO CORREA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0</v>
      </c>
      <c r="E30" s="203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FRANCISCO JAVIER PALMERA MARTINEZ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0</v>
      </c>
      <c r="E31" s="203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JUAN ESTEBAN ZEA NAVARRO</v>
      </c>
      <c r="C32" s="33" t="str">
        <f>IF('S-ASIG-01'!D32="","",'S-ASIG-01'!D32)</f>
        <v/>
      </c>
      <c r="D32" s="30">
        <f>IF(B32=0,"",IF(C32="",$E$27*LIDER!$H$19+F32*LIDER!$H$20+G32*LIDER!$H$21+H32*LIDER!$H$22+I32*LIDER!$H$23+J32*LIDER!$H$24+K32*LIDER!$H$25,"N"))</f>
        <v>0</v>
      </c>
      <c r="E32" s="203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102</v>
      </c>
      <c r="C33" s="32" t="str">
        <f>IF('S-ASIG-01'!D33="","",'S-ASIG-01'!D33)</f>
        <v>LIST</v>
      </c>
      <c r="D33" s="35" t="s">
        <v>95</v>
      </c>
      <c r="E33" s="207" t="str">
        <f>LIDER!$E$33</f>
        <v xml:space="preserve">GRUPO#5: Análisis de Oportunidades para la Internacionalización de un Servicio de Beauty Tech B2B en  México, Ecuador y Estados Unidos. 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JEREMY MACOLL DIAZ PEREZ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0</v>
      </c>
      <c r="E34" s="203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SARA OYOLA MARTINEZ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0</v>
      </c>
      <c r="E35" s="203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DARIANY PEÑARANDA LLACH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0</v>
      </c>
      <c r="E36" s="203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MARIANGEL ROMERO VANEGAS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0</v>
      </c>
      <c r="E37" s="203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ISAIAS FERNANDO SALCEDO CAICEDO</v>
      </c>
      <c r="C38" s="33" t="str">
        <f>IF('S-ASIG-01'!D38="","",'S-ASIG-01'!D38)</f>
        <v/>
      </c>
      <c r="D38" s="30">
        <f>IF(B38=0,"",IF(C38="",$E$34*LIDER!$H$19+F38*LIDER!$H$20+G38*LIDER!$H$21+H38*LIDER!$H$22+I38*LIDER!$H$23+J38*LIDER!$H$24+K38*LIDER!$H$25,"N"))</f>
        <v>0</v>
      </c>
      <c r="E38" s="203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3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104</v>
      </c>
      <c r="C40" s="32" t="str">
        <f>IF('S-ASIG-01'!D40="","",'S-ASIG-01'!D40)</f>
        <v>LIST</v>
      </c>
      <c r="D40" s="35" t="s">
        <v>95</v>
      </c>
      <c r="E40" s="207" t="str">
        <f>LIDER!$E$34</f>
        <v xml:space="preserve">GRUPO#6: ¿CÓMO IDENTIFICAR UNA OPORTUNIDAD DE NEGOCIO PARA TROPISNACK MEDIANTE EL ANALISIS DE MERCADOS POTENCIALES COMO ESPAÑA, CHILE &amp; ESTADOS UNIDOS? 
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LUCINDA GARCIA CASTRO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0</v>
      </c>
      <c r="E41" s="203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CARLOS JULIO LOPEZ ALEMAN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0</v>
      </c>
      <c r="E42" s="203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LAURA SOFÍA PÉREZ ARÉVALO</v>
      </c>
      <c r="C43" s="33" t="str">
        <f>IF('S-ASIG-01'!D43="","",'S-ASIG-01'!D43)</f>
        <v/>
      </c>
      <c r="D43" s="30">
        <f>IF(B43=0,"",IF(C43="",$E$41*LIDER!$H$19+F43*LIDER!$H$20+G43*LIDER!$H$21+H43*LIDER!$H$22+I43*LIDER!$H$23+J43*LIDER!$H$24+K43*LIDER!$H$25,"N"))</f>
        <v>0</v>
      </c>
      <c r="E43" s="203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DYLAN ANDRES RANGEL LOPEZ</v>
      </c>
      <c r="C44" s="33" t="str">
        <f>IF('S-ASIG-01'!D44="","",'S-ASIG-01'!D44)</f>
        <v/>
      </c>
      <c r="D44" s="30">
        <f>IF(B44=0,"",IF(C44="",$E$41*LIDER!$H$19+F44*LIDER!$H$20+G44*LIDER!$H$21+H44*LIDER!$H$22+I44*LIDER!$H$23+J44*LIDER!$H$24+K44*LIDER!$H$25,"N"))</f>
        <v>0</v>
      </c>
      <c r="E44" s="203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SANTIAGO TANGARIFE PONCE</v>
      </c>
      <c r="C45" s="33" t="str">
        <f>IF('S-ASIG-01'!D45="","",'S-ASIG-01'!D45)</f>
        <v/>
      </c>
      <c r="D45" s="30">
        <f>IF(B45=0,"",IF(C45="",$E$41*LIDER!$H$19+F45*LIDER!$H$20+G45*LIDER!$H$21+H45*LIDER!$H$22+I45*LIDER!$H$23+J45*LIDER!$H$24+K45*LIDER!$H$25,"N"))</f>
        <v>0</v>
      </c>
      <c r="E45" s="203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3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IF('S-ASIG-01'!D47="","",'S-ASIG-01'!D47)</f>
        <v>LIST</v>
      </c>
      <c r="D47" s="35" t="s">
        <v>95</v>
      </c>
      <c r="E47" s="207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03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03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03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03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3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3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IF('S-ASIG-01'!D54="","",'S-ASIG-01'!D54)</f>
        <v>LIST</v>
      </c>
      <c r="D54" s="35" t="s">
        <v>95</v>
      </c>
      <c r="E54" s="207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03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03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03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3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3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3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IF('S-ASIG-01'!D61="","",'S-ASIG-01'!D61)</f>
        <v>LIST</v>
      </c>
      <c r="D61" s="35" t="s">
        <v>95</v>
      </c>
      <c r="E61" s="207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3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3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3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3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3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3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87</v>
      </c>
      <c r="C68" s="32" t="str">
        <f>IF('S-ASIG-01'!D68="","",'S-ASIG-01'!D68)</f>
        <v>LIST</v>
      </c>
      <c r="D68" s="35" t="s">
        <v>95</v>
      </c>
      <c r="E68" s="207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3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3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3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3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3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3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IF('S-ASIG-01'!D75="","",'S-ASIG-01'!D75)</f>
        <v>LIST</v>
      </c>
      <c r="D75" s="35" t="s">
        <v>95</v>
      </c>
      <c r="E75" s="207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3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3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3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3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3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3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89</v>
      </c>
      <c r="C82" s="32" t="str">
        <f>IF('S-ASIG-01'!D82="","",'S-ASIG-01'!D82)</f>
        <v>LIST</v>
      </c>
      <c r="D82" s="35" t="s">
        <v>95</v>
      </c>
      <c r="E82" s="207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3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3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3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3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3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8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LIDER!D4</f>
        <v>ETICA</v>
      </c>
      <c r="C2" s="3"/>
      <c r="E2" s="204" t="s">
        <v>90</v>
      </c>
      <c r="F2" s="205"/>
      <c r="G2" s="205"/>
      <c r="H2" s="205"/>
      <c r="I2" s="205"/>
      <c r="J2" s="205"/>
      <c r="K2" s="206"/>
    </row>
    <row r="3" spans="1:11" s="2" customFormat="1" ht="145.5" customHeight="1" thickBot="1">
      <c r="B3" s="4" t="s">
        <v>91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9" t="str">
        <f>CONCATENATE(LIDER!D4," - ",LIDER!D6," - ",LIDER!D5)</f>
        <v>ETICA - 2263 - LEIDY ENID QUINTERO SÁNCHEZ</v>
      </c>
      <c r="F4" s="210"/>
      <c r="G4" s="210"/>
      <c r="H4" s="210"/>
      <c r="I4" s="210"/>
      <c r="J4" s="210"/>
      <c r="K4" s="211"/>
    </row>
    <row r="5" spans="1:11" s="2" customFormat="1" ht="15.75" customHeight="1" thickBot="1">
      <c r="A5" s="8"/>
      <c r="B5" s="27" t="s">
        <v>92</v>
      </c>
      <c r="C5" s="34" t="str">
        <f>IF('S-ASIG-02'!D5="","",'S-ASIG-02'!D5)</f>
        <v>LIST</v>
      </c>
      <c r="D5" s="35" t="s">
        <v>95</v>
      </c>
      <c r="E5" s="142" t="str">
        <f>LIDER!$E$29</f>
        <v xml:space="preserve">GRUPO#1: ANÁLISIS DE OPORTUNIDADES PARA UNA PLATAFORMA DIGITAL DE ACOMPAÑAMIENTO A LA INTERNACIONALIZACIÓN DE PYMES COLOMBIANAS EN ESPAÑA, CHILE Y MÉXICO.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ISABELLA FONTALVO RODRIGUEZ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MARÍA ANGÉLICA LARA MAURY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DILAN ANDRES PEREZ ALVAREZ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IF('S-ASIG-02'!D9="","",'S-ASIG-02'!D9)</f>
        <v/>
      </c>
      <c r="D9" s="30" t="str">
        <f>IF(B9=0,"",IF(C9="",$E$6*LIDER!$H$19+F9*LIDER!$H$20+G9*LIDER!$H$21+H9*LIDER!$H$22+I9*LIDER!$H$23+J9*LIDER!$H$24+K9*LIDER!$H$25,"N"))</f>
        <v/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IF('S-ASIG-02'!D10="","",'S-ASIG-02'!D10)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96</v>
      </c>
      <c r="C12" s="32" t="str">
        <f>IF('S-ASIG-02'!D12="","",'S-ASIG-02'!D12)</f>
        <v>LIST</v>
      </c>
      <c r="D12" s="35" t="s">
        <v>95</v>
      </c>
      <c r="E12" s="142" t="str">
        <f>LIDER!$E$30</f>
        <v>GRUPO#2: Estudio de mercado a partir de la Oportunidad de Negocio para la Implementación de un Probador Virtual e Interactivo 3D en el Sector E-Commerce de Moda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MERLIN YAMAL SMITH FLOREZ GONZALEZ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NELCY CAROLINA MEZA PÉREZ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MIGUEL MATEO PEREZ JIMENEZ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EDWIN JAVIER ROJANO ZÚÑIGA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Danna Alejandra Castro Espinosa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98</v>
      </c>
      <c r="C19" s="32" t="str">
        <f>IF('S-ASIG-02'!D19="","",'S-ASIG-02'!D19)</f>
        <v>LIST</v>
      </c>
      <c r="D19" s="35" t="s">
        <v>95</v>
      </c>
      <c r="E19" s="142" t="str">
        <f>LIDER!$E$31</f>
        <v>GRUPO#3: TINTO SKIN, OPORTUNIDAD DE NEGOCIOS EN TRES MERCADOS:  ECUADOR, PERÚ, EE.UU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MIGUEL ANTONIO BARON REVOLLO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MATTHIAS MATTHIAS CAMPO PASSO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VALERY GARCÍA REYES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JUAN DAVID LOPEZ VIDES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ALEJANDRA MORENO VILLALOBO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0</v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100</v>
      </c>
      <c r="C26" s="32" t="str">
        <f>IF('S-ASIG-02'!D26="","",'S-ASIG-02'!D26)</f>
        <v>LIST</v>
      </c>
      <c r="D26" s="35" t="s">
        <v>95</v>
      </c>
      <c r="E26" s="142" t="str">
        <f>LIDER!$E$32</f>
        <v xml:space="preserve">GRUPO#4: IDENTIFICACIÓN DE UNA OPORTUNIDAD DE NEGOCIO PARA LA COMERCIALIZACIÓN DE ROPA DEPORTIVA DE LA MARCA ARVIA EN LOS MERCADOS POTENCIALES DE COSTA RICA, GUATEMALA, HONDURAS.
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DONICEL DE JESUS BUENDIA CAÑATE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MARLON MANUEL CONTRERAS MARTÍNEZ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ALANA ARAI DAVILA GONZALEZ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MATEO DE JESUS MARRUGO CORREA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FRANCISCO JAVIER PALMERA MARTINEZ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JUAN ESTEBAN ZEA NAVARRO</v>
      </c>
      <c r="C32" s="33" t="str">
        <f>IF('S-ASIG-02'!D32="","",'S-ASIG-02'!D32)</f>
        <v/>
      </c>
      <c r="D32" s="30">
        <f>IF(B32=0,"",IF(C32="",$E$27*LIDER!$H$19+F32*LIDER!$H$20+G32*LIDER!$H$21+H32*LIDER!$H$22+I32*LIDER!$H$23+J32*LIDER!$H$24+K32*LIDER!$H$25,"N"))</f>
        <v>0</v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102</v>
      </c>
      <c r="C33" s="32" t="str">
        <f>IF('S-ASIG-02'!D33="","",'S-ASIG-02'!D33)</f>
        <v>LIST</v>
      </c>
      <c r="D33" s="35" t="s">
        <v>95</v>
      </c>
      <c r="E33" s="142" t="str">
        <f>LIDER!$E$33</f>
        <v xml:space="preserve">GRUPO#5: Análisis de Oportunidades para la Internacionalización de un Servicio de Beauty Tech B2B en  México, Ecuador y Estados Unidos. 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JEREMY MACOLL DIAZ PEREZ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SARA OYOLA MARTINEZ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DARIANY PEÑARANDA LLACH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MARIANGEL ROMERO VANEGAS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ISAIAS FERNANDO SALCEDO CAICEDO</v>
      </c>
      <c r="C38" s="33" t="str">
        <f>IF('S-ASIG-02'!D38="","",'S-ASIG-02'!D38)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104</v>
      </c>
      <c r="C40" s="32" t="str">
        <f>IF('S-ASIG-02'!D40="","",'S-ASIG-02'!D40)</f>
        <v>LIST</v>
      </c>
      <c r="D40" s="35" t="s">
        <v>95</v>
      </c>
      <c r="E40" s="142" t="str">
        <f>LIDER!$E$34</f>
        <v xml:space="preserve">GRUPO#6: ¿CÓMO IDENTIFICAR UNA OPORTUNIDAD DE NEGOCIO PARA TROPISNACK MEDIANTE EL ANALISIS DE MERCADOS POTENCIALES COMO ESPAÑA, CHILE &amp; ESTADOS UNIDOS? 
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LUCINDA GARCIA CASTRO</v>
      </c>
      <c r="C41" s="33" t="str">
        <f>IF('S-ASIG-02'!D41="","",'S-ASIG-02'!D41)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CARLOS JULIO LOPEZ ALEMAN</v>
      </c>
      <c r="C42" s="33" t="str">
        <f>IF('S-ASIG-02'!D42="","",'S-ASIG-02'!D42)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LAURA SOFÍA PÉREZ ARÉVALO</v>
      </c>
      <c r="C43" s="33" t="str">
        <f>IF('S-ASIG-02'!D43="","",'S-ASIG-02'!D43)</f>
        <v/>
      </c>
      <c r="D43" s="30">
        <f>IF(B43=0,"",IF(C43="",$E$41*LIDER!$H$19+F43*LIDER!$H$20+G43*LIDER!$H$21+H43*LIDER!$H$22+I43*LIDER!$H$23+J43*LIDER!$H$24+K43*LIDER!$H$25,"N"))</f>
        <v>0</v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DYLAN ANDRES RANGEL LOPEZ</v>
      </c>
      <c r="C44" s="33" t="str">
        <f>IF('S-ASIG-02'!D44="","",'S-ASIG-02'!D44)</f>
        <v/>
      </c>
      <c r="D44" s="30">
        <f>IF(B44=0,"",IF(C44="",$E$41*LIDER!$H$19+F44*LIDER!$H$20+G44*LIDER!$H$21+H44*LIDER!$H$22+I44*LIDER!$H$23+J44*LIDER!$H$24+K44*LIDER!$H$25,"N"))</f>
        <v>0</v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SANTIAGO TANGARIFE PONCE</v>
      </c>
      <c r="C45" s="33" t="str">
        <f>IF('S-ASIG-02'!D45="","",'S-ASIG-02'!D45)</f>
        <v/>
      </c>
      <c r="D45" s="30">
        <f>IF(B45=0,"",IF(C45="",$E$41*LIDER!$H$19+F45*LIDER!$H$20+G45*LIDER!$H$21+H45*LIDER!$H$22+I45*LIDER!$H$23+J45*LIDER!$H$24+K45*LIDER!$H$25,"N"))</f>
        <v>0</v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IF('S-ASIG-02'!D47="","",'S-ASIG-02'!D47)</f>
        <v>LIST</v>
      </c>
      <c r="D47" s="35" t="s">
        <v>95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IF('S-ASIG-02'!D54="","",'S-ASIG-02'!D54)</f>
        <v>LIST</v>
      </c>
      <c r="D54" s="35" t="s">
        <v>95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IF('S-ASIG-02'!D61="","",'S-ASIG-02'!D61)</f>
        <v>LIST</v>
      </c>
      <c r="D61" s="35" t="s">
        <v>95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87</v>
      </c>
      <c r="C68" s="32" t="str">
        <f>IF('S-ASIG-02'!D68="","",'S-ASIG-02'!D68)</f>
        <v>LIST</v>
      </c>
      <c r="D68" s="35" t="s">
        <v>95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IF('S-ASIG-02'!D75="","",'S-ASIG-02'!D75)</f>
        <v>LIST</v>
      </c>
      <c r="D75" s="35" t="s">
        <v>95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89</v>
      </c>
      <c r="C82" s="32" t="str">
        <f>IF('S-ASIG-02'!D82="","",'S-ASIG-02'!D82)</f>
        <v>LIST</v>
      </c>
      <c r="D82" s="35" t="s">
        <v>95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108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LIDER!E4</f>
        <v>ELECTIVA DE PROFUNDIZACION I</v>
      </c>
      <c r="C2" s="3"/>
      <c r="E2" s="204" t="s">
        <v>90</v>
      </c>
      <c r="F2" s="205"/>
      <c r="G2" s="205"/>
      <c r="H2" s="205"/>
      <c r="I2" s="205"/>
      <c r="J2" s="205"/>
      <c r="K2" s="206"/>
    </row>
    <row r="3" spans="1:11" s="2" customFormat="1" ht="145.5" customHeight="1" thickBot="1">
      <c r="B3" s="4" t="s">
        <v>91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9" t="str">
        <f>CONCATENATE(LIDER!E4," - ",LIDER!E6," - ",LIDER!E5)</f>
        <v>ELECTIVA DE PROFUNDIZACION I - 2275 - HUMBERTO MARQUEZ PEÑALOZA</v>
      </c>
      <c r="F4" s="210"/>
      <c r="G4" s="210"/>
      <c r="H4" s="210"/>
      <c r="I4" s="210"/>
      <c r="J4" s="210"/>
      <c r="K4" s="211"/>
    </row>
    <row r="5" spans="1:11" s="2" customFormat="1" ht="15.75" customHeight="1" thickBot="1">
      <c r="A5" s="8"/>
      <c r="B5" s="27" t="s">
        <v>92</v>
      </c>
      <c r="C5" s="34" t="str">
        <f>IF('S-ASIG-03'!D5="","",'S-ASIG-03'!D5)</f>
        <v>LIST</v>
      </c>
      <c r="D5" s="35" t="s">
        <v>95</v>
      </c>
      <c r="E5" s="142" t="str">
        <f>LIDER!$E$29</f>
        <v xml:space="preserve">GRUPO#1: ANÁLISIS DE OPORTUNIDADES PARA UNA PLATAFORMA DIGITAL DE ACOMPAÑAMIENTO A LA INTERNACIONALIZACIÓN DE PYMES COLOMBIANAS EN ESPAÑA, CHILE Y MÉXICO.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ISABELLA FONTALVO RODRIGUEZ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MARÍA ANGÉLICA LARA MAURY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DILAN ANDRES PEREZ ALVAREZ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IF('S-ASIG-03'!D9="","",'S-ASIG-03'!D9)</f>
        <v/>
      </c>
      <c r="D9" s="30" t="str">
        <f>IF(B9=0,"",IF(C9="",$E$6*LIDER!$H$19+F9*LIDER!$H$20+G9*LIDER!$H$21+H9*LIDER!$H$22+I9*LIDER!$H$23+J9*LIDER!$H$24+K9*LIDER!$H$25,"N"))</f>
        <v/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IF('S-ASIG-03'!D10="","",'S-ASIG-03'!D10)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96</v>
      </c>
      <c r="C12" s="32" t="str">
        <f>IF('S-ASIG-03'!D12="","",'S-ASIG-03'!D12)</f>
        <v>LIST</v>
      </c>
      <c r="D12" s="35" t="s">
        <v>95</v>
      </c>
      <c r="E12" s="142" t="str">
        <f>LIDER!$E$30</f>
        <v>GRUPO#2: Estudio de mercado a partir de la Oportunidad de Negocio para la Implementación de un Probador Virtual e Interactivo 3D en el Sector E-Commerce de Moda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MERLIN YAMAL SMITH FLOREZ GONZALEZ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NELCY CAROLINA MEZA PÉREZ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MIGUEL MATEO PEREZ JIMENEZ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EDWIN JAVIER ROJANO ZÚÑIGA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Danna Alejandra Castro Espinosa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98</v>
      </c>
      <c r="C19" s="32" t="str">
        <f>IF('S-ASIG-03'!D19="","",'S-ASIG-03'!D19)</f>
        <v>LIST</v>
      </c>
      <c r="D19" s="35" t="s">
        <v>95</v>
      </c>
      <c r="E19" s="142" t="str">
        <f>LIDER!$E$31</f>
        <v>GRUPO#3: TINTO SKIN, OPORTUNIDAD DE NEGOCIOS EN TRES MERCADOS:  ECUADOR, PERÚ, EE.UU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MIGUEL ANTONIO BARON REVOLLO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MATTHIAS MATTHIAS CAMPO PASSO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VALERY GARCÍA REYES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JUAN DAVID LOPEZ VIDES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ALEJANDRA MORENO VILLALOBO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0</v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100</v>
      </c>
      <c r="C26" s="32" t="str">
        <f>IF('S-ASIG-03'!D26="","",'S-ASIG-03'!D26)</f>
        <v>LIST</v>
      </c>
      <c r="D26" s="35" t="s">
        <v>95</v>
      </c>
      <c r="E26" s="142" t="str">
        <f>LIDER!$E$32</f>
        <v xml:space="preserve">GRUPO#4: IDENTIFICACIÓN DE UNA OPORTUNIDAD DE NEGOCIO PARA LA COMERCIALIZACIÓN DE ROPA DEPORTIVA DE LA MARCA ARVIA EN LOS MERCADOS POTENCIALES DE COSTA RICA, GUATEMALA, HONDURAS.
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DONICEL DE JESUS BUENDIA CAÑATE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MARLON MANUEL CONTRERAS MARTÍNEZ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ALANA ARAI DAVILA GONZALEZ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MATEO DE JESUS MARRUGO CORREA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FRANCISCO JAVIER PALMERA MARTINEZ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JUAN ESTEBAN ZEA NAVARRO</v>
      </c>
      <c r="C32" s="33" t="str">
        <f>IF('S-ASIG-03'!D32="","",'S-ASIG-03'!D32)</f>
        <v/>
      </c>
      <c r="D32" s="30">
        <f>IF(B32=0,"",IF(C32="",$E$27*LIDER!$H$19+F32*LIDER!$H$20+G32*LIDER!$H$21+H32*LIDER!$H$22+I32*LIDER!$H$23+J32*LIDER!$H$24+K32*LIDER!$H$25,"N"))</f>
        <v>0</v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102</v>
      </c>
      <c r="C33" s="32" t="str">
        <f>IF('S-ASIG-03'!D33="","",'S-ASIG-03'!D33)</f>
        <v>LIST</v>
      </c>
      <c r="D33" s="35" t="s">
        <v>95</v>
      </c>
      <c r="E33" s="142" t="str">
        <f>LIDER!$E$33</f>
        <v xml:space="preserve">GRUPO#5: Análisis de Oportunidades para la Internacionalización de un Servicio de Beauty Tech B2B en  México, Ecuador y Estados Unidos. 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JEREMY MACOLL DIAZ PEREZ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SARA OYOLA MARTINEZ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DARIANY PEÑARANDA LLACH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MARIANGEL ROMERO VANEGAS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ISAIAS FERNANDO SALCEDO CAICEDO</v>
      </c>
      <c r="C38" s="33" t="str">
        <f>IF('S-ASIG-03'!D38="","",'S-ASIG-03'!D38)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104</v>
      </c>
      <c r="C40" s="32" t="str">
        <f>IF('S-ASIG-03'!D40="","",'S-ASIG-03'!D40)</f>
        <v>LIST</v>
      </c>
      <c r="D40" s="35" t="s">
        <v>95</v>
      </c>
      <c r="E40" s="142" t="str">
        <f>LIDER!$E$34</f>
        <v xml:space="preserve">GRUPO#6: ¿CÓMO IDENTIFICAR UNA OPORTUNIDAD DE NEGOCIO PARA TROPISNACK MEDIANTE EL ANALISIS DE MERCADOS POTENCIALES COMO ESPAÑA, CHILE &amp; ESTADOS UNIDOS? 
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LUCINDA GARCIA CASTRO</v>
      </c>
      <c r="C41" s="33" t="str">
        <f>IF('S-ASIG-03'!D41="","",'S-ASIG-03'!D41)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CARLOS JULIO LOPEZ ALEMAN</v>
      </c>
      <c r="C42" s="33" t="str">
        <f>IF('S-ASIG-03'!D42="","",'S-ASIG-03'!D42)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LAURA SOFÍA PÉREZ ARÉVALO</v>
      </c>
      <c r="C43" s="33" t="str">
        <f>IF('S-ASIG-03'!D43="","",'S-ASIG-03'!D43)</f>
        <v/>
      </c>
      <c r="D43" s="30">
        <f>IF(B43=0,"",IF(C43="",$E$41*LIDER!$H$19+F43*LIDER!$H$20+G43*LIDER!$H$21+H43*LIDER!$H$22+I43*LIDER!$H$23+J43*LIDER!$H$24+K43*LIDER!$H$25,"N"))</f>
        <v>0</v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DYLAN ANDRES RANGEL LOPEZ</v>
      </c>
      <c r="C44" s="33" t="str">
        <f>IF('S-ASIG-03'!D44="","",'S-ASIG-03'!D44)</f>
        <v/>
      </c>
      <c r="D44" s="30">
        <f>IF(B44=0,"",IF(C44="",$E$41*LIDER!$H$19+F44*LIDER!$H$20+G44*LIDER!$H$21+H44*LIDER!$H$22+I44*LIDER!$H$23+J44*LIDER!$H$24+K44*LIDER!$H$25,"N"))</f>
        <v>0</v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SANTIAGO TANGARIFE PONCE</v>
      </c>
      <c r="C45" s="33" t="str">
        <f>IF('S-ASIG-03'!D45="","",'S-ASIG-03'!D45)</f>
        <v/>
      </c>
      <c r="D45" s="30">
        <f>IF(B45=0,"",IF(C45="",$E$41*LIDER!$H$19+F45*LIDER!$H$20+G45*LIDER!$H$21+H45*LIDER!$H$22+I45*LIDER!$H$23+J45*LIDER!$H$24+K45*LIDER!$H$25,"N"))</f>
        <v>0</v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IF('S-ASIG-03'!D47="","",'S-ASIG-03'!D47)</f>
        <v>LIST</v>
      </c>
      <c r="D47" s="35" t="s">
        <v>95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IF('S-ASIG-03'!D54="","",'S-ASIG-03'!D54)</f>
        <v>LIST</v>
      </c>
      <c r="D54" s="35" t="s">
        <v>95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IF('S-ASIG-03'!D61="","",'S-ASIG-03'!D61)</f>
        <v>LIST</v>
      </c>
      <c r="D61" s="35" t="s">
        <v>95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87</v>
      </c>
      <c r="C68" s="32" t="str">
        <f>IF('S-ASIG-03'!D68="","",'S-ASIG-03'!D68)</f>
        <v>LIST</v>
      </c>
      <c r="D68" s="35" t="s">
        <v>95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IF('S-ASIG-03'!D75="","",'S-ASIG-03'!D75)</f>
        <v>LIST</v>
      </c>
      <c r="D75" s="35" t="s">
        <v>95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89</v>
      </c>
      <c r="C82" s="32" t="str">
        <f>IF('S-ASIG-03'!D82="","",'S-ASIG-03'!D82)</f>
        <v>LIST</v>
      </c>
      <c r="D82" s="35" t="s">
        <v>95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LIDER!F4</f>
        <v>IMPORTACIONES Y EXPORTACIONES</v>
      </c>
      <c r="C2" s="3"/>
      <c r="E2" s="204" t="s">
        <v>90</v>
      </c>
      <c r="F2" s="205"/>
      <c r="G2" s="205"/>
      <c r="H2" s="205"/>
      <c r="I2" s="205"/>
      <c r="J2" s="205"/>
      <c r="K2" s="206"/>
    </row>
    <row r="3" spans="1:11" s="2" customFormat="1" ht="145.5" customHeight="1" thickBot="1">
      <c r="B3" s="4" t="s">
        <v>91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9" t="str">
        <f>CONCATENATE(LIDER!F4," - ",LIDER!F6," - ",LIDER!F5)</f>
        <v>IMPORTACIONES Y EXPORTACIONES - 1437 - REYNALDO ARTURO ROJAS TRILLOS</v>
      </c>
      <c r="F4" s="210"/>
      <c r="G4" s="210"/>
      <c r="H4" s="210"/>
      <c r="I4" s="210"/>
      <c r="J4" s="210"/>
      <c r="K4" s="211"/>
    </row>
    <row r="5" spans="1:11" s="2" customFormat="1" ht="15.75" customHeight="1" thickBot="1">
      <c r="A5" s="8"/>
      <c r="B5" s="27" t="s">
        <v>92</v>
      </c>
      <c r="C5" s="34" t="str">
        <f>IF('S-ASIG-04'!D5="","",'S-ASIG-04'!D5)</f>
        <v>LIST</v>
      </c>
      <c r="D5" s="35" t="s">
        <v>95</v>
      </c>
      <c r="E5" s="142" t="str">
        <f>LIDER!$E$29</f>
        <v xml:space="preserve">GRUPO#1: ANÁLISIS DE OPORTUNIDADES PARA UNA PLATAFORMA DIGITAL DE ACOMPAÑAMIENTO A LA INTERNACIONALIZACIÓN DE PYMES COLOMBIANAS EN ESPAÑA, CHILE Y MÉXICO.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ISABELLA FONTALVO RODRIGUEZ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MARÍA ANGÉLICA LARA MAURY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DILAN ANDRES PEREZ ALVAREZ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IF('S-ASIG-04'!D9="","",'S-ASIG-04'!D9)</f>
        <v/>
      </c>
      <c r="D9" s="30" t="str">
        <f>IF(B9=0,"",IF(C9="",$E$6*LIDER!$H$19+F9*LIDER!$H$20+G9*LIDER!$H$21+H9*LIDER!$H$22+I9*LIDER!$H$23+J9*LIDER!$H$24+K9*LIDER!$H$25,"N"))</f>
        <v/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IF('S-ASIG-04'!D10="","",'S-ASIG-04'!D10)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96</v>
      </c>
      <c r="C12" s="32" t="str">
        <f>IF('S-ASIG-04'!D12="","",'S-ASIG-04'!D12)</f>
        <v>LIST</v>
      </c>
      <c r="D12" s="35" t="s">
        <v>95</v>
      </c>
      <c r="E12" s="142" t="str">
        <f>LIDER!$E$30</f>
        <v>GRUPO#2: Estudio de mercado a partir de la Oportunidad de Negocio para la Implementación de un Probador Virtual e Interactivo 3D en el Sector E-Commerce de Moda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MERLIN YAMAL SMITH FLOREZ GONZALEZ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NELCY CAROLINA MEZA PÉREZ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MIGUEL MATEO PEREZ JIMENEZ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EDWIN JAVIER ROJANO ZÚÑIGA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Danna Alejandra Castro Espinosa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98</v>
      </c>
      <c r="C19" s="32" t="str">
        <f>IF('S-ASIG-04'!D19="","",'S-ASIG-04'!D19)</f>
        <v>LIST</v>
      </c>
      <c r="D19" s="35" t="s">
        <v>95</v>
      </c>
      <c r="E19" s="142" t="str">
        <f>LIDER!$E$31</f>
        <v>GRUPO#3: TINTO SKIN, OPORTUNIDAD DE NEGOCIOS EN TRES MERCADOS:  ECUADOR, PERÚ, EE.UU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MIGUEL ANTONIO BARON REVOLLO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MATTHIAS MATTHIAS CAMPO PASSO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VALERY GARCÍA REYES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JUAN DAVID LOPEZ VIDES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ALEJANDRA MORENO VILLALOBO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0</v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100</v>
      </c>
      <c r="C26" s="32" t="str">
        <f>IF('S-ASIG-04'!D26="","",'S-ASIG-04'!D26)</f>
        <v>LIST</v>
      </c>
      <c r="D26" s="35" t="s">
        <v>95</v>
      </c>
      <c r="E26" s="142" t="str">
        <f>LIDER!$E$32</f>
        <v xml:space="preserve">GRUPO#4: IDENTIFICACIÓN DE UNA OPORTUNIDAD DE NEGOCIO PARA LA COMERCIALIZACIÓN DE ROPA DEPORTIVA DE LA MARCA ARVIA EN LOS MERCADOS POTENCIALES DE COSTA RICA, GUATEMALA, HONDURAS.
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DONICEL DE JESUS BUENDIA CAÑATE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MARLON MANUEL CONTRERAS MARTÍNEZ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ALANA ARAI DAVILA GONZALEZ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MATEO DE JESUS MARRUGO CORREA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FRANCISCO JAVIER PALMERA MARTINEZ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JUAN ESTEBAN ZEA NAVARRO</v>
      </c>
      <c r="C32" s="33" t="str">
        <f>IF('S-ASIG-04'!D32="","",'S-ASIG-04'!D32)</f>
        <v/>
      </c>
      <c r="D32" s="30">
        <f>IF(B32=0,"",IF(C32="",$E$27*LIDER!$H$19+F32*LIDER!$H$20+G32*LIDER!$H$21+H32*LIDER!$H$22+I32*LIDER!$H$23+J32*LIDER!$H$24+K32*LIDER!$H$25,"N"))</f>
        <v>0</v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102</v>
      </c>
      <c r="C33" s="32" t="str">
        <f>IF('S-ASIG-04'!D33="","",'S-ASIG-04'!D33)</f>
        <v>LIST</v>
      </c>
      <c r="D33" s="35" t="s">
        <v>95</v>
      </c>
      <c r="E33" s="142" t="str">
        <f>LIDER!$E$33</f>
        <v xml:space="preserve">GRUPO#5: Análisis de Oportunidades para la Internacionalización de un Servicio de Beauty Tech B2B en  México, Ecuador y Estados Unidos. 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JEREMY MACOLL DIAZ PEREZ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SARA OYOLA MARTINEZ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DARIANY PEÑARANDA LLACH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MARIANGEL ROMERO VANEGAS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ISAIAS FERNANDO SALCEDO CAICEDO</v>
      </c>
      <c r="C38" s="33" t="str">
        <f>IF('S-ASIG-04'!D38="","",'S-ASIG-04'!D38)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104</v>
      </c>
      <c r="C40" s="32" t="str">
        <f>IF('S-ASIG-04'!D40="","",'S-ASIG-04'!D40)</f>
        <v>LIST</v>
      </c>
      <c r="D40" s="35" t="s">
        <v>95</v>
      </c>
      <c r="E40" s="142" t="str">
        <f>LIDER!$E$34</f>
        <v xml:space="preserve">GRUPO#6: ¿CÓMO IDENTIFICAR UNA OPORTUNIDAD DE NEGOCIO PARA TROPISNACK MEDIANTE EL ANALISIS DE MERCADOS POTENCIALES COMO ESPAÑA, CHILE &amp; ESTADOS UNIDOS? 
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LUCINDA GARCIA CASTRO</v>
      </c>
      <c r="C41" s="33" t="str">
        <f>IF('S-ASIG-04'!D41="","",'S-ASIG-04'!D41)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CARLOS JULIO LOPEZ ALEMAN</v>
      </c>
      <c r="C42" s="33" t="str">
        <f>IF('S-ASIG-04'!D42="","",'S-ASIG-04'!D42)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LAURA SOFÍA PÉREZ ARÉVALO</v>
      </c>
      <c r="C43" s="33" t="str">
        <f>IF('S-ASIG-04'!D43="","",'S-ASIG-04'!D43)</f>
        <v/>
      </c>
      <c r="D43" s="30">
        <f>IF(B43=0,"",IF(C43="",$E$41*LIDER!$H$19+F43*LIDER!$H$20+G43*LIDER!$H$21+H43*LIDER!$H$22+I43*LIDER!$H$23+J43*LIDER!$H$24+K43*LIDER!$H$25,"N"))</f>
        <v>0</v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DYLAN ANDRES RANGEL LOPEZ</v>
      </c>
      <c r="C44" s="33" t="str">
        <f>IF('S-ASIG-04'!D44="","",'S-ASIG-04'!D44)</f>
        <v/>
      </c>
      <c r="D44" s="30">
        <f>IF(B44=0,"",IF(C44="",$E$41*LIDER!$H$19+F44*LIDER!$H$20+G44*LIDER!$H$21+H44*LIDER!$H$22+I44*LIDER!$H$23+J44*LIDER!$H$24+K44*LIDER!$H$25,"N"))</f>
        <v>0</v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SANTIAGO TANGARIFE PONCE</v>
      </c>
      <c r="C45" s="33" t="str">
        <f>IF('S-ASIG-04'!D45="","",'S-ASIG-04'!D45)</f>
        <v/>
      </c>
      <c r="D45" s="30">
        <f>IF(B45=0,"",IF(C45="",$E$41*LIDER!$H$19+F45*LIDER!$H$20+G45*LIDER!$H$21+H45*LIDER!$H$22+I45*LIDER!$H$23+J45*LIDER!$H$24+K45*LIDER!$H$25,"N"))</f>
        <v>0</v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IF('S-ASIG-04'!D47="","",'S-ASIG-04'!D47)</f>
        <v>LIST</v>
      </c>
      <c r="D47" s="35" t="s">
        <v>95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IF('S-ASIG-04'!D54="","",'S-ASIG-04'!D54)</f>
        <v>LIST</v>
      </c>
      <c r="D54" s="35" t="s">
        <v>95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IF('S-ASIG-04'!D61="","",'S-ASIG-04'!D61)</f>
        <v>LIST</v>
      </c>
      <c r="D61" s="35" t="s">
        <v>95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87</v>
      </c>
      <c r="C68" s="32" t="str">
        <f>IF('S-ASIG-04'!D68="","",'S-ASIG-04'!D68)</f>
        <v>LIST</v>
      </c>
      <c r="D68" s="35" t="s">
        <v>95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IF('S-ASIG-04'!D75="","",'S-ASIG-04'!D75)</f>
        <v>LIST</v>
      </c>
      <c r="D75" s="35" t="s">
        <v>95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89</v>
      </c>
      <c r="C82" s="32" t="str">
        <f>IF('S-ASIG-04'!D82="","",'S-ASIG-04'!D82)</f>
        <v>LIST</v>
      </c>
      <c r="D82" s="35" t="s">
        <v>95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9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LIDER!G4</f>
        <v>FUNDAMENTOS DE MERCADEO</v>
      </c>
      <c r="C2" s="3"/>
      <c r="E2" s="204" t="s">
        <v>90</v>
      </c>
      <c r="F2" s="205"/>
      <c r="G2" s="205"/>
      <c r="H2" s="205"/>
      <c r="I2" s="205"/>
      <c r="J2" s="205"/>
      <c r="K2" s="206"/>
    </row>
    <row r="3" spans="1:11" s="2" customFormat="1" ht="145.5" customHeight="1" thickBot="1">
      <c r="B3" s="4" t="s">
        <v>91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9" t="str">
        <f>CONCATENATE(LIDER!G4," - ",LIDER!G6," - ",LIDER!G5)</f>
        <v>FUNDAMENTOS DE MERCADEO - 1351 - ANGELA LUBO CASTRILLON</v>
      </c>
      <c r="F4" s="210"/>
      <c r="G4" s="210"/>
      <c r="H4" s="210"/>
      <c r="I4" s="210"/>
      <c r="J4" s="210"/>
      <c r="K4" s="211"/>
    </row>
    <row r="5" spans="1:11" s="2" customFormat="1" ht="15.75" customHeight="1" thickBot="1">
      <c r="A5" s="8"/>
      <c r="B5" s="27" t="s">
        <v>92</v>
      </c>
      <c r="C5" s="34" t="str">
        <f>IF('S-ASIG-05'!D5="","",'S-ASIG-05'!D5)</f>
        <v>LIST</v>
      </c>
      <c r="D5" s="35" t="s">
        <v>95</v>
      </c>
      <c r="E5" s="142" t="str">
        <f>LIDER!$E$29</f>
        <v xml:space="preserve">GRUPO#1: ANÁLISIS DE OPORTUNIDADES PARA UNA PLATAFORMA DIGITAL DE ACOMPAÑAMIENTO A LA INTERNACIONALIZACIÓN DE PYMES COLOMBIANAS EN ESPAÑA, CHILE Y MÉXICO.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ISABELLA FONTALVO RODRIGUEZ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MARÍA ANGÉLICA LARA MAURY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DILAN ANDRES PEREZ ALVAREZ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IF('S-ASIG-05'!D9="","",'S-ASIG-05'!D9)</f>
        <v/>
      </c>
      <c r="D9" s="30" t="str">
        <f>IF(B9=0,"",IF(C9="",$E$6*LIDER!$H$19+F9*LIDER!$H$20+G9*LIDER!$H$21+H9*LIDER!$H$22+I9*LIDER!$H$23+J9*LIDER!$H$24+K9*LIDER!$H$25,"N"))</f>
        <v/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IF('S-ASIG-05'!D10="","",'S-ASIG-05'!D10)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96</v>
      </c>
      <c r="C12" s="32" t="str">
        <f>IF('S-ASIG-05'!D12="","",'S-ASIG-05'!D12)</f>
        <v>LIST</v>
      </c>
      <c r="D12" s="35" t="s">
        <v>95</v>
      </c>
      <c r="E12" s="142" t="str">
        <f>LIDER!$E$30</f>
        <v>GRUPO#2: Estudio de mercado a partir de la Oportunidad de Negocio para la Implementación de un Probador Virtual e Interactivo 3D en el Sector E-Commerce de Moda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MERLIN YAMAL SMITH FLOREZ GONZALEZ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NELCY CAROLINA MEZA PÉREZ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MIGUEL MATEO PEREZ JIMENEZ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EDWIN JAVIER ROJANO ZÚÑIGA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Danna Alejandra Castro Espinosa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98</v>
      </c>
      <c r="C19" s="32" t="str">
        <f>IF('S-ASIG-05'!D19="","",'S-ASIG-05'!D19)</f>
        <v>LIST</v>
      </c>
      <c r="D19" s="35" t="s">
        <v>95</v>
      </c>
      <c r="E19" s="142" t="str">
        <f>LIDER!$E$31</f>
        <v>GRUPO#3: TINTO SKIN, OPORTUNIDAD DE NEGOCIOS EN TRES MERCADOS:  ECUADOR, PERÚ, EE.UU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MIGUEL ANTONIO BARON REVOLLO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MATTHIAS MATTHIAS CAMPO PASSO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VALERY GARCÍA REYES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JUAN DAVID LOPEZ VIDES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0</v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ALEJANDRA MORENO VILLALOBO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0</v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100</v>
      </c>
      <c r="C26" s="32" t="str">
        <f>IF('S-ASIG-05'!D26="","",'S-ASIG-05'!D26)</f>
        <v>LIST</v>
      </c>
      <c r="D26" s="35" t="s">
        <v>95</v>
      </c>
      <c r="E26" s="142" t="str">
        <f>LIDER!$E$32</f>
        <v xml:space="preserve">GRUPO#4: IDENTIFICACIÓN DE UNA OPORTUNIDAD DE NEGOCIO PARA LA COMERCIALIZACIÓN DE ROPA DEPORTIVA DE LA MARCA ARVIA EN LOS MERCADOS POTENCIALES DE COSTA RICA, GUATEMALA, HONDURAS.
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DONICEL DE JESUS BUENDIA CAÑATE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MARLON MANUEL CONTRERAS MARTÍNEZ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ALANA ARAI DAVILA GONZALEZ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MATEO DE JESUS MARRUGO CORREA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FRANCISCO JAVIER PALMERA MARTINEZ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JUAN ESTEBAN ZEA NAVARRO</v>
      </c>
      <c r="C32" s="33" t="str">
        <f>IF('S-ASIG-05'!D32="","",'S-ASIG-05'!D32)</f>
        <v/>
      </c>
      <c r="D32" s="30">
        <f>IF(B32=0,"",IF(C32="",$E$27*LIDER!$H$19+F32*LIDER!$H$20+G32*LIDER!$H$21+H32*LIDER!$H$22+I32*LIDER!$H$23+J32*LIDER!$H$24+K32*LIDER!$H$25,"N"))</f>
        <v>0</v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102</v>
      </c>
      <c r="C33" s="32" t="str">
        <f>IF('S-ASIG-05'!D33="","",'S-ASIG-05'!D33)</f>
        <v>LIST</v>
      </c>
      <c r="D33" s="35" t="s">
        <v>95</v>
      </c>
      <c r="E33" s="142" t="str">
        <f>LIDER!$E$33</f>
        <v xml:space="preserve">GRUPO#5: Análisis de Oportunidades para la Internacionalización de un Servicio de Beauty Tech B2B en  México, Ecuador y Estados Unidos. 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JEREMY MACOLL DIAZ PEREZ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SARA OYOLA MARTINEZ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DARIANY PEÑARANDA LLACH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MARIANGEL ROMERO VANEGAS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ISAIAS FERNANDO SALCEDO CAICEDO</v>
      </c>
      <c r="C38" s="33" t="str">
        <f>IF('S-ASIG-05'!D38="","",'S-ASIG-05'!D38)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104</v>
      </c>
      <c r="C40" s="32" t="str">
        <f>IF('S-ASIG-05'!D40="","",'S-ASIG-05'!D40)</f>
        <v>LIST</v>
      </c>
      <c r="D40" s="35" t="s">
        <v>95</v>
      </c>
      <c r="E40" s="142" t="str">
        <f>LIDER!$E$34</f>
        <v xml:space="preserve">GRUPO#6: ¿CÓMO IDENTIFICAR UNA OPORTUNIDAD DE NEGOCIO PARA TROPISNACK MEDIANTE EL ANALISIS DE MERCADOS POTENCIALES COMO ESPAÑA, CHILE &amp; ESTADOS UNIDOS? 
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LUCINDA GARCIA CASTRO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CARLOS JULIO LOPEZ ALEMAN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LAURA SOFÍA PÉREZ ARÉVALO</v>
      </c>
      <c r="C43" s="33" t="str">
        <f>IF('S-ASIG-05'!D43="","",'S-ASIG-05'!D43)</f>
        <v/>
      </c>
      <c r="D43" s="30">
        <f>IF(B43=0,"",IF(C43="",$E$41*LIDER!$H$19+F43*LIDER!$H$20+G43*LIDER!$H$21+H43*LIDER!$H$22+I43*LIDER!$H$23+J43*LIDER!$H$24+K43*LIDER!$H$25,"N"))</f>
        <v>0</v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DYLAN ANDRES RANGEL LOPEZ</v>
      </c>
      <c r="C44" s="33" t="str">
        <f>IF('S-ASIG-05'!D44="","",'S-ASIG-05'!D44)</f>
        <v/>
      </c>
      <c r="D44" s="30">
        <f>IF(B44=0,"",IF(C44="",$E$41*LIDER!$H$19+F44*LIDER!$H$20+G44*LIDER!$H$21+H44*LIDER!$H$22+I44*LIDER!$H$23+J44*LIDER!$H$24+K44*LIDER!$H$25,"N"))</f>
        <v>0</v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SANTIAGO TANGARIFE PONCE</v>
      </c>
      <c r="C45" s="33" t="str">
        <f>IF('S-ASIG-05'!D45="","",'S-ASIG-05'!D45)</f>
        <v/>
      </c>
      <c r="D45" s="30">
        <f>IF(B45=0,"",IF(C45="",$E$41*LIDER!$H$19+F45*LIDER!$H$20+G45*LIDER!$H$21+H45*LIDER!$H$22+I45*LIDER!$H$23+J45*LIDER!$H$24+K45*LIDER!$H$25,"N"))</f>
        <v>0</v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IF('S-ASIG-05'!D47="","",'S-ASIG-05'!D47)</f>
        <v>LIST</v>
      </c>
      <c r="D47" s="35" t="s">
        <v>95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IF('S-ASIG-05'!D54="","",'S-ASIG-05'!D54)</f>
        <v>LIST</v>
      </c>
      <c r="D54" s="35" t="s">
        <v>95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IF('S-ASIG-05'!D61="","",'S-ASIG-05'!D61)</f>
        <v>LIST</v>
      </c>
      <c r="D61" s="35" t="s">
        <v>95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87</v>
      </c>
      <c r="C68" s="32" t="str">
        <f>IF('S-ASIG-05'!D68="","",'S-ASIG-05'!D68)</f>
        <v>LIST</v>
      </c>
      <c r="D68" s="35" t="s">
        <v>95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IF('S-ASIG-05'!D75="","",'S-ASIG-05'!D75)</f>
        <v>LIST</v>
      </c>
      <c r="D75" s="35" t="s">
        <v>95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89</v>
      </c>
      <c r="C82" s="32" t="str">
        <f>IF('S-ASIG-05'!D82="","",'S-ASIG-05'!D82)</f>
        <v>LIST</v>
      </c>
      <c r="D82" s="35" t="s">
        <v>95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5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LIDER!H4</f>
        <v>FUNDAMENTOS DE FINANZAS</v>
      </c>
      <c r="C2" s="3"/>
      <c r="E2" s="204" t="s">
        <v>90</v>
      </c>
      <c r="F2" s="205"/>
      <c r="G2" s="205"/>
      <c r="H2" s="205"/>
      <c r="I2" s="205"/>
      <c r="J2" s="205"/>
      <c r="K2" s="206"/>
    </row>
    <row r="3" spans="1:11" s="2" customFormat="1" ht="145.5" customHeight="1" thickBot="1">
      <c r="B3" s="4" t="s">
        <v>91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9" t="str">
        <f>CONCATENATE(LIDER!H4," - ",LIDER!H6," - ",LIDER!H5)</f>
        <v>FUNDAMENTOS DE FINANZAS - 1474 - LEONARDO CARLOS DE ORO BARRIOS</v>
      </c>
      <c r="F4" s="210"/>
      <c r="G4" s="210"/>
      <c r="H4" s="210"/>
      <c r="I4" s="210"/>
      <c r="J4" s="210"/>
      <c r="K4" s="211"/>
    </row>
    <row r="5" spans="1:11" s="2" customFormat="1" ht="15.75" customHeight="1" thickBot="1">
      <c r="A5" s="8"/>
      <c r="B5" s="27" t="s">
        <v>92</v>
      </c>
      <c r="C5" s="34" t="str">
        <f>IF('S-ASIG-06'!D5="","",'S-ASIG-06'!D5)</f>
        <v>LIST</v>
      </c>
      <c r="D5" s="35" t="s">
        <v>95</v>
      </c>
      <c r="E5" s="142" t="str">
        <f>LIDER!$E$29</f>
        <v xml:space="preserve">GRUPO#1: ANÁLISIS DE OPORTUNIDADES PARA UNA PLATAFORMA DIGITAL DE ACOMPAÑAMIENTO A LA INTERNACIONALIZACIÓN DE PYMES COLOMBIANAS EN ESPAÑA, CHILE Y MÉXICO.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ISABELLA FONTALVO RODRIGUEZ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MARÍA ANGÉLICA LARA MAURY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DILAN ANDRES PEREZ ALVAREZ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IF('S-ASIG-06'!D9="","",'S-ASIG-06'!D9)</f>
        <v/>
      </c>
      <c r="D9" s="30" t="str">
        <f>IF(B9=0,"",IF(C9="",$E$6*LIDER!$H$19+F9*LIDER!$H$20+G9*LIDER!$H$21+H9*LIDER!$H$22+I9*LIDER!$H$23+J9*LIDER!$H$24+K9*LIDER!$H$25,"N"))</f>
        <v/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IF('S-ASIG-06'!D10="","",'S-ASIG-06'!D10)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96</v>
      </c>
      <c r="C12" s="32" t="str">
        <f>IF('S-ASIG-06'!D12="","",'S-ASIG-06'!D12)</f>
        <v>LIST</v>
      </c>
      <c r="D12" s="35" t="s">
        <v>95</v>
      </c>
      <c r="E12" s="142" t="str">
        <f>LIDER!$E$30</f>
        <v>GRUPO#2: Estudio de mercado a partir de la Oportunidad de Negocio para la Implementación de un Probador Virtual e Interactivo 3D en el Sector E-Commerce de Moda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MERLIN YAMAL SMITH FLOREZ GONZALEZ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NELCY CAROLINA MEZA PÉREZ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MIGUEL MATEO PEREZ JIMENEZ</v>
      </c>
      <c r="C15" s="33" t="str">
        <f>IF('S-ASIG-06'!D15="","",'S-ASIG-06'!D15)</f>
        <v>N</v>
      </c>
      <c r="D15" s="30" t="str">
        <f>IF(B15=0,"",IF(C15="",$E$13*LIDER!$H$19+F15*LIDER!$H$20+G15*LIDER!$H$21+H15*LIDER!$H$22+I15*LIDER!$H$23+J15*LIDER!$H$24+K15*LIDER!$H$25,"N"))</f>
        <v>N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EDWIN JAVIER ROJANO ZÚÑIGA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Danna Alejandra Castro Espinosa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98</v>
      </c>
      <c r="C19" s="32" t="str">
        <f>IF('S-ASIG-06'!D19="","",'S-ASIG-06'!D19)</f>
        <v>LIST</v>
      </c>
      <c r="D19" s="35" t="s">
        <v>95</v>
      </c>
      <c r="E19" s="142" t="str">
        <f>LIDER!$E$31</f>
        <v>GRUPO#3: TINTO SKIN, OPORTUNIDAD DE NEGOCIOS EN TRES MERCADOS:  ECUADOR, PERÚ, EE.UU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MIGUEL ANTONIO BARON REVOLLO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MATTHIAS MATTHIAS CAMPO PASSO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VALERY GARCÍA REYES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JUAN DAVID LOPEZ VIDES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ALEJANDRA MORENO VILLALOBO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0</v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100</v>
      </c>
      <c r="C26" s="32" t="str">
        <f>IF('S-ASIG-06'!D26="","",'S-ASIG-06'!D26)</f>
        <v>LIST</v>
      </c>
      <c r="D26" s="35" t="s">
        <v>95</v>
      </c>
      <c r="E26" s="142" t="str">
        <f>LIDER!$E$32</f>
        <v xml:space="preserve">GRUPO#4: IDENTIFICACIÓN DE UNA OPORTUNIDAD DE NEGOCIO PARA LA COMERCIALIZACIÓN DE ROPA DEPORTIVA DE LA MARCA ARVIA EN LOS MERCADOS POTENCIALES DE COSTA RICA, GUATEMALA, HONDURAS.
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DONICEL DE JESUS BUENDIA CAÑATE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MARLON MANUEL CONTRERAS MARTÍNEZ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ALANA ARAI DAVILA GONZALEZ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MATEO DE JESUS MARRUGO CORREA</v>
      </c>
      <c r="C30" s="33" t="str">
        <f>IF('S-ASIG-06'!D30="","",'S-ASIG-06'!D30)</f>
        <v>N</v>
      </c>
      <c r="D30" s="30" t="str">
        <f>IF(B30=0,"",IF(C30="",$E$27*LIDER!$H$19+F30*LIDER!$H$20+G30*LIDER!$H$21+H30*LIDER!$H$22+I30*LIDER!$H$23+J30*LIDER!$H$24+K30*LIDER!$H$25,"N"))</f>
        <v>N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FRANCISCO JAVIER PALMERA MARTINEZ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JUAN ESTEBAN ZEA NAVARRO</v>
      </c>
      <c r="C32" s="33" t="str">
        <f>IF('S-ASIG-06'!D32="","",'S-ASIG-06'!D32)</f>
        <v/>
      </c>
      <c r="D32" s="30">
        <f>IF(B32=0,"",IF(C32="",$E$27*LIDER!$H$19+F32*LIDER!$H$20+G32*LIDER!$H$21+H32*LIDER!$H$22+I32*LIDER!$H$23+J32*LIDER!$H$24+K32*LIDER!$H$25,"N"))</f>
        <v>0</v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102</v>
      </c>
      <c r="C33" s="32" t="str">
        <f>IF('S-ASIG-06'!D33="","",'S-ASIG-06'!D33)</f>
        <v>LIST</v>
      </c>
      <c r="D33" s="35" t="s">
        <v>95</v>
      </c>
      <c r="E33" s="142" t="str">
        <f>LIDER!$E$33</f>
        <v xml:space="preserve">GRUPO#5: Análisis de Oportunidades para la Internacionalización de un Servicio de Beauty Tech B2B en  México, Ecuador y Estados Unidos. 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JEREMY MACOLL DIAZ PEREZ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SARA OYOLA MARTINEZ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DARIANY PEÑARANDA LLACH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MARIANGEL ROMERO VANEGAS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ISAIAS FERNANDO SALCEDO CAICEDO</v>
      </c>
      <c r="C38" s="33" t="str">
        <f>IF('S-ASIG-06'!D38="","",'S-ASIG-06'!D38)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104</v>
      </c>
      <c r="C40" s="32" t="str">
        <f>IF('S-ASIG-06'!D40="","",'S-ASIG-06'!D40)</f>
        <v>LIST</v>
      </c>
      <c r="D40" s="35" t="s">
        <v>95</v>
      </c>
      <c r="E40" s="142" t="str">
        <f>LIDER!$E$34</f>
        <v xml:space="preserve">GRUPO#6: ¿CÓMO IDENTIFICAR UNA OPORTUNIDAD DE NEGOCIO PARA TROPISNACK MEDIANTE EL ANALISIS DE MERCADOS POTENCIALES COMO ESPAÑA, CHILE &amp; ESTADOS UNIDOS? 
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LUCINDA GARCIA CASTRO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CARLOS JULIO LOPEZ ALEMAN</v>
      </c>
      <c r="C42" s="33" t="str">
        <f>IF('S-ASIG-06'!D42="","",'S-ASIG-06'!D42)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LAURA SOFÍA PÉREZ ARÉVALO</v>
      </c>
      <c r="C43" s="33" t="str">
        <f>IF('S-ASIG-06'!D43="","",'S-ASIG-06'!D43)</f>
        <v/>
      </c>
      <c r="D43" s="30">
        <f>IF(B43=0,"",IF(C43="",$E$41*LIDER!$H$19+F43*LIDER!$H$20+G43*LIDER!$H$21+H43*LIDER!$H$22+I43*LIDER!$H$23+J43*LIDER!$H$24+K43*LIDER!$H$25,"N"))</f>
        <v>0</v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DYLAN ANDRES RANGEL LOPEZ</v>
      </c>
      <c r="C44" s="33" t="str">
        <f>IF('S-ASIG-06'!D44="","",'S-ASIG-06'!D44)</f>
        <v/>
      </c>
      <c r="D44" s="30">
        <f>IF(B44=0,"",IF(C44="",$E$41*LIDER!$H$19+F44*LIDER!$H$20+G44*LIDER!$H$21+H44*LIDER!$H$22+I44*LIDER!$H$23+J44*LIDER!$H$24+K44*LIDER!$H$25,"N"))</f>
        <v>0</v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SANTIAGO TANGARIFE PONCE</v>
      </c>
      <c r="C45" s="33" t="str">
        <f>IF('S-ASIG-06'!D45="","",'S-ASIG-06'!D45)</f>
        <v/>
      </c>
      <c r="D45" s="30">
        <f>IF(B45=0,"",IF(C45="",$E$41*LIDER!$H$19+F45*LIDER!$H$20+G45*LIDER!$H$21+H45*LIDER!$H$22+I45*LIDER!$H$23+J45*LIDER!$H$24+K45*LIDER!$H$25,"N"))</f>
        <v>0</v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IF('S-ASIG-06'!D47="","",'S-ASIG-06'!D47)</f>
        <v>LIST</v>
      </c>
      <c r="D47" s="35" t="s">
        <v>95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IF('S-ASIG-06'!D54="","",'S-ASIG-06'!D54)</f>
        <v>LIST</v>
      </c>
      <c r="D54" s="35" t="s">
        <v>95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IF('S-ASIG-06'!D61="","",'S-ASIG-06'!D61)</f>
        <v>LIST</v>
      </c>
      <c r="D61" s="35" t="s">
        <v>95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87</v>
      </c>
      <c r="C68" s="32" t="str">
        <f>IF('S-ASIG-06'!D68="","",'S-ASIG-06'!D68)</f>
        <v>LIST</v>
      </c>
      <c r="D68" s="35" t="s">
        <v>95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IF('S-ASIG-06'!D75="","",'S-ASIG-06'!D75)</f>
        <v>LIST</v>
      </c>
      <c r="D75" s="35" t="s">
        <v>95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89</v>
      </c>
      <c r="C82" s="32" t="str">
        <f>IF('S-ASIG-06'!D82="","",'S-ASIG-06'!D82)</f>
        <v>LIST</v>
      </c>
      <c r="D82" s="35" t="s">
        <v>95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3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>
        <f>LIDER!I4</f>
        <v>0</v>
      </c>
      <c r="C2" s="3"/>
      <c r="E2" s="204" t="s">
        <v>90</v>
      </c>
      <c r="F2" s="205"/>
      <c r="G2" s="205"/>
      <c r="H2" s="205"/>
      <c r="I2" s="205"/>
      <c r="J2" s="205"/>
      <c r="K2" s="206"/>
    </row>
    <row r="3" spans="1:11" s="2" customFormat="1" ht="145.5" customHeight="1" thickBot="1">
      <c r="B3" s="4" t="s">
        <v>91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9" t="str">
        <f>CONCATENATE(LIDER!I4," - ",LIDER!I6," - ",LIDER!I5)</f>
        <v xml:space="preserve"> -  - </v>
      </c>
      <c r="F4" s="210"/>
      <c r="G4" s="210"/>
      <c r="H4" s="210"/>
      <c r="I4" s="210"/>
      <c r="J4" s="210"/>
      <c r="K4" s="211"/>
    </row>
    <row r="5" spans="1:11" s="2" customFormat="1" ht="15.75" customHeight="1" thickBot="1">
      <c r="A5" s="8"/>
      <c r="B5" s="27" t="s">
        <v>92</v>
      </c>
      <c r="C5" s="34" t="str">
        <f>IF('S-ASIG-07'!D5="","",'S-ASIG-07'!D5)</f>
        <v>LIST</v>
      </c>
      <c r="D5" s="35" t="s">
        <v>95</v>
      </c>
      <c r="E5" s="142" t="str">
        <f>LIDER!$E$29</f>
        <v xml:space="preserve">GRUPO#1: ANÁLISIS DE OPORTUNIDADES PARA UNA PLATAFORMA DIGITAL DE ACOMPAÑAMIENTO A LA INTERNACIONALIZACIÓN DE PYMES COLOMBIANAS EN ESPAÑA, CHILE Y MÉXICO.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ISABELLA FONTALVO RODRIGUEZ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MARÍA ANGÉLICA LARA MAURY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DILAN ANDRES PEREZ ALVAREZ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IF('S-ASIG-07'!D9="","",'S-ASIG-07'!D9)</f>
        <v/>
      </c>
      <c r="D9" s="30" t="str">
        <f>IF(B9=0,"",IF(C9="",$E$6*LIDER!$H$19+F9*LIDER!$H$20+G9*LIDER!$H$21+H9*LIDER!$H$22+I9*LIDER!$H$23+J9*LIDER!$H$24+K9*LIDER!$H$25,"N"))</f>
        <v/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IF('S-ASIG-07'!D10="","",'S-ASIG-07'!D10)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96</v>
      </c>
      <c r="C12" s="32" t="str">
        <f>IF('S-ASIG-07'!D12="","",'S-ASIG-07'!D12)</f>
        <v>LIST</v>
      </c>
      <c r="D12" s="35" t="s">
        <v>95</v>
      </c>
      <c r="E12" s="142" t="str">
        <f>LIDER!$E$30</f>
        <v>GRUPO#2: Estudio de mercado a partir de la Oportunidad de Negocio para la Implementación de un Probador Virtual e Interactivo 3D en el Sector E-Commerce de Moda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MERLIN YAMAL SMITH FLOREZ GONZALEZ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NELCY CAROLINA MEZA PÉREZ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MIGUEL MATEO PEREZ JIMENEZ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EDWIN JAVIER ROJANO ZÚÑIGA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Danna Alejandra Castro Espinosa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98</v>
      </c>
      <c r="C19" s="32" t="str">
        <f>IF('S-ASIG-07'!D19="","",'S-ASIG-07'!D19)</f>
        <v>LIST</v>
      </c>
      <c r="D19" s="35" t="s">
        <v>95</v>
      </c>
      <c r="E19" s="142" t="str">
        <f>LIDER!$E$31</f>
        <v>GRUPO#3: TINTO SKIN, OPORTUNIDAD DE NEGOCIOS EN TRES MERCADOS:  ECUADOR, PERÚ, EE.UU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MIGUEL ANTONIO BARON REVOLLO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MATTHIAS MATTHIAS CAMPO PASSO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VALERY GARCÍA REYES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JUAN DAVID LOPEZ VIDES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ALEJANDRA MORENO VILLALOBO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100</v>
      </c>
      <c r="C26" s="32" t="str">
        <f>IF('S-ASIG-07'!D26="","",'S-ASIG-07'!D26)</f>
        <v>LIST</v>
      </c>
      <c r="D26" s="35" t="s">
        <v>95</v>
      </c>
      <c r="E26" s="142" t="str">
        <f>LIDER!$E$32</f>
        <v xml:space="preserve">GRUPO#4: IDENTIFICACIÓN DE UNA OPORTUNIDAD DE NEGOCIO PARA LA COMERCIALIZACIÓN DE ROPA DEPORTIVA DE LA MARCA ARVIA EN LOS MERCADOS POTENCIALES DE COSTA RICA, GUATEMALA, HONDURAS.
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DONICEL DE JESUS BUENDIA CAÑATE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MARLON MANUEL CONTRERAS MARTÍNEZ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ALANA ARAI DAVILA GONZALEZ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MATEO DE JESUS MARRUGO CORREA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FRANCISCO JAVIER PALMERA MARTINEZ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JUAN ESTEBAN ZEA NAVARRO</v>
      </c>
      <c r="C32" s="33" t="str">
        <f>IF('S-ASIG-07'!D32="","",'S-ASIG-07'!D32)</f>
        <v/>
      </c>
      <c r="D32" s="30">
        <f>IF(B32=0,"",IF(C32="",$E$27*LIDER!$H$19+F32*LIDER!$H$20+G32*LIDER!$H$21+H32*LIDER!$H$22+I32*LIDER!$H$23+J32*LIDER!$H$24+K32*LIDER!$H$25,"N"))</f>
        <v>0</v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102</v>
      </c>
      <c r="C33" s="32" t="str">
        <f>IF('S-ASIG-07'!D33="","",'S-ASIG-07'!D33)</f>
        <v>LIST</v>
      </c>
      <c r="D33" s="35" t="s">
        <v>95</v>
      </c>
      <c r="E33" s="142" t="str">
        <f>LIDER!$E$33</f>
        <v xml:space="preserve">GRUPO#5: Análisis de Oportunidades para la Internacionalización de un Servicio de Beauty Tech B2B en  México, Ecuador y Estados Unidos. 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JEREMY MACOLL DIAZ PEREZ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SARA OYOLA MARTINEZ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DARIANY PEÑARANDA LLACH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MARIANGEL ROMERO VANEGAS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ISAIAS FERNANDO SALCEDO CAICEDO</v>
      </c>
      <c r="C38" s="33" t="str">
        <f>IF('S-ASIG-07'!D38="","",'S-ASIG-07'!D38)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104</v>
      </c>
      <c r="C40" s="32" t="str">
        <f>IF('S-ASIG-07'!D40="","",'S-ASIG-07'!D40)</f>
        <v>LIST</v>
      </c>
      <c r="D40" s="35" t="s">
        <v>95</v>
      </c>
      <c r="E40" s="142" t="str">
        <f>LIDER!$E$34</f>
        <v xml:space="preserve">GRUPO#6: ¿CÓMO IDENTIFICAR UNA OPORTUNIDAD DE NEGOCIO PARA TROPISNACK MEDIANTE EL ANALISIS DE MERCADOS POTENCIALES COMO ESPAÑA, CHILE &amp; ESTADOS UNIDOS? 
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LUCINDA GARCIA CASTRO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CARLOS JULIO LOPEZ ALEMAN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LAURA SOFÍA PÉREZ ARÉVALO</v>
      </c>
      <c r="C43" s="33" t="str">
        <f>IF('S-ASIG-07'!D43="","",'S-ASIG-07'!D43)</f>
        <v/>
      </c>
      <c r="D43" s="30">
        <f>IF(B43=0,"",IF(C43="",$E$41*LIDER!$H$19+F43*LIDER!$H$20+G43*LIDER!$H$21+H43*LIDER!$H$22+I43*LIDER!$H$23+J43*LIDER!$H$24+K43*LIDER!$H$25,"N"))</f>
        <v>0</v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DYLAN ANDRES RANGEL LOPEZ</v>
      </c>
      <c r="C44" s="33" t="str">
        <f>IF('S-ASIG-07'!D44="","",'S-ASIG-07'!D44)</f>
        <v/>
      </c>
      <c r="D44" s="30">
        <f>IF(B44=0,"",IF(C44="",$E$41*LIDER!$H$19+F44*LIDER!$H$20+G44*LIDER!$H$21+H44*LIDER!$H$22+I44*LIDER!$H$23+J44*LIDER!$H$24+K44*LIDER!$H$25,"N"))</f>
        <v>0</v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SANTIAGO TANGARIFE PONCE</v>
      </c>
      <c r="C45" s="33" t="str">
        <f>IF('S-ASIG-07'!D45="","",'S-ASIG-07'!D45)</f>
        <v/>
      </c>
      <c r="D45" s="30">
        <f>IF(B45=0,"",IF(C45="",$E$41*LIDER!$H$19+F45*LIDER!$H$20+G45*LIDER!$H$21+H45*LIDER!$H$22+I45*LIDER!$H$23+J45*LIDER!$H$24+K45*LIDER!$H$25,"N"))</f>
        <v>0</v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IF('S-ASIG-07'!D47="","",'S-ASIG-07'!D47)</f>
        <v>LIST</v>
      </c>
      <c r="D47" s="35" t="s">
        <v>95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IF('S-ASIG-07'!D54="","",'S-ASIG-07'!D54)</f>
        <v>LIST</v>
      </c>
      <c r="D54" s="35" t="s">
        <v>95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IF('S-ASIG-07'!D61="","",'S-ASIG-07'!D61)</f>
        <v>LIST</v>
      </c>
      <c r="D61" s="35" t="s">
        <v>95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87</v>
      </c>
      <c r="C68" s="32" t="str">
        <f>IF('S-ASIG-07'!D68="","",'S-ASIG-07'!D68)</f>
        <v>LIST</v>
      </c>
      <c r="D68" s="35" t="s">
        <v>95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IF('S-ASIG-07'!D75="","",'S-ASIG-07'!D75)</f>
        <v>LIST</v>
      </c>
      <c r="D75" s="35" t="s">
        <v>95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89</v>
      </c>
      <c r="C82" s="32" t="str">
        <f>IF('S-ASIG-07'!D82="","",'S-ASIG-07'!D82)</f>
        <v>LIST</v>
      </c>
      <c r="D82" s="35" t="s">
        <v>95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opLeftCell="B1" workbookViewId="0">
      <pane xSplit="4" ySplit="4" topLeftCell="F5" activePane="bottomRight" state="frozen"/>
      <selection pane="bottomRight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6" t="str">
        <f>LIDER!B2</f>
        <v>TECNOLOGÍA EN GESTIÓN DE NEGOCIOS INTERN</v>
      </c>
      <c r="H1" s="216"/>
      <c r="I1" s="216"/>
      <c r="J1" s="216"/>
      <c r="K1" s="216"/>
      <c r="L1" s="216"/>
      <c r="M1" s="216"/>
      <c r="N1" s="215" t="str">
        <f>LIDER!E2</f>
        <v>SEMESTRE:</v>
      </c>
      <c r="O1" s="215"/>
      <c r="P1" s="44" t="str">
        <f>LIDER!F2</f>
        <v>SEM-04</v>
      </c>
      <c r="Q1" s="43" t="str">
        <f>LIDER!G2</f>
        <v>SECCIÓN:</v>
      </c>
      <c r="R1" s="44">
        <f>LIDER!H2</f>
        <v>2</v>
      </c>
      <c r="S1" s="42"/>
      <c r="T1" s="42"/>
      <c r="U1" s="45"/>
    </row>
    <row r="2" spans="1:22" ht="20.100000000000001" customHeight="1" thickBot="1">
      <c r="G2" s="212" t="s">
        <v>113</v>
      </c>
      <c r="H2" s="213"/>
      <c r="I2" s="213"/>
      <c r="J2" s="213"/>
      <c r="K2" s="213"/>
      <c r="L2" s="213"/>
      <c r="M2" s="214"/>
      <c r="N2" s="2"/>
      <c r="O2" s="217" t="s">
        <v>114</v>
      </c>
      <c r="P2" s="218"/>
      <c r="Q2" s="218"/>
      <c r="R2" s="218"/>
      <c r="S2" s="218"/>
      <c r="T2" s="218"/>
      <c r="U2" s="219"/>
    </row>
    <row r="3" spans="1:22" ht="20.100000000000001" customHeight="1" thickBot="1">
      <c r="G3" s="48" t="str">
        <f>CONCATENATE("N° : ",LIDER!C6)</f>
        <v>N° : 1796</v>
      </c>
      <c r="H3" s="49" t="str">
        <f>CONCATENATE("N° : ",LIDER!D6)</f>
        <v>N° : 2263</v>
      </c>
      <c r="I3" s="49" t="str">
        <f>CONCATENATE("N° : ",LIDER!E6)</f>
        <v>N° : 2275</v>
      </c>
      <c r="J3" s="49" t="str">
        <f>CONCATENATE("N° : ",LIDER!F6)</f>
        <v>N° : 1437</v>
      </c>
      <c r="K3" s="49" t="str">
        <f>CONCATENATE("N° : ",LIDER!G6)</f>
        <v>N° : 1351</v>
      </c>
      <c r="L3" s="49" t="str">
        <f>CONCATENATE("N° : ",LIDER!H6)</f>
        <v>N° : 1474</v>
      </c>
      <c r="M3" s="50" t="str">
        <f>CONCATENATE("N° : ",LIDER!I6)</f>
        <v xml:space="preserve">N° : </v>
      </c>
      <c r="O3" s="48" t="str">
        <f>G3</f>
        <v>N° : 1796</v>
      </c>
      <c r="P3" s="49" t="str">
        <f t="shared" ref="P3:U3" si="0">H3</f>
        <v>N° : 2263</v>
      </c>
      <c r="Q3" s="49" t="str">
        <f t="shared" si="0"/>
        <v>N° : 2275</v>
      </c>
      <c r="R3" s="49" t="str">
        <f t="shared" si="0"/>
        <v>N° : 1437</v>
      </c>
      <c r="S3" s="49" t="str">
        <f t="shared" si="0"/>
        <v>N° : 1351</v>
      </c>
      <c r="T3" s="49" t="str">
        <f t="shared" si="0"/>
        <v>N° : 1474</v>
      </c>
      <c r="U3" s="50" t="str">
        <f t="shared" si="0"/>
        <v xml:space="preserve">N° : </v>
      </c>
    </row>
    <row r="4" spans="1:22" ht="30" customHeight="1" thickBot="1">
      <c r="A4" s="51"/>
      <c r="B4" s="52" t="s">
        <v>23</v>
      </c>
      <c r="C4" s="53" t="s">
        <v>115</v>
      </c>
      <c r="D4" s="54" t="s">
        <v>116</v>
      </c>
      <c r="E4" s="55" t="s">
        <v>117</v>
      </c>
      <c r="G4" s="56" t="str">
        <f>MID(LIDER!C4,1,9)</f>
        <v>ESTADÍSTI</v>
      </c>
      <c r="H4" s="57" t="str">
        <f>MID(LIDER!D4,1,9)</f>
        <v>ETICA</v>
      </c>
      <c r="I4" s="57" t="str">
        <f>MID(LIDER!E4,1,9)</f>
        <v xml:space="preserve">ELECTIVA </v>
      </c>
      <c r="J4" s="57" t="str">
        <f>MID(LIDER!F4,1,9)</f>
        <v>IMPORTACI</v>
      </c>
      <c r="K4" s="57" t="str">
        <f>MID(LIDER!G4,1,9)</f>
        <v>FUNDAMENT</v>
      </c>
      <c r="L4" s="57" t="str">
        <f>MID(LIDER!H4,1,9)</f>
        <v>FUNDAMENT</v>
      </c>
      <c r="M4" s="58" t="str">
        <f>MID(LIDER!I4,1,9)</f>
        <v/>
      </c>
      <c r="N4" s="59" t="s">
        <v>118</v>
      </c>
      <c r="O4" s="60" t="str">
        <f t="shared" ref="O4:U4" si="1">G4</f>
        <v>ESTADÍSTI</v>
      </c>
      <c r="P4" s="61" t="str">
        <f t="shared" si="1"/>
        <v>ETICA</v>
      </c>
      <c r="Q4" s="61" t="str">
        <f t="shared" si="1"/>
        <v xml:space="preserve">ELECTIVA </v>
      </c>
      <c r="R4" s="61" t="str">
        <f t="shared" si="1"/>
        <v>IMPORTACI</v>
      </c>
      <c r="S4" s="61" t="str">
        <f t="shared" si="1"/>
        <v>FUNDAMENT</v>
      </c>
      <c r="T4" s="61" t="str">
        <f t="shared" si="1"/>
        <v>FUNDAMENT</v>
      </c>
      <c r="U4" s="62" t="str">
        <f t="shared" si="1"/>
        <v/>
      </c>
      <c r="V4" s="59" t="s">
        <v>119</v>
      </c>
    </row>
    <row r="5" spans="1:22" ht="15" customHeight="1">
      <c r="A5" s="12">
        <v>1</v>
      </c>
      <c r="B5" s="63" t="str">
        <f>LIDER!C9</f>
        <v>ISABELLA FONTALVO RODRIGUEZ</v>
      </c>
      <c r="C5" s="64" t="str">
        <f>IF(B5=0,"",IFERROR(VLOOKUP(B5,'S-ASIG-01'!$B$5:$E$88,2,0),0))</f>
        <v>G01</v>
      </c>
      <c r="D5" s="65">
        <f>IF(B5=0,"",IFERROR(SUMIF(G5:M5,"&gt;0",G5:M5)/COUNTIF(G5:M5,"&gt;0"),0))</f>
        <v>3.8350000000000004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4.1800000000000006</v>
      </c>
      <c r="H5" s="65">
        <f>IF(B5=0,"",IFERROR(VLOOKUP(B5,'S-ASIG-02'!$B$5:$E$88,4,0),0))</f>
        <v>3.3500000000000005</v>
      </c>
      <c r="I5" s="65">
        <f>IF(B5=0,"",IFERROR(VLOOKUP(B5,'S-ASIG-03'!$B$5:$E$88,4,0),0))</f>
        <v>3.9000000000000004</v>
      </c>
      <c r="J5" s="65">
        <f>IF(B5=0,"",IFERROR(VLOOKUP(B5,'S-ASIG-04'!$B$5:$E$88,4,0),0))</f>
        <v>3.9599999999999995</v>
      </c>
      <c r="K5" s="65">
        <f>IF(B5=0,"",IFERROR(VLOOKUP(B5,'S-ASIG-05'!$B$5:$E$88,4,0),0))</f>
        <v>3.96</v>
      </c>
      <c r="L5" s="65">
        <f>IF(B5=0,"",IFERROR(VLOOKUP(B5,'S-ASIG-06'!$B$5:$E$88,4,0),0))</f>
        <v>3.66</v>
      </c>
      <c r="M5" s="66">
        <f>IF(B5=0,"",IFERROR(VLOOKUP(B5,'S-ASIG-07'!$B$5:$E$88,4,0),0))</f>
        <v>0</v>
      </c>
      <c r="N5" s="68" t="s">
        <v>120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121</v>
      </c>
    </row>
    <row r="6" spans="1:22" ht="15" customHeight="1">
      <c r="A6" s="12">
        <v>2</v>
      </c>
      <c r="B6" s="70" t="str">
        <f>LIDER!C10</f>
        <v>MARÍA ANGÉLICA LARA MAURY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3.8350000000000004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4.1800000000000006</v>
      </c>
      <c r="H6" s="72">
        <f>IF(B6=0,"",IFERROR(VLOOKUP(B6,'S-ASIG-02'!$B$5:$E$88,4,0),0))</f>
        <v>3.3500000000000005</v>
      </c>
      <c r="I6" s="72">
        <f>IF(B6=0,"",IFERROR(VLOOKUP(B6,'S-ASIG-03'!$B$5:$E$88,4,0),0))</f>
        <v>3.9000000000000004</v>
      </c>
      <c r="J6" s="72">
        <f>IF(B6=0,"",IFERROR(VLOOKUP(B6,'S-ASIG-04'!$B$5:$E$88,4,0),0))</f>
        <v>3.9599999999999995</v>
      </c>
      <c r="K6" s="72">
        <f>IF(B6=0,"",IFERROR(VLOOKUP(B6,'S-ASIG-05'!$B$5:$E$88,4,0),0))</f>
        <v>3.96</v>
      </c>
      <c r="L6" s="72">
        <f>IF(B6=0,"",IFERROR(VLOOKUP(B6,'S-ASIG-06'!$B$5:$E$88,4,0),0))</f>
        <v>3.66</v>
      </c>
      <c r="M6" s="73">
        <f>IF(B6=0,"",IFERROR(VLOOKUP(B6,'S-ASIG-07'!$B$5:$E$88,4,0),0))</f>
        <v>0</v>
      </c>
      <c r="N6" s="68" t="s">
        <v>120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121</v>
      </c>
    </row>
    <row r="7" spans="1:22" ht="15" customHeight="1">
      <c r="A7" s="12">
        <v>3</v>
      </c>
      <c r="B7" s="70" t="str">
        <f>LIDER!C11</f>
        <v>DILAN ANDRES PEREZ ALVAREZ</v>
      </c>
      <c r="C7" s="64" t="str">
        <f>IF(B7=0,"",IFERROR(VLOOKUP(B7,'S-ASIG-01'!$B$5:$E$88,2,0),0))</f>
        <v>G01</v>
      </c>
      <c r="D7" s="65">
        <f t="shared" si="2"/>
        <v>3.8350000000000004</v>
      </c>
      <c r="E7" s="66">
        <f t="shared" si="3"/>
        <v>0</v>
      </c>
      <c r="F7" s="47"/>
      <c r="G7" s="71">
        <f>IF(B7=0,"",IFERROR(VLOOKUP(B7,'S-ASIG-01'!$B$5:$E$88,4,0),0))</f>
        <v>4.1800000000000006</v>
      </c>
      <c r="H7" s="72">
        <f>IF(B7=0,"",IFERROR(VLOOKUP(B7,'S-ASIG-02'!$B$5:$E$88,4,0),0))</f>
        <v>3.3500000000000005</v>
      </c>
      <c r="I7" s="72">
        <f>IF(B7=0,"",IFERROR(VLOOKUP(B7,'S-ASIG-03'!$B$5:$E$88,4,0),0))</f>
        <v>3.9000000000000004</v>
      </c>
      <c r="J7" s="72">
        <f>IF(B7=0,"",IFERROR(VLOOKUP(B7,'S-ASIG-04'!$B$5:$E$88,4,0),0))</f>
        <v>3.9599999999999995</v>
      </c>
      <c r="K7" s="72">
        <f>IF(B7=0,"",IFERROR(VLOOKUP(B7,'S-ASIG-05'!$B$5:$E$88,4,0),0))</f>
        <v>3.96</v>
      </c>
      <c r="L7" s="72">
        <f>IF(B7=0,"",IFERROR(VLOOKUP(B7,'S-ASIG-06'!$B$5:$E$88,4,0),0))</f>
        <v>3.66</v>
      </c>
      <c r="M7" s="73">
        <f>IF(B7=0,"",IFERROR(VLOOKUP(B7,'S-ASIG-07'!$B$5:$E$88,4,0),0))</f>
        <v>0</v>
      </c>
      <c r="N7" s="68" t="s">
        <v>120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121</v>
      </c>
    </row>
    <row r="8" spans="1:22" ht="15" customHeight="1">
      <c r="A8" s="12">
        <v>4</v>
      </c>
      <c r="B8" s="70" t="str">
        <f>LIDER!C12</f>
        <v>MERLIN YAMAL SMITH FLOREZ GONZALEZ</v>
      </c>
      <c r="C8" s="64" t="str">
        <f>IF(B8=0,"",IFERROR(VLOOKUP(B8,'S-ASIG-01'!$B$5:$E$88,2,0),0))</f>
        <v>G02</v>
      </c>
      <c r="D8" s="65">
        <f t="shared" si="2"/>
        <v>3.69</v>
      </c>
      <c r="E8" s="66">
        <f t="shared" si="3"/>
        <v>0</v>
      </c>
      <c r="F8" s="47"/>
      <c r="G8" s="71">
        <f>IF(B8=0,"",IFERROR(VLOOKUP(B8,'S-ASIG-01'!$B$5:$E$88,4,0),0))</f>
        <v>4.01</v>
      </c>
      <c r="H8" s="72">
        <f>IF(B8=0,"",IFERROR(VLOOKUP(B8,'S-ASIG-02'!$B$5:$E$88,4,0),0))</f>
        <v>2.9499999999999997</v>
      </c>
      <c r="I8" s="72">
        <f>IF(B8=0,"",IFERROR(VLOOKUP(B8,'S-ASIG-03'!$B$5:$E$88,4,0),0))</f>
        <v>4.4499999999999993</v>
      </c>
      <c r="J8" s="72">
        <f>IF(B8=0,"",IFERROR(VLOOKUP(B8,'S-ASIG-04'!$B$5:$E$88,4,0),0))</f>
        <v>3.8499999999999996</v>
      </c>
      <c r="K8" s="72">
        <f>IF(B8=0,"",IFERROR(VLOOKUP(B8,'S-ASIG-05'!$B$5:$E$88,4,0),0))</f>
        <v>3.5500000000000003</v>
      </c>
      <c r="L8" s="72">
        <f>IF(B8=0,"",IFERROR(VLOOKUP(B8,'S-ASIG-06'!$B$5:$E$88,4,0),0))</f>
        <v>3.33</v>
      </c>
      <c r="M8" s="73">
        <f>IF(B8=0,"",IFERROR(VLOOKUP(B8,'S-ASIG-07'!$B$5:$E$88,4,0),0))</f>
        <v>0</v>
      </c>
      <c r="N8" s="68" t="s">
        <v>120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121</v>
      </c>
    </row>
    <row r="9" spans="1:22" ht="15" customHeight="1">
      <c r="A9" s="12">
        <v>5</v>
      </c>
      <c r="B9" s="70" t="str">
        <f>LIDER!C13</f>
        <v>NELCY CAROLINA MEZA PÉREZ</v>
      </c>
      <c r="C9" s="64" t="str">
        <f>IF(B9=0,"",IFERROR(VLOOKUP(B9,'S-ASIG-01'!$B$5:$E$88,2,0),0))</f>
        <v>G02</v>
      </c>
      <c r="D9" s="65">
        <f t="shared" si="2"/>
        <v>3.69</v>
      </c>
      <c r="E9" s="66">
        <f t="shared" si="3"/>
        <v>0</v>
      </c>
      <c r="F9" s="47"/>
      <c r="G9" s="71">
        <f>IF(B9=0,"",IFERROR(VLOOKUP(B9,'S-ASIG-01'!$B$5:$E$88,4,0),0))</f>
        <v>4.01</v>
      </c>
      <c r="H9" s="72">
        <f>IF(B9=0,"",IFERROR(VLOOKUP(B9,'S-ASIG-02'!$B$5:$E$88,4,0),0))</f>
        <v>2.9499999999999997</v>
      </c>
      <c r="I9" s="72">
        <f>IF(B9=0,"",IFERROR(VLOOKUP(B9,'S-ASIG-03'!$B$5:$E$88,4,0),0))</f>
        <v>4.4499999999999993</v>
      </c>
      <c r="J9" s="72">
        <f>IF(B9=0,"",IFERROR(VLOOKUP(B9,'S-ASIG-04'!$B$5:$E$88,4,0),0))</f>
        <v>3.8499999999999996</v>
      </c>
      <c r="K9" s="72">
        <f>IF(B9=0,"",IFERROR(VLOOKUP(B9,'S-ASIG-05'!$B$5:$E$88,4,0),0))</f>
        <v>3.5500000000000003</v>
      </c>
      <c r="L9" s="72">
        <f>IF(B9=0,"",IFERROR(VLOOKUP(B9,'S-ASIG-06'!$B$5:$E$88,4,0),0))</f>
        <v>3.33</v>
      </c>
      <c r="M9" s="73">
        <f>IF(B9=0,"",IFERROR(VLOOKUP(B9,'S-ASIG-07'!$B$5:$E$88,4,0),0))</f>
        <v>0</v>
      </c>
      <c r="N9" s="68" t="s">
        <v>120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121</v>
      </c>
    </row>
    <row r="10" spans="1:22" ht="15" customHeight="1">
      <c r="A10" s="12">
        <v>6</v>
      </c>
      <c r="B10" s="70" t="str">
        <f>LIDER!C14</f>
        <v>MIGUEL MATEO PEREZ JIMENEZ</v>
      </c>
      <c r="C10" s="64" t="str">
        <f>IF(B10=0,"",IFERROR(VLOOKUP(B10,'S-ASIG-01'!$B$5:$E$88,2,0),0))</f>
        <v>G02</v>
      </c>
      <c r="D10" s="65">
        <f t="shared" si="2"/>
        <v>3.7619999999999996</v>
      </c>
      <c r="E10" s="66">
        <f t="shared" si="3"/>
        <v>0</v>
      </c>
      <c r="F10" s="47"/>
      <c r="G10" s="71">
        <f>IF(B10=0,"",IFERROR(VLOOKUP(B10,'S-ASIG-01'!$B$5:$E$88,4,0),0))</f>
        <v>4.01</v>
      </c>
      <c r="H10" s="72">
        <f>IF(B10=0,"",IFERROR(VLOOKUP(B10,'S-ASIG-02'!$B$5:$E$88,4,0),0))</f>
        <v>2.9499999999999997</v>
      </c>
      <c r="I10" s="72">
        <f>IF(B10=0,"",IFERROR(VLOOKUP(B10,'S-ASIG-03'!$B$5:$E$88,4,0),0))</f>
        <v>4.4499999999999993</v>
      </c>
      <c r="J10" s="72">
        <f>IF(B10=0,"",IFERROR(VLOOKUP(B10,'S-ASIG-04'!$B$5:$E$88,4,0),0))</f>
        <v>3.8499999999999996</v>
      </c>
      <c r="K10" s="72">
        <f>IF(B10=0,"",IFERROR(VLOOKUP(B10,'S-ASIG-05'!$B$5:$E$88,4,0),0))</f>
        <v>3.5500000000000003</v>
      </c>
      <c r="L10" s="72" t="str">
        <f>IF(B10=0,"",IFERROR(VLOOKUP(B10,'S-ASIG-06'!$B$5:$E$88,4,0),0))</f>
        <v>N</v>
      </c>
      <c r="M10" s="73">
        <f>IF(B10=0,"",IFERROR(VLOOKUP(B10,'S-ASIG-07'!$B$5:$E$88,4,0),0))</f>
        <v>0</v>
      </c>
      <c r="N10" s="68" t="s">
        <v>120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 t="str">
        <f>IF(B10=0,"",IFERROR(VLOOKUP(B10,'T-ASIG-06'!$B$5:$D$88,3,0),0))</f>
        <v>N</v>
      </c>
      <c r="U10" s="73">
        <f>IF(B10=0,"",IFERROR(VLOOKUP(B10,'T-ASIG-07'!$B$5:$D$88,3,0),0))</f>
        <v>0</v>
      </c>
      <c r="V10" s="69" t="s">
        <v>121</v>
      </c>
    </row>
    <row r="11" spans="1:22" ht="15" customHeight="1">
      <c r="A11" s="12">
        <v>7</v>
      </c>
      <c r="B11" s="70" t="str">
        <f>LIDER!C15</f>
        <v>EDWIN JAVIER ROJANO ZÚÑIGA</v>
      </c>
      <c r="C11" s="64" t="str">
        <f>IF(B11=0,"",IFERROR(VLOOKUP(B11,'S-ASIG-01'!$B$5:$E$88,2,0),0))</f>
        <v>G02</v>
      </c>
      <c r="D11" s="65">
        <f t="shared" si="2"/>
        <v>3.69</v>
      </c>
      <c r="E11" s="66">
        <f t="shared" si="3"/>
        <v>0</v>
      </c>
      <c r="F11" s="47"/>
      <c r="G11" s="71">
        <f>IF(B11=0,"",IFERROR(VLOOKUP(B11,'S-ASIG-01'!$B$5:$E$88,4,0),0))</f>
        <v>4.01</v>
      </c>
      <c r="H11" s="72">
        <f>IF(B11=0,"",IFERROR(VLOOKUP(B11,'S-ASIG-02'!$B$5:$E$88,4,0),0))</f>
        <v>2.9499999999999997</v>
      </c>
      <c r="I11" s="72">
        <f>IF(B11=0,"",IFERROR(VLOOKUP(B11,'S-ASIG-03'!$B$5:$E$88,4,0),0))</f>
        <v>4.4499999999999993</v>
      </c>
      <c r="J11" s="72">
        <f>IF(B11=0,"",IFERROR(VLOOKUP(B11,'S-ASIG-04'!$B$5:$E$88,4,0),0))</f>
        <v>3.8499999999999996</v>
      </c>
      <c r="K11" s="72">
        <f>IF(B11=0,"",IFERROR(VLOOKUP(B11,'S-ASIG-05'!$B$5:$E$88,4,0),0))</f>
        <v>3.5500000000000003</v>
      </c>
      <c r="L11" s="72">
        <f>IF(B11=0,"",IFERROR(VLOOKUP(B11,'S-ASIG-06'!$B$5:$E$88,4,0),0))</f>
        <v>3.33</v>
      </c>
      <c r="M11" s="73">
        <f>IF(B11=0,"",IFERROR(VLOOKUP(B11,'S-ASIG-07'!$B$5:$E$88,4,0),0))</f>
        <v>0</v>
      </c>
      <c r="N11" s="68" t="s">
        <v>120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121</v>
      </c>
    </row>
    <row r="12" spans="1:22" ht="15" customHeight="1">
      <c r="A12" s="12">
        <v>8</v>
      </c>
      <c r="B12" s="70" t="str">
        <f>LIDER!C16</f>
        <v>MIGUEL ANTONIO BARON REVOLLO</v>
      </c>
      <c r="C12" s="64" t="str">
        <f>IF(B12=0,"",IFERROR(VLOOKUP(B12,'S-ASIG-01'!$B$5:$E$88,2,0),0))</f>
        <v>G03</v>
      </c>
      <c r="D12" s="65">
        <f t="shared" si="2"/>
        <v>3.5966666666666671</v>
      </c>
      <c r="E12" s="66">
        <f t="shared" si="3"/>
        <v>0</v>
      </c>
      <c r="F12" s="47"/>
      <c r="G12" s="71">
        <f>IF(B12=0,"",IFERROR(VLOOKUP(B12,'S-ASIG-01'!$B$5:$E$88,4,0),0))</f>
        <v>3.97</v>
      </c>
      <c r="H12" s="72">
        <f>IF(B12=0,"",IFERROR(VLOOKUP(B12,'S-ASIG-02'!$B$5:$E$88,4,0),0))</f>
        <v>3.15</v>
      </c>
      <c r="I12" s="72">
        <f>IF(B12=0,"",IFERROR(VLOOKUP(B12,'S-ASIG-03'!$B$5:$E$88,4,0),0))</f>
        <v>3.9000000000000004</v>
      </c>
      <c r="J12" s="72">
        <f>IF(B12=0,"",IFERROR(VLOOKUP(B12,'S-ASIG-04'!$B$5:$E$88,4,0),0))</f>
        <v>3.6900000000000004</v>
      </c>
      <c r="K12" s="72">
        <f>IF(B12=0,"",IFERROR(VLOOKUP(B12,'S-ASIG-05'!$B$5:$E$88,4,0),0))</f>
        <v>3.52</v>
      </c>
      <c r="L12" s="72">
        <f>IF(B12=0,"",IFERROR(VLOOKUP(B12,'S-ASIG-06'!$B$5:$E$88,4,0),0))</f>
        <v>3.35</v>
      </c>
      <c r="M12" s="73">
        <f>IF(B12=0,"",IFERROR(VLOOKUP(B12,'S-ASIG-07'!$B$5:$E$88,4,0),0))</f>
        <v>0</v>
      </c>
      <c r="N12" s="68" t="s">
        <v>120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121</v>
      </c>
    </row>
    <row r="13" spans="1:22" ht="15" customHeight="1">
      <c r="A13" s="12">
        <v>9</v>
      </c>
      <c r="B13" s="70" t="str">
        <f>LIDER!C17</f>
        <v>MATTHIAS MATTHIAS CAMPO PASSO</v>
      </c>
      <c r="C13" s="64" t="str">
        <f>IF(B13=0,"",IFERROR(VLOOKUP(B13,'S-ASIG-01'!$B$5:$E$88,2,0),0))</f>
        <v>G03</v>
      </c>
      <c r="D13" s="65">
        <f t="shared" si="2"/>
        <v>3.5966666666666671</v>
      </c>
      <c r="E13" s="66">
        <f t="shared" si="3"/>
        <v>0</v>
      </c>
      <c r="F13" s="47"/>
      <c r="G13" s="71">
        <f>IF(B13=0,"",IFERROR(VLOOKUP(B13,'S-ASIG-01'!$B$5:$E$88,4,0),0))</f>
        <v>3.97</v>
      </c>
      <c r="H13" s="72">
        <f>IF(B13=0,"",IFERROR(VLOOKUP(B13,'S-ASIG-02'!$B$5:$E$88,4,0),0))</f>
        <v>3.15</v>
      </c>
      <c r="I13" s="72">
        <f>IF(B13=0,"",IFERROR(VLOOKUP(B13,'S-ASIG-03'!$B$5:$E$88,4,0),0))</f>
        <v>3.9000000000000004</v>
      </c>
      <c r="J13" s="72">
        <f>IF(B13=0,"",IFERROR(VLOOKUP(B13,'S-ASIG-04'!$B$5:$E$88,4,0),0))</f>
        <v>3.6900000000000004</v>
      </c>
      <c r="K13" s="72">
        <f>IF(B13=0,"",IFERROR(VLOOKUP(B13,'S-ASIG-05'!$B$5:$E$88,4,0),0))</f>
        <v>3.52</v>
      </c>
      <c r="L13" s="72">
        <f>IF(B13=0,"",IFERROR(VLOOKUP(B13,'S-ASIG-06'!$B$5:$E$88,4,0),0))</f>
        <v>3.35</v>
      </c>
      <c r="M13" s="73">
        <f>IF(B13=0,"",IFERROR(VLOOKUP(B13,'S-ASIG-07'!$B$5:$E$88,4,0),0))</f>
        <v>0</v>
      </c>
      <c r="N13" s="68" t="s">
        <v>120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121</v>
      </c>
    </row>
    <row r="14" spans="1:22" ht="15" customHeight="1">
      <c r="A14" s="12">
        <v>10</v>
      </c>
      <c r="B14" s="70" t="str">
        <f>LIDER!C18</f>
        <v>VALERY GARCÍA REYES</v>
      </c>
      <c r="C14" s="64" t="str">
        <f>IF(B14=0,"",IFERROR(VLOOKUP(B14,'S-ASIG-01'!$B$5:$E$88,2,0),0))</f>
        <v>G03</v>
      </c>
      <c r="D14" s="65">
        <f t="shared" si="2"/>
        <v>3.5966666666666671</v>
      </c>
      <c r="E14" s="66">
        <f t="shared" si="3"/>
        <v>0</v>
      </c>
      <c r="F14" s="47"/>
      <c r="G14" s="71">
        <f>IF(B14=0,"",IFERROR(VLOOKUP(B14,'S-ASIG-01'!$B$5:$E$88,4,0),0))</f>
        <v>3.97</v>
      </c>
      <c r="H14" s="72">
        <f>IF(B14=0,"",IFERROR(VLOOKUP(B14,'S-ASIG-02'!$B$5:$E$88,4,0),0))</f>
        <v>3.15</v>
      </c>
      <c r="I14" s="72">
        <f>IF(B14=0,"",IFERROR(VLOOKUP(B14,'S-ASIG-03'!$B$5:$E$88,4,0),0))</f>
        <v>3.9000000000000004</v>
      </c>
      <c r="J14" s="72">
        <f>IF(B14=0,"",IFERROR(VLOOKUP(B14,'S-ASIG-04'!$B$5:$E$88,4,0),0))</f>
        <v>3.6900000000000004</v>
      </c>
      <c r="K14" s="72">
        <f>IF(B14=0,"",IFERROR(VLOOKUP(B14,'S-ASIG-05'!$B$5:$E$88,4,0),0))</f>
        <v>3.52</v>
      </c>
      <c r="L14" s="72">
        <f>IF(B14=0,"",IFERROR(VLOOKUP(B14,'S-ASIG-06'!$B$5:$E$88,4,0),0))</f>
        <v>3.35</v>
      </c>
      <c r="M14" s="73">
        <f>IF(B14=0,"",IFERROR(VLOOKUP(B14,'S-ASIG-07'!$B$5:$E$88,4,0),0))</f>
        <v>0</v>
      </c>
      <c r="N14" s="68" t="s">
        <v>120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121</v>
      </c>
    </row>
    <row r="15" spans="1:22" ht="15" customHeight="1">
      <c r="A15" s="12">
        <v>11</v>
      </c>
      <c r="B15" s="70" t="str">
        <f>LIDER!C19</f>
        <v>JUAN DAVID LOPEZ VIDES</v>
      </c>
      <c r="C15" s="64" t="str">
        <f>IF(B15=0,"",IFERROR(VLOOKUP(B15,'S-ASIG-01'!$B$5:$E$88,2,0),0))</f>
        <v>G03</v>
      </c>
      <c r="D15" s="65">
        <f t="shared" si="2"/>
        <v>3.5966666666666671</v>
      </c>
      <c r="E15" s="66">
        <f t="shared" si="3"/>
        <v>0</v>
      </c>
      <c r="F15" s="47"/>
      <c r="G15" s="71">
        <f>IF(B15=0,"",IFERROR(VLOOKUP(B15,'S-ASIG-01'!$B$5:$E$88,4,0),0))</f>
        <v>3.97</v>
      </c>
      <c r="H15" s="72">
        <f>IF(B15=0,"",IFERROR(VLOOKUP(B15,'S-ASIG-02'!$B$5:$E$88,4,0),0))</f>
        <v>3.15</v>
      </c>
      <c r="I15" s="72">
        <f>IF(B15=0,"",IFERROR(VLOOKUP(B15,'S-ASIG-03'!$B$5:$E$88,4,0),0))</f>
        <v>3.9000000000000004</v>
      </c>
      <c r="J15" s="72">
        <f>IF(B15=0,"",IFERROR(VLOOKUP(B15,'S-ASIG-04'!$B$5:$E$88,4,0),0))</f>
        <v>3.6900000000000004</v>
      </c>
      <c r="K15" s="72">
        <f>IF(B15=0,"",IFERROR(VLOOKUP(B15,'S-ASIG-05'!$B$5:$E$88,4,0),0))</f>
        <v>3.52</v>
      </c>
      <c r="L15" s="72">
        <f>IF(B15=0,"",IFERROR(VLOOKUP(B15,'S-ASIG-06'!$B$5:$E$88,4,0),0))</f>
        <v>3.35</v>
      </c>
      <c r="M15" s="73">
        <f>IF(B15=0,"",IFERROR(VLOOKUP(B15,'S-ASIG-07'!$B$5:$E$88,4,0),0))</f>
        <v>0</v>
      </c>
      <c r="N15" s="68" t="s">
        <v>120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121</v>
      </c>
    </row>
    <row r="16" spans="1:22" ht="15" customHeight="1">
      <c r="A16" s="12">
        <v>12</v>
      </c>
      <c r="B16" s="70" t="str">
        <f>LIDER!C20</f>
        <v>ALEJANDRA MORENO VILLALOBO</v>
      </c>
      <c r="C16" s="64" t="str">
        <f>IF(B16=0,"",IFERROR(VLOOKUP(B16,'S-ASIG-01'!$B$5:$E$88,2,0),0))</f>
        <v>G03</v>
      </c>
      <c r="D16" s="65">
        <f t="shared" si="2"/>
        <v>3.5966666666666671</v>
      </c>
      <c r="E16" s="66">
        <f t="shared" si="3"/>
        <v>0</v>
      </c>
      <c r="F16" s="47"/>
      <c r="G16" s="71">
        <f>IF(B16=0,"",IFERROR(VLOOKUP(B16,'S-ASIG-01'!$B$5:$E$88,4,0),0))</f>
        <v>3.97</v>
      </c>
      <c r="H16" s="72">
        <f>IF(B16=0,"",IFERROR(VLOOKUP(B16,'S-ASIG-02'!$B$5:$E$88,4,0),0))</f>
        <v>3.15</v>
      </c>
      <c r="I16" s="72">
        <f>IF(B16=0,"",IFERROR(VLOOKUP(B16,'S-ASIG-03'!$B$5:$E$88,4,0),0))</f>
        <v>3.9000000000000004</v>
      </c>
      <c r="J16" s="72">
        <f>IF(B16=0,"",IFERROR(VLOOKUP(B16,'S-ASIG-04'!$B$5:$E$88,4,0),0))</f>
        <v>3.6900000000000004</v>
      </c>
      <c r="K16" s="72">
        <f>IF(B16=0,"",IFERROR(VLOOKUP(B16,'S-ASIG-05'!$B$5:$E$88,4,0),0))</f>
        <v>3.52</v>
      </c>
      <c r="L16" s="72">
        <f>IF(B16=0,"",IFERROR(VLOOKUP(B16,'S-ASIG-06'!$B$5:$E$88,4,0),0))</f>
        <v>3.35</v>
      </c>
      <c r="M16" s="73">
        <f>IF(B16=0,"",IFERROR(VLOOKUP(B16,'S-ASIG-07'!$B$5:$E$88,4,0),0))</f>
        <v>0</v>
      </c>
      <c r="N16" s="68" t="s">
        <v>120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121</v>
      </c>
    </row>
    <row r="17" spans="1:22" ht="15" customHeight="1">
      <c r="A17" s="12">
        <v>13</v>
      </c>
      <c r="B17" s="70" t="str">
        <f>LIDER!C21</f>
        <v>DONICEL DE JESUS BUENDIA CAÑATE</v>
      </c>
      <c r="C17" s="64" t="str">
        <f>IF(B17=0,"",IFERROR(VLOOKUP(B17,'S-ASIG-01'!$B$5:$E$88,2,0),0))</f>
        <v>G04</v>
      </c>
      <c r="D17" s="65">
        <f t="shared" si="2"/>
        <v>3.6616666666666671</v>
      </c>
      <c r="E17" s="66">
        <f t="shared" si="3"/>
        <v>0</v>
      </c>
      <c r="F17" s="47"/>
      <c r="G17" s="71">
        <f>IF(B17=0,"",IFERROR(VLOOKUP(B17,'S-ASIG-01'!$B$5:$E$88,4,0),0))</f>
        <v>4.0600000000000005</v>
      </c>
      <c r="H17" s="72">
        <f>IF(B17=0,"",IFERROR(VLOOKUP(B17,'S-ASIG-02'!$B$5:$E$88,4,0),0))</f>
        <v>3.3000000000000003</v>
      </c>
      <c r="I17" s="72">
        <f>IF(B17=0,"",IFERROR(VLOOKUP(B17,'S-ASIG-03'!$B$5:$E$88,4,0),0))</f>
        <v>3.9299999999999997</v>
      </c>
      <c r="J17" s="72">
        <f>IF(B17=0,"",IFERROR(VLOOKUP(B17,'S-ASIG-04'!$B$5:$E$88,4,0),0))</f>
        <v>3.7700000000000005</v>
      </c>
      <c r="K17" s="72">
        <f>IF(B17=0,"",IFERROR(VLOOKUP(B17,'S-ASIG-05'!$B$5:$E$88,4,0),0))</f>
        <v>3.5500000000000003</v>
      </c>
      <c r="L17" s="72">
        <f>IF(B17=0,"",IFERROR(VLOOKUP(B17,'S-ASIG-06'!$B$5:$E$88,4,0),0))</f>
        <v>3.3600000000000003</v>
      </c>
      <c r="M17" s="73">
        <f>IF(B17=0,"",IFERROR(VLOOKUP(B17,'S-ASIG-07'!$B$5:$E$88,4,0),0))</f>
        <v>0</v>
      </c>
      <c r="N17" s="68" t="s">
        <v>120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121</v>
      </c>
    </row>
    <row r="18" spans="1:22" ht="15" customHeight="1">
      <c r="A18" s="12">
        <v>14</v>
      </c>
      <c r="B18" s="70" t="str">
        <f>LIDER!C22</f>
        <v>MARLON MANUEL CONTRERAS MARTÍNEZ</v>
      </c>
      <c r="C18" s="64" t="str">
        <f>IF(B18=0,"",IFERROR(VLOOKUP(B18,'S-ASIG-01'!$B$5:$E$88,2,0),0))</f>
        <v>G04</v>
      </c>
      <c r="D18" s="65">
        <f t="shared" si="2"/>
        <v>3.6616666666666671</v>
      </c>
      <c r="E18" s="66">
        <f t="shared" si="3"/>
        <v>0</v>
      </c>
      <c r="F18" s="47"/>
      <c r="G18" s="71">
        <f>IF(B18=0,"",IFERROR(VLOOKUP(B18,'S-ASIG-01'!$B$5:$E$88,4,0),0))</f>
        <v>4.0600000000000005</v>
      </c>
      <c r="H18" s="72">
        <f>IF(B18=0,"",IFERROR(VLOOKUP(B18,'S-ASIG-02'!$B$5:$E$88,4,0),0))</f>
        <v>3.3000000000000003</v>
      </c>
      <c r="I18" s="72">
        <f>IF(B18=0,"",IFERROR(VLOOKUP(B18,'S-ASIG-03'!$B$5:$E$88,4,0),0))</f>
        <v>3.9299999999999997</v>
      </c>
      <c r="J18" s="72">
        <f>IF(B18=0,"",IFERROR(VLOOKUP(B18,'S-ASIG-04'!$B$5:$E$88,4,0),0))</f>
        <v>3.7700000000000005</v>
      </c>
      <c r="K18" s="72">
        <f>IF(B18=0,"",IFERROR(VLOOKUP(B18,'S-ASIG-05'!$B$5:$E$88,4,0),0))</f>
        <v>3.5500000000000003</v>
      </c>
      <c r="L18" s="72">
        <f>IF(B18=0,"",IFERROR(VLOOKUP(B18,'S-ASIG-06'!$B$5:$E$88,4,0),0))</f>
        <v>3.3600000000000003</v>
      </c>
      <c r="M18" s="73">
        <f>IF(B18=0,"",IFERROR(VLOOKUP(B18,'S-ASIG-07'!$B$5:$E$88,4,0),0))</f>
        <v>0</v>
      </c>
      <c r="N18" s="68" t="s">
        <v>120</v>
      </c>
      <c r="O18" s="71">
        <f>IF(B18=0,"",IFERROR(VLOOKUP(B18,'T-ASIG-01'!$B$5:$D$88,3,0),0))</f>
        <v>0</v>
      </c>
      <c r="P18" s="72">
        <f>IF(B18=0,"",IFERROR(VLOOKUP(B18,'T-ASIG-02'!$B$5:$D$88,3,0),0))</f>
        <v>0</v>
      </c>
      <c r="Q18" s="72">
        <f>IF(B18=0,"",IFERROR(VLOOKUP(B18,'T-ASIG-03'!$B$5:$D$88,3,0),0))</f>
        <v>0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121</v>
      </c>
    </row>
    <row r="19" spans="1:22" ht="15" customHeight="1">
      <c r="A19" s="12">
        <v>15</v>
      </c>
      <c r="B19" s="70" t="str">
        <f>LIDER!C23</f>
        <v>ALANA ARAI DAVILA GONZALEZ</v>
      </c>
      <c r="C19" s="64" t="str">
        <f>IF(B19=0,"",IFERROR(VLOOKUP(B19,'S-ASIG-01'!$B$5:$E$88,2,0),0))</f>
        <v>G04</v>
      </c>
      <c r="D19" s="65">
        <f t="shared" si="2"/>
        <v>3.6616666666666671</v>
      </c>
      <c r="E19" s="66">
        <f t="shared" si="3"/>
        <v>0</v>
      </c>
      <c r="F19" s="47"/>
      <c r="G19" s="71">
        <f>IF(B19=0,"",IFERROR(VLOOKUP(B19,'S-ASIG-01'!$B$5:$E$88,4,0),0))</f>
        <v>4.0600000000000005</v>
      </c>
      <c r="H19" s="72">
        <f>IF(B19=0,"",IFERROR(VLOOKUP(B19,'S-ASIG-02'!$B$5:$E$88,4,0),0))</f>
        <v>3.3000000000000003</v>
      </c>
      <c r="I19" s="72">
        <f>IF(B19=0,"",IFERROR(VLOOKUP(B19,'S-ASIG-03'!$B$5:$E$88,4,0),0))</f>
        <v>3.9299999999999997</v>
      </c>
      <c r="J19" s="72">
        <f>IF(B19=0,"",IFERROR(VLOOKUP(B19,'S-ASIG-04'!$B$5:$E$88,4,0),0))</f>
        <v>3.7700000000000005</v>
      </c>
      <c r="K19" s="72">
        <f>IF(B19=0,"",IFERROR(VLOOKUP(B19,'S-ASIG-05'!$B$5:$E$88,4,0),0))</f>
        <v>3.5500000000000003</v>
      </c>
      <c r="L19" s="72">
        <f>IF(B19=0,"",IFERROR(VLOOKUP(B19,'S-ASIG-06'!$B$5:$E$88,4,0),0))</f>
        <v>3.3600000000000003</v>
      </c>
      <c r="M19" s="73">
        <f>IF(B19=0,"",IFERROR(VLOOKUP(B19,'S-ASIG-07'!$B$5:$E$88,4,0),0))</f>
        <v>0</v>
      </c>
      <c r="N19" s="68" t="s">
        <v>120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121</v>
      </c>
    </row>
    <row r="20" spans="1:22" ht="15" customHeight="1">
      <c r="A20" s="12">
        <v>16</v>
      </c>
      <c r="B20" s="70" t="str">
        <f>LIDER!C24</f>
        <v>MATEO DE JESUS MARRUGO CORREA</v>
      </c>
      <c r="C20" s="64" t="str">
        <f>IF(B20=0,"",IFERROR(VLOOKUP(B20,'S-ASIG-01'!$B$5:$E$88,2,0),0))</f>
        <v>G04</v>
      </c>
      <c r="D20" s="65">
        <f t="shared" si="2"/>
        <v>3.7220000000000004</v>
      </c>
      <c r="E20" s="66">
        <f t="shared" si="3"/>
        <v>0</v>
      </c>
      <c r="F20" s="47"/>
      <c r="G20" s="71">
        <f>IF(B20=0,"",IFERROR(VLOOKUP(B20,'S-ASIG-01'!$B$5:$E$88,4,0),0))</f>
        <v>4.0600000000000005</v>
      </c>
      <c r="H20" s="72">
        <f>IF(B20=0,"",IFERROR(VLOOKUP(B20,'S-ASIG-02'!$B$5:$E$88,4,0),0))</f>
        <v>3.3000000000000003</v>
      </c>
      <c r="I20" s="72">
        <f>IF(B20=0,"",IFERROR(VLOOKUP(B20,'S-ASIG-03'!$B$5:$E$88,4,0),0))</f>
        <v>3.9299999999999997</v>
      </c>
      <c r="J20" s="72">
        <f>IF(B20=0,"",IFERROR(VLOOKUP(B20,'S-ASIG-04'!$B$5:$E$88,4,0),0))</f>
        <v>3.7700000000000005</v>
      </c>
      <c r="K20" s="72">
        <f>IF(B20=0,"",IFERROR(VLOOKUP(B20,'S-ASIG-05'!$B$5:$E$88,4,0),0))</f>
        <v>3.5500000000000003</v>
      </c>
      <c r="L20" s="72" t="str">
        <f>IF(B20=0,"",IFERROR(VLOOKUP(B20,'S-ASIG-06'!$B$5:$E$88,4,0),0))</f>
        <v>N</v>
      </c>
      <c r="M20" s="73">
        <f>IF(B20=0,"",IFERROR(VLOOKUP(B20,'S-ASIG-07'!$B$5:$E$88,4,0),0))</f>
        <v>0</v>
      </c>
      <c r="N20" s="68" t="s">
        <v>120</v>
      </c>
      <c r="O20" s="71">
        <f>IF(B20=0,"",IFERROR(VLOOKUP(B20,'T-ASIG-01'!$B$5:$D$88,3,0),0))</f>
        <v>0</v>
      </c>
      <c r="P20" s="72">
        <f>IF(B20=0,"",IFERROR(VLOOKUP(B20,'T-ASIG-02'!$B$5:$D$88,3,0),0))</f>
        <v>0</v>
      </c>
      <c r="Q20" s="72">
        <f>IF(B20=0,"",IFERROR(VLOOKUP(B20,'T-ASIG-03'!$B$5:$D$88,3,0),0))</f>
        <v>0</v>
      </c>
      <c r="R20" s="72">
        <f>IF(B20=0,"",IFERROR(VLOOKUP(B20,'T-ASIG-04'!$B$5:$D$88,3,0),0))</f>
        <v>0</v>
      </c>
      <c r="S20" s="72">
        <f>IF(B20=0,"",IFERROR(VLOOKUP(B20,'T-ASIG-05'!$B$5:$D$88,3,0),0))</f>
        <v>0</v>
      </c>
      <c r="T20" s="72" t="str">
        <f>IF(B20=0,"",IFERROR(VLOOKUP(B20,'T-ASIG-06'!$B$5:$D$88,3,0),0))</f>
        <v>N</v>
      </c>
      <c r="U20" s="73">
        <f>IF(B20=0,"",IFERROR(VLOOKUP(B20,'T-ASIG-07'!$B$5:$D$88,3,0),0))</f>
        <v>0</v>
      </c>
      <c r="V20" s="69" t="s">
        <v>121</v>
      </c>
    </row>
    <row r="21" spans="1:22" ht="15" customHeight="1">
      <c r="A21" s="12">
        <v>17</v>
      </c>
      <c r="B21" s="70" t="str">
        <f>LIDER!C25</f>
        <v>FRANCISCO JAVIER PALMERA MARTINEZ</v>
      </c>
      <c r="C21" s="64" t="str">
        <f>IF(B21=0,"",IFERROR(VLOOKUP(B21,'S-ASIG-01'!$B$5:$E$88,2,0),0))</f>
        <v>G04</v>
      </c>
      <c r="D21" s="65">
        <f t="shared" si="2"/>
        <v>3.6616666666666671</v>
      </c>
      <c r="E21" s="66">
        <f t="shared" si="3"/>
        <v>0</v>
      </c>
      <c r="F21" s="47"/>
      <c r="G21" s="71">
        <f>IF(B21=0,"",IFERROR(VLOOKUP(B21,'S-ASIG-01'!$B$5:$E$88,4,0),0))</f>
        <v>4.0600000000000005</v>
      </c>
      <c r="H21" s="72">
        <f>IF(B21=0,"",IFERROR(VLOOKUP(B21,'S-ASIG-02'!$B$5:$E$88,4,0),0))</f>
        <v>3.3000000000000003</v>
      </c>
      <c r="I21" s="72">
        <f>IF(B21=0,"",IFERROR(VLOOKUP(B21,'S-ASIG-03'!$B$5:$E$88,4,0),0))</f>
        <v>3.9299999999999997</v>
      </c>
      <c r="J21" s="72">
        <f>IF(B21=0,"",IFERROR(VLOOKUP(B21,'S-ASIG-04'!$B$5:$E$88,4,0),0))</f>
        <v>3.7700000000000005</v>
      </c>
      <c r="K21" s="72">
        <f>IF(B21=0,"",IFERROR(VLOOKUP(B21,'S-ASIG-05'!$B$5:$E$88,4,0),0))</f>
        <v>3.5500000000000003</v>
      </c>
      <c r="L21" s="72">
        <f>IF(B21=0,"",IFERROR(VLOOKUP(B21,'S-ASIG-06'!$B$5:$E$88,4,0),0))</f>
        <v>3.3600000000000003</v>
      </c>
      <c r="M21" s="73">
        <f>IF(B21=0,"",IFERROR(VLOOKUP(B21,'S-ASIG-07'!$B$5:$E$88,4,0),0))</f>
        <v>0</v>
      </c>
      <c r="N21" s="68" t="s">
        <v>120</v>
      </c>
      <c r="O21" s="71">
        <f>IF(B21=0,"",IFERROR(VLOOKUP(B21,'T-ASIG-01'!$B$5:$D$88,3,0),0))</f>
        <v>0</v>
      </c>
      <c r="P21" s="72">
        <f>IF(B21=0,"",IFERROR(VLOOKUP(B21,'T-ASIG-02'!$B$5:$D$88,3,0),0))</f>
        <v>0</v>
      </c>
      <c r="Q21" s="72">
        <f>IF(B21=0,"",IFERROR(VLOOKUP(B21,'T-ASIG-03'!$B$5:$D$88,3,0),0))</f>
        <v>0</v>
      </c>
      <c r="R21" s="72">
        <f>IF(B21=0,"",IFERROR(VLOOKUP(B21,'T-ASIG-04'!$B$5:$D$88,3,0),0))</f>
        <v>0</v>
      </c>
      <c r="S21" s="72">
        <f>IF(B21=0,"",IFERROR(VLOOKUP(B21,'T-ASIG-05'!$B$5:$D$88,3,0),0))</f>
        <v>0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121</v>
      </c>
    </row>
    <row r="22" spans="1:22" ht="15" customHeight="1">
      <c r="A22" s="12">
        <v>18</v>
      </c>
      <c r="B22" s="70" t="str">
        <f>LIDER!C26</f>
        <v>JUAN ESTEBAN ZEA NAVARRO</v>
      </c>
      <c r="C22" s="64" t="str">
        <f>IF(B22=0,"",IFERROR(VLOOKUP(B22,'S-ASIG-01'!$B$5:$E$88,2,0),0))</f>
        <v>G04</v>
      </c>
      <c r="D22" s="65">
        <f t="shared" si="2"/>
        <v>3.6616666666666671</v>
      </c>
      <c r="E22" s="66">
        <f t="shared" si="3"/>
        <v>0</v>
      </c>
      <c r="F22" s="47"/>
      <c r="G22" s="71">
        <f>IF(B22=0,"",IFERROR(VLOOKUP(B22,'S-ASIG-01'!$B$5:$E$88,4,0),0))</f>
        <v>4.0600000000000005</v>
      </c>
      <c r="H22" s="72">
        <f>IF(B22=0,"",IFERROR(VLOOKUP(B22,'S-ASIG-02'!$B$5:$E$88,4,0),0))</f>
        <v>3.3000000000000003</v>
      </c>
      <c r="I22" s="72">
        <f>IF(B22=0,"",IFERROR(VLOOKUP(B22,'S-ASIG-03'!$B$5:$E$88,4,0),0))</f>
        <v>3.9299999999999997</v>
      </c>
      <c r="J22" s="72">
        <f>IF(B22=0,"",IFERROR(VLOOKUP(B22,'S-ASIG-04'!$B$5:$E$88,4,0),0))</f>
        <v>3.7700000000000005</v>
      </c>
      <c r="K22" s="72">
        <f>IF(B22=0,"",IFERROR(VLOOKUP(B22,'S-ASIG-05'!$B$5:$E$88,4,0),0))</f>
        <v>3.5500000000000003</v>
      </c>
      <c r="L22" s="72">
        <f>IF(B22=0,"",IFERROR(VLOOKUP(B22,'S-ASIG-06'!$B$5:$E$88,4,0),0))</f>
        <v>3.3600000000000003</v>
      </c>
      <c r="M22" s="73">
        <f>IF(B22=0,"",IFERROR(VLOOKUP(B22,'S-ASIG-07'!$B$5:$E$88,4,0),0))</f>
        <v>0</v>
      </c>
      <c r="N22" s="68" t="s">
        <v>120</v>
      </c>
      <c r="O22" s="71">
        <f>IF(B22=0,"",IFERROR(VLOOKUP(B22,'T-ASIG-01'!$B$5:$D$88,3,0),0))</f>
        <v>0</v>
      </c>
      <c r="P22" s="72">
        <f>IF(B22=0,"",IFERROR(VLOOKUP(B22,'T-ASIG-02'!$B$5:$D$88,3,0),0))</f>
        <v>0</v>
      </c>
      <c r="Q22" s="72">
        <f>IF(B22=0,"",IFERROR(VLOOKUP(B22,'T-ASIG-03'!$B$5:$D$88,3,0),0))</f>
        <v>0</v>
      </c>
      <c r="R22" s="72">
        <f>IF(B22=0,"",IFERROR(VLOOKUP(B22,'T-ASIG-04'!$B$5:$D$88,3,0),0))</f>
        <v>0</v>
      </c>
      <c r="S22" s="72">
        <f>IF(B22=0,"",IFERROR(VLOOKUP(B22,'T-ASIG-05'!$B$5:$D$88,3,0),0))</f>
        <v>0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121</v>
      </c>
    </row>
    <row r="23" spans="1:22" ht="15" customHeight="1">
      <c r="A23" s="12">
        <v>19</v>
      </c>
      <c r="B23" s="70" t="str">
        <f>LIDER!C27</f>
        <v>JEREMY MACOLL DIAZ PEREZ</v>
      </c>
      <c r="C23" s="64" t="str">
        <f>IF(B23=0,"",IFERROR(VLOOKUP(B23,'S-ASIG-01'!$B$5:$E$88,2,0),0))</f>
        <v>G05</v>
      </c>
      <c r="D23" s="65">
        <f t="shared" si="2"/>
        <v>3.8833333333333342</v>
      </c>
      <c r="E23" s="66">
        <f t="shared" si="3"/>
        <v>0</v>
      </c>
      <c r="F23" s="47"/>
      <c r="G23" s="71">
        <f>IF(B23=0,"",IFERROR(VLOOKUP(B23,'S-ASIG-01'!$B$5:$E$88,4,0),0))</f>
        <v>4.2200000000000006</v>
      </c>
      <c r="H23" s="72">
        <f>IF(B23=0,"",IFERROR(VLOOKUP(B23,'S-ASIG-02'!$B$5:$E$88,4,0),0))</f>
        <v>3.6500000000000004</v>
      </c>
      <c r="I23" s="72">
        <f>IF(B23=0,"",IFERROR(VLOOKUP(B23,'S-ASIG-03'!$B$5:$E$88,4,0),0))</f>
        <v>4.0199999999999996</v>
      </c>
      <c r="J23" s="72">
        <f>IF(B23=0,"",IFERROR(VLOOKUP(B23,'S-ASIG-04'!$B$5:$E$88,4,0),0))</f>
        <v>3.81</v>
      </c>
      <c r="K23" s="72">
        <f>IF(B23=0,"",IFERROR(VLOOKUP(B23,'S-ASIG-05'!$B$5:$E$88,4,0),0))</f>
        <v>3.7</v>
      </c>
      <c r="L23" s="72">
        <f>IF(B23=0,"",IFERROR(VLOOKUP(B23,'S-ASIG-06'!$B$5:$E$88,4,0),0))</f>
        <v>3.9000000000000004</v>
      </c>
      <c r="M23" s="73">
        <f>IF(B23=0,"",IFERROR(VLOOKUP(B23,'S-ASIG-07'!$B$5:$E$88,4,0),0))</f>
        <v>0</v>
      </c>
      <c r="N23" s="68" t="s">
        <v>120</v>
      </c>
      <c r="O23" s="71">
        <f>IF(B23=0,"",IFERROR(VLOOKUP(B23,'T-ASIG-01'!$B$5:$D$88,3,0),0))</f>
        <v>0</v>
      </c>
      <c r="P23" s="72">
        <f>IF(B23=0,"",IFERROR(VLOOKUP(B23,'T-ASIG-02'!$B$5:$D$88,3,0),0))</f>
        <v>0</v>
      </c>
      <c r="Q23" s="72">
        <f>IF(B23=0,"",IFERROR(VLOOKUP(B23,'T-ASIG-03'!$B$5:$D$88,3,0),0))</f>
        <v>0</v>
      </c>
      <c r="R23" s="72">
        <f>IF(B23=0,"",IFERROR(VLOOKUP(B23,'T-ASIG-04'!$B$5:$D$88,3,0),0))</f>
        <v>0</v>
      </c>
      <c r="S23" s="72">
        <f>IF(B23=0,"",IFERROR(VLOOKUP(B23,'T-ASIG-05'!$B$5:$D$88,3,0),0))</f>
        <v>0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121</v>
      </c>
    </row>
    <row r="24" spans="1:22" ht="15" customHeight="1">
      <c r="A24" s="12">
        <v>20</v>
      </c>
      <c r="B24" s="70" t="str">
        <f>LIDER!C28</f>
        <v>SARA OYOLA MARTINEZ</v>
      </c>
      <c r="C24" s="64" t="str">
        <f>IF(B24=0,"",IFERROR(VLOOKUP(B24,'S-ASIG-01'!$B$5:$E$88,2,0),0))</f>
        <v>G05</v>
      </c>
      <c r="D24" s="65">
        <f t="shared" si="2"/>
        <v>3.8833333333333342</v>
      </c>
      <c r="E24" s="66">
        <f t="shared" si="3"/>
        <v>0</v>
      </c>
      <c r="F24" s="47"/>
      <c r="G24" s="71">
        <f>IF(B24=0,"",IFERROR(VLOOKUP(B24,'S-ASIG-01'!$B$5:$E$88,4,0),0))</f>
        <v>4.2200000000000006</v>
      </c>
      <c r="H24" s="72">
        <f>IF(B24=0,"",IFERROR(VLOOKUP(B24,'S-ASIG-02'!$B$5:$E$88,4,0),0))</f>
        <v>3.6500000000000004</v>
      </c>
      <c r="I24" s="72">
        <f>IF(B24=0,"",IFERROR(VLOOKUP(B24,'S-ASIG-03'!$B$5:$E$88,4,0),0))</f>
        <v>4.0199999999999996</v>
      </c>
      <c r="J24" s="72">
        <f>IF(B24=0,"",IFERROR(VLOOKUP(B24,'S-ASIG-04'!$B$5:$E$88,4,0),0))</f>
        <v>3.81</v>
      </c>
      <c r="K24" s="72">
        <f>IF(B24=0,"",IFERROR(VLOOKUP(B24,'S-ASIG-05'!$B$5:$E$88,4,0),0))</f>
        <v>3.7</v>
      </c>
      <c r="L24" s="72">
        <f>IF(B24=0,"",IFERROR(VLOOKUP(B24,'S-ASIG-06'!$B$5:$E$88,4,0),0))</f>
        <v>3.9000000000000004</v>
      </c>
      <c r="M24" s="73">
        <f>IF(B24=0,"",IFERROR(VLOOKUP(B24,'S-ASIG-07'!$B$5:$E$88,4,0),0))</f>
        <v>0</v>
      </c>
      <c r="N24" s="68" t="s">
        <v>120</v>
      </c>
      <c r="O24" s="71">
        <f>IF(B24=0,"",IFERROR(VLOOKUP(B24,'T-ASIG-01'!$B$5:$D$88,3,0),0))</f>
        <v>0</v>
      </c>
      <c r="P24" s="72">
        <f>IF(B24=0,"",IFERROR(VLOOKUP(B24,'T-ASIG-02'!$B$5:$D$88,3,0),0))</f>
        <v>0</v>
      </c>
      <c r="Q24" s="72">
        <f>IF(B24=0,"",IFERROR(VLOOKUP(B24,'T-ASIG-03'!$B$5:$D$88,3,0),0))</f>
        <v>0</v>
      </c>
      <c r="R24" s="72">
        <f>IF(B24=0,"",IFERROR(VLOOKUP(B24,'T-ASIG-04'!$B$5:$D$88,3,0),0))</f>
        <v>0</v>
      </c>
      <c r="S24" s="72">
        <f>IF(B24=0,"",IFERROR(VLOOKUP(B24,'T-ASIG-05'!$B$5:$D$88,3,0),0))</f>
        <v>0</v>
      </c>
      <c r="T24" s="72">
        <f>IF(B24=0,"",IFERROR(VLOOKUP(B24,'T-ASIG-06'!$B$5:$D$88,3,0),0))</f>
        <v>0</v>
      </c>
      <c r="U24" s="73">
        <f>IF(B24=0,"",IFERROR(VLOOKUP(B24,'T-ASIG-07'!$B$5:$D$88,3,0),0))</f>
        <v>0</v>
      </c>
      <c r="V24" s="69" t="s">
        <v>121</v>
      </c>
    </row>
    <row r="25" spans="1:22" ht="15" customHeight="1">
      <c r="A25" s="12">
        <v>21</v>
      </c>
      <c r="B25" s="70" t="str">
        <f>LIDER!C29</f>
        <v>DARIANY PEÑARANDA LLACH</v>
      </c>
      <c r="C25" s="64" t="str">
        <f>IF(B25=0,"",IFERROR(VLOOKUP(B25,'S-ASIG-01'!$B$5:$E$88,2,0),0))</f>
        <v>G05</v>
      </c>
      <c r="D25" s="65">
        <f t="shared" si="2"/>
        <v>3.8833333333333342</v>
      </c>
      <c r="E25" s="66">
        <f t="shared" si="3"/>
        <v>0</v>
      </c>
      <c r="F25" s="47"/>
      <c r="G25" s="71">
        <f>IF(B25=0,"",IFERROR(VLOOKUP(B25,'S-ASIG-01'!$B$5:$E$88,4,0),0))</f>
        <v>4.2200000000000006</v>
      </c>
      <c r="H25" s="72">
        <f>IF(B25=0,"",IFERROR(VLOOKUP(B25,'S-ASIG-02'!$B$5:$E$88,4,0),0))</f>
        <v>3.6500000000000004</v>
      </c>
      <c r="I25" s="72">
        <f>IF(B25=0,"",IFERROR(VLOOKUP(B25,'S-ASIG-03'!$B$5:$E$88,4,0),0))</f>
        <v>4.0199999999999996</v>
      </c>
      <c r="J25" s="72">
        <f>IF(B25=0,"",IFERROR(VLOOKUP(B25,'S-ASIG-04'!$B$5:$E$88,4,0),0))</f>
        <v>3.81</v>
      </c>
      <c r="K25" s="72">
        <f>IF(B25=0,"",IFERROR(VLOOKUP(B25,'S-ASIG-05'!$B$5:$E$88,4,0),0))</f>
        <v>3.7</v>
      </c>
      <c r="L25" s="72">
        <f>IF(B25=0,"",IFERROR(VLOOKUP(B25,'S-ASIG-06'!$B$5:$E$88,4,0),0))</f>
        <v>3.9000000000000004</v>
      </c>
      <c r="M25" s="73">
        <f>IF(B25=0,"",IFERROR(VLOOKUP(B25,'S-ASIG-07'!$B$5:$E$88,4,0),0))</f>
        <v>0</v>
      </c>
      <c r="N25" s="68" t="s">
        <v>120</v>
      </c>
      <c r="O25" s="71">
        <f>IF(B25=0,"",IFERROR(VLOOKUP(B25,'T-ASIG-01'!$B$5:$D$88,3,0),0))</f>
        <v>0</v>
      </c>
      <c r="P25" s="72">
        <f>IF(B25=0,"",IFERROR(VLOOKUP(B25,'T-ASIG-02'!$B$5:$D$88,3,0),0))</f>
        <v>0</v>
      </c>
      <c r="Q25" s="72">
        <f>IF(B25=0,"",IFERROR(VLOOKUP(B25,'T-ASIG-03'!$B$5:$D$88,3,0),0))</f>
        <v>0</v>
      </c>
      <c r="R25" s="72">
        <f>IF(B25=0,"",IFERROR(VLOOKUP(B25,'T-ASIG-04'!$B$5:$D$88,3,0),0))</f>
        <v>0</v>
      </c>
      <c r="S25" s="72">
        <f>IF(B25=0,"",IFERROR(VLOOKUP(B25,'T-ASIG-05'!$B$5:$D$88,3,0),0))</f>
        <v>0</v>
      </c>
      <c r="T25" s="72">
        <f>IF(B25=0,"",IFERROR(VLOOKUP(B25,'T-ASIG-06'!$B$5:$D$88,3,0),0))</f>
        <v>0</v>
      </c>
      <c r="U25" s="73">
        <f>IF(B25=0,"",IFERROR(VLOOKUP(B25,'T-ASIG-07'!$B$5:$D$88,3,0),0))</f>
        <v>0</v>
      </c>
      <c r="V25" s="69" t="s">
        <v>121</v>
      </c>
    </row>
    <row r="26" spans="1:22" ht="15" customHeight="1">
      <c r="A26" s="12">
        <v>22</v>
      </c>
      <c r="B26" s="70" t="str">
        <f>LIDER!C30</f>
        <v>MARIANGEL ROMERO VANEGAS</v>
      </c>
      <c r="C26" s="64" t="str">
        <f>IF(B26=0,"",IFERROR(VLOOKUP(B26,'S-ASIG-01'!$B$5:$E$88,2,0),0))</f>
        <v>G05</v>
      </c>
      <c r="D26" s="65">
        <f t="shared" si="2"/>
        <v>3.8833333333333342</v>
      </c>
      <c r="E26" s="66">
        <f t="shared" si="3"/>
        <v>0</v>
      </c>
      <c r="F26" s="47"/>
      <c r="G26" s="71">
        <f>IF(B26=0,"",IFERROR(VLOOKUP(B26,'S-ASIG-01'!$B$5:$E$88,4,0),0))</f>
        <v>4.2200000000000006</v>
      </c>
      <c r="H26" s="72">
        <f>IF(B26=0,"",IFERROR(VLOOKUP(B26,'S-ASIG-02'!$B$5:$E$88,4,0),0))</f>
        <v>3.6500000000000004</v>
      </c>
      <c r="I26" s="72">
        <f>IF(B26=0,"",IFERROR(VLOOKUP(B26,'S-ASIG-03'!$B$5:$E$88,4,0),0))</f>
        <v>4.0199999999999996</v>
      </c>
      <c r="J26" s="72">
        <f>IF(B26=0,"",IFERROR(VLOOKUP(B26,'S-ASIG-04'!$B$5:$E$88,4,0),0))</f>
        <v>3.81</v>
      </c>
      <c r="K26" s="72">
        <f>IF(B26=0,"",IFERROR(VLOOKUP(B26,'S-ASIG-05'!$B$5:$E$88,4,0),0))</f>
        <v>3.7</v>
      </c>
      <c r="L26" s="72">
        <f>IF(B26=0,"",IFERROR(VLOOKUP(B26,'S-ASIG-06'!$B$5:$E$88,4,0),0))</f>
        <v>3.9000000000000004</v>
      </c>
      <c r="M26" s="73">
        <f>IF(B26=0,"",IFERROR(VLOOKUP(B26,'S-ASIG-07'!$B$5:$E$88,4,0),0))</f>
        <v>0</v>
      </c>
      <c r="N26" s="68" t="s">
        <v>120</v>
      </c>
      <c r="O26" s="71">
        <f>IF(B26=0,"",IFERROR(VLOOKUP(B26,'T-ASIG-01'!$B$5:$D$88,3,0),0))</f>
        <v>0</v>
      </c>
      <c r="P26" s="72">
        <f>IF(B26=0,"",IFERROR(VLOOKUP(B26,'T-ASIG-02'!$B$5:$D$88,3,0),0))</f>
        <v>0</v>
      </c>
      <c r="Q26" s="72">
        <f>IF(B26=0,"",IFERROR(VLOOKUP(B26,'T-ASIG-03'!$B$5:$D$88,3,0),0))</f>
        <v>0</v>
      </c>
      <c r="R26" s="72">
        <f>IF(B26=0,"",IFERROR(VLOOKUP(B26,'T-ASIG-04'!$B$5:$D$88,3,0),0))</f>
        <v>0</v>
      </c>
      <c r="S26" s="72">
        <f>IF(B26=0,"",IFERROR(VLOOKUP(B26,'T-ASIG-05'!$B$5:$D$88,3,0),0))</f>
        <v>0</v>
      </c>
      <c r="T26" s="72">
        <f>IF(B26=0,"",IFERROR(VLOOKUP(B26,'T-ASIG-06'!$B$5:$D$88,3,0),0))</f>
        <v>0</v>
      </c>
      <c r="U26" s="73">
        <f>IF(B26=0,"",IFERROR(VLOOKUP(B26,'T-ASIG-07'!$B$5:$D$88,3,0),0))</f>
        <v>0</v>
      </c>
      <c r="V26" s="69" t="s">
        <v>121</v>
      </c>
    </row>
    <row r="27" spans="1:22" ht="15" customHeight="1">
      <c r="A27" s="12">
        <v>23</v>
      </c>
      <c r="B27" s="70" t="str">
        <f>LIDER!C31</f>
        <v>ISAIAS FERNANDO SALCEDO CAICEDO</v>
      </c>
      <c r="C27" s="64" t="str">
        <f>IF(B27=0,"",IFERROR(VLOOKUP(B27,'S-ASIG-01'!$B$5:$E$88,2,0),0))</f>
        <v>G05</v>
      </c>
      <c r="D27" s="65">
        <f t="shared" si="2"/>
        <v>3.8833333333333342</v>
      </c>
      <c r="E27" s="66">
        <f t="shared" si="3"/>
        <v>0</v>
      </c>
      <c r="F27" s="47"/>
      <c r="G27" s="71">
        <f>IF(B27=0,"",IFERROR(VLOOKUP(B27,'S-ASIG-01'!$B$5:$E$88,4,0),0))</f>
        <v>4.2200000000000006</v>
      </c>
      <c r="H27" s="72">
        <f>IF(B27=0,"",IFERROR(VLOOKUP(B27,'S-ASIG-02'!$B$5:$E$88,4,0),0))</f>
        <v>3.6500000000000004</v>
      </c>
      <c r="I27" s="72">
        <f>IF(B27=0,"",IFERROR(VLOOKUP(B27,'S-ASIG-03'!$B$5:$E$88,4,0),0))</f>
        <v>4.0199999999999996</v>
      </c>
      <c r="J27" s="72">
        <f>IF(B27=0,"",IFERROR(VLOOKUP(B27,'S-ASIG-04'!$B$5:$E$88,4,0),0))</f>
        <v>3.81</v>
      </c>
      <c r="K27" s="72">
        <f>IF(B27=0,"",IFERROR(VLOOKUP(B27,'S-ASIG-05'!$B$5:$E$88,4,0),0))</f>
        <v>3.7</v>
      </c>
      <c r="L27" s="72">
        <f>IF(B27=0,"",IFERROR(VLOOKUP(B27,'S-ASIG-06'!$B$5:$E$88,4,0),0))</f>
        <v>3.9000000000000004</v>
      </c>
      <c r="M27" s="73">
        <f>IF(B27=0,"",IFERROR(VLOOKUP(B27,'S-ASIG-07'!$B$5:$E$88,4,0),0))</f>
        <v>0</v>
      </c>
      <c r="N27" s="68" t="s">
        <v>120</v>
      </c>
      <c r="O27" s="71">
        <f>IF(B27=0,"",IFERROR(VLOOKUP(B27,'T-ASIG-01'!$B$5:$D$88,3,0),0))</f>
        <v>0</v>
      </c>
      <c r="P27" s="72">
        <f>IF(B27=0,"",IFERROR(VLOOKUP(B27,'T-ASIG-02'!$B$5:$D$88,3,0),0))</f>
        <v>0</v>
      </c>
      <c r="Q27" s="72">
        <f>IF(B27=0,"",IFERROR(VLOOKUP(B27,'T-ASIG-03'!$B$5:$D$88,3,0),0))</f>
        <v>0</v>
      </c>
      <c r="R27" s="72">
        <f>IF(B27=0,"",IFERROR(VLOOKUP(B27,'T-ASIG-04'!$B$5:$D$88,3,0),0))</f>
        <v>0</v>
      </c>
      <c r="S27" s="72">
        <f>IF(B27=0,"",IFERROR(VLOOKUP(B27,'T-ASIG-05'!$B$5:$D$88,3,0),0))</f>
        <v>0</v>
      </c>
      <c r="T27" s="72">
        <f>IF(B27=0,"",IFERROR(VLOOKUP(B27,'T-ASIG-06'!$B$5:$D$88,3,0),0))</f>
        <v>0</v>
      </c>
      <c r="U27" s="73">
        <f>IF(B27=0,"",IFERROR(VLOOKUP(B27,'T-ASIG-07'!$B$5:$D$88,3,0),0))</f>
        <v>0</v>
      </c>
      <c r="V27" s="69" t="s">
        <v>121</v>
      </c>
    </row>
    <row r="28" spans="1:22" ht="15" customHeight="1">
      <c r="A28" s="12">
        <v>24</v>
      </c>
      <c r="B28" s="70" t="str">
        <f>LIDER!C32</f>
        <v>LUCINDA GARCIA CASTRO</v>
      </c>
      <c r="C28" s="64" t="str">
        <f>IF(B28=0,"",IFERROR(VLOOKUP(B28,'S-ASIG-01'!$B$5:$E$88,2,0),0))</f>
        <v>G06</v>
      </c>
      <c r="D28" s="65">
        <f t="shared" si="2"/>
        <v>3.9449999999999998</v>
      </c>
      <c r="E28" s="66">
        <f t="shared" si="3"/>
        <v>0</v>
      </c>
      <c r="F28" s="47"/>
      <c r="G28" s="71">
        <f>IF(B28=0,"",IFERROR(VLOOKUP(B28,'S-ASIG-01'!$B$5:$E$88,4,0),0))</f>
        <v>4.45</v>
      </c>
      <c r="H28" s="72">
        <f>IF(B28=0,"",IFERROR(VLOOKUP(B28,'S-ASIG-02'!$B$5:$E$88,4,0),0))</f>
        <v>4.0999999999999996</v>
      </c>
      <c r="I28" s="72">
        <f>IF(B28=0,"",IFERROR(VLOOKUP(B28,'S-ASIG-03'!$B$5:$E$88,4,0),0))</f>
        <v>3.34</v>
      </c>
      <c r="J28" s="72">
        <f>IF(B28=0,"",IFERROR(VLOOKUP(B28,'S-ASIG-04'!$B$5:$E$88,4,0),0))</f>
        <v>3.8200000000000003</v>
      </c>
      <c r="K28" s="72">
        <f>IF(B28=0,"",IFERROR(VLOOKUP(B28,'S-ASIG-05'!$B$5:$E$88,4,0),0))</f>
        <v>3.9</v>
      </c>
      <c r="L28" s="72">
        <f>IF(B28=0,"",IFERROR(VLOOKUP(B28,'S-ASIG-06'!$B$5:$E$88,4,0),0))</f>
        <v>4.0599999999999996</v>
      </c>
      <c r="M28" s="73">
        <f>IF(B28=0,"",IFERROR(VLOOKUP(B28,'S-ASIG-07'!$B$5:$E$88,4,0),0))</f>
        <v>0</v>
      </c>
      <c r="N28" s="68" t="s">
        <v>120</v>
      </c>
      <c r="O28" s="71">
        <f>IF(B28=0,"",IFERROR(VLOOKUP(B28,'T-ASIG-01'!$B$5:$D$88,3,0),0))</f>
        <v>0</v>
      </c>
      <c r="P28" s="72">
        <f>IF(B28=0,"",IFERROR(VLOOKUP(B28,'T-ASIG-02'!$B$5:$D$88,3,0),0))</f>
        <v>0</v>
      </c>
      <c r="Q28" s="72">
        <f>IF(B28=0,"",IFERROR(VLOOKUP(B28,'T-ASIG-03'!$B$5:$D$88,3,0),0))</f>
        <v>0</v>
      </c>
      <c r="R28" s="72">
        <f>IF(B28=0,"",IFERROR(VLOOKUP(B28,'T-ASIG-04'!$B$5:$D$88,3,0),0))</f>
        <v>0</v>
      </c>
      <c r="S28" s="72">
        <f>IF(B28=0,"",IFERROR(VLOOKUP(B28,'T-ASIG-05'!$B$5:$D$88,3,0),0))</f>
        <v>0</v>
      </c>
      <c r="T28" s="72">
        <f>IF(B28=0,"",IFERROR(VLOOKUP(B28,'T-ASIG-06'!$B$5:$D$88,3,0),0))</f>
        <v>0</v>
      </c>
      <c r="U28" s="73">
        <f>IF(B28=0,"",IFERROR(VLOOKUP(B28,'T-ASIG-07'!$B$5:$D$88,3,0),0))</f>
        <v>0</v>
      </c>
      <c r="V28" s="69" t="s">
        <v>121</v>
      </c>
    </row>
    <row r="29" spans="1:22" ht="15" customHeight="1">
      <c r="A29" s="12">
        <v>25</v>
      </c>
      <c r="B29" s="70" t="str">
        <f>LIDER!C33</f>
        <v>CARLOS JULIO LOPEZ ALEMAN</v>
      </c>
      <c r="C29" s="64" t="str">
        <f>IF(B29=0,"",IFERROR(VLOOKUP(B29,'S-ASIG-01'!$B$5:$E$88,2,0),0))</f>
        <v>G06</v>
      </c>
      <c r="D29" s="65">
        <f t="shared" si="2"/>
        <v>3.9449999999999998</v>
      </c>
      <c r="E29" s="66">
        <f t="shared" si="3"/>
        <v>0</v>
      </c>
      <c r="F29" s="47"/>
      <c r="G29" s="71">
        <f>IF(B29=0,"",IFERROR(VLOOKUP(B29,'S-ASIG-01'!$B$5:$E$88,4,0),0))</f>
        <v>4.45</v>
      </c>
      <c r="H29" s="72">
        <f>IF(B29=0,"",IFERROR(VLOOKUP(B29,'S-ASIG-02'!$B$5:$E$88,4,0),0))</f>
        <v>4.0999999999999996</v>
      </c>
      <c r="I29" s="72">
        <f>IF(B29=0,"",IFERROR(VLOOKUP(B29,'S-ASIG-03'!$B$5:$E$88,4,0),0))</f>
        <v>3.34</v>
      </c>
      <c r="J29" s="72">
        <f>IF(B29=0,"",IFERROR(VLOOKUP(B29,'S-ASIG-04'!$B$5:$E$88,4,0),0))</f>
        <v>3.8200000000000003</v>
      </c>
      <c r="K29" s="72">
        <f>IF(B29=0,"",IFERROR(VLOOKUP(B29,'S-ASIG-05'!$B$5:$E$88,4,0),0))</f>
        <v>3.9</v>
      </c>
      <c r="L29" s="72">
        <f>IF(B29=0,"",IFERROR(VLOOKUP(B29,'S-ASIG-06'!$B$5:$E$88,4,0),0))</f>
        <v>4.0599999999999996</v>
      </c>
      <c r="M29" s="73">
        <f>IF(B29=0,"",IFERROR(VLOOKUP(B29,'S-ASIG-07'!$B$5:$E$88,4,0),0))</f>
        <v>0</v>
      </c>
      <c r="N29" s="68" t="s">
        <v>120</v>
      </c>
      <c r="O29" s="71">
        <f>IF(B29=0,"",IFERROR(VLOOKUP(B29,'T-ASIG-01'!$B$5:$D$88,3,0),0))</f>
        <v>0</v>
      </c>
      <c r="P29" s="72">
        <f>IF(B29=0,"",IFERROR(VLOOKUP(B29,'T-ASIG-02'!$B$5:$D$88,3,0),0))</f>
        <v>0</v>
      </c>
      <c r="Q29" s="72">
        <f>IF(B29=0,"",IFERROR(VLOOKUP(B29,'T-ASIG-03'!$B$5:$D$88,3,0),0))</f>
        <v>0</v>
      </c>
      <c r="R29" s="72">
        <f>IF(B29=0,"",IFERROR(VLOOKUP(B29,'T-ASIG-04'!$B$5:$D$88,3,0),0))</f>
        <v>0</v>
      </c>
      <c r="S29" s="72">
        <f>IF(B29=0,"",IFERROR(VLOOKUP(B29,'T-ASIG-05'!$B$5:$D$88,3,0),0))</f>
        <v>0</v>
      </c>
      <c r="T29" s="72">
        <f>IF(B29=0,"",IFERROR(VLOOKUP(B29,'T-ASIG-06'!$B$5:$D$88,3,0),0))</f>
        <v>0</v>
      </c>
      <c r="U29" s="73">
        <f>IF(B29=0,"",IFERROR(VLOOKUP(B29,'T-ASIG-07'!$B$5:$D$88,3,0),0))</f>
        <v>0</v>
      </c>
      <c r="V29" s="69" t="s">
        <v>121</v>
      </c>
    </row>
    <row r="30" spans="1:22" ht="15" customHeight="1">
      <c r="A30" s="12">
        <v>26</v>
      </c>
      <c r="B30" s="70" t="str">
        <f>LIDER!C34</f>
        <v>LAURA SOFÍA PÉREZ ARÉVALO</v>
      </c>
      <c r="C30" s="64" t="str">
        <f>IF(B30=0,"",IFERROR(VLOOKUP(B30,'S-ASIG-01'!$B$5:$E$88,2,0),0))</f>
        <v>G06</v>
      </c>
      <c r="D30" s="65">
        <f t="shared" si="2"/>
        <v>3.9449999999999998</v>
      </c>
      <c r="E30" s="66">
        <f t="shared" si="3"/>
        <v>0</v>
      </c>
      <c r="F30" s="47"/>
      <c r="G30" s="71">
        <f>IF(B30=0,"",IFERROR(VLOOKUP(B30,'S-ASIG-01'!$B$5:$E$88,4,0),0))</f>
        <v>4.45</v>
      </c>
      <c r="H30" s="72">
        <f>IF(B30=0,"",IFERROR(VLOOKUP(B30,'S-ASIG-02'!$B$5:$E$88,4,0),0))</f>
        <v>4.0999999999999996</v>
      </c>
      <c r="I30" s="72">
        <f>IF(B30=0,"",IFERROR(VLOOKUP(B30,'S-ASIG-03'!$B$5:$E$88,4,0),0))</f>
        <v>3.34</v>
      </c>
      <c r="J30" s="72">
        <f>IF(B30=0,"",IFERROR(VLOOKUP(B30,'S-ASIG-04'!$B$5:$E$88,4,0),0))</f>
        <v>3.8200000000000003</v>
      </c>
      <c r="K30" s="72">
        <f>IF(B30=0,"",IFERROR(VLOOKUP(B30,'S-ASIG-05'!$B$5:$E$88,4,0),0))</f>
        <v>3.9</v>
      </c>
      <c r="L30" s="72">
        <f>IF(B30=0,"",IFERROR(VLOOKUP(B30,'S-ASIG-06'!$B$5:$E$88,4,0),0))</f>
        <v>4.0599999999999996</v>
      </c>
      <c r="M30" s="73">
        <f>IF(B30=0,"",IFERROR(VLOOKUP(B30,'S-ASIG-07'!$B$5:$E$88,4,0),0))</f>
        <v>0</v>
      </c>
      <c r="N30" s="68" t="s">
        <v>120</v>
      </c>
      <c r="O30" s="71">
        <f>IF(B30=0,"",IFERROR(VLOOKUP(B30,'T-ASIG-01'!$B$5:$D$88,3,0),0))</f>
        <v>0</v>
      </c>
      <c r="P30" s="72">
        <f>IF(B30=0,"",IFERROR(VLOOKUP(B30,'T-ASIG-02'!$B$5:$D$88,3,0),0))</f>
        <v>0</v>
      </c>
      <c r="Q30" s="72">
        <f>IF(B30=0,"",IFERROR(VLOOKUP(B30,'T-ASIG-03'!$B$5:$D$88,3,0),0))</f>
        <v>0</v>
      </c>
      <c r="R30" s="72">
        <f>IF(B30=0,"",IFERROR(VLOOKUP(B30,'T-ASIG-04'!$B$5:$D$88,3,0),0))</f>
        <v>0</v>
      </c>
      <c r="S30" s="72">
        <f>IF(B30=0,"",IFERROR(VLOOKUP(B30,'T-ASIG-05'!$B$5:$D$88,3,0),0))</f>
        <v>0</v>
      </c>
      <c r="T30" s="72">
        <f>IF(B30=0,"",IFERROR(VLOOKUP(B30,'T-ASIG-06'!$B$5:$D$88,3,0),0))</f>
        <v>0</v>
      </c>
      <c r="U30" s="73">
        <f>IF(B30=0,"",IFERROR(VLOOKUP(B30,'T-ASIG-07'!$B$5:$D$88,3,0),0))</f>
        <v>0</v>
      </c>
      <c r="V30" s="69" t="s">
        <v>121</v>
      </c>
    </row>
    <row r="31" spans="1:22" ht="15" customHeight="1">
      <c r="A31" s="12">
        <v>27</v>
      </c>
      <c r="B31" s="70" t="str">
        <f>LIDER!C35</f>
        <v>DYLAN ANDRES RANGEL LOPEZ</v>
      </c>
      <c r="C31" s="64" t="str">
        <f>IF(B31=0,"",IFERROR(VLOOKUP(B31,'S-ASIG-01'!$B$5:$E$88,2,0),0))</f>
        <v>G06</v>
      </c>
      <c r="D31" s="65">
        <f t="shared" si="2"/>
        <v>3.9449999999999998</v>
      </c>
      <c r="E31" s="66">
        <f t="shared" si="3"/>
        <v>0</v>
      </c>
      <c r="F31" s="47"/>
      <c r="G31" s="71">
        <f>IF(B31=0,"",IFERROR(VLOOKUP(B31,'S-ASIG-01'!$B$5:$E$88,4,0),0))</f>
        <v>4.45</v>
      </c>
      <c r="H31" s="72">
        <f>IF(B31=0,"",IFERROR(VLOOKUP(B31,'S-ASIG-02'!$B$5:$E$88,4,0),0))</f>
        <v>4.0999999999999996</v>
      </c>
      <c r="I31" s="72">
        <f>IF(B31=0,"",IFERROR(VLOOKUP(B31,'S-ASIG-03'!$B$5:$E$88,4,0),0))</f>
        <v>3.34</v>
      </c>
      <c r="J31" s="72">
        <f>IF(B31=0,"",IFERROR(VLOOKUP(B31,'S-ASIG-04'!$B$5:$E$88,4,0),0))</f>
        <v>3.8200000000000003</v>
      </c>
      <c r="K31" s="72">
        <f>IF(B31=0,"",IFERROR(VLOOKUP(B31,'S-ASIG-05'!$B$5:$E$88,4,0),0))</f>
        <v>3.9</v>
      </c>
      <c r="L31" s="72">
        <f>IF(B31=0,"",IFERROR(VLOOKUP(B31,'S-ASIG-06'!$B$5:$E$88,4,0),0))</f>
        <v>4.0599999999999996</v>
      </c>
      <c r="M31" s="73">
        <f>IF(B31=0,"",IFERROR(VLOOKUP(B31,'S-ASIG-07'!$B$5:$E$88,4,0),0))</f>
        <v>0</v>
      </c>
      <c r="N31" s="68" t="s">
        <v>120</v>
      </c>
      <c r="O31" s="71">
        <f>IF(B31=0,"",IFERROR(VLOOKUP(B31,'T-ASIG-01'!$B$5:$D$88,3,0),0))</f>
        <v>0</v>
      </c>
      <c r="P31" s="72">
        <f>IF(B31=0,"",IFERROR(VLOOKUP(B31,'T-ASIG-02'!$B$5:$D$88,3,0),0))</f>
        <v>0</v>
      </c>
      <c r="Q31" s="72">
        <f>IF(B31=0,"",IFERROR(VLOOKUP(B31,'T-ASIG-03'!$B$5:$D$88,3,0),0))</f>
        <v>0</v>
      </c>
      <c r="R31" s="72">
        <f>IF(B31=0,"",IFERROR(VLOOKUP(B31,'T-ASIG-04'!$B$5:$D$88,3,0),0))</f>
        <v>0</v>
      </c>
      <c r="S31" s="72">
        <f>IF(B31=0,"",IFERROR(VLOOKUP(B31,'T-ASIG-05'!$B$5:$D$88,3,0),0))</f>
        <v>0</v>
      </c>
      <c r="T31" s="72">
        <f>IF(B31=0,"",IFERROR(VLOOKUP(B31,'T-ASIG-06'!$B$5:$D$88,3,0),0))</f>
        <v>0</v>
      </c>
      <c r="U31" s="73">
        <f>IF(B31=0,"",IFERROR(VLOOKUP(B31,'T-ASIG-07'!$B$5:$D$88,3,0),0))</f>
        <v>0</v>
      </c>
      <c r="V31" s="69" t="s">
        <v>121</v>
      </c>
    </row>
    <row r="32" spans="1:22" ht="15" customHeight="1">
      <c r="A32" s="12">
        <v>28</v>
      </c>
      <c r="B32" s="70" t="str">
        <f>LIDER!C36</f>
        <v>SANTIAGO TANGARIFE PONCE</v>
      </c>
      <c r="C32" s="64" t="str">
        <f>IF(B32=0,"",IFERROR(VLOOKUP(B32,'S-ASIG-01'!$B$5:$E$88,2,0),0))</f>
        <v>G06</v>
      </c>
      <c r="D32" s="65">
        <f t="shared" si="2"/>
        <v>3.9449999999999998</v>
      </c>
      <c r="E32" s="66">
        <f t="shared" si="3"/>
        <v>0</v>
      </c>
      <c r="F32" s="47"/>
      <c r="G32" s="71">
        <f>IF(B32=0,"",IFERROR(VLOOKUP(B32,'S-ASIG-01'!$B$5:$E$88,4,0),0))</f>
        <v>4.45</v>
      </c>
      <c r="H32" s="72">
        <f>IF(B32=0,"",IFERROR(VLOOKUP(B32,'S-ASIG-02'!$B$5:$E$88,4,0),0))</f>
        <v>4.0999999999999996</v>
      </c>
      <c r="I32" s="72">
        <f>IF(B32=0,"",IFERROR(VLOOKUP(B32,'S-ASIG-03'!$B$5:$E$88,4,0),0))</f>
        <v>3.34</v>
      </c>
      <c r="J32" s="72">
        <f>IF(B32=0,"",IFERROR(VLOOKUP(B32,'S-ASIG-04'!$B$5:$E$88,4,0),0))</f>
        <v>3.8200000000000003</v>
      </c>
      <c r="K32" s="72">
        <f>IF(B32=0,"",IFERROR(VLOOKUP(B32,'S-ASIG-05'!$B$5:$E$88,4,0),0))</f>
        <v>3.9</v>
      </c>
      <c r="L32" s="72">
        <f>IF(B32=0,"",IFERROR(VLOOKUP(B32,'S-ASIG-06'!$B$5:$E$88,4,0),0))</f>
        <v>4.0599999999999996</v>
      </c>
      <c r="M32" s="73">
        <f>IF(B32=0,"",IFERROR(VLOOKUP(B32,'S-ASIG-07'!$B$5:$E$88,4,0),0))</f>
        <v>0</v>
      </c>
      <c r="N32" s="68" t="s">
        <v>120</v>
      </c>
      <c r="O32" s="71">
        <f>IF(B32=0,"",IFERROR(VLOOKUP(B32,'T-ASIG-01'!$B$5:$D$88,3,0),0))</f>
        <v>0</v>
      </c>
      <c r="P32" s="72">
        <f>IF(B32=0,"",IFERROR(VLOOKUP(B32,'T-ASIG-02'!$B$5:$D$88,3,0),0))</f>
        <v>0</v>
      </c>
      <c r="Q32" s="72">
        <f>IF(B32=0,"",IFERROR(VLOOKUP(B32,'T-ASIG-03'!$B$5:$D$88,3,0),0))</f>
        <v>0</v>
      </c>
      <c r="R32" s="72">
        <f>IF(B32=0,"",IFERROR(VLOOKUP(B32,'T-ASIG-04'!$B$5:$D$88,3,0),0))</f>
        <v>0</v>
      </c>
      <c r="S32" s="72">
        <f>IF(B32=0,"",IFERROR(VLOOKUP(B32,'T-ASIG-05'!$B$5:$D$88,3,0),0))</f>
        <v>0</v>
      </c>
      <c r="T32" s="72">
        <f>IF(B32=0,"",IFERROR(VLOOKUP(B32,'T-ASIG-06'!$B$5:$D$88,3,0),0))</f>
        <v>0</v>
      </c>
      <c r="U32" s="73">
        <f>IF(B32=0,"",IFERROR(VLOOKUP(B32,'T-ASIG-07'!$B$5:$D$88,3,0),0))</f>
        <v>0</v>
      </c>
      <c r="V32" s="69" t="s">
        <v>121</v>
      </c>
    </row>
    <row r="33" spans="1:22" ht="15" customHeight="1">
      <c r="A33" s="12">
        <v>29</v>
      </c>
      <c r="B33" s="70" t="str">
        <f>LIDER!C37</f>
        <v>Danna Alejandra Castro Espinosa</v>
      </c>
      <c r="C33" s="64" t="str">
        <f>IF(B33=0,"",IFERROR(VLOOKUP(B33,'S-ASIG-01'!$B$5:$E$88,2,0),0))</f>
        <v>G02</v>
      </c>
      <c r="D33" s="65">
        <f t="shared" si="2"/>
        <v>3.69</v>
      </c>
      <c r="E33" s="66">
        <f t="shared" si="3"/>
        <v>0</v>
      </c>
      <c r="F33" s="47"/>
      <c r="G33" s="71">
        <f>IF(B33=0,"",IFERROR(VLOOKUP(B33,'S-ASIG-01'!$B$5:$E$88,4,0),0))</f>
        <v>4.01</v>
      </c>
      <c r="H33" s="72">
        <f>IF(B33=0,"",IFERROR(VLOOKUP(B33,'S-ASIG-02'!$B$5:$E$88,4,0),0))</f>
        <v>2.9499999999999997</v>
      </c>
      <c r="I33" s="72">
        <f>IF(B33=0,"",IFERROR(VLOOKUP(B33,'S-ASIG-03'!$B$5:$E$88,4,0),0))</f>
        <v>4.4499999999999993</v>
      </c>
      <c r="J33" s="72">
        <f>IF(B33=0,"",IFERROR(VLOOKUP(B33,'S-ASIG-04'!$B$5:$E$88,4,0),0))</f>
        <v>3.8499999999999996</v>
      </c>
      <c r="K33" s="72">
        <f>IF(B33=0,"",IFERROR(VLOOKUP(B33,'S-ASIG-05'!$B$5:$E$88,4,0),0))</f>
        <v>3.5500000000000003</v>
      </c>
      <c r="L33" s="72">
        <f>IF(B33=0,"",IFERROR(VLOOKUP(B33,'S-ASIG-06'!$B$5:$E$88,4,0),0))</f>
        <v>3.33</v>
      </c>
      <c r="M33" s="73">
        <f>IF(B33=0,"",IFERROR(VLOOKUP(B33,'S-ASIG-07'!$B$5:$E$88,4,0),0))</f>
        <v>0</v>
      </c>
      <c r="N33" s="68" t="s">
        <v>120</v>
      </c>
      <c r="O33" s="71">
        <f>IF(B33=0,"",IFERROR(VLOOKUP(B33,'T-ASIG-01'!$B$5:$D$88,3,0),0))</f>
        <v>0</v>
      </c>
      <c r="P33" s="72">
        <f>IF(B33=0,"",IFERROR(VLOOKUP(B33,'T-ASIG-02'!$B$5:$D$88,3,0),0))</f>
        <v>0</v>
      </c>
      <c r="Q33" s="72">
        <f>IF(B33=0,"",IFERROR(VLOOKUP(B33,'T-ASIG-03'!$B$5:$D$88,3,0),0))</f>
        <v>0</v>
      </c>
      <c r="R33" s="72">
        <f>IF(B33=0,"",IFERROR(VLOOKUP(B33,'T-ASIG-04'!$B$5:$D$88,3,0),0))</f>
        <v>0</v>
      </c>
      <c r="S33" s="72">
        <f>IF(B33=0,"",IFERROR(VLOOKUP(B33,'T-ASIG-05'!$B$5:$D$88,3,0),0))</f>
        <v>0</v>
      </c>
      <c r="T33" s="72">
        <f>IF(B33=0,"",IFERROR(VLOOKUP(B33,'T-ASIG-06'!$B$5:$D$88,3,0),0))</f>
        <v>0</v>
      </c>
      <c r="U33" s="73">
        <f>IF(B33=0,"",IFERROR(VLOOKUP(B33,'T-ASIG-07'!$B$5:$D$88,3,0),0))</f>
        <v>0</v>
      </c>
      <c r="V33" s="69" t="s">
        <v>121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120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121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120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121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120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121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120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121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120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121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120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121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120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121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120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121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120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121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120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121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120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121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120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121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120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121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120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121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120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121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120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121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120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121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120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121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120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121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120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121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120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121</v>
      </c>
    </row>
  </sheetData>
  <sheetProtection algorithmName="SHA-512" hashValue="YkxRIfWt0V4I0kOOzeNxtLIMZVxnAjwX4By+DGvz3JzyuHhp/P1ApOWWPaCvtocG6yon1f5NYt1DRbBDyk9ncg==" saltValue="AzB/YNaqGY4WKqKx21DxEg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Usuario invitado</cp:lastModifiedBy>
  <cp:revision/>
  <dcterms:created xsi:type="dcterms:W3CDTF">2025-09-29T20:45:44Z</dcterms:created>
  <dcterms:modified xsi:type="dcterms:W3CDTF">2026-10-15T15:08:26Z</dcterms:modified>
  <cp:category/>
  <cp:contentStatus/>
</cp:coreProperties>
</file>