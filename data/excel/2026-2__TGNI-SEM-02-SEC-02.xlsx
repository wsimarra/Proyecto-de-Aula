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2/"/>
    </mc:Choice>
  </mc:AlternateContent>
  <xr:revisionPtr revIDLastSave="170" documentId="13_ncr:1_{BA4504AE-E23A-4F1C-9B5D-CB4045076084}" xr6:coauthVersionLast="47" xr6:coauthVersionMax="47" xr10:uidLastSave="{50FB23E8-B34A-43F4-A439-A992574ED0E8}"/>
  <bookViews>
    <workbookView xWindow="-120" yWindow="-120" windowWidth="20730" windowHeight="11040" tabRatio="720" firstSheet="1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E42" i="15"/>
  <c r="B42" i="15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B45" i="14"/>
  <c r="E45" i="14" s="1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2" i="3" l="1"/>
  <c r="D22" i="5"/>
  <c r="D20" i="5"/>
  <c r="D22" i="7"/>
  <c r="D21" i="16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<sst xmlns="http://schemas.openxmlformats.org/spreadsheetml/2006/main" count="682" uniqueCount="111">
  <si>
    <t>TECNOLOGÍA EN GESTIÓN DE NEGOCIOS INTERN</t>
  </si>
  <si>
    <t>SEMESTRE:</t>
  </si>
  <si>
    <t>SEM-02</t>
  </si>
  <si>
    <t>SECCIÓN:</t>
  </si>
  <si>
    <t>LIDER</t>
  </si>
  <si>
    <t>DISCIPLINAR#2</t>
  </si>
  <si>
    <t>DISCIPLINAR#3</t>
  </si>
  <si>
    <t>DISCIPLINAR#4</t>
  </si>
  <si>
    <t>DISCIPLINAR#5</t>
  </si>
  <si>
    <t>DISCIPLINAR#6</t>
  </si>
  <si>
    <t>DISCIPLINAR#7</t>
  </si>
  <si>
    <t>INTRODUCCIÓN A LOS NEGOCIOS IN</t>
  </si>
  <si>
    <t>COSTOS Y PRESUPUESTO</t>
  </si>
  <si>
    <t>LEGISLACION EMPRESARIAL</t>
  </si>
  <si>
    <t>SEMINARIO INVESTIGATIVO</t>
  </si>
  <si>
    <t>ECONOMÍA GENERAL</t>
  </si>
  <si>
    <t>PROCESO ADMINISTRATIVO</t>
  </si>
  <si>
    <t>TATIANA MILENA ROJAS AROCA</t>
  </si>
  <si>
    <t>ISAMAR CAROLINA CASSIANI DEL TORO</t>
  </si>
  <si>
    <t>GABRIEL JOSE CARRASQUILLA MARRUGO</t>
  </si>
  <si>
    <t>MAYERLY PARGA LOZANO</t>
  </si>
  <si>
    <t>GENIS PATRON ANTEQUERA</t>
  </si>
  <si>
    <t>AMALIO SEGUNDO OTERO TAPIA</t>
  </si>
  <si>
    <t>LISTA DE ESTUDIANTES</t>
  </si>
  <si>
    <t>SEGUNDA ENTREGA - CRITERIOS DE EVALUACIÓN DOCUMENTO - SEGUNDO CORTE</t>
  </si>
  <si>
    <t>PONDERACIÓN</t>
  </si>
  <si>
    <t>ADMINISTRACIÓN DE EMPRESAS C.I</t>
  </si>
  <si>
    <t>SHAYLIN YOLANDA ALVAREZ MANJARRES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</si>
  <si>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</si>
  <si>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</si>
  <si>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VALERY DEL CARMEN MARTINEZ ALVAREZ</t>
  </si>
  <si>
    <t>ANTEPROYECTO: Portada, planteamiento del problema, justificacion del trabajo o proyecto de aula, objetivos, marco teorico, diseño metodologico.</t>
  </si>
  <si>
    <t>CONTADURÍA PÚBLICA</t>
  </si>
  <si>
    <t>ANDREA CAROLINA OVIEDO CERVANTES</t>
  </si>
  <si>
    <t>RESULTADOS:  Analiza, integra y aplica de manera coherente los aspectos legales y administrativos en el desarrollo de la propuesta investigativa, evidenciando capacidad para generar soluciones viables, pertinentes y sostenibles.</t>
  </si>
  <si>
    <t>NEGOCIOS INTERNACIONALES PROFESIONAL</t>
  </si>
  <si>
    <t>SARI ELENA QUESEDO HORMECHEA</t>
  </si>
  <si>
    <t>BILIOGRAFIA: Las referencias bibliograficas: adoptan las normas APA. El documento es producto de un rastreo bibliografico que muestra analisis y sistensis.</t>
  </si>
  <si>
    <t>VALENTINA TINOCO PATERNINA</t>
  </si>
  <si>
    <t>ASESORIAS: Anexó la hoja de tutoria firmada ( 3 fimas minmimo).</t>
  </si>
  <si>
    <t>TECNOLOGíA EN GESTION CONTABLE</t>
  </si>
  <si>
    <t>SAMUEL ESCOBAR VILLERO</t>
  </si>
  <si>
    <t>TECNOLOGÍA EN GESTIÓN DE MARKETING</t>
  </si>
  <si>
    <t>MILENA PATRICIA GOMEZ BALLESTEROS</t>
  </si>
  <si>
    <t>TECNOLOGÍA EN GESTIÓN DEL TALENTO HUMANO</t>
  </si>
  <si>
    <t>VALERI JULIANA JULIO SUAREZ</t>
  </si>
  <si>
    <t>TECNOLOGÍA EN GESTIÓN FINANCIERA</t>
  </si>
  <si>
    <t>JHON JAIRO PALACIO AVILA</t>
  </si>
  <si>
    <t>TECNOLOGÍA EN GESTIÓN LOGISTICA Y PORTUARIA</t>
  </si>
  <si>
    <t>JEFFRY PIÑERES SUAREZ</t>
  </si>
  <si>
    <t>ENTREGA FINAL - CRITERIO DE EVALUACIÓN SUSTENTACIÓN - TERCER CORTE</t>
  </si>
  <si>
    <t>TECNOLOGÍA EN GESTIÓN TURISTICA Y HOTELERA</t>
  </si>
  <si>
    <t>KEYNNER DAVID CORREA SUAREZ</t>
  </si>
  <si>
    <t>Evaluación del Documento Final</t>
  </si>
  <si>
    <t>SANTIAGO DOMINGUEZ RODRIGUEZ</t>
  </si>
  <si>
    <t>Sustentación de los Resultados: Se refleja un dominio del tema, la  información está delimitada y es clara. Hay una jerarquía y fluidez en las ideas que presenta.</t>
  </si>
  <si>
    <t>DUVAN HAVITT HERRERA FIGUEROA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</si>
  <si>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</si>
  <si>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JOSE JIMENEZ LEON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</si>
  <si>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</si>
  <si>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JUAN DIEGO ROMERO BASABE</t>
  </si>
  <si>
    <t>Tiempo: El uso del tiempo fue apropiado, se ajusta al previsto.
Ofrece una conclusión donde condensa las ideas principales del objetivo general y los específicos.</t>
  </si>
  <si>
    <t>SANTIAGO ANDRÉS ARNEDO ESCALANTE</t>
  </si>
  <si>
    <t>Uso de Recursos Audiovisuales Tecnológicos: La sustentación se acompaña de recursos visuales pertinentes, atractivos y de gran calidad</t>
  </si>
  <si>
    <t>JUAN CAMILO NIETO ARAGON</t>
  </si>
  <si>
    <t>BETZABETH MARIEL SALCEDO MERCADO</t>
  </si>
  <si>
    <t>MAUREN ANDREA TORRES CASTRO</t>
  </si>
  <si>
    <t>MARIA CAMILA BARRERA ORTEGA</t>
  </si>
  <si>
    <t>TITULOS DE LOS PROYECTOS DE AULA</t>
  </si>
  <si>
    <t>NATALIA SOFÍA CABARCAS TRUJILLO</t>
  </si>
  <si>
    <t>GRUPO#1</t>
  </si>
  <si>
    <t>FRANKLIN ANDRES CORTINA BLANCO</t>
  </si>
  <si>
    <t>GRUPO#2</t>
  </si>
  <si>
    <t>ANGELINE PITALUA TENORIO</t>
  </si>
  <si>
    <t>GRUPO#3</t>
  </si>
  <si>
    <t>EMILIA DEL CARMEN TABORDA ANGULO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</si>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</sst>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2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  <fill>
      <patternFill patternType="solid">
        <fgColor rgb="FFF2F2F2"/>
        <bgColor rgb="FF000000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1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29" fillId="12" borderId="49" xfId="0" applyNumberFormat="1" applyFont="1" applyFill="1" applyBorder="1" applyAlignment="1" applyProtection="1">
      <alignment horizontal="center" vertical="center"/>
      <protection locked="0"/>
    </xf>
    <xf numFmtId="164" fontId="29" fillId="0" borderId="46" xfId="0" applyNumberFormat="1" applyFont="1" applyBorder="1" applyAlignment="1" applyProtection="1">
      <alignment horizontal="center" vertical="center"/>
      <protection locked="0"/>
    </xf>
    <xf numFmtId="164" fontId="29" fillId="12" borderId="46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A41" zoomScale="86" zoomScaleNormal="86" workbookViewId="0">
      <selection activeCell="D58" sqref="D58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6" t="s">
        <v>0</v>
      </c>
      <c r="C2" s="157"/>
      <c r="D2" s="158"/>
      <c r="E2" s="101" t="s">
        <v>1</v>
      </c>
      <c r="F2" s="102" t="s">
        <v>2</v>
      </c>
      <c r="G2" s="101" t="s">
        <v>3</v>
      </c>
      <c r="H2" s="41">
        <v>2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/>
    </row>
    <row r="5" spans="2:9" ht="24.95" customHeight="1" thickBot="1">
      <c r="C5" s="139" t="s">
        <v>17</v>
      </c>
      <c r="D5" s="139" t="s">
        <v>18</v>
      </c>
      <c r="E5" s="139" t="s">
        <v>19</v>
      </c>
      <c r="F5" s="139" t="s">
        <v>20</v>
      </c>
      <c r="G5" s="139" t="s">
        <v>21</v>
      </c>
      <c r="H5" s="140" t="s">
        <v>22</v>
      </c>
      <c r="I5" s="140"/>
    </row>
    <row r="6" spans="2:9" ht="24.95" customHeight="1" thickBot="1">
      <c r="C6" s="141">
        <v>2343</v>
      </c>
      <c r="D6" s="141">
        <v>2216</v>
      </c>
      <c r="E6" s="141">
        <v>2236</v>
      </c>
      <c r="F6" s="141">
        <v>1931</v>
      </c>
      <c r="G6" s="141">
        <v>1420</v>
      </c>
      <c r="H6" s="141">
        <v>1333</v>
      </c>
      <c r="I6" s="141"/>
    </row>
    <row r="7" spans="2:9" ht="13.5" thickBot="1"/>
    <row r="8" spans="2:9" ht="20.100000000000001" customHeight="1">
      <c r="B8" s="108"/>
      <c r="C8" s="109" t="s">
        <v>23</v>
      </c>
      <c r="E8" s="159" t="s">
        <v>24</v>
      </c>
      <c r="F8" s="160"/>
      <c r="G8" s="161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62" t="s">
        <v>28</v>
      </c>
      <c r="F9" s="163"/>
      <c r="G9" s="164"/>
      <c r="H9" s="130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65" t="s">
        <v>31</v>
      </c>
      <c r="F10" s="166"/>
      <c r="G10" s="167"/>
      <c r="H10" s="131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62" t="s">
        <v>34</v>
      </c>
      <c r="F11" s="163"/>
      <c r="G11" s="164"/>
      <c r="H11" s="130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65" t="s">
        <v>37</v>
      </c>
      <c r="F12" s="166"/>
      <c r="G12" s="167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68" t="s">
        <v>39</v>
      </c>
      <c r="F13" s="169"/>
      <c r="G13" s="170"/>
      <c r="H13" s="130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1"/>
      <c r="F14" s="172"/>
      <c r="G14" s="173"/>
      <c r="H14" s="131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80"/>
      <c r="F15" s="181"/>
      <c r="G15" s="182"/>
      <c r="H15" s="130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2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9"/>
      <c r="F17" s="189"/>
      <c r="G17" s="189"/>
      <c r="H17" s="189"/>
      <c r="I17" s="69" t="s">
        <v>48</v>
      </c>
    </row>
    <row r="18" spans="2:9" ht="15" customHeight="1" thickBot="1">
      <c r="B18" s="108">
        <v>10</v>
      </c>
      <c r="C18" s="111" t="s">
        <v>49</v>
      </c>
      <c r="E18" s="196" t="s">
        <v>50</v>
      </c>
      <c r="F18" s="197"/>
      <c r="G18" s="197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6" t="s">
        <v>53</v>
      </c>
      <c r="F19" s="187"/>
      <c r="G19" s="188"/>
      <c r="H19" s="133">
        <v>0.5</v>
      </c>
    </row>
    <row r="20" spans="2:9" ht="15" customHeight="1">
      <c r="B20" s="108">
        <v>12</v>
      </c>
      <c r="C20" s="111" t="s">
        <v>54</v>
      </c>
      <c r="E20" s="190" t="s">
        <v>55</v>
      </c>
      <c r="F20" s="191"/>
      <c r="G20" s="192"/>
      <c r="H20" s="134">
        <v>0.2</v>
      </c>
    </row>
    <row r="21" spans="2:9" ht="15" customHeight="1">
      <c r="B21" s="108">
        <v>13</v>
      </c>
      <c r="C21" s="111" t="s">
        <v>56</v>
      </c>
      <c r="E21" s="198" t="s">
        <v>57</v>
      </c>
      <c r="F21" s="199"/>
      <c r="G21" s="200"/>
      <c r="H21" s="135">
        <v>0.1</v>
      </c>
    </row>
    <row r="22" spans="2:9" ht="15" customHeight="1">
      <c r="B22" s="108">
        <v>14</v>
      </c>
      <c r="C22" s="111" t="s">
        <v>58</v>
      </c>
      <c r="E22" s="190" t="s">
        <v>59</v>
      </c>
      <c r="F22" s="172"/>
      <c r="G22" s="173"/>
      <c r="H22" s="134">
        <v>0.05</v>
      </c>
    </row>
    <row r="23" spans="2:9" ht="15" customHeight="1">
      <c r="B23" s="108">
        <v>15</v>
      </c>
      <c r="C23" s="111" t="s">
        <v>60</v>
      </c>
      <c r="E23" s="198" t="s">
        <v>61</v>
      </c>
      <c r="F23" s="199"/>
      <c r="G23" s="200"/>
      <c r="H23" s="136">
        <v>0.05</v>
      </c>
    </row>
    <row r="24" spans="2:9" ht="15" customHeight="1">
      <c r="B24" s="108">
        <v>16</v>
      </c>
      <c r="C24" s="111" t="s">
        <v>62</v>
      </c>
      <c r="E24" s="190" t="s">
        <v>63</v>
      </c>
      <c r="F24" s="191"/>
      <c r="G24" s="192"/>
      <c r="H24" s="134">
        <v>0.1</v>
      </c>
    </row>
    <row r="25" spans="2:9" ht="15" customHeight="1" thickBot="1">
      <c r="B25" s="108">
        <v>17</v>
      </c>
      <c r="C25" s="111" t="s">
        <v>64</v>
      </c>
      <c r="E25" s="183"/>
      <c r="F25" s="184"/>
      <c r="G25" s="185"/>
      <c r="H25" s="135"/>
    </row>
    <row r="26" spans="2:9" ht="15" customHeight="1" thickBot="1">
      <c r="B26" s="108">
        <v>18</v>
      </c>
      <c r="C26" s="111" t="s">
        <v>65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66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67</v>
      </c>
      <c r="E28" s="193" t="s">
        <v>68</v>
      </c>
      <c r="F28" s="194"/>
      <c r="G28" s="194"/>
      <c r="H28" s="195"/>
    </row>
    <row r="29" spans="2:9" ht="15" customHeight="1" thickBot="1">
      <c r="B29" s="108">
        <v>21</v>
      </c>
      <c r="C29" s="111" t="s">
        <v>69</v>
      </c>
      <c r="E29" s="177" t="s">
        <v>70</v>
      </c>
      <c r="F29" s="178"/>
      <c r="G29" s="178"/>
      <c r="H29" s="179"/>
    </row>
    <row r="30" spans="2:9" ht="15" customHeight="1" thickBot="1">
      <c r="B30" s="108">
        <v>22</v>
      </c>
      <c r="C30" s="111" t="s">
        <v>71</v>
      </c>
      <c r="E30" s="174" t="s">
        <v>72</v>
      </c>
      <c r="F30" s="175"/>
      <c r="G30" s="175"/>
      <c r="H30" s="176"/>
    </row>
    <row r="31" spans="2:9" ht="15" customHeight="1" thickBot="1">
      <c r="B31" s="108">
        <v>23</v>
      </c>
      <c r="C31" s="111" t="s">
        <v>73</v>
      </c>
      <c r="E31" s="177" t="s">
        <v>74</v>
      </c>
      <c r="F31" s="178"/>
      <c r="G31" s="178"/>
      <c r="H31" s="179"/>
    </row>
    <row r="32" spans="2:9" ht="15" customHeight="1" thickBot="1">
      <c r="B32" s="108">
        <v>24</v>
      </c>
      <c r="C32" s="111" t="s">
        <v>75</v>
      </c>
      <c r="E32" s="174" t="s">
        <v>76</v>
      </c>
      <c r="F32" s="175"/>
      <c r="G32" s="175"/>
      <c r="H32" s="176"/>
    </row>
    <row r="33" spans="2:8" ht="15" customHeight="1" thickBot="1">
      <c r="B33" s="108">
        <v>25</v>
      </c>
      <c r="C33" s="111"/>
      <c r="E33" s="177" t="s">
        <v>77</v>
      </c>
      <c r="F33" s="178"/>
      <c r="G33" s="178"/>
      <c r="H33" s="179"/>
    </row>
    <row r="34" spans="2:8" ht="15" customHeight="1" thickBot="1">
      <c r="B34" s="108">
        <v>26</v>
      </c>
      <c r="C34" s="111"/>
      <c r="E34" s="174" t="s">
        <v>78</v>
      </c>
      <c r="F34" s="175"/>
      <c r="G34" s="175"/>
      <c r="H34" s="176"/>
    </row>
    <row r="35" spans="2:8" ht="15" customHeight="1" thickBot="1">
      <c r="B35" s="108">
        <v>27</v>
      </c>
      <c r="C35" s="111"/>
      <c r="E35" s="177" t="s">
        <v>79</v>
      </c>
      <c r="F35" s="178"/>
      <c r="G35" s="178"/>
      <c r="H35" s="179"/>
    </row>
    <row r="36" spans="2:8" ht="15" customHeight="1" thickBot="1">
      <c r="B36" s="108">
        <v>28</v>
      </c>
      <c r="C36" s="111"/>
      <c r="E36" s="174" t="s">
        <v>80</v>
      </c>
      <c r="F36" s="175"/>
      <c r="G36" s="175"/>
      <c r="H36" s="176"/>
    </row>
    <row r="37" spans="2:8" ht="15" customHeight="1" thickBot="1">
      <c r="B37" s="108">
        <v>29</v>
      </c>
      <c r="C37" s="111"/>
      <c r="E37" s="177" t="s">
        <v>81</v>
      </c>
      <c r="F37" s="178"/>
      <c r="G37" s="178"/>
      <c r="H37" s="179"/>
    </row>
    <row r="38" spans="2:8" ht="15" customHeight="1" thickBot="1">
      <c r="B38" s="108">
        <v>30</v>
      </c>
      <c r="C38" s="111"/>
      <c r="E38" s="174" t="s">
        <v>82</v>
      </c>
      <c r="F38" s="175"/>
      <c r="G38" s="175"/>
      <c r="H38" s="176"/>
    </row>
    <row r="39" spans="2:8" ht="15" customHeight="1" thickBot="1">
      <c r="B39" s="108">
        <v>31</v>
      </c>
      <c r="C39" s="111"/>
      <c r="E39" s="177" t="s">
        <v>83</v>
      </c>
      <c r="F39" s="178"/>
      <c r="G39" s="178"/>
      <c r="H39" s="179"/>
    </row>
    <row r="40" spans="2:8" ht="15" customHeight="1" thickBot="1">
      <c r="B40" s="108">
        <v>32</v>
      </c>
      <c r="C40" s="111"/>
      <c r="E40" s="174" t="s">
        <v>84</v>
      </c>
      <c r="F40" s="175"/>
      <c r="G40" s="175"/>
      <c r="H40" s="176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27</v>
      </c>
      <c r="F43" s="119" t="s">
        <v>41</v>
      </c>
      <c r="G43" s="119" t="s">
        <v>52</v>
      </c>
      <c r="H43" s="120" t="s">
        <v>62</v>
      </c>
    </row>
    <row r="44" spans="2:8" ht="15" customHeight="1">
      <c r="B44" s="108">
        <v>36</v>
      </c>
      <c r="C44" s="111"/>
      <c r="E44" s="121" t="s">
        <v>30</v>
      </c>
      <c r="F44" s="122" t="s">
        <v>43</v>
      </c>
      <c r="G44" s="122" t="s">
        <v>54</v>
      </c>
      <c r="H44" s="123" t="s">
        <v>64</v>
      </c>
    </row>
    <row r="45" spans="2:8" ht="15" customHeight="1">
      <c r="B45" s="108">
        <v>37</v>
      </c>
      <c r="C45" s="111"/>
      <c r="E45" s="124" t="s">
        <v>33</v>
      </c>
      <c r="F45" s="125" t="s">
        <v>45</v>
      </c>
      <c r="G45" s="125" t="s">
        <v>56</v>
      </c>
      <c r="H45" s="126" t="s">
        <v>65</v>
      </c>
    </row>
    <row r="46" spans="2:8" ht="15" customHeight="1">
      <c r="B46" s="108">
        <v>38</v>
      </c>
      <c r="C46" s="111"/>
      <c r="E46" s="121" t="s">
        <v>36</v>
      </c>
      <c r="F46" s="122" t="s">
        <v>47</v>
      </c>
      <c r="G46" s="122" t="s">
        <v>58</v>
      </c>
      <c r="H46" s="123" t="s">
        <v>66</v>
      </c>
    </row>
    <row r="47" spans="2:8" ht="15" customHeight="1">
      <c r="B47" s="108">
        <v>39</v>
      </c>
      <c r="C47" s="111"/>
      <c r="E47" s="124" t="s">
        <v>38</v>
      </c>
      <c r="F47" s="125" t="s">
        <v>49</v>
      </c>
      <c r="G47" s="125" t="s">
        <v>60</v>
      </c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67</v>
      </c>
      <c r="F51" s="119"/>
      <c r="G51" s="119"/>
      <c r="H51" s="120"/>
    </row>
    <row r="52" spans="2:8" ht="15" customHeight="1">
      <c r="B52" s="108">
        <v>44</v>
      </c>
      <c r="C52" s="111"/>
      <c r="E52" s="121" t="s">
        <v>69</v>
      </c>
      <c r="F52" s="122"/>
      <c r="G52" s="122"/>
      <c r="H52" s="123"/>
    </row>
    <row r="53" spans="2:8" ht="15" customHeight="1">
      <c r="B53" s="108">
        <v>45</v>
      </c>
      <c r="C53" s="111"/>
      <c r="E53" s="124" t="s">
        <v>71</v>
      </c>
      <c r="F53" s="125"/>
      <c r="G53" s="125"/>
      <c r="H53" s="126"/>
    </row>
    <row r="54" spans="2:8" ht="15" customHeight="1">
      <c r="B54" s="108">
        <v>46</v>
      </c>
      <c r="C54" s="111"/>
      <c r="E54" s="121" t="s">
        <v>73</v>
      </c>
      <c r="F54" s="122"/>
      <c r="G54" s="122"/>
      <c r="H54" s="123"/>
    </row>
    <row r="55" spans="2:8" ht="15" customHeight="1">
      <c r="B55" s="108">
        <v>47</v>
      </c>
      <c r="C55" s="111"/>
      <c r="E55" s="124" t="s">
        <v>75</v>
      </c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MbVPA/959NJ+Yz+mM+fWkdL/+Epbbp9JkUnExV5g7yivwuTsP2yC+1E0TwHIV3DXxvXv5SY5ClKSIS8YzONhsA==" saltValue="1SsJnOEvwW0fhETiixLFWQ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4" activePane="bottomRight" state="frozen"/>
      <selection pane="bottomRight" activeCell="K34" sqref="K34:K39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LIDER!C4</f>
        <v>INTRODUCCIÓN A LOS NEGOCIOS IN</v>
      </c>
      <c r="C2" s="82"/>
      <c r="D2" s="3"/>
      <c r="F2" s="152" t="s">
        <v>85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CONCATENATE(LIDER!C4," - ",LIDER!C6," - ",LIDER!C5)</f>
        <v>INTRODUCCIÓN A LOS NEGOCIOS IN - 2343 - TATIANA MILENA ROJAS AROCA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87</v>
      </c>
      <c r="D5" s="32" t="s">
        <v>88</v>
      </c>
      <c r="E5" s="89" t="s">
        <v>89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SHAYLIN YOLANDA ALVAREZ MANJARRES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3.9999999999999996</v>
      </c>
      <c r="F6" s="147">
        <v>4</v>
      </c>
      <c r="G6" s="144">
        <v>4</v>
      </c>
      <c r="H6" s="142">
        <v>4</v>
      </c>
      <c r="I6" s="144">
        <v>4</v>
      </c>
      <c r="J6" s="142">
        <v>4</v>
      </c>
      <c r="K6" s="144"/>
      <c r="L6" s="142"/>
    </row>
    <row r="7" spans="1:12" s="2" customFormat="1" ht="15" customHeight="1">
      <c r="A7" s="12">
        <v>2</v>
      </c>
      <c r="B7" s="10" t="str">
        <f>LIDER!E44</f>
        <v>VALERY DEL CARMEN MARTINEZ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3.9999999999999996</v>
      </c>
      <c r="F7" s="147"/>
      <c r="G7" s="144"/>
      <c r="H7" s="142"/>
      <c r="I7" s="144"/>
      <c r="J7" s="142"/>
      <c r="K7" s="144"/>
      <c r="L7" s="142"/>
    </row>
    <row r="8" spans="1:12" s="2" customFormat="1" ht="15" customHeight="1">
      <c r="A8" s="12">
        <v>3</v>
      </c>
      <c r="B8" s="10" t="str">
        <f>LIDER!E45</f>
        <v>ANDREA CAROLINA OVIEDO CERVANTES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3.9999999999999996</v>
      </c>
      <c r="F8" s="147"/>
      <c r="G8" s="144"/>
      <c r="H8" s="142"/>
      <c r="I8" s="144"/>
      <c r="J8" s="142"/>
      <c r="K8" s="144"/>
      <c r="L8" s="142"/>
    </row>
    <row r="9" spans="1:12" s="2" customFormat="1" ht="15" customHeight="1">
      <c r="A9" s="12">
        <v>4</v>
      </c>
      <c r="B9" s="10" t="str">
        <f>LIDER!E46</f>
        <v>SARI ELENA QUESEDO HORMECHEA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3.9999999999999996</v>
      </c>
      <c r="F9" s="147"/>
      <c r="G9" s="144"/>
      <c r="H9" s="142"/>
      <c r="I9" s="144"/>
      <c r="J9" s="142"/>
      <c r="K9" s="144"/>
      <c r="L9" s="142"/>
    </row>
    <row r="10" spans="1:12" s="2" customFormat="1" ht="15" customHeight="1">
      <c r="A10" s="12">
        <v>5</v>
      </c>
      <c r="B10" s="10" t="str">
        <f>LIDER!E47</f>
        <v>VALENTINA TINOCO PATERNINA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3.9999999999999996</v>
      </c>
      <c r="F10" s="147"/>
      <c r="G10" s="144"/>
      <c r="H10" s="142"/>
      <c r="I10" s="144"/>
      <c r="J10" s="142"/>
      <c r="K10" s="144"/>
      <c r="L10" s="14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7"/>
      <c r="G11" s="144"/>
      <c r="H11" s="142"/>
      <c r="I11" s="144"/>
      <c r="J11" s="142"/>
      <c r="K11" s="144"/>
      <c r="L11" s="142"/>
    </row>
    <row r="12" spans="1:12" s="2" customFormat="1" ht="15.75" customHeight="1" thickBot="1">
      <c r="A12" s="8"/>
      <c r="B12" s="25" t="s">
        <v>72</v>
      </c>
      <c r="C12" s="88" t="s">
        <v>90</v>
      </c>
      <c r="D12" s="32" t="str">
        <f>D5</f>
        <v>LIST</v>
      </c>
      <c r="E12" s="89" t="s">
        <v>89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SAMUEL ESCOBAR VILLERO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</v>
      </c>
      <c r="F13" s="147">
        <v>3.9</v>
      </c>
      <c r="G13" s="144">
        <v>3.9</v>
      </c>
      <c r="H13" s="142">
        <v>3.9</v>
      </c>
      <c r="I13" s="144">
        <v>3.9</v>
      </c>
      <c r="J13" s="142">
        <v>3.9</v>
      </c>
      <c r="K13" s="144"/>
      <c r="L13" s="142"/>
    </row>
    <row r="14" spans="1:12" s="2" customFormat="1" ht="15" customHeight="1">
      <c r="A14" s="12">
        <v>2</v>
      </c>
      <c r="B14" s="10" t="str">
        <f>LIDER!F44</f>
        <v>MILENA PATRICIA GOMEZ BALLESTEROS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</v>
      </c>
      <c r="F14" s="147"/>
      <c r="G14" s="144"/>
      <c r="H14" s="142"/>
      <c r="I14" s="144"/>
      <c r="J14" s="142"/>
      <c r="K14" s="144"/>
      <c r="L14" s="142"/>
    </row>
    <row r="15" spans="1:12" s="2" customFormat="1" ht="15" customHeight="1">
      <c r="A15" s="12">
        <v>3</v>
      </c>
      <c r="B15" s="10" t="str">
        <f>LIDER!F45</f>
        <v>VALERI JULIANA JULIO SUAREZ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</v>
      </c>
      <c r="F15" s="147"/>
      <c r="G15" s="144"/>
      <c r="H15" s="142"/>
      <c r="I15" s="144"/>
      <c r="J15" s="142"/>
      <c r="K15" s="144"/>
      <c r="L15" s="142"/>
    </row>
    <row r="16" spans="1:12" s="2" customFormat="1" ht="15" customHeight="1">
      <c r="A16" s="12">
        <v>4</v>
      </c>
      <c r="B16" s="10" t="str">
        <f>LIDER!F46</f>
        <v>JHON JAIRO PALACIO AVILA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</v>
      </c>
      <c r="F16" s="147"/>
      <c r="G16" s="144"/>
      <c r="H16" s="142"/>
      <c r="I16" s="144"/>
      <c r="J16" s="142"/>
      <c r="K16" s="144"/>
      <c r="L16" s="142"/>
    </row>
    <row r="17" spans="1:12" s="2" customFormat="1" ht="15" customHeight="1">
      <c r="A17" s="12">
        <v>5</v>
      </c>
      <c r="B17" s="10" t="str">
        <f>LIDER!F47</f>
        <v>JEFFRY PIÑERES SUAREZ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</v>
      </c>
      <c r="F17" s="147"/>
      <c r="G17" s="144"/>
      <c r="H17" s="142"/>
      <c r="I17" s="144"/>
      <c r="J17" s="142"/>
      <c r="K17" s="144"/>
      <c r="L17" s="14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7"/>
      <c r="G18" s="144"/>
      <c r="H18" s="142"/>
      <c r="I18" s="144"/>
      <c r="J18" s="142"/>
      <c r="K18" s="144"/>
      <c r="L18" s="142"/>
    </row>
    <row r="19" spans="1:12" s="2" customFormat="1" ht="15.75" customHeight="1">
      <c r="A19" s="14"/>
      <c r="B19" s="25" t="s">
        <v>74</v>
      </c>
      <c r="C19" s="88" t="s">
        <v>91</v>
      </c>
      <c r="D19" s="32" t="str">
        <f>D12</f>
        <v>LIST</v>
      </c>
      <c r="E19" s="89" t="s">
        <v>89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KEYNNER DAVID CORREA SUAREZ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147">
        <v>4</v>
      </c>
      <c r="G20" s="144">
        <v>4</v>
      </c>
      <c r="H20" s="142">
        <v>4</v>
      </c>
      <c r="I20" s="144">
        <v>4</v>
      </c>
      <c r="J20" s="142">
        <v>4</v>
      </c>
      <c r="K20" s="144"/>
      <c r="L20" s="142"/>
    </row>
    <row r="21" spans="1:12" s="2" customFormat="1" ht="15" customHeight="1">
      <c r="A21" s="12">
        <v>2</v>
      </c>
      <c r="B21" s="10" t="str">
        <f>LIDER!G44</f>
        <v>SANTIAGO DOMINGUEZ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147"/>
      <c r="G21" s="144"/>
      <c r="H21" s="142"/>
      <c r="I21" s="144"/>
      <c r="J21" s="142"/>
      <c r="K21" s="144"/>
      <c r="L21" s="142"/>
    </row>
    <row r="22" spans="1:12" s="2" customFormat="1" ht="15" customHeight="1">
      <c r="A22" s="12">
        <v>3</v>
      </c>
      <c r="B22" s="10" t="str">
        <f>LIDER!G45</f>
        <v>DUVAN HAVITT HERRERA FIGUEROA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147"/>
      <c r="G22" s="144"/>
      <c r="H22" s="142"/>
      <c r="I22" s="144"/>
      <c r="J22" s="142"/>
      <c r="K22" s="144"/>
      <c r="L22" s="142"/>
    </row>
    <row r="23" spans="1:12" s="2" customFormat="1" ht="15" customHeight="1">
      <c r="A23" s="12">
        <v>4</v>
      </c>
      <c r="B23" s="10" t="str">
        <f>LIDER!G46</f>
        <v>JOSE JIMENEZ LEON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147"/>
      <c r="G23" s="144"/>
      <c r="H23" s="142"/>
      <c r="I23" s="144"/>
      <c r="J23" s="142"/>
      <c r="K23" s="144"/>
      <c r="L23" s="142"/>
    </row>
    <row r="24" spans="1:12" s="2" customFormat="1" ht="15" customHeight="1">
      <c r="A24" s="12">
        <v>5</v>
      </c>
      <c r="B24" s="10" t="str">
        <f>LIDER!G47</f>
        <v>JUAN DIEGO ROMERO BASABE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3.9999999999999996</v>
      </c>
      <c r="F24" s="147"/>
      <c r="G24" s="144"/>
      <c r="H24" s="142"/>
      <c r="I24" s="144"/>
      <c r="J24" s="142"/>
      <c r="K24" s="144"/>
      <c r="L24" s="14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7"/>
      <c r="G25" s="144"/>
      <c r="H25" s="142"/>
      <c r="I25" s="144"/>
      <c r="J25" s="142"/>
      <c r="K25" s="144"/>
      <c r="L25" s="142"/>
    </row>
    <row r="26" spans="1:12" s="2" customFormat="1" ht="15.75" customHeight="1">
      <c r="A26" s="14"/>
      <c r="B26" s="25" t="s">
        <v>76</v>
      </c>
      <c r="C26" s="88" t="s">
        <v>92</v>
      </c>
      <c r="D26" s="32" t="str">
        <f>D19</f>
        <v>LIST</v>
      </c>
      <c r="E26" s="89" t="s">
        <v>89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SANTIAGO ANDRÉS ARNEDO ESCALANTE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3.9999999999999996</v>
      </c>
      <c r="F27" s="147">
        <v>4</v>
      </c>
      <c r="G27" s="144">
        <v>4</v>
      </c>
      <c r="H27" s="142">
        <v>4</v>
      </c>
      <c r="I27" s="144">
        <v>4</v>
      </c>
      <c r="J27" s="142">
        <v>4</v>
      </c>
      <c r="K27" s="144"/>
      <c r="L27" s="142"/>
    </row>
    <row r="28" spans="1:12" s="2" customFormat="1" ht="15" customHeight="1">
      <c r="A28" s="12">
        <v>2</v>
      </c>
      <c r="B28" s="10" t="str">
        <f>LIDER!H44</f>
        <v>JUAN CAMILO NIETO ARAGON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3.9999999999999996</v>
      </c>
      <c r="F28" s="147"/>
      <c r="G28" s="144"/>
      <c r="H28" s="142"/>
      <c r="I28" s="144"/>
      <c r="J28" s="142"/>
      <c r="K28" s="144"/>
      <c r="L28" s="142"/>
    </row>
    <row r="29" spans="1:12" s="2" customFormat="1" ht="15" customHeight="1">
      <c r="A29" s="12">
        <v>3</v>
      </c>
      <c r="B29" s="10" t="str">
        <f>LIDER!H45</f>
        <v>BETZABETH MARIEL SALCEDO MERCADO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3.9999999999999996</v>
      </c>
      <c r="F29" s="147"/>
      <c r="G29" s="144"/>
      <c r="H29" s="142"/>
      <c r="I29" s="144"/>
      <c r="J29" s="142"/>
      <c r="K29" s="144"/>
      <c r="L29" s="142"/>
    </row>
    <row r="30" spans="1:12" s="2" customFormat="1" ht="15" customHeight="1">
      <c r="A30" s="12">
        <v>4</v>
      </c>
      <c r="B30" s="10" t="str">
        <f>LIDER!H46</f>
        <v>MAUREN ANDREA TORRES CASTRO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3.9999999999999996</v>
      </c>
      <c r="F30" s="147"/>
      <c r="G30" s="144"/>
      <c r="H30" s="142"/>
      <c r="I30" s="144"/>
      <c r="J30" s="142"/>
      <c r="K30" s="144"/>
      <c r="L30" s="14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7"/>
      <c r="G31" s="144"/>
      <c r="H31" s="142"/>
      <c r="I31" s="144"/>
      <c r="J31" s="142"/>
      <c r="K31" s="144"/>
      <c r="L31" s="14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7"/>
      <c r="G32" s="144"/>
      <c r="H32" s="142"/>
      <c r="I32" s="144"/>
      <c r="J32" s="142"/>
      <c r="K32" s="144"/>
      <c r="L32" s="142"/>
    </row>
    <row r="33" spans="1:12" s="2" customFormat="1" ht="15.75" customHeight="1">
      <c r="A33" s="14"/>
      <c r="B33" s="25" t="s">
        <v>77</v>
      </c>
      <c r="C33" s="88" t="s">
        <v>93</v>
      </c>
      <c r="D33" s="32" t="str">
        <f>D26</f>
        <v>LIST</v>
      </c>
      <c r="E33" s="89" t="s">
        <v>89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MARIA CAMILA BARRERA ORTEGA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3.9999999999999996</v>
      </c>
      <c r="F34" s="147">
        <v>4</v>
      </c>
      <c r="G34" s="144">
        <v>4</v>
      </c>
      <c r="H34" s="142">
        <v>4</v>
      </c>
      <c r="I34" s="144">
        <v>4</v>
      </c>
      <c r="J34" s="142">
        <v>4</v>
      </c>
      <c r="K34" s="144"/>
      <c r="L34" s="142"/>
    </row>
    <row r="35" spans="1:12" s="2" customFormat="1" ht="15" customHeight="1">
      <c r="A35" s="12">
        <v>2</v>
      </c>
      <c r="B35" s="10" t="str">
        <f>LIDER!E52</f>
        <v>NATALIA SOFÍA CABARCAS TRUJILLO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3.9999999999999996</v>
      </c>
      <c r="F35" s="147"/>
      <c r="G35" s="144"/>
      <c r="H35" s="142"/>
      <c r="I35" s="144"/>
      <c r="J35" s="142"/>
      <c r="K35" s="144"/>
      <c r="L35" s="142"/>
    </row>
    <row r="36" spans="1:12" s="2" customFormat="1" ht="15" customHeight="1">
      <c r="A36" s="12">
        <v>3</v>
      </c>
      <c r="B36" s="10" t="str">
        <f>LIDER!E53</f>
        <v>FRANKLIN ANDRES CORTINA BLANCO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3.9999999999999996</v>
      </c>
      <c r="F36" s="147"/>
      <c r="G36" s="144"/>
      <c r="H36" s="142"/>
      <c r="I36" s="144"/>
      <c r="J36" s="142"/>
      <c r="K36" s="144"/>
      <c r="L36" s="142"/>
    </row>
    <row r="37" spans="1:12" s="2" customFormat="1" ht="15" customHeight="1">
      <c r="A37" s="12">
        <v>4</v>
      </c>
      <c r="B37" s="10" t="str">
        <f>LIDER!E54</f>
        <v>ANGELINE PITALUA TENORIO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3.9999999999999996</v>
      </c>
      <c r="F37" s="147"/>
      <c r="G37" s="144"/>
      <c r="H37" s="142"/>
      <c r="I37" s="144"/>
      <c r="J37" s="142"/>
      <c r="K37" s="144"/>
      <c r="L37" s="142"/>
    </row>
    <row r="38" spans="1:12" s="2" customFormat="1" ht="15" customHeight="1">
      <c r="A38" s="12">
        <v>5</v>
      </c>
      <c r="B38" s="10" t="str">
        <f>LIDER!E55</f>
        <v>EMILIA DEL CARMEN TABORDA ANGULO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3.9999999999999996</v>
      </c>
      <c r="F38" s="147"/>
      <c r="G38" s="144"/>
      <c r="H38" s="142"/>
      <c r="I38" s="144"/>
      <c r="J38" s="142"/>
      <c r="K38" s="144"/>
      <c r="L38" s="14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7"/>
      <c r="G39" s="144"/>
      <c r="H39" s="142"/>
      <c r="I39" s="144"/>
      <c r="J39" s="142"/>
      <c r="K39" s="144"/>
      <c r="L39" s="142"/>
    </row>
    <row r="40" spans="1:12" s="2" customFormat="1" ht="15.75" customHeight="1">
      <c r="A40" s="14"/>
      <c r="B40" s="25" t="s">
        <v>78</v>
      </c>
      <c r="C40" s="88" t="s">
        <v>94</v>
      </c>
      <c r="D40" s="32" t="str">
        <f>D33</f>
        <v>LIST</v>
      </c>
      <c r="E40" s="89" t="s">
        <v>89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7"/>
      <c r="G41" s="144"/>
      <c r="H41" s="142"/>
      <c r="I41" s="144"/>
      <c r="J41" s="142"/>
      <c r="K41" s="144"/>
      <c r="L41" s="14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7"/>
      <c r="G42" s="144"/>
      <c r="H42" s="142"/>
      <c r="I42" s="144"/>
      <c r="J42" s="142"/>
      <c r="K42" s="144"/>
      <c r="L42" s="14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7"/>
      <c r="G43" s="144"/>
      <c r="H43" s="142"/>
      <c r="I43" s="144"/>
      <c r="J43" s="142"/>
      <c r="K43" s="144"/>
      <c r="L43" s="14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7"/>
      <c r="G44" s="144"/>
      <c r="H44" s="142"/>
      <c r="I44" s="144"/>
      <c r="J44" s="142"/>
      <c r="K44" s="144"/>
      <c r="L44" s="14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7"/>
      <c r="G45" s="144"/>
      <c r="H45" s="142"/>
      <c r="I45" s="144"/>
      <c r="J45" s="142"/>
      <c r="K45" s="144"/>
      <c r="L45" s="14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7"/>
      <c r="G46" s="144"/>
      <c r="H46" s="142"/>
      <c r="I46" s="144"/>
      <c r="J46" s="142"/>
      <c r="K46" s="144"/>
      <c r="L46" s="142"/>
    </row>
    <row r="47" spans="1:12" s="2" customFormat="1" ht="15.75" customHeight="1">
      <c r="A47" s="14"/>
      <c r="B47" s="25" t="s">
        <v>79</v>
      </c>
      <c r="C47" s="88" t="s">
        <v>95</v>
      </c>
      <c r="D47" s="32" t="str">
        <f>D40</f>
        <v>LIST</v>
      </c>
      <c r="E47" s="89" t="s">
        <v>89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7"/>
      <c r="G48" s="144"/>
      <c r="H48" s="142"/>
      <c r="I48" s="144"/>
      <c r="J48" s="142"/>
      <c r="K48" s="144"/>
      <c r="L48" s="14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7"/>
      <c r="G49" s="144"/>
      <c r="H49" s="142"/>
      <c r="I49" s="144"/>
      <c r="J49" s="142"/>
      <c r="K49" s="144"/>
      <c r="L49" s="14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7"/>
      <c r="G50" s="144"/>
      <c r="H50" s="142"/>
      <c r="I50" s="144"/>
      <c r="J50" s="142"/>
      <c r="K50" s="144"/>
      <c r="L50" s="14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7"/>
      <c r="G51" s="144"/>
      <c r="H51" s="142"/>
      <c r="I51" s="144"/>
      <c r="J51" s="142"/>
      <c r="K51" s="144"/>
      <c r="L51" s="14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7"/>
      <c r="G52" s="144"/>
      <c r="H52" s="142"/>
      <c r="I52" s="144"/>
      <c r="J52" s="142"/>
      <c r="K52" s="144"/>
      <c r="L52" s="14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7"/>
      <c r="G53" s="144"/>
      <c r="H53" s="142"/>
      <c r="I53" s="144"/>
      <c r="J53" s="142"/>
      <c r="K53" s="144"/>
      <c r="L53" s="142"/>
    </row>
    <row r="54" spans="1:12" s="2" customFormat="1" ht="15.75" customHeight="1">
      <c r="A54" s="14"/>
      <c r="B54" s="25" t="s">
        <v>80</v>
      </c>
      <c r="C54" s="88" t="s">
        <v>96</v>
      </c>
      <c r="D54" s="32" t="str">
        <f>D47</f>
        <v>LIST</v>
      </c>
      <c r="E54" s="89" t="s">
        <v>89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7"/>
      <c r="G55" s="144"/>
      <c r="H55" s="142"/>
      <c r="I55" s="144"/>
      <c r="J55" s="142"/>
      <c r="K55" s="144"/>
      <c r="L55" s="14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7"/>
      <c r="G56" s="144"/>
      <c r="H56" s="142"/>
      <c r="I56" s="144"/>
      <c r="J56" s="142"/>
      <c r="K56" s="144"/>
      <c r="L56" s="14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7"/>
      <c r="G57" s="144"/>
      <c r="H57" s="142"/>
      <c r="I57" s="144"/>
      <c r="J57" s="142"/>
      <c r="K57" s="144"/>
      <c r="L57" s="14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7"/>
      <c r="G58" s="144"/>
      <c r="H58" s="142"/>
      <c r="I58" s="144"/>
      <c r="J58" s="142"/>
      <c r="K58" s="144"/>
      <c r="L58" s="14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7"/>
      <c r="G59" s="144"/>
      <c r="H59" s="142"/>
      <c r="I59" s="144"/>
      <c r="J59" s="142"/>
      <c r="K59" s="144"/>
      <c r="L59" s="14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7"/>
      <c r="G60" s="144"/>
      <c r="H60" s="142"/>
      <c r="I60" s="144"/>
      <c r="J60" s="142"/>
      <c r="K60" s="144"/>
      <c r="L60" s="142"/>
    </row>
    <row r="61" spans="1:12" s="2" customFormat="1" ht="15.75" customHeight="1">
      <c r="A61" s="14"/>
      <c r="B61" s="25" t="s">
        <v>81</v>
      </c>
      <c r="C61" s="88" t="s">
        <v>97</v>
      </c>
      <c r="D61" s="32" t="str">
        <f>D54</f>
        <v>LIST</v>
      </c>
      <c r="E61" s="89" t="s">
        <v>89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7"/>
      <c r="G62" s="144"/>
      <c r="H62" s="142"/>
      <c r="I62" s="144"/>
      <c r="J62" s="142"/>
      <c r="K62" s="144"/>
      <c r="L62" s="14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7"/>
      <c r="G63" s="144"/>
      <c r="H63" s="142"/>
      <c r="I63" s="144"/>
      <c r="J63" s="142"/>
      <c r="K63" s="144"/>
      <c r="L63" s="14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7"/>
      <c r="G64" s="144"/>
      <c r="H64" s="142"/>
      <c r="I64" s="144"/>
      <c r="J64" s="142"/>
      <c r="K64" s="144"/>
      <c r="L64" s="14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7"/>
      <c r="G65" s="144"/>
      <c r="H65" s="142"/>
      <c r="I65" s="144"/>
      <c r="J65" s="142"/>
      <c r="K65" s="144"/>
      <c r="L65" s="14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7"/>
      <c r="G66" s="144"/>
      <c r="H66" s="142"/>
      <c r="I66" s="144"/>
      <c r="J66" s="142"/>
      <c r="K66" s="144"/>
      <c r="L66" s="14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7"/>
      <c r="G67" s="144"/>
      <c r="H67" s="142"/>
      <c r="I67" s="144"/>
      <c r="J67" s="142"/>
      <c r="K67" s="144"/>
      <c r="L67" s="142"/>
    </row>
    <row r="68" spans="1:12" s="2" customFormat="1" ht="15.75" customHeight="1">
      <c r="A68" s="14"/>
      <c r="B68" s="25" t="s">
        <v>82</v>
      </c>
      <c r="C68" s="88" t="s">
        <v>98</v>
      </c>
      <c r="D68" s="32" t="str">
        <f>D61</f>
        <v>LIST</v>
      </c>
      <c r="E68" s="89" t="s">
        <v>89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7"/>
      <c r="G69" s="144"/>
      <c r="H69" s="142"/>
      <c r="I69" s="144"/>
      <c r="J69" s="142"/>
      <c r="K69" s="144"/>
      <c r="L69" s="14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7"/>
      <c r="G70" s="144"/>
      <c r="H70" s="142"/>
      <c r="I70" s="144"/>
      <c r="J70" s="142"/>
      <c r="K70" s="144"/>
      <c r="L70" s="14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7"/>
      <c r="G71" s="144"/>
      <c r="H71" s="142"/>
      <c r="I71" s="144"/>
      <c r="J71" s="142"/>
      <c r="K71" s="144"/>
      <c r="L71" s="14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7"/>
      <c r="G72" s="144"/>
      <c r="H72" s="142"/>
      <c r="I72" s="144"/>
      <c r="J72" s="142"/>
      <c r="K72" s="144"/>
      <c r="L72" s="14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7"/>
      <c r="G73" s="144"/>
      <c r="H73" s="142"/>
      <c r="I73" s="144"/>
      <c r="J73" s="142"/>
      <c r="K73" s="144"/>
      <c r="L73" s="14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7"/>
      <c r="G74" s="144"/>
      <c r="H74" s="142"/>
      <c r="I74" s="144"/>
      <c r="J74" s="142"/>
      <c r="K74" s="144"/>
      <c r="L74" s="142"/>
    </row>
    <row r="75" spans="1:12" s="2" customFormat="1" ht="15.75" customHeight="1">
      <c r="A75" s="14"/>
      <c r="B75" s="25" t="s">
        <v>83</v>
      </c>
      <c r="C75" s="88" t="s">
        <v>99</v>
      </c>
      <c r="D75" s="32" t="str">
        <f>D68</f>
        <v>LIST</v>
      </c>
      <c r="E75" s="89" t="s">
        <v>89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7"/>
      <c r="G76" s="144"/>
      <c r="H76" s="142"/>
      <c r="I76" s="144"/>
      <c r="J76" s="142"/>
      <c r="K76" s="144"/>
      <c r="L76" s="14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7"/>
      <c r="G77" s="144"/>
      <c r="H77" s="142"/>
      <c r="I77" s="144"/>
      <c r="J77" s="142"/>
      <c r="K77" s="144"/>
      <c r="L77" s="14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7"/>
      <c r="G78" s="144"/>
      <c r="H78" s="142"/>
      <c r="I78" s="144"/>
      <c r="J78" s="142"/>
      <c r="K78" s="144"/>
      <c r="L78" s="14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7"/>
      <c r="G79" s="144"/>
      <c r="H79" s="142"/>
      <c r="I79" s="144"/>
      <c r="J79" s="142"/>
      <c r="K79" s="144"/>
      <c r="L79" s="14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7"/>
      <c r="G80" s="144"/>
      <c r="H80" s="142"/>
      <c r="I80" s="144"/>
      <c r="J80" s="142"/>
      <c r="K80" s="144"/>
      <c r="L80" s="14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7"/>
      <c r="G81" s="144"/>
      <c r="H81" s="142"/>
      <c r="I81" s="144"/>
      <c r="J81" s="142"/>
      <c r="K81" s="144"/>
      <c r="L81" s="142"/>
    </row>
    <row r="82" spans="1:12" s="2" customFormat="1" ht="15.75" customHeight="1">
      <c r="A82" s="14"/>
      <c r="B82" s="25" t="s">
        <v>84</v>
      </c>
      <c r="C82" s="88" t="s">
        <v>100</v>
      </c>
      <c r="D82" s="32" t="str">
        <f>D75</f>
        <v>LIST</v>
      </c>
      <c r="E82" s="89" t="s">
        <v>89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7"/>
      <c r="G83" s="144"/>
      <c r="H83" s="142"/>
      <c r="I83" s="144"/>
      <c r="J83" s="142"/>
      <c r="K83" s="144"/>
      <c r="L83" s="14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7"/>
      <c r="G84" s="144"/>
      <c r="H84" s="142"/>
      <c r="I84" s="144"/>
      <c r="J84" s="142"/>
      <c r="K84" s="144"/>
      <c r="L84" s="14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7"/>
      <c r="G85" s="144"/>
      <c r="H85" s="142"/>
      <c r="I85" s="144"/>
      <c r="J85" s="142"/>
      <c r="K85" s="144"/>
      <c r="L85" s="14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7"/>
      <c r="G86" s="144"/>
      <c r="H86" s="142"/>
      <c r="I86" s="144"/>
      <c r="J86" s="142"/>
      <c r="K86" s="144"/>
      <c r="L86" s="14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7"/>
      <c r="G87" s="144"/>
      <c r="H87" s="142"/>
      <c r="I87" s="144"/>
      <c r="J87" s="142"/>
      <c r="K87" s="144"/>
      <c r="L87" s="14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8"/>
      <c r="G88" s="145"/>
      <c r="H88" s="143"/>
      <c r="I88" s="145"/>
      <c r="J88" s="143"/>
      <c r="K88" s="145"/>
      <c r="L88" s="143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59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LIDER!D4</f>
        <v>COSTOS Y PRESUPUESTO</v>
      </c>
      <c r="C2" s="82"/>
      <c r="D2" s="3"/>
      <c r="F2" s="152" t="s">
        <v>85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CONCATENATE(LIDER!D4," - ",LIDER!D6," - ",LIDER!D5)</f>
        <v>COSTOS Y PRESUPUESTO - 2216 - ISAMAR CAROLINA CASSIANI DEL TORO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87</v>
      </c>
      <c r="D5" s="32" t="s">
        <v>88</v>
      </c>
      <c r="E5" s="89" t="s">
        <v>89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SHAYLIN YOLANDA ALVAREZ MANJARRES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7"/>
      <c r="G6" s="144"/>
      <c r="H6" s="142"/>
      <c r="I6" s="144"/>
      <c r="J6" s="142"/>
      <c r="K6" s="144"/>
      <c r="L6" s="142"/>
    </row>
    <row r="7" spans="1:12" s="2" customFormat="1" ht="15" customHeight="1">
      <c r="A7" s="12">
        <v>2</v>
      </c>
      <c r="B7" s="10" t="str">
        <f>LIDER!E44</f>
        <v>VALERY DEL CARMEN MARTINEZ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7"/>
      <c r="G7" s="144"/>
      <c r="H7" s="142"/>
      <c r="I7" s="144"/>
      <c r="J7" s="142"/>
      <c r="K7" s="144"/>
      <c r="L7" s="142"/>
    </row>
    <row r="8" spans="1:12" s="2" customFormat="1" ht="15" customHeight="1">
      <c r="A8" s="12">
        <v>3</v>
      </c>
      <c r="B8" s="10" t="str">
        <f>LIDER!E45</f>
        <v>ANDREA CAROLINA OVIEDO CERVANTES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7"/>
      <c r="G8" s="144"/>
      <c r="H8" s="142"/>
      <c r="I8" s="144"/>
      <c r="J8" s="142"/>
      <c r="K8" s="144"/>
      <c r="L8" s="142"/>
    </row>
    <row r="9" spans="1:12" s="2" customFormat="1" ht="15" customHeight="1">
      <c r="A9" s="12">
        <v>4</v>
      </c>
      <c r="B9" s="10" t="str">
        <f>LIDER!E46</f>
        <v>SARI ELENA QUESEDO HORMECHEA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7"/>
      <c r="G9" s="144"/>
      <c r="H9" s="142"/>
      <c r="I9" s="144"/>
      <c r="J9" s="142"/>
      <c r="K9" s="144"/>
      <c r="L9" s="142"/>
    </row>
    <row r="10" spans="1:12" s="2" customFormat="1" ht="15" customHeight="1">
      <c r="A10" s="12">
        <v>5</v>
      </c>
      <c r="B10" s="10" t="str">
        <f>LIDER!E47</f>
        <v>VALENTINA TINOCO PATERNINA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7"/>
      <c r="G10" s="144"/>
      <c r="H10" s="142"/>
      <c r="I10" s="144"/>
      <c r="J10" s="142"/>
      <c r="K10" s="144"/>
      <c r="L10" s="14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7"/>
      <c r="G11" s="144"/>
      <c r="H11" s="142"/>
      <c r="I11" s="144"/>
      <c r="J11" s="142"/>
      <c r="K11" s="144"/>
      <c r="L11" s="142"/>
    </row>
    <row r="12" spans="1:12" s="2" customFormat="1" ht="15.75" customHeight="1" thickBot="1">
      <c r="A12" s="8"/>
      <c r="B12" s="25" t="s">
        <v>72</v>
      </c>
      <c r="C12" s="88" t="s">
        <v>90</v>
      </c>
      <c r="D12" s="32" t="str">
        <f>D5</f>
        <v>LIST</v>
      </c>
      <c r="E12" s="89" t="s">
        <v>89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SAMUEL ESCOBAR VILLERO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7"/>
      <c r="G13" s="144"/>
      <c r="H13" s="142"/>
      <c r="I13" s="144"/>
      <c r="J13" s="142"/>
      <c r="K13" s="144"/>
      <c r="L13" s="142"/>
    </row>
    <row r="14" spans="1:12" s="2" customFormat="1" ht="15" customHeight="1">
      <c r="A14" s="12">
        <v>2</v>
      </c>
      <c r="B14" s="10" t="str">
        <f>LIDER!F44</f>
        <v>MILENA PATRICIA GOMEZ BALLESTEROS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7"/>
      <c r="G14" s="144"/>
      <c r="H14" s="142"/>
      <c r="I14" s="144"/>
      <c r="J14" s="142"/>
      <c r="K14" s="144"/>
      <c r="L14" s="142"/>
    </row>
    <row r="15" spans="1:12" s="2" customFormat="1" ht="15" customHeight="1">
      <c r="A15" s="12">
        <v>3</v>
      </c>
      <c r="B15" s="10" t="str">
        <f>LIDER!F45</f>
        <v>VALERI JULIANA JULIO SUAREZ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7"/>
      <c r="G15" s="144"/>
      <c r="H15" s="142"/>
      <c r="I15" s="144"/>
      <c r="J15" s="142"/>
      <c r="K15" s="144"/>
      <c r="L15" s="142"/>
    </row>
    <row r="16" spans="1:12" s="2" customFormat="1" ht="15" customHeight="1">
      <c r="A16" s="12">
        <v>4</v>
      </c>
      <c r="B16" s="10" t="str">
        <f>LIDER!F46</f>
        <v>JHON JAIRO PALACIO AVILA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7"/>
      <c r="G16" s="144"/>
      <c r="H16" s="142"/>
      <c r="I16" s="144"/>
      <c r="J16" s="142"/>
      <c r="K16" s="144"/>
      <c r="L16" s="142"/>
    </row>
    <row r="17" spans="1:12" s="2" customFormat="1" ht="15" customHeight="1">
      <c r="A17" s="12">
        <v>5</v>
      </c>
      <c r="B17" s="10" t="str">
        <f>LIDER!F47</f>
        <v>JEFFRY PIÑERES SUAREZ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7"/>
      <c r="G17" s="144"/>
      <c r="H17" s="142"/>
      <c r="I17" s="144"/>
      <c r="J17" s="142"/>
      <c r="K17" s="144"/>
      <c r="L17" s="14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7"/>
      <c r="G18" s="144"/>
      <c r="H18" s="142"/>
      <c r="I18" s="144"/>
      <c r="J18" s="142"/>
      <c r="K18" s="144"/>
      <c r="L18" s="142"/>
    </row>
    <row r="19" spans="1:12" s="2" customFormat="1" ht="15.75" customHeight="1">
      <c r="A19" s="14"/>
      <c r="B19" s="25" t="s">
        <v>74</v>
      </c>
      <c r="C19" s="88" t="s">
        <v>91</v>
      </c>
      <c r="D19" s="32" t="str">
        <f>D12</f>
        <v>LIST</v>
      </c>
      <c r="E19" s="89" t="s">
        <v>89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KEYNNER DAVID CORREA SUAREZ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7"/>
      <c r="G20" s="144"/>
      <c r="H20" s="142"/>
      <c r="I20" s="144"/>
      <c r="J20" s="142"/>
      <c r="K20" s="144"/>
      <c r="L20" s="142"/>
    </row>
    <row r="21" spans="1:12" s="2" customFormat="1" ht="15" customHeight="1">
      <c r="A21" s="12">
        <v>2</v>
      </c>
      <c r="B21" s="10" t="str">
        <f>LIDER!G44</f>
        <v>SANTIAGO DOMINGUEZ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7"/>
      <c r="G21" s="144"/>
      <c r="H21" s="142"/>
      <c r="I21" s="144"/>
      <c r="J21" s="142"/>
      <c r="K21" s="144"/>
      <c r="L21" s="142"/>
    </row>
    <row r="22" spans="1:12" s="2" customFormat="1" ht="15" customHeight="1">
      <c r="A22" s="12">
        <v>3</v>
      </c>
      <c r="B22" s="10" t="str">
        <f>LIDER!G45</f>
        <v>DUVAN HAVITT HERRERA FIGUEROA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7"/>
      <c r="G22" s="144"/>
      <c r="H22" s="142"/>
      <c r="I22" s="144"/>
      <c r="J22" s="142"/>
      <c r="K22" s="144"/>
      <c r="L22" s="142"/>
    </row>
    <row r="23" spans="1:12" s="2" customFormat="1" ht="15" customHeight="1">
      <c r="A23" s="12">
        <v>4</v>
      </c>
      <c r="B23" s="10" t="str">
        <f>LIDER!G46</f>
        <v>JOSE JIMENEZ LEON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7"/>
      <c r="G23" s="144"/>
      <c r="H23" s="142"/>
      <c r="I23" s="144"/>
      <c r="J23" s="142"/>
      <c r="K23" s="144"/>
      <c r="L23" s="142"/>
    </row>
    <row r="24" spans="1:12" s="2" customFormat="1" ht="15" customHeight="1">
      <c r="A24" s="12">
        <v>5</v>
      </c>
      <c r="B24" s="10" t="str">
        <f>LIDER!G47</f>
        <v>JUAN DIEGO ROMERO BASABE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7"/>
      <c r="G24" s="144"/>
      <c r="H24" s="142"/>
      <c r="I24" s="144"/>
      <c r="J24" s="142"/>
      <c r="K24" s="144"/>
      <c r="L24" s="14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7"/>
      <c r="G25" s="144"/>
      <c r="H25" s="142"/>
      <c r="I25" s="144"/>
      <c r="J25" s="142"/>
      <c r="K25" s="144"/>
      <c r="L25" s="142"/>
    </row>
    <row r="26" spans="1:12" s="2" customFormat="1" ht="15.75" customHeight="1">
      <c r="A26" s="14"/>
      <c r="B26" s="25" t="s">
        <v>76</v>
      </c>
      <c r="C26" s="88" t="s">
        <v>92</v>
      </c>
      <c r="D26" s="32" t="str">
        <f>D19</f>
        <v>LIST</v>
      </c>
      <c r="E26" s="89" t="s">
        <v>89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SANTIAGO ANDRÉS ARNEDO ESCALANTE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7"/>
      <c r="G27" s="144"/>
      <c r="H27" s="142"/>
      <c r="I27" s="144"/>
      <c r="J27" s="142"/>
      <c r="K27" s="144"/>
      <c r="L27" s="142"/>
    </row>
    <row r="28" spans="1:12" s="2" customFormat="1" ht="15" customHeight="1">
      <c r="A28" s="12">
        <v>2</v>
      </c>
      <c r="B28" s="10" t="str">
        <f>LIDER!H44</f>
        <v>JUAN CAMILO NIETO ARAGON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7"/>
      <c r="G28" s="144"/>
      <c r="H28" s="142"/>
      <c r="I28" s="144"/>
      <c r="J28" s="142"/>
      <c r="K28" s="144"/>
      <c r="L28" s="142"/>
    </row>
    <row r="29" spans="1:12" s="2" customFormat="1" ht="15" customHeight="1">
      <c r="A29" s="12">
        <v>3</v>
      </c>
      <c r="B29" s="10" t="str">
        <f>LIDER!H45</f>
        <v>BETZABETH MARIEL SALCEDO MERCADO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7"/>
      <c r="G29" s="144"/>
      <c r="H29" s="142"/>
      <c r="I29" s="144"/>
      <c r="J29" s="142"/>
      <c r="K29" s="144"/>
      <c r="L29" s="142"/>
    </row>
    <row r="30" spans="1:12" s="2" customFormat="1" ht="15" customHeight="1">
      <c r="A30" s="12">
        <v>4</v>
      </c>
      <c r="B30" s="10" t="str">
        <f>LIDER!H46</f>
        <v>MAUREN ANDREA TORRES CASTRO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7"/>
      <c r="G30" s="144"/>
      <c r="H30" s="142"/>
      <c r="I30" s="144"/>
      <c r="J30" s="142"/>
      <c r="K30" s="144"/>
      <c r="L30" s="14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7"/>
      <c r="G31" s="144"/>
      <c r="H31" s="142"/>
      <c r="I31" s="144"/>
      <c r="J31" s="142"/>
      <c r="K31" s="144"/>
      <c r="L31" s="14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7"/>
      <c r="G32" s="144"/>
      <c r="H32" s="142"/>
      <c r="I32" s="144"/>
      <c r="J32" s="142"/>
      <c r="K32" s="144"/>
      <c r="L32" s="142"/>
    </row>
    <row r="33" spans="1:12" s="2" customFormat="1" ht="15.75" customHeight="1">
      <c r="A33" s="14"/>
      <c r="B33" s="25" t="s">
        <v>77</v>
      </c>
      <c r="C33" s="88" t="s">
        <v>93</v>
      </c>
      <c r="D33" s="32" t="str">
        <f>D26</f>
        <v>LIST</v>
      </c>
      <c r="E33" s="89" t="s">
        <v>89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MARIA CAMILA BARRERA ORTEGA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7"/>
      <c r="G34" s="144"/>
      <c r="H34" s="142"/>
      <c r="I34" s="144"/>
      <c r="J34" s="142"/>
      <c r="K34" s="144"/>
      <c r="L34" s="142"/>
    </row>
    <row r="35" spans="1:12" s="2" customFormat="1" ht="15" customHeight="1">
      <c r="A35" s="12">
        <v>2</v>
      </c>
      <c r="B35" s="10" t="str">
        <f>LIDER!E52</f>
        <v>NATALIA SOFÍA CABARCAS TRUJILLO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7"/>
      <c r="G35" s="144"/>
      <c r="H35" s="142"/>
      <c r="I35" s="144"/>
      <c r="J35" s="142"/>
      <c r="K35" s="144"/>
      <c r="L35" s="142"/>
    </row>
    <row r="36" spans="1:12" s="2" customFormat="1" ht="15" customHeight="1">
      <c r="A36" s="12">
        <v>3</v>
      </c>
      <c r="B36" s="10" t="str">
        <f>LIDER!E53</f>
        <v>FRANKLIN ANDRES CORTINA BLANCO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7"/>
      <c r="G36" s="144"/>
      <c r="H36" s="142"/>
      <c r="I36" s="144"/>
      <c r="J36" s="142"/>
      <c r="K36" s="144"/>
      <c r="L36" s="142"/>
    </row>
    <row r="37" spans="1:12" s="2" customFormat="1" ht="15" customHeight="1">
      <c r="A37" s="12">
        <v>4</v>
      </c>
      <c r="B37" s="10" t="str">
        <f>LIDER!E54</f>
        <v>ANGELINE PITALUA TENORIO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7"/>
      <c r="G37" s="144"/>
      <c r="H37" s="142"/>
      <c r="I37" s="144"/>
      <c r="J37" s="142"/>
      <c r="K37" s="144"/>
      <c r="L37" s="142"/>
    </row>
    <row r="38" spans="1:12" s="2" customFormat="1" ht="15" customHeight="1">
      <c r="A38" s="12">
        <v>5</v>
      </c>
      <c r="B38" s="10" t="str">
        <f>LIDER!E55</f>
        <v>EMILIA DEL CARMEN TABORDA ANGULO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7"/>
      <c r="G38" s="144"/>
      <c r="H38" s="142"/>
      <c r="I38" s="144"/>
      <c r="J38" s="142"/>
      <c r="K38" s="144"/>
      <c r="L38" s="14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7"/>
      <c r="G39" s="144"/>
      <c r="H39" s="142"/>
      <c r="I39" s="144"/>
      <c r="J39" s="142"/>
      <c r="K39" s="144"/>
      <c r="L39" s="142"/>
    </row>
    <row r="40" spans="1:12" s="2" customFormat="1" ht="15.75" customHeight="1">
      <c r="A40" s="14"/>
      <c r="B40" s="25" t="s">
        <v>78</v>
      </c>
      <c r="C40" s="88" t="s">
        <v>94</v>
      </c>
      <c r="D40" s="32" t="str">
        <f>D33</f>
        <v>LIST</v>
      </c>
      <c r="E40" s="89" t="s">
        <v>89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7"/>
      <c r="G41" s="144"/>
      <c r="H41" s="142"/>
      <c r="I41" s="144"/>
      <c r="J41" s="142"/>
      <c r="K41" s="144"/>
      <c r="L41" s="14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7"/>
      <c r="G42" s="144"/>
      <c r="H42" s="142"/>
      <c r="I42" s="144"/>
      <c r="J42" s="142"/>
      <c r="K42" s="144"/>
      <c r="L42" s="14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7"/>
      <c r="G43" s="144"/>
      <c r="H43" s="142"/>
      <c r="I43" s="144"/>
      <c r="J43" s="142"/>
      <c r="K43" s="144"/>
      <c r="L43" s="14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7"/>
      <c r="G44" s="144"/>
      <c r="H44" s="142"/>
      <c r="I44" s="144"/>
      <c r="J44" s="142"/>
      <c r="K44" s="144"/>
      <c r="L44" s="14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7"/>
      <c r="G45" s="144"/>
      <c r="H45" s="142"/>
      <c r="I45" s="144"/>
      <c r="J45" s="142"/>
      <c r="K45" s="144"/>
      <c r="L45" s="14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7"/>
      <c r="G46" s="144"/>
      <c r="H46" s="142"/>
      <c r="I46" s="144"/>
      <c r="J46" s="142"/>
      <c r="K46" s="144"/>
      <c r="L46" s="142"/>
    </row>
    <row r="47" spans="1:12" s="2" customFormat="1" ht="15.75" customHeight="1">
      <c r="A47" s="14"/>
      <c r="B47" s="25" t="s">
        <v>79</v>
      </c>
      <c r="C47" s="88" t="s">
        <v>95</v>
      </c>
      <c r="D47" s="32" t="str">
        <f>D40</f>
        <v>LIST</v>
      </c>
      <c r="E47" s="89" t="s">
        <v>89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7"/>
      <c r="G48" s="144"/>
      <c r="H48" s="142"/>
      <c r="I48" s="144"/>
      <c r="J48" s="142"/>
      <c r="K48" s="144"/>
      <c r="L48" s="14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7"/>
      <c r="G49" s="144"/>
      <c r="H49" s="142"/>
      <c r="I49" s="144"/>
      <c r="J49" s="142"/>
      <c r="K49" s="144"/>
      <c r="L49" s="14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7"/>
      <c r="G50" s="144"/>
      <c r="H50" s="142"/>
      <c r="I50" s="144"/>
      <c r="J50" s="142"/>
      <c r="K50" s="144"/>
      <c r="L50" s="14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7"/>
      <c r="G51" s="144"/>
      <c r="H51" s="142"/>
      <c r="I51" s="144"/>
      <c r="J51" s="142"/>
      <c r="K51" s="144"/>
      <c r="L51" s="14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7"/>
      <c r="G52" s="144"/>
      <c r="H52" s="142"/>
      <c r="I52" s="144"/>
      <c r="J52" s="142"/>
      <c r="K52" s="144"/>
      <c r="L52" s="14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7"/>
      <c r="G53" s="144"/>
      <c r="H53" s="142"/>
      <c r="I53" s="144"/>
      <c r="J53" s="142"/>
      <c r="K53" s="144"/>
      <c r="L53" s="142"/>
    </row>
    <row r="54" spans="1:12" s="2" customFormat="1" ht="15.75" customHeight="1">
      <c r="A54" s="14"/>
      <c r="B54" s="25" t="s">
        <v>80</v>
      </c>
      <c r="C54" s="88" t="s">
        <v>96</v>
      </c>
      <c r="D54" s="32" t="str">
        <f>D47</f>
        <v>LIST</v>
      </c>
      <c r="E54" s="89" t="s">
        <v>89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7"/>
      <c r="G55" s="144"/>
      <c r="H55" s="142"/>
      <c r="I55" s="144"/>
      <c r="J55" s="142"/>
      <c r="K55" s="144"/>
      <c r="L55" s="14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7"/>
      <c r="G56" s="144"/>
      <c r="H56" s="142"/>
      <c r="I56" s="144"/>
      <c r="J56" s="142"/>
      <c r="K56" s="144"/>
      <c r="L56" s="14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7"/>
      <c r="G57" s="144"/>
      <c r="H57" s="142"/>
      <c r="I57" s="144"/>
      <c r="J57" s="142"/>
      <c r="K57" s="144"/>
      <c r="L57" s="14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7"/>
      <c r="G58" s="144"/>
      <c r="H58" s="142"/>
      <c r="I58" s="144"/>
      <c r="J58" s="142"/>
      <c r="K58" s="144"/>
      <c r="L58" s="14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7"/>
      <c r="G59" s="144"/>
      <c r="H59" s="142"/>
      <c r="I59" s="144"/>
      <c r="J59" s="142"/>
      <c r="K59" s="144"/>
      <c r="L59" s="14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7"/>
      <c r="G60" s="144"/>
      <c r="H60" s="142"/>
      <c r="I60" s="144"/>
      <c r="J60" s="142"/>
      <c r="K60" s="144"/>
      <c r="L60" s="142"/>
    </row>
    <row r="61" spans="1:12" s="2" customFormat="1" ht="15.75" customHeight="1">
      <c r="A61" s="14"/>
      <c r="B61" s="25" t="s">
        <v>81</v>
      </c>
      <c r="C61" s="88" t="s">
        <v>97</v>
      </c>
      <c r="D61" s="32" t="str">
        <f>D54</f>
        <v>LIST</v>
      </c>
      <c r="E61" s="89" t="s">
        <v>89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7"/>
      <c r="G62" s="144"/>
      <c r="H62" s="142"/>
      <c r="I62" s="144"/>
      <c r="J62" s="142"/>
      <c r="K62" s="144"/>
      <c r="L62" s="14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7"/>
      <c r="G63" s="144"/>
      <c r="H63" s="142"/>
      <c r="I63" s="144"/>
      <c r="J63" s="142"/>
      <c r="K63" s="144"/>
      <c r="L63" s="14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7"/>
      <c r="G64" s="144"/>
      <c r="H64" s="142"/>
      <c r="I64" s="144"/>
      <c r="J64" s="142"/>
      <c r="K64" s="144"/>
      <c r="L64" s="14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7"/>
      <c r="G65" s="144"/>
      <c r="H65" s="142"/>
      <c r="I65" s="144"/>
      <c r="J65" s="142"/>
      <c r="K65" s="144"/>
      <c r="L65" s="14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7"/>
      <c r="G66" s="144"/>
      <c r="H66" s="142"/>
      <c r="I66" s="144"/>
      <c r="J66" s="142"/>
      <c r="K66" s="144"/>
      <c r="L66" s="14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7"/>
      <c r="G67" s="144"/>
      <c r="H67" s="142"/>
      <c r="I67" s="144"/>
      <c r="J67" s="142"/>
      <c r="K67" s="144"/>
      <c r="L67" s="142"/>
    </row>
    <row r="68" spans="1:12" s="2" customFormat="1" ht="15.75" customHeight="1">
      <c r="A68" s="14"/>
      <c r="B68" s="25" t="s">
        <v>82</v>
      </c>
      <c r="C68" s="88" t="s">
        <v>98</v>
      </c>
      <c r="D68" s="32" t="str">
        <f>D61</f>
        <v>LIST</v>
      </c>
      <c r="E68" s="89" t="s">
        <v>89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7"/>
      <c r="G69" s="144"/>
      <c r="H69" s="142"/>
      <c r="I69" s="144"/>
      <c r="J69" s="142"/>
      <c r="K69" s="144"/>
      <c r="L69" s="14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7"/>
      <c r="G70" s="144"/>
      <c r="H70" s="142"/>
      <c r="I70" s="144"/>
      <c r="J70" s="142"/>
      <c r="K70" s="144"/>
      <c r="L70" s="14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7"/>
      <c r="G71" s="144"/>
      <c r="H71" s="142"/>
      <c r="I71" s="144"/>
      <c r="J71" s="142"/>
      <c r="K71" s="144"/>
      <c r="L71" s="14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7"/>
      <c r="G72" s="144"/>
      <c r="H72" s="142"/>
      <c r="I72" s="144"/>
      <c r="J72" s="142"/>
      <c r="K72" s="144"/>
      <c r="L72" s="14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7"/>
      <c r="G73" s="144"/>
      <c r="H73" s="142"/>
      <c r="I73" s="144"/>
      <c r="J73" s="142"/>
      <c r="K73" s="144"/>
      <c r="L73" s="14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7"/>
      <c r="G74" s="144"/>
      <c r="H74" s="142"/>
      <c r="I74" s="144"/>
      <c r="J74" s="142"/>
      <c r="K74" s="144"/>
      <c r="L74" s="142"/>
    </row>
    <row r="75" spans="1:12" s="2" customFormat="1" ht="15.75" customHeight="1">
      <c r="A75" s="14"/>
      <c r="B75" s="25" t="s">
        <v>83</v>
      </c>
      <c r="C75" s="88" t="s">
        <v>99</v>
      </c>
      <c r="D75" s="32" t="str">
        <f>D68</f>
        <v>LIST</v>
      </c>
      <c r="E75" s="89" t="s">
        <v>89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7"/>
      <c r="G76" s="144"/>
      <c r="H76" s="142"/>
      <c r="I76" s="144"/>
      <c r="J76" s="142"/>
      <c r="K76" s="144"/>
      <c r="L76" s="14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7"/>
      <c r="G77" s="144"/>
      <c r="H77" s="142"/>
      <c r="I77" s="144"/>
      <c r="J77" s="142"/>
      <c r="K77" s="144"/>
      <c r="L77" s="14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7"/>
      <c r="G78" s="144"/>
      <c r="H78" s="142"/>
      <c r="I78" s="144"/>
      <c r="J78" s="142"/>
      <c r="K78" s="144"/>
      <c r="L78" s="14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7"/>
      <c r="G79" s="144"/>
      <c r="H79" s="142"/>
      <c r="I79" s="144"/>
      <c r="J79" s="142"/>
      <c r="K79" s="144"/>
      <c r="L79" s="14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7"/>
      <c r="G80" s="144"/>
      <c r="H80" s="142"/>
      <c r="I80" s="144"/>
      <c r="J80" s="142"/>
      <c r="K80" s="144"/>
      <c r="L80" s="14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7"/>
      <c r="G81" s="144"/>
      <c r="H81" s="142"/>
      <c r="I81" s="144"/>
      <c r="J81" s="142"/>
      <c r="K81" s="144"/>
      <c r="L81" s="142"/>
    </row>
    <row r="82" spans="1:12" s="2" customFormat="1" ht="15.75" customHeight="1">
      <c r="A82" s="14"/>
      <c r="B82" s="25" t="s">
        <v>84</v>
      </c>
      <c r="C82" s="88" t="s">
        <v>100</v>
      </c>
      <c r="D82" s="32" t="str">
        <f>D75</f>
        <v>LIST</v>
      </c>
      <c r="E82" s="89" t="s">
        <v>89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7"/>
      <c r="G83" s="144"/>
      <c r="H83" s="142"/>
      <c r="I83" s="144"/>
      <c r="J83" s="142"/>
      <c r="K83" s="144"/>
      <c r="L83" s="14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7"/>
      <c r="G84" s="144"/>
      <c r="H84" s="142"/>
      <c r="I84" s="144"/>
      <c r="J84" s="142"/>
      <c r="K84" s="144"/>
      <c r="L84" s="14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7"/>
      <c r="G85" s="144"/>
      <c r="H85" s="142"/>
      <c r="I85" s="144"/>
      <c r="J85" s="142"/>
      <c r="K85" s="144"/>
      <c r="L85" s="14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7"/>
      <c r="G86" s="144"/>
      <c r="H86" s="142"/>
      <c r="I86" s="144"/>
      <c r="J86" s="142"/>
      <c r="K86" s="144"/>
      <c r="L86" s="14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7"/>
      <c r="G87" s="144"/>
      <c r="H87" s="142"/>
      <c r="I87" s="144"/>
      <c r="J87" s="142"/>
      <c r="K87" s="144"/>
      <c r="L87" s="14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8"/>
      <c r="G88" s="145"/>
      <c r="H88" s="143"/>
      <c r="I88" s="145"/>
      <c r="J88" s="143"/>
      <c r="K88" s="145"/>
      <c r="L88" s="143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25" activePane="bottomRight" state="frozen"/>
      <selection pane="bottomRight" activeCell="G34" sqref="G34:G39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LIDER!E4</f>
        <v>LEGISLACION EMPRESARIAL</v>
      </c>
      <c r="C2" s="82"/>
      <c r="D2" s="3"/>
      <c r="F2" s="152" t="s">
        <v>85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CONCATENATE(LIDER!E4," - ",LIDER!E6," - ",LIDER!E5)</f>
        <v>LEGISLACION EMPRESARIAL - 2236 - GABRIEL JOSE CARRASQUILLA MARRUGO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87</v>
      </c>
      <c r="D5" s="32" t="s">
        <v>88</v>
      </c>
      <c r="E5" s="89" t="s">
        <v>89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SHAYLIN YOLANDA ALVAREZ MANJARRES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3.9999999999999996</v>
      </c>
      <c r="F6" s="147">
        <v>4</v>
      </c>
      <c r="G6" s="144">
        <v>4</v>
      </c>
      <c r="H6" s="142">
        <v>4</v>
      </c>
      <c r="I6" s="144">
        <v>4</v>
      </c>
      <c r="J6" s="142">
        <v>4</v>
      </c>
      <c r="K6" s="144"/>
      <c r="L6" s="142"/>
    </row>
    <row r="7" spans="1:12" s="2" customFormat="1" ht="15" customHeight="1">
      <c r="A7" s="12">
        <v>2</v>
      </c>
      <c r="B7" s="10" t="str">
        <f>LIDER!E44</f>
        <v>VALERY DEL CARMEN MARTINEZ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3.9999999999999996</v>
      </c>
      <c r="F7" s="147"/>
      <c r="G7" s="144"/>
      <c r="H7" s="142"/>
      <c r="I7" s="144"/>
      <c r="J7" s="142"/>
      <c r="K7" s="144"/>
      <c r="L7" s="142"/>
    </row>
    <row r="8" spans="1:12" s="2" customFormat="1" ht="15" customHeight="1">
      <c r="A8" s="12">
        <v>3</v>
      </c>
      <c r="B8" s="10" t="str">
        <f>LIDER!E45</f>
        <v>ANDREA CAROLINA OVIEDO CERVANTES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3.9999999999999996</v>
      </c>
      <c r="F8" s="147"/>
      <c r="G8" s="144"/>
      <c r="H8" s="142"/>
      <c r="I8" s="144"/>
      <c r="J8" s="142"/>
      <c r="K8" s="144"/>
      <c r="L8" s="142"/>
    </row>
    <row r="9" spans="1:12" s="2" customFormat="1" ht="15" customHeight="1">
      <c r="A9" s="12">
        <v>4</v>
      </c>
      <c r="B9" s="10" t="str">
        <f>LIDER!E46</f>
        <v>SARI ELENA QUESEDO HORMECHEA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3.9999999999999996</v>
      </c>
      <c r="F9" s="147"/>
      <c r="G9" s="144"/>
      <c r="H9" s="142"/>
      <c r="I9" s="144"/>
      <c r="J9" s="142"/>
      <c r="K9" s="144"/>
      <c r="L9" s="142"/>
    </row>
    <row r="10" spans="1:12" s="2" customFormat="1" ht="15" customHeight="1">
      <c r="A10" s="12">
        <v>5</v>
      </c>
      <c r="B10" s="10" t="str">
        <f>LIDER!E47</f>
        <v>VALENTINA TINOCO PATERNINA</v>
      </c>
      <c r="C10" s="90" t="str">
        <f t="shared" si="0"/>
        <v>G01</v>
      </c>
      <c r="D10" s="96" t="s">
        <v>101</v>
      </c>
      <c r="E10" s="11" t="str">
        <f>IF(B10=0,0,IF(D10="",$F$6*LIDER!$H$9+$G$6*LIDER!$H$10+$H$6*LIDER!$H$11+$I$6*LIDER!$H$12+$J$6*LIDER!$H$13+$K$6*LIDER!$H$14+$L$6*LIDER!$H$15,"N"))</f>
        <v>N</v>
      </c>
      <c r="F10" s="147"/>
      <c r="G10" s="144"/>
      <c r="H10" s="142"/>
      <c r="I10" s="144"/>
      <c r="J10" s="142"/>
      <c r="K10" s="144"/>
      <c r="L10" s="14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7"/>
      <c r="G11" s="144"/>
      <c r="H11" s="142"/>
      <c r="I11" s="144"/>
      <c r="J11" s="142"/>
      <c r="K11" s="144"/>
      <c r="L11" s="142"/>
    </row>
    <row r="12" spans="1:12" s="2" customFormat="1" ht="15.75" customHeight="1" thickBot="1">
      <c r="A12" s="8"/>
      <c r="B12" s="25" t="s">
        <v>72</v>
      </c>
      <c r="C12" s="88" t="s">
        <v>90</v>
      </c>
      <c r="D12" s="32" t="str">
        <f>D5</f>
        <v>LIST</v>
      </c>
      <c r="E12" s="89" t="s">
        <v>89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SAMUEL ESCOBAR VILLERO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3.86</v>
      </c>
      <c r="F13" s="147">
        <v>4</v>
      </c>
      <c r="G13" s="144">
        <v>3.8</v>
      </c>
      <c r="H13" s="142">
        <v>3.8</v>
      </c>
      <c r="I13" s="144">
        <v>3.8</v>
      </c>
      <c r="J13" s="142">
        <v>4</v>
      </c>
      <c r="K13" s="144"/>
      <c r="L13" s="142"/>
    </row>
    <row r="14" spans="1:12" s="2" customFormat="1" ht="15" customHeight="1">
      <c r="A14" s="12">
        <v>2</v>
      </c>
      <c r="B14" s="10" t="str">
        <f>LIDER!F44</f>
        <v>MILENA PATRICIA GOMEZ BALLESTEROS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3.86</v>
      </c>
      <c r="F14" s="147"/>
      <c r="G14" s="144"/>
      <c r="H14" s="142"/>
      <c r="I14" s="144"/>
      <c r="J14" s="142"/>
      <c r="K14" s="144"/>
      <c r="L14" s="142"/>
    </row>
    <row r="15" spans="1:12" s="2" customFormat="1" ht="15" customHeight="1">
      <c r="A15" s="12">
        <v>3</v>
      </c>
      <c r="B15" s="10" t="str">
        <f>LIDER!F45</f>
        <v>VALERI JULIANA JULIO SUAREZ</v>
      </c>
      <c r="C15" s="90" t="str">
        <f t="shared" si="1"/>
        <v>G02</v>
      </c>
      <c r="D15" s="96" t="s">
        <v>101</v>
      </c>
      <c r="E15" s="11" t="str">
        <f>IF(B15=0,0,IF(D15="",$F$13*LIDER!$H$9+$G$13*LIDER!$H$10+$H$13*LIDER!$H$11+$I$13*LIDER!$H$12+$J$13*LIDER!$H$13+$K$13*LIDER!$H$14+$L$13*LIDER!$H$15,"N"))</f>
        <v>N</v>
      </c>
      <c r="F15" s="147"/>
      <c r="G15" s="144"/>
      <c r="H15" s="142"/>
      <c r="I15" s="144"/>
      <c r="J15" s="142"/>
      <c r="K15" s="144"/>
      <c r="L15" s="142"/>
    </row>
    <row r="16" spans="1:12" s="2" customFormat="1" ht="15" customHeight="1">
      <c r="A16" s="12">
        <v>4</v>
      </c>
      <c r="B16" s="10" t="str">
        <f>LIDER!F46</f>
        <v>JHON JAIRO PALACIO AVILA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3.86</v>
      </c>
      <c r="F16" s="147"/>
      <c r="G16" s="144"/>
      <c r="H16" s="142"/>
      <c r="I16" s="144"/>
      <c r="J16" s="142"/>
      <c r="K16" s="144"/>
      <c r="L16" s="142"/>
    </row>
    <row r="17" spans="1:12" s="2" customFormat="1" ht="15" customHeight="1">
      <c r="A17" s="12">
        <v>5</v>
      </c>
      <c r="B17" s="10" t="str">
        <f>LIDER!F47</f>
        <v>JEFFRY PIÑERES SUAREZ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3.86</v>
      </c>
      <c r="F17" s="147"/>
      <c r="G17" s="144"/>
      <c r="H17" s="142"/>
      <c r="I17" s="144"/>
      <c r="J17" s="142"/>
      <c r="K17" s="144"/>
      <c r="L17" s="14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7"/>
      <c r="G18" s="144"/>
      <c r="H18" s="142"/>
      <c r="I18" s="144"/>
      <c r="J18" s="142"/>
      <c r="K18" s="144"/>
      <c r="L18" s="142"/>
    </row>
    <row r="19" spans="1:12" s="2" customFormat="1" ht="15.75" customHeight="1">
      <c r="A19" s="14"/>
      <c r="B19" s="25" t="s">
        <v>74</v>
      </c>
      <c r="C19" s="88" t="s">
        <v>91</v>
      </c>
      <c r="D19" s="32" t="str">
        <f>D12</f>
        <v>LIST</v>
      </c>
      <c r="E19" s="89" t="s">
        <v>89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KEYNNER DAVID CORREA SUAREZ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</v>
      </c>
      <c r="F20" s="147">
        <v>4.5</v>
      </c>
      <c r="G20" s="144">
        <v>4.5</v>
      </c>
      <c r="H20" s="142">
        <v>4</v>
      </c>
      <c r="I20" s="144">
        <v>4.5</v>
      </c>
      <c r="J20" s="142">
        <v>4</v>
      </c>
      <c r="K20" s="144"/>
      <c r="L20" s="142"/>
    </row>
    <row r="21" spans="1:12" s="2" customFormat="1" ht="15" customHeight="1">
      <c r="A21" s="12">
        <v>2</v>
      </c>
      <c r="B21" s="10" t="str">
        <f>LIDER!G44</f>
        <v>SANTIAGO DOMINGUEZ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</v>
      </c>
      <c r="F21" s="147"/>
      <c r="G21" s="144"/>
      <c r="H21" s="142"/>
      <c r="I21" s="144"/>
      <c r="J21" s="142"/>
      <c r="K21" s="144"/>
      <c r="L21" s="142"/>
    </row>
    <row r="22" spans="1:12" s="2" customFormat="1" ht="15" customHeight="1">
      <c r="A22" s="12">
        <v>3</v>
      </c>
      <c r="B22" s="10" t="str">
        <f>LIDER!G45</f>
        <v>DUVAN HAVITT HERRERA FIGUEROA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4.3</v>
      </c>
      <c r="F22" s="147"/>
      <c r="G22" s="144"/>
      <c r="H22" s="142"/>
      <c r="I22" s="144"/>
      <c r="J22" s="142"/>
      <c r="K22" s="144"/>
      <c r="L22" s="142"/>
    </row>
    <row r="23" spans="1:12" s="2" customFormat="1" ht="15" customHeight="1">
      <c r="A23" s="12">
        <v>4</v>
      </c>
      <c r="B23" s="10" t="str">
        <f>LIDER!G46</f>
        <v>JOSE JIMENEZ LEON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</v>
      </c>
      <c r="F23" s="147"/>
      <c r="G23" s="144"/>
      <c r="H23" s="142"/>
      <c r="I23" s="144"/>
      <c r="J23" s="142"/>
      <c r="K23" s="144"/>
      <c r="L23" s="142"/>
    </row>
    <row r="24" spans="1:12" s="2" customFormat="1" ht="15" customHeight="1">
      <c r="A24" s="12">
        <v>5</v>
      </c>
      <c r="B24" s="10" t="str">
        <f>LIDER!G47</f>
        <v>JUAN DIEGO ROMERO BASABE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4.3</v>
      </c>
      <c r="F24" s="147"/>
      <c r="G24" s="144"/>
      <c r="H24" s="142"/>
      <c r="I24" s="144"/>
      <c r="J24" s="142"/>
      <c r="K24" s="144"/>
      <c r="L24" s="14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7"/>
      <c r="G25" s="144"/>
      <c r="H25" s="142"/>
      <c r="I25" s="144"/>
      <c r="J25" s="142"/>
      <c r="K25" s="144"/>
      <c r="L25" s="142"/>
    </row>
    <row r="26" spans="1:12" s="2" customFormat="1" ht="15.75" customHeight="1">
      <c r="A26" s="14"/>
      <c r="B26" s="25" t="s">
        <v>76</v>
      </c>
      <c r="C26" s="88" t="s">
        <v>92</v>
      </c>
      <c r="D26" s="32" t="str">
        <f>D19</f>
        <v>LIST</v>
      </c>
      <c r="E26" s="89" t="s">
        <v>89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SANTIAGO ANDRÉS ARNEDO ESCALANTE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4.7</v>
      </c>
      <c r="F27" s="147">
        <v>4.5</v>
      </c>
      <c r="G27" s="144">
        <v>4.8</v>
      </c>
      <c r="H27" s="142">
        <v>4.8</v>
      </c>
      <c r="I27" s="144">
        <v>4.5</v>
      </c>
      <c r="J27" s="142">
        <v>5</v>
      </c>
      <c r="K27" s="144"/>
      <c r="L27" s="142"/>
    </row>
    <row r="28" spans="1:12" s="2" customFormat="1" ht="15" customHeight="1">
      <c r="A28" s="12">
        <v>2</v>
      </c>
      <c r="B28" s="10" t="str">
        <f>LIDER!H44</f>
        <v>JUAN CAMILO NIETO ARAGON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4.7</v>
      </c>
      <c r="F28" s="147"/>
      <c r="G28" s="144"/>
      <c r="H28" s="142"/>
      <c r="I28" s="144"/>
      <c r="J28" s="142"/>
      <c r="K28" s="144"/>
      <c r="L28" s="142"/>
    </row>
    <row r="29" spans="1:12" s="2" customFormat="1" ht="15" customHeight="1">
      <c r="A29" s="12">
        <v>3</v>
      </c>
      <c r="B29" s="10" t="str">
        <f>LIDER!H45</f>
        <v>BETZABETH MARIEL SALCEDO MERCADO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4.7</v>
      </c>
      <c r="F29" s="147"/>
      <c r="G29" s="144"/>
      <c r="H29" s="142"/>
      <c r="I29" s="144"/>
      <c r="J29" s="142"/>
      <c r="K29" s="144"/>
      <c r="L29" s="142"/>
    </row>
    <row r="30" spans="1:12" s="2" customFormat="1" ht="15" customHeight="1">
      <c r="A30" s="12">
        <v>4</v>
      </c>
      <c r="B30" s="10" t="str">
        <f>LIDER!H46</f>
        <v>MAUREN ANDREA TORRES CASTRO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4.7</v>
      </c>
      <c r="F30" s="147"/>
      <c r="G30" s="144"/>
      <c r="H30" s="142"/>
      <c r="I30" s="144"/>
      <c r="J30" s="142"/>
      <c r="K30" s="144"/>
      <c r="L30" s="14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7"/>
      <c r="G31" s="144"/>
      <c r="H31" s="142"/>
      <c r="I31" s="144"/>
      <c r="J31" s="142"/>
      <c r="K31" s="144"/>
      <c r="L31" s="14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7"/>
      <c r="G32" s="144"/>
      <c r="H32" s="142"/>
      <c r="I32" s="144"/>
      <c r="J32" s="142"/>
      <c r="K32" s="144"/>
      <c r="L32" s="142"/>
    </row>
    <row r="33" spans="1:12" s="2" customFormat="1" ht="15.75" customHeight="1">
      <c r="A33" s="14"/>
      <c r="B33" s="25" t="s">
        <v>77</v>
      </c>
      <c r="C33" s="88" t="s">
        <v>93</v>
      </c>
      <c r="D33" s="32" t="str">
        <f>D26</f>
        <v>LIST</v>
      </c>
      <c r="E33" s="89" t="s">
        <v>89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MARIA CAMILA BARRERA ORTEGA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3.99</v>
      </c>
      <c r="F34" s="147">
        <v>4</v>
      </c>
      <c r="G34" s="144">
        <v>4</v>
      </c>
      <c r="H34" s="142">
        <v>3.8</v>
      </c>
      <c r="I34" s="144">
        <v>4</v>
      </c>
      <c r="J34" s="142">
        <v>4.5</v>
      </c>
      <c r="K34" s="144"/>
      <c r="L34" s="142"/>
    </row>
    <row r="35" spans="1:12" s="2" customFormat="1" ht="15" customHeight="1">
      <c r="A35" s="12">
        <v>2</v>
      </c>
      <c r="B35" s="10" t="str">
        <f>LIDER!E52</f>
        <v>NATALIA SOFÍA CABARCAS TRUJILLO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3.99</v>
      </c>
      <c r="F35" s="147"/>
      <c r="G35" s="144"/>
      <c r="H35" s="142"/>
      <c r="I35" s="144"/>
      <c r="J35" s="142"/>
      <c r="K35" s="144"/>
      <c r="L35" s="142"/>
    </row>
    <row r="36" spans="1:12" s="2" customFormat="1" ht="15" customHeight="1">
      <c r="A36" s="12">
        <v>3</v>
      </c>
      <c r="B36" s="10" t="str">
        <f>LIDER!E53</f>
        <v>FRANKLIN ANDRES CORTINA BLANCO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3.99</v>
      </c>
      <c r="F36" s="147"/>
      <c r="G36" s="144"/>
      <c r="H36" s="142"/>
      <c r="I36" s="144"/>
      <c r="J36" s="142"/>
      <c r="K36" s="144"/>
      <c r="L36" s="142"/>
    </row>
    <row r="37" spans="1:12" s="2" customFormat="1" ht="15" customHeight="1">
      <c r="A37" s="12">
        <v>4</v>
      </c>
      <c r="B37" s="10" t="str">
        <f>LIDER!E54</f>
        <v>ANGELINE PITALUA TENORIO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3.99</v>
      </c>
      <c r="F37" s="147"/>
      <c r="G37" s="144"/>
      <c r="H37" s="142"/>
      <c r="I37" s="144"/>
      <c r="J37" s="142"/>
      <c r="K37" s="144"/>
      <c r="L37" s="142"/>
    </row>
    <row r="38" spans="1:12" s="2" customFormat="1" ht="15" customHeight="1">
      <c r="A38" s="12">
        <v>5</v>
      </c>
      <c r="B38" s="10" t="str">
        <f>LIDER!E55</f>
        <v>EMILIA DEL CARMEN TABORDA ANGULO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3.99</v>
      </c>
      <c r="F38" s="147"/>
      <c r="G38" s="144"/>
      <c r="H38" s="142"/>
      <c r="I38" s="144"/>
      <c r="J38" s="142"/>
      <c r="K38" s="144"/>
      <c r="L38" s="14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7"/>
      <c r="G39" s="144"/>
      <c r="H39" s="142"/>
      <c r="I39" s="144"/>
      <c r="J39" s="142"/>
      <c r="K39" s="144"/>
      <c r="L39" s="142"/>
    </row>
    <row r="40" spans="1:12" s="2" customFormat="1" ht="15.75" customHeight="1">
      <c r="A40" s="14"/>
      <c r="B40" s="25" t="s">
        <v>78</v>
      </c>
      <c r="C40" s="88" t="s">
        <v>94</v>
      </c>
      <c r="D40" s="32" t="str">
        <f>D33</f>
        <v>LIST</v>
      </c>
      <c r="E40" s="89" t="s">
        <v>89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7"/>
      <c r="G41" s="144"/>
      <c r="H41" s="142"/>
      <c r="I41" s="144"/>
      <c r="J41" s="142"/>
      <c r="K41" s="144"/>
      <c r="L41" s="14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7"/>
      <c r="G42" s="144"/>
      <c r="H42" s="142"/>
      <c r="I42" s="144"/>
      <c r="J42" s="142"/>
      <c r="K42" s="144"/>
      <c r="L42" s="14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7"/>
      <c r="G43" s="144"/>
      <c r="H43" s="142"/>
      <c r="I43" s="144"/>
      <c r="J43" s="142"/>
      <c r="K43" s="144"/>
      <c r="L43" s="14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7"/>
      <c r="G44" s="144"/>
      <c r="H44" s="142"/>
      <c r="I44" s="144"/>
      <c r="J44" s="142"/>
      <c r="K44" s="144"/>
      <c r="L44" s="14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7"/>
      <c r="G45" s="144"/>
      <c r="H45" s="142"/>
      <c r="I45" s="144"/>
      <c r="J45" s="142"/>
      <c r="K45" s="144"/>
      <c r="L45" s="14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7"/>
      <c r="G46" s="144"/>
      <c r="H46" s="142"/>
      <c r="I46" s="144"/>
      <c r="J46" s="142"/>
      <c r="K46" s="144"/>
      <c r="L46" s="142"/>
    </row>
    <row r="47" spans="1:12" s="2" customFormat="1" ht="15.75" customHeight="1">
      <c r="A47" s="14"/>
      <c r="B47" s="25" t="s">
        <v>79</v>
      </c>
      <c r="C47" s="88" t="s">
        <v>95</v>
      </c>
      <c r="D47" s="32" t="str">
        <f>D40</f>
        <v>LIST</v>
      </c>
      <c r="E47" s="89" t="s">
        <v>89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7"/>
      <c r="G48" s="144"/>
      <c r="H48" s="142"/>
      <c r="I48" s="144"/>
      <c r="J48" s="142"/>
      <c r="K48" s="144"/>
      <c r="L48" s="14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7"/>
      <c r="G49" s="144"/>
      <c r="H49" s="142"/>
      <c r="I49" s="144"/>
      <c r="J49" s="142"/>
      <c r="K49" s="144"/>
      <c r="L49" s="14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7"/>
      <c r="G50" s="144"/>
      <c r="H50" s="142"/>
      <c r="I50" s="144"/>
      <c r="J50" s="142"/>
      <c r="K50" s="144"/>
      <c r="L50" s="14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7"/>
      <c r="G51" s="144"/>
      <c r="H51" s="142"/>
      <c r="I51" s="144"/>
      <c r="J51" s="142"/>
      <c r="K51" s="144"/>
      <c r="L51" s="14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7"/>
      <c r="G52" s="144"/>
      <c r="H52" s="142"/>
      <c r="I52" s="144"/>
      <c r="J52" s="142"/>
      <c r="K52" s="144"/>
      <c r="L52" s="14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7"/>
      <c r="G53" s="144"/>
      <c r="H53" s="142"/>
      <c r="I53" s="144"/>
      <c r="J53" s="142"/>
      <c r="K53" s="144"/>
      <c r="L53" s="142"/>
    </row>
    <row r="54" spans="1:12" s="2" customFormat="1" ht="15.75" customHeight="1">
      <c r="A54" s="14"/>
      <c r="B54" s="25" t="s">
        <v>80</v>
      </c>
      <c r="C54" s="88" t="s">
        <v>96</v>
      </c>
      <c r="D54" s="32" t="str">
        <f>D47</f>
        <v>LIST</v>
      </c>
      <c r="E54" s="89" t="s">
        <v>89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7"/>
      <c r="G55" s="144"/>
      <c r="H55" s="142"/>
      <c r="I55" s="144"/>
      <c r="J55" s="142"/>
      <c r="K55" s="144"/>
      <c r="L55" s="14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7"/>
      <c r="G56" s="144"/>
      <c r="H56" s="142"/>
      <c r="I56" s="144"/>
      <c r="J56" s="142"/>
      <c r="K56" s="144"/>
      <c r="L56" s="14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7"/>
      <c r="G57" s="144"/>
      <c r="H57" s="142"/>
      <c r="I57" s="144"/>
      <c r="J57" s="142"/>
      <c r="K57" s="144"/>
      <c r="L57" s="14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7"/>
      <c r="G58" s="144"/>
      <c r="H58" s="142"/>
      <c r="I58" s="144"/>
      <c r="J58" s="142"/>
      <c r="K58" s="144"/>
      <c r="L58" s="14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7"/>
      <c r="G59" s="144"/>
      <c r="H59" s="142"/>
      <c r="I59" s="144"/>
      <c r="J59" s="142"/>
      <c r="K59" s="144"/>
      <c r="L59" s="14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7"/>
      <c r="G60" s="144"/>
      <c r="H60" s="142"/>
      <c r="I60" s="144"/>
      <c r="J60" s="142"/>
      <c r="K60" s="144"/>
      <c r="L60" s="142"/>
    </row>
    <row r="61" spans="1:12" s="2" customFormat="1" ht="15.75" customHeight="1">
      <c r="A61" s="14"/>
      <c r="B61" s="25" t="s">
        <v>81</v>
      </c>
      <c r="C61" s="88" t="s">
        <v>97</v>
      </c>
      <c r="D61" s="32" t="str">
        <f>D54</f>
        <v>LIST</v>
      </c>
      <c r="E61" s="89" t="s">
        <v>89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7"/>
      <c r="G62" s="144"/>
      <c r="H62" s="142"/>
      <c r="I62" s="144"/>
      <c r="J62" s="142"/>
      <c r="K62" s="144"/>
      <c r="L62" s="14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7"/>
      <c r="G63" s="144"/>
      <c r="H63" s="142"/>
      <c r="I63" s="144"/>
      <c r="J63" s="142"/>
      <c r="K63" s="144"/>
      <c r="L63" s="14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7"/>
      <c r="G64" s="144"/>
      <c r="H64" s="142"/>
      <c r="I64" s="144"/>
      <c r="J64" s="142"/>
      <c r="K64" s="144"/>
      <c r="L64" s="14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7"/>
      <c r="G65" s="144"/>
      <c r="H65" s="142"/>
      <c r="I65" s="144"/>
      <c r="J65" s="142"/>
      <c r="K65" s="144"/>
      <c r="L65" s="14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7"/>
      <c r="G66" s="144"/>
      <c r="H66" s="142"/>
      <c r="I66" s="144"/>
      <c r="J66" s="142"/>
      <c r="K66" s="144"/>
      <c r="L66" s="14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7"/>
      <c r="G67" s="144"/>
      <c r="H67" s="142"/>
      <c r="I67" s="144"/>
      <c r="J67" s="142"/>
      <c r="K67" s="144"/>
      <c r="L67" s="142"/>
    </row>
    <row r="68" spans="1:12" s="2" customFormat="1" ht="15.75" customHeight="1">
      <c r="A68" s="14"/>
      <c r="B68" s="25" t="s">
        <v>82</v>
      </c>
      <c r="C68" s="88" t="s">
        <v>98</v>
      </c>
      <c r="D68" s="32" t="str">
        <f>D61</f>
        <v>LIST</v>
      </c>
      <c r="E68" s="89" t="s">
        <v>89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7"/>
      <c r="G69" s="144"/>
      <c r="H69" s="142"/>
      <c r="I69" s="144"/>
      <c r="J69" s="142"/>
      <c r="K69" s="144"/>
      <c r="L69" s="14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7"/>
      <c r="G70" s="144"/>
      <c r="H70" s="142"/>
      <c r="I70" s="144"/>
      <c r="J70" s="142"/>
      <c r="K70" s="144"/>
      <c r="L70" s="14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7"/>
      <c r="G71" s="144"/>
      <c r="H71" s="142"/>
      <c r="I71" s="144"/>
      <c r="J71" s="142"/>
      <c r="K71" s="144"/>
      <c r="L71" s="14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7"/>
      <c r="G72" s="144"/>
      <c r="H72" s="142"/>
      <c r="I72" s="144"/>
      <c r="J72" s="142"/>
      <c r="K72" s="144"/>
      <c r="L72" s="14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7"/>
      <c r="G73" s="144"/>
      <c r="H73" s="142"/>
      <c r="I73" s="144"/>
      <c r="J73" s="142"/>
      <c r="K73" s="144"/>
      <c r="L73" s="14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7"/>
      <c r="G74" s="144"/>
      <c r="H74" s="142"/>
      <c r="I74" s="144"/>
      <c r="J74" s="142"/>
      <c r="K74" s="144"/>
      <c r="L74" s="142"/>
    </row>
    <row r="75" spans="1:12" s="2" customFormat="1" ht="15.75" customHeight="1">
      <c r="A75" s="14"/>
      <c r="B75" s="25" t="s">
        <v>83</v>
      </c>
      <c r="C75" s="88" t="s">
        <v>99</v>
      </c>
      <c r="D75" s="32" t="str">
        <f>D68</f>
        <v>LIST</v>
      </c>
      <c r="E75" s="89" t="s">
        <v>89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7"/>
      <c r="G76" s="144"/>
      <c r="H76" s="142"/>
      <c r="I76" s="144"/>
      <c r="J76" s="142"/>
      <c r="K76" s="144"/>
      <c r="L76" s="14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7"/>
      <c r="G77" s="144"/>
      <c r="H77" s="142"/>
      <c r="I77" s="144"/>
      <c r="J77" s="142"/>
      <c r="K77" s="144"/>
      <c r="L77" s="14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7"/>
      <c r="G78" s="144"/>
      <c r="H78" s="142"/>
      <c r="I78" s="144"/>
      <c r="J78" s="142"/>
      <c r="K78" s="144"/>
      <c r="L78" s="14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7"/>
      <c r="G79" s="144"/>
      <c r="H79" s="142"/>
      <c r="I79" s="144"/>
      <c r="J79" s="142"/>
      <c r="K79" s="144"/>
      <c r="L79" s="14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7"/>
      <c r="G80" s="144"/>
      <c r="H80" s="142"/>
      <c r="I80" s="144"/>
      <c r="J80" s="142"/>
      <c r="K80" s="144"/>
      <c r="L80" s="14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7"/>
      <c r="G81" s="144"/>
      <c r="H81" s="142"/>
      <c r="I81" s="144"/>
      <c r="J81" s="142"/>
      <c r="K81" s="144"/>
      <c r="L81" s="142"/>
    </row>
    <row r="82" spans="1:12" s="2" customFormat="1" ht="15.75" customHeight="1">
      <c r="A82" s="14"/>
      <c r="B82" s="25" t="s">
        <v>84</v>
      </c>
      <c r="C82" s="88" t="s">
        <v>100</v>
      </c>
      <c r="D82" s="32" t="str">
        <f>D75</f>
        <v>LIST</v>
      </c>
      <c r="E82" s="89" t="s">
        <v>89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7"/>
      <c r="G83" s="144"/>
      <c r="H83" s="142"/>
      <c r="I83" s="144"/>
      <c r="J83" s="142"/>
      <c r="K83" s="144"/>
      <c r="L83" s="14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7"/>
      <c r="G84" s="144"/>
      <c r="H84" s="142"/>
      <c r="I84" s="144"/>
      <c r="J84" s="142"/>
      <c r="K84" s="144"/>
      <c r="L84" s="14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7"/>
      <c r="G85" s="144"/>
      <c r="H85" s="142"/>
      <c r="I85" s="144"/>
      <c r="J85" s="142"/>
      <c r="K85" s="144"/>
      <c r="L85" s="14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7"/>
      <c r="G86" s="144"/>
      <c r="H86" s="142"/>
      <c r="I86" s="144"/>
      <c r="J86" s="142"/>
      <c r="K86" s="144"/>
      <c r="L86" s="14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7"/>
      <c r="G87" s="144"/>
      <c r="H87" s="142"/>
      <c r="I87" s="144"/>
      <c r="J87" s="142"/>
      <c r="K87" s="144"/>
      <c r="L87" s="14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8"/>
      <c r="G88" s="145"/>
      <c r="H88" s="143"/>
      <c r="I88" s="145"/>
      <c r="J88" s="143"/>
      <c r="K88" s="145"/>
      <c r="L88" s="143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34" sqref="F34:J39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LIDER!F4</f>
        <v>SEMINARIO INVESTIGATIVO</v>
      </c>
      <c r="C2" s="82"/>
      <c r="D2" s="3"/>
      <c r="F2" s="152" t="s">
        <v>85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CONCATENATE(LIDER!F4," - ",LIDER!F6," - ",LIDER!F5)</f>
        <v>SEMINARIO INVESTIGATIVO - 1931 - MAYERLY PARGA LOZANO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87</v>
      </c>
      <c r="D5" s="32" t="s">
        <v>88</v>
      </c>
      <c r="E5" s="89" t="s">
        <v>89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SHAYLIN YOLANDA ALVAREZ MANJARRES</v>
      </c>
      <c r="C6" s="90" t="str">
        <f>C5</f>
        <v>G01</v>
      </c>
      <c r="D6" s="95" t="s">
        <v>101</v>
      </c>
      <c r="E6" s="11" t="str">
        <f>IF(B6=0,0,IF(D6="",$F$6*LIDER!$H$9+$G$6*LIDER!$H$10+$H$6*LIDER!$H$11+$I$6*LIDER!$H$12+$J$6*LIDER!$H$13+$K$6*LIDER!$H$14+$L$6*LIDER!$H$15,"N"))</f>
        <v>N</v>
      </c>
      <c r="F6" s="147"/>
      <c r="G6" s="144"/>
      <c r="H6" s="142"/>
      <c r="I6" s="144"/>
      <c r="J6" s="142"/>
      <c r="K6" s="144"/>
      <c r="L6" s="142"/>
    </row>
    <row r="7" spans="1:12" s="2" customFormat="1" ht="15" customHeight="1">
      <c r="A7" s="12">
        <v>2</v>
      </c>
      <c r="B7" s="10" t="str">
        <f>LIDER!E44</f>
        <v>VALERY DEL CARMEN MARTINEZ ALVAREZ</v>
      </c>
      <c r="C7" s="90" t="str">
        <f t="shared" ref="C7:C11" si="0">C6</f>
        <v>G01</v>
      </c>
      <c r="D7" s="96" t="s">
        <v>101</v>
      </c>
      <c r="E7" s="11" t="str">
        <f>IF(B7=0,0,IF(D7="",$F$6*LIDER!$H$9+$G$6*LIDER!$H$10+$H$6*LIDER!$H$11+$I$6*LIDER!$H$12+$J$6*LIDER!$H$13+$K$6*LIDER!$H$14+$L$6*LIDER!$H$15,"N"))</f>
        <v>N</v>
      </c>
      <c r="F7" s="147"/>
      <c r="G7" s="144"/>
      <c r="H7" s="142"/>
      <c r="I7" s="144"/>
      <c r="J7" s="142"/>
      <c r="K7" s="144"/>
      <c r="L7" s="142"/>
    </row>
    <row r="8" spans="1:12" s="2" customFormat="1" ht="15" customHeight="1">
      <c r="A8" s="12">
        <v>3</v>
      </c>
      <c r="B8" s="10" t="str">
        <f>LIDER!E45</f>
        <v>ANDREA CAROLINA OVIEDO CERVANTES</v>
      </c>
      <c r="C8" s="90" t="str">
        <f t="shared" si="0"/>
        <v>G01</v>
      </c>
      <c r="D8" s="96" t="s">
        <v>101</v>
      </c>
      <c r="E8" s="11" t="str">
        <f>IF(B8=0,0,IF(D8="",$F$6*LIDER!$H$9+$G$6*LIDER!$H$10+$H$6*LIDER!$H$11+$I$6*LIDER!$H$12+$J$6*LIDER!$H$13+$K$6*LIDER!$H$14+$L$6*LIDER!$H$15,"N"))</f>
        <v>N</v>
      </c>
      <c r="F8" s="147"/>
      <c r="G8" s="144"/>
      <c r="H8" s="142"/>
      <c r="I8" s="144"/>
      <c r="J8" s="142"/>
      <c r="K8" s="144"/>
      <c r="L8" s="142"/>
    </row>
    <row r="9" spans="1:12" s="2" customFormat="1" ht="15" customHeight="1">
      <c r="A9" s="12">
        <v>4</v>
      </c>
      <c r="B9" s="10" t="str">
        <f>LIDER!E46</f>
        <v>SARI ELENA QUESEDO HORMECHEA</v>
      </c>
      <c r="C9" s="90" t="str">
        <f t="shared" si="0"/>
        <v>G01</v>
      </c>
      <c r="D9" s="96" t="s">
        <v>101</v>
      </c>
      <c r="E9" s="11" t="str">
        <f>IF(B9=0,0,IF(D9="",$F$6*LIDER!$H$9+$G$6*LIDER!$H$10+$H$6*LIDER!$H$11+$I$6*LIDER!$H$12+$J$6*LIDER!$H$13+$K$6*LIDER!$H$14+$L$6*LIDER!$H$15,"N"))</f>
        <v>N</v>
      </c>
      <c r="F9" s="147"/>
      <c r="G9" s="144"/>
      <c r="H9" s="142"/>
      <c r="I9" s="144"/>
      <c r="J9" s="142"/>
      <c r="K9" s="144"/>
      <c r="L9" s="142"/>
    </row>
    <row r="10" spans="1:12" s="2" customFormat="1" ht="15" customHeight="1">
      <c r="A10" s="12">
        <v>5</v>
      </c>
      <c r="B10" s="10" t="str">
        <f>LIDER!E47</f>
        <v>VALENTINA TINOCO PATERNINA</v>
      </c>
      <c r="C10" s="90" t="str">
        <f t="shared" si="0"/>
        <v>G01</v>
      </c>
      <c r="D10" s="96" t="s">
        <v>101</v>
      </c>
      <c r="E10" s="11" t="str">
        <f>IF(B10=0,0,IF(D10="",$F$6*LIDER!$H$9+$G$6*LIDER!$H$10+$H$6*LIDER!$H$11+$I$6*LIDER!$H$12+$J$6*LIDER!$H$13+$K$6*LIDER!$H$14+$L$6*LIDER!$H$15,"N"))</f>
        <v>N</v>
      </c>
      <c r="F10" s="147"/>
      <c r="G10" s="144"/>
      <c r="H10" s="142"/>
      <c r="I10" s="144"/>
      <c r="J10" s="142"/>
      <c r="K10" s="144"/>
      <c r="L10" s="14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7"/>
      <c r="G11" s="144"/>
      <c r="H11" s="142"/>
      <c r="I11" s="144"/>
      <c r="J11" s="142"/>
      <c r="K11" s="144"/>
      <c r="L11" s="142"/>
    </row>
    <row r="12" spans="1:12" s="2" customFormat="1" ht="15.75" customHeight="1">
      <c r="A12" s="8"/>
      <c r="B12" s="25" t="s">
        <v>72</v>
      </c>
      <c r="C12" s="88" t="s">
        <v>90</v>
      </c>
      <c r="D12" s="32" t="str">
        <f>D5</f>
        <v>LIST</v>
      </c>
      <c r="E12" s="89" t="s">
        <v>89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26.25" customHeight="1">
      <c r="A13" s="9">
        <v>1</v>
      </c>
      <c r="B13" s="10" t="str">
        <f>LIDER!F43</f>
        <v>SAMUEL ESCOBAR VILLERO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4.1500000000000004</v>
      </c>
      <c r="F13" s="201">
        <v>4</v>
      </c>
      <c r="G13" s="202">
        <v>4</v>
      </c>
      <c r="H13" s="203">
        <v>4.0999999999999996</v>
      </c>
      <c r="I13" s="202">
        <v>4.0999999999999996</v>
      </c>
      <c r="J13" s="203">
        <v>5</v>
      </c>
      <c r="K13" s="144"/>
      <c r="L13" s="142"/>
    </row>
    <row r="14" spans="1:12" s="2" customFormat="1" ht="15" customHeight="1">
      <c r="A14" s="12">
        <v>2</v>
      </c>
      <c r="B14" s="10" t="str">
        <f>LIDER!F44</f>
        <v>MILENA PATRICIA GOMEZ BALLESTEROS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4.1500000000000004</v>
      </c>
      <c r="F14" s="201"/>
      <c r="G14" s="202"/>
      <c r="H14" s="203"/>
      <c r="I14" s="202"/>
      <c r="J14" s="203"/>
      <c r="K14" s="144"/>
      <c r="L14" s="142"/>
    </row>
    <row r="15" spans="1:12" s="2" customFormat="1" ht="15" customHeight="1">
      <c r="A15" s="12">
        <v>3</v>
      </c>
      <c r="B15" s="10" t="str">
        <f>LIDER!F45</f>
        <v>VALERI JULIANA JULIO SUAREZ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4.1500000000000004</v>
      </c>
      <c r="F15" s="201"/>
      <c r="G15" s="202"/>
      <c r="H15" s="203"/>
      <c r="I15" s="202"/>
      <c r="J15" s="203"/>
      <c r="K15" s="144"/>
      <c r="L15" s="142"/>
    </row>
    <row r="16" spans="1:12" s="2" customFormat="1" ht="15" customHeight="1">
      <c r="A16" s="12">
        <v>4</v>
      </c>
      <c r="B16" s="10" t="str">
        <f>LIDER!F46</f>
        <v>JHON JAIRO PALACIO AVILA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4.1500000000000004</v>
      </c>
      <c r="F16" s="201"/>
      <c r="G16" s="202"/>
      <c r="H16" s="203"/>
      <c r="I16" s="202"/>
      <c r="J16" s="203"/>
      <c r="K16" s="144"/>
      <c r="L16" s="142"/>
    </row>
    <row r="17" spans="1:12" s="2" customFormat="1" ht="15" customHeight="1">
      <c r="A17" s="12">
        <v>5</v>
      </c>
      <c r="B17" s="10" t="str">
        <f>LIDER!F47</f>
        <v>JEFFRY PIÑERES SUAREZ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4.1500000000000004</v>
      </c>
      <c r="F17" s="201"/>
      <c r="G17" s="202"/>
      <c r="H17" s="203"/>
      <c r="I17" s="202"/>
      <c r="J17" s="203"/>
      <c r="K17" s="144"/>
      <c r="L17" s="14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202"/>
      <c r="H18" s="203"/>
      <c r="I18" s="202"/>
      <c r="J18" s="203"/>
      <c r="K18" s="144"/>
      <c r="L18" s="142"/>
    </row>
    <row r="19" spans="1:12" s="2" customFormat="1" ht="15.75" customHeight="1">
      <c r="A19" s="14"/>
      <c r="B19" s="25" t="s">
        <v>74</v>
      </c>
      <c r="C19" s="88" t="s">
        <v>91</v>
      </c>
      <c r="D19" s="32" t="str">
        <f>D12</f>
        <v>LIST</v>
      </c>
      <c r="E19" s="89" t="s">
        <v>89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26.25" customHeight="1">
      <c r="A20" s="9">
        <v>1</v>
      </c>
      <c r="B20" s="10" t="str">
        <f>LIDER!G43</f>
        <v>KEYNNER DAVID CORREA SUAREZ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4.32</v>
      </c>
      <c r="F20" s="201">
        <v>4.0999999999999996</v>
      </c>
      <c r="G20" s="202">
        <v>4.0999999999999996</v>
      </c>
      <c r="H20" s="203">
        <v>4.4000000000000004</v>
      </c>
      <c r="I20" s="202">
        <v>4.3</v>
      </c>
      <c r="J20" s="203">
        <v>5</v>
      </c>
      <c r="K20" s="144"/>
      <c r="L20" s="142"/>
    </row>
    <row r="21" spans="1:12" s="2" customFormat="1" ht="15" customHeight="1">
      <c r="A21" s="12">
        <v>2</v>
      </c>
      <c r="B21" s="10" t="str">
        <f>LIDER!G44</f>
        <v>SANTIAGO DOMINGUEZ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4.32</v>
      </c>
      <c r="F21" s="201"/>
      <c r="G21" s="202"/>
      <c r="H21" s="203"/>
      <c r="I21" s="202"/>
      <c r="J21" s="203"/>
      <c r="K21" s="144"/>
      <c r="L21" s="142"/>
    </row>
    <row r="22" spans="1:12" s="2" customFormat="1" ht="15" customHeight="1">
      <c r="A22" s="12">
        <v>3</v>
      </c>
      <c r="B22" s="10" t="str">
        <f>LIDER!G45</f>
        <v>DUVAN HAVITT HERRERA FIGUEROA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4.32</v>
      </c>
      <c r="F22" s="201"/>
      <c r="G22" s="202"/>
      <c r="H22" s="203"/>
      <c r="I22" s="202"/>
      <c r="J22" s="203"/>
      <c r="K22" s="144"/>
      <c r="L22" s="142"/>
    </row>
    <row r="23" spans="1:12" s="2" customFormat="1" ht="15" customHeight="1">
      <c r="A23" s="12">
        <v>4</v>
      </c>
      <c r="B23" s="10" t="str">
        <f>LIDER!G46</f>
        <v>JOSE JIMENEZ LEON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4.32</v>
      </c>
      <c r="F23" s="201"/>
      <c r="G23" s="202"/>
      <c r="H23" s="203"/>
      <c r="I23" s="202"/>
      <c r="J23" s="203"/>
      <c r="K23" s="144"/>
      <c r="L23" s="142"/>
    </row>
    <row r="24" spans="1:12" s="2" customFormat="1" ht="15" customHeight="1">
      <c r="A24" s="12">
        <v>5</v>
      </c>
      <c r="B24" s="10" t="str">
        <f>LIDER!G47</f>
        <v>JUAN DIEGO ROMERO BASABE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4.32</v>
      </c>
      <c r="F24" s="201"/>
      <c r="G24" s="202"/>
      <c r="H24" s="203"/>
      <c r="I24" s="202"/>
      <c r="J24" s="203"/>
      <c r="K24" s="144"/>
      <c r="L24" s="14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202"/>
      <c r="H25" s="203"/>
      <c r="I25" s="202"/>
      <c r="J25" s="203"/>
      <c r="K25" s="144"/>
      <c r="L25" s="142"/>
    </row>
    <row r="26" spans="1:12" s="2" customFormat="1" ht="15.75" customHeight="1">
      <c r="A26" s="14"/>
      <c r="B26" s="25" t="s">
        <v>76</v>
      </c>
      <c r="C26" s="88" t="s">
        <v>92</v>
      </c>
      <c r="D26" s="32" t="str">
        <f>D19</f>
        <v>LIST</v>
      </c>
      <c r="E26" s="89" t="s">
        <v>89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26.25" customHeight="1">
      <c r="A27" s="9">
        <v>1</v>
      </c>
      <c r="B27" s="10" t="str">
        <f>LIDER!H43</f>
        <v>SANTIAGO ANDRÉS ARNEDO ESCALANTE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4.2</v>
      </c>
      <c r="F27" s="201">
        <v>4.3</v>
      </c>
      <c r="G27" s="202">
        <v>4.3</v>
      </c>
      <c r="H27" s="203">
        <v>4</v>
      </c>
      <c r="I27" s="202">
        <v>3.9</v>
      </c>
      <c r="J27" s="203">
        <v>5</v>
      </c>
      <c r="K27" s="144"/>
      <c r="L27" s="142"/>
    </row>
    <row r="28" spans="1:12" s="2" customFormat="1" ht="15" customHeight="1">
      <c r="A28" s="12">
        <v>2</v>
      </c>
      <c r="B28" s="10" t="str">
        <f>LIDER!H44</f>
        <v>JUAN CAMILO NIETO ARAGON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4.2</v>
      </c>
      <c r="F28" s="201"/>
      <c r="G28" s="202"/>
      <c r="H28" s="203"/>
      <c r="I28" s="202"/>
      <c r="J28" s="203"/>
      <c r="K28" s="144"/>
      <c r="L28" s="142"/>
    </row>
    <row r="29" spans="1:12" s="2" customFormat="1" ht="15" customHeight="1">
      <c r="A29" s="12">
        <v>3</v>
      </c>
      <c r="B29" s="10" t="str">
        <f>LIDER!H45</f>
        <v>BETZABETH MARIEL SALCEDO MERCADO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4.2</v>
      </c>
      <c r="F29" s="201"/>
      <c r="G29" s="202"/>
      <c r="H29" s="203"/>
      <c r="I29" s="202"/>
      <c r="J29" s="203"/>
      <c r="K29" s="144"/>
      <c r="L29" s="142"/>
    </row>
    <row r="30" spans="1:12" s="2" customFormat="1" ht="15" customHeight="1">
      <c r="A30" s="12">
        <v>4</v>
      </c>
      <c r="B30" s="10" t="str">
        <f>LIDER!H46</f>
        <v>MAUREN ANDREA TORRES CASTRO</v>
      </c>
      <c r="C30" s="90" t="str">
        <f t="shared" si="3"/>
        <v>G04</v>
      </c>
      <c r="D30" s="96" t="s">
        <v>101</v>
      </c>
      <c r="E30" s="11" t="str">
        <f>IF(B30=0,0,IF(D30="",$F$27*LIDER!$H$9+$G$27*LIDER!$H$10+$H$27*LIDER!$H$11+$I$27*LIDER!$H$12+$J$27*LIDER!$H$13+$K$27*LIDER!$H$14+$L$27*LIDER!$H$15,"N"))</f>
        <v>N</v>
      </c>
      <c r="F30" s="201"/>
      <c r="G30" s="202"/>
      <c r="H30" s="203"/>
      <c r="I30" s="202"/>
      <c r="J30" s="203"/>
      <c r="K30" s="144"/>
      <c r="L30" s="14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202"/>
      <c r="H31" s="203"/>
      <c r="I31" s="202"/>
      <c r="J31" s="203"/>
      <c r="K31" s="144"/>
      <c r="L31" s="14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202"/>
      <c r="H32" s="203"/>
      <c r="I32" s="202"/>
      <c r="J32" s="203"/>
      <c r="K32" s="144"/>
      <c r="L32" s="142"/>
    </row>
    <row r="33" spans="1:12" s="2" customFormat="1" ht="15.75" customHeight="1">
      <c r="A33" s="14"/>
      <c r="B33" s="25" t="s">
        <v>77</v>
      </c>
      <c r="C33" s="88" t="s">
        <v>93</v>
      </c>
      <c r="D33" s="32" t="str">
        <f>D26</f>
        <v>LIST</v>
      </c>
      <c r="E33" s="89" t="s">
        <v>89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26.25" customHeight="1">
      <c r="A34" s="9">
        <v>1</v>
      </c>
      <c r="B34" s="10" t="str">
        <f>LIDER!E51</f>
        <v>MARIA CAMILA BARRERA ORTEGA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4.13</v>
      </c>
      <c r="F34" s="201">
        <v>3.9</v>
      </c>
      <c r="G34" s="202">
        <v>4</v>
      </c>
      <c r="H34" s="203">
        <v>4.3</v>
      </c>
      <c r="I34" s="202">
        <v>3.8</v>
      </c>
      <c r="J34" s="203">
        <v>5</v>
      </c>
      <c r="K34" s="144"/>
      <c r="L34" s="142"/>
    </row>
    <row r="35" spans="1:12" s="2" customFormat="1" ht="15" customHeight="1">
      <c r="A35" s="12">
        <v>2</v>
      </c>
      <c r="B35" s="10" t="str">
        <f>LIDER!E52</f>
        <v>NATALIA SOFÍA CABARCAS TRUJILLO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4.13</v>
      </c>
      <c r="F35" s="201"/>
      <c r="G35" s="202"/>
      <c r="H35" s="203"/>
      <c r="I35" s="202"/>
      <c r="J35" s="203"/>
      <c r="K35" s="144"/>
      <c r="L35" s="142"/>
    </row>
    <row r="36" spans="1:12" s="2" customFormat="1" ht="15" customHeight="1">
      <c r="A36" s="12">
        <v>3</v>
      </c>
      <c r="B36" s="10" t="str">
        <f>LIDER!E53</f>
        <v>FRANKLIN ANDRES CORTINA BLANCO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4.13</v>
      </c>
      <c r="F36" s="201"/>
      <c r="G36" s="202"/>
      <c r="H36" s="203"/>
      <c r="I36" s="202"/>
      <c r="J36" s="203"/>
      <c r="K36" s="144"/>
      <c r="L36" s="142"/>
    </row>
    <row r="37" spans="1:12" s="2" customFormat="1" ht="15" customHeight="1">
      <c r="A37" s="12">
        <v>4</v>
      </c>
      <c r="B37" s="10" t="str">
        <f>LIDER!E54</f>
        <v>ANGELINE PITALUA TENORIO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4.13</v>
      </c>
      <c r="F37" s="201"/>
      <c r="G37" s="202"/>
      <c r="H37" s="203"/>
      <c r="I37" s="202"/>
      <c r="J37" s="203"/>
      <c r="K37" s="144"/>
      <c r="L37" s="142"/>
    </row>
    <row r="38" spans="1:12" s="2" customFormat="1" ht="15" customHeight="1">
      <c r="A38" s="12">
        <v>5</v>
      </c>
      <c r="B38" s="10" t="str">
        <f>LIDER!E55</f>
        <v>EMILIA DEL CARMEN TABORDA ANGULO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4.13</v>
      </c>
      <c r="F38" s="201"/>
      <c r="G38" s="202"/>
      <c r="H38" s="203"/>
      <c r="I38" s="202"/>
      <c r="J38" s="203"/>
      <c r="K38" s="144"/>
      <c r="L38" s="14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202"/>
      <c r="H39" s="203"/>
      <c r="I39" s="202"/>
      <c r="J39" s="203"/>
      <c r="K39" s="144"/>
      <c r="L39" s="142"/>
    </row>
    <row r="40" spans="1:12" s="2" customFormat="1" ht="15.75" customHeight="1">
      <c r="A40" s="14"/>
      <c r="B40" s="25" t="s">
        <v>78</v>
      </c>
      <c r="C40" s="88" t="s">
        <v>94</v>
      </c>
      <c r="D40" s="32" t="str">
        <f>D33</f>
        <v>LIST</v>
      </c>
      <c r="E40" s="89" t="s">
        <v>89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7"/>
      <c r="G41" s="144"/>
      <c r="H41" s="142"/>
      <c r="I41" s="144"/>
      <c r="J41" s="142"/>
      <c r="K41" s="144"/>
      <c r="L41" s="14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7"/>
      <c r="G42" s="144"/>
      <c r="H42" s="142"/>
      <c r="I42" s="144"/>
      <c r="J42" s="142"/>
      <c r="K42" s="144"/>
      <c r="L42" s="14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7"/>
      <c r="G43" s="144"/>
      <c r="H43" s="142"/>
      <c r="I43" s="144"/>
      <c r="J43" s="142"/>
      <c r="K43" s="144"/>
      <c r="L43" s="14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7"/>
      <c r="G44" s="144"/>
      <c r="H44" s="142"/>
      <c r="I44" s="144"/>
      <c r="J44" s="142"/>
      <c r="K44" s="144"/>
      <c r="L44" s="14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7"/>
      <c r="G45" s="144"/>
      <c r="H45" s="142"/>
      <c r="I45" s="144"/>
      <c r="J45" s="142"/>
      <c r="K45" s="144"/>
      <c r="L45" s="14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7"/>
      <c r="G46" s="144"/>
      <c r="H46" s="142"/>
      <c r="I46" s="144"/>
      <c r="J46" s="142"/>
      <c r="K46" s="144"/>
      <c r="L46" s="142"/>
    </row>
    <row r="47" spans="1:12" s="2" customFormat="1" ht="15.75" customHeight="1">
      <c r="A47" s="14"/>
      <c r="B47" s="25" t="s">
        <v>79</v>
      </c>
      <c r="C47" s="88" t="s">
        <v>95</v>
      </c>
      <c r="D47" s="32" t="str">
        <f>D40</f>
        <v>LIST</v>
      </c>
      <c r="E47" s="89" t="s">
        <v>89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7"/>
      <c r="G48" s="144"/>
      <c r="H48" s="142"/>
      <c r="I48" s="144"/>
      <c r="J48" s="142"/>
      <c r="K48" s="144"/>
      <c r="L48" s="14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7"/>
      <c r="G49" s="144"/>
      <c r="H49" s="142"/>
      <c r="I49" s="144"/>
      <c r="J49" s="142"/>
      <c r="K49" s="144"/>
      <c r="L49" s="14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7"/>
      <c r="G50" s="144"/>
      <c r="H50" s="142"/>
      <c r="I50" s="144"/>
      <c r="J50" s="142"/>
      <c r="K50" s="144"/>
      <c r="L50" s="14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7"/>
      <c r="G51" s="144"/>
      <c r="H51" s="142"/>
      <c r="I51" s="144"/>
      <c r="J51" s="142"/>
      <c r="K51" s="144"/>
      <c r="L51" s="14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7"/>
      <c r="G52" s="144"/>
      <c r="H52" s="142"/>
      <c r="I52" s="144"/>
      <c r="J52" s="142"/>
      <c r="K52" s="144"/>
      <c r="L52" s="14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7"/>
      <c r="G53" s="144"/>
      <c r="H53" s="142"/>
      <c r="I53" s="144"/>
      <c r="J53" s="142"/>
      <c r="K53" s="144"/>
      <c r="L53" s="142"/>
    </row>
    <row r="54" spans="1:12" s="2" customFormat="1" ht="15.75" customHeight="1">
      <c r="A54" s="14"/>
      <c r="B54" s="25" t="s">
        <v>80</v>
      </c>
      <c r="C54" s="88" t="s">
        <v>96</v>
      </c>
      <c r="D54" s="32" t="str">
        <f>D47</f>
        <v>LIST</v>
      </c>
      <c r="E54" s="89" t="s">
        <v>89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7"/>
      <c r="G55" s="144"/>
      <c r="H55" s="142"/>
      <c r="I55" s="144"/>
      <c r="J55" s="142"/>
      <c r="K55" s="144"/>
      <c r="L55" s="14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7"/>
      <c r="G56" s="144"/>
      <c r="H56" s="142"/>
      <c r="I56" s="144"/>
      <c r="J56" s="142"/>
      <c r="K56" s="144"/>
      <c r="L56" s="14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7"/>
      <c r="G57" s="144"/>
      <c r="H57" s="142"/>
      <c r="I57" s="144"/>
      <c r="J57" s="142"/>
      <c r="K57" s="144"/>
      <c r="L57" s="14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7"/>
      <c r="G58" s="144"/>
      <c r="H58" s="142"/>
      <c r="I58" s="144"/>
      <c r="J58" s="142"/>
      <c r="K58" s="144"/>
      <c r="L58" s="14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7"/>
      <c r="G59" s="144"/>
      <c r="H59" s="142"/>
      <c r="I59" s="144"/>
      <c r="J59" s="142"/>
      <c r="K59" s="144"/>
      <c r="L59" s="14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7"/>
      <c r="G60" s="144"/>
      <c r="H60" s="142"/>
      <c r="I60" s="144"/>
      <c r="J60" s="142"/>
      <c r="K60" s="144"/>
      <c r="L60" s="142"/>
    </row>
    <row r="61" spans="1:12" s="2" customFormat="1" ht="15.75" customHeight="1">
      <c r="A61" s="14"/>
      <c r="B61" s="25" t="s">
        <v>81</v>
      </c>
      <c r="C61" s="88" t="s">
        <v>97</v>
      </c>
      <c r="D61" s="32" t="str">
        <f>D54</f>
        <v>LIST</v>
      </c>
      <c r="E61" s="89" t="s">
        <v>89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7"/>
      <c r="G62" s="144"/>
      <c r="H62" s="142"/>
      <c r="I62" s="144"/>
      <c r="J62" s="142"/>
      <c r="K62" s="144"/>
      <c r="L62" s="14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7"/>
      <c r="G63" s="144"/>
      <c r="H63" s="142"/>
      <c r="I63" s="144"/>
      <c r="J63" s="142"/>
      <c r="K63" s="144"/>
      <c r="L63" s="14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7"/>
      <c r="G64" s="144"/>
      <c r="H64" s="142"/>
      <c r="I64" s="144"/>
      <c r="J64" s="142"/>
      <c r="K64" s="144"/>
      <c r="L64" s="14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7"/>
      <c r="G65" s="144"/>
      <c r="H65" s="142"/>
      <c r="I65" s="144"/>
      <c r="J65" s="142"/>
      <c r="K65" s="144"/>
      <c r="L65" s="14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7"/>
      <c r="G66" s="144"/>
      <c r="H66" s="142"/>
      <c r="I66" s="144"/>
      <c r="J66" s="142"/>
      <c r="K66" s="144"/>
      <c r="L66" s="14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7"/>
      <c r="G67" s="144"/>
      <c r="H67" s="142"/>
      <c r="I67" s="144"/>
      <c r="J67" s="142"/>
      <c r="K67" s="144"/>
      <c r="L67" s="142"/>
    </row>
    <row r="68" spans="1:12" s="2" customFormat="1" ht="15.75" customHeight="1">
      <c r="A68" s="14"/>
      <c r="B68" s="25" t="s">
        <v>82</v>
      </c>
      <c r="C68" s="88" t="s">
        <v>98</v>
      </c>
      <c r="D68" s="32" t="str">
        <f>D61</f>
        <v>LIST</v>
      </c>
      <c r="E68" s="89" t="s">
        <v>89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7"/>
      <c r="G69" s="144"/>
      <c r="H69" s="142"/>
      <c r="I69" s="144"/>
      <c r="J69" s="142"/>
      <c r="K69" s="144"/>
      <c r="L69" s="14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7"/>
      <c r="G70" s="144"/>
      <c r="H70" s="142"/>
      <c r="I70" s="144"/>
      <c r="J70" s="142"/>
      <c r="K70" s="144"/>
      <c r="L70" s="14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7"/>
      <c r="G71" s="144"/>
      <c r="H71" s="142"/>
      <c r="I71" s="144"/>
      <c r="J71" s="142"/>
      <c r="K71" s="144"/>
      <c r="L71" s="14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7"/>
      <c r="G72" s="144"/>
      <c r="H72" s="142"/>
      <c r="I72" s="144"/>
      <c r="J72" s="142"/>
      <c r="K72" s="144"/>
      <c r="L72" s="14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7"/>
      <c r="G73" s="144"/>
      <c r="H73" s="142"/>
      <c r="I73" s="144"/>
      <c r="J73" s="142"/>
      <c r="K73" s="144"/>
      <c r="L73" s="14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7"/>
      <c r="G74" s="144"/>
      <c r="H74" s="142"/>
      <c r="I74" s="144"/>
      <c r="J74" s="142"/>
      <c r="K74" s="144"/>
      <c r="L74" s="142"/>
    </row>
    <row r="75" spans="1:12" s="2" customFormat="1" ht="15.75" customHeight="1">
      <c r="A75" s="14"/>
      <c r="B75" s="25" t="s">
        <v>83</v>
      </c>
      <c r="C75" s="88" t="s">
        <v>99</v>
      </c>
      <c r="D75" s="32" t="str">
        <f>D68</f>
        <v>LIST</v>
      </c>
      <c r="E75" s="89" t="s">
        <v>89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7"/>
      <c r="G76" s="144"/>
      <c r="H76" s="142"/>
      <c r="I76" s="144"/>
      <c r="J76" s="142"/>
      <c r="K76" s="144"/>
      <c r="L76" s="14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7"/>
      <c r="G77" s="144"/>
      <c r="H77" s="142"/>
      <c r="I77" s="144"/>
      <c r="J77" s="142"/>
      <c r="K77" s="144"/>
      <c r="L77" s="14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7"/>
      <c r="G78" s="144"/>
      <c r="H78" s="142"/>
      <c r="I78" s="144"/>
      <c r="J78" s="142"/>
      <c r="K78" s="144"/>
      <c r="L78" s="14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7"/>
      <c r="G79" s="144"/>
      <c r="H79" s="142"/>
      <c r="I79" s="144"/>
      <c r="J79" s="142"/>
      <c r="K79" s="144"/>
      <c r="L79" s="14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7"/>
      <c r="G80" s="144"/>
      <c r="H80" s="142"/>
      <c r="I80" s="144"/>
      <c r="J80" s="142"/>
      <c r="K80" s="144"/>
      <c r="L80" s="14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7"/>
      <c r="G81" s="144"/>
      <c r="H81" s="142"/>
      <c r="I81" s="144"/>
      <c r="J81" s="142"/>
      <c r="K81" s="144"/>
      <c r="L81" s="142"/>
    </row>
    <row r="82" spans="1:12" s="2" customFormat="1" ht="15.75" customHeight="1">
      <c r="A82" s="14"/>
      <c r="B82" s="25" t="s">
        <v>84</v>
      </c>
      <c r="C82" s="88" t="s">
        <v>100</v>
      </c>
      <c r="D82" s="32" t="str">
        <f>D75</f>
        <v>LIST</v>
      </c>
      <c r="E82" s="89" t="s">
        <v>89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7"/>
      <c r="G83" s="144"/>
      <c r="H83" s="142"/>
      <c r="I83" s="144"/>
      <c r="J83" s="142"/>
      <c r="K83" s="144"/>
      <c r="L83" s="14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7"/>
      <c r="G84" s="144"/>
      <c r="H84" s="142"/>
      <c r="I84" s="144"/>
      <c r="J84" s="142"/>
      <c r="K84" s="144"/>
      <c r="L84" s="14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7"/>
      <c r="G85" s="144"/>
      <c r="H85" s="142"/>
      <c r="I85" s="144"/>
      <c r="J85" s="142"/>
      <c r="K85" s="144"/>
      <c r="L85" s="14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7"/>
      <c r="G86" s="144"/>
      <c r="H86" s="142"/>
      <c r="I86" s="144"/>
      <c r="J86" s="142"/>
      <c r="K86" s="144"/>
      <c r="L86" s="14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7"/>
      <c r="G87" s="144"/>
      <c r="H87" s="142"/>
      <c r="I87" s="144"/>
      <c r="J87" s="142"/>
      <c r="K87" s="144"/>
      <c r="L87" s="14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8"/>
      <c r="G88" s="145"/>
      <c r="H88" s="143"/>
      <c r="I88" s="145"/>
      <c r="J88" s="143"/>
      <c r="K88" s="145"/>
      <c r="L88" s="143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33" activePane="bottomRight" state="frozen"/>
      <selection pane="bottomRight" activeCell="K34" sqref="K34:K39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LIDER!G4</f>
        <v>ECONOMÍA GENERAL</v>
      </c>
      <c r="C2" s="82"/>
      <c r="D2" s="3"/>
      <c r="F2" s="152" t="s">
        <v>85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CONCATENATE(LIDER!G4," - ",LIDER!G6," - ",LIDER!G5)</f>
        <v>ECONOMÍA GENERAL - 1420 - GENIS PATRON ANTEQUERA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87</v>
      </c>
      <c r="D5" s="32" t="s">
        <v>88</v>
      </c>
      <c r="E5" s="89" t="s">
        <v>89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SHAYLIN YOLANDA ALVAREZ MANJARRES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147">
        <v>4</v>
      </c>
      <c r="G6" s="144">
        <v>4</v>
      </c>
      <c r="H6" s="142">
        <v>4</v>
      </c>
      <c r="I6" s="144">
        <v>4</v>
      </c>
      <c r="J6" s="142">
        <v>5</v>
      </c>
      <c r="K6" s="144"/>
      <c r="L6" s="142"/>
    </row>
    <row r="7" spans="1:12" s="2" customFormat="1" ht="15" customHeight="1">
      <c r="A7" s="12">
        <v>2</v>
      </c>
      <c r="B7" s="10" t="str">
        <f>LIDER!E44</f>
        <v>VALERY DEL CARMEN MARTINEZ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147"/>
      <c r="G7" s="144"/>
      <c r="H7" s="142"/>
      <c r="I7" s="144"/>
      <c r="J7" s="142"/>
      <c r="K7" s="144"/>
      <c r="L7" s="142"/>
    </row>
    <row r="8" spans="1:12" s="2" customFormat="1" ht="15" customHeight="1">
      <c r="A8" s="12">
        <v>3</v>
      </c>
      <c r="B8" s="10" t="str">
        <f>LIDER!E45</f>
        <v>ANDREA CAROLINA OVIEDO CERVANTES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147"/>
      <c r="G8" s="144"/>
      <c r="H8" s="142"/>
      <c r="I8" s="144"/>
      <c r="J8" s="142"/>
      <c r="K8" s="144"/>
      <c r="L8" s="142"/>
    </row>
    <row r="9" spans="1:12" s="2" customFormat="1" ht="15" customHeight="1">
      <c r="A9" s="12">
        <v>4</v>
      </c>
      <c r="B9" s="10" t="str">
        <f>LIDER!E46</f>
        <v>SARI ELENA QUESEDO HORMECHEA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147"/>
      <c r="G9" s="144"/>
      <c r="H9" s="142"/>
      <c r="I9" s="144"/>
      <c r="J9" s="142"/>
      <c r="K9" s="144"/>
      <c r="L9" s="142"/>
    </row>
    <row r="10" spans="1:12" s="2" customFormat="1" ht="15" customHeight="1">
      <c r="A10" s="12">
        <v>5</v>
      </c>
      <c r="B10" s="10" t="str">
        <f>LIDER!E47</f>
        <v>VALENTINA TINOCO PATERNINA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4.0999999999999996</v>
      </c>
      <c r="F10" s="147"/>
      <c r="G10" s="144"/>
      <c r="H10" s="142"/>
      <c r="I10" s="144"/>
      <c r="J10" s="142"/>
      <c r="K10" s="144"/>
      <c r="L10" s="14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7"/>
      <c r="G11" s="144"/>
      <c r="H11" s="142"/>
      <c r="I11" s="144"/>
      <c r="J11" s="142"/>
      <c r="K11" s="144"/>
      <c r="L11" s="142"/>
    </row>
    <row r="12" spans="1:12" s="2" customFormat="1" ht="15.75" customHeight="1" thickBot="1">
      <c r="A12" s="8"/>
      <c r="B12" s="25" t="s">
        <v>72</v>
      </c>
      <c r="C12" s="88" t="s">
        <v>90</v>
      </c>
      <c r="D12" s="32" t="str">
        <f>D5</f>
        <v>LIST</v>
      </c>
      <c r="E12" s="89" t="s">
        <v>89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SAMUEL ESCOBAR VILLERO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3.7400000000000007</v>
      </c>
      <c r="F13" s="147">
        <v>3.6</v>
      </c>
      <c r="G13" s="144">
        <v>3.6</v>
      </c>
      <c r="H13" s="142">
        <v>3.6</v>
      </c>
      <c r="I13" s="144">
        <v>3.6</v>
      </c>
      <c r="J13" s="142">
        <v>5</v>
      </c>
      <c r="K13" s="144"/>
      <c r="L13" s="142"/>
    </row>
    <row r="14" spans="1:12" s="2" customFormat="1" ht="15" customHeight="1">
      <c r="A14" s="12">
        <v>2</v>
      </c>
      <c r="B14" s="10" t="str">
        <f>LIDER!F44</f>
        <v>MILENA PATRICIA GOMEZ BALLESTEROS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3.7400000000000007</v>
      </c>
      <c r="F14" s="147"/>
      <c r="G14" s="144"/>
      <c r="H14" s="142"/>
      <c r="I14" s="144"/>
      <c r="J14" s="142"/>
      <c r="K14" s="144"/>
      <c r="L14" s="142"/>
    </row>
    <row r="15" spans="1:12" s="2" customFormat="1" ht="15" customHeight="1">
      <c r="A15" s="12">
        <v>3</v>
      </c>
      <c r="B15" s="10" t="str">
        <f>LIDER!F45</f>
        <v>VALERI JULIANA JULIO SUAREZ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3.7400000000000007</v>
      </c>
      <c r="F15" s="147"/>
      <c r="G15" s="144"/>
      <c r="H15" s="142"/>
      <c r="I15" s="144"/>
      <c r="J15" s="142"/>
      <c r="K15" s="144"/>
      <c r="L15" s="142"/>
    </row>
    <row r="16" spans="1:12" s="2" customFormat="1" ht="15" customHeight="1">
      <c r="A16" s="12">
        <v>4</v>
      </c>
      <c r="B16" s="10" t="str">
        <f>LIDER!F46</f>
        <v>JHON JAIRO PALACIO AVILA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3.7400000000000007</v>
      </c>
      <c r="F16" s="147"/>
      <c r="G16" s="144"/>
      <c r="H16" s="142"/>
      <c r="I16" s="144"/>
      <c r="J16" s="142"/>
      <c r="K16" s="144"/>
      <c r="L16" s="142"/>
    </row>
    <row r="17" spans="1:12" s="2" customFormat="1" ht="15" customHeight="1">
      <c r="A17" s="12">
        <v>5</v>
      </c>
      <c r="B17" s="10" t="str">
        <f>LIDER!F47</f>
        <v>JEFFRY PIÑERES SUAREZ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3.7400000000000007</v>
      </c>
      <c r="F17" s="147"/>
      <c r="G17" s="144"/>
      <c r="H17" s="142"/>
      <c r="I17" s="144"/>
      <c r="J17" s="142"/>
      <c r="K17" s="144"/>
      <c r="L17" s="14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7"/>
      <c r="G18" s="144"/>
      <c r="H18" s="142"/>
      <c r="I18" s="144"/>
      <c r="J18" s="142"/>
      <c r="K18" s="144"/>
      <c r="L18" s="142"/>
    </row>
    <row r="19" spans="1:12" s="2" customFormat="1" ht="15.75" customHeight="1">
      <c r="A19" s="14"/>
      <c r="B19" s="25" t="s">
        <v>74</v>
      </c>
      <c r="C19" s="88" t="s">
        <v>91</v>
      </c>
      <c r="D19" s="32" t="str">
        <f>D12</f>
        <v>LIST</v>
      </c>
      <c r="E19" s="89" t="s">
        <v>89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KEYNNER DAVID CORREA SUAREZ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3.7400000000000007</v>
      </c>
      <c r="F20" s="147">
        <v>3.6</v>
      </c>
      <c r="G20" s="144">
        <v>3.6</v>
      </c>
      <c r="H20" s="142">
        <v>3.6</v>
      </c>
      <c r="I20" s="144">
        <v>3.6</v>
      </c>
      <c r="J20" s="142">
        <v>5</v>
      </c>
      <c r="K20" s="144"/>
      <c r="L20" s="142"/>
    </row>
    <row r="21" spans="1:12" s="2" customFormat="1" ht="15" customHeight="1">
      <c r="A21" s="12">
        <v>2</v>
      </c>
      <c r="B21" s="10" t="str">
        <f>LIDER!G44</f>
        <v>SANTIAGO DOMINGUEZ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3.7400000000000007</v>
      </c>
      <c r="F21" s="147"/>
      <c r="G21" s="144"/>
      <c r="H21" s="142"/>
      <c r="I21" s="144"/>
      <c r="J21" s="142"/>
      <c r="K21" s="144"/>
      <c r="L21" s="142"/>
    </row>
    <row r="22" spans="1:12" s="2" customFormat="1" ht="15" customHeight="1">
      <c r="A22" s="12">
        <v>3</v>
      </c>
      <c r="B22" s="10" t="str">
        <f>LIDER!G45</f>
        <v>DUVAN HAVITT HERRERA FIGUEROA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3.7400000000000007</v>
      </c>
      <c r="F22" s="147"/>
      <c r="G22" s="144"/>
      <c r="H22" s="142"/>
      <c r="I22" s="144"/>
      <c r="J22" s="142"/>
      <c r="K22" s="144"/>
      <c r="L22" s="142"/>
    </row>
    <row r="23" spans="1:12" s="2" customFormat="1" ht="15" customHeight="1">
      <c r="A23" s="12">
        <v>4</v>
      </c>
      <c r="B23" s="10" t="str">
        <f>LIDER!G46</f>
        <v>JOSE JIMENEZ LEON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3.7400000000000007</v>
      </c>
      <c r="F23" s="147"/>
      <c r="G23" s="144"/>
      <c r="H23" s="142"/>
      <c r="I23" s="144"/>
      <c r="J23" s="142"/>
      <c r="K23" s="144"/>
      <c r="L23" s="142"/>
    </row>
    <row r="24" spans="1:12" s="2" customFormat="1" ht="15" customHeight="1">
      <c r="A24" s="12">
        <v>5</v>
      </c>
      <c r="B24" s="10" t="str">
        <f>LIDER!G47</f>
        <v>JUAN DIEGO ROMERO BASABE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3.7400000000000007</v>
      </c>
      <c r="F24" s="147"/>
      <c r="G24" s="144"/>
      <c r="H24" s="142"/>
      <c r="I24" s="144"/>
      <c r="J24" s="142"/>
      <c r="K24" s="144"/>
      <c r="L24" s="14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7"/>
      <c r="G25" s="144"/>
      <c r="H25" s="142"/>
      <c r="I25" s="144"/>
      <c r="J25" s="142"/>
      <c r="K25" s="144"/>
      <c r="L25" s="142"/>
    </row>
    <row r="26" spans="1:12" s="2" customFormat="1" ht="15.75" customHeight="1">
      <c r="A26" s="14"/>
      <c r="B26" s="25" t="s">
        <v>76</v>
      </c>
      <c r="C26" s="88" t="s">
        <v>92</v>
      </c>
      <c r="D26" s="32" t="str">
        <f>D19</f>
        <v>LIST</v>
      </c>
      <c r="E26" s="89" t="s">
        <v>89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SANTIAGO ANDRÉS ARNEDO ESCALANTE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4.0999999999999996</v>
      </c>
      <c r="F27" s="147">
        <v>4</v>
      </c>
      <c r="G27" s="144">
        <v>4</v>
      </c>
      <c r="H27" s="142">
        <v>4</v>
      </c>
      <c r="I27" s="144">
        <v>4</v>
      </c>
      <c r="J27" s="142">
        <v>5</v>
      </c>
      <c r="K27" s="144"/>
      <c r="L27" s="142"/>
    </row>
    <row r="28" spans="1:12" s="2" customFormat="1" ht="15" customHeight="1">
      <c r="A28" s="12">
        <v>2</v>
      </c>
      <c r="B28" s="10" t="str">
        <f>LIDER!H44</f>
        <v>JUAN CAMILO NIETO ARAGON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4.0999999999999996</v>
      </c>
      <c r="F28" s="147"/>
      <c r="G28" s="144"/>
      <c r="H28" s="142"/>
      <c r="I28" s="144"/>
      <c r="J28" s="142"/>
      <c r="K28" s="144"/>
      <c r="L28" s="142"/>
    </row>
    <row r="29" spans="1:12" s="2" customFormat="1" ht="15" customHeight="1">
      <c r="A29" s="12">
        <v>3</v>
      </c>
      <c r="B29" s="10" t="str">
        <f>LIDER!H45</f>
        <v>BETZABETH MARIEL SALCEDO MERCADO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4.0999999999999996</v>
      </c>
      <c r="F29" s="147"/>
      <c r="G29" s="144"/>
      <c r="H29" s="142"/>
      <c r="I29" s="144"/>
      <c r="J29" s="142"/>
      <c r="K29" s="144"/>
      <c r="L29" s="142"/>
    </row>
    <row r="30" spans="1:12" s="2" customFormat="1" ht="15" customHeight="1">
      <c r="A30" s="12">
        <v>4</v>
      </c>
      <c r="B30" s="10" t="str">
        <f>LIDER!H46</f>
        <v>MAUREN ANDREA TORRES CASTRO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4.0999999999999996</v>
      </c>
      <c r="F30" s="147"/>
      <c r="G30" s="144"/>
      <c r="H30" s="142"/>
      <c r="I30" s="144"/>
      <c r="J30" s="142"/>
      <c r="K30" s="144"/>
      <c r="L30" s="14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7"/>
      <c r="G31" s="144"/>
      <c r="H31" s="142"/>
      <c r="I31" s="144"/>
      <c r="J31" s="142"/>
      <c r="K31" s="144"/>
      <c r="L31" s="14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7"/>
      <c r="G32" s="144"/>
      <c r="H32" s="142"/>
      <c r="I32" s="144"/>
      <c r="J32" s="142"/>
      <c r="K32" s="144"/>
      <c r="L32" s="142"/>
    </row>
    <row r="33" spans="1:12" s="2" customFormat="1" ht="15.75" customHeight="1">
      <c r="A33" s="14"/>
      <c r="B33" s="25" t="s">
        <v>77</v>
      </c>
      <c r="C33" s="88" t="s">
        <v>93</v>
      </c>
      <c r="D33" s="32" t="str">
        <f>D26</f>
        <v>LIST</v>
      </c>
      <c r="E33" s="89" t="s">
        <v>89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MARIA CAMILA BARRERA ORTEGA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3.7400000000000007</v>
      </c>
      <c r="F34" s="147">
        <v>3.6</v>
      </c>
      <c r="G34" s="144">
        <v>3.6</v>
      </c>
      <c r="H34" s="142">
        <v>3.6</v>
      </c>
      <c r="I34" s="144">
        <v>3.6</v>
      </c>
      <c r="J34" s="142">
        <v>5</v>
      </c>
      <c r="K34" s="144"/>
      <c r="L34" s="142"/>
    </row>
    <row r="35" spans="1:12" s="2" customFormat="1" ht="15" customHeight="1">
      <c r="A35" s="12">
        <v>2</v>
      </c>
      <c r="B35" s="10" t="str">
        <f>LIDER!E52</f>
        <v>NATALIA SOFÍA CABARCAS TRUJILLO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3.7400000000000007</v>
      </c>
      <c r="F35" s="147"/>
      <c r="G35" s="144"/>
      <c r="H35" s="142"/>
      <c r="I35" s="144"/>
      <c r="J35" s="142"/>
      <c r="K35" s="144"/>
      <c r="L35" s="142"/>
    </row>
    <row r="36" spans="1:12" s="2" customFormat="1" ht="15" customHeight="1">
      <c r="A36" s="12">
        <v>3</v>
      </c>
      <c r="B36" s="10" t="str">
        <f>LIDER!E53</f>
        <v>FRANKLIN ANDRES CORTINA BLANCO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3.7400000000000007</v>
      </c>
      <c r="F36" s="147"/>
      <c r="G36" s="144"/>
      <c r="H36" s="142"/>
      <c r="I36" s="144"/>
      <c r="J36" s="142"/>
      <c r="K36" s="144"/>
      <c r="L36" s="142"/>
    </row>
    <row r="37" spans="1:12" s="2" customFormat="1" ht="15" customHeight="1">
      <c r="A37" s="12">
        <v>4</v>
      </c>
      <c r="B37" s="10" t="str">
        <f>LIDER!E54</f>
        <v>ANGELINE PITALUA TENORIO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3.7400000000000007</v>
      </c>
      <c r="F37" s="147"/>
      <c r="G37" s="144"/>
      <c r="H37" s="142"/>
      <c r="I37" s="144"/>
      <c r="J37" s="142"/>
      <c r="K37" s="144"/>
      <c r="L37" s="142"/>
    </row>
    <row r="38" spans="1:12" s="2" customFormat="1" ht="15" customHeight="1">
      <c r="A38" s="12">
        <v>5</v>
      </c>
      <c r="B38" s="10" t="str">
        <f>LIDER!E55</f>
        <v>EMILIA DEL CARMEN TABORDA ANGULO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3.7400000000000007</v>
      </c>
      <c r="F38" s="147"/>
      <c r="G38" s="144"/>
      <c r="H38" s="142"/>
      <c r="I38" s="144"/>
      <c r="J38" s="142"/>
      <c r="K38" s="144"/>
      <c r="L38" s="14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7"/>
      <c r="G39" s="144"/>
      <c r="H39" s="142"/>
      <c r="I39" s="144"/>
      <c r="J39" s="142"/>
      <c r="K39" s="144"/>
      <c r="L39" s="142"/>
    </row>
    <row r="40" spans="1:12" s="2" customFormat="1" ht="15.75" customHeight="1">
      <c r="A40" s="14"/>
      <c r="B40" s="25" t="s">
        <v>78</v>
      </c>
      <c r="C40" s="88" t="s">
        <v>94</v>
      </c>
      <c r="D40" s="32" t="str">
        <f>D33</f>
        <v>LIST</v>
      </c>
      <c r="E40" s="89" t="s">
        <v>89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7"/>
      <c r="G41" s="144"/>
      <c r="H41" s="142"/>
      <c r="I41" s="144"/>
      <c r="J41" s="142"/>
      <c r="K41" s="144"/>
      <c r="L41" s="14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7"/>
      <c r="G42" s="144"/>
      <c r="H42" s="142"/>
      <c r="I42" s="144"/>
      <c r="J42" s="142"/>
      <c r="K42" s="144"/>
      <c r="L42" s="14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7"/>
      <c r="G43" s="144"/>
      <c r="H43" s="142"/>
      <c r="I43" s="144"/>
      <c r="J43" s="142"/>
      <c r="K43" s="144"/>
      <c r="L43" s="14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7"/>
      <c r="G44" s="144"/>
      <c r="H44" s="142"/>
      <c r="I44" s="144"/>
      <c r="J44" s="142"/>
      <c r="K44" s="144"/>
      <c r="L44" s="14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7"/>
      <c r="G45" s="144"/>
      <c r="H45" s="142"/>
      <c r="I45" s="144"/>
      <c r="J45" s="142"/>
      <c r="K45" s="144"/>
      <c r="L45" s="14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7"/>
      <c r="G46" s="144"/>
      <c r="H46" s="142"/>
      <c r="I46" s="144"/>
      <c r="J46" s="142"/>
      <c r="K46" s="144"/>
      <c r="L46" s="142"/>
    </row>
    <row r="47" spans="1:12" s="2" customFormat="1" ht="15.75" customHeight="1">
      <c r="A47" s="14"/>
      <c r="B47" s="25" t="s">
        <v>79</v>
      </c>
      <c r="C47" s="88" t="s">
        <v>95</v>
      </c>
      <c r="D47" s="32" t="str">
        <f>D40</f>
        <v>LIST</v>
      </c>
      <c r="E47" s="89" t="s">
        <v>89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7"/>
      <c r="G48" s="144"/>
      <c r="H48" s="142"/>
      <c r="I48" s="144"/>
      <c r="J48" s="142"/>
      <c r="K48" s="144"/>
      <c r="L48" s="14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7"/>
      <c r="G49" s="144"/>
      <c r="H49" s="142"/>
      <c r="I49" s="144"/>
      <c r="J49" s="142"/>
      <c r="K49" s="144"/>
      <c r="L49" s="14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7"/>
      <c r="G50" s="144"/>
      <c r="H50" s="142"/>
      <c r="I50" s="144"/>
      <c r="J50" s="142"/>
      <c r="K50" s="144"/>
      <c r="L50" s="14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7"/>
      <c r="G51" s="144"/>
      <c r="H51" s="142"/>
      <c r="I51" s="144"/>
      <c r="J51" s="142"/>
      <c r="K51" s="144"/>
      <c r="L51" s="14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7"/>
      <c r="G52" s="144"/>
      <c r="H52" s="142"/>
      <c r="I52" s="144"/>
      <c r="J52" s="142"/>
      <c r="K52" s="144"/>
      <c r="L52" s="14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7"/>
      <c r="G53" s="144"/>
      <c r="H53" s="142"/>
      <c r="I53" s="144"/>
      <c r="J53" s="142"/>
      <c r="K53" s="144"/>
      <c r="L53" s="142"/>
    </row>
    <row r="54" spans="1:12" s="2" customFormat="1" ht="15.75" customHeight="1">
      <c r="A54" s="14"/>
      <c r="B54" s="25" t="s">
        <v>80</v>
      </c>
      <c r="C54" s="88" t="s">
        <v>96</v>
      </c>
      <c r="D54" s="32" t="str">
        <f>D47</f>
        <v>LIST</v>
      </c>
      <c r="E54" s="89" t="s">
        <v>89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7"/>
      <c r="G55" s="144"/>
      <c r="H55" s="142"/>
      <c r="I55" s="144"/>
      <c r="J55" s="142"/>
      <c r="K55" s="144"/>
      <c r="L55" s="14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7"/>
      <c r="G56" s="144"/>
      <c r="H56" s="142"/>
      <c r="I56" s="144"/>
      <c r="J56" s="142"/>
      <c r="K56" s="144"/>
      <c r="L56" s="14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7"/>
      <c r="G57" s="144"/>
      <c r="H57" s="142"/>
      <c r="I57" s="144"/>
      <c r="J57" s="142"/>
      <c r="K57" s="144"/>
      <c r="L57" s="14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7"/>
      <c r="G58" s="144"/>
      <c r="H58" s="142"/>
      <c r="I58" s="144"/>
      <c r="J58" s="142"/>
      <c r="K58" s="144"/>
      <c r="L58" s="14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7"/>
      <c r="G59" s="144"/>
      <c r="H59" s="142"/>
      <c r="I59" s="144"/>
      <c r="J59" s="142"/>
      <c r="K59" s="144"/>
      <c r="L59" s="14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7"/>
      <c r="G60" s="144"/>
      <c r="H60" s="142"/>
      <c r="I60" s="144"/>
      <c r="J60" s="142"/>
      <c r="K60" s="144"/>
      <c r="L60" s="142"/>
    </row>
    <row r="61" spans="1:12" s="2" customFormat="1" ht="15.75" customHeight="1">
      <c r="A61" s="14"/>
      <c r="B61" s="25" t="s">
        <v>81</v>
      </c>
      <c r="C61" s="88" t="s">
        <v>97</v>
      </c>
      <c r="D61" s="32" t="str">
        <f>D54</f>
        <v>LIST</v>
      </c>
      <c r="E61" s="89" t="s">
        <v>89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7"/>
      <c r="G62" s="144"/>
      <c r="H62" s="142"/>
      <c r="I62" s="144"/>
      <c r="J62" s="142"/>
      <c r="K62" s="144"/>
      <c r="L62" s="14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7"/>
      <c r="G63" s="144"/>
      <c r="H63" s="142"/>
      <c r="I63" s="144"/>
      <c r="J63" s="142"/>
      <c r="K63" s="144"/>
      <c r="L63" s="14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7"/>
      <c r="G64" s="144"/>
      <c r="H64" s="142"/>
      <c r="I64" s="144"/>
      <c r="J64" s="142"/>
      <c r="K64" s="144"/>
      <c r="L64" s="14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7"/>
      <c r="G65" s="144"/>
      <c r="H65" s="142"/>
      <c r="I65" s="144"/>
      <c r="J65" s="142"/>
      <c r="K65" s="144"/>
      <c r="L65" s="14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7"/>
      <c r="G66" s="144"/>
      <c r="H66" s="142"/>
      <c r="I66" s="144"/>
      <c r="J66" s="142"/>
      <c r="K66" s="144"/>
      <c r="L66" s="14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7"/>
      <c r="G67" s="144"/>
      <c r="H67" s="142"/>
      <c r="I67" s="144"/>
      <c r="J67" s="142"/>
      <c r="K67" s="144"/>
      <c r="L67" s="142"/>
    </row>
    <row r="68" spans="1:12" s="2" customFormat="1" ht="15.75" customHeight="1">
      <c r="A68" s="14"/>
      <c r="B68" s="25" t="s">
        <v>82</v>
      </c>
      <c r="C68" s="88" t="s">
        <v>98</v>
      </c>
      <c r="D68" s="32" t="str">
        <f>D61</f>
        <v>LIST</v>
      </c>
      <c r="E68" s="89" t="s">
        <v>89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7"/>
      <c r="G69" s="144"/>
      <c r="H69" s="142"/>
      <c r="I69" s="144"/>
      <c r="J69" s="142"/>
      <c r="K69" s="144"/>
      <c r="L69" s="14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7"/>
      <c r="G70" s="144"/>
      <c r="H70" s="142"/>
      <c r="I70" s="144"/>
      <c r="J70" s="142"/>
      <c r="K70" s="144"/>
      <c r="L70" s="14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7"/>
      <c r="G71" s="144"/>
      <c r="H71" s="142"/>
      <c r="I71" s="144"/>
      <c r="J71" s="142"/>
      <c r="K71" s="144"/>
      <c r="L71" s="14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7"/>
      <c r="G72" s="144"/>
      <c r="H72" s="142"/>
      <c r="I72" s="144"/>
      <c r="J72" s="142"/>
      <c r="K72" s="144"/>
      <c r="L72" s="14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7"/>
      <c r="G73" s="144"/>
      <c r="H73" s="142"/>
      <c r="I73" s="144"/>
      <c r="J73" s="142"/>
      <c r="K73" s="144"/>
      <c r="L73" s="14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7"/>
      <c r="G74" s="144"/>
      <c r="H74" s="142"/>
      <c r="I74" s="144"/>
      <c r="J74" s="142"/>
      <c r="K74" s="144"/>
      <c r="L74" s="142"/>
    </row>
    <row r="75" spans="1:12" s="2" customFormat="1" ht="15.75" customHeight="1">
      <c r="A75" s="14"/>
      <c r="B75" s="25" t="s">
        <v>83</v>
      </c>
      <c r="C75" s="88" t="s">
        <v>99</v>
      </c>
      <c r="D75" s="32" t="str">
        <f>D68</f>
        <v>LIST</v>
      </c>
      <c r="E75" s="89" t="s">
        <v>89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7"/>
      <c r="G76" s="144"/>
      <c r="H76" s="142"/>
      <c r="I76" s="144"/>
      <c r="J76" s="142"/>
      <c r="K76" s="144"/>
      <c r="L76" s="14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7"/>
      <c r="G77" s="144"/>
      <c r="H77" s="142"/>
      <c r="I77" s="144"/>
      <c r="J77" s="142"/>
      <c r="K77" s="144"/>
      <c r="L77" s="14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7"/>
      <c r="G78" s="144"/>
      <c r="H78" s="142"/>
      <c r="I78" s="144"/>
      <c r="J78" s="142"/>
      <c r="K78" s="144"/>
      <c r="L78" s="14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7"/>
      <c r="G79" s="144"/>
      <c r="H79" s="142"/>
      <c r="I79" s="144"/>
      <c r="J79" s="142"/>
      <c r="K79" s="144"/>
      <c r="L79" s="14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7"/>
      <c r="G80" s="144"/>
      <c r="H80" s="142"/>
      <c r="I80" s="144"/>
      <c r="J80" s="142"/>
      <c r="K80" s="144"/>
      <c r="L80" s="14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7"/>
      <c r="G81" s="144"/>
      <c r="H81" s="142"/>
      <c r="I81" s="144"/>
      <c r="J81" s="142"/>
      <c r="K81" s="144"/>
      <c r="L81" s="142"/>
    </row>
    <row r="82" spans="1:12" s="2" customFormat="1" ht="15.75" customHeight="1">
      <c r="A82" s="14"/>
      <c r="B82" s="25" t="s">
        <v>84</v>
      </c>
      <c r="C82" s="88" t="s">
        <v>100</v>
      </c>
      <c r="D82" s="32" t="str">
        <f>D75</f>
        <v>LIST</v>
      </c>
      <c r="E82" s="89" t="s">
        <v>89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7"/>
      <c r="G83" s="144"/>
      <c r="H83" s="142"/>
      <c r="I83" s="144"/>
      <c r="J83" s="142"/>
      <c r="K83" s="144"/>
      <c r="L83" s="14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7"/>
      <c r="G84" s="144"/>
      <c r="H84" s="142"/>
      <c r="I84" s="144"/>
      <c r="J84" s="142"/>
      <c r="K84" s="144"/>
      <c r="L84" s="14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7"/>
      <c r="G85" s="144"/>
      <c r="H85" s="142"/>
      <c r="I85" s="144"/>
      <c r="J85" s="142"/>
      <c r="K85" s="144"/>
      <c r="L85" s="14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7"/>
      <c r="G86" s="144"/>
      <c r="H86" s="142"/>
      <c r="I86" s="144"/>
      <c r="J86" s="142"/>
      <c r="K86" s="144"/>
      <c r="L86" s="14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7"/>
      <c r="G87" s="144"/>
      <c r="H87" s="142"/>
      <c r="I87" s="144"/>
      <c r="J87" s="142"/>
      <c r="K87" s="144"/>
      <c r="L87" s="14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8"/>
      <c r="G88" s="145"/>
      <c r="H88" s="143"/>
      <c r="I88" s="145"/>
      <c r="J88" s="143"/>
      <c r="K88" s="145"/>
      <c r="L88" s="143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33" activePane="bottomRight" state="frozen"/>
      <selection pane="bottomRight" activeCell="J34" sqref="J34:J39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LIDER!H4</f>
        <v>PROCESO ADMINISTRATIVO</v>
      </c>
      <c r="C2" s="82"/>
      <c r="D2" s="3"/>
      <c r="F2" s="152" t="s">
        <v>85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CONCATENATE(LIDER!H4," - ",LIDER!H6," - ",LIDER!H5)</f>
        <v>PROCESO ADMINISTRATIVO - 1333 - AMALIO SEGUNDO OTERO TAPIA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87</v>
      </c>
      <c r="D5" s="32" t="s">
        <v>88</v>
      </c>
      <c r="E5" s="89" t="s">
        <v>89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SHAYLIN YOLANDA ALVAREZ MANJARRES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4.16</v>
      </c>
      <c r="F6" s="147">
        <v>3.9</v>
      </c>
      <c r="G6" s="144">
        <v>3.9</v>
      </c>
      <c r="H6" s="142">
        <v>4</v>
      </c>
      <c r="I6" s="144">
        <v>4.5</v>
      </c>
      <c r="J6" s="142">
        <v>5</v>
      </c>
      <c r="K6" s="144"/>
      <c r="L6" s="142"/>
    </row>
    <row r="7" spans="1:12" s="2" customFormat="1" ht="15" customHeight="1">
      <c r="A7" s="12">
        <v>2</v>
      </c>
      <c r="B7" s="10" t="str">
        <f>LIDER!E44</f>
        <v>VALERY DEL CARMEN MARTINEZ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4.16</v>
      </c>
      <c r="F7" s="147"/>
      <c r="G7" s="144"/>
      <c r="H7" s="142"/>
      <c r="I7" s="144"/>
      <c r="J7" s="142"/>
      <c r="K7" s="144"/>
      <c r="L7" s="142"/>
    </row>
    <row r="8" spans="1:12" s="2" customFormat="1" ht="15" customHeight="1">
      <c r="A8" s="12">
        <v>3</v>
      </c>
      <c r="B8" s="10" t="str">
        <f>LIDER!E45</f>
        <v>ANDREA CAROLINA OVIEDO CERVANTES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4.16</v>
      </c>
      <c r="F8" s="147"/>
      <c r="G8" s="144"/>
      <c r="H8" s="142"/>
      <c r="I8" s="144"/>
      <c r="J8" s="142"/>
      <c r="K8" s="144"/>
      <c r="L8" s="142"/>
    </row>
    <row r="9" spans="1:12" s="2" customFormat="1" ht="15" customHeight="1">
      <c r="A9" s="12">
        <v>4</v>
      </c>
      <c r="B9" s="10" t="str">
        <f>LIDER!E46</f>
        <v>SARI ELENA QUESEDO HORMECHEA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4.16</v>
      </c>
      <c r="F9" s="147"/>
      <c r="G9" s="144"/>
      <c r="H9" s="142"/>
      <c r="I9" s="144"/>
      <c r="J9" s="142"/>
      <c r="K9" s="144"/>
      <c r="L9" s="142"/>
    </row>
    <row r="10" spans="1:12" s="2" customFormat="1" ht="15" customHeight="1">
      <c r="A10" s="12">
        <v>5</v>
      </c>
      <c r="B10" s="10" t="str">
        <f>LIDER!E47</f>
        <v>VALENTINA TINOCO PATERNINA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4.16</v>
      </c>
      <c r="F10" s="147"/>
      <c r="G10" s="144"/>
      <c r="H10" s="142"/>
      <c r="I10" s="144"/>
      <c r="J10" s="142"/>
      <c r="K10" s="144"/>
      <c r="L10" s="14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7"/>
      <c r="G11" s="144"/>
      <c r="H11" s="142"/>
      <c r="I11" s="144"/>
      <c r="J11" s="142"/>
      <c r="K11" s="144"/>
      <c r="L11" s="142"/>
    </row>
    <row r="12" spans="1:12" s="2" customFormat="1" ht="15.75" customHeight="1" thickBot="1">
      <c r="A12" s="8"/>
      <c r="B12" s="25" t="s">
        <v>72</v>
      </c>
      <c r="C12" s="88" t="s">
        <v>90</v>
      </c>
      <c r="D12" s="32" t="str">
        <f>D5</f>
        <v>LIST</v>
      </c>
      <c r="E12" s="89" t="s">
        <v>89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SAMUEL ESCOBAR VILLERO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4.08</v>
      </c>
      <c r="F13" s="147">
        <v>3.9</v>
      </c>
      <c r="G13" s="144">
        <v>3.5</v>
      </c>
      <c r="H13" s="142">
        <v>4</v>
      </c>
      <c r="I13" s="144">
        <v>4.5</v>
      </c>
      <c r="J13" s="142">
        <v>5</v>
      </c>
      <c r="K13" s="144"/>
      <c r="L13" s="142"/>
    </row>
    <row r="14" spans="1:12" s="2" customFormat="1" ht="15" customHeight="1">
      <c r="A14" s="12">
        <v>2</v>
      </c>
      <c r="B14" s="10" t="str">
        <f>LIDER!F44</f>
        <v>MILENA PATRICIA GOMEZ BALLESTEROS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4.08</v>
      </c>
      <c r="F14" s="147"/>
      <c r="G14" s="144"/>
      <c r="H14" s="142"/>
      <c r="I14" s="144"/>
      <c r="J14" s="142"/>
      <c r="K14" s="144"/>
      <c r="L14" s="142"/>
    </row>
    <row r="15" spans="1:12" s="2" customFormat="1" ht="15" customHeight="1">
      <c r="A15" s="12">
        <v>3</v>
      </c>
      <c r="B15" s="10" t="str">
        <f>LIDER!F45</f>
        <v>VALERI JULIANA JULIO SUAREZ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4.08</v>
      </c>
      <c r="F15" s="147"/>
      <c r="G15" s="144"/>
      <c r="H15" s="142"/>
      <c r="I15" s="144"/>
      <c r="J15" s="142"/>
      <c r="K15" s="144"/>
      <c r="L15" s="142"/>
    </row>
    <row r="16" spans="1:12" s="2" customFormat="1" ht="15" customHeight="1">
      <c r="A16" s="12">
        <v>4</v>
      </c>
      <c r="B16" s="10" t="str">
        <f>LIDER!F46</f>
        <v>JHON JAIRO PALACIO AVILA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4.08</v>
      </c>
      <c r="F16" s="147"/>
      <c r="G16" s="144"/>
      <c r="H16" s="142"/>
      <c r="I16" s="144"/>
      <c r="J16" s="142"/>
      <c r="K16" s="144"/>
      <c r="L16" s="142"/>
    </row>
    <row r="17" spans="1:12" s="2" customFormat="1" ht="15" customHeight="1">
      <c r="A17" s="12">
        <v>5</v>
      </c>
      <c r="B17" s="10" t="str">
        <f>LIDER!F47</f>
        <v>JEFFRY PIÑERES SUAREZ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4.08</v>
      </c>
      <c r="F17" s="147"/>
      <c r="G17" s="144"/>
      <c r="H17" s="142"/>
      <c r="I17" s="144"/>
      <c r="J17" s="142"/>
      <c r="K17" s="144"/>
      <c r="L17" s="14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7"/>
      <c r="G18" s="144"/>
      <c r="H18" s="142"/>
      <c r="I18" s="144"/>
      <c r="J18" s="142"/>
      <c r="K18" s="144"/>
      <c r="L18" s="142"/>
    </row>
    <row r="19" spans="1:12" s="2" customFormat="1" ht="15.75" customHeight="1">
      <c r="A19" s="14"/>
      <c r="B19" s="25" t="s">
        <v>74</v>
      </c>
      <c r="C19" s="88" t="s">
        <v>91</v>
      </c>
      <c r="D19" s="32" t="str">
        <f>D12</f>
        <v>LIST</v>
      </c>
      <c r="E19" s="89" t="s">
        <v>89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KEYNNER DAVID CORREA SUAREZ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3.9799999999999995</v>
      </c>
      <c r="F20" s="147">
        <v>3.5</v>
      </c>
      <c r="G20" s="144">
        <v>3.9</v>
      </c>
      <c r="H20" s="142">
        <v>4</v>
      </c>
      <c r="I20" s="144">
        <v>4</v>
      </c>
      <c r="J20" s="142">
        <v>5</v>
      </c>
      <c r="K20" s="144"/>
      <c r="L20" s="142"/>
    </row>
    <row r="21" spans="1:12" s="2" customFormat="1" ht="15" customHeight="1">
      <c r="A21" s="12">
        <v>2</v>
      </c>
      <c r="B21" s="10" t="str">
        <f>LIDER!G44</f>
        <v>SANTIAGO DOMINGUEZ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3.9799999999999995</v>
      </c>
      <c r="F21" s="147"/>
      <c r="G21" s="144"/>
      <c r="H21" s="142"/>
      <c r="I21" s="144"/>
      <c r="J21" s="142"/>
      <c r="K21" s="144"/>
      <c r="L21" s="142"/>
    </row>
    <row r="22" spans="1:12" s="2" customFormat="1" ht="15" customHeight="1">
      <c r="A22" s="12">
        <v>3</v>
      </c>
      <c r="B22" s="10" t="str">
        <f>LIDER!G45</f>
        <v>DUVAN HAVITT HERRERA FIGUEROA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3.9799999999999995</v>
      </c>
      <c r="F22" s="147"/>
      <c r="G22" s="144"/>
      <c r="H22" s="142"/>
      <c r="I22" s="144"/>
      <c r="J22" s="142"/>
      <c r="K22" s="144"/>
      <c r="L22" s="142"/>
    </row>
    <row r="23" spans="1:12" s="2" customFormat="1" ht="15" customHeight="1">
      <c r="A23" s="12">
        <v>4</v>
      </c>
      <c r="B23" s="10" t="str">
        <f>LIDER!G46</f>
        <v>JOSE JIMENEZ LEON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3.9799999999999995</v>
      </c>
      <c r="F23" s="147"/>
      <c r="G23" s="144"/>
      <c r="H23" s="142"/>
      <c r="I23" s="144"/>
      <c r="J23" s="142"/>
      <c r="K23" s="144"/>
      <c r="L23" s="142"/>
    </row>
    <row r="24" spans="1:12" s="2" customFormat="1" ht="15" customHeight="1">
      <c r="A24" s="12">
        <v>5</v>
      </c>
      <c r="B24" s="10" t="str">
        <f>LIDER!G47</f>
        <v>JUAN DIEGO ROMERO BASABE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3.9799999999999995</v>
      </c>
      <c r="F24" s="147"/>
      <c r="G24" s="144"/>
      <c r="H24" s="142"/>
      <c r="I24" s="144"/>
      <c r="J24" s="142"/>
      <c r="K24" s="144"/>
      <c r="L24" s="14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7"/>
      <c r="G25" s="144"/>
      <c r="H25" s="142"/>
      <c r="I25" s="144"/>
      <c r="J25" s="142"/>
      <c r="K25" s="144"/>
      <c r="L25" s="142"/>
    </row>
    <row r="26" spans="1:12" s="2" customFormat="1" ht="15.75" customHeight="1">
      <c r="A26" s="14"/>
      <c r="B26" s="25" t="s">
        <v>76</v>
      </c>
      <c r="C26" s="88" t="s">
        <v>92</v>
      </c>
      <c r="D26" s="32" t="str">
        <f>D19</f>
        <v>LIST</v>
      </c>
      <c r="E26" s="89" t="s">
        <v>89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SANTIAGO ANDRÉS ARNEDO ESCALANTE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3.6599999999999997</v>
      </c>
      <c r="F27" s="147">
        <v>3.9</v>
      </c>
      <c r="G27" s="144">
        <v>3.9</v>
      </c>
      <c r="H27" s="142">
        <v>4</v>
      </c>
      <c r="I27" s="144">
        <v>4</v>
      </c>
      <c r="J27" s="142">
        <v>1</v>
      </c>
      <c r="K27" s="144"/>
      <c r="L27" s="142"/>
    </row>
    <row r="28" spans="1:12" s="2" customFormat="1" ht="15" customHeight="1">
      <c r="A28" s="12">
        <v>2</v>
      </c>
      <c r="B28" s="10" t="str">
        <f>LIDER!H44</f>
        <v>JUAN CAMILO NIETO ARAGON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3.6599999999999997</v>
      </c>
      <c r="F28" s="147"/>
      <c r="G28" s="144"/>
      <c r="H28" s="142"/>
      <c r="I28" s="144"/>
      <c r="J28" s="142"/>
      <c r="K28" s="144"/>
      <c r="L28" s="142"/>
    </row>
    <row r="29" spans="1:12" s="2" customFormat="1" ht="15" customHeight="1">
      <c r="A29" s="12">
        <v>3</v>
      </c>
      <c r="B29" s="10" t="str">
        <f>LIDER!H45</f>
        <v>BETZABETH MARIEL SALCEDO MERCADO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3.6599999999999997</v>
      </c>
      <c r="F29" s="147"/>
      <c r="G29" s="144"/>
      <c r="H29" s="142"/>
      <c r="I29" s="144"/>
      <c r="J29" s="142"/>
      <c r="K29" s="144"/>
      <c r="L29" s="142"/>
    </row>
    <row r="30" spans="1:12" s="2" customFormat="1" ht="15" customHeight="1">
      <c r="A30" s="12">
        <v>4</v>
      </c>
      <c r="B30" s="10" t="str">
        <f>LIDER!H46</f>
        <v>MAUREN ANDREA TORRES CASTRO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3.6599999999999997</v>
      </c>
      <c r="F30" s="147"/>
      <c r="G30" s="144"/>
      <c r="H30" s="142"/>
      <c r="I30" s="144"/>
      <c r="J30" s="142"/>
      <c r="K30" s="144"/>
      <c r="L30" s="14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7"/>
      <c r="G31" s="144"/>
      <c r="H31" s="142"/>
      <c r="I31" s="144"/>
      <c r="J31" s="142"/>
      <c r="K31" s="144"/>
      <c r="L31" s="14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7"/>
      <c r="G32" s="144"/>
      <c r="H32" s="142"/>
      <c r="I32" s="144"/>
      <c r="J32" s="142"/>
      <c r="K32" s="144"/>
      <c r="L32" s="142"/>
    </row>
    <row r="33" spans="1:12" s="2" customFormat="1" ht="15.75" customHeight="1">
      <c r="A33" s="14"/>
      <c r="B33" s="25" t="s">
        <v>77</v>
      </c>
      <c r="C33" s="88" t="s">
        <v>93</v>
      </c>
      <c r="D33" s="32" t="str">
        <f>D26</f>
        <v>LIST</v>
      </c>
      <c r="E33" s="89" t="s">
        <v>89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MARIA CAMILA BARRERA ORTEGA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4.49</v>
      </c>
      <c r="F34" s="147">
        <v>4.5</v>
      </c>
      <c r="G34" s="144">
        <v>4.5</v>
      </c>
      <c r="H34" s="142">
        <v>4.3</v>
      </c>
      <c r="I34" s="144">
        <v>4.5</v>
      </c>
      <c r="J34" s="142">
        <v>5</v>
      </c>
      <c r="K34" s="144"/>
      <c r="L34" s="142"/>
    </row>
    <row r="35" spans="1:12" s="2" customFormat="1" ht="15" customHeight="1">
      <c r="A35" s="12">
        <v>2</v>
      </c>
      <c r="B35" s="10" t="str">
        <f>LIDER!E52</f>
        <v>NATALIA SOFÍA CABARCAS TRUJILLO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4.49</v>
      </c>
      <c r="F35" s="147"/>
      <c r="G35" s="144"/>
      <c r="H35" s="142"/>
      <c r="I35" s="144"/>
      <c r="J35" s="142"/>
      <c r="K35" s="144"/>
      <c r="L35" s="142"/>
    </row>
    <row r="36" spans="1:12" s="2" customFormat="1" ht="15" customHeight="1">
      <c r="A36" s="12">
        <v>3</v>
      </c>
      <c r="B36" s="10" t="str">
        <f>LIDER!E53</f>
        <v>FRANKLIN ANDRES CORTINA BLANCO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4.49</v>
      </c>
      <c r="F36" s="147"/>
      <c r="G36" s="144"/>
      <c r="H36" s="142"/>
      <c r="I36" s="144"/>
      <c r="J36" s="142"/>
      <c r="K36" s="144"/>
      <c r="L36" s="142"/>
    </row>
    <row r="37" spans="1:12" s="2" customFormat="1" ht="15" customHeight="1">
      <c r="A37" s="12">
        <v>4</v>
      </c>
      <c r="B37" s="10" t="str">
        <f>LIDER!E54</f>
        <v>ANGELINE PITALUA TENORIO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4.49</v>
      </c>
      <c r="F37" s="147"/>
      <c r="G37" s="144"/>
      <c r="H37" s="142"/>
      <c r="I37" s="144"/>
      <c r="J37" s="142"/>
      <c r="K37" s="144"/>
      <c r="L37" s="142"/>
    </row>
    <row r="38" spans="1:12" s="2" customFormat="1" ht="15" customHeight="1">
      <c r="A38" s="12">
        <v>5</v>
      </c>
      <c r="B38" s="10" t="str">
        <f>LIDER!E55</f>
        <v>EMILIA DEL CARMEN TABORDA ANGULO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4.49</v>
      </c>
      <c r="F38" s="147"/>
      <c r="G38" s="144"/>
      <c r="H38" s="142"/>
      <c r="I38" s="144"/>
      <c r="J38" s="142"/>
      <c r="K38" s="144"/>
      <c r="L38" s="14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7"/>
      <c r="G39" s="144"/>
      <c r="H39" s="142"/>
      <c r="I39" s="144"/>
      <c r="J39" s="142"/>
      <c r="K39" s="144"/>
      <c r="L39" s="142"/>
    </row>
    <row r="40" spans="1:12" s="2" customFormat="1" ht="15.75" customHeight="1">
      <c r="A40" s="14"/>
      <c r="B40" s="25" t="s">
        <v>78</v>
      </c>
      <c r="C40" s="88" t="s">
        <v>94</v>
      </c>
      <c r="D40" s="32" t="str">
        <f>D33</f>
        <v>LIST</v>
      </c>
      <c r="E40" s="89" t="s">
        <v>89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7"/>
      <c r="G41" s="144"/>
      <c r="H41" s="142"/>
      <c r="I41" s="144"/>
      <c r="J41" s="142"/>
      <c r="K41" s="144"/>
      <c r="L41" s="14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7"/>
      <c r="G42" s="144"/>
      <c r="H42" s="142"/>
      <c r="I42" s="144"/>
      <c r="J42" s="142"/>
      <c r="K42" s="144"/>
      <c r="L42" s="14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7"/>
      <c r="G43" s="144"/>
      <c r="H43" s="142"/>
      <c r="I43" s="144"/>
      <c r="J43" s="142"/>
      <c r="K43" s="144"/>
      <c r="L43" s="14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7"/>
      <c r="G44" s="144"/>
      <c r="H44" s="142"/>
      <c r="I44" s="144"/>
      <c r="J44" s="142"/>
      <c r="K44" s="144"/>
      <c r="L44" s="14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7"/>
      <c r="G45" s="144"/>
      <c r="H45" s="142"/>
      <c r="I45" s="144"/>
      <c r="J45" s="142"/>
      <c r="K45" s="144"/>
      <c r="L45" s="14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7"/>
      <c r="G46" s="144"/>
      <c r="H46" s="142"/>
      <c r="I46" s="144"/>
      <c r="J46" s="142"/>
      <c r="K46" s="144"/>
      <c r="L46" s="142"/>
    </row>
    <row r="47" spans="1:12" s="2" customFormat="1" ht="15.75" customHeight="1">
      <c r="A47" s="14"/>
      <c r="B47" s="25" t="s">
        <v>79</v>
      </c>
      <c r="C47" s="88" t="s">
        <v>95</v>
      </c>
      <c r="D47" s="32" t="str">
        <f>D40</f>
        <v>LIST</v>
      </c>
      <c r="E47" s="89" t="s">
        <v>89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7"/>
      <c r="G48" s="144"/>
      <c r="H48" s="142"/>
      <c r="I48" s="144"/>
      <c r="J48" s="142"/>
      <c r="K48" s="144"/>
      <c r="L48" s="14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7"/>
      <c r="G49" s="144"/>
      <c r="H49" s="142"/>
      <c r="I49" s="144"/>
      <c r="J49" s="142"/>
      <c r="K49" s="144"/>
      <c r="L49" s="14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7"/>
      <c r="G50" s="144"/>
      <c r="H50" s="142"/>
      <c r="I50" s="144"/>
      <c r="J50" s="142"/>
      <c r="K50" s="144"/>
      <c r="L50" s="14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7"/>
      <c r="G51" s="144"/>
      <c r="H51" s="142"/>
      <c r="I51" s="144"/>
      <c r="J51" s="142"/>
      <c r="K51" s="144"/>
      <c r="L51" s="14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7"/>
      <c r="G52" s="144"/>
      <c r="H52" s="142"/>
      <c r="I52" s="144"/>
      <c r="J52" s="142"/>
      <c r="K52" s="144"/>
      <c r="L52" s="14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7"/>
      <c r="G53" s="144"/>
      <c r="H53" s="142"/>
      <c r="I53" s="144"/>
      <c r="J53" s="142"/>
      <c r="K53" s="144"/>
      <c r="L53" s="142"/>
    </row>
    <row r="54" spans="1:12" s="2" customFormat="1" ht="15.75" customHeight="1">
      <c r="A54" s="14"/>
      <c r="B54" s="25" t="s">
        <v>80</v>
      </c>
      <c r="C54" s="88" t="s">
        <v>96</v>
      </c>
      <c r="D54" s="32" t="str">
        <f>D47</f>
        <v>LIST</v>
      </c>
      <c r="E54" s="89" t="s">
        <v>89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7"/>
      <c r="G55" s="144"/>
      <c r="H55" s="142"/>
      <c r="I55" s="144"/>
      <c r="J55" s="142"/>
      <c r="K55" s="144"/>
      <c r="L55" s="14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7"/>
      <c r="G56" s="144"/>
      <c r="H56" s="142"/>
      <c r="I56" s="144"/>
      <c r="J56" s="142"/>
      <c r="K56" s="144"/>
      <c r="L56" s="14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7"/>
      <c r="G57" s="144"/>
      <c r="H57" s="142"/>
      <c r="I57" s="144"/>
      <c r="J57" s="142"/>
      <c r="K57" s="144"/>
      <c r="L57" s="14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7"/>
      <c r="G58" s="144"/>
      <c r="H58" s="142"/>
      <c r="I58" s="144"/>
      <c r="J58" s="142"/>
      <c r="K58" s="144"/>
      <c r="L58" s="14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7"/>
      <c r="G59" s="144"/>
      <c r="H59" s="142"/>
      <c r="I59" s="144"/>
      <c r="J59" s="142"/>
      <c r="K59" s="144"/>
      <c r="L59" s="14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7"/>
      <c r="G60" s="144"/>
      <c r="H60" s="142"/>
      <c r="I60" s="144"/>
      <c r="J60" s="142"/>
      <c r="K60" s="144"/>
      <c r="L60" s="142"/>
    </row>
    <row r="61" spans="1:12" s="2" customFormat="1" ht="15.75" customHeight="1">
      <c r="A61" s="14"/>
      <c r="B61" s="25" t="s">
        <v>81</v>
      </c>
      <c r="C61" s="88" t="s">
        <v>97</v>
      </c>
      <c r="D61" s="32" t="str">
        <f>D54</f>
        <v>LIST</v>
      </c>
      <c r="E61" s="89" t="s">
        <v>89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7"/>
      <c r="G62" s="144"/>
      <c r="H62" s="142"/>
      <c r="I62" s="144"/>
      <c r="J62" s="142"/>
      <c r="K62" s="144"/>
      <c r="L62" s="14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7"/>
      <c r="G63" s="144"/>
      <c r="H63" s="142"/>
      <c r="I63" s="144"/>
      <c r="J63" s="142"/>
      <c r="K63" s="144"/>
      <c r="L63" s="14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7"/>
      <c r="G64" s="144"/>
      <c r="H64" s="142"/>
      <c r="I64" s="144"/>
      <c r="J64" s="142"/>
      <c r="K64" s="144"/>
      <c r="L64" s="14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7"/>
      <c r="G65" s="144"/>
      <c r="H65" s="142"/>
      <c r="I65" s="144"/>
      <c r="J65" s="142"/>
      <c r="K65" s="144"/>
      <c r="L65" s="14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7"/>
      <c r="G66" s="144"/>
      <c r="H66" s="142"/>
      <c r="I66" s="144"/>
      <c r="J66" s="142"/>
      <c r="K66" s="144"/>
      <c r="L66" s="14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7"/>
      <c r="G67" s="144"/>
      <c r="H67" s="142"/>
      <c r="I67" s="144"/>
      <c r="J67" s="142"/>
      <c r="K67" s="144"/>
      <c r="L67" s="142"/>
    </row>
    <row r="68" spans="1:12" s="2" customFormat="1" ht="15.75" customHeight="1">
      <c r="A68" s="14"/>
      <c r="B68" s="25" t="s">
        <v>82</v>
      </c>
      <c r="C68" s="88" t="s">
        <v>98</v>
      </c>
      <c r="D68" s="32" t="str">
        <f>D61</f>
        <v>LIST</v>
      </c>
      <c r="E68" s="89" t="s">
        <v>89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7"/>
      <c r="G69" s="144"/>
      <c r="H69" s="142"/>
      <c r="I69" s="144"/>
      <c r="J69" s="142"/>
      <c r="K69" s="144"/>
      <c r="L69" s="14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7"/>
      <c r="G70" s="144"/>
      <c r="H70" s="142"/>
      <c r="I70" s="144"/>
      <c r="J70" s="142"/>
      <c r="K70" s="144"/>
      <c r="L70" s="14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7"/>
      <c r="G71" s="144"/>
      <c r="H71" s="142"/>
      <c r="I71" s="144"/>
      <c r="J71" s="142"/>
      <c r="K71" s="144"/>
      <c r="L71" s="14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7"/>
      <c r="G72" s="144"/>
      <c r="H72" s="142"/>
      <c r="I72" s="144"/>
      <c r="J72" s="142"/>
      <c r="K72" s="144"/>
      <c r="L72" s="14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7"/>
      <c r="G73" s="144"/>
      <c r="H73" s="142"/>
      <c r="I73" s="144"/>
      <c r="J73" s="142"/>
      <c r="K73" s="144"/>
      <c r="L73" s="14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7"/>
      <c r="G74" s="144"/>
      <c r="H74" s="142"/>
      <c r="I74" s="144"/>
      <c r="J74" s="142"/>
      <c r="K74" s="144"/>
      <c r="L74" s="142"/>
    </row>
    <row r="75" spans="1:12" s="2" customFormat="1" ht="15.75" customHeight="1">
      <c r="A75" s="14"/>
      <c r="B75" s="25" t="s">
        <v>83</v>
      </c>
      <c r="C75" s="88" t="s">
        <v>99</v>
      </c>
      <c r="D75" s="32" t="str">
        <f>D68</f>
        <v>LIST</v>
      </c>
      <c r="E75" s="89" t="s">
        <v>89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7"/>
      <c r="G76" s="144"/>
      <c r="H76" s="142"/>
      <c r="I76" s="144"/>
      <c r="J76" s="142"/>
      <c r="K76" s="144"/>
      <c r="L76" s="14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7"/>
      <c r="G77" s="144"/>
      <c r="H77" s="142"/>
      <c r="I77" s="144"/>
      <c r="J77" s="142"/>
      <c r="K77" s="144"/>
      <c r="L77" s="14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7"/>
      <c r="G78" s="144"/>
      <c r="H78" s="142"/>
      <c r="I78" s="144"/>
      <c r="J78" s="142"/>
      <c r="K78" s="144"/>
      <c r="L78" s="14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7"/>
      <c r="G79" s="144"/>
      <c r="H79" s="142"/>
      <c r="I79" s="144"/>
      <c r="J79" s="142"/>
      <c r="K79" s="144"/>
      <c r="L79" s="14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7"/>
      <c r="G80" s="144"/>
      <c r="H80" s="142"/>
      <c r="I80" s="144"/>
      <c r="J80" s="142"/>
      <c r="K80" s="144"/>
      <c r="L80" s="14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7"/>
      <c r="G81" s="144"/>
      <c r="H81" s="142"/>
      <c r="I81" s="144"/>
      <c r="J81" s="142"/>
      <c r="K81" s="144"/>
      <c r="L81" s="142"/>
    </row>
    <row r="82" spans="1:12" s="2" customFormat="1" ht="15.75" customHeight="1">
      <c r="A82" s="14"/>
      <c r="B82" s="25" t="s">
        <v>84</v>
      </c>
      <c r="C82" s="88" t="s">
        <v>100</v>
      </c>
      <c r="D82" s="32" t="str">
        <f>D75</f>
        <v>LIST</v>
      </c>
      <c r="E82" s="89" t="s">
        <v>89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7"/>
      <c r="G83" s="144"/>
      <c r="H83" s="142"/>
      <c r="I83" s="144"/>
      <c r="J83" s="142"/>
      <c r="K83" s="144"/>
      <c r="L83" s="14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7"/>
      <c r="G84" s="144"/>
      <c r="H84" s="142"/>
      <c r="I84" s="144"/>
      <c r="J84" s="142"/>
      <c r="K84" s="144"/>
      <c r="L84" s="14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7"/>
      <c r="G85" s="144"/>
      <c r="H85" s="142"/>
      <c r="I85" s="144"/>
      <c r="J85" s="142"/>
      <c r="K85" s="144"/>
      <c r="L85" s="14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7"/>
      <c r="G86" s="144"/>
      <c r="H86" s="142"/>
      <c r="I86" s="144"/>
      <c r="J86" s="142"/>
      <c r="K86" s="144"/>
      <c r="L86" s="14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7"/>
      <c r="G87" s="144"/>
      <c r="H87" s="142"/>
      <c r="I87" s="144"/>
      <c r="J87" s="142"/>
      <c r="K87" s="144"/>
      <c r="L87" s="14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8"/>
      <c r="G88" s="145"/>
      <c r="H88" s="143"/>
      <c r="I88" s="145"/>
      <c r="J88" s="143"/>
      <c r="K88" s="145"/>
      <c r="L88" s="143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LIDER!I4</f>
        <v>0</v>
      </c>
      <c r="C2" s="82"/>
      <c r="D2" s="3"/>
      <c r="F2" s="152" t="s">
        <v>85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CONCATENATE(LIDER!I4," - ",LIDER!I6," - ",LIDER!I5)</f>
        <v xml:space="preserve"> -  - 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87</v>
      </c>
      <c r="D5" s="32" t="s">
        <v>88</v>
      </c>
      <c r="E5" s="89" t="s">
        <v>89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SHAYLIN YOLANDA ALVAREZ MANJARRES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7"/>
      <c r="G6" s="144"/>
      <c r="H6" s="142"/>
      <c r="I6" s="144"/>
      <c r="J6" s="142"/>
      <c r="K6" s="144"/>
      <c r="L6" s="142"/>
    </row>
    <row r="7" spans="1:12" s="2" customFormat="1" ht="15" customHeight="1">
      <c r="A7" s="12">
        <v>2</v>
      </c>
      <c r="B7" s="10" t="str">
        <f>LIDER!E44</f>
        <v>VALERY DEL CARMEN MARTINEZ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7"/>
      <c r="G7" s="144"/>
      <c r="H7" s="142"/>
      <c r="I7" s="144"/>
      <c r="J7" s="142"/>
      <c r="K7" s="144"/>
      <c r="L7" s="142"/>
    </row>
    <row r="8" spans="1:12" s="2" customFormat="1" ht="15" customHeight="1">
      <c r="A8" s="12">
        <v>3</v>
      </c>
      <c r="B8" s="10" t="str">
        <f>LIDER!E45</f>
        <v>ANDREA CAROLINA OVIEDO CERVANTES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7"/>
      <c r="G8" s="144"/>
      <c r="H8" s="142"/>
      <c r="I8" s="144"/>
      <c r="J8" s="142"/>
      <c r="K8" s="144"/>
      <c r="L8" s="142"/>
    </row>
    <row r="9" spans="1:12" s="2" customFormat="1" ht="15" customHeight="1">
      <c r="A9" s="12">
        <v>4</v>
      </c>
      <c r="B9" s="10" t="str">
        <f>LIDER!E46</f>
        <v>SARI ELENA QUESEDO HORMECHEA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7"/>
      <c r="G9" s="144"/>
      <c r="H9" s="142"/>
      <c r="I9" s="144"/>
      <c r="J9" s="142"/>
      <c r="K9" s="144"/>
      <c r="L9" s="142"/>
    </row>
    <row r="10" spans="1:12" s="2" customFormat="1" ht="15" customHeight="1">
      <c r="A10" s="12">
        <v>5</v>
      </c>
      <c r="B10" s="10" t="str">
        <f>LIDER!E47</f>
        <v>VALENTINA TINOCO PATERNINA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7"/>
      <c r="G10" s="144"/>
      <c r="H10" s="142"/>
      <c r="I10" s="144"/>
      <c r="J10" s="142"/>
      <c r="K10" s="144"/>
      <c r="L10" s="14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7"/>
      <c r="G11" s="144"/>
      <c r="H11" s="142"/>
      <c r="I11" s="144"/>
      <c r="J11" s="142"/>
      <c r="K11" s="144"/>
      <c r="L11" s="142"/>
    </row>
    <row r="12" spans="1:12" s="2" customFormat="1" ht="15.75" customHeight="1" thickBot="1">
      <c r="A12" s="8"/>
      <c r="B12" s="25" t="s">
        <v>72</v>
      </c>
      <c r="C12" s="88" t="s">
        <v>90</v>
      </c>
      <c r="D12" s="32" t="str">
        <f>D5</f>
        <v>LIST</v>
      </c>
      <c r="E12" s="89" t="s">
        <v>89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SAMUEL ESCOBAR VILLERO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7"/>
      <c r="G13" s="144"/>
      <c r="H13" s="142"/>
      <c r="I13" s="144"/>
      <c r="J13" s="142"/>
      <c r="K13" s="144"/>
      <c r="L13" s="142"/>
    </row>
    <row r="14" spans="1:12" s="2" customFormat="1" ht="15" customHeight="1">
      <c r="A14" s="12">
        <v>2</v>
      </c>
      <c r="B14" s="10" t="str">
        <f>LIDER!F44</f>
        <v>MILENA PATRICIA GOMEZ BALLESTEROS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7"/>
      <c r="G14" s="144"/>
      <c r="H14" s="142"/>
      <c r="I14" s="144"/>
      <c r="J14" s="142"/>
      <c r="K14" s="144"/>
      <c r="L14" s="142"/>
    </row>
    <row r="15" spans="1:12" s="2" customFormat="1" ht="15" customHeight="1">
      <c r="A15" s="12">
        <v>3</v>
      </c>
      <c r="B15" s="10" t="str">
        <f>LIDER!F45</f>
        <v>VALERI JULIANA JULIO SUAREZ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7"/>
      <c r="G15" s="144"/>
      <c r="H15" s="142"/>
      <c r="I15" s="144"/>
      <c r="J15" s="142"/>
      <c r="K15" s="144"/>
      <c r="L15" s="142"/>
    </row>
    <row r="16" spans="1:12" s="2" customFormat="1" ht="15" customHeight="1">
      <c r="A16" s="12">
        <v>4</v>
      </c>
      <c r="B16" s="10" t="str">
        <f>LIDER!F46</f>
        <v>JHON JAIRO PALACIO AVILA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7"/>
      <c r="G16" s="144"/>
      <c r="H16" s="142"/>
      <c r="I16" s="144"/>
      <c r="J16" s="142"/>
      <c r="K16" s="144"/>
      <c r="L16" s="142"/>
    </row>
    <row r="17" spans="1:12" s="2" customFormat="1" ht="15" customHeight="1">
      <c r="A17" s="12">
        <v>5</v>
      </c>
      <c r="B17" s="10" t="str">
        <f>LIDER!F47</f>
        <v>JEFFRY PIÑERES SUAREZ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7"/>
      <c r="G17" s="144"/>
      <c r="H17" s="142"/>
      <c r="I17" s="144"/>
      <c r="J17" s="142"/>
      <c r="K17" s="144"/>
      <c r="L17" s="14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7"/>
      <c r="G18" s="144"/>
      <c r="H18" s="142"/>
      <c r="I18" s="144"/>
      <c r="J18" s="142"/>
      <c r="K18" s="144"/>
      <c r="L18" s="142"/>
    </row>
    <row r="19" spans="1:12" s="2" customFormat="1" ht="15.75" customHeight="1">
      <c r="A19" s="14"/>
      <c r="B19" s="25" t="s">
        <v>74</v>
      </c>
      <c r="C19" s="88" t="s">
        <v>91</v>
      </c>
      <c r="D19" s="32" t="str">
        <f>D12</f>
        <v>LIST</v>
      </c>
      <c r="E19" s="89" t="s">
        <v>89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KEYNNER DAVID CORREA SUAREZ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7"/>
      <c r="G20" s="144"/>
      <c r="H20" s="142"/>
      <c r="I20" s="144"/>
      <c r="J20" s="142"/>
      <c r="K20" s="144"/>
      <c r="L20" s="142"/>
    </row>
    <row r="21" spans="1:12" s="2" customFormat="1" ht="15" customHeight="1">
      <c r="A21" s="12">
        <v>2</v>
      </c>
      <c r="B21" s="10" t="str">
        <f>LIDER!G44</f>
        <v>SANTIAGO DOMINGUEZ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7"/>
      <c r="G21" s="144"/>
      <c r="H21" s="142"/>
      <c r="I21" s="144"/>
      <c r="J21" s="142"/>
      <c r="K21" s="144"/>
      <c r="L21" s="142"/>
    </row>
    <row r="22" spans="1:12" s="2" customFormat="1" ht="15" customHeight="1">
      <c r="A22" s="12">
        <v>3</v>
      </c>
      <c r="B22" s="10" t="str">
        <f>LIDER!G45</f>
        <v>DUVAN HAVITT HERRERA FIGUEROA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7"/>
      <c r="G22" s="144"/>
      <c r="H22" s="142"/>
      <c r="I22" s="144"/>
      <c r="J22" s="142"/>
      <c r="K22" s="144"/>
      <c r="L22" s="142"/>
    </row>
    <row r="23" spans="1:12" s="2" customFormat="1" ht="15" customHeight="1">
      <c r="A23" s="12">
        <v>4</v>
      </c>
      <c r="B23" s="10" t="str">
        <f>LIDER!G46</f>
        <v>JOSE JIMENEZ LEON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7"/>
      <c r="G23" s="144"/>
      <c r="H23" s="142"/>
      <c r="I23" s="144"/>
      <c r="J23" s="142"/>
      <c r="K23" s="144"/>
      <c r="L23" s="142"/>
    </row>
    <row r="24" spans="1:12" s="2" customFormat="1" ht="15" customHeight="1">
      <c r="A24" s="12">
        <v>5</v>
      </c>
      <c r="B24" s="10" t="str">
        <f>LIDER!G47</f>
        <v>JUAN DIEGO ROMERO BASABE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7"/>
      <c r="G24" s="144"/>
      <c r="H24" s="142"/>
      <c r="I24" s="144"/>
      <c r="J24" s="142"/>
      <c r="K24" s="144"/>
      <c r="L24" s="14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7"/>
      <c r="G25" s="144"/>
      <c r="H25" s="142"/>
      <c r="I25" s="144"/>
      <c r="J25" s="142"/>
      <c r="K25" s="144"/>
      <c r="L25" s="142"/>
    </row>
    <row r="26" spans="1:12" s="2" customFormat="1" ht="15.75" customHeight="1">
      <c r="A26" s="14"/>
      <c r="B26" s="25" t="s">
        <v>76</v>
      </c>
      <c r="C26" s="88" t="s">
        <v>92</v>
      </c>
      <c r="D26" s="32" t="str">
        <f>D19</f>
        <v>LIST</v>
      </c>
      <c r="E26" s="89" t="s">
        <v>89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SANTIAGO ANDRÉS ARNEDO ESCALANTE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7"/>
      <c r="G27" s="144"/>
      <c r="H27" s="142"/>
      <c r="I27" s="144"/>
      <c r="J27" s="142"/>
      <c r="K27" s="144"/>
      <c r="L27" s="142"/>
    </row>
    <row r="28" spans="1:12" s="2" customFormat="1" ht="15" customHeight="1">
      <c r="A28" s="12">
        <v>2</v>
      </c>
      <c r="B28" s="10" t="str">
        <f>LIDER!H44</f>
        <v>JUAN CAMILO NIETO ARAGON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7"/>
      <c r="G28" s="144"/>
      <c r="H28" s="142"/>
      <c r="I28" s="144"/>
      <c r="J28" s="142"/>
      <c r="K28" s="144"/>
      <c r="L28" s="142"/>
    </row>
    <row r="29" spans="1:12" s="2" customFormat="1" ht="15" customHeight="1">
      <c r="A29" s="12">
        <v>3</v>
      </c>
      <c r="B29" s="10" t="str">
        <f>LIDER!H45</f>
        <v>BETZABETH MARIEL SALCEDO MERCADO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7"/>
      <c r="G29" s="144"/>
      <c r="H29" s="142"/>
      <c r="I29" s="144"/>
      <c r="J29" s="142"/>
      <c r="K29" s="144"/>
      <c r="L29" s="142"/>
    </row>
    <row r="30" spans="1:12" s="2" customFormat="1" ht="15" customHeight="1">
      <c r="A30" s="12">
        <v>4</v>
      </c>
      <c r="B30" s="10" t="str">
        <f>LIDER!H46</f>
        <v>MAUREN ANDREA TORRES CASTRO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7"/>
      <c r="G30" s="144"/>
      <c r="H30" s="142"/>
      <c r="I30" s="144"/>
      <c r="J30" s="142"/>
      <c r="K30" s="144"/>
      <c r="L30" s="14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7"/>
      <c r="G31" s="144"/>
      <c r="H31" s="142"/>
      <c r="I31" s="144"/>
      <c r="J31" s="142"/>
      <c r="K31" s="144"/>
      <c r="L31" s="14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7"/>
      <c r="G32" s="144"/>
      <c r="H32" s="142"/>
      <c r="I32" s="144"/>
      <c r="J32" s="142"/>
      <c r="K32" s="144"/>
      <c r="L32" s="142"/>
    </row>
    <row r="33" spans="1:12" s="2" customFormat="1" ht="15.75" customHeight="1">
      <c r="A33" s="14"/>
      <c r="B33" s="25" t="s">
        <v>77</v>
      </c>
      <c r="C33" s="88" t="s">
        <v>93</v>
      </c>
      <c r="D33" s="32" t="str">
        <f>D26</f>
        <v>LIST</v>
      </c>
      <c r="E33" s="89" t="s">
        <v>89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MARIA CAMILA BARRERA ORTEGA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7"/>
      <c r="G34" s="144"/>
      <c r="H34" s="142"/>
      <c r="I34" s="144"/>
      <c r="J34" s="142"/>
      <c r="K34" s="144"/>
      <c r="L34" s="142"/>
    </row>
    <row r="35" spans="1:12" s="2" customFormat="1" ht="15" customHeight="1">
      <c r="A35" s="12">
        <v>2</v>
      </c>
      <c r="B35" s="10" t="str">
        <f>LIDER!E52</f>
        <v>NATALIA SOFÍA CABARCAS TRUJILLO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7"/>
      <c r="G35" s="144"/>
      <c r="H35" s="142"/>
      <c r="I35" s="144"/>
      <c r="J35" s="142"/>
      <c r="K35" s="144"/>
      <c r="L35" s="142"/>
    </row>
    <row r="36" spans="1:12" s="2" customFormat="1" ht="15" customHeight="1">
      <c r="A36" s="12">
        <v>3</v>
      </c>
      <c r="B36" s="10" t="str">
        <f>LIDER!E53</f>
        <v>FRANKLIN ANDRES CORTINA BLANCO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7"/>
      <c r="G36" s="144"/>
      <c r="H36" s="142"/>
      <c r="I36" s="144"/>
      <c r="J36" s="142"/>
      <c r="K36" s="144"/>
      <c r="L36" s="142"/>
    </row>
    <row r="37" spans="1:12" s="2" customFormat="1" ht="15" customHeight="1">
      <c r="A37" s="12">
        <v>4</v>
      </c>
      <c r="B37" s="10" t="str">
        <f>LIDER!E54</f>
        <v>ANGELINE PITALUA TENORIO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7"/>
      <c r="G37" s="144"/>
      <c r="H37" s="142"/>
      <c r="I37" s="144"/>
      <c r="J37" s="142"/>
      <c r="K37" s="144"/>
      <c r="L37" s="142"/>
    </row>
    <row r="38" spans="1:12" s="2" customFormat="1" ht="15" customHeight="1">
      <c r="A38" s="12">
        <v>5</v>
      </c>
      <c r="B38" s="10" t="str">
        <f>LIDER!E55</f>
        <v>EMILIA DEL CARMEN TABORDA ANGULO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7"/>
      <c r="G38" s="144"/>
      <c r="H38" s="142"/>
      <c r="I38" s="144"/>
      <c r="J38" s="142"/>
      <c r="K38" s="144"/>
      <c r="L38" s="14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7"/>
      <c r="G39" s="144"/>
      <c r="H39" s="142"/>
      <c r="I39" s="144"/>
      <c r="J39" s="142"/>
      <c r="K39" s="144"/>
      <c r="L39" s="142"/>
    </row>
    <row r="40" spans="1:12" s="2" customFormat="1" ht="15.75" customHeight="1">
      <c r="A40" s="14"/>
      <c r="B40" s="25" t="s">
        <v>78</v>
      </c>
      <c r="C40" s="88" t="s">
        <v>94</v>
      </c>
      <c r="D40" s="32" t="str">
        <f>D33</f>
        <v>LIST</v>
      </c>
      <c r="E40" s="89" t="s">
        <v>89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7"/>
      <c r="G41" s="144"/>
      <c r="H41" s="142"/>
      <c r="I41" s="144"/>
      <c r="J41" s="142"/>
      <c r="K41" s="144"/>
      <c r="L41" s="14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7"/>
      <c r="G42" s="144"/>
      <c r="H42" s="142"/>
      <c r="I42" s="144"/>
      <c r="J42" s="142"/>
      <c r="K42" s="144"/>
      <c r="L42" s="14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7"/>
      <c r="G43" s="144"/>
      <c r="H43" s="142"/>
      <c r="I43" s="144"/>
      <c r="J43" s="142"/>
      <c r="K43" s="144"/>
      <c r="L43" s="14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7"/>
      <c r="G44" s="144"/>
      <c r="H44" s="142"/>
      <c r="I44" s="144"/>
      <c r="J44" s="142"/>
      <c r="K44" s="144"/>
      <c r="L44" s="14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7"/>
      <c r="G45" s="144"/>
      <c r="H45" s="142"/>
      <c r="I45" s="144"/>
      <c r="J45" s="142"/>
      <c r="K45" s="144"/>
      <c r="L45" s="14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7"/>
      <c r="G46" s="144"/>
      <c r="H46" s="142"/>
      <c r="I46" s="144"/>
      <c r="J46" s="142"/>
      <c r="K46" s="144"/>
      <c r="L46" s="142"/>
    </row>
    <row r="47" spans="1:12" s="2" customFormat="1" ht="15.75" customHeight="1">
      <c r="A47" s="14"/>
      <c r="B47" s="25" t="s">
        <v>79</v>
      </c>
      <c r="C47" s="88" t="s">
        <v>95</v>
      </c>
      <c r="D47" s="32" t="str">
        <f>D40</f>
        <v>LIST</v>
      </c>
      <c r="E47" s="89" t="s">
        <v>89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7"/>
      <c r="G48" s="144"/>
      <c r="H48" s="142"/>
      <c r="I48" s="144"/>
      <c r="J48" s="142"/>
      <c r="K48" s="144"/>
      <c r="L48" s="14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7"/>
      <c r="G49" s="144"/>
      <c r="H49" s="142"/>
      <c r="I49" s="144"/>
      <c r="J49" s="142"/>
      <c r="K49" s="144"/>
      <c r="L49" s="14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7"/>
      <c r="G50" s="144"/>
      <c r="H50" s="142"/>
      <c r="I50" s="144"/>
      <c r="J50" s="142"/>
      <c r="K50" s="144"/>
      <c r="L50" s="14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7"/>
      <c r="G51" s="144"/>
      <c r="H51" s="142"/>
      <c r="I51" s="144"/>
      <c r="J51" s="142"/>
      <c r="K51" s="144"/>
      <c r="L51" s="14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7"/>
      <c r="G52" s="144"/>
      <c r="H52" s="142"/>
      <c r="I52" s="144"/>
      <c r="J52" s="142"/>
      <c r="K52" s="144"/>
      <c r="L52" s="14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7"/>
      <c r="G53" s="144"/>
      <c r="H53" s="142"/>
      <c r="I53" s="144"/>
      <c r="J53" s="142"/>
      <c r="K53" s="144"/>
      <c r="L53" s="142"/>
    </row>
    <row r="54" spans="1:12" s="2" customFormat="1" ht="15.75" customHeight="1">
      <c r="A54" s="14"/>
      <c r="B54" s="25" t="s">
        <v>80</v>
      </c>
      <c r="C54" s="88" t="s">
        <v>96</v>
      </c>
      <c r="D54" s="32" t="str">
        <f>D47</f>
        <v>LIST</v>
      </c>
      <c r="E54" s="89" t="s">
        <v>89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7"/>
      <c r="G55" s="144"/>
      <c r="H55" s="142"/>
      <c r="I55" s="144"/>
      <c r="J55" s="142"/>
      <c r="K55" s="144"/>
      <c r="L55" s="14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7"/>
      <c r="G56" s="144"/>
      <c r="H56" s="142"/>
      <c r="I56" s="144"/>
      <c r="J56" s="142"/>
      <c r="K56" s="144"/>
      <c r="L56" s="14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7"/>
      <c r="G57" s="144"/>
      <c r="H57" s="142"/>
      <c r="I57" s="144"/>
      <c r="J57" s="142"/>
      <c r="K57" s="144"/>
      <c r="L57" s="14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7"/>
      <c r="G58" s="144"/>
      <c r="H58" s="142"/>
      <c r="I58" s="144"/>
      <c r="J58" s="142"/>
      <c r="K58" s="144"/>
      <c r="L58" s="14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7"/>
      <c r="G59" s="144"/>
      <c r="H59" s="142"/>
      <c r="I59" s="144"/>
      <c r="J59" s="142"/>
      <c r="K59" s="144"/>
      <c r="L59" s="14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7"/>
      <c r="G60" s="144"/>
      <c r="H60" s="142"/>
      <c r="I60" s="144"/>
      <c r="J60" s="142"/>
      <c r="K60" s="144"/>
      <c r="L60" s="142"/>
    </row>
    <row r="61" spans="1:12" s="2" customFormat="1" ht="15.75" customHeight="1">
      <c r="A61" s="14"/>
      <c r="B61" s="25" t="s">
        <v>81</v>
      </c>
      <c r="C61" s="88" t="s">
        <v>97</v>
      </c>
      <c r="D61" s="32" t="str">
        <f>D54</f>
        <v>LIST</v>
      </c>
      <c r="E61" s="89" t="s">
        <v>89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7"/>
      <c r="G62" s="144"/>
      <c r="H62" s="142"/>
      <c r="I62" s="144"/>
      <c r="J62" s="142"/>
      <c r="K62" s="144"/>
      <c r="L62" s="14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7"/>
      <c r="G63" s="144"/>
      <c r="H63" s="142"/>
      <c r="I63" s="144"/>
      <c r="J63" s="142"/>
      <c r="K63" s="144"/>
      <c r="L63" s="14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7"/>
      <c r="G64" s="144"/>
      <c r="H64" s="142"/>
      <c r="I64" s="144"/>
      <c r="J64" s="142"/>
      <c r="K64" s="144"/>
      <c r="L64" s="14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7"/>
      <c r="G65" s="144"/>
      <c r="H65" s="142"/>
      <c r="I65" s="144"/>
      <c r="J65" s="142"/>
      <c r="K65" s="144"/>
      <c r="L65" s="14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7"/>
      <c r="G66" s="144"/>
      <c r="H66" s="142"/>
      <c r="I66" s="144"/>
      <c r="J66" s="142"/>
      <c r="K66" s="144"/>
      <c r="L66" s="14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7"/>
      <c r="G67" s="144"/>
      <c r="H67" s="142"/>
      <c r="I67" s="144"/>
      <c r="J67" s="142"/>
      <c r="K67" s="144"/>
      <c r="L67" s="142"/>
    </row>
    <row r="68" spans="1:12" s="2" customFormat="1" ht="15.75" customHeight="1">
      <c r="A68" s="14"/>
      <c r="B68" s="25" t="s">
        <v>82</v>
      </c>
      <c r="C68" s="88" t="s">
        <v>98</v>
      </c>
      <c r="D68" s="32" t="str">
        <f>D61</f>
        <v>LIST</v>
      </c>
      <c r="E68" s="89" t="s">
        <v>89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7"/>
      <c r="G69" s="144"/>
      <c r="H69" s="142"/>
      <c r="I69" s="144"/>
      <c r="J69" s="142"/>
      <c r="K69" s="144"/>
      <c r="L69" s="14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7"/>
      <c r="G70" s="144"/>
      <c r="H70" s="142"/>
      <c r="I70" s="144"/>
      <c r="J70" s="142"/>
      <c r="K70" s="144"/>
      <c r="L70" s="14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7"/>
      <c r="G71" s="144"/>
      <c r="H71" s="142"/>
      <c r="I71" s="144"/>
      <c r="J71" s="142"/>
      <c r="K71" s="144"/>
      <c r="L71" s="14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7"/>
      <c r="G72" s="144"/>
      <c r="H72" s="142"/>
      <c r="I72" s="144"/>
      <c r="J72" s="142"/>
      <c r="K72" s="144"/>
      <c r="L72" s="14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7"/>
      <c r="G73" s="144"/>
      <c r="H73" s="142"/>
      <c r="I73" s="144"/>
      <c r="J73" s="142"/>
      <c r="K73" s="144"/>
      <c r="L73" s="14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7"/>
      <c r="G74" s="144"/>
      <c r="H74" s="142"/>
      <c r="I74" s="144"/>
      <c r="J74" s="142"/>
      <c r="K74" s="144"/>
      <c r="L74" s="142"/>
    </row>
    <row r="75" spans="1:12" s="2" customFormat="1" ht="15.75" customHeight="1">
      <c r="A75" s="14"/>
      <c r="B75" s="25" t="s">
        <v>83</v>
      </c>
      <c r="C75" s="88" t="s">
        <v>99</v>
      </c>
      <c r="D75" s="32" t="str">
        <f>D68</f>
        <v>LIST</v>
      </c>
      <c r="E75" s="89" t="s">
        <v>89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7"/>
      <c r="G76" s="144"/>
      <c r="H76" s="142"/>
      <c r="I76" s="144"/>
      <c r="J76" s="142"/>
      <c r="K76" s="144"/>
      <c r="L76" s="14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7"/>
      <c r="G77" s="144"/>
      <c r="H77" s="142"/>
      <c r="I77" s="144"/>
      <c r="J77" s="142"/>
      <c r="K77" s="144"/>
      <c r="L77" s="14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7"/>
      <c r="G78" s="144"/>
      <c r="H78" s="142"/>
      <c r="I78" s="144"/>
      <c r="J78" s="142"/>
      <c r="K78" s="144"/>
      <c r="L78" s="14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7"/>
      <c r="G79" s="144"/>
      <c r="H79" s="142"/>
      <c r="I79" s="144"/>
      <c r="J79" s="142"/>
      <c r="K79" s="144"/>
      <c r="L79" s="14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7"/>
      <c r="G80" s="144"/>
      <c r="H80" s="142"/>
      <c r="I80" s="144"/>
      <c r="J80" s="142"/>
      <c r="K80" s="144"/>
      <c r="L80" s="14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7"/>
      <c r="G81" s="144"/>
      <c r="H81" s="142"/>
      <c r="I81" s="144"/>
      <c r="J81" s="142"/>
      <c r="K81" s="144"/>
      <c r="L81" s="142"/>
    </row>
    <row r="82" spans="1:12" s="2" customFormat="1" ht="15.75" customHeight="1">
      <c r="A82" s="14"/>
      <c r="B82" s="25" t="s">
        <v>84</v>
      </c>
      <c r="C82" s="88" t="s">
        <v>100</v>
      </c>
      <c r="D82" s="32" t="str">
        <f>D75</f>
        <v>LIST</v>
      </c>
      <c r="E82" s="89" t="s">
        <v>89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7"/>
      <c r="G83" s="144"/>
      <c r="H83" s="142"/>
      <c r="I83" s="144"/>
      <c r="J83" s="142"/>
      <c r="K83" s="144"/>
      <c r="L83" s="14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7"/>
      <c r="G84" s="144"/>
      <c r="H84" s="142"/>
      <c r="I84" s="144"/>
      <c r="J84" s="142"/>
      <c r="K84" s="144"/>
      <c r="L84" s="14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7"/>
      <c r="G85" s="144"/>
      <c r="H85" s="142"/>
      <c r="I85" s="144"/>
      <c r="J85" s="142"/>
      <c r="K85" s="144"/>
      <c r="L85" s="14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7"/>
      <c r="G86" s="144"/>
      <c r="H86" s="142"/>
      <c r="I86" s="144"/>
      <c r="J86" s="142"/>
      <c r="K86" s="144"/>
      <c r="L86" s="14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7"/>
      <c r="G87" s="144"/>
      <c r="H87" s="142"/>
      <c r="I87" s="144"/>
      <c r="J87" s="142"/>
      <c r="K87" s="144"/>
      <c r="L87" s="14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8"/>
      <c r="G88" s="145"/>
      <c r="H88" s="143"/>
      <c r="I88" s="145"/>
      <c r="J88" s="143"/>
      <c r="K88" s="145"/>
      <c r="L88" s="143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LIDER!C4</f>
        <v>INTRODUCCIÓN A LOS NEGOCIOS IN</v>
      </c>
      <c r="C2" s="3"/>
      <c r="E2" s="205" t="s">
        <v>85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CONCATENATE(LIDER!C4," - ",LIDER!C6," - ",LIDER!C5)</f>
        <v>INTRODUCCIÓN A LOS NEGOCIOS IN - 2343 - TATIANA MILENA ROJAS AROCA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70</v>
      </c>
      <c r="C5" s="32" t="str">
        <f>IF('S-ASIG-01'!D5="","",'S-ASIG-01'!D5)</f>
        <v>LIST</v>
      </c>
      <c r="D5" s="35" t="s">
        <v>89</v>
      </c>
      <c r="E5" s="208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SHAYLIN YOLANDA ALVAREZ MANJARRES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VALERY DEL CARMEN MARTINEZ ALVAREZ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ANDREA CAROLINA OVIEDO CERVANTES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SARI ELENA QUESEDO HORMECHEA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VALENTINA TINOCO PATERNINA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IF('S-ASIG-01'!D12="","",'S-ASIG-01'!D12)</f>
        <v>LIST</v>
      </c>
      <c r="D12" s="35" t="s">
        <v>89</v>
      </c>
      <c r="E12" s="208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SAMUEL ESCOBAR VILLERO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MILENA PATRICIA GOMEZ BALLESTEROS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VALERI JULIANA JULIO SUAREZ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JHON JAIRO PALACIO AVILA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JEFFRY PIÑERES SUAREZ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IF('S-ASIG-01'!D19="","",'S-ASIG-01'!D19)</f>
        <v>LIST</v>
      </c>
      <c r="D19" s="35" t="s">
        <v>89</v>
      </c>
      <c r="E19" s="208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KEYNNER DAVID CORREA SUAREZ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SANTIAGO DOMINGUEZ RODRIGUEZ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HAVITT HERRERA FIGUEROA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JIMENEZ LEON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DIEGO ROMERO BASABE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IF('S-ASIG-01'!D26="","",'S-ASIG-01'!D26)</f>
        <v>LIST</v>
      </c>
      <c r="D26" s="35" t="s">
        <v>89</v>
      </c>
      <c r="E26" s="208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SANTIAGO ANDRÉS ARNEDO ESCALANTE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CAMILO NIETO ARAGON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BETZABETH MARIEL SALCEDO MERCADO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MAUREN ANDREA TORRES CASTRO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IF('S-ASIG-01'!D33="","",'S-ASIG-01'!D33)</f>
        <v>LIST</v>
      </c>
      <c r="D33" s="35" t="s">
        <v>89</v>
      </c>
      <c r="E33" s="208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MARIA CAMILA BARRERA ORTEGA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NATALIA SOFÍA CABARCAS TRUJILLO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FRANKLIN ANDRES CORTINA BLANCO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ANGELINE PITALUA TENORIO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EMILIA DEL CARMEN TABORDA ANGULO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0</v>
      </c>
      <c r="E38" s="20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IF('S-ASIG-01'!D40="","",'S-ASIG-01'!D40)</f>
        <v>LIST</v>
      </c>
      <c r="D40" s="35" t="s">
        <v>89</v>
      </c>
      <c r="E40" s="208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IF('S-ASIG-01'!D47="","",'S-ASIG-01'!D47)</f>
        <v>LIST</v>
      </c>
      <c r="D47" s="35" t="s">
        <v>89</v>
      </c>
      <c r="E47" s="208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IF('S-ASIG-01'!D54="","",'S-ASIG-01'!D54)</f>
        <v>LIST</v>
      </c>
      <c r="D54" s="35" t="s">
        <v>89</v>
      </c>
      <c r="E54" s="208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IF('S-ASIG-01'!D61="","",'S-ASIG-01'!D61)</f>
        <v>LIST</v>
      </c>
      <c r="D61" s="35" t="s">
        <v>89</v>
      </c>
      <c r="E61" s="208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IF('S-ASIG-01'!D68="","",'S-ASIG-01'!D68)</f>
        <v>LIST</v>
      </c>
      <c r="D68" s="35" t="s">
        <v>89</v>
      </c>
      <c r="E68" s="208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IF('S-ASIG-01'!D75="","",'S-ASIG-01'!D75)</f>
        <v>LIST</v>
      </c>
      <c r="D75" s="35" t="s">
        <v>89</v>
      </c>
      <c r="E75" s="208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IF('S-ASIG-01'!D82="","",'S-ASIG-01'!D82)</f>
        <v>LIST</v>
      </c>
      <c r="D82" s="35" t="s">
        <v>89</v>
      </c>
      <c r="E82" s="208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LIDER!D4</f>
        <v>COSTOS Y PRESUPUESTO</v>
      </c>
      <c r="C2" s="3"/>
      <c r="E2" s="205" t="s">
        <v>85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CONCATENATE(LIDER!D4," - ",LIDER!D6," - ",LIDER!D5)</f>
        <v>COSTOS Y PRESUPUESTO - 2216 - ISAMAR CAROLINA CASSIANI DEL TORO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70</v>
      </c>
      <c r="C5" s="34" t="str">
        <f>IF('S-ASIG-02'!D5="","",'S-ASIG-02'!D5)</f>
        <v>LIST</v>
      </c>
      <c r="D5" s="35" t="s">
        <v>89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SHAYLIN YOLANDA ALVAREZ MANJARRES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VALERY DEL CARMEN MARTINEZ ALVAREZ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ANDREA CAROLINA OVIEDO CERVANTES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SARI ELENA QUESEDO HORMECHEA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VALENTINA TINOCO PATERNINA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IF('S-ASIG-02'!D12="","",'S-ASIG-02'!D12)</f>
        <v>LIST</v>
      </c>
      <c r="D12" s="35" t="s">
        <v>89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SAMUEL ESCOBAR VILLERO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MILENA PATRICIA GOMEZ BALLESTEROS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VALERI JULIANA JULIO SUAREZ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JHON JAIRO PALACIO AVILA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JEFFRY PIÑERES SUAREZ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IF('S-ASIG-02'!D19="","",'S-ASIG-02'!D19)</f>
        <v>LIST</v>
      </c>
      <c r="D19" s="35" t="s">
        <v>89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KEYNNER DAVID CORREA SUAREZ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SANTIAGO DOMINGUEZ RODRIGUEZ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HAVITT HERRERA FIGUEROA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JIMENEZ LEON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DIEGO ROMERO BASABE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IF('S-ASIG-02'!D26="","",'S-ASIG-02'!D26)</f>
        <v>LIST</v>
      </c>
      <c r="D26" s="35" t="s">
        <v>89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SANTIAGO ANDRÉS ARNEDO ESCALANTE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CAMILO NIETO ARAGON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BETZABETH MARIEL SALCEDO MERCADO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MAUREN ANDREA TORRES CASTRO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IF('S-ASIG-02'!D33="","",'S-ASIG-02'!D33)</f>
        <v>LIST</v>
      </c>
      <c r="D33" s="35" t="s">
        <v>89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MARIA CAMILA BARRERA ORTEGA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NATALIA SOFÍA CABARCAS TRUJILLO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FRANKLIN ANDRES CORTINA BLANCO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ANGELINE PITALUA TENORIO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EMILIA DEL CARMEN TABORDA ANGULO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IF('S-ASIG-02'!D40="","",'S-ASIG-02'!D40)</f>
        <v>LIST</v>
      </c>
      <c r="D40" s="35" t="s">
        <v>89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IF('S-ASIG-02'!D47="","",'S-ASIG-02'!D47)</f>
        <v>LIST</v>
      </c>
      <c r="D47" s="35" t="s">
        <v>89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IF('S-ASIG-02'!D54="","",'S-ASIG-02'!D54)</f>
        <v>LIST</v>
      </c>
      <c r="D54" s="35" t="s">
        <v>89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IF('S-ASIG-02'!D61="","",'S-ASIG-02'!D61)</f>
        <v>LIST</v>
      </c>
      <c r="D61" s="35" t="s">
        <v>89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IF('S-ASIG-02'!D68="","",'S-ASIG-02'!D68)</f>
        <v>LIST</v>
      </c>
      <c r="D68" s="35" t="s">
        <v>89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IF('S-ASIG-02'!D75="","",'S-ASIG-02'!D75)</f>
        <v>LIST</v>
      </c>
      <c r="D75" s="35" t="s">
        <v>89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IF('S-ASIG-02'!D82="","",'S-ASIG-02'!D82)</f>
        <v>LIST</v>
      </c>
      <c r="D82" s="35" t="s">
        <v>89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45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80" zoomScaleNormal="80" workbookViewId="0">
      <pane xSplit="4" ySplit="3" topLeftCell="E33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LIDER!E4</f>
        <v>LEGISLACION EMPRESARIAL</v>
      </c>
      <c r="C2" s="3"/>
      <c r="E2" s="205" t="s">
        <v>85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CONCATENATE(LIDER!E4," - ",LIDER!E6," - ",LIDER!E5)</f>
        <v>LEGISLACION EMPRESARIAL - 2236 - GABRIEL JOSE CARRASQUILLA MARRUGO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70</v>
      </c>
      <c r="C5" s="34" t="str">
        <f>IF('S-ASIG-03'!D5="","",'S-ASIG-03'!D5)</f>
        <v>LIST</v>
      </c>
      <c r="D5" s="35" t="s">
        <v>89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SHAYLIN YOLANDA ALVAREZ MANJARRES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VALERY DEL CARMEN MARTINEZ ALVAREZ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ANDREA CAROLINA OVIEDO CERVANTES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SARI ELENA QUESEDO HORMECHEA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VALENTINA TINOCO PATERNINA</v>
      </c>
      <c r="C10" s="33" t="str">
        <f>IF('S-ASIG-03'!D10="","",'S-ASIG-03'!D10)</f>
        <v>N</v>
      </c>
      <c r="D10" s="30" t="str">
        <f>IF(B10=0,"",IF(C10="",$E$6*LIDER!$H$19+F10*LIDER!$H$20+G10*LIDER!$H$21+H10*LIDER!$H$22+I10*LIDER!$H$23+J10*LIDER!$H$24+K10*LIDER!$H$25,"N"))</f>
        <v>N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IF('S-ASIG-03'!D12="","",'S-ASIG-03'!D12)</f>
        <v>LIST</v>
      </c>
      <c r="D12" s="35" t="s">
        <v>89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SAMUEL ESCOBAR VILLERO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MILENA PATRICIA GOMEZ BALLESTEROS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VALERI JULIANA JULIO SUAREZ</v>
      </c>
      <c r="C15" s="33" t="str">
        <f>IF('S-ASIG-03'!D15="","",'S-ASIG-03'!D15)</f>
        <v>N</v>
      </c>
      <c r="D15" s="30" t="str">
        <f>IF(B15=0,"",IF(C15="",$E$13*LIDER!$H$19+F15*LIDER!$H$20+G15*LIDER!$H$21+H15*LIDER!$H$22+I15*LIDER!$H$23+J15*LIDER!$H$24+K15*LIDER!$H$25,"N"))</f>
        <v>N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JHON JAIRO PALACIO AVILA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JEFFRY PIÑERES SUAREZ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IF('S-ASIG-03'!D19="","",'S-ASIG-03'!D19)</f>
        <v>LIST</v>
      </c>
      <c r="D19" s="35" t="s">
        <v>89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KEYNNER DAVID CORREA SUAREZ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SANTIAGO DOMINGUEZ RODRIGUEZ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HAVITT HERRERA FIGUEROA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JIMENEZ LEON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DIEGO ROMERO BASABE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IF('S-ASIG-03'!D26="","",'S-ASIG-03'!D26)</f>
        <v>LIST</v>
      </c>
      <c r="D26" s="35" t="s">
        <v>89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SANTIAGO ANDRÉS ARNEDO ESCALANTE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CAMILO NIETO ARAGON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BETZABETH MARIEL SALCEDO MERCADO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MAUREN ANDREA TORRES CASTRO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IF('S-ASIG-03'!D33="","",'S-ASIG-03'!D33)</f>
        <v>LIST</v>
      </c>
      <c r="D33" s="35" t="s">
        <v>89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MARIA CAMILA BARRERA ORTEGA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NATALIA SOFÍA CABARCAS TRUJILLO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FRANKLIN ANDRES CORTINA BLANCO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ANGELINE PITALUA TENORIO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EMILIA DEL CARMEN TABORDA ANGULO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IF('S-ASIG-03'!D40="","",'S-ASIG-03'!D40)</f>
        <v>LIST</v>
      </c>
      <c r="D40" s="35" t="s">
        <v>89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IF('S-ASIG-03'!D47="","",'S-ASIG-03'!D47)</f>
        <v>LIST</v>
      </c>
      <c r="D47" s="35" t="s">
        <v>89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IF('S-ASIG-03'!D54="","",'S-ASIG-03'!D54)</f>
        <v>LIST</v>
      </c>
      <c r="D54" s="35" t="s">
        <v>89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IF('S-ASIG-03'!D61="","",'S-ASIG-03'!D61)</f>
        <v>LIST</v>
      </c>
      <c r="D61" s="35" t="s">
        <v>89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IF('S-ASIG-03'!D68="","",'S-ASIG-03'!D68)</f>
        <v>LIST</v>
      </c>
      <c r="D68" s="35" t="s">
        <v>89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IF('S-ASIG-03'!D75="","",'S-ASIG-03'!D75)</f>
        <v>LIST</v>
      </c>
      <c r="D75" s="35" t="s">
        <v>89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IF('S-ASIG-03'!D82="","",'S-ASIG-03'!D82)</f>
        <v>LIST</v>
      </c>
      <c r="D82" s="35" t="s">
        <v>89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45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LIDER!F4</f>
        <v>SEMINARIO INVESTIGATIVO</v>
      </c>
      <c r="C2" s="3"/>
      <c r="E2" s="205" t="s">
        <v>85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CONCATENATE(LIDER!F4," - ",LIDER!F6," - ",LIDER!F5)</f>
        <v>SEMINARIO INVESTIGATIVO - 1931 - MAYERLY PARGA LOZANO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70</v>
      </c>
      <c r="C5" s="34" t="str">
        <f>IF('S-ASIG-04'!D5="","",'S-ASIG-04'!D5)</f>
        <v>LIST</v>
      </c>
      <c r="D5" s="35" t="s">
        <v>89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SHAYLIN YOLANDA ALVAREZ MANJARRES</v>
      </c>
      <c r="C6" s="33" t="str">
        <f>IF('S-ASIG-04'!D6="","",'S-ASIG-04'!D6)</f>
        <v>N</v>
      </c>
      <c r="D6" s="30" t="str">
        <f>IF(B6=0,"",IF(C6="",$E$6*LIDER!$H$19+F6*LIDER!$H$20+G6*LIDER!$H$21+H6*LIDER!$H$22+I6*LIDER!$H$23+J6*LIDER!$H$24+K6*LIDER!$H$25,"N"))</f>
        <v>N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VALERY DEL CARMEN MARTINEZ ALVAREZ</v>
      </c>
      <c r="C7" s="33" t="str">
        <f>IF('S-ASIG-04'!D7="","",'S-ASIG-04'!D7)</f>
        <v>N</v>
      </c>
      <c r="D7" s="30" t="str">
        <f>IF(B7=0,"",IF(C7="",$E$6*LIDER!$H$19+F7*LIDER!$H$20+G7*LIDER!$H$21+H7*LIDER!$H$22+I7*LIDER!$H$23+J7*LIDER!$H$24+K7*LIDER!$H$25,"N"))</f>
        <v>N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ANDREA CAROLINA OVIEDO CERVANTES</v>
      </c>
      <c r="C8" s="33" t="str">
        <f>IF('S-ASIG-04'!D8="","",'S-ASIG-04'!D8)</f>
        <v>N</v>
      </c>
      <c r="D8" s="30" t="str">
        <f>IF(B8=0,"",IF(C8="",$E$6*LIDER!$H$19+F8*LIDER!$H$20+G8*LIDER!$H$21+H8*LIDER!$H$22+I8*LIDER!$H$23+J8*LIDER!$H$24+K8*LIDER!$H$25,"N"))</f>
        <v>N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SARI ELENA QUESEDO HORMECHEA</v>
      </c>
      <c r="C9" s="33" t="str">
        <f>IF('S-ASIG-04'!D9="","",'S-ASIG-04'!D9)</f>
        <v>N</v>
      </c>
      <c r="D9" s="30" t="str">
        <f>IF(B9=0,"",IF(C9="",$E$6*LIDER!$H$19+F9*LIDER!$H$20+G9*LIDER!$H$21+H9*LIDER!$H$22+I9*LIDER!$H$23+J9*LIDER!$H$24+K9*LIDER!$H$25,"N"))</f>
        <v>N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VALENTINA TINOCO PATERNINA</v>
      </c>
      <c r="C10" s="33" t="str">
        <f>IF('S-ASIG-04'!D10="","",'S-ASIG-04'!D10)</f>
        <v>N</v>
      </c>
      <c r="D10" s="30" t="str">
        <f>IF(B10=0,"",IF(C10="",$E$6*LIDER!$H$19+F10*LIDER!$H$20+G10*LIDER!$H$21+H10*LIDER!$H$22+I10*LIDER!$H$23+J10*LIDER!$H$24+K10*LIDER!$H$25,"N"))</f>
        <v>N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IF('S-ASIG-04'!D12="","",'S-ASIG-04'!D12)</f>
        <v>LIST</v>
      </c>
      <c r="D12" s="35" t="s">
        <v>89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SAMUEL ESCOBAR VILLERO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MILENA PATRICIA GOMEZ BALLESTEROS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VALERI JULIANA JULIO SUAREZ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JHON JAIRO PALACIO AVILA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JEFFRY PIÑERES SUAREZ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IF('S-ASIG-04'!D19="","",'S-ASIG-04'!D19)</f>
        <v>LIST</v>
      </c>
      <c r="D19" s="35" t="s">
        <v>89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KEYNNER DAVID CORREA SUAREZ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SANTIAGO DOMINGUEZ RODRIGUEZ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HAVITT HERRERA FIGUEROA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JIMENEZ LEON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DIEGO ROMERO BASABE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IF('S-ASIG-04'!D26="","",'S-ASIG-04'!D26)</f>
        <v>LIST</v>
      </c>
      <c r="D26" s="35" t="s">
        <v>89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SANTIAGO ANDRÉS ARNEDO ESCALANTE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CAMILO NIETO ARAGON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BETZABETH MARIEL SALCEDO MERCADO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MAUREN ANDREA TORRES CASTRO</v>
      </c>
      <c r="C30" s="33" t="str">
        <f>IF('S-ASIG-04'!D30="","",'S-ASIG-04'!D30)</f>
        <v>N</v>
      </c>
      <c r="D30" s="30" t="str">
        <f>IF(B30=0,"",IF(C30="",$E$27*LIDER!$H$19+F30*LIDER!$H$20+G30*LIDER!$H$21+H30*LIDER!$H$22+I30*LIDER!$H$23+J30*LIDER!$H$24+K30*LIDER!$H$25,"N"))</f>
        <v>N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IF('S-ASIG-04'!D33="","",'S-ASIG-04'!D33)</f>
        <v>LIST</v>
      </c>
      <c r="D33" s="35" t="s">
        <v>89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MARIA CAMILA BARRERA ORTEGA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NATALIA SOFÍA CABARCAS TRUJILLO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FRANKLIN ANDRES CORTINA BLANCO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ANGELINE PITALUA TENORIO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EMILIA DEL CARMEN TABORDA ANGULO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IF('S-ASIG-04'!D40="","",'S-ASIG-04'!D40)</f>
        <v>LIST</v>
      </c>
      <c r="D40" s="35" t="s">
        <v>89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IF('S-ASIG-04'!D47="","",'S-ASIG-04'!D47)</f>
        <v>LIST</v>
      </c>
      <c r="D47" s="35" t="s">
        <v>89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IF('S-ASIG-04'!D54="","",'S-ASIG-04'!D54)</f>
        <v>LIST</v>
      </c>
      <c r="D54" s="35" t="s">
        <v>89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IF('S-ASIG-04'!D61="","",'S-ASIG-04'!D61)</f>
        <v>LIST</v>
      </c>
      <c r="D61" s="35" t="s">
        <v>89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IF('S-ASIG-04'!D68="","",'S-ASIG-04'!D68)</f>
        <v>LIST</v>
      </c>
      <c r="D68" s="35" t="s">
        <v>89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IF('S-ASIG-04'!D75="","",'S-ASIG-04'!D75)</f>
        <v>LIST</v>
      </c>
      <c r="D75" s="35" t="s">
        <v>89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IF('S-ASIG-04'!D82="","",'S-ASIG-04'!D82)</f>
        <v>LIST</v>
      </c>
      <c r="D82" s="35" t="s">
        <v>89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45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LIDER!G4</f>
        <v>ECONOMÍA GENERAL</v>
      </c>
      <c r="C2" s="3"/>
      <c r="E2" s="205" t="s">
        <v>85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CONCATENATE(LIDER!G4," - ",LIDER!G6," - ",LIDER!G5)</f>
        <v>ECONOMÍA GENERAL - 1420 - GENIS PATRON ANTEQUERA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70</v>
      </c>
      <c r="C5" s="34" t="str">
        <f>IF('S-ASIG-05'!D5="","",'S-ASIG-05'!D5)</f>
        <v>LIST</v>
      </c>
      <c r="D5" s="35" t="s">
        <v>89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SHAYLIN YOLANDA ALVAREZ MANJARRES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VALERY DEL CARMEN MARTINEZ ALVAREZ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ANDREA CAROLINA OVIEDO CERVANTES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SARI ELENA QUESEDO HORMECHEA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VALENTINA TINOCO PATERNINA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IF('S-ASIG-05'!D12="","",'S-ASIG-05'!D12)</f>
        <v>LIST</v>
      </c>
      <c r="D12" s="35" t="s">
        <v>89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SAMUEL ESCOBAR VILLERO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MILENA PATRICIA GOMEZ BALLESTEROS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VALERI JULIANA JULIO SUAREZ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JHON JAIRO PALACIO AVILA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JEFFRY PIÑERES SUAREZ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IF('S-ASIG-05'!D19="","",'S-ASIG-05'!D19)</f>
        <v>LIST</v>
      </c>
      <c r="D19" s="35" t="s">
        <v>89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KEYNNER DAVID CORREA SUAREZ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SANTIAGO DOMINGUEZ RODRIGUEZ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HAVITT HERRERA FIGUEROA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JIMENEZ LEON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DIEGO ROMERO BASABE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IF('S-ASIG-05'!D26="","",'S-ASIG-05'!D26)</f>
        <v>LIST</v>
      </c>
      <c r="D26" s="35" t="s">
        <v>89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SANTIAGO ANDRÉS ARNEDO ESCALANTE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CAMILO NIETO ARAGON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BETZABETH MARIEL SALCEDO MERCADO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MAUREN ANDREA TORRES CASTRO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IF('S-ASIG-05'!D33="","",'S-ASIG-05'!D33)</f>
        <v>LIST</v>
      </c>
      <c r="D33" s="35" t="s">
        <v>89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MARIA CAMILA BARRERA ORTEGA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NATALIA SOFÍA CABARCAS TRUJILLO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FRANKLIN ANDRES CORTINA BLANCO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ANGELINE PITALUA TENORIO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EMILIA DEL CARMEN TABORDA ANGULO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IF('S-ASIG-05'!D40="","",'S-ASIG-05'!D40)</f>
        <v>LIST</v>
      </c>
      <c r="D40" s="35" t="s">
        <v>89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IF('S-ASIG-05'!D47="","",'S-ASIG-05'!D47)</f>
        <v>LIST</v>
      </c>
      <c r="D47" s="35" t="s">
        <v>89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IF('S-ASIG-05'!D54="","",'S-ASIG-05'!D54)</f>
        <v>LIST</v>
      </c>
      <c r="D54" s="35" t="s">
        <v>89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IF('S-ASIG-05'!D61="","",'S-ASIG-05'!D61)</f>
        <v>LIST</v>
      </c>
      <c r="D61" s="35" t="s">
        <v>89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IF('S-ASIG-05'!D68="","",'S-ASIG-05'!D68)</f>
        <v>LIST</v>
      </c>
      <c r="D68" s="35" t="s">
        <v>89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IF('S-ASIG-05'!D75="","",'S-ASIG-05'!D75)</f>
        <v>LIST</v>
      </c>
      <c r="D75" s="35" t="s">
        <v>89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IF('S-ASIG-05'!D82="","",'S-ASIG-05'!D82)</f>
        <v>LIST</v>
      </c>
      <c r="D82" s="35" t="s">
        <v>89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45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LIDER!H4</f>
        <v>PROCESO ADMINISTRATIVO</v>
      </c>
      <c r="C2" s="3"/>
      <c r="E2" s="205" t="s">
        <v>85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CONCATENATE(LIDER!H4," - ",LIDER!H6," - ",LIDER!H5)</f>
        <v>PROCESO ADMINISTRATIVO - 1333 - AMALIO SEGUNDO OTERO TAPIA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70</v>
      </c>
      <c r="C5" s="34" t="str">
        <f>IF('S-ASIG-06'!D5="","",'S-ASIG-06'!D5)</f>
        <v>LIST</v>
      </c>
      <c r="D5" s="35" t="s">
        <v>89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SHAYLIN YOLANDA ALVAREZ MANJARRES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VALERY DEL CARMEN MARTINEZ ALVAREZ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ANDREA CAROLINA OVIEDO CERVANTES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SARI ELENA QUESEDO HORMECHEA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VALENTINA TINOCO PATERNINA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IF('S-ASIG-06'!D12="","",'S-ASIG-06'!D12)</f>
        <v>LIST</v>
      </c>
      <c r="D12" s="35" t="s">
        <v>89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SAMUEL ESCOBAR VILLERO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MILENA PATRICIA GOMEZ BALLESTEROS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VALERI JULIANA JULIO SUAREZ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JHON JAIRO PALACIO AVILA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JEFFRY PIÑERES SUAREZ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IF('S-ASIG-06'!D19="","",'S-ASIG-06'!D19)</f>
        <v>LIST</v>
      </c>
      <c r="D19" s="35" t="s">
        <v>89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KEYNNER DAVID CORREA SUAREZ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SANTIAGO DOMINGUEZ RODRIGUEZ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HAVITT HERRERA FIGUEROA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JIMENEZ LEON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DIEGO ROMERO BASABE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IF('S-ASIG-06'!D26="","",'S-ASIG-06'!D26)</f>
        <v>LIST</v>
      </c>
      <c r="D26" s="35" t="s">
        <v>89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SANTIAGO ANDRÉS ARNEDO ESCALANTE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CAMILO NIETO ARAGON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BETZABETH MARIEL SALCEDO MERCADO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MAUREN ANDREA TORRES CASTRO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IF('S-ASIG-06'!D33="","",'S-ASIG-06'!D33)</f>
        <v>LIST</v>
      </c>
      <c r="D33" s="35" t="s">
        <v>89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MARIA CAMILA BARRERA ORTEGA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NATALIA SOFÍA CABARCAS TRUJILLO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FRANKLIN ANDRES CORTINA BLANCO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ANGELINE PITALUA TENORIO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EMILIA DEL CARMEN TABORDA ANGULO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IF('S-ASIG-06'!D40="","",'S-ASIG-06'!D40)</f>
        <v>LIST</v>
      </c>
      <c r="D40" s="35" t="s">
        <v>89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IF('S-ASIG-06'!D47="","",'S-ASIG-06'!D47)</f>
        <v>LIST</v>
      </c>
      <c r="D47" s="35" t="s">
        <v>89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IF('S-ASIG-06'!D54="","",'S-ASIG-06'!D54)</f>
        <v>LIST</v>
      </c>
      <c r="D54" s="35" t="s">
        <v>89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IF('S-ASIG-06'!D61="","",'S-ASIG-06'!D61)</f>
        <v>LIST</v>
      </c>
      <c r="D61" s="35" t="s">
        <v>89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IF('S-ASIG-06'!D68="","",'S-ASIG-06'!D68)</f>
        <v>LIST</v>
      </c>
      <c r="D68" s="35" t="s">
        <v>89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IF('S-ASIG-06'!D75="","",'S-ASIG-06'!D75)</f>
        <v>LIST</v>
      </c>
      <c r="D75" s="35" t="s">
        <v>89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IF('S-ASIG-06'!D82="","",'S-ASIG-06'!D82)</f>
        <v>LIST</v>
      </c>
      <c r="D82" s="35" t="s">
        <v>89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45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LIDER!I4</f>
        <v>0</v>
      </c>
      <c r="C2" s="3"/>
      <c r="E2" s="205" t="s">
        <v>85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CONCATENATE(LIDER!I4," - ",LIDER!I6," - ",LIDER!I5)</f>
        <v xml:space="preserve"> -  - 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70</v>
      </c>
      <c r="C5" s="34" t="str">
        <f>IF('S-ASIG-07'!D5="","",'S-ASIG-07'!D5)</f>
        <v>LIST</v>
      </c>
      <c r="D5" s="35" t="s">
        <v>89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SHAYLIN YOLANDA ALVAREZ MANJARRES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VALERY DEL CARMEN MARTINEZ ALVAREZ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ANDREA CAROLINA OVIEDO CERVANTES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SARI ELENA QUESEDO HORMECHEA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VALENTINA TINOCO PATERNINA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IF('S-ASIG-07'!D12="","",'S-ASIG-07'!D12)</f>
        <v>LIST</v>
      </c>
      <c r="D12" s="35" t="s">
        <v>89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SAMUEL ESCOBAR VILLERO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MILENA PATRICIA GOMEZ BALLESTEROS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VALERI JULIANA JULIO SUAREZ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JHON JAIRO PALACIO AVILA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JEFFRY PIÑERES SUAREZ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IF('S-ASIG-07'!D19="","",'S-ASIG-07'!D19)</f>
        <v>LIST</v>
      </c>
      <c r="D19" s="35" t="s">
        <v>89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KEYNNER DAVID CORREA SUAREZ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SANTIAGO DOMINGUEZ RODRIGUEZ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HAVITT HERRERA FIGUEROA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JIMENEZ LEON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DIEGO ROMERO BASABE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IF('S-ASIG-07'!D26="","",'S-ASIG-07'!D26)</f>
        <v>LIST</v>
      </c>
      <c r="D26" s="35" t="s">
        <v>89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SANTIAGO ANDRÉS ARNEDO ESCALANTE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CAMILO NIETO ARAGON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BETZABETH MARIEL SALCEDO MERCADO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MAUREN ANDREA TORRES CASTRO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IF('S-ASIG-07'!D33="","",'S-ASIG-07'!D33)</f>
        <v>LIST</v>
      </c>
      <c r="D33" s="35" t="s">
        <v>89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MARIA CAMILA BARRERA ORTEGA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NATALIA SOFÍA CABARCAS TRUJILLO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FRANKLIN ANDRES CORTINA BLANCO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ANGELINE PITALUA TENORIO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EMILIA DEL CARMEN TABORDA ANGULO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IF('S-ASIG-07'!D40="","",'S-ASIG-07'!D40)</f>
        <v>LIST</v>
      </c>
      <c r="D40" s="35" t="s">
        <v>89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IF('S-ASIG-07'!D47="","",'S-ASIG-07'!D47)</f>
        <v>LIST</v>
      </c>
      <c r="D47" s="35" t="s">
        <v>89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IF('S-ASIG-07'!D54="","",'S-ASIG-07'!D54)</f>
        <v>LIST</v>
      </c>
      <c r="D54" s="35" t="s">
        <v>89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IF('S-ASIG-07'!D61="","",'S-ASIG-07'!D61)</f>
        <v>LIST</v>
      </c>
      <c r="D61" s="35" t="s">
        <v>89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IF('S-ASIG-07'!D68="","",'S-ASIG-07'!D68)</f>
        <v>LIST</v>
      </c>
      <c r="D68" s="35" t="s">
        <v>89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IF('S-ASIG-07'!D75="","",'S-ASIG-07'!D75)</f>
        <v>LIST</v>
      </c>
      <c r="D75" s="35" t="s">
        <v>89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IF('S-ASIG-07'!D82="","",'S-ASIG-07'!D82)</f>
        <v>LIST</v>
      </c>
      <c r="D82" s="35" t="s">
        <v>89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45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9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7" t="str">
        <f>LIDER!B2</f>
        <v>TECNOLOGÍA EN GESTIÓN DE NEGOCIOS INTERN</v>
      </c>
      <c r="H1" s="217"/>
      <c r="I1" s="217"/>
      <c r="J1" s="217"/>
      <c r="K1" s="217"/>
      <c r="L1" s="217"/>
      <c r="M1" s="217"/>
      <c r="N1" s="216" t="str">
        <f>LIDER!E2</f>
        <v>SEMESTRE:</v>
      </c>
      <c r="O1" s="216"/>
      <c r="P1" s="44" t="str">
        <f>LIDER!F2</f>
        <v>SEM-02</v>
      </c>
      <c r="Q1" s="43" t="str">
        <f>LIDER!G2</f>
        <v>SECCIÓN:</v>
      </c>
      <c r="R1" s="44">
        <f>LIDER!H2</f>
        <v>2</v>
      </c>
      <c r="S1" s="42"/>
      <c r="T1" s="42"/>
      <c r="U1" s="45"/>
    </row>
    <row r="2" spans="1:22" ht="20.100000000000001" customHeight="1" thickBot="1">
      <c r="G2" s="213" t="s">
        <v>102</v>
      </c>
      <c r="H2" s="214"/>
      <c r="I2" s="214"/>
      <c r="J2" s="214"/>
      <c r="K2" s="214"/>
      <c r="L2" s="214"/>
      <c r="M2" s="215"/>
      <c r="N2" s="2"/>
      <c r="O2" s="218" t="s">
        <v>103</v>
      </c>
      <c r="P2" s="219"/>
      <c r="Q2" s="219"/>
      <c r="R2" s="219"/>
      <c r="S2" s="219"/>
      <c r="T2" s="219"/>
      <c r="U2" s="220"/>
    </row>
    <row r="3" spans="1:22" ht="20.100000000000001" customHeight="1" thickBot="1">
      <c r="G3" s="48" t="str">
        <f>CONCATENATE("N° : ",LIDER!C6)</f>
        <v>N° : 2343</v>
      </c>
      <c r="H3" s="49" t="str">
        <f>CONCATENATE("N° : ",LIDER!D6)</f>
        <v>N° : 2216</v>
      </c>
      <c r="I3" s="49" t="str">
        <f>CONCATENATE("N° : ",LIDER!E6)</f>
        <v>N° : 2236</v>
      </c>
      <c r="J3" s="49" t="str">
        <f>CONCATENATE("N° : ",LIDER!F6)</f>
        <v>N° : 1931</v>
      </c>
      <c r="K3" s="49" t="str">
        <f>CONCATENATE("N° : ",LIDER!G6)</f>
        <v>N° : 1420</v>
      </c>
      <c r="L3" s="49" t="str">
        <f>CONCATENATE("N° : ",LIDER!H6)</f>
        <v>N° : 1333</v>
      </c>
      <c r="M3" s="50" t="str">
        <f>CONCATENATE("N° : ",LIDER!I6)</f>
        <v xml:space="preserve">N° : </v>
      </c>
      <c r="O3" s="48" t="str">
        <f>G3</f>
        <v>N° : 2343</v>
      </c>
      <c r="P3" s="49" t="str">
        <f t="shared" ref="P3:U3" si="0">H3</f>
        <v>N° : 2216</v>
      </c>
      <c r="Q3" s="49" t="str">
        <f t="shared" si="0"/>
        <v>N° : 2236</v>
      </c>
      <c r="R3" s="49" t="str">
        <f t="shared" si="0"/>
        <v>N° : 1931</v>
      </c>
      <c r="S3" s="49" t="str">
        <f t="shared" si="0"/>
        <v>N° : 1420</v>
      </c>
      <c r="T3" s="49" t="str">
        <f t="shared" si="0"/>
        <v>N° : 1333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104</v>
      </c>
      <c r="D4" s="54" t="s">
        <v>105</v>
      </c>
      <c r="E4" s="55" t="s">
        <v>106</v>
      </c>
      <c r="G4" s="56" t="str">
        <f>MID(LIDER!C4,1,9)</f>
        <v>INTRODUCC</v>
      </c>
      <c r="H4" s="57" t="str">
        <f>MID(LIDER!D4,1,9)</f>
        <v xml:space="preserve">COSTOS Y </v>
      </c>
      <c r="I4" s="57" t="str">
        <f>MID(LIDER!E4,1,9)</f>
        <v>LEGISLACI</v>
      </c>
      <c r="J4" s="57" t="str">
        <f>MID(LIDER!F4,1,9)</f>
        <v>SEMINARIO</v>
      </c>
      <c r="K4" s="57" t="str">
        <f>MID(LIDER!G4,1,9)</f>
        <v xml:space="preserve">ECONOMÍA </v>
      </c>
      <c r="L4" s="57" t="str">
        <f>MID(LIDER!H4,1,9)</f>
        <v>PROCESO A</v>
      </c>
      <c r="M4" s="58" t="str">
        <f>MID(LIDER!I4,1,9)</f>
        <v/>
      </c>
      <c r="N4" s="59" t="s">
        <v>107</v>
      </c>
      <c r="O4" s="60" t="str">
        <f t="shared" ref="O4:U4" si="1">G4</f>
        <v>INTRODUCC</v>
      </c>
      <c r="P4" s="61" t="str">
        <f t="shared" si="1"/>
        <v xml:space="preserve">COSTOS Y </v>
      </c>
      <c r="Q4" s="61" t="str">
        <f t="shared" si="1"/>
        <v>LEGISLACI</v>
      </c>
      <c r="R4" s="61" t="str">
        <f t="shared" si="1"/>
        <v>SEMINARIO</v>
      </c>
      <c r="S4" s="61" t="str">
        <f t="shared" si="1"/>
        <v xml:space="preserve">ECONOMÍA </v>
      </c>
      <c r="T4" s="61" t="str">
        <f t="shared" si="1"/>
        <v>PROCESO A</v>
      </c>
      <c r="U4" s="62" t="str">
        <f t="shared" si="1"/>
        <v/>
      </c>
      <c r="V4" s="59" t="s">
        <v>108</v>
      </c>
    </row>
    <row r="5" spans="1:22" ht="15" customHeight="1">
      <c r="A5" s="12">
        <v>1</v>
      </c>
      <c r="B5" s="63" t="str">
        <f>LIDER!C9</f>
        <v>SHAYLIN YOLANDA ALVAREZ MANJARRES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4.0649999999999995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3.9999999999999996</v>
      </c>
      <c r="H5" s="65">
        <f>IF(B5=0,"",IFERROR(VLOOKUP(B5,'S-ASIG-02'!$B$5:$E$88,4,0),0))</f>
        <v>0</v>
      </c>
      <c r="I5" s="65">
        <f>IF(B5=0,"",IFERROR(VLOOKUP(B5,'S-ASIG-03'!$B$5:$E$88,4,0),0))</f>
        <v>3.9999999999999996</v>
      </c>
      <c r="J5" s="65" t="str">
        <f>IF(B5=0,"",IFERROR(VLOOKUP(B5,'S-ASIG-04'!$B$5:$E$88,4,0),0))</f>
        <v>N</v>
      </c>
      <c r="K5" s="65">
        <f>IF(B5=0,"",IFERROR(VLOOKUP(B5,'S-ASIG-05'!$B$5:$E$88,4,0),0))</f>
        <v>4.0999999999999996</v>
      </c>
      <c r="L5" s="65">
        <f>IF(B5=0,"",IFERROR(VLOOKUP(B5,'S-ASIG-06'!$B$5:$E$88,4,0),0))</f>
        <v>4.16</v>
      </c>
      <c r="M5" s="66">
        <f>IF(B5=0,"",IFERROR(VLOOKUP(B5,'S-ASIG-07'!$B$5:$E$88,4,0),0))</f>
        <v>0</v>
      </c>
      <c r="N5" s="68" t="s">
        <v>109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 t="str">
        <f>IF(B5=0,"",IFERROR(VLOOKUP(B5,'T-ASIG-04'!$B$5:$D$88,3,0),0))</f>
        <v>N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110</v>
      </c>
    </row>
    <row r="6" spans="1:22" ht="15" customHeight="1">
      <c r="A6" s="12">
        <v>2</v>
      </c>
      <c r="B6" s="70" t="str">
        <f>LIDER!C10</f>
        <v>VALERY DEL CARMEN MARTINEZ ALVAREZ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4.0649999999999995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3.9999999999999996</v>
      </c>
      <c r="H6" s="72">
        <f>IF(B6=0,"",IFERROR(VLOOKUP(B6,'S-ASIG-02'!$B$5:$E$88,4,0),0))</f>
        <v>0</v>
      </c>
      <c r="I6" s="72">
        <f>IF(B6=0,"",IFERROR(VLOOKUP(B6,'S-ASIG-03'!$B$5:$E$88,4,0),0))</f>
        <v>3.9999999999999996</v>
      </c>
      <c r="J6" s="72" t="str">
        <f>IF(B6=0,"",IFERROR(VLOOKUP(B6,'S-ASIG-04'!$B$5:$E$88,4,0),0))</f>
        <v>N</v>
      </c>
      <c r="K6" s="72">
        <f>IF(B6=0,"",IFERROR(VLOOKUP(B6,'S-ASIG-05'!$B$5:$E$88,4,0),0))</f>
        <v>4.0999999999999996</v>
      </c>
      <c r="L6" s="72">
        <f>IF(B6=0,"",IFERROR(VLOOKUP(B6,'S-ASIG-06'!$B$5:$E$88,4,0),0))</f>
        <v>4.16</v>
      </c>
      <c r="M6" s="73">
        <f>IF(B6=0,"",IFERROR(VLOOKUP(B6,'S-ASIG-07'!$B$5:$E$88,4,0),0))</f>
        <v>0</v>
      </c>
      <c r="N6" s="68" t="s">
        <v>109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 t="str">
        <f>IF(B6=0,"",IFERROR(VLOOKUP(B6,'T-ASIG-04'!$B$5:$D$88,3,0),0))</f>
        <v>N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110</v>
      </c>
    </row>
    <row r="7" spans="1:22" ht="15" customHeight="1">
      <c r="A7" s="12">
        <v>3</v>
      </c>
      <c r="B7" s="70" t="str">
        <f>LIDER!C11</f>
        <v>ANDREA CAROLINA OVIEDO CERVANTES</v>
      </c>
      <c r="C7" s="64" t="str">
        <f>IF(B7=0,"",IFERROR(VLOOKUP(B7,'S-ASIG-01'!$B$5:$E$88,2,0),0))</f>
        <v>G01</v>
      </c>
      <c r="D7" s="65">
        <f t="shared" si="2"/>
        <v>4.0649999999999995</v>
      </c>
      <c r="E7" s="66">
        <f t="shared" si="3"/>
        <v>0</v>
      </c>
      <c r="F7" s="47"/>
      <c r="G7" s="71">
        <f>IF(B7=0,"",IFERROR(VLOOKUP(B7,'S-ASIG-01'!$B$5:$E$88,4,0),0))</f>
        <v>3.9999999999999996</v>
      </c>
      <c r="H7" s="72">
        <f>IF(B7=0,"",IFERROR(VLOOKUP(B7,'S-ASIG-02'!$B$5:$E$88,4,0),0))</f>
        <v>0</v>
      </c>
      <c r="I7" s="72">
        <f>IF(B7=0,"",IFERROR(VLOOKUP(B7,'S-ASIG-03'!$B$5:$E$88,4,0),0))</f>
        <v>3.9999999999999996</v>
      </c>
      <c r="J7" s="72" t="str">
        <f>IF(B7=0,"",IFERROR(VLOOKUP(B7,'S-ASIG-04'!$B$5:$E$88,4,0),0))</f>
        <v>N</v>
      </c>
      <c r="K7" s="72">
        <f>IF(B7=0,"",IFERROR(VLOOKUP(B7,'S-ASIG-05'!$B$5:$E$88,4,0),0))</f>
        <v>4.0999999999999996</v>
      </c>
      <c r="L7" s="72">
        <f>IF(B7=0,"",IFERROR(VLOOKUP(B7,'S-ASIG-06'!$B$5:$E$88,4,0),0))</f>
        <v>4.16</v>
      </c>
      <c r="M7" s="73">
        <f>IF(B7=0,"",IFERROR(VLOOKUP(B7,'S-ASIG-07'!$B$5:$E$88,4,0),0))</f>
        <v>0</v>
      </c>
      <c r="N7" s="68" t="s">
        <v>109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 t="str">
        <f>IF(B7=0,"",IFERROR(VLOOKUP(B7,'T-ASIG-04'!$B$5:$D$88,3,0),0))</f>
        <v>N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110</v>
      </c>
    </row>
    <row r="8" spans="1:22" ht="15" customHeight="1">
      <c r="A8" s="12">
        <v>4</v>
      </c>
      <c r="B8" s="70" t="str">
        <f>LIDER!C12</f>
        <v>SARI ELENA QUESEDO HORMECHEA</v>
      </c>
      <c r="C8" s="64" t="str">
        <f>IF(B8=0,"",IFERROR(VLOOKUP(B8,'S-ASIG-01'!$B$5:$E$88,2,0),0))</f>
        <v>G01</v>
      </c>
      <c r="D8" s="65">
        <f t="shared" si="2"/>
        <v>4.0649999999999995</v>
      </c>
      <c r="E8" s="66">
        <f t="shared" si="3"/>
        <v>0</v>
      </c>
      <c r="F8" s="47"/>
      <c r="G8" s="71">
        <f>IF(B8=0,"",IFERROR(VLOOKUP(B8,'S-ASIG-01'!$B$5:$E$88,4,0),0))</f>
        <v>3.9999999999999996</v>
      </c>
      <c r="H8" s="72">
        <f>IF(B8=0,"",IFERROR(VLOOKUP(B8,'S-ASIG-02'!$B$5:$E$88,4,0),0))</f>
        <v>0</v>
      </c>
      <c r="I8" s="72">
        <f>IF(B8=0,"",IFERROR(VLOOKUP(B8,'S-ASIG-03'!$B$5:$E$88,4,0),0))</f>
        <v>3.9999999999999996</v>
      </c>
      <c r="J8" s="72" t="str">
        <f>IF(B8=0,"",IFERROR(VLOOKUP(B8,'S-ASIG-04'!$B$5:$E$88,4,0),0))</f>
        <v>N</v>
      </c>
      <c r="K8" s="72">
        <f>IF(B8=0,"",IFERROR(VLOOKUP(B8,'S-ASIG-05'!$B$5:$E$88,4,0),0))</f>
        <v>4.0999999999999996</v>
      </c>
      <c r="L8" s="72">
        <f>IF(B8=0,"",IFERROR(VLOOKUP(B8,'S-ASIG-06'!$B$5:$E$88,4,0),0))</f>
        <v>4.16</v>
      </c>
      <c r="M8" s="73">
        <f>IF(B8=0,"",IFERROR(VLOOKUP(B8,'S-ASIG-07'!$B$5:$E$88,4,0),0))</f>
        <v>0</v>
      </c>
      <c r="N8" s="68" t="s">
        <v>109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 t="str">
        <f>IF(B8=0,"",IFERROR(VLOOKUP(B8,'T-ASIG-04'!$B$5:$D$88,3,0),0))</f>
        <v>N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110</v>
      </c>
    </row>
    <row r="9" spans="1:22" ht="15" customHeight="1">
      <c r="A9" s="12">
        <v>5</v>
      </c>
      <c r="B9" s="70" t="str">
        <f>LIDER!C13</f>
        <v>VALENTINA TINOCO PATERNINA</v>
      </c>
      <c r="C9" s="64" t="str">
        <f>IF(B9=0,"",IFERROR(VLOOKUP(B9,'S-ASIG-01'!$B$5:$E$88,2,0),0))</f>
        <v>G01</v>
      </c>
      <c r="D9" s="65">
        <f t="shared" si="2"/>
        <v>4.0866666666666669</v>
      </c>
      <c r="E9" s="66">
        <f t="shared" si="3"/>
        <v>0</v>
      </c>
      <c r="F9" s="47"/>
      <c r="G9" s="71">
        <f>IF(B9=0,"",IFERROR(VLOOKUP(B9,'S-ASIG-01'!$B$5:$E$88,4,0),0))</f>
        <v>3.9999999999999996</v>
      </c>
      <c r="H9" s="72">
        <f>IF(B9=0,"",IFERROR(VLOOKUP(B9,'S-ASIG-02'!$B$5:$E$88,4,0),0))</f>
        <v>0</v>
      </c>
      <c r="I9" s="72" t="str">
        <f>IF(B9=0,"",IFERROR(VLOOKUP(B9,'S-ASIG-03'!$B$5:$E$88,4,0),0))</f>
        <v>N</v>
      </c>
      <c r="J9" s="72" t="str">
        <f>IF(B9=0,"",IFERROR(VLOOKUP(B9,'S-ASIG-04'!$B$5:$E$88,4,0),0))</f>
        <v>N</v>
      </c>
      <c r="K9" s="72">
        <f>IF(B9=0,"",IFERROR(VLOOKUP(B9,'S-ASIG-05'!$B$5:$E$88,4,0),0))</f>
        <v>4.0999999999999996</v>
      </c>
      <c r="L9" s="72">
        <f>IF(B9=0,"",IFERROR(VLOOKUP(B9,'S-ASIG-06'!$B$5:$E$88,4,0),0))</f>
        <v>4.16</v>
      </c>
      <c r="M9" s="73">
        <f>IF(B9=0,"",IFERROR(VLOOKUP(B9,'S-ASIG-07'!$B$5:$E$88,4,0),0))</f>
        <v>0</v>
      </c>
      <c r="N9" s="68" t="s">
        <v>109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 t="str">
        <f>IF(B9=0,"",IFERROR(VLOOKUP(B9,'T-ASIG-03'!$B$5:$D$88,3,0),0))</f>
        <v>N</v>
      </c>
      <c r="R9" s="72" t="str">
        <f>IF(B9=0,"",IFERROR(VLOOKUP(B9,'T-ASIG-04'!$B$5:$D$88,3,0),0))</f>
        <v>N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110</v>
      </c>
    </row>
    <row r="10" spans="1:22" ht="15" customHeight="1">
      <c r="A10" s="12">
        <v>6</v>
      </c>
      <c r="B10" s="70" t="str">
        <f>LIDER!C14</f>
        <v>SAMUEL ESCOBAR VILLERO</v>
      </c>
      <c r="C10" s="64" t="str">
        <f>IF(B10=0,"",IFERROR(VLOOKUP(B10,'S-ASIG-01'!$B$5:$E$88,2,0),0))</f>
        <v>G02</v>
      </c>
      <c r="D10" s="65">
        <f t="shared" si="2"/>
        <v>3.9460000000000002</v>
      </c>
      <c r="E10" s="66">
        <f t="shared" si="3"/>
        <v>0</v>
      </c>
      <c r="F10" s="47"/>
      <c r="G10" s="71">
        <f>IF(B10=0,"",IFERROR(VLOOKUP(B10,'S-ASIG-01'!$B$5:$E$88,4,0),0))</f>
        <v>3.9</v>
      </c>
      <c r="H10" s="72">
        <f>IF(B10=0,"",IFERROR(VLOOKUP(B10,'S-ASIG-02'!$B$5:$E$88,4,0),0))</f>
        <v>0</v>
      </c>
      <c r="I10" s="72">
        <f>IF(B10=0,"",IFERROR(VLOOKUP(B10,'S-ASIG-03'!$B$5:$E$88,4,0),0))</f>
        <v>3.86</v>
      </c>
      <c r="J10" s="72">
        <f>IF(B10=0,"",IFERROR(VLOOKUP(B10,'S-ASIG-04'!$B$5:$E$88,4,0),0))</f>
        <v>4.1500000000000004</v>
      </c>
      <c r="K10" s="72">
        <f>IF(B10=0,"",IFERROR(VLOOKUP(B10,'S-ASIG-05'!$B$5:$E$88,4,0),0))</f>
        <v>3.7400000000000007</v>
      </c>
      <c r="L10" s="72">
        <f>IF(B10=0,"",IFERROR(VLOOKUP(B10,'S-ASIG-06'!$B$5:$E$88,4,0),0))</f>
        <v>4.08</v>
      </c>
      <c r="M10" s="73">
        <f>IF(B10=0,"",IFERROR(VLOOKUP(B10,'S-ASIG-07'!$B$5:$E$88,4,0),0))</f>
        <v>0</v>
      </c>
      <c r="N10" s="68" t="s">
        <v>109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110</v>
      </c>
    </row>
    <row r="11" spans="1:22" ht="15" customHeight="1">
      <c r="A11" s="12">
        <v>7</v>
      </c>
      <c r="B11" s="70" t="str">
        <f>LIDER!C15</f>
        <v>MILENA PATRICIA GOMEZ BALLESTEROS</v>
      </c>
      <c r="C11" s="64" t="str">
        <f>IF(B11=0,"",IFERROR(VLOOKUP(B11,'S-ASIG-01'!$B$5:$E$88,2,0),0))</f>
        <v>G02</v>
      </c>
      <c r="D11" s="65">
        <f t="shared" si="2"/>
        <v>3.9460000000000002</v>
      </c>
      <c r="E11" s="66">
        <f t="shared" si="3"/>
        <v>0</v>
      </c>
      <c r="F11" s="47"/>
      <c r="G11" s="71">
        <f>IF(B11=0,"",IFERROR(VLOOKUP(B11,'S-ASIG-01'!$B$5:$E$88,4,0),0))</f>
        <v>3.9</v>
      </c>
      <c r="H11" s="72">
        <f>IF(B11=0,"",IFERROR(VLOOKUP(B11,'S-ASIG-02'!$B$5:$E$88,4,0),0))</f>
        <v>0</v>
      </c>
      <c r="I11" s="72">
        <f>IF(B11=0,"",IFERROR(VLOOKUP(B11,'S-ASIG-03'!$B$5:$E$88,4,0),0))</f>
        <v>3.86</v>
      </c>
      <c r="J11" s="72">
        <f>IF(B11=0,"",IFERROR(VLOOKUP(B11,'S-ASIG-04'!$B$5:$E$88,4,0),0))</f>
        <v>4.1500000000000004</v>
      </c>
      <c r="K11" s="72">
        <f>IF(B11=0,"",IFERROR(VLOOKUP(B11,'S-ASIG-05'!$B$5:$E$88,4,0),0))</f>
        <v>3.7400000000000007</v>
      </c>
      <c r="L11" s="72">
        <f>IF(B11=0,"",IFERROR(VLOOKUP(B11,'S-ASIG-06'!$B$5:$E$88,4,0),0))</f>
        <v>4.08</v>
      </c>
      <c r="M11" s="73">
        <f>IF(B11=0,"",IFERROR(VLOOKUP(B11,'S-ASIG-07'!$B$5:$E$88,4,0),0))</f>
        <v>0</v>
      </c>
      <c r="N11" s="68" t="s">
        <v>109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110</v>
      </c>
    </row>
    <row r="12" spans="1:22" ht="15" customHeight="1">
      <c r="A12" s="12">
        <v>8</v>
      </c>
      <c r="B12" s="70" t="str">
        <f>LIDER!C16</f>
        <v>VALERI JULIANA JULIO SUAREZ</v>
      </c>
      <c r="C12" s="64" t="str">
        <f>IF(B12=0,"",IFERROR(VLOOKUP(B12,'S-ASIG-01'!$B$5:$E$88,2,0),0))</f>
        <v>G02</v>
      </c>
      <c r="D12" s="65">
        <f t="shared" si="2"/>
        <v>3.9675000000000002</v>
      </c>
      <c r="E12" s="66">
        <f t="shared" si="3"/>
        <v>0</v>
      </c>
      <c r="F12" s="47"/>
      <c r="G12" s="71">
        <f>IF(B12=0,"",IFERROR(VLOOKUP(B12,'S-ASIG-01'!$B$5:$E$88,4,0),0))</f>
        <v>3.9</v>
      </c>
      <c r="H12" s="72">
        <f>IF(B12=0,"",IFERROR(VLOOKUP(B12,'S-ASIG-02'!$B$5:$E$88,4,0),0))</f>
        <v>0</v>
      </c>
      <c r="I12" s="72" t="str">
        <f>IF(B12=0,"",IFERROR(VLOOKUP(B12,'S-ASIG-03'!$B$5:$E$88,4,0),0))</f>
        <v>N</v>
      </c>
      <c r="J12" s="72">
        <f>IF(B12=0,"",IFERROR(VLOOKUP(B12,'S-ASIG-04'!$B$5:$E$88,4,0),0))</f>
        <v>4.1500000000000004</v>
      </c>
      <c r="K12" s="72">
        <f>IF(B12=0,"",IFERROR(VLOOKUP(B12,'S-ASIG-05'!$B$5:$E$88,4,0),0))</f>
        <v>3.7400000000000007</v>
      </c>
      <c r="L12" s="72">
        <f>IF(B12=0,"",IFERROR(VLOOKUP(B12,'S-ASIG-06'!$B$5:$E$88,4,0),0))</f>
        <v>4.08</v>
      </c>
      <c r="M12" s="73">
        <f>IF(B12=0,"",IFERROR(VLOOKUP(B12,'S-ASIG-07'!$B$5:$E$88,4,0),0))</f>
        <v>0</v>
      </c>
      <c r="N12" s="68" t="s">
        <v>109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 t="str">
        <f>IF(B12=0,"",IFERROR(VLOOKUP(B12,'T-ASIG-03'!$B$5:$D$88,3,0),0))</f>
        <v>N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110</v>
      </c>
    </row>
    <row r="13" spans="1:22" ht="15" customHeight="1">
      <c r="A13" s="12">
        <v>9</v>
      </c>
      <c r="B13" s="70" t="str">
        <f>LIDER!C17</f>
        <v>JHON JAIRO PALACIO AVILA</v>
      </c>
      <c r="C13" s="64" t="str">
        <f>IF(B13=0,"",IFERROR(VLOOKUP(B13,'S-ASIG-01'!$B$5:$E$88,2,0),0))</f>
        <v>G02</v>
      </c>
      <c r="D13" s="65">
        <f t="shared" si="2"/>
        <v>3.9460000000000002</v>
      </c>
      <c r="E13" s="66">
        <f t="shared" si="3"/>
        <v>0</v>
      </c>
      <c r="F13" s="47"/>
      <c r="G13" s="71">
        <f>IF(B13=0,"",IFERROR(VLOOKUP(B13,'S-ASIG-01'!$B$5:$E$88,4,0),0))</f>
        <v>3.9</v>
      </c>
      <c r="H13" s="72">
        <f>IF(B13=0,"",IFERROR(VLOOKUP(B13,'S-ASIG-02'!$B$5:$E$88,4,0),0))</f>
        <v>0</v>
      </c>
      <c r="I13" s="72">
        <f>IF(B13=0,"",IFERROR(VLOOKUP(B13,'S-ASIG-03'!$B$5:$E$88,4,0),0))</f>
        <v>3.86</v>
      </c>
      <c r="J13" s="72">
        <f>IF(B13=0,"",IFERROR(VLOOKUP(B13,'S-ASIG-04'!$B$5:$E$88,4,0),0))</f>
        <v>4.1500000000000004</v>
      </c>
      <c r="K13" s="72">
        <f>IF(B13=0,"",IFERROR(VLOOKUP(B13,'S-ASIG-05'!$B$5:$E$88,4,0),0))</f>
        <v>3.7400000000000007</v>
      </c>
      <c r="L13" s="72">
        <f>IF(B13=0,"",IFERROR(VLOOKUP(B13,'S-ASIG-06'!$B$5:$E$88,4,0),0))</f>
        <v>4.08</v>
      </c>
      <c r="M13" s="73">
        <f>IF(B13=0,"",IFERROR(VLOOKUP(B13,'S-ASIG-07'!$B$5:$E$88,4,0),0))</f>
        <v>0</v>
      </c>
      <c r="N13" s="68" t="s">
        <v>109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110</v>
      </c>
    </row>
    <row r="14" spans="1:22" ht="15" customHeight="1">
      <c r="A14" s="12">
        <v>10</v>
      </c>
      <c r="B14" s="70" t="str">
        <f>LIDER!C18</f>
        <v>JEFFRY PIÑERES SUAREZ</v>
      </c>
      <c r="C14" s="64" t="str">
        <f>IF(B14=0,"",IFERROR(VLOOKUP(B14,'S-ASIG-01'!$B$5:$E$88,2,0),0))</f>
        <v>G02</v>
      </c>
      <c r="D14" s="65">
        <f t="shared" si="2"/>
        <v>3.9460000000000002</v>
      </c>
      <c r="E14" s="66">
        <f t="shared" si="3"/>
        <v>0</v>
      </c>
      <c r="F14" s="47"/>
      <c r="G14" s="71">
        <f>IF(B14=0,"",IFERROR(VLOOKUP(B14,'S-ASIG-01'!$B$5:$E$88,4,0),0))</f>
        <v>3.9</v>
      </c>
      <c r="H14" s="72">
        <f>IF(B14=0,"",IFERROR(VLOOKUP(B14,'S-ASIG-02'!$B$5:$E$88,4,0),0))</f>
        <v>0</v>
      </c>
      <c r="I14" s="72">
        <f>IF(B14=0,"",IFERROR(VLOOKUP(B14,'S-ASIG-03'!$B$5:$E$88,4,0),0))</f>
        <v>3.86</v>
      </c>
      <c r="J14" s="72">
        <f>IF(B14=0,"",IFERROR(VLOOKUP(B14,'S-ASIG-04'!$B$5:$E$88,4,0),0))</f>
        <v>4.1500000000000004</v>
      </c>
      <c r="K14" s="72">
        <f>IF(B14=0,"",IFERROR(VLOOKUP(B14,'S-ASIG-05'!$B$5:$E$88,4,0),0))</f>
        <v>3.7400000000000007</v>
      </c>
      <c r="L14" s="72">
        <f>IF(B14=0,"",IFERROR(VLOOKUP(B14,'S-ASIG-06'!$B$5:$E$88,4,0),0))</f>
        <v>4.08</v>
      </c>
      <c r="M14" s="73">
        <f>IF(B14=0,"",IFERROR(VLOOKUP(B14,'S-ASIG-07'!$B$5:$E$88,4,0),0))</f>
        <v>0</v>
      </c>
      <c r="N14" s="68" t="s">
        <v>109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110</v>
      </c>
    </row>
    <row r="15" spans="1:22" ht="15" customHeight="1">
      <c r="A15" s="12">
        <v>11</v>
      </c>
      <c r="B15" s="70" t="str">
        <f>LIDER!C19</f>
        <v>KEYNNER DAVID CORREA SUAREZ</v>
      </c>
      <c r="C15" s="64" t="str">
        <f>IF(B15=0,"",IFERROR(VLOOKUP(B15,'S-ASIG-01'!$B$5:$E$88,2,0),0))</f>
        <v>G03</v>
      </c>
      <c r="D15" s="65">
        <f t="shared" si="2"/>
        <v>4.0679999999999996</v>
      </c>
      <c r="E15" s="66">
        <f t="shared" si="3"/>
        <v>0</v>
      </c>
      <c r="F15" s="47"/>
      <c r="G15" s="71">
        <f>IF(B15=0,"",IFERROR(VLOOKUP(B15,'S-ASIG-01'!$B$5:$E$88,4,0),0))</f>
        <v>3.9999999999999996</v>
      </c>
      <c r="H15" s="72">
        <f>IF(B15=0,"",IFERROR(VLOOKUP(B15,'S-ASIG-02'!$B$5:$E$88,4,0),0))</f>
        <v>0</v>
      </c>
      <c r="I15" s="72">
        <f>IF(B15=0,"",IFERROR(VLOOKUP(B15,'S-ASIG-03'!$B$5:$E$88,4,0),0))</f>
        <v>4.3</v>
      </c>
      <c r="J15" s="72">
        <f>IF(B15=0,"",IFERROR(VLOOKUP(B15,'S-ASIG-04'!$B$5:$E$88,4,0),0))</f>
        <v>4.32</v>
      </c>
      <c r="K15" s="72">
        <f>IF(B15=0,"",IFERROR(VLOOKUP(B15,'S-ASIG-05'!$B$5:$E$88,4,0),0))</f>
        <v>3.7400000000000007</v>
      </c>
      <c r="L15" s="72">
        <f>IF(B15=0,"",IFERROR(VLOOKUP(B15,'S-ASIG-06'!$B$5:$E$88,4,0),0))</f>
        <v>3.9799999999999995</v>
      </c>
      <c r="M15" s="73">
        <f>IF(B15=0,"",IFERROR(VLOOKUP(B15,'S-ASIG-07'!$B$5:$E$88,4,0),0))</f>
        <v>0</v>
      </c>
      <c r="N15" s="68" t="s">
        <v>109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110</v>
      </c>
    </row>
    <row r="16" spans="1:22" ht="15" customHeight="1">
      <c r="A16" s="12">
        <v>12</v>
      </c>
      <c r="B16" s="70" t="str">
        <f>LIDER!C20</f>
        <v>SANTIAGO DOMINGUEZ RODRIGUEZ</v>
      </c>
      <c r="C16" s="64" t="str">
        <f>IF(B16=0,"",IFERROR(VLOOKUP(B16,'S-ASIG-01'!$B$5:$E$88,2,0),0))</f>
        <v>G03</v>
      </c>
      <c r="D16" s="65">
        <f t="shared" si="2"/>
        <v>4.0679999999999996</v>
      </c>
      <c r="E16" s="66">
        <f t="shared" si="3"/>
        <v>0</v>
      </c>
      <c r="F16" s="47"/>
      <c r="G16" s="71">
        <f>IF(B16=0,"",IFERROR(VLOOKUP(B16,'S-ASIG-01'!$B$5:$E$88,4,0),0))</f>
        <v>3.9999999999999996</v>
      </c>
      <c r="H16" s="72">
        <f>IF(B16=0,"",IFERROR(VLOOKUP(B16,'S-ASIG-02'!$B$5:$E$88,4,0),0))</f>
        <v>0</v>
      </c>
      <c r="I16" s="72">
        <f>IF(B16=0,"",IFERROR(VLOOKUP(B16,'S-ASIG-03'!$B$5:$E$88,4,0),0))</f>
        <v>4.3</v>
      </c>
      <c r="J16" s="72">
        <f>IF(B16=0,"",IFERROR(VLOOKUP(B16,'S-ASIG-04'!$B$5:$E$88,4,0),0))</f>
        <v>4.32</v>
      </c>
      <c r="K16" s="72">
        <f>IF(B16=0,"",IFERROR(VLOOKUP(B16,'S-ASIG-05'!$B$5:$E$88,4,0),0))</f>
        <v>3.7400000000000007</v>
      </c>
      <c r="L16" s="72">
        <f>IF(B16=0,"",IFERROR(VLOOKUP(B16,'S-ASIG-06'!$B$5:$E$88,4,0),0))</f>
        <v>3.9799999999999995</v>
      </c>
      <c r="M16" s="73">
        <f>IF(B16=0,"",IFERROR(VLOOKUP(B16,'S-ASIG-07'!$B$5:$E$88,4,0),0))</f>
        <v>0</v>
      </c>
      <c r="N16" s="68" t="s">
        <v>109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110</v>
      </c>
    </row>
    <row r="17" spans="1:22" ht="15" customHeight="1">
      <c r="A17" s="12">
        <v>13</v>
      </c>
      <c r="B17" s="70" t="str">
        <f>LIDER!C21</f>
        <v>DUVAN HAVITT HERRERA FIGUEROA</v>
      </c>
      <c r="C17" s="64" t="str">
        <f>IF(B17=0,"",IFERROR(VLOOKUP(B17,'S-ASIG-01'!$B$5:$E$88,2,0),0))</f>
        <v>G03</v>
      </c>
      <c r="D17" s="65">
        <f t="shared" si="2"/>
        <v>4.0679999999999996</v>
      </c>
      <c r="E17" s="66">
        <f t="shared" si="3"/>
        <v>0</v>
      </c>
      <c r="F17" s="47"/>
      <c r="G17" s="71">
        <f>IF(B17=0,"",IFERROR(VLOOKUP(B17,'S-ASIG-01'!$B$5:$E$88,4,0),0))</f>
        <v>3.9999999999999996</v>
      </c>
      <c r="H17" s="72">
        <f>IF(B17=0,"",IFERROR(VLOOKUP(B17,'S-ASIG-02'!$B$5:$E$88,4,0),0))</f>
        <v>0</v>
      </c>
      <c r="I17" s="72">
        <f>IF(B17=0,"",IFERROR(VLOOKUP(B17,'S-ASIG-03'!$B$5:$E$88,4,0),0))</f>
        <v>4.3</v>
      </c>
      <c r="J17" s="72">
        <f>IF(B17=0,"",IFERROR(VLOOKUP(B17,'S-ASIG-04'!$B$5:$E$88,4,0),0))</f>
        <v>4.32</v>
      </c>
      <c r="K17" s="72">
        <f>IF(B17=0,"",IFERROR(VLOOKUP(B17,'S-ASIG-05'!$B$5:$E$88,4,0),0))</f>
        <v>3.7400000000000007</v>
      </c>
      <c r="L17" s="72">
        <f>IF(B17=0,"",IFERROR(VLOOKUP(B17,'S-ASIG-06'!$B$5:$E$88,4,0),0))</f>
        <v>3.9799999999999995</v>
      </c>
      <c r="M17" s="73">
        <f>IF(B17=0,"",IFERROR(VLOOKUP(B17,'S-ASIG-07'!$B$5:$E$88,4,0),0))</f>
        <v>0</v>
      </c>
      <c r="N17" s="68" t="s">
        <v>109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110</v>
      </c>
    </row>
    <row r="18" spans="1:22" ht="15" customHeight="1">
      <c r="A18" s="12">
        <v>14</v>
      </c>
      <c r="B18" s="70" t="str">
        <f>LIDER!C22</f>
        <v>JOSE JIMENEZ LEON</v>
      </c>
      <c r="C18" s="64" t="str">
        <f>IF(B18=0,"",IFERROR(VLOOKUP(B18,'S-ASIG-01'!$B$5:$E$88,2,0),0))</f>
        <v>G03</v>
      </c>
      <c r="D18" s="65">
        <f t="shared" si="2"/>
        <v>4.0679999999999996</v>
      </c>
      <c r="E18" s="66">
        <f t="shared" si="3"/>
        <v>0</v>
      </c>
      <c r="F18" s="47"/>
      <c r="G18" s="71">
        <f>IF(B18=0,"",IFERROR(VLOOKUP(B18,'S-ASIG-01'!$B$5:$E$88,4,0),0))</f>
        <v>3.9999999999999996</v>
      </c>
      <c r="H18" s="72">
        <f>IF(B18=0,"",IFERROR(VLOOKUP(B18,'S-ASIG-02'!$B$5:$E$88,4,0),0))</f>
        <v>0</v>
      </c>
      <c r="I18" s="72">
        <f>IF(B18=0,"",IFERROR(VLOOKUP(B18,'S-ASIG-03'!$B$5:$E$88,4,0),0))</f>
        <v>4.3</v>
      </c>
      <c r="J18" s="72">
        <f>IF(B18=0,"",IFERROR(VLOOKUP(B18,'S-ASIG-04'!$B$5:$E$88,4,0),0))</f>
        <v>4.32</v>
      </c>
      <c r="K18" s="72">
        <f>IF(B18=0,"",IFERROR(VLOOKUP(B18,'S-ASIG-05'!$B$5:$E$88,4,0),0))</f>
        <v>3.7400000000000007</v>
      </c>
      <c r="L18" s="72">
        <f>IF(B18=0,"",IFERROR(VLOOKUP(B18,'S-ASIG-06'!$B$5:$E$88,4,0),0))</f>
        <v>3.9799999999999995</v>
      </c>
      <c r="M18" s="73">
        <f>IF(B18=0,"",IFERROR(VLOOKUP(B18,'S-ASIG-07'!$B$5:$E$88,4,0),0))</f>
        <v>0</v>
      </c>
      <c r="N18" s="68" t="s">
        <v>109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110</v>
      </c>
    </row>
    <row r="19" spans="1:22" ht="15" customHeight="1">
      <c r="A19" s="12">
        <v>15</v>
      </c>
      <c r="B19" s="70" t="str">
        <f>LIDER!C23</f>
        <v>JUAN DIEGO ROMERO BASABE</v>
      </c>
      <c r="C19" s="64" t="str">
        <f>IF(B19=0,"",IFERROR(VLOOKUP(B19,'S-ASIG-01'!$B$5:$E$88,2,0),0))</f>
        <v>G03</v>
      </c>
      <c r="D19" s="65">
        <f t="shared" si="2"/>
        <v>4.0679999999999996</v>
      </c>
      <c r="E19" s="66">
        <f t="shared" si="3"/>
        <v>0</v>
      </c>
      <c r="F19" s="47"/>
      <c r="G19" s="71">
        <f>IF(B19=0,"",IFERROR(VLOOKUP(B19,'S-ASIG-01'!$B$5:$E$88,4,0),0))</f>
        <v>3.9999999999999996</v>
      </c>
      <c r="H19" s="72">
        <f>IF(B19=0,"",IFERROR(VLOOKUP(B19,'S-ASIG-02'!$B$5:$E$88,4,0),0))</f>
        <v>0</v>
      </c>
      <c r="I19" s="72">
        <f>IF(B19=0,"",IFERROR(VLOOKUP(B19,'S-ASIG-03'!$B$5:$E$88,4,0),0))</f>
        <v>4.3</v>
      </c>
      <c r="J19" s="72">
        <f>IF(B19=0,"",IFERROR(VLOOKUP(B19,'S-ASIG-04'!$B$5:$E$88,4,0),0))</f>
        <v>4.32</v>
      </c>
      <c r="K19" s="72">
        <f>IF(B19=0,"",IFERROR(VLOOKUP(B19,'S-ASIG-05'!$B$5:$E$88,4,0),0))</f>
        <v>3.7400000000000007</v>
      </c>
      <c r="L19" s="72">
        <f>IF(B19=0,"",IFERROR(VLOOKUP(B19,'S-ASIG-06'!$B$5:$E$88,4,0),0))</f>
        <v>3.9799999999999995</v>
      </c>
      <c r="M19" s="73">
        <f>IF(B19=0,"",IFERROR(VLOOKUP(B19,'S-ASIG-07'!$B$5:$E$88,4,0),0))</f>
        <v>0</v>
      </c>
      <c r="N19" s="68" t="s">
        <v>109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110</v>
      </c>
    </row>
    <row r="20" spans="1:22" ht="15" customHeight="1">
      <c r="A20" s="12">
        <v>16</v>
      </c>
      <c r="B20" s="70" t="str">
        <f>LIDER!C24</f>
        <v>SANTIAGO ANDRÉS ARNEDO ESCALANTE</v>
      </c>
      <c r="C20" s="64" t="str">
        <f>IF(B20=0,"",IFERROR(VLOOKUP(B20,'S-ASIG-01'!$B$5:$E$88,2,0),0))</f>
        <v>G04</v>
      </c>
      <c r="D20" s="65">
        <f t="shared" si="2"/>
        <v>4.1319999999999997</v>
      </c>
      <c r="E20" s="66">
        <f t="shared" si="3"/>
        <v>0</v>
      </c>
      <c r="F20" s="47"/>
      <c r="G20" s="71">
        <f>IF(B20=0,"",IFERROR(VLOOKUP(B20,'S-ASIG-01'!$B$5:$E$88,4,0),0))</f>
        <v>3.9999999999999996</v>
      </c>
      <c r="H20" s="72">
        <f>IF(B20=0,"",IFERROR(VLOOKUP(B20,'S-ASIG-02'!$B$5:$E$88,4,0),0))</f>
        <v>0</v>
      </c>
      <c r="I20" s="72">
        <f>IF(B20=0,"",IFERROR(VLOOKUP(B20,'S-ASIG-03'!$B$5:$E$88,4,0),0))</f>
        <v>4.7</v>
      </c>
      <c r="J20" s="72">
        <f>IF(B20=0,"",IFERROR(VLOOKUP(B20,'S-ASIG-04'!$B$5:$E$88,4,0),0))</f>
        <v>4.2</v>
      </c>
      <c r="K20" s="72">
        <f>IF(B20=0,"",IFERROR(VLOOKUP(B20,'S-ASIG-05'!$B$5:$E$88,4,0),0))</f>
        <v>4.0999999999999996</v>
      </c>
      <c r="L20" s="72">
        <f>IF(B20=0,"",IFERROR(VLOOKUP(B20,'S-ASIG-06'!$B$5:$E$88,4,0),0))</f>
        <v>3.6599999999999997</v>
      </c>
      <c r="M20" s="73">
        <f>IF(B20=0,"",IFERROR(VLOOKUP(B20,'S-ASIG-07'!$B$5:$E$88,4,0),0))</f>
        <v>0</v>
      </c>
      <c r="N20" s="68" t="s">
        <v>109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110</v>
      </c>
    </row>
    <row r="21" spans="1:22" ht="15" customHeight="1">
      <c r="A21" s="12">
        <v>17</v>
      </c>
      <c r="B21" s="70" t="str">
        <f>LIDER!C25</f>
        <v>JUAN CAMILO NIETO ARAGON</v>
      </c>
      <c r="C21" s="64" t="str">
        <f>IF(B21=0,"",IFERROR(VLOOKUP(B21,'S-ASIG-01'!$B$5:$E$88,2,0),0))</f>
        <v>G04</v>
      </c>
      <c r="D21" s="65">
        <f t="shared" si="2"/>
        <v>4.1319999999999997</v>
      </c>
      <c r="E21" s="66">
        <f t="shared" si="3"/>
        <v>0</v>
      </c>
      <c r="F21" s="47"/>
      <c r="G21" s="71">
        <f>IF(B21=0,"",IFERROR(VLOOKUP(B21,'S-ASIG-01'!$B$5:$E$88,4,0),0))</f>
        <v>3.9999999999999996</v>
      </c>
      <c r="H21" s="72">
        <f>IF(B21=0,"",IFERROR(VLOOKUP(B21,'S-ASIG-02'!$B$5:$E$88,4,0),0))</f>
        <v>0</v>
      </c>
      <c r="I21" s="72">
        <f>IF(B21=0,"",IFERROR(VLOOKUP(B21,'S-ASIG-03'!$B$5:$E$88,4,0),0))</f>
        <v>4.7</v>
      </c>
      <c r="J21" s="72">
        <f>IF(B21=0,"",IFERROR(VLOOKUP(B21,'S-ASIG-04'!$B$5:$E$88,4,0),0))</f>
        <v>4.2</v>
      </c>
      <c r="K21" s="72">
        <f>IF(B21=0,"",IFERROR(VLOOKUP(B21,'S-ASIG-05'!$B$5:$E$88,4,0),0))</f>
        <v>4.0999999999999996</v>
      </c>
      <c r="L21" s="72">
        <f>IF(B21=0,"",IFERROR(VLOOKUP(B21,'S-ASIG-06'!$B$5:$E$88,4,0),0))</f>
        <v>3.6599999999999997</v>
      </c>
      <c r="M21" s="73">
        <f>IF(B21=0,"",IFERROR(VLOOKUP(B21,'S-ASIG-07'!$B$5:$E$88,4,0),0))</f>
        <v>0</v>
      </c>
      <c r="N21" s="68" t="s">
        <v>109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110</v>
      </c>
    </row>
    <row r="22" spans="1:22" ht="15" customHeight="1">
      <c r="A22" s="12">
        <v>18</v>
      </c>
      <c r="B22" s="70" t="str">
        <f>LIDER!C26</f>
        <v>BETZABETH MARIEL SALCEDO MERCADO</v>
      </c>
      <c r="C22" s="64" t="str">
        <f>IF(B22=0,"",IFERROR(VLOOKUP(B22,'S-ASIG-01'!$B$5:$E$88,2,0),0))</f>
        <v>G04</v>
      </c>
      <c r="D22" s="65">
        <f t="shared" si="2"/>
        <v>4.1319999999999997</v>
      </c>
      <c r="E22" s="66">
        <f t="shared" si="3"/>
        <v>0</v>
      </c>
      <c r="F22" s="47"/>
      <c r="G22" s="71">
        <f>IF(B22=0,"",IFERROR(VLOOKUP(B22,'S-ASIG-01'!$B$5:$E$88,4,0),0))</f>
        <v>3.9999999999999996</v>
      </c>
      <c r="H22" s="72">
        <f>IF(B22=0,"",IFERROR(VLOOKUP(B22,'S-ASIG-02'!$B$5:$E$88,4,0),0))</f>
        <v>0</v>
      </c>
      <c r="I22" s="72">
        <f>IF(B22=0,"",IFERROR(VLOOKUP(B22,'S-ASIG-03'!$B$5:$E$88,4,0),0))</f>
        <v>4.7</v>
      </c>
      <c r="J22" s="72">
        <f>IF(B22=0,"",IFERROR(VLOOKUP(B22,'S-ASIG-04'!$B$5:$E$88,4,0),0))</f>
        <v>4.2</v>
      </c>
      <c r="K22" s="72">
        <f>IF(B22=0,"",IFERROR(VLOOKUP(B22,'S-ASIG-05'!$B$5:$E$88,4,0),0))</f>
        <v>4.0999999999999996</v>
      </c>
      <c r="L22" s="72">
        <f>IF(B22=0,"",IFERROR(VLOOKUP(B22,'S-ASIG-06'!$B$5:$E$88,4,0),0))</f>
        <v>3.6599999999999997</v>
      </c>
      <c r="M22" s="73">
        <f>IF(B22=0,"",IFERROR(VLOOKUP(B22,'S-ASIG-07'!$B$5:$E$88,4,0),0))</f>
        <v>0</v>
      </c>
      <c r="N22" s="68" t="s">
        <v>109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110</v>
      </c>
    </row>
    <row r="23" spans="1:22" ht="15" customHeight="1">
      <c r="A23" s="12">
        <v>19</v>
      </c>
      <c r="B23" s="70" t="str">
        <f>LIDER!C27</f>
        <v>MAUREN ANDREA TORRES CASTRO</v>
      </c>
      <c r="C23" s="64" t="str">
        <f>IF(B23=0,"",IFERROR(VLOOKUP(B23,'S-ASIG-01'!$B$5:$E$88,2,0),0))</f>
        <v>G04</v>
      </c>
      <c r="D23" s="65">
        <f t="shared" si="2"/>
        <v>4.1149999999999993</v>
      </c>
      <c r="E23" s="66">
        <f t="shared" si="3"/>
        <v>0</v>
      </c>
      <c r="F23" s="47"/>
      <c r="G23" s="71">
        <f>IF(B23=0,"",IFERROR(VLOOKUP(B23,'S-ASIG-01'!$B$5:$E$88,4,0),0))</f>
        <v>3.9999999999999996</v>
      </c>
      <c r="H23" s="72">
        <f>IF(B23=0,"",IFERROR(VLOOKUP(B23,'S-ASIG-02'!$B$5:$E$88,4,0),0))</f>
        <v>0</v>
      </c>
      <c r="I23" s="72">
        <f>IF(B23=0,"",IFERROR(VLOOKUP(B23,'S-ASIG-03'!$B$5:$E$88,4,0),0))</f>
        <v>4.7</v>
      </c>
      <c r="J23" s="72" t="str">
        <f>IF(B23=0,"",IFERROR(VLOOKUP(B23,'S-ASIG-04'!$B$5:$E$88,4,0),0))</f>
        <v>N</v>
      </c>
      <c r="K23" s="72">
        <f>IF(B23=0,"",IFERROR(VLOOKUP(B23,'S-ASIG-05'!$B$5:$E$88,4,0),0))</f>
        <v>4.0999999999999996</v>
      </c>
      <c r="L23" s="72">
        <f>IF(B23=0,"",IFERROR(VLOOKUP(B23,'S-ASIG-06'!$B$5:$E$88,4,0),0))</f>
        <v>3.6599999999999997</v>
      </c>
      <c r="M23" s="73">
        <f>IF(B23=0,"",IFERROR(VLOOKUP(B23,'S-ASIG-07'!$B$5:$E$88,4,0),0))</f>
        <v>0</v>
      </c>
      <c r="N23" s="68" t="s">
        <v>109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 t="str">
        <f>IF(B23=0,"",IFERROR(VLOOKUP(B23,'T-ASIG-04'!$B$5:$D$88,3,0),0))</f>
        <v>N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110</v>
      </c>
    </row>
    <row r="24" spans="1:22" ht="15" customHeight="1">
      <c r="A24" s="12">
        <v>20</v>
      </c>
      <c r="B24" s="70" t="str">
        <f>LIDER!C28</f>
        <v>MARIA CAMILA BARRERA ORTEGA</v>
      </c>
      <c r="C24" s="64" t="str">
        <f>IF(B24=0,"",IFERROR(VLOOKUP(B24,'S-ASIG-01'!$B$5:$E$88,2,0),0))</f>
        <v>G05</v>
      </c>
      <c r="D24" s="65">
        <f t="shared" si="2"/>
        <v>4.07</v>
      </c>
      <c r="E24" s="66">
        <f t="shared" si="3"/>
        <v>0</v>
      </c>
      <c r="F24" s="47"/>
      <c r="G24" s="71">
        <f>IF(B24=0,"",IFERROR(VLOOKUP(B24,'S-ASIG-01'!$B$5:$E$88,4,0),0))</f>
        <v>3.9999999999999996</v>
      </c>
      <c r="H24" s="72">
        <f>IF(B24=0,"",IFERROR(VLOOKUP(B24,'S-ASIG-02'!$B$5:$E$88,4,0),0))</f>
        <v>0</v>
      </c>
      <c r="I24" s="72">
        <f>IF(B24=0,"",IFERROR(VLOOKUP(B24,'S-ASIG-03'!$B$5:$E$88,4,0),0))</f>
        <v>3.99</v>
      </c>
      <c r="J24" s="72">
        <f>IF(B24=0,"",IFERROR(VLOOKUP(B24,'S-ASIG-04'!$B$5:$E$88,4,0),0))</f>
        <v>4.13</v>
      </c>
      <c r="K24" s="72">
        <f>IF(B24=0,"",IFERROR(VLOOKUP(B24,'S-ASIG-05'!$B$5:$E$88,4,0),0))</f>
        <v>3.7400000000000007</v>
      </c>
      <c r="L24" s="72">
        <f>IF(B24=0,"",IFERROR(VLOOKUP(B24,'S-ASIG-06'!$B$5:$E$88,4,0),0))</f>
        <v>4.49</v>
      </c>
      <c r="M24" s="73">
        <f>IF(B24=0,"",IFERROR(VLOOKUP(B24,'S-ASIG-07'!$B$5:$E$88,4,0),0))</f>
        <v>0</v>
      </c>
      <c r="N24" s="68" t="s">
        <v>109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110</v>
      </c>
    </row>
    <row r="25" spans="1:22" ht="15" customHeight="1">
      <c r="A25" s="12">
        <v>21</v>
      </c>
      <c r="B25" s="70" t="str">
        <f>LIDER!C29</f>
        <v>NATALIA SOFÍA CABARCAS TRUJILLO</v>
      </c>
      <c r="C25" s="64" t="str">
        <f>IF(B25=0,"",IFERROR(VLOOKUP(B25,'S-ASIG-01'!$B$5:$E$88,2,0),0))</f>
        <v>G05</v>
      </c>
      <c r="D25" s="65">
        <f t="shared" si="2"/>
        <v>4.07</v>
      </c>
      <c r="E25" s="66">
        <f t="shared" si="3"/>
        <v>0</v>
      </c>
      <c r="F25" s="47"/>
      <c r="G25" s="71">
        <f>IF(B25=0,"",IFERROR(VLOOKUP(B25,'S-ASIG-01'!$B$5:$E$88,4,0),0))</f>
        <v>3.9999999999999996</v>
      </c>
      <c r="H25" s="72">
        <f>IF(B25=0,"",IFERROR(VLOOKUP(B25,'S-ASIG-02'!$B$5:$E$88,4,0),0))</f>
        <v>0</v>
      </c>
      <c r="I25" s="72">
        <f>IF(B25=0,"",IFERROR(VLOOKUP(B25,'S-ASIG-03'!$B$5:$E$88,4,0),0))</f>
        <v>3.99</v>
      </c>
      <c r="J25" s="72">
        <f>IF(B25=0,"",IFERROR(VLOOKUP(B25,'S-ASIG-04'!$B$5:$E$88,4,0),0))</f>
        <v>4.13</v>
      </c>
      <c r="K25" s="72">
        <f>IF(B25=0,"",IFERROR(VLOOKUP(B25,'S-ASIG-05'!$B$5:$E$88,4,0),0))</f>
        <v>3.7400000000000007</v>
      </c>
      <c r="L25" s="72">
        <f>IF(B25=0,"",IFERROR(VLOOKUP(B25,'S-ASIG-06'!$B$5:$E$88,4,0),0))</f>
        <v>4.49</v>
      </c>
      <c r="M25" s="73">
        <f>IF(B25=0,"",IFERROR(VLOOKUP(B25,'S-ASIG-07'!$B$5:$E$88,4,0),0))</f>
        <v>0</v>
      </c>
      <c r="N25" s="68" t="s">
        <v>109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110</v>
      </c>
    </row>
    <row r="26" spans="1:22" ht="15" customHeight="1">
      <c r="A26" s="12">
        <v>22</v>
      </c>
      <c r="B26" s="70" t="str">
        <f>LIDER!C30</f>
        <v>FRANKLIN ANDRES CORTINA BLANCO</v>
      </c>
      <c r="C26" s="64" t="str">
        <f>IF(B26=0,"",IFERROR(VLOOKUP(B26,'S-ASIG-01'!$B$5:$E$88,2,0),0))</f>
        <v>G05</v>
      </c>
      <c r="D26" s="65">
        <f t="shared" si="2"/>
        <v>4.07</v>
      </c>
      <c r="E26" s="66">
        <f t="shared" si="3"/>
        <v>0</v>
      </c>
      <c r="F26" s="47"/>
      <c r="G26" s="71">
        <f>IF(B26=0,"",IFERROR(VLOOKUP(B26,'S-ASIG-01'!$B$5:$E$88,4,0),0))</f>
        <v>3.9999999999999996</v>
      </c>
      <c r="H26" s="72">
        <f>IF(B26=0,"",IFERROR(VLOOKUP(B26,'S-ASIG-02'!$B$5:$E$88,4,0),0))</f>
        <v>0</v>
      </c>
      <c r="I26" s="72">
        <f>IF(B26=0,"",IFERROR(VLOOKUP(B26,'S-ASIG-03'!$B$5:$E$88,4,0),0))</f>
        <v>3.99</v>
      </c>
      <c r="J26" s="72">
        <f>IF(B26=0,"",IFERROR(VLOOKUP(B26,'S-ASIG-04'!$B$5:$E$88,4,0),0))</f>
        <v>4.13</v>
      </c>
      <c r="K26" s="72">
        <f>IF(B26=0,"",IFERROR(VLOOKUP(B26,'S-ASIG-05'!$B$5:$E$88,4,0),0))</f>
        <v>3.7400000000000007</v>
      </c>
      <c r="L26" s="72">
        <f>IF(B26=0,"",IFERROR(VLOOKUP(B26,'S-ASIG-06'!$B$5:$E$88,4,0),0))</f>
        <v>4.49</v>
      </c>
      <c r="M26" s="73">
        <f>IF(B26=0,"",IFERROR(VLOOKUP(B26,'S-ASIG-07'!$B$5:$E$88,4,0),0))</f>
        <v>0</v>
      </c>
      <c r="N26" s="68" t="s">
        <v>109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110</v>
      </c>
    </row>
    <row r="27" spans="1:22" ht="15" customHeight="1">
      <c r="A27" s="12">
        <v>23</v>
      </c>
      <c r="B27" s="70" t="str">
        <f>LIDER!C31</f>
        <v>ANGELINE PITALUA TENORIO</v>
      </c>
      <c r="C27" s="64" t="str">
        <f>IF(B27=0,"",IFERROR(VLOOKUP(B27,'S-ASIG-01'!$B$5:$E$88,2,0),0))</f>
        <v>G05</v>
      </c>
      <c r="D27" s="65">
        <f t="shared" si="2"/>
        <v>4.07</v>
      </c>
      <c r="E27" s="66">
        <f t="shared" si="3"/>
        <v>0</v>
      </c>
      <c r="F27" s="47"/>
      <c r="G27" s="71">
        <f>IF(B27=0,"",IFERROR(VLOOKUP(B27,'S-ASIG-01'!$B$5:$E$88,4,0),0))</f>
        <v>3.9999999999999996</v>
      </c>
      <c r="H27" s="72">
        <f>IF(B27=0,"",IFERROR(VLOOKUP(B27,'S-ASIG-02'!$B$5:$E$88,4,0),0))</f>
        <v>0</v>
      </c>
      <c r="I27" s="72">
        <f>IF(B27=0,"",IFERROR(VLOOKUP(B27,'S-ASIG-03'!$B$5:$E$88,4,0),0))</f>
        <v>3.99</v>
      </c>
      <c r="J27" s="72">
        <f>IF(B27=0,"",IFERROR(VLOOKUP(B27,'S-ASIG-04'!$B$5:$E$88,4,0),0))</f>
        <v>4.13</v>
      </c>
      <c r="K27" s="72">
        <f>IF(B27=0,"",IFERROR(VLOOKUP(B27,'S-ASIG-05'!$B$5:$E$88,4,0),0))</f>
        <v>3.7400000000000007</v>
      </c>
      <c r="L27" s="72">
        <f>IF(B27=0,"",IFERROR(VLOOKUP(B27,'S-ASIG-06'!$B$5:$E$88,4,0),0))</f>
        <v>4.49</v>
      </c>
      <c r="M27" s="73">
        <f>IF(B27=0,"",IFERROR(VLOOKUP(B27,'S-ASIG-07'!$B$5:$E$88,4,0),0))</f>
        <v>0</v>
      </c>
      <c r="N27" s="68" t="s">
        <v>109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110</v>
      </c>
    </row>
    <row r="28" spans="1:22" ht="15" customHeight="1">
      <c r="A28" s="12">
        <v>24</v>
      </c>
      <c r="B28" s="70" t="str">
        <f>LIDER!C32</f>
        <v>EMILIA DEL CARMEN TABORDA ANGULO</v>
      </c>
      <c r="C28" s="64" t="str">
        <f>IF(B28=0,"",IFERROR(VLOOKUP(B28,'S-ASIG-01'!$B$5:$E$88,2,0),0))</f>
        <v>G05</v>
      </c>
      <c r="D28" s="65">
        <f t="shared" si="2"/>
        <v>4.07</v>
      </c>
      <c r="E28" s="66">
        <f t="shared" si="3"/>
        <v>0</v>
      </c>
      <c r="F28" s="47"/>
      <c r="G28" s="71">
        <f>IF(B28=0,"",IFERROR(VLOOKUP(B28,'S-ASIG-01'!$B$5:$E$88,4,0),0))</f>
        <v>3.9999999999999996</v>
      </c>
      <c r="H28" s="72">
        <f>IF(B28=0,"",IFERROR(VLOOKUP(B28,'S-ASIG-02'!$B$5:$E$88,4,0),0))</f>
        <v>0</v>
      </c>
      <c r="I28" s="72">
        <f>IF(B28=0,"",IFERROR(VLOOKUP(B28,'S-ASIG-03'!$B$5:$E$88,4,0),0))</f>
        <v>3.99</v>
      </c>
      <c r="J28" s="72">
        <f>IF(B28=0,"",IFERROR(VLOOKUP(B28,'S-ASIG-04'!$B$5:$E$88,4,0),0))</f>
        <v>4.13</v>
      </c>
      <c r="K28" s="72">
        <f>IF(B28=0,"",IFERROR(VLOOKUP(B28,'S-ASIG-05'!$B$5:$E$88,4,0),0))</f>
        <v>3.7400000000000007</v>
      </c>
      <c r="L28" s="72">
        <f>IF(B28=0,"",IFERROR(VLOOKUP(B28,'S-ASIG-06'!$B$5:$E$88,4,0),0))</f>
        <v>4.49</v>
      </c>
      <c r="M28" s="73">
        <f>IF(B28=0,"",IFERROR(VLOOKUP(B28,'S-ASIG-07'!$B$5:$E$88,4,0),0))</f>
        <v>0</v>
      </c>
      <c r="N28" s="68" t="s">
        <v>109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110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109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110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109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110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109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110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109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110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109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110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109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110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109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110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109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110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109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110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109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110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109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110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109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110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109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110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109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110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109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110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109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110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109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110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109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110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109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110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109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110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109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110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109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110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109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110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109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110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109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110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109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110</v>
      </c>
    </row>
  </sheetData>
  <sheetProtection algorithmName="SHA-512" hashValue="dejYena2vWFlynU+9Hb4EU2jXRDzc7Or88wek7+ez+sY36iozBVnsMd79+nnnbtC44QsqAtFObHDHTD6ieqA6w==" saltValue="eEsyCDmkeWo1GSbIiktR5A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2026-10-15T15:09:57Z</dcterms:modified>
  <cp:category/>
  <cp:contentStatus/>
</cp:coreProperties>
</file>