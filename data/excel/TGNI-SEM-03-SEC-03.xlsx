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3/"/>
    </mc:Choice>
  </mc:AlternateContent>
  <xr:revisionPtr revIDLastSave="863" documentId="13_ncr:1_{9DA8F914-B00B-4F04-915A-A2F985886573}" xr6:coauthVersionLast="47" xr6:coauthVersionMax="47" xr10:uidLastSave="{799514A5-6358-40BD-B4DC-6E7600F4B9B0}"/>
  <bookViews>
    <workbookView xWindow="-120" yWindow="-120" windowWidth="20730" windowHeight="11040" tabRatio="815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7" sheetId="16" r:id="rId14"/>
    <sheet name="T-ASIG-06" sheetId="7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B77" i="16"/>
  <c r="D77" i="16" s="1"/>
  <c r="B76" i="16"/>
  <c r="D76" i="16" s="1"/>
  <c r="B74" i="16"/>
  <c r="D74" i="16" s="1"/>
  <c r="B73" i="16"/>
  <c r="D73" i="16" s="1"/>
  <c r="D72" i="16"/>
  <c r="B72" i="16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D74" i="7"/>
  <c r="B74" i="7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D24" i="7"/>
  <c r="B24" i="7"/>
  <c r="D23" i="7"/>
  <c r="B23" i="7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B77" i="6"/>
  <c r="D77" i="6" s="1"/>
  <c r="D76" i="6"/>
  <c r="B76" i="6"/>
  <c r="B74" i="6"/>
  <c r="D74" i="6" s="1"/>
  <c r="B73" i="6"/>
  <c r="D73" i="6" s="1"/>
  <c r="B72" i="6"/>
  <c r="D72" i="6" s="1"/>
  <c r="B71" i="6"/>
  <c r="D71" i="6" s="1"/>
  <c r="B70" i="6"/>
  <c r="D70" i="6" s="1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D24" i="5"/>
  <c r="B24" i="5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B77" i="4"/>
  <c r="D77" i="4" s="1"/>
  <c r="B76" i="4"/>
  <c r="D76" i="4" s="1"/>
  <c r="B74" i="4"/>
  <c r="D74" i="4" s="1"/>
  <c r="B73" i="4"/>
  <c r="D73" i="4" s="1"/>
  <c r="D72" i="4"/>
  <c r="B72" i="4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D24" i="4"/>
  <c r="B24" i="4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D53" i="3"/>
  <c r="B53" i="3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E72" i="15"/>
  <c r="B72" i="15"/>
  <c r="B71" i="15"/>
  <c r="E71" i="15" s="1"/>
  <c r="B70" i="15"/>
  <c r="E70" i="15" s="1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E51" i="15"/>
  <c r="B51" i="15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E51" i="14"/>
  <c r="B51" i="14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E23" i="14"/>
  <c r="B23" i="14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B77" i="13"/>
  <c r="E77" i="13" s="1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E72" i="12"/>
  <c r="B72" i="12"/>
  <c r="B71" i="12"/>
  <c r="E71" i="12" s="1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E24" i="11"/>
  <c r="B24" i="1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9" i="3" l="1"/>
  <c r="D49" i="4"/>
  <c r="D48" i="4"/>
  <c r="D49" i="6"/>
  <c r="D48" i="16"/>
  <c r="D42" i="3"/>
  <c r="D42" i="5"/>
  <c r="D43" i="7"/>
  <c r="D37" i="4"/>
  <c r="D36" i="4"/>
  <c r="D37" i="6"/>
  <c r="D36" i="6"/>
  <c r="D34" i="7"/>
  <c r="D37" i="16"/>
  <c r="D36" i="16"/>
  <c r="D22" i="3"/>
  <c r="D22" i="4"/>
  <c r="D22" i="5"/>
  <c r="D21" i="5"/>
  <c r="D22" i="7"/>
  <c r="D21" i="7"/>
  <c r="D22" i="16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H6" i="8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E46" i="8"/>
  <c r="M46" i="8"/>
  <c r="I46" i="8"/>
  <c r="D46" i="8" s="1"/>
  <c r="K45" i="8"/>
  <c r="J45" i="8"/>
  <c r="P45" i="8"/>
  <c r="C45" i="8"/>
  <c r="Q45" i="8"/>
  <c r="R45" i="8"/>
  <c r="S45" i="8"/>
  <c r="T45" i="8"/>
  <c r="U45" i="8"/>
  <c r="H45" i="8"/>
  <c r="M45" i="8"/>
  <c r="I45" i="8"/>
  <c r="L45" i="8"/>
  <c r="G45" i="8"/>
  <c r="D45" i="8" s="1"/>
  <c r="O45" i="8"/>
  <c r="E45" i="8" s="1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M44" i="8"/>
  <c r="I44" i="8"/>
  <c r="L44" i="8"/>
  <c r="G44" i="8"/>
  <c r="D44" i="8" s="1"/>
  <c r="P44" i="8"/>
  <c r="E44" i="8" s="1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M42" i="8"/>
  <c r="I42" i="8"/>
  <c r="L42" i="8"/>
  <c r="G42" i="8"/>
  <c r="K42" i="8"/>
  <c r="R42" i="8"/>
  <c r="E42" i="8" s="1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E47" i="8"/>
  <c r="M47" i="8"/>
  <c r="D47" i="8" s="1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0" i="8" l="1"/>
  <c r="D40" i="8"/>
  <c r="E41" i="8"/>
  <c r="D41" i="8"/>
  <c r="D42" i="8"/>
  <c r="E43" i="8"/>
  <c r="D43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<sst xmlns="http://schemas.openxmlformats.org/spreadsheetml/2006/main" count="760" uniqueCount="135">
  <si>
    <t>TECNOLOGÍA EN GESTIÓN DE NEGOCIOS INTERN</t>
  </si>
  <si>
    <t>SEMESTRE:</t>
  </si>
  <si>
    <t>SEM-03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</si>
  <si>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</si>
  <si>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</si>
  <si>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</si>
  <si>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</si>
  <si>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</si>
  <si>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</si>
  <si>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</si>
  <si>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</si>
  <si>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LEGISLACION PARA EL COMERCIO</t>
  </si>
  <si>
    <t>TECNOLOGIA APLICADA</t>
  </si>
  <si>
    <t>INTERNACIONALIZACION</t>
  </si>
  <si>
    <t>MACROECONOMÍA</t>
  </si>
  <si>
    <t>MATEMÁTICAS FINANCIERAS</t>
  </si>
  <si>
    <t>HAROLD ANTONIO CUADRO VELASQUEZ</t>
  </si>
  <si>
    <t>ARMANDO ACOSTA JULIO</t>
  </si>
  <si>
    <t>TATIANA MILENA ROJAS AROCA</t>
  </si>
  <si>
    <t>ANDRES PAJARO CASTRO</t>
  </si>
  <si>
    <t>JORGE LUIS PUERTA SALAS</t>
  </si>
  <si>
    <t>LISTA DE ESTUDIANTES</t>
  </si>
  <si>
    <t>SEGUNDA ENTREGA - CRITERIO DE EVALUACIÓN DOCUMENTO - SEGUNDO CORTE</t>
  </si>
  <si>
    <t>PONDERACIÓN</t>
  </si>
  <si>
    <t>ADMINISTRACIÓN DE EMPRESAS C.I</t>
  </si>
  <si>
    <t>EDINSON ANDRES CASTRO PADILLA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</si>
  <si>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</si>
  <si>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</si>
  <si>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MATEO ANDRÉS CUESTA DÍAZ</t>
  </si>
  <si>
    <t>ANTEPROYECTO: Portada, planteamiento del problema, justificacion del trabajo o proyecto de aula, objetivos, marco teorico, diseño metodologico.</t>
  </si>
  <si>
    <t>CONTADURÍA PÚBLICA</t>
  </si>
  <si>
    <t>LUKASS GIRALDO RAMIREZ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</si>
  <si>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</si>
  <si>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</si>
  <si>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LOREINES OSPINO HERNÁNDEZ</t>
  </si>
  <si>
    <t>BILIOGRAFIA: Las referencias bibliograficas: adoptan las normas APA. El documento es producto de un rastreo bibliografico que muestra analisis y sistensis.</t>
  </si>
  <si>
    <t>LAURA SOFÍA PÉREZ ARÉVALO</t>
  </si>
  <si>
    <t>ASESORIAS: Anexó la hoja de tutoria firmada ( 3 fimas minmimo).</t>
  </si>
  <si>
    <t>TECNOLOGíA EN GESTION CONTABLE</t>
  </si>
  <si>
    <t>VALERY DANIELA SAENZ WATTS</t>
  </si>
  <si>
    <t>TECNOLOGÍA EN GESTIÓN DE MARKETING</t>
  </si>
  <si>
    <t>MARIA CRISTINA CAÑATE MERCADO</t>
  </si>
  <si>
    <t>TECNOLOGÍA EN GESTIÓN DEL TALENTO HUMANO</t>
  </si>
  <si>
    <t>KARINA MARRUGO MEZA</t>
  </si>
  <si>
    <t>TECNOLOGÍA EN GESTIÓN FINANCIERA</t>
  </si>
  <si>
    <t>HILARYS CAROLINA PATERNINA DONADO</t>
  </si>
  <si>
    <t>TECNOLOGÍA EN GESTIÓN LOGISTICA Y PORTUARIA</t>
  </si>
  <si>
    <t>MATEO QUINTANA SERNA</t>
  </si>
  <si>
    <t>ENTREGA FINAL - CRITERIO DE EVALUACIÓN SUSTENTACIÓN - TERCER CORTE</t>
  </si>
  <si>
    <t>TECNOLOGÍA EN GESTIÓN TURISTICA Y HOTELERA</t>
  </si>
  <si>
    <t>YULEDIS BECERRA GOMEZ</t>
  </si>
  <si>
    <t>Evaluación del Documento Final</t>
  </si>
  <si>
    <t>JULIO ALBERTO LANCHEROS PACHECO</t>
  </si>
  <si>
    <t>Sustentación de los Resultados: Se refleja un dominio del tema, la  información está delimitada y es clara. Hay una jerarquía y fluidez en las ideas que presenta.</t>
  </si>
  <si>
    <t>NELCY CAROLINA MEZA PÉREZ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</si>
  <si>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</si>
  <si>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HELENA ISABEL ALVAREZ CORTINA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</si>
  <si>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</si>
  <si>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ANDREA KAROLAY CARRILLO GOMEZ</t>
  </si>
  <si>
    <t>Tiempo: El uso del tiempo fue apropiado, se ajusta al previsto.
Ofrece una conclusión donde condensa las ideas principales del objetivo general y los específicos.</t>
  </si>
  <si>
    <t>MELANY ANDREA FLÓREZ ALMANZA</t>
  </si>
  <si>
    <t>Uso de Recursos Audiovisuales Tecnológicos: La sustentación se acompaña de recursos visuales pertinentes, atractivos y de gran calidad</t>
  </si>
  <si>
    <t>JUAN SEBASTIAN PRENS BOSSIO</t>
  </si>
  <si>
    <t>ALEXANDER DUBAN PROTZKAR DE LA HOZ</t>
  </si>
  <si>
    <t>SIARA LUCIA CHAMS CARBALLO</t>
  </si>
  <si>
    <t>LUCINDA GARCIA CASTRO</t>
  </si>
  <si>
    <t>TITULOS DE LOS PROYECTOS DE AULA</t>
  </si>
  <si>
    <t>SAMUEL DVID JULIO BARRIOS</t>
  </si>
  <si>
    <t>GRUPO#1 Descripción de los Aspectos Internacionales, Macroeconómicos, Legales, administrativos, aduaneros y tecnológicos de Progan del Caribe S.A.S</t>
  </si>
  <si>
    <t>LAUREN CAROLINA MARTINEZ LICONA</t>
  </si>
  <si>
    <t>GRUPO#2 ¿CUALES SON LOS ASPECTOS LEGALES, TRIBUTARIOS, ADMINISTRATIVOS, MACROECONOMICOS, ADUANEROS, TECNOLOGICOS E INTERNACIONALES QUE DEFINEN EL PERFIL DE LAS EMPRESA CEMENTOS ARGOS S.A EN LOS NEGOCIOS INTERNACIONALES?</t>
  </si>
  <si>
    <t>ASLLY MARGARITA RINCON MATTOS</t>
  </si>
  <si>
    <t>GRUPO#3 ¿Cuáles son los aspectos legales, tributarios, administrativos, macroeconómicos, aduaneros, tecnológicos e internacionales que definen el perfil de expocafe en los negocios internacionales?</t>
  </si>
  <si>
    <t>YEIDER SANTIAGO BOHORQUEZ GONZALEZ</t>
  </si>
  <si>
    <t xml:space="preserve">GRUPO#4 </t>
  </si>
  <si>
    <t>ELIAN MANUEL PACHECO BELTRAN</t>
  </si>
  <si>
    <t>GRUPO#5 Cuáles son los aspectos legales, tributarios, administrativos, macroeconómicos, aduaneros, tecnológicos e internacionales que definen el perfil de la empresa Colombina S.A. en los negocios internacionales</t>
  </si>
  <si>
    <t>VALERIA PASTRANA ARRIETA</t>
  </si>
  <si>
    <t xml:space="preserve">GRUPO#6 </t>
  </si>
  <si>
    <t>JUAN PABLO QUIJANO GUEVARA</t>
  </si>
  <si>
    <t>GRUPO#7 CÓMO ES EL PERFIL DE DRUMMOND EN LOS NEGOCIOS INTERNACIONALES TENIENDO EN CUENTA LOS ASPECTOS LEGALES, TRIBUTARIOS, ADMINISTRATIVOS, MACROECONÓMICOS, ADUANEROS, TECNOLÓGICOS E INTERNACIONALES</t>
  </si>
  <si>
    <t>JOSE ANGEL VALLEJO REALES</t>
  </si>
  <si>
    <t>GRUPO#8 Análisis de los aspectos legales, tributarios, administrativos, macroeconómicos, aduaneros, tecnológicos e internacionales que definen el perfil de The Coca-Cola Company</t>
  </si>
  <si>
    <t>HENRY WILCHES DE LA ROSA</t>
  </si>
  <si>
    <t xml:space="preserve">GRUPO#9 </t>
  </si>
  <si>
    <t>CARLOS JULIO LOPEZ ALEMAN</t>
  </si>
  <si>
    <t>GRUPO#10</t>
  </si>
  <si>
    <t>DYLAN ANDRES RANGEL LOPEZ</t>
  </si>
  <si>
    <t>GRUPO#11</t>
  </si>
  <si>
    <t>SANTIAGO TANGARIFE PONCE</t>
  </si>
  <si>
    <t>GRUPO#12</t>
  </si>
  <si>
    <t>YURI MAR FUENMAYOR OSORIO</t>
  </si>
  <si>
    <t>YULEIDIS PAOLA MORENO DIAZ</t>
  </si>
  <si>
    <t>SHARONE JANNINE ORDOÑEZ ESCUDERO</t>
  </si>
  <si>
    <t>ISSAC DAVID ANGULO ZABALETA</t>
  </si>
  <si>
    <t>ANDRES FELIPE ARROYO PARRA</t>
  </si>
  <si>
    <t>DANNA ALEJANDRA CASTRO ESPINOSA</t>
  </si>
  <si>
    <t>JUAN DAVID LOPEZ VIDES</t>
  </si>
  <si>
    <t>ALEJANDRA MORENO VILLALOBO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</si>
  <si>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</si>
  <si>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</si>
  <si>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</si>
  <si>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</si>
  <si>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</si>
  <si>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</si>
  <si>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</si>
  <si>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</si>
  <si>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</si>
  <si>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</si>
  <si>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</si>
  <si>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</si>
  <si>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</si>
  <si>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</si>
  <si>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</si>
  <si>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</si>
  <si>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</si>
  <si>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</si>
  <si>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</si>
  <si>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</si>
  <si>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</si>
  <si>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</si>
  <si>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G10</t>
  </si>
  <si>
    <t>N</t>
  </si>
  <si>
    <t>G11</t>
  </si>
  <si>
    <t>G12</t>
  </si>
  <si>
    <t>N/A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</si>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</sst>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0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 wrapText="1"/>
      <protection locked="0"/>
    </xf>
    <xf numFmtId="0" fontId="4" fillId="10" borderId="17" xfId="0" applyFont="1" applyFill="1" applyBorder="1" applyAlignment="1" applyProtection="1">
      <alignment vertical="center" wrapText="1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1" zoomScaleNormal="91" workbookViewId="0">
      <selection activeCell="D54" sqref="D54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8" t="s">
        <v>0</v>
      </c>
      <c r="C2" s="189"/>
      <c r="D2" s="190"/>
      <c r="E2" s="101" t="s">
        <v>1</v>
      </c>
      <c r="F2" s="102" t="s">
        <v>2</v>
      </c>
      <c r="G2" s="101" t="s">
        <v>3</v>
      </c>
      <c r="H2" s="41">
        <v>3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2489</v>
      </c>
      <c r="D6" s="134">
        <v>2387</v>
      </c>
      <c r="E6" s="134">
        <v>2481</v>
      </c>
      <c r="F6" s="134">
        <v>1531</v>
      </c>
      <c r="G6" s="134">
        <v>1411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91" t="s">
        <v>22</v>
      </c>
      <c r="F8" s="192"/>
      <c r="G8" s="193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94" t="s">
        <v>26</v>
      </c>
      <c r="F9" s="195"/>
      <c r="G9" s="196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66" t="s">
        <v>29</v>
      </c>
      <c r="F10" s="167"/>
      <c r="G10" s="168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94" t="s">
        <v>32</v>
      </c>
      <c r="F11" s="195"/>
      <c r="G11" s="196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66" t="s">
        <v>35</v>
      </c>
      <c r="F12" s="167"/>
      <c r="G12" s="168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9" t="s">
        <v>37</v>
      </c>
      <c r="F13" s="170"/>
      <c r="G13" s="171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72"/>
      <c r="F14" s="164"/>
      <c r="G14" s="165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5"/>
      <c r="F15" s="176"/>
      <c r="G15" s="177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4"/>
      <c r="F17" s="184"/>
      <c r="G17" s="184"/>
      <c r="H17" s="184"/>
      <c r="I17" s="69" t="s">
        <v>46</v>
      </c>
    </row>
    <row r="18" spans="2:9" ht="15" customHeight="1" thickBot="1">
      <c r="B18" s="108">
        <v>10</v>
      </c>
      <c r="C18" s="111" t="s">
        <v>47</v>
      </c>
      <c r="E18" s="156" t="s">
        <v>48</v>
      </c>
      <c r="F18" s="157"/>
      <c r="G18" s="157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1" t="s">
        <v>51</v>
      </c>
      <c r="F19" s="182"/>
      <c r="G19" s="183"/>
      <c r="H19" s="138">
        <v>0.5</v>
      </c>
    </row>
    <row r="20" spans="2:9" ht="15" customHeight="1">
      <c r="B20" s="108">
        <v>12</v>
      </c>
      <c r="C20" s="111" t="s">
        <v>52</v>
      </c>
      <c r="E20" s="158" t="s">
        <v>53</v>
      </c>
      <c r="F20" s="159"/>
      <c r="G20" s="160"/>
      <c r="H20" s="139">
        <v>0.2</v>
      </c>
    </row>
    <row r="21" spans="2:9" ht="15" customHeight="1">
      <c r="B21" s="108">
        <v>13</v>
      </c>
      <c r="C21" s="111" t="s">
        <v>54</v>
      </c>
      <c r="E21" s="161" t="s">
        <v>55</v>
      </c>
      <c r="F21" s="162"/>
      <c r="G21" s="163"/>
      <c r="H21" s="140">
        <v>0.1</v>
      </c>
    </row>
    <row r="22" spans="2:9" ht="15" customHeight="1">
      <c r="B22" s="108">
        <v>14</v>
      </c>
      <c r="C22" s="111" t="s">
        <v>56</v>
      </c>
      <c r="E22" s="158" t="s">
        <v>57</v>
      </c>
      <c r="F22" s="164"/>
      <c r="G22" s="165"/>
      <c r="H22" s="139">
        <v>0.05</v>
      </c>
    </row>
    <row r="23" spans="2:9" ht="15" customHeight="1">
      <c r="B23" s="108">
        <v>15</v>
      </c>
      <c r="C23" s="111" t="s">
        <v>58</v>
      </c>
      <c r="E23" s="161" t="s">
        <v>59</v>
      </c>
      <c r="F23" s="162"/>
      <c r="G23" s="163"/>
      <c r="H23" s="141">
        <v>0.05</v>
      </c>
    </row>
    <row r="24" spans="2:9" ht="15" customHeight="1">
      <c r="B24" s="108">
        <v>16</v>
      </c>
      <c r="C24" s="111" t="s">
        <v>60</v>
      </c>
      <c r="E24" s="158" t="s">
        <v>61</v>
      </c>
      <c r="F24" s="159"/>
      <c r="G24" s="160"/>
      <c r="H24" s="139">
        <v>0.1</v>
      </c>
    </row>
    <row r="25" spans="2:9" ht="15" customHeight="1" thickBot="1">
      <c r="B25" s="108">
        <v>17</v>
      </c>
      <c r="C25" s="111" t="s">
        <v>62</v>
      </c>
      <c r="E25" s="178"/>
      <c r="F25" s="179"/>
      <c r="G25" s="180"/>
      <c r="H25" s="140"/>
    </row>
    <row r="26" spans="2:9" ht="15" customHeight="1" thickBo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65</v>
      </c>
      <c r="E28" s="185" t="s">
        <v>66</v>
      </c>
      <c r="F28" s="186"/>
      <c r="G28" s="186"/>
      <c r="H28" s="187"/>
    </row>
    <row r="29" spans="2:9" ht="15" customHeight="1" thickBot="1">
      <c r="B29" s="108">
        <v>21</v>
      </c>
      <c r="C29" s="111" t="s">
        <v>67</v>
      </c>
      <c r="E29" s="153" t="s">
        <v>68</v>
      </c>
      <c r="F29" s="154"/>
      <c r="G29" s="154"/>
      <c r="H29" s="155"/>
    </row>
    <row r="30" spans="2:9" ht="15" customHeight="1" thickBot="1">
      <c r="B30" s="108">
        <v>22</v>
      </c>
      <c r="C30" s="111" t="s">
        <v>69</v>
      </c>
      <c r="E30" s="150" t="s">
        <v>70</v>
      </c>
      <c r="F30" s="151"/>
      <c r="G30" s="151"/>
      <c r="H30" s="152"/>
    </row>
    <row r="31" spans="2:9" ht="15" customHeight="1" thickBot="1">
      <c r="B31" s="108">
        <v>23</v>
      </c>
      <c r="C31" s="111" t="s">
        <v>71</v>
      </c>
      <c r="E31" s="153" t="s">
        <v>72</v>
      </c>
      <c r="F31" s="154"/>
      <c r="G31" s="154"/>
      <c r="H31" s="155"/>
    </row>
    <row r="32" spans="2:9" ht="15" customHeight="1" thickBot="1">
      <c r="B32" s="108">
        <v>24</v>
      </c>
      <c r="C32" s="111" t="s">
        <v>73</v>
      </c>
      <c r="E32" s="150" t="s">
        <v>74</v>
      </c>
      <c r="F32" s="151"/>
      <c r="G32" s="151"/>
      <c r="H32" s="152"/>
    </row>
    <row r="33" spans="2:8" ht="15" customHeight="1" thickBot="1">
      <c r="B33" s="108">
        <v>25</v>
      </c>
      <c r="C33" s="111" t="s">
        <v>75</v>
      </c>
      <c r="E33" s="153" t="s">
        <v>76</v>
      </c>
      <c r="F33" s="154"/>
      <c r="G33" s="154"/>
      <c r="H33" s="155"/>
    </row>
    <row r="34" spans="2:8" ht="15" customHeight="1">
      <c r="B34" s="108">
        <v>26</v>
      </c>
      <c r="C34" s="111" t="s">
        <v>77</v>
      </c>
      <c r="E34" s="174" t="s">
        <v>78</v>
      </c>
      <c r="F34" s="151"/>
      <c r="G34" s="151"/>
      <c r="H34" s="152"/>
    </row>
    <row r="35" spans="2:8" ht="15" customHeight="1" thickBot="1">
      <c r="B35" s="108">
        <v>27</v>
      </c>
      <c r="C35" s="111" t="s">
        <v>79</v>
      </c>
      <c r="E35" s="153" t="s">
        <v>80</v>
      </c>
      <c r="F35" s="154"/>
      <c r="G35" s="154"/>
      <c r="H35" s="155"/>
    </row>
    <row r="36" spans="2:8" ht="15" customHeight="1" thickBot="1">
      <c r="B36" s="108">
        <v>28</v>
      </c>
      <c r="C36" s="111" t="s">
        <v>81</v>
      </c>
      <c r="E36" s="150" t="s">
        <v>82</v>
      </c>
      <c r="F36" s="151"/>
      <c r="G36" s="151"/>
      <c r="H36" s="152"/>
    </row>
    <row r="37" spans="2:8" ht="15" customHeight="1">
      <c r="B37" s="108">
        <v>29</v>
      </c>
      <c r="C37" s="111" t="s">
        <v>83</v>
      </c>
      <c r="E37" s="173" t="s">
        <v>84</v>
      </c>
      <c r="F37" s="154"/>
      <c r="G37" s="154"/>
      <c r="H37" s="155"/>
    </row>
    <row r="38" spans="2:8" ht="15" customHeight="1" thickBot="1">
      <c r="B38" s="108">
        <v>30</v>
      </c>
      <c r="C38" s="111" t="s">
        <v>85</v>
      </c>
      <c r="E38" s="150" t="s">
        <v>86</v>
      </c>
      <c r="F38" s="151"/>
      <c r="G38" s="151"/>
      <c r="H38" s="152"/>
    </row>
    <row r="39" spans="2:8" ht="15" customHeight="1" thickBot="1">
      <c r="B39" s="108">
        <v>31</v>
      </c>
      <c r="C39" s="111" t="s">
        <v>87</v>
      </c>
      <c r="E39" s="153" t="s">
        <v>88</v>
      </c>
      <c r="F39" s="154"/>
      <c r="G39" s="154"/>
      <c r="H39" s="155"/>
    </row>
    <row r="40" spans="2:8" ht="15" customHeight="1" thickBot="1">
      <c r="B40" s="108">
        <v>32</v>
      </c>
      <c r="C40" s="111" t="s">
        <v>89</v>
      </c>
      <c r="E40" s="150" t="s">
        <v>90</v>
      </c>
      <c r="F40" s="151"/>
      <c r="G40" s="151"/>
      <c r="H40" s="152"/>
    </row>
    <row r="41" spans="2:8" ht="15" customHeight="1" thickBot="1">
      <c r="B41" s="108">
        <v>33</v>
      </c>
      <c r="C41" s="111" t="s">
        <v>91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92</v>
      </c>
      <c r="E42" s="115" t="str">
        <f>MID(E29,1,20)</f>
        <v xml:space="preserve">GRUPO#1 Descripción </v>
      </c>
      <c r="F42" s="116" t="str">
        <f>MID(E30,1,20)</f>
        <v xml:space="preserve">GRUPO#2 ¿CUALES SON </v>
      </c>
      <c r="G42" s="116" t="str">
        <f>MID(E31,1,20)</f>
        <v xml:space="preserve">GRUPO#3 ¿Cuáles son </v>
      </c>
      <c r="H42" s="117" t="str">
        <f>MID(E32,1,20)</f>
        <v xml:space="preserve">GRUPO#4 </v>
      </c>
    </row>
    <row r="43" spans="2:8" ht="15" customHeight="1">
      <c r="B43" s="108">
        <v>35</v>
      </c>
      <c r="C43" s="111" t="s">
        <v>93</v>
      </c>
      <c r="E43" s="118" t="s">
        <v>25</v>
      </c>
      <c r="F43" s="119" t="s">
        <v>41</v>
      </c>
      <c r="G43" s="119" t="s">
        <v>50</v>
      </c>
      <c r="H43" s="120" t="s">
        <v>56</v>
      </c>
    </row>
    <row r="44" spans="2:8" ht="15" customHeight="1">
      <c r="B44" s="108">
        <v>36</v>
      </c>
      <c r="C44" s="111" t="s">
        <v>94</v>
      </c>
      <c r="E44" s="121" t="s">
        <v>28</v>
      </c>
      <c r="F44" s="122" t="s">
        <v>43</v>
      </c>
      <c r="G44" s="122" t="s">
        <v>52</v>
      </c>
      <c r="H44" s="123" t="s">
        <v>58</v>
      </c>
    </row>
    <row r="45" spans="2:8" ht="15" customHeight="1">
      <c r="B45" s="108">
        <v>37</v>
      </c>
      <c r="C45" s="111" t="s">
        <v>95</v>
      </c>
      <c r="E45" s="124" t="s">
        <v>31</v>
      </c>
      <c r="F45" s="125" t="s">
        <v>45</v>
      </c>
      <c r="G45" s="125" t="s">
        <v>54</v>
      </c>
      <c r="H45" s="126" t="s">
        <v>60</v>
      </c>
    </row>
    <row r="46" spans="2:8" ht="15" customHeight="1">
      <c r="B46" s="108">
        <v>38</v>
      </c>
      <c r="C46" s="111" t="s">
        <v>96</v>
      </c>
      <c r="E46" s="121" t="s">
        <v>34</v>
      </c>
      <c r="F46" s="122" t="s">
        <v>47</v>
      </c>
      <c r="G46" s="122"/>
      <c r="H46" s="123" t="s">
        <v>62</v>
      </c>
    </row>
    <row r="47" spans="2:8" ht="15" customHeight="1">
      <c r="B47" s="108">
        <v>39</v>
      </c>
      <c r="C47" s="111" t="s">
        <v>97</v>
      </c>
      <c r="E47" s="124" t="s">
        <v>36</v>
      </c>
      <c r="F47" s="125"/>
      <c r="G47" s="125"/>
      <c r="H47" s="126" t="s">
        <v>63</v>
      </c>
    </row>
    <row r="48" spans="2:8" ht="15" customHeight="1" thickBot="1">
      <c r="B48" s="108">
        <v>40</v>
      </c>
      <c r="C48" s="111" t="s">
        <v>98</v>
      </c>
      <c r="E48" s="127" t="s">
        <v>39</v>
      </c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Cuáles son l</v>
      </c>
      <c r="F50" s="116" t="str">
        <f>MID(E34,1,20)</f>
        <v xml:space="preserve">GRUPO#6 </v>
      </c>
      <c r="G50" s="116" t="str">
        <f>MID(E35,1,20)</f>
        <v>GRUPO#7 CÓMO ES EL P</v>
      </c>
      <c r="H50" s="117" t="str">
        <f>MID(E36,1,20)</f>
        <v xml:space="preserve">GRUPO#8 Análisis de </v>
      </c>
    </row>
    <row r="51" spans="2:8" ht="15" customHeight="1">
      <c r="B51" s="108">
        <v>43</v>
      </c>
      <c r="C51" s="111"/>
      <c r="E51" s="118" t="s">
        <v>64</v>
      </c>
      <c r="F51" s="119" t="s">
        <v>73</v>
      </c>
      <c r="G51" s="119" t="s">
        <v>85</v>
      </c>
      <c r="H51" s="120" t="s">
        <v>91</v>
      </c>
    </row>
    <row r="52" spans="2:8" ht="15" customHeight="1">
      <c r="B52" s="108">
        <v>44</v>
      </c>
      <c r="C52" s="111"/>
      <c r="E52" s="121" t="s">
        <v>65</v>
      </c>
      <c r="F52" s="122" t="s">
        <v>75</v>
      </c>
      <c r="G52" s="122" t="s">
        <v>87</v>
      </c>
      <c r="H52" s="123" t="s">
        <v>92</v>
      </c>
    </row>
    <row r="53" spans="2:8" ht="15" customHeight="1">
      <c r="B53" s="108">
        <v>45</v>
      </c>
      <c r="C53" s="111"/>
      <c r="E53" s="124" t="s">
        <v>67</v>
      </c>
      <c r="F53" s="125" t="s">
        <v>77</v>
      </c>
      <c r="G53" s="125" t="s">
        <v>89</v>
      </c>
      <c r="H53" s="126" t="s">
        <v>93</v>
      </c>
    </row>
    <row r="54" spans="2:8" ht="15" customHeight="1">
      <c r="B54" s="108">
        <v>46</v>
      </c>
      <c r="C54" s="111"/>
      <c r="E54" s="121" t="s">
        <v>69</v>
      </c>
      <c r="F54" s="122" t="s">
        <v>79</v>
      </c>
      <c r="G54" s="122"/>
      <c r="H54" s="123"/>
    </row>
    <row r="55" spans="2:8" ht="15" customHeight="1">
      <c r="B55" s="108">
        <v>47</v>
      </c>
      <c r="C55" s="111"/>
      <c r="E55" s="124" t="s">
        <v>71</v>
      </c>
      <c r="F55" s="125" t="s">
        <v>81</v>
      </c>
      <c r="G55" s="125"/>
      <c r="H55" s="126"/>
    </row>
    <row r="56" spans="2:8" ht="15" customHeight="1" thickBot="1">
      <c r="B56" s="108">
        <v>48</v>
      </c>
      <c r="C56" s="111"/>
      <c r="E56" s="127"/>
      <c r="F56" s="128" t="s">
        <v>83</v>
      </c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 xml:space="preserve">GRUPO#9 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 t="s">
        <v>94</v>
      </c>
      <c r="F59" s="119"/>
      <c r="G59" s="119"/>
      <c r="H59" s="120"/>
    </row>
    <row r="60" spans="2:8" ht="15" customHeight="1">
      <c r="E60" s="121" t="s">
        <v>95</v>
      </c>
      <c r="F60" s="122"/>
      <c r="G60" s="122"/>
      <c r="H60" s="123"/>
    </row>
    <row r="61" spans="2:8" ht="15" customHeight="1">
      <c r="E61" s="124" t="s">
        <v>96</v>
      </c>
      <c r="F61" s="125"/>
      <c r="G61" s="125"/>
      <c r="H61" s="126"/>
    </row>
    <row r="62" spans="2:8" ht="15" customHeight="1">
      <c r="E62" s="121" t="s">
        <v>97</v>
      </c>
      <c r="F62" s="122"/>
      <c r="G62" s="122"/>
      <c r="H62" s="123"/>
    </row>
    <row r="63" spans="2:8" ht="15" customHeight="1">
      <c r="E63" s="124" t="s">
        <v>98</v>
      </c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BsK8VoKbYzOWYAosCi6wVgFteYT/J1PPqqSJ3/Ky4P2slPu0AVtasOA0dvrMFA8ClhJcKYsgwaftCaaov+tW0w==" saltValue="3ILdsqygGch1MPInfWOhMA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5" activePane="bottomRight" state="frozen"/>
      <selection pane="bottomRight" activeCell="F5" sqref="F5:L5"/>
      <selection pane="bottomLeft" activeCell="F5" sqref="F5:L5"/>
      <selection pane="topRight" activeCell="F5" sqref="F5:L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2"/>
      <c r="H1" s="20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LEGISLACION PARA EL COMERCIO</v>
      </c>
      <c r="C2" s="82"/>
      <c r="D2" s="3"/>
      <c r="F2" s="204" t="s">
        <v>99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CONCATENATE(LIDER!C4," - ",LIDER!C6," - ",LIDER!C5)</f>
        <v>LEGISLACION PARA EL COMERCIO - 2489 - HAROLD ANTONIO CUADRO VELASQUEZ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>GRUPO#1 Descripción de los Aspectos Internacionales, Macroeconómicos, Legales, administrativos, aduaneros y tecnológicos de Progan del Caribe S.A.S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EDINSON ANDRES CASTRO PADILLA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</v>
      </c>
      <c r="F6" s="200">
        <v>4.5</v>
      </c>
      <c r="G6" s="197">
        <v>4.5</v>
      </c>
      <c r="H6" s="198">
        <v>4.5</v>
      </c>
      <c r="I6" s="197">
        <v>4.5</v>
      </c>
      <c r="J6" s="198">
        <v>5</v>
      </c>
      <c r="K6" s="197"/>
      <c r="L6" s="198"/>
    </row>
    <row r="7" spans="1:12" s="2" customFormat="1" ht="15" customHeight="1">
      <c r="A7" s="12">
        <v>2</v>
      </c>
      <c r="B7" s="10" t="str">
        <f>LIDER!E44</f>
        <v>MATEO ANDRÉS CUESTA DÍAZ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</v>
      </c>
      <c r="F7" s="200"/>
      <c r="G7" s="197"/>
      <c r="H7" s="198"/>
      <c r="I7" s="197"/>
      <c r="J7" s="198"/>
      <c r="K7" s="197"/>
      <c r="L7" s="198"/>
    </row>
    <row r="8" spans="1:12" s="2" customFormat="1" ht="15" customHeight="1">
      <c r="A8" s="12">
        <v>3</v>
      </c>
      <c r="B8" s="10" t="str">
        <f>LIDER!E45</f>
        <v>LUKASS GIRALDO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</v>
      </c>
      <c r="F8" s="200"/>
      <c r="G8" s="197"/>
      <c r="H8" s="198"/>
      <c r="I8" s="197"/>
      <c r="J8" s="198"/>
      <c r="K8" s="197"/>
      <c r="L8" s="198"/>
    </row>
    <row r="9" spans="1:12" s="2" customFormat="1" ht="15" customHeight="1">
      <c r="A9" s="12">
        <v>4</v>
      </c>
      <c r="B9" s="10" t="str">
        <f>LIDER!E46</f>
        <v>LOREINES OSPINO HERNÁNDEZ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</v>
      </c>
      <c r="F9" s="200"/>
      <c r="G9" s="197"/>
      <c r="H9" s="198"/>
      <c r="I9" s="197"/>
      <c r="J9" s="198"/>
      <c r="K9" s="197"/>
      <c r="L9" s="198"/>
    </row>
    <row r="10" spans="1:12" s="2" customFormat="1" ht="15" customHeight="1">
      <c r="A10" s="12">
        <v>5</v>
      </c>
      <c r="B10" s="10" t="str">
        <f>LIDER!E47</f>
        <v>LAURA SOFÍA PÉREZ ARÉVALO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4.55</v>
      </c>
      <c r="F10" s="200"/>
      <c r="G10" s="197"/>
      <c r="H10" s="198"/>
      <c r="I10" s="197"/>
      <c r="J10" s="198"/>
      <c r="K10" s="197"/>
      <c r="L10" s="198"/>
    </row>
    <row r="11" spans="1:12" s="2" customFormat="1" ht="15.75" customHeight="1" thickBot="1">
      <c r="A11" s="13">
        <v>6</v>
      </c>
      <c r="B11" s="91" t="str">
        <f>LIDER!E48</f>
        <v>VALERY DANIELA SAENZ WATTS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4.55</v>
      </c>
      <c r="F11" s="200"/>
      <c r="G11" s="197"/>
      <c r="H11" s="198"/>
      <c r="I11" s="197"/>
      <c r="J11" s="198"/>
      <c r="K11" s="197"/>
      <c r="L11" s="198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CRISTINA CAÑATE MERCADO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</v>
      </c>
      <c r="F13" s="200">
        <v>4</v>
      </c>
      <c r="G13" s="197">
        <v>4</v>
      </c>
      <c r="H13" s="198">
        <v>4</v>
      </c>
      <c r="I13" s="197">
        <v>1</v>
      </c>
      <c r="J13" s="198">
        <v>5</v>
      </c>
      <c r="K13" s="197"/>
      <c r="L13" s="198"/>
    </row>
    <row r="14" spans="1:12" s="2" customFormat="1" ht="15" customHeight="1">
      <c r="A14" s="12">
        <v>2</v>
      </c>
      <c r="B14" s="10" t="str">
        <f>LIDER!F44</f>
        <v>KARINA MARRUGO MEZA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</v>
      </c>
      <c r="F14" s="200"/>
      <c r="G14" s="197"/>
      <c r="H14" s="198"/>
      <c r="I14" s="197"/>
      <c r="J14" s="198"/>
      <c r="K14" s="197"/>
      <c r="L14" s="198"/>
    </row>
    <row r="15" spans="1:12" s="2" customFormat="1" ht="15" customHeight="1">
      <c r="A15" s="12">
        <v>3</v>
      </c>
      <c r="B15" s="10" t="str">
        <f>LIDER!F45</f>
        <v>HILARYS CAROLINA PATERNINA DONADO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</v>
      </c>
      <c r="F15" s="200"/>
      <c r="G15" s="197"/>
      <c r="H15" s="198"/>
      <c r="I15" s="197"/>
      <c r="J15" s="198"/>
      <c r="K15" s="197"/>
      <c r="L15" s="198"/>
    </row>
    <row r="16" spans="1:12" s="2" customFormat="1" ht="15" customHeight="1">
      <c r="A16" s="12">
        <v>4</v>
      </c>
      <c r="B16" s="10" t="str">
        <f>LIDER!F46</f>
        <v>MATEO QUINTANA SERNA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</v>
      </c>
      <c r="F16" s="200"/>
      <c r="G16" s="197"/>
      <c r="H16" s="198"/>
      <c r="I16" s="197"/>
      <c r="J16" s="198"/>
      <c r="K16" s="197"/>
      <c r="L16" s="198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8"/>
      <c r="I17" s="197"/>
      <c r="J17" s="198"/>
      <c r="K17" s="197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8"/>
      <c r="I18" s="197"/>
      <c r="J18" s="198"/>
      <c r="K18" s="197"/>
      <c r="L18" s="198"/>
    </row>
    <row r="19" spans="1:12" s="2" customFormat="1" ht="15.75" customHeight="1">
      <c r="A19" s="14"/>
      <c r="B19" s="25" t="s">
        <v>107</v>
      </c>
      <c r="C19" s="88" t="s">
        <v>108</v>
      </c>
      <c r="D19" s="32" t="str">
        <f>D12</f>
        <v>LIST</v>
      </c>
      <c r="E19" s="89" t="s">
        <v>104</v>
      </c>
      <c r="F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YULEDIS BECERRA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2.08</v>
      </c>
      <c r="F20" s="200">
        <v>3.7</v>
      </c>
      <c r="G20" s="197">
        <v>3.7</v>
      </c>
      <c r="H20" s="198">
        <v>1</v>
      </c>
      <c r="I20" s="197">
        <v>1</v>
      </c>
      <c r="J20" s="198">
        <v>1</v>
      </c>
      <c r="K20" s="197"/>
      <c r="L20" s="198"/>
    </row>
    <row r="21" spans="1:12" s="2" customFormat="1" ht="15" customHeight="1">
      <c r="A21" s="12">
        <v>2</v>
      </c>
      <c r="B21" s="10" t="str">
        <f>LIDER!G44</f>
        <v>JULIO ALBERTO LANCHEROS PACHECO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2.08</v>
      </c>
      <c r="F21" s="200"/>
      <c r="G21" s="197"/>
      <c r="H21" s="198"/>
      <c r="I21" s="197"/>
      <c r="J21" s="198"/>
      <c r="K21" s="197"/>
      <c r="L21" s="198"/>
    </row>
    <row r="22" spans="1:12" s="2" customFormat="1" ht="15" customHeight="1">
      <c r="A22" s="12">
        <v>3</v>
      </c>
      <c r="B22" s="10" t="str">
        <f>LIDER!G45</f>
        <v>NELCY CAROLINA MEZA PÉREZ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2.08</v>
      </c>
      <c r="F22" s="200"/>
      <c r="G22" s="197"/>
      <c r="H22" s="198"/>
      <c r="I22" s="197"/>
      <c r="J22" s="198"/>
      <c r="K22" s="197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8"/>
      <c r="I23" s="197"/>
      <c r="J23" s="198"/>
      <c r="K23" s="197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8"/>
      <c r="I24" s="197"/>
      <c r="J24" s="198"/>
      <c r="K24" s="197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8"/>
      <c r="I25" s="197"/>
      <c r="J25" s="198"/>
      <c r="K25" s="197"/>
      <c r="L25" s="198"/>
    </row>
    <row r="26" spans="1:12" s="2" customFormat="1" ht="15.75" customHeight="1">
      <c r="A26" s="14"/>
      <c r="B26" s="25" t="s">
        <v>109</v>
      </c>
      <c r="C26" s="88" t="s">
        <v>110</v>
      </c>
      <c r="D26" s="32" t="str">
        <f>D19</f>
        <v>LIST</v>
      </c>
      <c r="E26" s="89" t="s">
        <v>104</v>
      </c>
      <c r="F26" s="199" t="str">
        <f>LIDER!$E$32</f>
        <v xml:space="preserve">GRUPO#4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HELENA ISABEL ALVAREZ CORTINA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3.24</v>
      </c>
      <c r="F27" s="200">
        <v>4</v>
      </c>
      <c r="G27" s="197">
        <v>4.2</v>
      </c>
      <c r="H27" s="198">
        <v>3</v>
      </c>
      <c r="I27" s="197">
        <v>1</v>
      </c>
      <c r="J27" s="198">
        <v>5</v>
      </c>
      <c r="K27" s="197"/>
      <c r="L27" s="198"/>
    </row>
    <row r="28" spans="1:12" s="2" customFormat="1" ht="15" customHeight="1">
      <c r="A28" s="12">
        <v>2</v>
      </c>
      <c r="B28" s="10" t="str">
        <f>LIDER!H44</f>
        <v>ANDREA KAROLAY CARRILLO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3.24</v>
      </c>
      <c r="F28" s="200"/>
      <c r="G28" s="197"/>
      <c r="H28" s="198"/>
      <c r="I28" s="197"/>
      <c r="J28" s="198"/>
      <c r="K28" s="197"/>
      <c r="L28" s="198"/>
    </row>
    <row r="29" spans="1:12" s="2" customFormat="1" ht="15" customHeight="1">
      <c r="A29" s="12">
        <v>3</v>
      </c>
      <c r="B29" s="10" t="str">
        <f>LIDER!H45</f>
        <v>MELANY ANDREA FLÓREZ ALMANZA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3.24</v>
      </c>
      <c r="F29" s="200"/>
      <c r="G29" s="197"/>
      <c r="H29" s="198"/>
      <c r="I29" s="197"/>
      <c r="J29" s="198"/>
      <c r="K29" s="197"/>
      <c r="L29" s="198"/>
    </row>
    <row r="30" spans="1:12" s="2" customFormat="1" ht="15" customHeight="1">
      <c r="A30" s="12">
        <v>4</v>
      </c>
      <c r="B30" s="10" t="str">
        <f>LIDER!H46</f>
        <v>JUAN SEBASTIAN PRENS BOSSIO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3.24</v>
      </c>
      <c r="F30" s="200"/>
      <c r="G30" s="197"/>
      <c r="H30" s="198"/>
      <c r="I30" s="197"/>
      <c r="J30" s="198"/>
      <c r="K30" s="197"/>
      <c r="L30" s="198"/>
    </row>
    <row r="31" spans="1:12" s="2" customFormat="1" ht="15" customHeight="1">
      <c r="A31" s="12">
        <v>5</v>
      </c>
      <c r="B31" s="10" t="str">
        <f>LIDER!H47</f>
        <v>ALEXANDER DUBAN PROTZKAR DE LA HOZ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3.24</v>
      </c>
      <c r="F31" s="200"/>
      <c r="G31" s="197"/>
      <c r="H31" s="198"/>
      <c r="I31" s="197"/>
      <c r="J31" s="198"/>
      <c r="K31" s="197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8"/>
      <c r="I32" s="197"/>
      <c r="J32" s="198"/>
      <c r="K32" s="197"/>
      <c r="L32" s="198"/>
    </row>
    <row r="33" spans="1:12" s="2" customFormat="1" ht="15.75" customHeight="1">
      <c r="A33" s="14"/>
      <c r="B33" s="25" t="s">
        <v>111</v>
      </c>
      <c r="C33" s="88" t="s">
        <v>112</v>
      </c>
      <c r="D33" s="32" t="str">
        <f>D26</f>
        <v>LIST</v>
      </c>
      <c r="E33" s="89" t="s">
        <v>104</v>
      </c>
      <c r="F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SIARA LUCIA CHAMS CARBALLO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3.7600000000000002</v>
      </c>
      <c r="F34" s="200">
        <v>3.5</v>
      </c>
      <c r="G34" s="197">
        <v>3.8</v>
      </c>
      <c r="H34" s="198">
        <v>4</v>
      </c>
      <c r="I34" s="197">
        <v>3.5</v>
      </c>
      <c r="J34" s="198">
        <v>4</v>
      </c>
      <c r="K34" s="197"/>
      <c r="L34" s="198"/>
    </row>
    <row r="35" spans="1:12" s="2" customFormat="1" ht="15" customHeight="1">
      <c r="A35" s="12">
        <v>2</v>
      </c>
      <c r="B35" s="10" t="str">
        <f>LIDER!E52</f>
        <v>LUCINDA GARCIA CASTRO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3.7600000000000002</v>
      </c>
      <c r="F35" s="200"/>
      <c r="G35" s="197"/>
      <c r="H35" s="198"/>
      <c r="I35" s="197"/>
      <c r="J35" s="198"/>
      <c r="K35" s="197"/>
      <c r="L35" s="198"/>
    </row>
    <row r="36" spans="1:12" s="2" customFormat="1" ht="15" customHeight="1">
      <c r="A36" s="12">
        <v>3</v>
      </c>
      <c r="B36" s="10" t="str">
        <f>LIDER!E53</f>
        <v>SAMUEL DVID JULIO BARRIOS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3.7600000000000002</v>
      </c>
      <c r="F36" s="200"/>
      <c r="G36" s="197"/>
      <c r="H36" s="198"/>
      <c r="I36" s="197"/>
      <c r="J36" s="198"/>
      <c r="K36" s="197"/>
      <c r="L36" s="198"/>
    </row>
    <row r="37" spans="1:12" s="2" customFormat="1" ht="15" customHeight="1">
      <c r="A37" s="12">
        <v>4</v>
      </c>
      <c r="B37" s="10" t="str">
        <f>LIDER!E54</f>
        <v>LAUREN CAROLINA MARTINEZ LICONA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3.7600000000000002</v>
      </c>
      <c r="F37" s="200"/>
      <c r="G37" s="197"/>
      <c r="H37" s="198"/>
      <c r="I37" s="197"/>
      <c r="J37" s="198"/>
      <c r="K37" s="197"/>
      <c r="L37" s="198"/>
    </row>
    <row r="38" spans="1:12" s="2" customFormat="1" ht="15" customHeight="1">
      <c r="A38" s="12">
        <v>5</v>
      </c>
      <c r="B38" s="10" t="str">
        <f>LIDER!E55</f>
        <v>ASLLY MARGARITA RINCON MATTOS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3.7600000000000002</v>
      </c>
      <c r="F38" s="200"/>
      <c r="G38" s="197"/>
      <c r="H38" s="198"/>
      <c r="I38" s="197"/>
      <c r="J38" s="198"/>
      <c r="K38" s="197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8"/>
      <c r="I39" s="197"/>
      <c r="J39" s="198"/>
      <c r="K39" s="197"/>
      <c r="L39" s="198"/>
    </row>
    <row r="40" spans="1:12" s="2" customFormat="1" ht="15.75" customHeight="1">
      <c r="A40" s="14"/>
      <c r="B40" s="25" t="s">
        <v>113</v>
      </c>
      <c r="C40" s="88" t="s">
        <v>114</v>
      </c>
      <c r="D40" s="32" t="str">
        <f>D33</f>
        <v>LIST</v>
      </c>
      <c r="E40" s="89" t="s">
        <v>104</v>
      </c>
      <c r="F40" s="199" t="str">
        <f>LIDER!$E$34</f>
        <v xml:space="preserve">GRUPO#6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YEIDER SANTIAGO BOHORQUEZ GONZALEZ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2.7</v>
      </c>
      <c r="F41" s="200">
        <v>3.5</v>
      </c>
      <c r="G41" s="197">
        <v>3.5</v>
      </c>
      <c r="H41" s="198">
        <v>2</v>
      </c>
      <c r="I41" s="197">
        <v>3.5</v>
      </c>
      <c r="J41" s="198">
        <v>0</v>
      </c>
      <c r="K41" s="197"/>
      <c r="L41" s="198"/>
    </row>
    <row r="42" spans="1:12" s="2" customFormat="1" ht="15" customHeight="1">
      <c r="A42" s="12">
        <v>2</v>
      </c>
      <c r="B42" s="10" t="str">
        <f>LIDER!F52</f>
        <v>ELIAN MANUEL PACHECO BELTRAN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2.7</v>
      </c>
      <c r="F42" s="200"/>
      <c r="G42" s="197"/>
      <c r="H42" s="198"/>
      <c r="I42" s="197"/>
      <c r="J42" s="198"/>
      <c r="K42" s="197"/>
      <c r="L42" s="198"/>
    </row>
    <row r="43" spans="1:12" s="2" customFormat="1" ht="15" customHeight="1">
      <c r="A43" s="12">
        <v>3</v>
      </c>
      <c r="B43" s="10" t="str">
        <f>LIDER!F53</f>
        <v>VALERIA PASTRANA ARRIETA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2.7</v>
      </c>
      <c r="F43" s="200"/>
      <c r="G43" s="197"/>
      <c r="H43" s="198"/>
      <c r="I43" s="197"/>
      <c r="J43" s="198"/>
      <c r="K43" s="197"/>
      <c r="L43" s="198"/>
    </row>
    <row r="44" spans="1:12" s="2" customFormat="1" ht="15" customHeight="1">
      <c r="A44" s="12">
        <v>4</v>
      </c>
      <c r="B44" s="10" t="str">
        <f>LIDER!F54</f>
        <v>JUAN PABLO QUIJANO GUEVARA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2.7</v>
      </c>
      <c r="F44" s="200"/>
      <c r="G44" s="197"/>
      <c r="H44" s="198"/>
      <c r="I44" s="197"/>
      <c r="J44" s="198"/>
      <c r="K44" s="197"/>
      <c r="L44" s="198"/>
    </row>
    <row r="45" spans="1:12" s="2" customFormat="1" ht="15" customHeight="1">
      <c r="A45" s="12">
        <v>5</v>
      </c>
      <c r="B45" s="10" t="str">
        <f>LIDER!F55</f>
        <v>JOSE ANGEL VALLEJO REALES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2.7</v>
      </c>
      <c r="F45" s="200"/>
      <c r="G45" s="197"/>
      <c r="H45" s="198"/>
      <c r="I45" s="197"/>
      <c r="J45" s="198"/>
      <c r="K45" s="197"/>
      <c r="L45" s="198"/>
    </row>
    <row r="46" spans="1:12" s="2" customFormat="1" ht="15.75" customHeight="1">
      <c r="A46" s="13">
        <v>6</v>
      </c>
      <c r="B46" s="91" t="str">
        <f>LIDER!F56</f>
        <v>HENRY WILCHES DE LA ROSA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2.7</v>
      </c>
      <c r="F46" s="200"/>
      <c r="G46" s="197"/>
      <c r="H46" s="198"/>
      <c r="I46" s="197"/>
      <c r="J46" s="198"/>
      <c r="K46" s="197"/>
      <c r="L46" s="198"/>
    </row>
    <row r="47" spans="1:12" s="2" customFormat="1" ht="15.75" customHeight="1">
      <c r="A47" s="14"/>
      <c r="B47" s="25" t="s">
        <v>115</v>
      </c>
      <c r="C47" s="88" t="s">
        <v>116</v>
      </c>
      <c r="D47" s="32" t="str">
        <f>D40</f>
        <v>LIST</v>
      </c>
      <c r="E47" s="89" t="s">
        <v>104</v>
      </c>
      <c r="F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CARLOS JULIO LOPEZ ALEMAN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3.3</v>
      </c>
      <c r="F48" s="200">
        <v>4</v>
      </c>
      <c r="G48" s="197">
        <v>4</v>
      </c>
      <c r="H48" s="198">
        <v>3</v>
      </c>
      <c r="I48" s="197">
        <v>4</v>
      </c>
      <c r="J48" s="198">
        <v>0</v>
      </c>
      <c r="K48" s="197"/>
      <c r="L48" s="198"/>
    </row>
    <row r="49" spans="1:12" s="2" customFormat="1" ht="15" customHeight="1">
      <c r="A49" s="12">
        <v>2</v>
      </c>
      <c r="B49" s="10" t="str">
        <f>LIDER!G52</f>
        <v>DYLAN ANDRES RANGEL LOPEZ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3.3</v>
      </c>
      <c r="F49" s="200"/>
      <c r="G49" s="197"/>
      <c r="H49" s="198"/>
      <c r="I49" s="197"/>
      <c r="J49" s="198"/>
      <c r="K49" s="197"/>
      <c r="L49" s="198"/>
    </row>
    <row r="50" spans="1:12" s="2" customFormat="1" ht="15" customHeight="1">
      <c r="A50" s="12">
        <v>3</v>
      </c>
      <c r="B50" s="10" t="str">
        <f>LIDER!G53</f>
        <v>SANTIAGO TANGARIFE PONCE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3.3</v>
      </c>
      <c r="F50" s="200"/>
      <c r="G50" s="197"/>
      <c r="H50" s="198"/>
      <c r="I50" s="197"/>
      <c r="J50" s="198"/>
      <c r="K50" s="197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8"/>
      <c r="I51" s="197"/>
      <c r="J51" s="198"/>
      <c r="K51" s="197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8"/>
      <c r="I52" s="197"/>
      <c r="J52" s="198"/>
      <c r="K52" s="197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8"/>
      <c r="I53" s="197"/>
      <c r="J53" s="198"/>
      <c r="K53" s="197"/>
      <c r="L53" s="198"/>
    </row>
    <row r="54" spans="1:12" s="2" customFormat="1" ht="15.75" customHeight="1">
      <c r="A54" s="14"/>
      <c r="B54" s="25" t="s">
        <v>117</v>
      </c>
      <c r="C54" s="88" t="s">
        <v>118</v>
      </c>
      <c r="D54" s="32" t="str">
        <f>D47</f>
        <v>LIST</v>
      </c>
      <c r="E54" s="89" t="s">
        <v>104</v>
      </c>
      <c r="F54" s="199" t="str">
        <f>LIDER!$E$36</f>
        <v>GRUPO#8 Análisis de los aspectos legales, tributarios, administrativos, macroeconómicos, aduaneros, tecnológicos e internacionales que definen el perfil de The Coca-Cola Company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YURI MAR FUENMAYOR OSORIO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4.26</v>
      </c>
      <c r="F55" s="200">
        <v>4.2</v>
      </c>
      <c r="G55" s="197">
        <v>4.2</v>
      </c>
      <c r="H55" s="198">
        <v>4</v>
      </c>
      <c r="I55" s="197">
        <v>4.4000000000000004</v>
      </c>
      <c r="J55" s="198">
        <v>5</v>
      </c>
      <c r="K55" s="197"/>
      <c r="L55" s="198"/>
    </row>
    <row r="56" spans="1:12" s="2" customFormat="1" ht="15" customHeight="1">
      <c r="A56" s="12">
        <v>2</v>
      </c>
      <c r="B56" s="10" t="str">
        <f>LIDER!H52</f>
        <v>YULEIDIS PAOLA MORENO DIAZ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4.26</v>
      </c>
      <c r="F56" s="200"/>
      <c r="G56" s="197"/>
      <c r="H56" s="198"/>
      <c r="I56" s="197"/>
      <c r="J56" s="198"/>
      <c r="K56" s="197"/>
      <c r="L56" s="198"/>
    </row>
    <row r="57" spans="1:12" s="2" customFormat="1" ht="15" customHeight="1">
      <c r="A57" s="12">
        <v>3</v>
      </c>
      <c r="B57" s="10" t="str">
        <f>LIDER!H53</f>
        <v>SHARONE JANNINE ORDOÑEZ ESCUDERO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4.26</v>
      </c>
      <c r="F57" s="200"/>
      <c r="G57" s="197"/>
      <c r="H57" s="198"/>
      <c r="I57" s="197"/>
      <c r="J57" s="198"/>
      <c r="K57" s="197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8"/>
      <c r="I58" s="197"/>
      <c r="J58" s="198"/>
      <c r="K58" s="197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8"/>
      <c r="I59" s="197"/>
      <c r="J59" s="198"/>
      <c r="K59" s="197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8"/>
      <c r="I60" s="197"/>
      <c r="J60" s="198"/>
      <c r="K60" s="197"/>
      <c r="L60" s="198"/>
    </row>
    <row r="61" spans="1:12" s="2" customFormat="1" ht="15.75" customHeight="1">
      <c r="A61" s="14"/>
      <c r="B61" s="25" t="s">
        <v>119</v>
      </c>
      <c r="C61" s="88" t="s">
        <v>120</v>
      </c>
      <c r="D61" s="32" t="str">
        <f>D54</f>
        <v>LIST</v>
      </c>
      <c r="E61" s="89" t="s">
        <v>104</v>
      </c>
      <c r="F61" s="199" t="str">
        <f>LIDER!$E$37</f>
        <v xml:space="preserve">GRUPO#9 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ISSAC DAVID ANGULO ZABALETA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3.12</v>
      </c>
      <c r="F62" s="200">
        <v>4</v>
      </c>
      <c r="G62" s="197">
        <v>4</v>
      </c>
      <c r="H62" s="198">
        <v>3</v>
      </c>
      <c r="I62" s="197">
        <v>1</v>
      </c>
      <c r="J62" s="198">
        <v>4.2</v>
      </c>
      <c r="K62" s="197"/>
      <c r="L62" s="198"/>
    </row>
    <row r="63" spans="1:12" s="2" customFormat="1" ht="15" customHeight="1">
      <c r="A63" s="12">
        <v>2</v>
      </c>
      <c r="B63" s="10" t="str">
        <f>LIDER!E60</f>
        <v>ANDRES FELIPE ARROYO PARRA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3.12</v>
      </c>
      <c r="F63" s="200"/>
      <c r="G63" s="197"/>
      <c r="H63" s="198"/>
      <c r="I63" s="197"/>
      <c r="J63" s="198"/>
      <c r="K63" s="197"/>
      <c r="L63" s="198"/>
    </row>
    <row r="64" spans="1:12" s="2" customFormat="1" ht="15" customHeight="1">
      <c r="A64" s="12">
        <v>3</v>
      </c>
      <c r="B64" s="10" t="str">
        <f>LIDER!E61</f>
        <v>DANNA ALEJANDRA CASTRO ESPINOSA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3.12</v>
      </c>
      <c r="F64" s="200"/>
      <c r="G64" s="197"/>
      <c r="H64" s="198"/>
      <c r="I64" s="197"/>
      <c r="J64" s="198"/>
      <c r="K64" s="197"/>
      <c r="L64" s="198"/>
    </row>
    <row r="65" spans="1:12" s="2" customFormat="1" ht="15" customHeight="1">
      <c r="A65" s="12">
        <v>4</v>
      </c>
      <c r="B65" s="10" t="str">
        <f>LIDER!E62</f>
        <v>JUAN DAVID LOPEZ VIDES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3.12</v>
      </c>
      <c r="F65" s="200"/>
      <c r="G65" s="197"/>
      <c r="H65" s="198"/>
      <c r="I65" s="197"/>
      <c r="J65" s="198"/>
      <c r="K65" s="197"/>
      <c r="L65" s="198"/>
    </row>
    <row r="66" spans="1:12" s="2" customFormat="1" ht="15" customHeight="1">
      <c r="A66" s="12">
        <v>5</v>
      </c>
      <c r="B66" s="10" t="str">
        <f>LIDER!E63</f>
        <v>ALEJANDRA MORENO VILLALOBO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3.12</v>
      </c>
      <c r="F66" s="200"/>
      <c r="G66" s="197"/>
      <c r="H66" s="198"/>
      <c r="I66" s="197"/>
      <c r="J66" s="198"/>
      <c r="K66" s="197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8"/>
      <c r="I67" s="197"/>
      <c r="J67" s="198"/>
      <c r="K67" s="197"/>
      <c r="L67" s="198"/>
    </row>
    <row r="68" spans="1:12" s="2" customFormat="1" ht="15.75" customHeight="1">
      <c r="A68" s="14"/>
      <c r="B68" s="25" t="s">
        <v>86</v>
      </c>
      <c r="C68" s="88" t="s">
        <v>121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 t="s">
        <v>122</v>
      </c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8"/>
      <c r="I69" s="197"/>
      <c r="J69" s="198"/>
      <c r="K69" s="197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 t="s">
        <v>122</v>
      </c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8"/>
      <c r="I70" s="197"/>
      <c r="J70" s="198"/>
      <c r="K70" s="197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 t="s">
        <v>122</v>
      </c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8"/>
      <c r="I71" s="197"/>
      <c r="J71" s="198"/>
      <c r="K71" s="197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8"/>
      <c r="I72" s="197"/>
      <c r="J72" s="198"/>
      <c r="K72" s="197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8"/>
      <c r="I73" s="197"/>
      <c r="J73" s="198"/>
      <c r="K73" s="197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8"/>
      <c r="I74" s="197"/>
      <c r="J74" s="198"/>
      <c r="K74" s="197"/>
      <c r="L74" s="198"/>
    </row>
    <row r="75" spans="1:12" s="2" customFormat="1" ht="15.75" customHeight="1">
      <c r="A75" s="14"/>
      <c r="B75" s="25" t="s">
        <v>88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8"/>
      <c r="I76" s="197"/>
      <c r="J76" s="198"/>
      <c r="K76" s="197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8"/>
      <c r="I77" s="197"/>
      <c r="J77" s="198"/>
      <c r="K77" s="197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8"/>
      <c r="I78" s="197"/>
      <c r="J78" s="198"/>
      <c r="K78" s="197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8"/>
      <c r="I79" s="197"/>
      <c r="J79" s="198"/>
      <c r="K79" s="197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8"/>
      <c r="I80" s="197"/>
      <c r="J80" s="198"/>
      <c r="K80" s="197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8"/>
      <c r="I81" s="197"/>
      <c r="J81" s="198"/>
      <c r="K81" s="197"/>
      <c r="L81" s="198"/>
    </row>
    <row r="82" spans="1:12" s="2" customFormat="1" ht="15.75" customHeight="1">
      <c r="A82" s="14"/>
      <c r="B82" s="25" t="s">
        <v>90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8"/>
      <c r="I83" s="197"/>
      <c r="J83" s="198"/>
      <c r="K83" s="197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8"/>
      <c r="I84" s="197"/>
      <c r="J84" s="198"/>
      <c r="K84" s="197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8"/>
      <c r="I85" s="197"/>
      <c r="J85" s="198"/>
      <c r="K85" s="197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8"/>
      <c r="I86" s="197"/>
      <c r="J86" s="198"/>
      <c r="K86" s="197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8"/>
      <c r="I87" s="197"/>
      <c r="J87" s="198"/>
      <c r="K87" s="197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5" sqref="F5:L5"/>
      <selection pane="bottomLeft" activeCell="F5" sqref="F5:L5"/>
      <selection pane="topRight" activeCell="F5" sqref="F5:L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2"/>
      <c r="H1" s="20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TECNOLOGIA APLICADA</v>
      </c>
      <c r="C2" s="82"/>
      <c r="D2" s="3"/>
      <c r="F2" s="204" t="s">
        <v>99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CONCATENATE(LIDER!D4," - ",LIDER!D6," - ",LIDER!D5)</f>
        <v>TECNOLOGIA APLICADA - 2387 - ARMANDO ACOSTA JULIO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>GRUPO#1 Descripción de los Aspectos Internacionales, Macroeconómicos, Legales, administrativos, aduaneros y tecnológicos de Progan del Caribe S.A.S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EDINSON ANDRES CASTRO PADILLA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4.49</v>
      </c>
      <c r="F6" s="200">
        <v>4.5</v>
      </c>
      <c r="G6" s="197">
        <v>4.5</v>
      </c>
      <c r="H6" s="198">
        <v>4.3</v>
      </c>
      <c r="I6" s="197">
        <v>4.5</v>
      </c>
      <c r="J6" s="198">
        <v>5</v>
      </c>
      <c r="K6" s="197"/>
      <c r="L6" s="198"/>
    </row>
    <row r="7" spans="1:12" s="2" customFormat="1" ht="15" customHeight="1">
      <c r="A7" s="12">
        <v>2</v>
      </c>
      <c r="B7" s="10" t="str">
        <f>LIDER!E44</f>
        <v>MATEO ANDRÉS CUESTA DÍAZ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4.49</v>
      </c>
      <c r="F7" s="200"/>
      <c r="G7" s="197"/>
      <c r="H7" s="198"/>
      <c r="I7" s="197"/>
      <c r="J7" s="198"/>
      <c r="K7" s="197"/>
      <c r="L7" s="198"/>
    </row>
    <row r="8" spans="1:12" s="2" customFormat="1" ht="15" customHeight="1">
      <c r="A8" s="12">
        <v>3</v>
      </c>
      <c r="B8" s="10" t="str">
        <f>LIDER!E45</f>
        <v>LUKASS GIRALDO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4.49</v>
      </c>
      <c r="F8" s="200"/>
      <c r="G8" s="197"/>
      <c r="H8" s="198"/>
      <c r="I8" s="197"/>
      <c r="J8" s="198"/>
      <c r="K8" s="197"/>
      <c r="L8" s="198"/>
    </row>
    <row r="9" spans="1:12" s="2" customFormat="1" ht="15" customHeight="1">
      <c r="A9" s="12">
        <v>4</v>
      </c>
      <c r="B9" s="10" t="str">
        <f>LIDER!E46</f>
        <v>LOREINES OSPINO HERNÁNDEZ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4.49</v>
      </c>
      <c r="F9" s="200"/>
      <c r="G9" s="197"/>
      <c r="H9" s="198"/>
      <c r="I9" s="197"/>
      <c r="J9" s="198"/>
      <c r="K9" s="197"/>
      <c r="L9" s="198"/>
    </row>
    <row r="10" spans="1:12" s="2" customFormat="1" ht="15" customHeight="1">
      <c r="A10" s="12">
        <v>5</v>
      </c>
      <c r="B10" s="10" t="str">
        <f>LIDER!E47</f>
        <v>LAURA SOFÍA PÉREZ ARÉVALO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4.49</v>
      </c>
      <c r="F10" s="200"/>
      <c r="G10" s="197"/>
      <c r="H10" s="198"/>
      <c r="I10" s="197"/>
      <c r="J10" s="198"/>
      <c r="K10" s="197"/>
      <c r="L10" s="198"/>
    </row>
    <row r="11" spans="1:12" s="2" customFormat="1" ht="15.75" customHeight="1" thickBot="1">
      <c r="A11" s="13">
        <v>6</v>
      </c>
      <c r="B11" s="91" t="str">
        <f>LIDER!E48</f>
        <v>VALERY DANIELA SAENZ WATTS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4.49</v>
      </c>
      <c r="F11" s="200"/>
      <c r="G11" s="197"/>
      <c r="H11" s="198"/>
      <c r="I11" s="197"/>
      <c r="J11" s="198"/>
      <c r="K11" s="197"/>
      <c r="L11" s="198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CRISTINA CAÑATE MERCADO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3.6999999999999997</v>
      </c>
      <c r="F13" s="200">
        <v>4</v>
      </c>
      <c r="G13" s="197">
        <v>4</v>
      </c>
      <c r="H13" s="198">
        <v>3</v>
      </c>
      <c r="I13" s="197">
        <v>4</v>
      </c>
      <c r="J13" s="198">
        <v>4</v>
      </c>
      <c r="K13" s="197"/>
      <c r="L13" s="198"/>
    </row>
    <row r="14" spans="1:12" s="2" customFormat="1" ht="15" customHeight="1">
      <c r="A14" s="12">
        <v>2</v>
      </c>
      <c r="B14" s="10" t="str">
        <f>LIDER!F44</f>
        <v>KARINA MARRUGO MEZA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3.6999999999999997</v>
      </c>
      <c r="F14" s="200"/>
      <c r="G14" s="197"/>
      <c r="H14" s="198"/>
      <c r="I14" s="197"/>
      <c r="J14" s="198"/>
      <c r="K14" s="197"/>
      <c r="L14" s="198"/>
    </row>
    <row r="15" spans="1:12" s="2" customFormat="1" ht="15" customHeight="1">
      <c r="A15" s="12">
        <v>3</v>
      </c>
      <c r="B15" s="10" t="str">
        <f>LIDER!F45</f>
        <v>HILARYS CAROLINA PATERNINA DONADO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3.6999999999999997</v>
      </c>
      <c r="F15" s="200"/>
      <c r="G15" s="197"/>
      <c r="H15" s="198"/>
      <c r="I15" s="197"/>
      <c r="J15" s="198"/>
      <c r="K15" s="197"/>
      <c r="L15" s="198"/>
    </row>
    <row r="16" spans="1:12" s="2" customFormat="1" ht="15" customHeight="1">
      <c r="A16" s="12">
        <v>4</v>
      </c>
      <c r="B16" s="10" t="str">
        <f>LIDER!F46</f>
        <v>MATEO QUINTANA SERNA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3.6999999999999997</v>
      </c>
      <c r="F16" s="200"/>
      <c r="G16" s="197"/>
      <c r="H16" s="198"/>
      <c r="I16" s="197"/>
      <c r="J16" s="198"/>
      <c r="K16" s="197"/>
      <c r="L16" s="198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8"/>
      <c r="I17" s="197"/>
      <c r="J17" s="198"/>
      <c r="K17" s="197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8"/>
      <c r="I18" s="197"/>
      <c r="J18" s="198"/>
      <c r="K18" s="197"/>
      <c r="L18" s="198"/>
    </row>
    <row r="19" spans="1:12" s="2" customFormat="1" ht="15.75" customHeight="1">
      <c r="A19" s="14"/>
      <c r="B19" s="25" t="s">
        <v>107</v>
      </c>
      <c r="C19" s="88" t="s">
        <v>108</v>
      </c>
      <c r="D19" s="32" t="str">
        <f>D12</f>
        <v>LIST</v>
      </c>
      <c r="E19" s="89" t="s">
        <v>104</v>
      </c>
      <c r="F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YULEDIS BECERRA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2.3000000000000003</v>
      </c>
      <c r="F20" s="200">
        <v>2</v>
      </c>
      <c r="G20" s="197">
        <v>2</v>
      </c>
      <c r="H20" s="198">
        <v>3</v>
      </c>
      <c r="I20" s="197">
        <v>2</v>
      </c>
      <c r="J20" s="198">
        <v>2</v>
      </c>
      <c r="K20" s="197"/>
      <c r="L20" s="198"/>
    </row>
    <row r="21" spans="1:12" s="2" customFormat="1" ht="15" customHeight="1">
      <c r="A21" s="12">
        <v>2</v>
      </c>
      <c r="B21" s="10" t="str">
        <f>LIDER!G44</f>
        <v>JULIO ALBERTO LANCHEROS PACHECO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2.3000000000000003</v>
      </c>
      <c r="F21" s="200"/>
      <c r="G21" s="197"/>
      <c r="H21" s="198"/>
      <c r="I21" s="197"/>
      <c r="J21" s="198"/>
      <c r="K21" s="197"/>
      <c r="L21" s="198"/>
    </row>
    <row r="22" spans="1:12" s="2" customFormat="1" ht="15" customHeight="1">
      <c r="A22" s="12">
        <v>3</v>
      </c>
      <c r="B22" s="10" t="str">
        <f>LIDER!G45</f>
        <v>NELCY CAROLINA MEZA PÉREZ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2.3000000000000003</v>
      </c>
      <c r="F22" s="200"/>
      <c r="G22" s="197"/>
      <c r="H22" s="198"/>
      <c r="I22" s="197"/>
      <c r="J22" s="198"/>
      <c r="K22" s="197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8"/>
      <c r="I23" s="197"/>
      <c r="J23" s="198"/>
      <c r="K23" s="197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8"/>
      <c r="I24" s="197"/>
      <c r="J24" s="198"/>
      <c r="K24" s="197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8"/>
      <c r="I25" s="197"/>
      <c r="J25" s="198"/>
      <c r="K25" s="197"/>
      <c r="L25" s="198"/>
    </row>
    <row r="26" spans="1:12" s="2" customFormat="1" ht="15.75" customHeight="1">
      <c r="A26" s="14"/>
      <c r="B26" s="25" t="s">
        <v>109</v>
      </c>
      <c r="C26" s="88" t="s">
        <v>110</v>
      </c>
      <c r="D26" s="32" t="str">
        <f>D19</f>
        <v>LIST</v>
      </c>
      <c r="E26" s="89" t="s">
        <v>104</v>
      </c>
      <c r="F26" s="199" t="str">
        <f>LIDER!$E$32</f>
        <v xml:space="preserve">GRUPO#4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HELENA ISABEL ALVAREZ CORTINA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3.4000000000000004</v>
      </c>
      <c r="F27" s="200">
        <v>4</v>
      </c>
      <c r="G27" s="197">
        <v>4</v>
      </c>
      <c r="H27" s="198">
        <v>3</v>
      </c>
      <c r="I27" s="197">
        <v>3</v>
      </c>
      <c r="J27" s="198">
        <v>3</v>
      </c>
      <c r="K27" s="197"/>
      <c r="L27" s="198"/>
    </row>
    <row r="28" spans="1:12" s="2" customFormat="1" ht="15" customHeight="1">
      <c r="A28" s="12">
        <v>2</v>
      </c>
      <c r="B28" s="10" t="str">
        <f>LIDER!H44</f>
        <v>ANDREA KAROLAY CARRILLO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3.4000000000000004</v>
      </c>
      <c r="F28" s="200"/>
      <c r="G28" s="197"/>
      <c r="H28" s="198"/>
      <c r="I28" s="197"/>
      <c r="J28" s="198"/>
      <c r="K28" s="197"/>
      <c r="L28" s="198"/>
    </row>
    <row r="29" spans="1:12" s="2" customFormat="1" ht="15" customHeight="1">
      <c r="A29" s="12">
        <v>3</v>
      </c>
      <c r="B29" s="10" t="str">
        <f>LIDER!H45</f>
        <v>MELANY ANDREA FLÓREZ ALMANZA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3.4000000000000004</v>
      </c>
      <c r="F29" s="200"/>
      <c r="G29" s="197"/>
      <c r="H29" s="198"/>
      <c r="I29" s="197"/>
      <c r="J29" s="198"/>
      <c r="K29" s="197"/>
      <c r="L29" s="198"/>
    </row>
    <row r="30" spans="1:12" s="2" customFormat="1" ht="15" customHeight="1">
      <c r="A30" s="12">
        <v>4</v>
      </c>
      <c r="B30" s="10" t="str">
        <f>LIDER!H46</f>
        <v>JUAN SEBASTIAN PRENS BOSSIO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3.4000000000000004</v>
      </c>
      <c r="F30" s="200"/>
      <c r="G30" s="197"/>
      <c r="H30" s="198"/>
      <c r="I30" s="197"/>
      <c r="J30" s="198"/>
      <c r="K30" s="197"/>
      <c r="L30" s="198"/>
    </row>
    <row r="31" spans="1:12" s="2" customFormat="1" ht="15" customHeight="1">
      <c r="A31" s="12">
        <v>5</v>
      </c>
      <c r="B31" s="10" t="str">
        <f>LIDER!H47</f>
        <v>ALEXANDER DUBAN PROTZKAR DE LA HOZ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3.4000000000000004</v>
      </c>
      <c r="F31" s="200"/>
      <c r="G31" s="197"/>
      <c r="H31" s="198"/>
      <c r="I31" s="197"/>
      <c r="J31" s="198"/>
      <c r="K31" s="197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8"/>
      <c r="I32" s="197"/>
      <c r="J32" s="198"/>
      <c r="K32" s="197"/>
      <c r="L32" s="198"/>
    </row>
    <row r="33" spans="1:12" s="2" customFormat="1" ht="15.75" customHeight="1">
      <c r="A33" s="14"/>
      <c r="B33" s="25" t="s">
        <v>111</v>
      </c>
      <c r="C33" s="88" t="s">
        <v>112</v>
      </c>
      <c r="D33" s="32" t="str">
        <f>D26</f>
        <v>LIST</v>
      </c>
      <c r="E33" s="89" t="s">
        <v>104</v>
      </c>
      <c r="F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SIARA LUCIA CHAMS CARBALLO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3.9499999999999997</v>
      </c>
      <c r="F34" s="200">
        <v>4</v>
      </c>
      <c r="G34" s="197">
        <v>4</v>
      </c>
      <c r="H34" s="198">
        <v>4</v>
      </c>
      <c r="I34" s="197">
        <v>4</v>
      </c>
      <c r="J34" s="198">
        <v>3.5</v>
      </c>
      <c r="K34" s="197"/>
      <c r="L34" s="198"/>
    </row>
    <row r="35" spans="1:12" s="2" customFormat="1" ht="15" customHeight="1">
      <c r="A35" s="12">
        <v>2</v>
      </c>
      <c r="B35" s="10" t="str">
        <f>LIDER!E52</f>
        <v>LUCINDA GARCIA CASTRO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3.9499999999999997</v>
      </c>
      <c r="F35" s="200"/>
      <c r="G35" s="197"/>
      <c r="H35" s="198"/>
      <c r="I35" s="197"/>
      <c r="J35" s="198"/>
      <c r="K35" s="197"/>
      <c r="L35" s="198"/>
    </row>
    <row r="36" spans="1:12" s="2" customFormat="1" ht="15" customHeight="1">
      <c r="A36" s="12">
        <v>3</v>
      </c>
      <c r="B36" s="10" t="str">
        <f>LIDER!E53</f>
        <v>SAMUEL DVID JULIO BARRIOS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3.9499999999999997</v>
      </c>
      <c r="F36" s="200"/>
      <c r="G36" s="197"/>
      <c r="H36" s="198"/>
      <c r="I36" s="197"/>
      <c r="J36" s="198"/>
      <c r="K36" s="197"/>
      <c r="L36" s="198"/>
    </row>
    <row r="37" spans="1:12" s="2" customFormat="1" ht="15" customHeight="1">
      <c r="A37" s="12">
        <v>4</v>
      </c>
      <c r="B37" s="10" t="str">
        <f>LIDER!E54</f>
        <v>LAUREN CAROLINA MARTINEZ LICONA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3.9499999999999997</v>
      </c>
      <c r="F37" s="200"/>
      <c r="G37" s="197"/>
      <c r="H37" s="198"/>
      <c r="I37" s="197"/>
      <c r="J37" s="198"/>
      <c r="K37" s="197"/>
      <c r="L37" s="198"/>
    </row>
    <row r="38" spans="1:12" s="2" customFormat="1" ht="15" customHeight="1">
      <c r="A38" s="12">
        <v>5</v>
      </c>
      <c r="B38" s="10" t="str">
        <f>LIDER!E55</f>
        <v>ASLLY MARGARITA RINCON MATTOS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3.9499999999999997</v>
      </c>
      <c r="F38" s="200"/>
      <c r="G38" s="197"/>
      <c r="H38" s="198"/>
      <c r="I38" s="197"/>
      <c r="J38" s="198"/>
      <c r="K38" s="197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8"/>
      <c r="I39" s="197"/>
      <c r="J39" s="198"/>
      <c r="K39" s="197"/>
      <c r="L39" s="198"/>
    </row>
    <row r="40" spans="1:12" s="2" customFormat="1" ht="15.75" customHeight="1">
      <c r="A40" s="14"/>
      <c r="B40" s="25" t="s">
        <v>113</v>
      </c>
      <c r="C40" s="88" t="s">
        <v>114</v>
      </c>
      <c r="D40" s="32" t="str">
        <f>D33</f>
        <v>LIST</v>
      </c>
      <c r="E40" s="89" t="s">
        <v>104</v>
      </c>
      <c r="F40" s="199" t="str">
        <f>LIDER!$E$34</f>
        <v xml:space="preserve">GRUPO#6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YEIDER SANTIAGO BOHORQUEZ GONZALEZ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</v>
      </c>
      <c r="F41" s="200">
        <v>3</v>
      </c>
      <c r="G41" s="197">
        <v>3</v>
      </c>
      <c r="H41" s="198">
        <v>3</v>
      </c>
      <c r="I41" s="197">
        <v>3</v>
      </c>
      <c r="J41" s="198">
        <v>3</v>
      </c>
      <c r="K41" s="197"/>
      <c r="L41" s="198"/>
    </row>
    <row r="42" spans="1:12" s="2" customFormat="1" ht="15" customHeight="1">
      <c r="A42" s="12">
        <v>2</v>
      </c>
      <c r="B42" s="10" t="str">
        <f>LIDER!F52</f>
        <v>ELIAN MANUEL PACHECO BELTRAN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</v>
      </c>
      <c r="F42" s="200"/>
      <c r="G42" s="197"/>
      <c r="H42" s="198"/>
      <c r="I42" s="197"/>
      <c r="J42" s="198"/>
      <c r="K42" s="197"/>
      <c r="L42" s="198"/>
    </row>
    <row r="43" spans="1:12" s="2" customFormat="1" ht="15" customHeight="1">
      <c r="A43" s="12">
        <v>3</v>
      </c>
      <c r="B43" s="10" t="str">
        <f>LIDER!F53</f>
        <v>VALERIA PASTRANA ARRIETA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</v>
      </c>
      <c r="F43" s="200"/>
      <c r="G43" s="197"/>
      <c r="H43" s="198"/>
      <c r="I43" s="197"/>
      <c r="J43" s="198"/>
      <c r="K43" s="197"/>
      <c r="L43" s="198"/>
    </row>
    <row r="44" spans="1:12" s="2" customFormat="1" ht="15" customHeight="1">
      <c r="A44" s="12">
        <v>4</v>
      </c>
      <c r="B44" s="10" t="str">
        <f>LIDER!F54</f>
        <v>JUAN PABLO QUIJANO GUEVARA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</v>
      </c>
      <c r="F44" s="200"/>
      <c r="G44" s="197"/>
      <c r="H44" s="198"/>
      <c r="I44" s="197"/>
      <c r="J44" s="198"/>
      <c r="K44" s="197"/>
      <c r="L44" s="198"/>
    </row>
    <row r="45" spans="1:12" s="2" customFormat="1" ht="15" customHeight="1">
      <c r="A45" s="12">
        <v>5</v>
      </c>
      <c r="B45" s="10" t="str">
        <f>LIDER!F55</f>
        <v>JOSE ANGEL VALLEJO REALES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</v>
      </c>
      <c r="F45" s="200"/>
      <c r="G45" s="197"/>
      <c r="H45" s="198"/>
      <c r="I45" s="197"/>
      <c r="J45" s="198"/>
      <c r="K45" s="197"/>
      <c r="L45" s="198"/>
    </row>
    <row r="46" spans="1:12" s="2" customFormat="1" ht="15.75" customHeight="1">
      <c r="A46" s="13">
        <v>6</v>
      </c>
      <c r="B46" s="91" t="str">
        <f>LIDER!F56</f>
        <v>HENRY WILCHES DE LA ROSA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</v>
      </c>
      <c r="F46" s="200"/>
      <c r="G46" s="197"/>
      <c r="H46" s="198"/>
      <c r="I46" s="197"/>
      <c r="J46" s="198"/>
      <c r="K46" s="197"/>
      <c r="L46" s="198"/>
    </row>
    <row r="47" spans="1:12" s="2" customFormat="1" ht="15.75" customHeight="1">
      <c r="A47" s="14"/>
      <c r="B47" s="25" t="s">
        <v>115</v>
      </c>
      <c r="C47" s="88" t="s">
        <v>116</v>
      </c>
      <c r="D47" s="32" t="str">
        <f>D40</f>
        <v>LIST</v>
      </c>
      <c r="E47" s="89" t="s">
        <v>104</v>
      </c>
      <c r="F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CARLOS JULIO LOPEZ ALEMAN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3.5000000000000004</v>
      </c>
      <c r="F48" s="200">
        <v>3.5</v>
      </c>
      <c r="G48" s="197">
        <v>3.5</v>
      </c>
      <c r="H48" s="198">
        <v>3.5</v>
      </c>
      <c r="I48" s="197">
        <v>3.5</v>
      </c>
      <c r="J48" s="198">
        <v>3.5</v>
      </c>
      <c r="K48" s="197"/>
      <c r="L48" s="198"/>
    </row>
    <row r="49" spans="1:12" s="2" customFormat="1" ht="15" customHeight="1">
      <c r="A49" s="12">
        <v>2</v>
      </c>
      <c r="B49" s="10" t="str">
        <f>LIDER!G52</f>
        <v>DYLAN ANDRES RANGEL LOPEZ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3.5000000000000004</v>
      </c>
      <c r="F49" s="200"/>
      <c r="G49" s="197"/>
      <c r="H49" s="198"/>
      <c r="I49" s="197"/>
      <c r="J49" s="198"/>
      <c r="K49" s="197"/>
      <c r="L49" s="198"/>
    </row>
    <row r="50" spans="1:12" s="2" customFormat="1" ht="15" customHeight="1">
      <c r="A50" s="12">
        <v>3</v>
      </c>
      <c r="B50" s="10" t="str">
        <f>LIDER!G53</f>
        <v>SANTIAGO TANGARIFE PONCE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3.5000000000000004</v>
      </c>
      <c r="F50" s="200"/>
      <c r="G50" s="197"/>
      <c r="H50" s="198"/>
      <c r="I50" s="197"/>
      <c r="J50" s="198"/>
      <c r="K50" s="197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8"/>
      <c r="I51" s="197"/>
      <c r="J51" s="198"/>
      <c r="K51" s="197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8"/>
      <c r="I52" s="197"/>
      <c r="J52" s="198"/>
      <c r="K52" s="197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8"/>
      <c r="I53" s="197"/>
      <c r="J53" s="198"/>
      <c r="K53" s="197"/>
      <c r="L53" s="198"/>
    </row>
    <row r="54" spans="1:12" s="2" customFormat="1" ht="15.75" customHeight="1">
      <c r="A54" s="14"/>
      <c r="B54" s="25" t="s">
        <v>117</v>
      </c>
      <c r="C54" s="88" t="s">
        <v>118</v>
      </c>
      <c r="D54" s="32" t="str">
        <f>D47</f>
        <v>LIST</v>
      </c>
      <c r="E54" s="89" t="s">
        <v>104</v>
      </c>
      <c r="F54" s="199" t="str">
        <f>LIDER!$E$36</f>
        <v>GRUPO#8 Análisis de los aspectos legales, tributarios, administrativos, macroeconómicos, aduaneros, tecnológicos e internacionales que definen el perfil de The Coca-Cola Company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YURI MAR FUENMAYOR OSORIO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4.2</v>
      </c>
      <c r="F55" s="200">
        <v>4.5</v>
      </c>
      <c r="G55" s="197">
        <v>4</v>
      </c>
      <c r="H55" s="198">
        <v>4</v>
      </c>
      <c r="I55" s="197">
        <v>4</v>
      </c>
      <c r="J55" s="198">
        <v>5</v>
      </c>
      <c r="K55" s="197"/>
      <c r="L55" s="198"/>
    </row>
    <row r="56" spans="1:12" s="2" customFormat="1" ht="15" customHeight="1">
      <c r="A56" s="12">
        <v>2</v>
      </c>
      <c r="B56" s="10" t="str">
        <f>LIDER!H52</f>
        <v>YULEIDIS PAOLA MORENO DIAZ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4.2</v>
      </c>
      <c r="F56" s="200"/>
      <c r="G56" s="197"/>
      <c r="H56" s="198"/>
      <c r="I56" s="197"/>
      <c r="J56" s="198"/>
      <c r="K56" s="197"/>
      <c r="L56" s="198"/>
    </row>
    <row r="57" spans="1:12" s="2" customFormat="1" ht="15" customHeight="1">
      <c r="A57" s="12">
        <v>3</v>
      </c>
      <c r="B57" s="10" t="str">
        <f>LIDER!H53</f>
        <v>SHARONE JANNINE ORDOÑEZ ESCUDERO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4.2</v>
      </c>
      <c r="F57" s="200"/>
      <c r="G57" s="197"/>
      <c r="H57" s="198"/>
      <c r="I57" s="197"/>
      <c r="J57" s="198"/>
      <c r="K57" s="197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8"/>
      <c r="I58" s="197"/>
      <c r="J58" s="198"/>
      <c r="K58" s="197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8"/>
      <c r="I59" s="197"/>
      <c r="J59" s="198"/>
      <c r="K59" s="197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8"/>
      <c r="I60" s="197"/>
      <c r="J60" s="198"/>
      <c r="K60" s="197"/>
      <c r="L60" s="198"/>
    </row>
    <row r="61" spans="1:12" s="2" customFormat="1" ht="15.75" customHeight="1">
      <c r="A61" s="14"/>
      <c r="B61" s="25" t="s">
        <v>119</v>
      </c>
      <c r="C61" s="88" t="s">
        <v>120</v>
      </c>
      <c r="D61" s="32" t="str">
        <f>D54</f>
        <v>LIST</v>
      </c>
      <c r="E61" s="89" t="s">
        <v>104</v>
      </c>
      <c r="F61" s="199" t="str">
        <f>LIDER!$E$37</f>
        <v xml:space="preserve">GRUPO#9 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ISSAC DAVID ANGULO ZABALETA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3.45</v>
      </c>
      <c r="F62" s="200">
        <v>4</v>
      </c>
      <c r="G62" s="197">
        <v>3</v>
      </c>
      <c r="H62" s="198">
        <v>3.5</v>
      </c>
      <c r="I62" s="197">
        <v>3</v>
      </c>
      <c r="J62" s="198">
        <v>4</v>
      </c>
      <c r="K62" s="197"/>
      <c r="L62" s="198"/>
    </row>
    <row r="63" spans="1:12" s="2" customFormat="1" ht="15" customHeight="1">
      <c r="A63" s="12">
        <v>2</v>
      </c>
      <c r="B63" s="10" t="str">
        <f>LIDER!E60</f>
        <v>ANDRES FELIPE ARROYO PARRA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3.45</v>
      </c>
      <c r="F63" s="200"/>
      <c r="G63" s="197"/>
      <c r="H63" s="198"/>
      <c r="I63" s="197"/>
      <c r="J63" s="198"/>
      <c r="K63" s="197"/>
      <c r="L63" s="198"/>
    </row>
    <row r="64" spans="1:12" s="2" customFormat="1" ht="15" customHeight="1">
      <c r="A64" s="12">
        <v>3</v>
      </c>
      <c r="B64" s="10" t="str">
        <f>LIDER!E61</f>
        <v>DANNA ALEJANDRA CASTRO ESPINOSA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3.45</v>
      </c>
      <c r="F64" s="200"/>
      <c r="G64" s="197"/>
      <c r="H64" s="198"/>
      <c r="I64" s="197"/>
      <c r="J64" s="198"/>
      <c r="K64" s="197"/>
      <c r="L64" s="198"/>
    </row>
    <row r="65" spans="1:12" s="2" customFormat="1" ht="15" customHeight="1">
      <c r="A65" s="12">
        <v>4</v>
      </c>
      <c r="B65" s="10" t="str">
        <f>LIDER!E62</f>
        <v>JUAN DAVID LOPEZ VIDES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3.45</v>
      </c>
      <c r="F65" s="200"/>
      <c r="G65" s="197"/>
      <c r="H65" s="198"/>
      <c r="I65" s="197"/>
      <c r="J65" s="198"/>
      <c r="K65" s="197"/>
      <c r="L65" s="198"/>
    </row>
    <row r="66" spans="1:12" s="2" customFormat="1" ht="15" customHeight="1">
      <c r="A66" s="12">
        <v>5</v>
      </c>
      <c r="B66" s="10" t="str">
        <f>LIDER!E63</f>
        <v>ALEJANDRA MORENO VILLALOBO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3.45</v>
      </c>
      <c r="F66" s="200"/>
      <c r="G66" s="197"/>
      <c r="H66" s="198"/>
      <c r="I66" s="197"/>
      <c r="J66" s="198"/>
      <c r="K66" s="197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8"/>
      <c r="I67" s="197"/>
      <c r="J67" s="198"/>
      <c r="K67" s="197"/>
      <c r="L67" s="198"/>
    </row>
    <row r="68" spans="1:12" s="2" customFormat="1" ht="15.75" customHeight="1">
      <c r="A68" s="14"/>
      <c r="B68" s="25" t="s">
        <v>86</v>
      </c>
      <c r="C68" s="88" t="s">
        <v>121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 t="s">
        <v>122</v>
      </c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8"/>
      <c r="I69" s="197"/>
      <c r="J69" s="198"/>
      <c r="K69" s="197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 t="s">
        <v>122</v>
      </c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8"/>
      <c r="I70" s="197"/>
      <c r="J70" s="198"/>
      <c r="K70" s="197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 t="s">
        <v>122</v>
      </c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8"/>
      <c r="I71" s="197"/>
      <c r="J71" s="198"/>
      <c r="K71" s="197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8"/>
      <c r="I72" s="197"/>
      <c r="J72" s="198"/>
      <c r="K72" s="197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8"/>
      <c r="I73" s="197"/>
      <c r="J73" s="198"/>
      <c r="K73" s="197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8"/>
      <c r="I74" s="197"/>
      <c r="J74" s="198"/>
      <c r="K74" s="197"/>
      <c r="L74" s="198"/>
    </row>
    <row r="75" spans="1:12" s="2" customFormat="1" ht="15.75" customHeight="1">
      <c r="A75" s="14"/>
      <c r="B75" s="25" t="s">
        <v>88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8"/>
      <c r="I76" s="197"/>
      <c r="J76" s="198"/>
      <c r="K76" s="197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8"/>
      <c r="I77" s="197"/>
      <c r="J77" s="198"/>
      <c r="K77" s="197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8"/>
      <c r="I78" s="197"/>
      <c r="J78" s="198"/>
      <c r="K78" s="197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8"/>
      <c r="I79" s="197"/>
      <c r="J79" s="198"/>
      <c r="K79" s="197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8"/>
      <c r="I80" s="197"/>
      <c r="J80" s="198"/>
      <c r="K80" s="197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8"/>
      <c r="I81" s="197"/>
      <c r="J81" s="198"/>
      <c r="K81" s="197"/>
      <c r="L81" s="198"/>
    </row>
    <row r="82" spans="1:12" s="2" customFormat="1" ht="15.75" customHeight="1">
      <c r="A82" s="14"/>
      <c r="B82" s="25" t="s">
        <v>90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8"/>
      <c r="I83" s="197"/>
      <c r="J83" s="198"/>
      <c r="K83" s="197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8"/>
      <c r="I84" s="197"/>
      <c r="J84" s="198"/>
      <c r="K84" s="197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8"/>
      <c r="I85" s="197"/>
      <c r="J85" s="198"/>
      <c r="K85" s="197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8"/>
      <c r="I86" s="197"/>
      <c r="J86" s="198"/>
      <c r="K86" s="197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8"/>
      <c r="I87" s="197"/>
      <c r="J87" s="198"/>
      <c r="K87" s="197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65" activePane="bottomRight" state="frozen"/>
      <selection pane="bottomRight" activeCell="F5" sqref="F5:L5"/>
      <selection pane="bottomLeft" activeCell="F5" sqref="F5:L5"/>
      <selection pane="topRight" activeCell="F5" sqref="F5:L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2"/>
      <c r="H1" s="20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INTERNACIONALIZACION</v>
      </c>
      <c r="C2" s="82"/>
      <c r="D2" s="3"/>
      <c r="F2" s="204" t="s">
        <v>99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CONCATENATE(LIDER!E4," - ",LIDER!E6," - ",LIDER!E5)</f>
        <v>INTERNACIONALIZACION - 2481 - TATIANA MILENA ROJAS AROCA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>GRUPO#1 Descripción de los Aspectos Internacionales, Macroeconómicos, Legales, administrativos, aduaneros y tecnológicos de Progan del Caribe S.A.S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EDINSON ANDRES CASTRO PADILLA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4.4000000000000004</v>
      </c>
      <c r="F6" s="200">
        <v>4.4000000000000004</v>
      </c>
      <c r="G6" s="197">
        <v>4.4000000000000004</v>
      </c>
      <c r="H6" s="198">
        <v>4.4000000000000004</v>
      </c>
      <c r="I6" s="197">
        <v>4.4000000000000004</v>
      </c>
      <c r="J6" s="198">
        <v>4.4000000000000004</v>
      </c>
      <c r="K6" s="197"/>
      <c r="L6" s="198"/>
    </row>
    <row r="7" spans="1:12" s="2" customFormat="1" ht="15" customHeight="1">
      <c r="A7" s="12">
        <v>2</v>
      </c>
      <c r="B7" s="10" t="str">
        <f>LIDER!E44</f>
        <v>MATEO ANDRÉS CUESTA DÍAZ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4.4000000000000004</v>
      </c>
      <c r="F7" s="200"/>
      <c r="G7" s="197"/>
      <c r="H7" s="198"/>
      <c r="I7" s="197"/>
      <c r="J7" s="198"/>
      <c r="K7" s="197"/>
      <c r="L7" s="198"/>
    </row>
    <row r="8" spans="1:12" s="2" customFormat="1" ht="15" customHeight="1">
      <c r="A8" s="12">
        <v>3</v>
      </c>
      <c r="B8" s="10" t="str">
        <f>LIDER!E45</f>
        <v>LUKASS GIRALDO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4.4000000000000004</v>
      </c>
      <c r="F8" s="200"/>
      <c r="G8" s="197"/>
      <c r="H8" s="198"/>
      <c r="I8" s="197"/>
      <c r="J8" s="198"/>
      <c r="K8" s="197"/>
      <c r="L8" s="198"/>
    </row>
    <row r="9" spans="1:12" s="2" customFormat="1" ht="15" customHeight="1">
      <c r="A9" s="12">
        <v>4</v>
      </c>
      <c r="B9" s="10" t="str">
        <f>LIDER!E46</f>
        <v>LOREINES OSPINO HERNÁNDEZ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4.4000000000000004</v>
      </c>
      <c r="F9" s="200"/>
      <c r="G9" s="197"/>
      <c r="H9" s="198"/>
      <c r="I9" s="197"/>
      <c r="J9" s="198"/>
      <c r="K9" s="197"/>
      <c r="L9" s="198"/>
    </row>
    <row r="10" spans="1:12" s="2" customFormat="1" ht="15" customHeight="1">
      <c r="A10" s="12">
        <v>5</v>
      </c>
      <c r="B10" s="10" t="str">
        <f>LIDER!E47</f>
        <v>LAURA SOFÍA PÉREZ ARÉVALO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4.4000000000000004</v>
      </c>
      <c r="F10" s="200"/>
      <c r="G10" s="197"/>
      <c r="H10" s="198"/>
      <c r="I10" s="197"/>
      <c r="J10" s="198"/>
      <c r="K10" s="197"/>
      <c r="L10" s="198"/>
    </row>
    <row r="11" spans="1:12" s="2" customFormat="1" ht="15.75" customHeight="1" thickBot="1">
      <c r="A11" s="13">
        <v>6</v>
      </c>
      <c r="B11" s="91" t="str">
        <f>LIDER!E48</f>
        <v>VALERY DANIELA SAENZ WATTS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4.4000000000000004</v>
      </c>
      <c r="F11" s="200"/>
      <c r="G11" s="197"/>
      <c r="H11" s="198"/>
      <c r="I11" s="197"/>
      <c r="J11" s="198"/>
      <c r="K11" s="197"/>
      <c r="L11" s="198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CRISTINA CAÑATE MERCADO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3.6000000000000005</v>
      </c>
      <c r="F13" s="200">
        <v>3.6</v>
      </c>
      <c r="G13" s="197">
        <v>3.6</v>
      </c>
      <c r="H13" s="198">
        <v>3.6</v>
      </c>
      <c r="I13" s="197">
        <v>3.6</v>
      </c>
      <c r="J13" s="198">
        <v>3.6</v>
      </c>
      <c r="K13" s="197"/>
      <c r="L13" s="198"/>
    </row>
    <row r="14" spans="1:12" s="2" customFormat="1" ht="15" customHeight="1">
      <c r="A14" s="12">
        <v>2</v>
      </c>
      <c r="B14" s="10" t="str">
        <f>LIDER!F44</f>
        <v>KARINA MARRUGO MEZA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3.6000000000000005</v>
      </c>
      <c r="F14" s="200"/>
      <c r="G14" s="197"/>
      <c r="H14" s="198"/>
      <c r="I14" s="197"/>
      <c r="J14" s="198"/>
      <c r="K14" s="197"/>
      <c r="L14" s="198"/>
    </row>
    <row r="15" spans="1:12" s="2" customFormat="1" ht="15" customHeight="1">
      <c r="A15" s="12">
        <v>3</v>
      </c>
      <c r="B15" s="10" t="str">
        <f>LIDER!F45</f>
        <v>HILARYS CAROLINA PATERNINA DONADO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3.6000000000000005</v>
      </c>
      <c r="F15" s="200"/>
      <c r="G15" s="197"/>
      <c r="H15" s="198"/>
      <c r="I15" s="197"/>
      <c r="J15" s="198"/>
      <c r="K15" s="197"/>
      <c r="L15" s="198"/>
    </row>
    <row r="16" spans="1:12" s="2" customFormat="1" ht="15" customHeight="1">
      <c r="A16" s="12">
        <v>4</v>
      </c>
      <c r="B16" s="10" t="str">
        <f>LIDER!F46</f>
        <v>MATEO QUINTANA SERNA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3.6000000000000005</v>
      </c>
      <c r="F16" s="200"/>
      <c r="G16" s="197"/>
      <c r="H16" s="198"/>
      <c r="I16" s="197"/>
      <c r="J16" s="198"/>
      <c r="K16" s="197"/>
      <c r="L16" s="198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8"/>
      <c r="I17" s="197"/>
      <c r="J17" s="198"/>
      <c r="K17" s="197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8"/>
      <c r="I18" s="197"/>
      <c r="J18" s="198"/>
      <c r="K18" s="197"/>
      <c r="L18" s="198"/>
    </row>
    <row r="19" spans="1:12" s="2" customFormat="1" ht="15.75" customHeight="1">
      <c r="A19" s="14"/>
      <c r="B19" s="25" t="s">
        <v>107</v>
      </c>
      <c r="C19" s="88" t="s">
        <v>108</v>
      </c>
      <c r="D19" s="32" t="str">
        <f>D12</f>
        <v>LIST</v>
      </c>
      <c r="E19" s="89" t="s">
        <v>104</v>
      </c>
      <c r="F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YULEDIS BECERRA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1.9999999999999998</v>
      </c>
      <c r="F20" s="200">
        <v>2</v>
      </c>
      <c r="G20" s="197">
        <v>2</v>
      </c>
      <c r="H20" s="198">
        <v>2</v>
      </c>
      <c r="I20" s="197">
        <v>2</v>
      </c>
      <c r="J20" s="198">
        <v>2</v>
      </c>
      <c r="K20" s="197"/>
      <c r="L20" s="198"/>
    </row>
    <row r="21" spans="1:12" s="2" customFormat="1" ht="15" customHeight="1">
      <c r="A21" s="12">
        <v>2</v>
      </c>
      <c r="B21" s="10" t="str">
        <f>LIDER!G44</f>
        <v>JULIO ALBERTO LANCHEROS PACHECO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1.9999999999999998</v>
      </c>
      <c r="F21" s="200"/>
      <c r="G21" s="197"/>
      <c r="H21" s="198"/>
      <c r="I21" s="197"/>
      <c r="J21" s="198"/>
      <c r="K21" s="197"/>
      <c r="L21" s="198"/>
    </row>
    <row r="22" spans="1:12" s="2" customFormat="1" ht="15" customHeight="1">
      <c r="A22" s="12">
        <v>3</v>
      </c>
      <c r="B22" s="10" t="str">
        <f>LIDER!G45</f>
        <v>NELCY CAROLINA MEZA PÉREZ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1.9999999999999998</v>
      </c>
      <c r="F22" s="200"/>
      <c r="G22" s="197"/>
      <c r="H22" s="198"/>
      <c r="I22" s="197"/>
      <c r="J22" s="198"/>
      <c r="K22" s="197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8"/>
      <c r="I23" s="197"/>
      <c r="J23" s="198"/>
      <c r="K23" s="197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8"/>
      <c r="I24" s="197"/>
      <c r="J24" s="198"/>
      <c r="K24" s="197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8"/>
      <c r="I25" s="197"/>
      <c r="J25" s="198"/>
      <c r="K25" s="197"/>
      <c r="L25" s="198"/>
    </row>
    <row r="26" spans="1:12" s="2" customFormat="1" ht="15.75" customHeight="1">
      <c r="A26" s="14"/>
      <c r="B26" s="25" t="s">
        <v>109</v>
      </c>
      <c r="C26" s="88" t="s">
        <v>110</v>
      </c>
      <c r="D26" s="32" t="str">
        <f>D19</f>
        <v>LIST</v>
      </c>
      <c r="E26" s="89" t="s">
        <v>104</v>
      </c>
      <c r="F26" s="199" t="str">
        <f>LIDER!$E$32</f>
        <v xml:space="preserve">GRUPO#4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HELENA ISABEL ALVAREZ CORTINA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3.3000000000000003</v>
      </c>
      <c r="F27" s="200">
        <v>3.3</v>
      </c>
      <c r="G27" s="197">
        <v>3.3</v>
      </c>
      <c r="H27" s="198">
        <v>3.3</v>
      </c>
      <c r="I27" s="197">
        <v>3.3</v>
      </c>
      <c r="J27" s="198">
        <v>3.3</v>
      </c>
      <c r="K27" s="197"/>
      <c r="L27" s="198"/>
    </row>
    <row r="28" spans="1:12" s="2" customFormat="1" ht="15" customHeight="1">
      <c r="A28" s="12">
        <v>2</v>
      </c>
      <c r="B28" s="10" t="str">
        <f>LIDER!H44</f>
        <v>ANDREA KAROLAY CARRILLO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3.3000000000000003</v>
      </c>
      <c r="F28" s="200"/>
      <c r="G28" s="197"/>
      <c r="H28" s="198"/>
      <c r="I28" s="197"/>
      <c r="J28" s="198"/>
      <c r="K28" s="197"/>
      <c r="L28" s="198"/>
    </row>
    <row r="29" spans="1:12" s="2" customFormat="1" ht="15" customHeight="1">
      <c r="A29" s="12">
        <v>3</v>
      </c>
      <c r="B29" s="10" t="str">
        <f>LIDER!H45</f>
        <v>MELANY ANDREA FLÓREZ ALMANZA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3.3000000000000003</v>
      </c>
      <c r="F29" s="200"/>
      <c r="G29" s="197"/>
      <c r="H29" s="198"/>
      <c r="I29" s="197"/>
      <c r="J29" s="198"/>
      <c r="K29" s="197"/>
      <c r="L29" s="198"/>
    </row>
    <row r="30" spans="1:12" s="2" customFormat="1" ht="15" customHeight="1">
      <c r="A30" s="12">
        <v>4</v>
      </c>
      <c r="B30" s="10" t="str">
        <f>LIDER!H46</f>
        <v>JUAN SEBASTIAN PRENS BOSSIO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3.3000000000000003</v>
      </c>
      <c r="F30" s="200"/>
      <c r="G30" s="197"/>
      <c r="H30" s="198"/>
      <c r="I30" s="197"/>
      <c r="J30" s="198"/>
      <c r="K30" s="197"/>
      <c r="L30" s="198"/>
    </row>
    <row r="31" spans="1:12" s="2" customFormat="1" ht="15" customHeight="1">
      <c r="A31" s="12">
        <v>5</v>
      </c>
      <c r="B31" s="10" t="str">
        <f>LIDER!H47</f>
        <v>ALEXANDER DUBAN PROTZKAR DE LA HOZ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3.3000000000000003</v>
      </c>
      <c r="F31" s="200"/>
      <c r="G31" s="197"/>
      <c r="H31" s="198"/>
      <c r="I31" s="197"/>
      <c r="J31" s="198"/>
      <c r="K31" s="197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8"/>
      <c r="I32" s="197"/>
      <c r="J32" s="198"/>
      <c r="K32" s="197"/>
      <c r="L32" s="198"/>
    </row>
    <row r="33" spans="1:12" s="2" customFormat="1" ht="15.75" customHeight="1">
      <c r="A33" s="14"/>
      <c r="B33" s="25" t="s">
        <v>111</v>
      </c>
      <c r="C33" s="88" t="s">
        <v>112</v>
      </c>
      <c r="D33" s="32" t="str">
        <f>D26</f>
        <v>LIST</v>
      </c>
      <c r="E33" s="89" t="s">
        <v>104</v>
      </c>
      <c r="F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SIARA LUCIA CHAMS CARBALLO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3.7000000000000006</v>
      </c>
      <c r="F34" s="200">
        <v>3.7</v>
      </c>
      <c r="G34" s="197">
        <v>3.7</v>
      </c>
      <c r="H34" s="198">
        <v>3.7</v>
      </c>
      <c r="I34" s="197">
        <v>3.7</v>
      </c>
      <c r="J34" s="198">
        <v>3.7</v>
      </c>
      <c r="K34" s="197"/>
      <c r="L34" s="198"/>
    </row>
    <row r="35" spans="1:12" s="2" customFormat="1" ht="15" customHeight="1">
      <c r="A35" s="12">
        <v>2</v>
      </c>
      <c r="B35" s="10" t="str">
        <f>LIDER!E52</f>
        <v>LUCINDA GARCIA CASTRO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3.7000000000000006</v>
      </c>
      <c r="F35" s="200"/>
      <c r="G35" s="197"/>
      <c r="H35" s="198"/>
      <c r="I35" s="197"/>
      <c r="J35" s="198"/>
      <c r="K35" s="197"/>
      <c r="L35" s="198"/>
    </row>
    <row r="36" spans="1:12" s="2" customFormat="1" ht="15" customHeight="1">
      <c r="A36" s="12">
        <v>3</v>
      </c>
      <c r="B36" s="10" t="str">
        <f>LIDER!E53</f>
        <v>SAMUEL DVID JULIO BARRIOS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3.7000000000000006</v>
      </c>
      <c r="F36" s="200"/>
      <c r="G36" s="197"/>
      <c r="H36" s="198"/>
      <c r="I36" s="197"/>
      <c r="J36" s="198"/>
      <c r="K36" s="197"/>
      <c r="L36" s="198"/>
    </row>
    <row r="37" spans="1:12" s="2" customFormat="1" ht="15" customHeight="1">
      <c r="A37" s="12">
        <v>4</v>
      </c>
      <c r="B37" s="10" t="str">
        <f>LIDER!E54</f>
        <v>LAUREN CAROLINA MARTINEZ LICONA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3.7000000000000006</v>
      </c>
      <c r="F37" s="200"/>
      <c r="G37" s="197"/>
      <c r="H37" s="198"/>
      <c r="I37" s="197"/>
      <c r="J37" s="198"/>
      <c r="K37" s="197"/>
      <c r="L37" s="198"/>
    </row>
    <row r="38" spans="1:12" s="2" customFormat="1" ht="15" customHeight="1">
      <c r="A38" s="12">
        <v>5</v>
      </c>
      <c r="B38" s="10" t="str">
        <f>LIDER!E55</f>
        <v>ASLLY MARGARITA RINCON MATTOS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3.7000000000000006</v>
      </c>
      <c r="F38" s="200"/>
      <c r="G38" s="197"/>
      <c r="H38" s="198"/>
      <c r="I38" s="197"/>
      <c r="J38" s="198"/>
      <c r="K38" s="197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8"/>
      <c r="I39" s="197"/>
      <c r="J39" s="198"/>
      <c r="K39" s="197"/>
      <c r="L39" s="198"/>
    </row>
    <row r="40" spans="1:12" s="2" customFormat="1" ht="15.75" customHeight="1">
      <c r="A40" s="14"/>
      <c r="B40" s="25" t="s">
        <v>113</v>
      </c>
      <c r="C40" s="88" t="s">
        <v>114</v>
      </c>
      <c r="D40" s="32" t="str">
        <f>D33</f>
        <v>LIST</v>
      </c>
      <c r="E40" s="89" t="s">
        <v>104</v>
      </c>
      <c r="F40" s="199" t="str">
        <f>LIDER!$E$34</f>
        <v xml:space="preserve">GRUPO#6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YEIDER SANTIAGO BOHORQUEZ GONZALEZ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</v>
      </c>
      <c r="F41" s="200">
        <v>3</v>
      </c>
      <c r="G41" s="197">
        <v>3</v>
      </c>
      <c r="H41" s="198">
        <v>3</v>
      </c>
      <c r="I41" s="197">
        <v>3</v>
      </c>
      <c r="J41" s="198">
        <v>3</v>
      </c>
      <c r="K41" s="197"/>
      <c r="L41" s="198"/>
    </row>
    <row r="42" spans="1:12" s="2" customFormat="1" ht="15" customHeight="1">
      <c r="A42" s="12">
        <v>2</v>
      </c>
      <c r="B42" s="10" t="str">
        <f>LIDER!F52</f>
        <v>ELIAN MANUEL PACHECO BELTRAN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</v>
      </c>
      <c r="F42" s="200"/>
      <c r="G42" s="197"/>
      <c r="H42" s="198"/>
      <c r="I42" s="197"/>
      <c r="J42" s="198"/>
      <c r="K42" s="197"/>
      <c r="L42" s="198"/>
    </row>
    <row r="43" spans="1:12" s="2" customFormat="1" ht="15" customHeight="1">
      <c r="A43" s="12">
        <v>3</v>
      </c>
      <c r="B43" s="10" t="str">
        <f>LIDER!F53</f>
        <v>VALERIA PASTRANA ARRIETA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</v>
      </c>
      <c r="F43" s="200"/>
      <c r="G43" s="197"/>
      <c r="H43" s="198"/>
      <c r="I43" s="197"/>
      <c r="J43" s="198"/>
      <c r="K43" s="197"/>
      <c r="L43" s="198"/>
    </row>
    <row r="44" spans="1:12" s="2" customFormat="1" ht="15" customHeight="1">
      <c r="A44" s="12">
        <v>4</v>
      </c>
      <c r="B44" s="10" t="str">
        <f>LIDER!F54</f>
        <v>JUAN PABLO QUIJANO GUEVARA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</v>
      </c>
      <c r="F44" s="200"/>
      <c r="G44" s="197"/>
      <c r="H44" s="198"/>
      <c r="I44" s="197"/>
      <c r="J44" s="198"/>
      <c r="K44" s="197"/>
      <c r="L44" s="198"/>
    </row>
    <row r="45" spans="1:12" s="2" customFormat="1" ht="15" customHeight="1">
      <c r="A45" s="12">
        <v>5</v>
      </c>
      <c r="B45" s="10" t="str">
        <f>LIDER!F55</f>
        <v>JOSE ANGEL VALLEJO REALES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</v>
      </c>
      <c r="F45" s="200"/>
      <c r="G45" s="197"/>
      <c r="H45" s="198"/>
      <c r="I45" s="197"/>
      <c r="J45" s="198"/>
      <c r="K45" s="197"/>
      <c r="L45" s="198"/>
    </row>
    <row r="46" spans="1:12" s="2" customFormat="1" ht="15.75" customHeight="1">
      <c r="A46" s="13">
        <v>6</v>
      </c>
      <c r="B46" s="91" t="str">
        <f>LIDER!F56</f>
        <v>HENRY WILCHES DE LA ROSA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</v>
      </c>
      <c r="F46" s="200"/>
      <c r="G46" s="197"/>
      <c r="H46" s="198"/>
      <c r="I46" s="197"/>
      <c r="J46" s="198"/>
      <c r="K46" s="197"/>
      <c r="L46" s="198"/>
    </row>
    <row r="47" spans="1:12" s="2" customFormat="1" ht="15.75" customHeight="1">
      <c r="A47" s="14"/>
      <c r="B47" s="25" t="s">
        <v>115</v>
      </c>
      <c r="C47" s="88" t="s">
        <v>116</v>
      </c>
      <c r="D47" s="32" t="str">
        <f>D40</f>
        <v>LIST</v>
      </c>
      <c r="E47" s="89" t="s">
        <v>104</v>
      </c>
      <c r="F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CARLOS JULIO LOPEZ ALEMAN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3.2</v>
      </c>
      <c r="F48" s="200">
        <v>3.2</v>
      </c>
      <c r="G48" s="197">
        <v>3.2</v>
      </c>
      <c r="H48" s="198">
        <v>3.2</v>
      </c>
      <c r="I48" s="197">
        <v>3.2</v>
      </c>
      <c r="J48" s="198">
        <v>3.2</v>
      </c>
      <c r="K48" s="197"/>
      <c r="L48" s="198"/>
    </row>
    <row r="49" spans="1:12" s="2" customFormat="1" ht="15" customHeight="1">
      <c r="A49" s="12">
        <v>2</v>
      </c>
      <c r="B49" s="10" t="str">
        <f>LIDER!G52</f>
        <v>DYLAN ANDRES RANGEL LOPEZ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3.2</v>
      </c>
      <c r="F49" s="200"/>
      <c r="G49" s="197"/>
      <c r="H49" s="198"/>
      <c r="I49" s="197"/>
      <c r="J49" s="198"/>
      <c r="K49" s="197"/>
      <c r="L49" s="198"/>
    </row>
    <row r="50" spans="1:12" s="2" customFormat="1" ht="15" customHeight="1">
      <c r="A50" s="12">
        <v>3</v>
      </c>
      <c r="B50" s="10" t="str">
        <f>LIDER!G53</f>
        <v>SANTIAGO TANGARIFE PONCE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3.2</v>
      </c>
      <c r="F50" s="200"/>
      <c r="G50" s="197"/>
      <c r="H50" s="198"/>
      <c r="I50" s="197"/>
      <c r="J50" s="198"/>
      <c r="K50" s="197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8"/>
      <c r="I51" s="197"/>
      <c r="J51" s="198"/>
      <c r="K51" s="197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8"/>
      <c r="I52" s="197"/>
      <c r="J52" s="198"/>
      <c r="K52" s="197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8"/>
      <c r="I53" s="197"/>
      <c r="J53" s="198"/>
      <c r="K53" s="197"/>
      <c r="L53" s="198"/>
    </row>
    <row r="54" spans="1:12" s="2" customFormat="1" ht="15.75" customHeight="1">
      <c r="A54" s="14"/>
      <c r="B54" s="25" t="s">
        <v>117</v>
      </c>
      <c r="C54" s="88" t="s">
        <v>118</v>
      </c>
      <c r="D54" s="32" t="str">
        <f>D47</f>
        <v>LIST</v>
      </c>
      <c r="E54" s="89" t="s">
        <v>104</v>
      </c>
      <c r="F54" s="199" t="str">
        <f>LIDER!$E$36</f>
        <v>GRUPO#8 Análisis de los aspectos legales, tributarios, administrativos, macroeconómicos, aduaneros, tecnológicos e internacionales que definen el perfil de The Coca-Cola Company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YURI MAR FUENMAYOR OSORIO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4.2</v>
      </c>
      <c r="F55" s="200">
        <v>4.2</v>
      </c>
      <c r="G55" s="197">
        <v>4.2</v>
      </c>
      <c r="H55" s="198">
        <v>4.2</v>
      </c>
      <c r="I55" s="197">
        <v>4.2</v>
      </c>
      <c r="J55" s="198">
        <v>4.2</v>
      </c>
      <c r="K55" s="197"/>
      <c r="L55" s="198"/>
    </row>
    <row r="56" spans="1:12" s="2" customFormat="1" ht="15" customHeight="1">
      <c r="A56" s="12">
        <v>2</v>
      </c>
      <c r="B56" s="10" t="str">
        <f>LIDER!H52</f>
        <v>YULEIDIS PAOLA MORENO DIAZ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4.2</v>
      </c>
      <c r="F56" s="200"/>
      <c r="G56" s="197"/>
      <c r="H56" s="198"/>
      <c r="I56" s="197"/>
      <c r="J56" s="198"/>
      <c r="K56" s="197"/>
      <c r="L56" s="198"/>
    </row>
    <row r="57" spans="1:12" s="2" customFormat="1" ht="15" customHeight="1">
      <c r="A57" s="12">
        <v>3</v>
      </c>
      <c r="B57" s="10" t="str">
        <f>LIDER!H53</f>
        <v>SHARONE JANNINE ORDOÑEZ ESCUDERO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4.2</v>
      </c>
      <c r="F57" s="200"/>
      <c r="G57" s="197"/>
      <c r="H57" s="198"/>
      <c r="I57" s="197"/>
      <c r="J57" s="198"/>
      <c r="K57" s="197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8"/>
      <c r="I58" s="197"/>
      <c r="J58" s="198"/>
      <c r="K58" s="197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8"/>
      <c r="I59" s="197"/>
      <c r="J59" s="198"/>
      <c r="K59" s="197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8"/>
      <c r="I60" s="197"/>
      <c r="J60" s="198"/>
      <c r="K60" s="197"/>
      <c r="L60" s="198"/>
    </row>
    <row r="61" spans="1:12" s="2" customFormat="1" ht="15.75" customHeight="1">
      <c r="A61" s="14"/>
      <c r="B61" s="25" t="s">
        <v>119</v>
      </c>
      <c r="C61" s="88" t="s">
        <v>120</v>
      </c>
      <c r="D61" s="32" t="str">
        <f>D54</f>
        <v>LIST</v>
      </c>
      <c r="E61" s="89" t="s">
        <v>104</v>
      </c>
      <c r="F61" s="199" t="str">
        <f>LIDER!$E$37</f>
        <v xml:space="preserve">GRUPO#9 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ISSAC DAVID ANGULO ZABALETA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3.2</v>
      </c>
      <c r="F62" s="200">
        <v>3.2</v>
      </c>
      <c r="G62" s="197">
        <v>3.2</v>
      </c>
      <c r="H62" s="198">
        <v>3.2</v>
      </c>
      <c r="I62" s="197">
        <v>3.2</v>
      </c>
      <c r="J62" s="198">
        <v>3.2</v>
      </c>
      <c r="K62" s="197"/>
      <c r="L62" s="198"/>
    </row>
    <row r="63" spans="1:12" s="2" customFormat="1" ht="15" customHeight="1">
      <c r="A63" s="12">
        <v>2</v>
      </c>
      <c r="B63" s="10" t="str">
        <f>LIDER!E60</f>
        <v>ANDRES FELIPE ARROYO PARRA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3.2</v>
      </c>
      <c r="F63" s="200"/>
      <c r="G63" s="197"/>
      <c r="H63" s="198"/>
      <c r="I63" s="197"/>
      <c r="J63" s="198"/>
      <c r="K63" s="197"/>
      <c r="L63" s="198"/>
    </row>
    <row r="64" spans="1:12" s="2" customFormat="1" ht="15" customHeight="1">
      <c r="A64" s="12">
        <v>3</v>
      </c>
      <c r="B64" s="10" t="str">
        <f>LIDER!E61</f>
        <v>DANNA ALEJANDRA CASTRO ESPINOSA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3.2</v>
      </c>
      <c r="F64" s="200"/>
      <c r="G64" s="197"/>
      <c r="H64" s="198"/>
      <c r="I64" s="197"/>
      <c r="J64" s="198"/>
      <c r="K64" s="197"/>
      <c r="L64" s="198"/>
    </row>
    <row r="65" spans="1:12" s="2" customFormat="1" ht="15" customHeight="1">
      <c r="A65" s="12">
        <v>4</v>
      </c>
      <c r="B65" s="10" t="str">
        <f>LIDER!E62</f>
        <v>JUAN DAVID LOPEZ VIDES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3.2</v>
      </c>
      <c r="F65" s="200"/>
      <c r="G65" s="197"/>
      <c r="H65" s="198"/>
      <c r="I65" s="197"/>
      <c r="J65" s="198"/>
      <c r="K65" s="197"/>
      <c r="L65" s="198"/>
    </row>
    <row r="66" spans="1:12" s="2" customFormat="1" ht="15" customHeight="1">
      <c r="A66" s="12">
        <v>5</v>
      </c>
      <c r="B66" s="10" t="str">
        <f>LIDER!E63</f>
        <v>ALEJANDRA MORENO VILLALOBO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3.2</v>
      </c>
      <c r="F66" s="200"/>
      <c r="G66" s="197"/>
      <c r="H66" s="198"/>
      <c r="I66" s="197"/>
      <c r="J66" s="198"/>
      <c r="K66" s="197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8"/>
      <c r="I67" s="197"/>
      <c r="J67" s="198"/>
      <c r="K67" s="197"/>
      <c r="L67" s="198"/>
    </row>
    <row r="68" spans="1:12" s="2" customFormat="1" ht="15.75" customHeight="1">
      <c r="A68" s="14"/>
      <c r="B68" s="25" t="s">
        <v>86</v>
      </c>
      <c r="C68" s="88" t="s">
        <v>121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8"/>
      <c r="I69" s="197"/>
      <c r="J69" s="198"/>
      <c r="K69" s="197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8"/>
      <c r="I70" s="197"/>
      <c r="J70" s="198"/>
      <c r="K70" s="197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8"/>
      <c r="I71" s="197"/>
      <c r="J71" s="198"/>
      <c r="K71" s="197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8"/>
      <c r="I72" s="197"/>
      <c r="J72" s="198"/>
      <c r="K72" s="197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8"/>
      <c r="I73" s="197"/>
      <c r="J73" s="198"/>
      <c r="K73" s="197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8"/>
      <c r="I74" s="197"/>
      <c r="J74" s="198"/>
      <c r="K74" s="197"/>
      <c r="L74" s="198"/>
    </row>
    <row r="75" spans="1:12" s="2" customFormat="1" ht="15.75" customHeight="1">
      <c r="A75" s="14"/>
      <c r="B75" s="25" t="s">
        <v>88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8"/>
      <c r="I76" s="197"/>
      <c r="J76" s="198"/>
      <c r="K76" s="197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8"/>
      <c r="I77" s="197"/>
      <c r="J77" s="198"/>
      <c r="K77" s="197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8"/>
      <c r="I78" s="197"/>
      <c r="J78" s="198"/>
      <c r="K78" s="197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8"/>
      <c r="I79" s="197"/>
      <c r="J79" s="198"/>
      <c r="K79" s="197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8"/>
      <c r="I80" s="197"/>
      <c r="J80" s="198"/>
      <c r="K80" s="197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8"/>
      <c r="I81" s="197"/>
      <c r="J81" s="198"/>
      <c r="K81" s="197"/>
      <c r="L81" s="198"/>
    </row>
    <row r="82" spans="1:12" s="2" customFormat="1" ht="15.75" customHeight="1">
      <c r="A82" s="14"/>
      <c r="B82" s="25" t="s">
        <v>90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8"/>
      <c r="I83" s="197"/>
      <c r="J83" s="198"/>
      <c r="K83" s="197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8"/>
      <c r="I84" s="197"/>
      <c r="J84" s="198"/>
      <c r="K84" s="197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8"/>
      <c r="I85" s="197"/>
      <c r="J85" s="198"/>
      <c r="K85" s="197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8"/>
      <c r="I86" s="197"/>
      <c r="J86" s="198"/>
      <c r="K86" s="197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8"/>
      <c r="I87" s="197"/>
      <c r="J87" s="198"/>
      <c r="K87" s="197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5" sqref="F5:L5"/>
      <selection pane="bottomLeft" activeCell="F5" sqref="F5:L5"/>
      <selection pane="topRight" activeCell="F5" sqref="F5:L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2"/>
      <c r="H1" s="20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MACROECONOMÍA</v>
      </c>
      <c r="C2" s="82"/>
      <c r="D2" s="3"/>
      <c r="F2" s="204" t="s">
        <v>99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CONCATENATE(LIDER!F4," - ",LIDER!F6," - ",LIDER!F5)</f>
        <v>MACROECONOMÍA - 1531 - ANDRES PAJARO CASTRO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>GRUPO#1 Descripción de los Aspectos Internacionales, Macroeconómicos, Legales, administrativos, aduaneros y tecnológicos de Progan del Caribe S.A.S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EDINSON ANDRES CASTRO PADILLA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8"/>
      <c r="I6" s="197"/>
      <c r="J6" s="198"/>
      <c r="K6" s="197"/>
      <c r="L6" s="198"/>
    </row>
    <row r="7" spans="1:12" s="2" customFormat="1" ht="15" customHeight="1">
      <c r="A7" s="12">
        <v>2</v>
      </c>
      <c r="B7" s="10" t="str">
        <f>LIDER!E44</f>
        <v>MATEO ANDRÉS CUESTA DÍAZ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8"/>
      <c r="I7" s="197"/>
      <c r="J7" s="198"/>
      <c r="K7" s="197"/>
      <c r="L7" s="198"/>
    </row>
    <row r="8" spans="1:12" s="2" customFormat="1" ht="15" customHeight="1">
      <c r="A8" s="12">
        <v>3</v>
      </c>
      <c r="B8" s="10" t="str">
        <f>LIDER!E45</f>
        <v>LUKASS GIRALDO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8"/>
      <c r="I8" s="197"/>
      <c r="J8" s="198"/>
      <c r="K8" s="197"/>
      <c r="L8" s="198"/>
    </row>
    <row r="9" spans="1:12" s="2" customFormat="1" ht="15" customHeight="1">
      <c r="A9" s="12">
        <v>4</v>
      </c>
      <c r="B9" s="10" t="str">
        <f>LIDER!E46</f>
        <v>LOREINES OSPINO HERNÁNDEZ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8"/>
      <c r="I9" s="197"/>
      <c r="J9" s="198"/>
      <c r="K9" s="197"/>
      <c r="L9" s="198"/>
    </row>
    <row r="10" spans="1:12" s="2" customFormat="1" ht="15" customHeight="1">
      <c r="A10" s="12">
        <v>5</v>
      </c>
      <c r="B10" s="10" t="str">
        <f>LIDER!E47</f>
        <v>LAURA SOFÍA PÉREZ ARÉVALO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8"/>
      <c r="I10" s="197"/>
      <c r="J10" s="198"/>
      <c r="K10" s="197"/>
      <c r="L10" s="198"/>
    </row>
    <row r="11" spans="1:12" s="2" customFormat="1" ht="15.75" customHeight="1" thickBot="1">
      <c r="A11" s="13">
        <v>6</v>
      </c>
      <c r="B11" s="91" t="str">
        <f>LIDER!E48</f>
        <v>VALERY DANIELA SAENZ WATTS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8"/>
      <c r="I11" s="197"/>
      <c r="J11" s="198"/>
      <c r="K11" s="197"/>
      <c r="L11" s="198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CRISTINA CAÑATE MERCADO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8"/>
      <c r="I13" s="197"/>
      <c r="J13" s="198"/>
      <c r="K13" s="197"/>
      <c r="L13" s="198"/>
    </row>
    <row r="14" spans="1:12" s="2" customFormat="1" ht="15" customHeight="1">
      <c r="A14" s="12">
        <v>2</v>
      </c>
      <c r="B14" s="10" t="str">
        <f>LIDER!F44</f>
        <v>KARINA MARRUGO MEZA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8"/>
      <c r="I14" s="197"/>
      <c r="J14" s="198"/>
      <c r="K14" s="197"/>
      <c r="L14" s="198"/>
    </row>
    <row r="15" spans="1:12" s="2" customFormat="1" ht="15" customHeight="1">
      <c r="A15" s="12">
        <v>3</v>
      </c>
      <c r="B15" s="10" t="str">
        <f>LIDER!F45</f>
        <v>HILARYS CAROLINA PATERNINA DONADO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8"/>
      <c r="I15" s="197"/>
      <c r="J15" s="198"/>
      <c r="K15" s="197"/>
      <c r="L15" s="198"/>
    </row>
    <row r="16" spans="1:12" s="2" customFormat="1" ht="15" customHeight="1">
      <c r="A16" s="12">
        <v>4</v>
      </c>
      <c r="B16" s="10" t="str">
        <f>LIDER!F46</f>
        <v>MATEO QUINTANA SERNA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8"/>
      <c r="I16" s="197"/>
      <c r="J16" s="198"/>
      <c r="K16" s="197"/>
      <c r="L16" s="198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8"/>
      <c r="I17" s="197"/>
      <c r="J17" s="198"/>
      <c r="K17" s="197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8"/>
      <c r="I18" s="197"/>
      <c r="J18" s="198"/>
      <c r="K18" s="197"/>
      <c r="L18" s="198"/>
    </row>
    <row r="19" spans="1:12" s="2" customFormat="1" ht="15.75" customHeight="1">
      <c r="A19" s="14"/>
      <c r="B19" s="25" t="s">
        <v>107</v>
      </c>
      <c r="C19" s="88" t="s">
        <v>108</v>
      </c>
      <c r="D19" s="32" t="str">
        <f>D12</f>
        <v>LIST</v>
      </c>
      <c r="E19" s="89" t="s">
        <v>104</v>
      </c>
      <c r="F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YULEDIS BECERRA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8"/>
      <c r="I20" s="197"/>
      <c r="J20" s="198"/>
      <c r="K20" s="197"/>
      <c r="L20" s="198"/>
    </row>
    <row r="21" spans="1:12" s="2" customFormat="1" ht="15" customHeight="1">
      <c r="A21" s="12">
        <v>2</v>
      </c>
      <c r="B21" s="10" t="str">
        <f>LIDER!G44</f>
        <v>JULIO ALBERTO LANCHEROS PACHECO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8"/>
      <c r="I21" s="197"/>
      <c r="J21" s="198"/>
      <c r="K21" s="197"/>
      <c r="L21" s="198"/>
    </row>
    <row r="22" spans="1:12" s="2" customFormat="1" ht="15" customHeight="1">
      <c r="A22" s="12">
        <v>3</v>
      </c>
      <c r="B22" s="10" t="str">
        <f>LIDER!G45</f>
        <v>NELCY CAROLINA MEZA PÉREZ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8"/>
      <c r="I22" s="197"/>
      <c r="J22" s="198"/>
      <c r="K22" s="197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8"/>
      <c r="I23" s="197"/>
      <c r="J23" s="198"/>
      <c r="K23" s="197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8"/>
      <c r="I24" s="197"/>
      <c r="J24" s="198"/>
      <c r="K24" s="197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8"/>
      <c r="I25" s="197"/>
      <c r="J25" s="198"/>
      <c r="K25" s="197"/>
      <c r="L25" s="198"/>
    </row>
    <row r="26" spans="1:12" s="2" customFormat="1" ht="15.75" customHeight="1">
      <c r="A26" s="14"/>
      <c r="B26" s="25" t="s">
        <v>109</v>
      </c>
      <c r="C26" s="88" t="s">
        <v>110</v>
      </c>
      <c r="D26" s="32" t="str">
        <f>D19</f>
        <v>LIST</v>
      </c>
      <c r="E26" s="89" t="s">
        <v>104</v>
      </c>
      <c r="F26" s="199" t="str">
        <f>LIDER!$E$32</f>
        <v xml:space="preserve">GRUPO#4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HELENA ISABEL ALVAREZ CORTINA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8"/>
      <c r="I27" s="197"/>
      <c r="J27" s="198"/>
      <c r="K27" s="197"/>
      <c r="L27" s="198"/>
    </row>
    <row r="28" spans="1:12" s="2" customFormat="1" ht="15" customHeight="1">
      <c r="A28" s="12">
        <v>2</v>
      </c>
      <c r="B28" s="10" t="str">
        <f>LIDER!H44</f>
        <v>ANDREA KAROLAY CARRILLO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8"/>
      <c r="I28" s="197"/>
      <c r="J28" s="198"/>
      <c r="K28" s="197"/>
      <c r="L28" s="198"/>
    </row>
    <row r="29" spans="1:12" s="2" customFormat="1" ht="15" customHeight="1">
      <c r="A29" s="12">
        <v>3</v>
      </c>
      <c r="B29" s="10" t="str">
        <f>LIDER!H45</f>
        <v>MELANY ANDREA FLÓREZ ALMANZA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8"/>
      <c r="I29" s="197"/>
      <c r="J29" s="198"/>
      <c r="K29" s="197"/>
      <c r="L29" s="198"/>
    </row>
    <row r="30" spans="1:12" s="2" customFormat="1" ht="15" customHeight="1">
      <c r="A30" s="12">
        <v>4</v>
      </c>
      <c r="B30" s="10" t="str">
        <f>LIDER!H46</f>
        <v>JUAN SEBASTIAN PRENS BOSSIO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8"/>
      <c r="I30" s="197"/>
      <c r="J30" s="198"/>
      <c r="K30" s="197"/>
      <c r="L30" s="198"/>
    </row>
    <row r="31" spans="1:12" s="2" customFormat="1" ht="15" customHeight="1">
      <c r="A31" s="12">
        <v>5</v>
      </c>
      <c r="B31" s="10" t="str">
        <f>LIDER!H47</f>
        <v>ALEXANDER DUBAN PROTZKAR DE LA HOZ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8"/>
      <c r="I31" s="197"/>
      <c r="J31" s="198"/>
      <c r="K31" s="197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8"/>
      <c r="I32" s="197"/>
      <c r="J32" s="198"/>
      <c r="K32" s="197"/>
      <c r="L32" s="198"/>
    </row>
    <row r="33" spans="1:12" s="2" customFormat="1" ht="15.75" customHeight="1">
      <c r="A33" s="14"/>
      <c r="B33" s="25" t="s">
        <v>111</v>
      </c>
      <c r="C33" s="88" t="s">
        <v>112</v>
      </c>
      <c r="D33" s="32" t="str">
        <f>D26</f>
        <v>LIST</v>
      </c>
      <c r="E33" s="89" t="s">
        <v>104</v>
      </c>
      <c r="F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SIARA LUCIA CHAMS CARBALLO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8"/>
      <c r="I34" s="197"/>
      <c r="J34" s="198"/>
      <c r="K34" s="197"/>
      <c r="L34" s="198"/>
    </row>
    <row r="35" spans="1:12" s="2" customFormat="1" ht="15" customHeight="1">
      <c r="A35" s="12">
        <v>2</v>
      </c>
      <c r="B35" s="10" t="str">
        <f>LIDER!E52</f>
        <v>LUCINDA GARCIA CASTRO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8"/>
      <c r="I35" s="197"/>
      <c r="J35" s="198"/>
      <c r="K35" s="197"/>
      <c r="L35" s="198"/>
    </row>
    <row r="36" spans="1:12" s="2" customFormat="1" ht="15" customHeight="1">
      <c r="A36" s="12">
        <v>3</v>
      </c>
      <c r="B36" s="10" t="str">
        <f>LIDER!E53</f>
        <v>SAMUEL DVID JULIO BARRIOS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8"/>
      <c r="I36" s="197"/>
      <c r="J36" s="198"/>
      <c r="K36" s="197"/>
      <c r="L36" s="198"/>
    </row>
    <row r="37" spans="1:12" s="2" customFormat="1" ht="15" customHeight="1">
      <c r="A37" s="12">
        <v>4</v>
      </c>
      <c r="B37" s="10" t="str">
        <f>LIDER!E54</f>
        <v>LAUREN CAROLINA MARTINEZ LICONA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8"/>
      <c r="I37" s="197"/>
      <c r="J37" s="198"/>
      <c r="K37" s="197"/>
      <c r="L37" s="198"/>
    </row>
    <row r="38" spans="1:12" s="2" customFormat="1" ht="15" customHeight="1">
      <c r="A38" s="12">
        <v>5</v>
      </c>
      <c r="B38" s="10" t="str">
        <f>LIDER!E55</f>
        <v>ASLLY MARGARITA RINCON MATTOS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8"/>
      <c r="I38" s="197"/>
      <c r="J38" s="198"/>
      <c r="K38" s="197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8"/>
      <c r="I39" s="197"/>
      <c r="J39" s="198"/>
      <c r="K39" s="197"/>
      <c r="L39" s="198"/>
    </row>
    <row r="40" spans="1:12" s="2" customFormat="1" ht="15.75" customHeight="1">
      <c r="A40" s="14"/>
      <c r="B40" s="25" t="s">
        <v>113</v>
      </c>
      <c r="C40" s="88" t="s">
        <v>114</v>
      </c>
      <c r="D40" s="32" t="str">
        <f>D33</f>
        <v>LIST</v>
      </c>
      <c r="E40" s="89" t="s">
        <v>104</v>
      </c>
      <c r="F40" s="199" t="str">
        <f>LIDER!$E$34</f>
        <v xml:space="preserve">GRUPO#6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YEIDER SANTIAGO BOHORQUEZ GONZALEZ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8"/>
      <c r="I41" s="197"/>
      <c r="J41" s="198"/>
      <c r="K41" s="197"/>
      <c r="L41" s="198"/>
    </row>
    <row r="42" spans="1:12" s="2" customFormat="1" ht="15" customHeight="1">
      <c r="A42" s="12">
        <v>2</v>
      </c>
      <c r="B42" s="10" t="str">
        <f>LIDER!F52</f>
        <v>ELIAN MANUEL PACHECO BELTRAN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8"/>
      <c r="I42" s="197"/>
      <c r="J42" s="198"/>
      <c r="K42" s="197"/>
      <c r="L42" s="198"/>
    </row>
    <row r="43" spans="1:12" s="2" customFormat="1" ht="15" customHeight="1">
      <c r="A43" s="12">
        <v>3</v>
      </c>
      <c r="B43" s="10" t="str">
        <f>LIDER!F53</f>
        <v>VALERIA PASTRANA ARRIETA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8"/>
      <c r="I43" s="197"/>
      <c r="J43" s="198"/>
      <c r="K43" s="197"/>
      <c r="L43" s="198"/>
    </row>
    <row r="44" spans="1:12" s="2" customFormat="1" ht="15" customHeight="1">
      <c r="A44" s="12">
        <v>4</v>
      </c>
      <c r="B44" s="10" t="str">
        <f>LIDER!F54</f>
        <v>JUAN PABLO QUIJANO GUEVARA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8"/>
      <c r="I44" s="197"/>
      <c r="J44" s="198"/>
      <c r="K44" s="197"/>
      <c r="L44" s="198"/>
    </row>
    <row r="45" spans="1:12" s="2" customFormat="1" ht="15" customHeight="1">
      <c r="A45" s="12">
        <v>5</v>
      </c>
      <c r="B45" s="10" t="str">
        <f>LIDER!F55</f>
        <v>JOSE ANGEL VALLEJO REALES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8"/>
      <c r="I45" s="197"/>
      <c r="J45" s="198"/>
      <c r="K45" s="197"/>
      <c r="L45" s="198"/>
    </row>
    <row r="46" spans="1:12" s="2" customFormat="1" ht="15.75" customHeight="1">
      <c r="A46" s="13">
        <v>6</v>
      </c>
      <c r="B46" s="91" t="str">
        <f>LIDER!F56</f>
        <v>HENRY WILCHES DE LA ROSA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8"/>
      <c r="I46" s="197"/>
      <c r="J46" s="198"/>
      <c r="K46" s="197"/>
      <c r="L46" s="198"/>
    </row>
    <row r="47" spans="1:12" s="2" customFormat="1" ht="15.75" customHeight="1">
      <c r="A47" s="14"/>
      <c r="B47" s="25" t="s">
        <v>115</v>
      </c>
      <c r="C47" s="88" t="s">
        <v>116</v>
      </c>
      <c r="D47" s="32" t="str">
        <f>D40</f>
        <v>LIST</v>
      </c>
      <c r="E47" s="89" t="s">
        <v>104</v>
      </c>
      <c r="F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CARLOS JULIO LOPEZ ALEMAN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8"/>
      <c r="I48" s="197"/>
      <c r="J48" s="198"/>
      <c r="K48" s="197"/>
      <c r="L48" s="198"/>
    </row>
    <row r="49" spans="1:12" s="2" customFormat="1" ht="15" customHeight="1">
      <c r="A49" s="12">
        <v>2</v>
      </c>
      <c r="B49" s="10" t="str">
        <f>LIDER!G52</f>
        <v>DYLAN ANDRES RANGEL LOPEZ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8"/>
      <c r="I49" s="197"/>
      <c r="J49" s="198"/>
      <c r="K49" s="197"/>
      <c r="L49" s="198"/>
    </row>
    <row r="50" spans="1:12" s="2" customFormat="1" ht="15" customHeight="1">
      <c r="A50" s="12">
        <v>3</v>
      </c>
      <c r="B50" s="10" t="str">
        <f>LIDER!G53</f>
        <v>SANTIAGO TANGARIFE PONCE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8"/>
      <c r="I50" s="197"/>
      <c r="J50" s="198"/>
      <c r="K50" s="197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8"/>
      <c r="I51" s="197"/>
      <c r="J51" s="198"/>
      <c r="K51" s="197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8"/>
      <c r="I52" s="197"/>
      <c r="J52" s="198"/>
      <c r="K52" s="197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8"/>
      <c r="I53" s="197"/>
      <c r="J53" s="198"/>
      <c r="K53" s="197"/>
      <c r="L53" s="198"/>
    </row>
    <row r="54" spans="1:12" s="2" customFormat="1" ht="15.75" customHeight="1">
      <c r="A54" s="14"/>
      <c r="B54" s="25" t="s">
        <v>117</v>
      </c>
      <c r="C54" s="88" t="s">
        <v>118</v>
      </c>
      <c r="D54" s="32" t="str">
        <f>D47</f>
        <v>LIST</v>
      </c>
      <c r="E54" s="89" t="s">
        <v>104</v>
      </c>
      <c r="F54" s="199" t="str">
        <f>LIDER!$E$36</f>
        <v>GRUPO#8 Análisis de los aspectos legales, tributarios, administrativos, macroeconómicos, aduaneros, tecnológicos e internacionales que definen el perfil de The Coca-Cola Company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YURI MAR FUENMAYOR OSORIO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8"/>
      <c r="I55" s="197"/>
      <c r="J55" s="198"/>
      <c r="K55" s="197"/>
      <c r="L55" s="198"/>
    </row>
    <row r="56" spans="1:12" s="2" customFormat="1" ht="15" customHeight="1">
      <c r="A56" s="12">
        <v>2</v>
      </c>
      <c r="B56" s="10" t="str">
        <f>LIDER!H52</f>
        <v>YULEIDIS PAOLA MORENO DIAZ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8"/>
      <c r="I56" s="197"/>
      <c r="J56" s="198"/>
      <c r="K56" s="197"/>
      <c r="L56" s="198"/>
    </row>
    <row r="57" spans="1:12" s="2" customFormat="1" ht="15" customHeight="1">
      <c r="A57" s="12">
        <v>3</v>
      </c>
      <c r="B57" s="10" t="str">
        <f>LIDER!H53</f>
        <v>SHARONE JANNINE ORDOÑEZ ESCUDERO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8"/>
      <c r="I57" s="197"/>
      <c r="J57" s="198"/>
      <c r="K57" s="197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8"/>
      <c r="I58" s="197"/>
      <c r="J58" s="198"/>
      <c r="K58" s="197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8"/>
      <c r="I59" s="197"/>
      <c r="J59" s="198"/>
      <c r="K59" s="197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8"/>
      <c r="I60" s="197"/>
      <c r="J60" s="198"/>
      <c r="K60" s="197"/>
      <c r="L60" s="198"/>
    </row>
    <row r="61" spans="1:12" s="2" customFormat="1" ht="15.75" customHeight="1">
      <c r="A61" s="14"/>
      <c r="B61" s="25" t="s">
        <v>119</v>
      </c>
      <c r="C61" s="88" t="s">
        <v>120</v>
      </c>
      <c r="D61" s="32" t="str">
        <f>D54</f>
        <v>LIST</v>
      </c>
      <c r="E61" s="89" t="s">
        <v>104</v>
      </c>
      <c r="F61" s="199" t="str">
        <f>LIDER!$E$37</f>
        <v xml:space="preserve">GRUPO#9 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ISSAC DAVID ANGULO ZABALETA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8"/>
      <c r="I62" s="197"/>
      <c r="J62" s="198"/>
      <c r="K62" s="197"/>
      <c r="L62" s="198"/>
    </row>
    <row r="63" spans="1:12" s="2" customFormat="1" ht="15" customHeight="1">
      <c r="A63" s="12">
        <v>2</v>
      </c>
      <c r="B63" s="10" t="str">
        <f>LIDER!E60</f>
        <v>ANDRES FELIPE ARROYO PARRA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8"/>
      <c r="I63" s="197"/>
      <c r="J63" s="198"/>
      <c r="K63" s="197"/>
      <c r="L63" s="198"/>
    </row>
    <row r="64" spans="1:12" s="2" customFormat="1" ht="15" customHeight="1">
      <c r="A64" s="12">
        <v>3</v>
      </c>
      <c r="B64" s="10" t="str">
        <f>LIDER!E61</f>
        <v>DANNA ALEJANDRA CASTRO ESPINOSA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8"/>
      <c r="I64" s="197"/>
      <c r="J64" s="198"/>
      <c r="K64" s="197"/>
      <c r="L64" s="198"/>
    </row>
    <row r="65" spans="1:12" s="2" customFormat="1" ht="15" customHeight="1">
      <c r="A65" s="12">
        <v>4</v>
      </c>
      <c r="B65" s="10" t="str">
        <f>LIDER!E62</f>
        <v>JUAN DAVID LOPEZ VIDES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8"/>
      <c r="I65" s="197"/>
      <c r="J65" s="198"/>
      <c r="K65" s="197"/>
      <c r="L65" s="198"/>
    </row>
    <row r="66" spans="1:12" s="2" customFormat="1" ht="15" customHeight="1">
      <c r="A66" s="12">
        <v>5</v>
      </c>
      <c r="B66" s="10" t="str">
        <f>LIDER!E63</f>
        <v>ALEJANDRA MORENO VILLALOBO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8"/>
      <c r="I66" s="197"/>
      <c r="J66" s="198"/>
      <c r="K66" s="197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8"/>
      <c r="I67" s="197"/>
      <c r="J67" s="198"/>
      <c r="K67" s="197"/>
      <c r="L67" s="198"/>
    </row>
    <row r="68" spans="1:12" s="2" customFormat="1" ht="15.75" customHeight="1">
      <c r="A68" s="14"/>
      <c r="B68" s="25" t="s">
        <v>86</v>
      </c>
      <c r="C68" s="88" t="s">
        <v>121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8"/>
      <c r="I69" s="197"/>
      <c r="J69" s="198"/>
      <c r="K69" s="197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8"/>
      <c r="I70" s="197"/>
      <c r="J70" s="198"/>
      <c r="K70" s="197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8"/>
      <c r="I71" s="197"/>
      <c r="J71" s="198"/>
      <c r="K71" s="197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8"/>
      <c r="I72" s="197"/>
      <c r="J72" s="198"/>
      <c r="K72" s="197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8"/>
      <c r="I73" s="197"/>
      <c r="J73" s="198"/>
      <c r="K73" s="197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8"/>
      <c r="I74" s="197"/>
      <c r="J74" s="198"/>
      <c r="K74" s="197"/>
      <c r="L74" s="198"/>
    </row>
    <row r="75" spans="1:12" s="2" customFormat="1" ht="15.75" customHeight="1">
      <c r="A75" s="14"/>
      <c r="B75" s="25" t="s">
        <v>88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8"/>
      <c r="I76" s="197"/>
      <c r="J76" s="198"/>
      <c r="K76" s="197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8"/>
      <c r="I77" s="197"/>
      <c r="J77" s="198"/>
      <c r="K77" s="197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8"/>
      <c r="I78" s="197"/>
      <c r="J78" s="198"/>
      <c r="K78" s="197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8"/>
      <c r="I79" s="197"/>
      <c r="J79" s="198"/>
      <c r="K79" s="197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8"/>
      <c r="I80" s="197"/>
      <c r="J80" s="198"/>
      <c r="K80" s="197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8"/>
      <c r="I81" s="197"/>
      <c r="J81" s="198"/>
      <c r="K81" s="197"/>
      <c r="L81" s="198"/>
    </row>
    <row r="82" spans="1:12" s="2" customFormat="1" ht="15.75" customHeight="1">
      <c r="A82" s="14"/>
      <c r="B82" s="25" t="s">
        <v>90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8"/>
      <c r="I83" s="197"/>
      <c r="J83" s="198"/>
      <c r="K83" s="197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8"/>
      <c r="I84" s="197"/>
      <c r="J84" s="198"/>
      <c r="K84" s="197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8"/>
      <c r="I85" s="197"/>
      <c r="J85" s="198"/>
      <c r="K85" s="197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8"/>
      <c r="I86" s="197"/>
      <c r="J86" s="198"/>
      <c r="K86" s="197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8"/>
      <c r="I87" s="197"/>
      <c r="J87" s="198"/>
      <c r="K87" s="197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0" activePane="bottomRight" state="frozen"/>
      <selection pane="bottomRight" activeCell="F5" sqref="F5:L5"/>
      <selection pane="bottomLeft" activeCell="F5" sqref="F5:L5"/>
      <selection pane="topRight" activeCell="F5" sqref="F5:L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2"/>
      <c r="H1" s="20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204" t="s">
        <v>99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CONCATENATE(LIDER!G4," - ",LIDER!G6," - ",LIDER!G5)</f>
        <v>MATEMÁTICAS FINANCIERAS - 1411 - JORGE LUIS PUERTA SALAS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>GRUPO#1 Descripción de los Aspectos Internacionales, Macroeconómicos, Legales, administrativos, aduaneros y tecnológicos de Progan del Caribe S.A.S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EDINSON ANDRES CASTRO PADILLA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4.55</v>
      </c>
      <c r="F6" s="200">
        <v>4.5999999999999996</v>
      </c>
      <c r="G6" s="197">
        <v>4.7</v>
      </c>
      <c r="H6" s="198">
        <v>4.2</v>
      </c>
      <c r="I6" s="197">
        <v>4.8</v>
      </c>
      <c r="J6" s="198">
        <v>4.7</v>
      </c>
      <c r="K6" s="197">
        <v>4.7</v>
      </c>
      <c r="L6" s="198"/>
    </row>
    <row r="7" spans="1:12" s="2" customFormat="1" ht="15" customHeight="1">
      <c r="A7" s="12">
        <v>2</v>
      </c>
      <c r="B7" s="10" t="str">
        <f>LIDER!E44</f>
        <v>MATEO ANDRÉS CUESTA DÍAZ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4.55</v>
      </c>
      <c r="F7" s="200"/>
      <c r="G7" s="197"/>
      <c r="H7" s="198"/>
      <c r="I7" s="197"/>
      <c r="J7" s="198"/>
      <c r="K7" s="197"/>
      <c r="L7" s="198"/>
    </row>
    <row r="8" spans="1:12" s="2" customFormat="1" ht="15" customHeight="1">
      <c r="A8" s="12">
        <v>3</v>
      </c>
      <c r="B8" s="10" t="str">
        <f>LIDER!E45</f>
        <v>LUKASS GIRALDO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4.55</v>
      </c>
      <c r="F8" s="200"/>
      <c r="G8" s="197"/>
      <c r="H8" s="198"/>
      <c r="I8" s="197"/>
      <c r="J8" s="198"/>
      <c r="K8" s="197"/>
      <c r="L8" s="198"/>
    </row>
    <row r="9" spans="1:12" s="2" customFormat="1" ht="15" customHeight="1">
      <c r="A9" s="12">
        <v>4</v>
      </c>
      <c r="B9" s="10" t="str">
        <f>LIDER!E46</f>
        <v>LOREINES OSPINO HERNÁNDEZ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4.55</v>
      </c>
      <c r="F9" s="200"/>
      <c r="G9" s="197"/>
      <c r="H9" s="198"/>
      <c r="I9" s="197"/>
      <c r="J9" s="198"/>
      <c r="K9" s="197"/>
      <c r="L9" s="198"/>
    </row>
    <row r="10" spans="1:12" s="2" customFormat="1" ht="15" customHeight="1">
      <c r="A10" s="12">
        <v>5</v>
      </c>
      <c r="B10" s="10" t="str">
        <f>LIDER!E47</f>
        <v>LAURA SOFÍA PÉREZ ARÉVALO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4.55</v>
      </c>
      <c r="F10" s="200"/>
      <c r="G10" s="197"/>
      <c r="H10" s="198"/>
      <c r="I10" s="197"/>
      <c r="J10" s="198"/>
      <c r="K10" s="197"/>
      <c r="L10" s="198"/>
    </row>
    <row r="11" spans="1:12" s="2" customFormat="1" ht="15.75" customHeight="1" thickBot="1">
      <c r="A11" s="13">
        <v>6</v>
      </c>
      <c r="B11" s="91" t="str">
        <f>LIDER!E48</f>
        <v>VALERY DANIELA SAENZ WATTS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4.55</v>
      </c>
      <c r="F11" s="200"/>
      <c r="G11" s="197"/>
      <c r="H11" s="198"/>
      <c r="I11" s="197"/>
      <c r="J11" s="198"/>
      <c r="K11" s="197"/>
      <c r="L11" s="198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CRISTINA CAÑATE MERCADO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3.71</v>
      </c>
      <c r="F13" s="200">
        <v>4</v>
      </c>
      <c r="G13" s="197">
        <v>3.5</v>
      </c>
      <c r="H13" s="198">
        <v>3.6</v>
      </c>
      <c r="I13" s="197">
        <v>3.8</v>
      </c>
      <c r="J13" s="198">
        <v>3.7</v>
      </c>
      <c r="K13" s="197"/>
      <c r="L13" s="198"/>
    </row>
    <row r="14" spans="1:12" s="2" customFormat="1" ht="15" customHeight="1">
      <c r="A14" s="12">
        <v>2</v>
      </c>
      <c r="B14" s="10" t="str">
        <f>LIDER!F44</f>
        <v>KARINA MARRUGO MEZA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3.71</v>
      </c>
      <c r="F14" s="200"/>
      <c r="G14" s="197"/>
      <c r="H14" s="198"/>
      <c r="I14" s="197"/>
      <c r="J14" s="198"/>
      <c r="K14" s="197"/>
      <c r="L14" s="198"/>
    </row>
    <row r="15" spans="1:12" s="2" customFormat="1" ht="15" customHeight="1">
      <c r="A15" s="12">
        <v>3</v>
      </c>
      <c r="B15" s="10" t="str">
        <f>LIDER!F45</f>
        <v>HILARYS CAROLINA PATERNINA DONADO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3.71</v>
      </c>
      <c r="F15" s="200"/>
      <c r="G15" s="197"/>
      <c r="H15" s="198"/>
      <c r="I15" s="197"/>
      <c r="J15" s="198"/>
      <c r="K15" s="197"/>
      <c r="L15" s="198"/>
    </row>
    <row r="16" spans="1:12" s="2" customFormat="1" ht="15" customHeight="1">
      <c r="A16" s="12">
        <v>4</v>
      </c>
      <c r="B16" s="10" t="str">
        <f>LIDER!F46</f>
        <v>MATEO QUINTANA SERNA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3.71</v>
      </c>
      <c r="F16" s="200"/>
      <c r="G16" s="197"/>
      <c r="H16" s="198"/>
      <c r="I16" s="197"/>
      <c r="J16" s="198"/>
      <c r="K16" s="197"/>
      <c r="L16" s="198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8"/>
      <c r="I17" s="197"/>
      <c r="J17" s="198"/>
      <c r="K17" s="197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8"/>
      <c r="I18" s="197"/>
      <c r="J18" s="198"/>
      <c r="K18" s="197"/>
      <c r="L18" s="198"/>
    </row>
    <row r="19" spans="1:12" s="2" customFormat="1" ht="15.75" customHeight="1">
      <c r="A19" s="14"/>
      <c r="B19" s="25" t="s">
        <v>107</v>
      </c>
      <c r="C19" s="88" t="s">
        <v>108</v>
      </c>
      <c r="D19" s="32" t="str">
        <f>D12</f>
        <v>LIST</v>
      </c>
      <c r="E19" s="89" t="s">
        <v>104</v>
      </c>
      <c r="F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YULEDIS BECERRA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2.5399999999999996</v>
      </c>
      <c r="F20" s="200">
        <v>2</v>
      </c>
      <c r="G20" s="197">
        <v>2.5</v>
      </c>
      <c r="H20" s="198">
        <v>2.8</v>
      </c>
      <c r="I20" s="197">
        <v>2.6</v>
      </c>
      <c r="J20" s="198">
        <v>2.8</v>
      </c>
      <c r="K20" s="197"/>
      <c r="L20" s="198"/>
    </row>
    <row r="21" spans="1:12" s="2" customFormat="1" ht="15" customHeight="1">
      <c r="A21" s="12">
        <v>2</v>
      </c>
      <c r="B21" s="10" t="str">
        <f>LIDER!G44</f>
        <v>JULIO ALBERTO LANCHEROS PACHECO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2.5399999999999996</v>
      </c>
      <c r="F21" s="200"/>
      <c r="G21" s="197"/>
      <c r="H21" s="198"/>
      <c r="I21" s="197"/>
      <c r="J21" s="198"/>
      <c r="K21" s="197"/>
      <c r="L21" s="198"/>
    </row>
    <row r="22" spans="1:12" s="2" customFormat="1" ht="15" customHeight="1">
      <c r="A22" s="12">
        <v>3</v>
      </c>
      <c r="B22" s="10" t="str">
        <f>LIDER!G45</f>
        <v>NELCY CAROLINA MEZA PÉREZ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2.5399999999999996</v>
      </c>
      <c r="F22" s="200"/>
      <c r="G22" s="197"/>
      <c r="H22" s="198"/>
      <c r="I22" s="197"/>
      <c r="J22" s="198"/>
      <c r="K22" s="197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8"/>
      <c r="I23" s="197"/>
      <c r="J23" s="198"/>
      <c r="K23" s="197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8"/>
      <c r="I24" s="197"/>
      <c r="J24" s="198"/>
      <c r="K24" s="197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8"/>
      <c r="I25" s="197"/>
      <c r="J25" s="198"/>
      <c r="K25" s="197"/>
      <c r="L25" s="198"/>
    </row>
    <row r="26" spans="1:12" s="2" customFormat="1" ht="15.75" customHeight="1">
      <c r="A26" s="14"/>
      <c r="B26" s="25" t="s">
        <v>109</v>
      </c>
      <c r="C26" s="88" t="s">
        <v>110</v>
      </c>
      <c r="D26" s="32" t="str">
        <f>D19</f>
        <v>LIST</v>
      </c>
      <c r="E26" s="89" t="s">
        <v>104</v>
      </c>
      <c r="F26" s="199" t="str">
        <f>LIDER!$E$32</f>
        <v xml:space="preserve">GRUPO#4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HELENA ISABEL ALVAREZ CORTINA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3.4800000000000004</v>
      </c>
      <c r="F27" s="200">
        <v>3.4</v>
      </c>
      <c r="G27" s="197">
        <v>3.5</v>
      </c>
      <c r="H27" s="198">
        <v>3.4</v>
      </c>
      <c r="I27" s="197">
        <v>3.6</v>
      </c>
      <c r="J27" s="198">
        <v>3.6</v>
      </c>
      <c r="K27" s="197">
        <v>3.3</v>
      </c>
      <c r="L27" s="198"/>
    </row>
    <row r="28" spans="1:12" s="2" customFormat="1" ht="15" customHeight="1">
      <c r="A28" s="12">
        <v>2</v>
      </c>
      <c r="B28" s="10" t="str">
        <f>LIDER!H44</f>
        <v>ANDREA KAROLAY CARRILLO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3.4800000000000004</v>
      </c>
      <c r="F28" s="200"/>
      <c r="G28" s="197"/>
      <c r="H28" s="198"/>
      <c r="I28" s="197"/>
      <c r="J28" s="198"/>
      <c r="K28" s="197"/>
      <c r="L28" s="198"/>
    </row>
    <row r="29" spans="1:12" s="2" customFormat="1" ht="15" customHeight="1">
      <c r="A29" s="12">
        <v>3</v>
      </c>
      <c r="B29" s="10" t="str">
        <f>LIDER!H45</f>
        <v>MELANY ANDREA FLÓREZ ALMANZA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3.4800000000000004</v>
      </c>
      <c r="F29" s="200"/>
      <c r="G29" s="197"/>
      <c r="H29" s="198"/>
      <c r="I29" s="197"/>
      <c r="J29" s="198"/>
      <c r="K29" s="197"/>
      <c r="L29" s="198"/>
    </row>
    <row r="30" spans="1:12" s="2" customFormat="1" ht="15" customHeight="1">
      <c r="A30" s="12">
        <v>4</v>
      </c>
      <c r="B30" s="10" t="str">
        <f>LIDER!H46</f>
        <v>JUAN SEBASTIAN PRENS BOSSIO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3.4800000000000004</v>
      </c>
      <c r="F30" s="200"/>
      <c r="G30" s="197"/>
      <c r="H30" s="198"/>
      <c r="I30" s="197"/>
      <c r="J30" s="198"/>
      <c r="K30" s="197"/>
      <c r="L30" s="198"/>
    </row>
    <row r="31" spans="1:12" s="2" customFormat="1" ht="15" customHeight="1">
      <c r="A31" s="12">
        <v>5</v>
      </c>
      <c r="B31" s="10" t="str">
        <f>LIDER!H47</f>
        <v>ALEXANDER DUBAN PROTZKAR DE LA HOZ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3.4800000000000004</v>
      </c>
      <c r="F31" s="200"/>
      <c r="G31" s="197"/>
      <c r="H31" s="198"/>
      <c r="I31" s="197"/>
      <c r="J31" s="198"/>
      <c r="K31" s="197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8"/>
      <c r="I32" s="197"/>
      <c r="J32" s="198"/>
      <c r="K32" s="197"/>
      <c r="L32" s="198"/>
    </row>
    <row r="33" spans="1:12" s="2" customFormat="1" ht="15.75" customHeight="1">
      <c r="A33" s="14"/>
      <c r="B33" s="25" t="s">
        <v>111</v>
      </c>
      <c r="C33" s="88" t="s">
        <v>112</v>
      </c>
      <c r="D33" s="32" t="str">
        <f>D26</f>
        <v>LIST</v>
      </c>
      <c r="E33" s="89" t="s">
        <v>104</v>
      </c>
      <c r="F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SIARA LUCIA CHAMS CARBALLO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3.7600000000000002</v>
      </c>
      <c r="F34" s="200">
        <v>4</v>
      </c>
      <c r="G34" s="197">
        <v>4</v>
      </c>
      <c r="H34" s="198">
        <v>3.6</v>
      </c>
      <c r="I34" s="197">
        <v>3.6</v>
      </c>
      <c r="J34" s="198">
        <v>3.6</v>
      </c>
      <c r="K34" s="197"/>
      <c r="L34" s="198"/>
    </row>
    <row r="35" spans="1:12" s="2" customFormat="1" ht="15" customHeight="1">
      <c r="A35" s="12">
        <v>2</v>
      </c>
      <c r="B35" s="10" t="str">
        <f>LIDER!E52</f>
        <v>LUCINDA GARCIA CASTRO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3.7600000000000002</v>
      </c>
      <c r="F35" s="200"/>
      <c r="G35" s="197"/>
      <c r="H35" s="198"/>
      <c r="I35" s="197"/>
      <c r="J35" s="198"/>
      <c r="K35" s="197"/>
      <c r="L35" s="198"/>
    </row>
    <row r="36" spans="1:12" s="2" customFormat="1" ht="15" customHeight="1">
      <c r="A36" s="12">
        <v>3</v>
      </c>
      <c r="B36" s="10" t="str">
        <f>LIDER!E53</f>
        <v>SAMUEL DVID JULIO BARRIOS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3.7600000000000002</v>
      </c>
      <c r="F36" s="200"/>
      <c r="G36" s="197"/>
      <c r="H36" s="198"/>
      <c r="I36" s="197"/>
      <c r="J36" s="198"/>
      <c r="K36" s="197"/>
      <c r="L36" s="198"/>
    </row>
    <row r="37" spans="1:12" s="2" customFormat="1" ht="15" customHeight="1">
      <c r="A37" s="12">
        <v>4</v>
      </c>
      <c r="B37" s="10" t="str">
        <f>LIDER!E54</f>
        <v>LAUREN CAROLINA MARTINEZ LICONA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3.7600000000000002</v>
      </c>
      <c r="F37" s="200"/>
      <c r="G37" s="197"/>
      <c r="H37" s="198"/>
      <c r="I37" s="197"/>
      <c r="J37" s="198"/>
      <c r="K37" s="197"/>
      <c r="L37" s="198"/>
    </row>
    <row r="38" spans="1:12" s="2" customFormat="1" ht="15" customHeight="1">
      <c r="A38" s="12">
        <v>5</v>
      </c>
      <c r="B38" s="10" t="str">
        <f>LIDER!E55</f>
        <v>ASLLY MARGARITA RINCON MATTOS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3.7600000000000002</v>
      </c>
      <c r="F38" s="200"/>
      <c r="G38" s="197"/>
      <c r="H38" s="198"/>
      <c r="I38" s="197"/>
      <c r="J38" s="198"/>
      <c r="K38" s="197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8"/>
      <c r="I39" s="197"/>
      <c r="J39" s="198"/>
      <c r="K39" s="197"/>
      <c r="L39" s="198"/>
    </row>
    <row r="40" spans="1:12" s="2" customFormat="1" ht="15.75" customHeight="1">
      <c r="A40" s="14"/>
      <c r="B40" s="25" t="s">
        <v>113</v>
      </c>
      <c r="C40" s="88" t="s">
        <v>114</v>
      </c>
      <c r="D40" s="32" t="str">
        <f>D33</f>
        <v>LIST</v>
      </c>
      <c r="E40" s="89" t="s">
        <v>104</v>
      </c>
      <c r="F40" s="199" t="str">
        <f>LIDER!$E$34</f>
        <v xml:space="preserve">GRUPO#6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YEIDER SANTIAGO BOHORQUEZ GONZALEZ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3.41</v>
      </c>
      <c r="F41" s="200">
        <v>3.4</v>
      </c>
      <c r="G41" s="197">
        <v>3.5</v>
      </c>
      <c r="H41" s="198">
        <v>3.5</v>
      </c>
      <c r="I41" s="197">
        <v>3.3</v>
      </c>
      <c r="J41" s="198">
        <v>3.2</v>
      </c>
      <c r="K41" s="197"/>
      <c r="L41" s="198"/>
    </row>
    <row r="42" spans="1:12" s="2" customFormat="1" ht="15" customHeight="1">
      <c r="A42" s="12">
        <v>2</v>
      </c>
      <c r="B42" s="10" t="str">
        <f>LIDER!F52</f>
        <v>ELIAN MANUEL PACHECO BELTRAN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3.41</v>
      </c>
      <c r="F42" s="200"/>
      <c r="G42" s="197"/>
      <c r="H42" s="198"/>
      <c r="I42" s="197"/>
      <c r="J42" s="198"/>
      <c r="K42" s="197"/>
      <c r="L42" s="198"/>
    </row>
    <row r="43" spans="1:12" s="2" customFormat="1" ht="15" customHeight="1">
      <c r="A43" s="12">
        <v>3</v>
      </c>
      <c r="B43" s="10" t="str">
        <f>LIDER!F53</f>
        <v>VALERIA PASTRANA ARRIETA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3.41</v>
      </c>
      <c r="F43" s="200"/>
      <c r="G43" s="197"/>
      <c r="H43" s="198"/>
      <c r="I43" s="197"/>
      <c r="J43" s="198"/>
      <c r="K43" s="197"/>
      <c r="L43" s="198"/>
    </row>
    <row r="44" spans="1:12" s="2" customFormat="1" ht="15" customHeight="1">
      <c r="A44" s="12">
        <v>4</v>
      </c>
      <c r="B44" s="10" t="str">
        <f>LIDER!F54</f>
        <v>JUAN PABLO QUIJANO GUEVARA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3.41</v>
      </c>
      <c r="F44" s="200"/>
      <c r="G44" s="197"/>
      <c r="H44" s="198"/>
      <c r="I44" s="197"/>
      <c r="J44" s="198"/>
      <c r="K44" s="197"/>
      <c r="L44" s="198"/>
    </row>
    <row r="45" spans="1:12" s="2" customFormat="1" ht="15" customHeight="1">
      <c r="A45" s="12">
        <v>5</v>
      </c>
      <c r="B45" s="10" t="str">
        <f>LIDER!F55</f>
        <v>JOSE ANGEL VALLEJO REALES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3.41</v>
      </c>
      <c r="F45" s="200"/>
      <c r="G45" s="197"/>
      <c r="H45" s="198"/>
      <c r="I45" s="197"/>
      <c r="J45" s="198"/>
      <c r="K45" s="197"/>
      <c r="L45" s="198"/>
    </row>
    <row r="46" spans="1:12" s="2" customFormat="1" ht="15.75" customHeight="1">
      <c r="A46" s="13">
        <v>6</v>
      </c>
      <c r="B46" s="91" t="str">
        <f>LIDER!F56</f>
        <v>HENRY WILCHES DE LA ROSA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3.41</v>
      </c>
      <c r="F46" s="200"/>
      <c r="G46" s="197"/>
      <c r="H46" s="198"/>
      <c r="I46" s="197"/>
      <c r="J46" s="198"/>
      <c r="K46" s="197"/>
      <c r="L46" s="198"/>
    </row>
    <row r="47" spans="1:12" s="2" customFormat="1" ht="15.75" customHeight="1">
      <c r="A47" s="14"/>
      <c r="B47" s="25" t="s">
        <v>115</v>
      </c>
      <c r="C47" s="88" t="s">
        <v>116</v>
      </c>
      <c r="D47" s="32" t="str">
        <f>D40</f>
        <v>LIST</v>
      </c>
      <c r="E47" s="89" t="s">
        <v>104</v>
      </c>
      <c r="F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CARLOS JULIO LOPEZ ALEMAN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3.5300000000000002</v>
      </c>
      <c r="F48" s="200">
        <v>3.4</v>
      </c>
      <c r="G48" s="197">
        <v>3.6</v>
      </c>
      <c r="H48" s="198">
        <v>3.5</v>
      </c>
      <c r="I48" s="197">
        <v>3.7</v>
      </c>
      <c r="J48" s="198">
        <v>3.4</v>
      </c>
      <c r="K48" s="197"/>
      <c r="L48" s="198"/>
    </row>
    <row r="49" spans="1:12" s="2" customFormat="1" ht="15" customHeight="1">
      <c r="A49" s="12">
        <v>2</v>
      </c>
      <c r="B49" s="10" t="str">
        <f>LIDER!G52</f>
        <v>DYLAN ANDRES RANGEL LOPEZ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3.5300000000000002</v>
      </c>
      <c r="F49" s="200"/>
      <c r="G49" s="197"/>
      <c r="H49" s="198"/>
      <c r="I49" s="197"/>
      <c r="J49" s="198"/>
      <c r="K49" s="197"/>
      <c r="L49" s="198"/>
    </row>
    <row r="50" spans="1:12" s="2" customFormat="1" ht="15" customHeight="1">
      <c r="A50" s="12">
        <v>3</v>
      </c>
      <c r="B50" s="10" t="str">
        <f>LIDER!G53</f>
        <v>SANTIAGO TANGARIFE PONCE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3.5300000000000002</v>
      </c>
      <c r="F50" s="200"/>
      <c r="G50" s="197"/>
      <c r="H50" s="198"/>
      <c r="I50" s="197"/>
      <c r="J50" s="198"/>
      <c r="K50" s="197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8"/>
      <c r="I51" s="197"/>
      <c r="J51" s="198"/>
      <c r="K51" s="197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8"/>
      <c r="I52" s="197"/>
      <c r="J52" s="198"/>
      <c r="K52" s="197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8"/>
      <c r="I53" s="197"/>
      <c r="J53" s="198"/>
      <c r="K53" s="197"/>
      <c r="L53" s="198"/>
    </row>
    <row r="54" spans="1:12" s="2" customFormat="1" ht="15.75" customHeight="1">
      <c r="A54" s="14"/>
      <c r="B54" s="25" t="s">
        <v>117</v>
      </c>
      <c r="C54" s="88" t="s">
        <v>118</v>
      </c>
      <c r="D54" s="32" t="str">
        <f>D47</f>
        <v>LIST</v>
      </c>
      <c r="E54" s="89" t="s">
        <v>104</v>
      </c>
      <c r="F54" s="199" t="str">
        <f>LIDER!$E$36</f>
        <v>GRUPO#8 Análisis de los aspectos legales, tributarios, administrativos, macroeconómicos, aduaneros, tecnológicos e internacionales que definen el perfil de The Coca-Cola Company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YURI MAR FUENMAYOR OSORIO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4.2799999999999994</v>
      </c>
      <c r="F55" s="200">
        <v>4.2</v>
      </c>
      <c r="G55" s="197">
        <v>4.0999999999999996</v>
      </c>
      <c r="H55" s="198">
        <v>4.5</v>
      </c>
      <c r="I55" s="197">
        <v>4.2</v>
      </c>
      <c r="J55" s="198">
        <v>4.3</v>
      </c>
      <c r="K55" s="197"/>
      <c r="L55" s="198"/>
    </row>
    <row r="56" spans="1:12" s="2" customFormat="1" ht="15" customHeight="1">
      <c r="A56" s="12">
        <v>2</v>
      </c>
      <c r="B56" s="10" t="str">
        <f>LIDER!H52</f>
        <v>YULEIDIS PAOLA MORENO DIAZ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4.2799999999999994</v>
      </c>
      <c r="F56" s="200"/>
      <c r="G56" s="197"/>
      <c r="H56" s="198"/>
      <c r="I56" s="197"/>
      <c r="J56" s="198"/>
      <c r="K56" s="197"/>
      <c r="L56" s="198"/>
    </row>
    <row r="57" spans="1:12" s="2" customFormat="1" ht="15" customHeight="1">
      <c r="A57" s="12">
        <v>3</v>
      </c>
      <c r="B57" s="10" t="str">
        <f>LIDER!H53</f>
        <v>SHARONE JANNINE ORDOÑEZ ESCUDERO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4.2799999999999994</v>
      </c>
      <c r="F57" s="200"/>
      <c r="G57" s="197"/>
      <c r="H57" s="198"/>
      <c r="I57" s="197"/>
      <c r="J57" s="198"/>
      <c r="K57" s="197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8"/>
      <c r="I58" s="197"/>
      <c r="J58" s="198"/>
      <c r="K58" s="197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8"/>
      <c r="I59" s="197"/>
      <c r="J59" s="198"/>
      <c r="K59" s="197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8"/>
      <c r="I60" s="197"/>
      <c r="J60" s="198"/>
      <c r="K60" s="197"/>
      <c r="L60" s="198"/>
    </row>
    <row r="61" spans="1:12" s="2" customFormat="1" ht="15.75" customHeight="1">
      <c r="A61" s="14"/>
      <c r="B61" s="25" t="s">
        <v>119</v>
      </c>
      <c r="C61" s="88" t="s">
        <v>120</v>
      </c>
      <c r="D61" s="32" t="str">
        <f>D54</f>
        <v>LIST</v>
      </c>
      <c r="E61" s="89" t="s">
        <v>104</v>
      </c>
      <c r="F61" s="199" t="str">
        <f>LIDER!$E$37</f>
        <v xml:space="preserve">GRUPO#9 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ISSAC DAVID ANGULO ZABALETA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3.3900000000000006</v>
      </c>
      <c r="F62" s="200">
        <v>3.4</v>
      </c>
      <c r="G62" s="197">
        <v>3.6</v>
      </c>
      <c r="H62" s="198">
        <v>3.2</v>
      </c>
      <c r="I62" s="197">
        <v>3.4</v>
      </c>
      <c r="J62" s="198">
        <v>3.5</v>
      </c>
      <c r="K62" s="197"/>
      <c r="L62" s="198"/>
    </row>
    <row r="63" spans="1:12" s="2" customFormat="1" ht="15" customHeight="1">
      <c r="A63" s="12">
        <v>2</v>
      </c>
      <c r="B63" s="10" t="str">
        <f>LIDER!E60</f>
        <v>ANDRES FELIPE ARROYO PARRA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3.3900000000000006</v>
      </c>
      <c r="F63" s="200"/>
      <c r="G63" s="197"/>
      <c r="H63" s="198"/>
      <c r="I63" s="197"/>
      <c r="J63" s="198"/>
      <c r="K63" s="197"/>
      <c r="L63" s="198"/>
    </row>
    <row r="64" spans="1:12" s="2" customFormat="1" ht="15" customHeight="1">
      <c r="A64" s="12">
        <v>3</v>
      </c>
      <c r="B64" s="10" t="str">
        <f>LIDER!E61</f>
        <v>DANNA ALEJANDRA CASTRO ESPINOSA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3.3900000000000006</v>
      </c>
      <c r="F64" s="200"/>
      <c r="G64" s="197"/>
      <c r="H64" s="198"/>
      <c r="I64" s="197"/>
      <c r="J64" s="198"/>
      <c r="K64" s="197"/>
      <c r="L64" s="198"/>
    </row>
    <row r="65" spans="1:12" s="2" customFormat="1" ht="15" customHeight="1">
      <c r="A65" s="12">
        <v>4</v>
      </c>
      <c r="B65" s="10" t="str">
        <f>LIDER!E62</f>
        <v>JUAN DAVID LOPEZ VIDES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3.3900000000000006</v>
      </c>
      <c r="F65" s="200"/>
      <c r="G65" s="197"/>
      <c r="H65" s="198"/>
      <c r="I65" s="197"/>
      <c r="J65" s="198"/>
      <c r="K65" s="197"/>
      <c r="L65" s="198"/>
    </row>
    <row r="66" spans="1:12" s="2" customFormat="1" ht="15" customHeight="1">
      <c r="A66" s="12">
        <v>5</v>
      </c>
      <c r="B66" s="10" t="str">
        <f>LIDER!E63</f>
        <v>ALEJANDRA MORENO VILLALOBO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3.3900000000000006</v>
      </c>
      <c r="F66" s="200"/>
      <c r="G66" s="197"/>
      <c r="H66" s="198"/>
      <c r="I66" s="197"/>
      <c r="J66" s="198"/>
      <c r="K66" s="197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8"/>
      <c r="I67" s="197"/>
      <c r="J67" s="198"/>
      <c r="K67" s="197"/>
      <c r="L67" s="198"/>
    </row>
    <row r="68" spans="1:12" s="2" customFormat="1" ht="15.75" customHeight="1">
      <c r="A68" s="14"/>
      <c r="B68" s="25" t="s">
        <v>86</v>
      </c>
      <c r="C68" s="88" t="s">
        <v>121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8"/>
      <c r="I69" s="197"/>
      <c r="J69" s="198"/>
      <c r="K69" s="197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8"/>
      <c r="I70" s="197"/>
      <c r="J70" s="198"/>
      <c r="K70" s="197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8"/>
      <c r="I71" s="197"/>
      <c r="J71" s="198"/>
      <c r="K71" s="197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8"/>
      <c r="I72" s="197"/>
      <c r="J72" s="198"/>
      <c r="K72" s="197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8"/>
      <c r="I73" s="197"/>
      <c r="J73" s="198"/>
      <c r="K73" s="197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8"/>
      <c r="I74" s="197"/>
      <c r="J74" s="198"/>
      <c r="K74" s="197"/>
      <c r="L74" s="198"/>
    </row>
    <row r="75" spans="1:12" s="2" customFormat="1" ht="15.75" customHeight="1">
      <c r="A75" s="14"/>
      <c r="B75" s="25" t="s">
        <v>88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8"/>
      <c r="I76" s="197"/>
      <c r="J76" s="198"/>
      <c r="K76" s="197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8"/>
      <c r="I77" s="197"/>
      <c r="J77" s="198"/>
      <c r="K77" s="197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8"/>
      <c r="I78" s="197"/>
      <c r="J78" s="198"/>
      <c r="K78" s="197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8"/>
      <c r="I79" s="197"/>
      <c r="J79" s="198"/>
      <c r="K79" s="197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8"/>
      <c r="I80" s="197"/>
      <c r="J80" s="198"/>
      <c r="K80" s="197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8"/>
      <c r="I81" s="197"/>
      <c r="J81" s="198"/>
      <c r="K81" s="197"/>
      <c r="L81" s="198"/>
    </row>
    <row r="82" spans="1:12" s="2" customFormat="1" ht="15.75" customHeight="1">
      <c r="A82" s="14"/>
      <c r="B82" s="25" t="s">
        <v>90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8"/>
      <c r="I83" s="197"/>
      <c r="J83" s="198"/>
      <c r="K83" s="197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8"/>
      <c r="I84" s="197"/>
      <c r="J84" s="198"/>
      <c r="K84" s="197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8"/>
      <c r="I85" s="197"/>
      <c r="J85" s="198"/>
      <c r="K85" s="197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8"/>
      <c r="I86" s="197"/>
      <c r="J86" s="198"/>
      <c r="K86" s="197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8"/>
      <c r="I87" s="197"/>
      <c r="J87" s="198"/>
      <c r="K87" s="197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5" sqref="F5:L5"/>
      <selection pane="bottomLeft" activeCell="F5" sqref="F5:L5"/>
      <selection pane="topRight" activeCell="F5" sqref="F5:L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2"/>
      <c r="H1" s="20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LIDER!H4</f>
        <v>0</v>
      </c>
      <c r="C2" s="82"/>
      <c r="D2" s="3"/>
      <c r="F2" s="204" t="s">
        <v>99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CONCATENATE(LIDER!H4," - ",LIDER!H6," - ",LIDER!H5)</f>
        <v xml:space="preserve"> -  - 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>GRUPO#1 Descripción de los Aspectos Internacionales, Macroeconómicos, Legales, administrativos, aduaneros y tecnológicos de Progan del Caribe S.A.S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EDINSON ANDRES CASTRO PADILLA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8"/>
      <c r="I6" s="197"/>
      <c r="J6" s="198"/>
      <c r="K6" s="197"/>
      <c r="L6" s="198"/>
    </row>
    <row r="7" spans="1:12" s="2" customFormat="1" ht="15" customHeight="1">
      <c r="A7" s="12">
        <v>2</v>
      </c>
      <c r="B7" s="10" t="str">
        <f>LIDER!E44</f>
        <v>MATEO ANDRÉS CUESTA DÍAZ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8"/>
      <c r="I7" s="197"/>
      <c r="J7" s="198"/>
      <c r="K7" s="197"/>
      <c r="L7" s="198"/>
    </row>
    <row r="8" spans="1:12" s="2" customFormat="1" ht="15" customHeight="1">
      <c r="A8" s="12">
        <v>3</v>
      </c>
      <c r="B8" s="10" t="str">
        <f>LIDER!E45</f>
        <v>LUKASS GIRALDO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8"/>
      <c r="I8" s="197"/>
      <c r="J8" s="198"/>
      <c r="K8" s="197"/>
      <c r="L8" s="198"/>
    </row>
    <row r="9" spans="1:12" s="2" customFormat="1" ht="15" customHeight="1">
      <c r="A9" s="12">
        <v>4</v>
      </c>
      <c r="B9" s="10" t="str">
        <f>LIDER!E46</f>
        <v>LOREINES OSPINO HERNÁNDEZ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8"/>
      <c r="I9" s="197"/>
      <c r="J9" s="198"/>
      <c r="K9" s="197"/>
      <c r="L9" s="198"/>
    </row>
    <row r="10" spans="1:12" s="2" customFormat="1" ht="15" customHeight="1">
      <c r="A10" s="12">
        <v>5</v>
      </c>
      <c r="B10" s="10" t="str">
        <f>LIDER!E47</f>
        <v>LAURA SOFÍA PÉREZ ARÉVALO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8"/>
      <c r="I10" s="197"/>
      <c r="J10" s="198"/>
      <c r="K10" s="197"/>
      <c r="L10" s="198"/>
    </row>
    <row r="11" spans="1:12" s="2" customFormat="1" ht="15.75" customHeight="1" thickBot="1">
      <c r="A11" s="13">
        <v>6</v>
      </c>
      <c r="B11" s="91" t="str">
        <f>LIDER!E48</f>
        <v>VALERY DANIELA SAENZ WATTS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8"/>
      <c r="I11" s="197"/>
      <c r="J11" s="198"/>
      <c r="K11" s="197"/>
      <c r="L11" s="198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CRISTINA CAÑATE MERCADO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8"/>
      <c r="I13" s="197"/>
      <c r="J13" s="198"/>
      <c r="K13" s="197"/>
      <c r="L13" s="198"/>
    </row>
    <row r="14" spans="1:12" s="2" customFormat="1" ht="15" customHeight="1">
      <c r="A14" s="12">
        <v>2</v>
      </c>
      <c r="B14" s="10" t="str">
        <f>LIDER!F44</f>
        <v>KARINA MARRUGO MEZA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8"/>
      <c r="I14" s="197"/>
      <c r="J14" s="198"/>
      <c r="K14" s="197"/>
      <c r="L14" s="198"/>
    </row>
    <row r="15" spans="1:12" s="2" customFormat="1" ht="15" customHeight="1">
      <c r="A15" s="12">
        <v>3</v>
      </c>
      <c r="B15" s="10" t="str">
        <f>LIDER!F45</f>
        <v>HILARYS CAROLINA PATERNINA DONADO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8"/>
      <c r="I15" s="197"/>
      <c r="J15" s="198"/>
      <c r="K15" s="197"/>
      <c r="L15" s="198"/>
    </row>
    <row r="16" spans="1:12" s="2" customFormat="1" ht="15" customHeight="1">
      <c r="A16" s="12">
        <v>4</v>
      </c>
      <c r="B16" s="10" t="str">
        <f>LIDER!F46</f>
        <v>MATEO QUINTANA SERNA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8"/>
      <c r="I16" s="197"/>
      <c r="J16" s="198"/>
      <c r="K16" s="197"/>
      <c r="L16" s="198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8"/>
      <c r="I17" s="197"/>
      <c r="J17" s="198"/>
      <c r="K17" s="197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8"/>
      <c r="I18" s="197"/>
      <c r="J18" s="198"/>
      <c r="K18" s="197"/>
      <c r="L18" s="198"/>
    </row>
    <row r="19" spans="1:12" s="2" customFormat="1" ht="15.75" customHeight="1">
      <c r="A19" s="14"/>
      <c r="B19" s="25" t="s">
        <v>107</v>
      </c>
      <c r="C19" s="88" t="s">
        <v>108</v>
      </c>
      <c r="D19" s="32" t="str">
        <f>D12</f>
        <v>LIST</v>
      </c>
      <c r="E19" s="89" t="s">
        <v>104</v>
      </c>
      <c r="F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YULEDIS BECERRA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8"/>
      <c r="I20" s="197"/>
      <c r="J20" s="198"/>
      <c r="K20" s="197"/>
      <c r="L20" s="198"/>
    </row>
    <row r="21" spans="1:12" s="2" customFormat="1" ht="15" customHeight="1">
      <c r="A21" s="12">
        <v>2</v>
      </c>
      <c r="B21" s="10" t="str">
        <f>LIDER!G44</f>
        <v>JULIO ALBERTO LANCHEROS PACHECO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8"/>
      <c r="I21" s="197"/>
      <c r="J21" s="198"/>
      <c r="K21" s="197"/>
      <c r="L21" s="198"/>
    </row>
    <row r="22" spans="1:12" s="2" customFormat="1" ht="15" customHeight="1">
      <c r="A22" s="12">
        <v>3</v>
      </c>
      <c r="B22" s="10" t="str">
        <f>LIDER!G45</f>
        <v>NELCY CAROLINA MEZA PÉREZ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8"/>
      <c r="I22" s="197"/>
      <c r="J22" s="198"/>
      <c r="K22" s="197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8"/>
      <c r="I23" s="197"/>
      <c r="J23" s="198"/>
      <c r="K23" s="197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8"/>
      <c r="I24" s="197"/>
      <c r="J24" s="198"/>
      <c r="K24" s="197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8"/>
      <c r="I25" s="197"/>
      <c r="J25" s="198"/>
      <c r="K25" s="197"/>
      <c r="L25" s="198"/>
    </row>
    <row r="26" spans="1:12" s="2" customFormat="1" ht="15.75" customHeight="1">
      <c r="A26" s="14"/>
      <c r="B26" s="25" t="s">
        <v>109</v>
      </c>
      <c r="C26" s="88" t="s">
        <v>110</v>
      </c>
      <c r="D26" s="32" t="str">
        <f>D19</f>
        <v>LIST</v>
      </c>
      <c r="E26" s="89" t="s">
        <v>104</v>
      </c>
      <c r="F26" s="199" t="str">
        <f>LIDER!$E$32</f>
        <v xml:space="preserve">GRUPO#4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HELENA ISABEL ALVAREZ CORTINA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8"/>
      <c r="I27" s="197"/>
      <c r="J27" s="198"/>
      <c r="K27" s="197"/>
      <c r="L27" s="198"/>
    </row>
    <row r="28" spans="1:12" s="2" customFormat="1" ht="15" customHeight="1">
      <c r="A28" s="12">
        <v>2</v>
      </c>
      <c r="B28" s="10" t="str">
        <f>LIDER!H44</f>
        <v>ANDREA KAROLAY CARRILLO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8"/>
      <c r="I28" s="197"/>
      <c r="J28" s="198"/>
      <c r="K28" s="197"/>
      <c r="L28" s="198"/>
    </row>
    <row r="29" spans="1:12" s="2" customFormat="1" ht="15" customHeight="1">
      <c r="A29" s="12">
        <v>3</v>
      </c>
      <c r="B29" s="10" t="str">
        <f>LIDER!H45</f>
        <v>MELANY ANDREA FLÓREZ ALMANZA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8"/>
      <c r="I29" s="197"/>
      <c r="J29" s="198"/>
      <c r="K29" s="197"/>
      <c r="L29" s="198"/>
    </row>
    <row r="30" spans="1:12" s="2" customFormat="1" ht="15" customHeight="1">
      <c r="A30" s="12">
        <v>4</v>
      </c>
      <c r="B30" s="10" t="str">
        <f>LIDER!H46</f>
        <v>JUAN SEBASTIAN PRENS BOSSIO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8"/>
      <c r="I30" s="197"/>
      <c r="J30" s="198"/>
      <c r="K30" s="197"/>
      <c r="L30" s="198"/>
    </row>
    <row r="31" spans="1:12" s="2" customFormat="1" ht="15" customHeight="1">
      <c r="A31" s="12">
        <v>5</v>
      </c>
      <c r="B31" s="10" t="str">
        <f>LIDER!H47</f>
        <v>ALEXANDER DUBAN PROTZKAR DE LA HOZ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8"/>
      <c r="I31" s="197"/>
      <c r="J31" s="198"/>
      <c r="K31" s="197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8"/>
      <c r="I32" s="197"/>
      <c r="J32" s="198"/>
      <c r="K32" s="197"/>
      <c r="L32" s="198"/>
    </row>
    <row r="33" spans="1:12" s="2" customFormat="1" ht="15.75" customHeight="1">
      <c r="A33" s="14"/>
      <c r="B33" s="25" t="s">
        <v>111</v>
      </c>
      <c r="C33" s="88" t="s">
        <v>112</v>
      </c>
      <c r="D33" s="32" t="str">
        <f>D26</f>
        <v>LIST</v>
      </c>
      <c r="E33" s="89" t="s">
        <v>104</v>
      </c>
      <c r="F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SIARA LUCIA CHAMS CARBALLO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8"/>
      <c r="I34" s="197"/>
      <c r="J34" s="198"/>
      <c r="K34" s="197"/>
      <c r="L34" s="198"/>
    </row>
    <row r="35" spans="1:12" s="2" customFormat="1" ht="15" customHeight="1">
      <c r="A35" s="12">
        <v>2</v>
      </c>
      <c r="B35" s="10" t="str">
        <f>LIDER!E52</f>
        <v>LUCINDA GARCIA CASTRO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8"/>
      <c r="I35" s="197"/>
      <c r="J35" s="198"/>
      <c r="K35" s="197"/>
      <c r="L35" s="198"/>
    </row>
    <row r="36" spans="1:12" s="2" customFormat="1" ht="15" customHeight="1">
      <c r="A36" s="12">
        <v>3</v>
      </c>
      <c r="B36" s="10" t="str">
        <f>LIDER!E53</f>
        <v>SAMUEL DVID JULIO BARRIOS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8"/>
      <c r="I36" s="197"/>
      <c r="J36" s="198"/>
      <c r="K36" s="197"/>
      <c r="L36" s="198"/>
    </row>
    <row r="37" spans="1:12" s="2" customFormat="1" ht="15" customHeight="1">
      <c r="A37" s="12">
        <v>4</v>
      </c>
      <c r="B37" s="10" t="str">
        <f>LIDER!E54</f>
        <v>LAUREN CAROLINA MARTINEZ LICONA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8"/>
      <c r="I37" s="197"/>
      <c r="J37" s="198"/>
      <c r="K37" s="197"/>
      <c r="L37" s="198"/>
    </row>
    <row r="38" spans="1:12" s="2" customFormat="1" ht="15" customHeight="1">
      <c r="A38" s="12">
        <v>5</v>
      </c>
      <c r="B38" s="10" t="str">
        <f>LIDER!E55</f>
        <v>ASLLY MARGARITA RINCON MATTOS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8"/>
      <c r="I38" s="197"/>
      <c r="J38" s="198"/>
      <c r="K38" s="197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8"/>
      <c r="I39" s="197"/>
      <c r="J39" s="198"/>
      <c r="K39" s="197"/>
      <c r="L39" s="198"/>
    </row>
    <row r="40" spans="1:12" s="2" customFormat="1" ht="15.75" customHeight="1">
      <c r="A40" s="14"/>
      <c r="B40" s="25" t="s">
        <v>113</v>
      </c>
      <c r="C40" s="88" t="s">
        <v>114</v>
      </c>
      <c r="D40" s="32" t="str">
        <f>D33</f>
        <v>LIST</v>
      </c>
      <c r="E40" s="89" t="s">
        <v>104</v>
      </c>
      <c r="F40" s="199" t="str">
        <f>LIDER!$E$34</f>
        <v xml:space="preserve">GRUPO#6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YEIDER SANTIAGO BOHORQUEZ GONZALEZ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8"/>
      <c r="I41" s="197"/>
      <c r="J41" s="198"/>
      <c r="K41" s="197"/>
      <c r="L41" s="198"/>
    </row>
    <row r="42" spans="1:12" s="2" customFormat="1" ht="15" customHeight="1">
      <c r="A42" s="12">
        <v>2</v>
      </c>
      <c r="B42" s="10" t="str">
        <f>LIDER!F52</f>
        <v>ELIAN MANUEL PACHECO BELTRAN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8"/>
      <c r="I42" s="197"/>
      <c r="J42" s="198"/>
      <c r="K42" s="197"/>
      <c r="L42" s="198"/>
    </row>
    <row r="43" spans="1:12" s="2" customFormat="1" ht="15" customHeight="1">
      <c r="A43" s="12">
        <v>3</v>
      </c>
      <c r="B43" s="10" t="str">
        <f>LIDER!F53</f>
        <v>VALERIA PASTRANA ARRIETA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8"/>
      <c r="I43" s="197"/>
      <c r="J43" s="198"/>
      <c r="K43" s="197"/>
      <c r="L43" s="198"/>
    </row>
    <row r="44" spans="1:12" s="2" customFormat="1" ht="15" customHeight="1">
      <c r="A44" s="12">
        <v>4</v>
      </c>
      <c r="B44" s="10" t="str">
        <f>LIDER!F54</f>
        <v>JUAN PABLO QUIJANO GUEVARA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8"/>
      <c r="I44" s="197"/>
      <c r="J44" s="198"/>
      <c r="K44" s="197"/>
      <c r="L44" s="198"/>
    </row>
    <row r="45" spans="1:12" s="2" customFormat="1" ht="15" customHeight="1">
      <c r="A45" s="12">
        <v>5</v>
      </c>
      <c r="B45" s="10" t="str">
        <f>LIDER!F55</f>
        <v>JOSE ANGEL VALLEJO REALES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8"/>
      <c r="I45" s="197"/>
      <c r="J45" s="198"/>
      <c r="K45" s="197"/>
      <c r="L45" s="198"/>
    </row>
    <row r="46" spans="1:12" s="2" customFormat="1" ht="15.75" customHeight="1">
      <c r="A46" s="13">
        <v>6</v>
      </c>
      <c r="B46" s="91" t="str">
        <f>LIDER!F56</f>
        <v>HENRY WILCHES DE LA ROSA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8"/>
      <c r="I46" s="197"/>
      <c r="J46" s="198"/>
      <c r="K46" s="197"/>
      <c r="L46" s="198"/>
    </row>
    <row r="47" spans="1:12" s="2" customFormat="1" ht="15.75" customHeight="1">
      <c r="A47" s="14"/>
      <c r="B47" s="25" t="s">
        <v>115</v>
      </c>
      <c r="C47" s="88" t="s">
        <v>116</v>
      </c>
      <c r="D47" s="32" t="str">
        <f>D40</f>
        <v>LIST</v>
      </c>
      <c r="E47" s="89" t="s">
        <v>104</v>
      </c>
      <c r="F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CARLOS JULIO LOPEZ ALEMAN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8"/>
      <c r="I48" s="197"/>
      <c r="J48" s="198"/>
      <c r="K48" s="197"/>
      <c r="L48" s="198"/>
    </row>
    <row r="49" spans="1:12" s="2" customFormat="1" ht="15" customHeight="1">
      <c r="A49" s="12">
        <v>2</v>
      </c>
      <c r="B49" s="10" t="str">
        <f>LIDER!G52</f>
        <v>DYLAN ANDRES RANGEL LOPEZ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8"/>
      <c r="I49" s="197"/>
      <c r="J49" s="198"/>
      <c r="K49" s="197"/>
      <c r="L49" s="198"/>
    </row>
    <row r="50" spans="1:12" s="2" customFormat="1" ht="15" customHeight="1">
      <c r="A50" s="12">
        <v>3</v>
      </c>
      <c r="B50" s="10" t="str">
        <f>LIDER!G53</f>
        <v>SANTIAGO TANGARIFE PONCE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8"/>
      <c r="I50" s="197"/>
      <c r="J50" s="198"/>
      <c r="K50" s="197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8"/>
      <c r="I51" s="197"/>
      <c r="J51" s="198"/>
      <c r="K51" s="197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8"/>
      <c r="I52" s="197"/>
      <c r="J52" s="198"/>
      <c r="K52" s="197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8"/>
      <c r="I53" s="197"/>
      <c r="J53" s="198"/>
      <c r="K53" s="197"/>
      <c r="L53" s="198"/>
    </row>
    <row r="54" spans="1:12" s="2" customFormat="1" ht="15.75" customHeight="1">
      <c r="A54" s="14"/>
      <c r="B54" s="25" t="s">
        <v>117</v>
      </c>
      <c r="C54" s="88" t="s">
        <v>118</v>
      </c>
      <c r="D54" s="32" t="str">
        <f>D47</f>
        <v>LIST</v>
      </c>
      <c r="E54" s="89" t="s">
        <v>104</v>
      </c>
      <c r="F54" s="199" t="str">
        <f>LIDER!$E$36</f>
        <v>GRUPO#8 Análisis de los aspectos legales, tributarios, administrativos, macroeconómicos, aduaneros, tecnológicos e internacionales que definen el perfil de The Coca-Cola Company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YURI MAR FUENMAYOR OSORIO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8"/>
      <c r="I55" s="197"/>
      <c r="J55" s="198"/>
      <c r="K55" s="197"/>
      <c r="L55" s="198"/>
    </row>
    <row r="56" spans="1:12" s="2" customFormat="1" ht="15" customHeight="1">
      <c r="A56" s="12">
        <v>2</v>
      </c>
      <c r="B56" s="10" t="str">
        <f>LIDER!H52</f>
        <v>YULEIDIS PAOLA MORENO DIAZ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8"/>
      <c r="I56" s="197"/>
      <c r="J56" s="198"/>
      <c r="K56" s="197"/>
      <c r="L56" s="198"/>
    </row>
    <row r="57" spans="1:12" s="2" customFormat="1" ht="15" customHeight="1">
      <c r="A57" s="12">
        <v>3</v>
      </c>
      <c r="B57" s="10" t="str">
        <f>LIDER!H53</f>
        <v>SHARONE JANNINE ORDOÑEZ ESCUDERO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8"/>
      <c r="I57" s="197"/>
      <c r="J57" s="198"/>
      <c r="K57" s="197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8"/>
      <c r="I58" s="197"/>
      <c r="J58" s="198"/>
      <c r="K58" s="197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8"/>
      <c r="I59" s="197"/>
      <c r="J59" s="198"/>
      <c r="K59" s="197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8"/>
      <c r="I60" s="197"/>
      <c r="J60" s="198"/>
      <c r="K60" s="197"/>
      <c r="L60" s="198"/>
    </row>
    <row r="61" spans="1:12" s="2" customFormat="1" ht="15.75" customHeight="1">
      <c r="A61" s="14"/>
      <c r="B61" s="25" t="s">
        <v>119</v>
      </c>
      <c r="C61" s="88" t="s">
        <v>120</v>
      </c>
      <c r="D61" s="32" t="str">
        <f>D54</f>
        <v>LIST</v>
      </c>
      <c r="E61" s="89" t="s">
        <v>104</v>
      </c>
      <c r="F61" s="199" t="str">
        <f>LIDER!$E$37</f>
        <v xml:space="preserve">GRUPO#9 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ISSAC DAVID ANGULO ZABALETA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8"/>
      <c r="I62" s="197"/>
      <c r="J62" s="198"/>
      <c r="K62" s="197"/>
      <c r="L62" s="198"/>
    </row>
    <row r="63" spans="1:12" s="2" customFormat="1" ht="15" customHeight="1">
      <c r="A63" s="12">
        <v>2</v>
      </c>
      <c r="B63" s="10" t="str">
        <f>LIDER!E60</f>
        <v>ANDRES FELIPE ARROYO PARRA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8"/>
      <c r="I63" s="197"/>
      <c r="J63" s="198"/>
      <c r="K63" s="197"/>
      <c r="L63" s="198"/>
    </row>
    <row r="64" spans="1:12" s="2" customFormat="1" ht="15" customHeight="1">
      <c r="A64" s="12">
        <v>3</v>
      </c>
      <c r="B64" s="10" t="str">
        <f>LIDER!E61</f>
        <v>DANNA ALEJANDRA CASTRO ESPINOSA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8"/>
      <c r="I64" s="197"/>
      <c r="J64" s="198"/>
      <c r="K64" s="197"/>
      <c r="L64" s="198"/>
    </row>
    <row r="65" spans="1:12" s="2" customFormat="1" ht="15" customHeight="1">
      <c r="A65" s="12">
        <v>4</v>
      </c>
      <c r="B65" s="10" t="str">
        <f>LIDER!E62</f>
        <v>JUAN DAVID LOPEZ VIDES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8"/>
      <c r="I65" s="197"/>
      <c r="J65" s="198"/>
      <c r="K65" s="197"/>
      <c r="L65" s="198"/>
    </row>
    <row r="66" spans="1:12" s="2" customFormat="1" ht="15" customHeight="1">
      <c r="A66" s="12">
        <v>5</v>
      </c>
      <c r="B66" s="10" t="str">
        <f>LIDER!E63</f>
        <v>ALEJANDRA MORENO VILLALOBO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8"/>
      <c r="I66" s="197"/>
      <c r="J66" s="198"/>
      <c r="K66" s="197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8"/>
      <c r="I67" s="197"/>
      <c r="J67" s="198"/>
      <c r="K67" s="197"/>
      <c r="L67" s="198"/>
    </row>
    <row r="68" spans="1:12" s="2" customFormat="1" ht="15.75" customHeight="1">
      <c r="A68" s="14"/>
      <c r="B68" s="25" t="s">
        <v>86</v>
      </c>
      <c r="C68" s="88" t="s">
        <v>121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8"/>
      <c r="I69" s="197"/>
      <c r="J69" s="198"/>
      <c r="K69" s="197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8"/>
      <c r="I70" s="197"/>
      <c r="J70" s="198"/>
      <c r="K70" s="197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8"/>
      <c r="I71" s="197"/>
      <c r="J71" s="198"/>
      <c r="K71" s="197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8"/>
      <c r="I72" s="197"/>
      <c r="J72" s="198"/>
      <c r="K72" s="197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8"/>
      <c r="I73" s="197"/>
      <c r="J73" s="198"/>
      <c r="K73" s="197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8"/>
      <c r="I74" s="197"/>
      <c r="J74" s="198"/>
      <c r="K74" s="197"/>
      <c r="L74" s="198"/>
    </row>
    <row r="75" spans="1:12" s="2" customFormat="1" ht="15.75" customHeight="1">
      <c r="A75" s="14"/>
      <c r="B75" s="25" t="s">
        <v>88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8"/>
      <c r="I76" s="197"/>
      <c r="J76" s="198"/>
      <c r="K76" s="197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8"/>
      <c r="I77" s="197"/>
      <c r="J77" s="198"/>
      <c r="K77" s="197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8"/>
      <c r="I78" s="197"/>
      <c r="J78" s="198"/>
      <c r="K78" s="197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8"/>
      <c r="I79" s="197"/>
      <c r="J79" s="198"/>
      <c r="K79" s="197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8"/>
      <c r="I80" s="197"/>
      <c r="J80" s="198"/>
      <c r="K80" s="197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8"/>
      <c r="I81" s="197"/>
      <c r="J81" s="198"/>
      <c r="K81" s="197"/>
      <c r="L81" s="198"/>
    </row>
    <row r="82" spans="1:12" s="2" customFormat="1" ht="15.75" customHeight="1">
      <c r="A82" s="14"/>
      <c r="B82" s="25" t="s">
        <v>90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8"/>
      <c r="I83" s="197"/>
      <c r="J83" s="198"/>
      <c r="K83" s="197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8"/>
      <c r="I84" s="197"/>
      <c r="J84" s="198"/>
      <c r="K84" s="197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8"/>
      <c r="I85" s="197"/>
      <c r="J85" s="198"/>
      <c r="K85" s="197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8"/>
      <c r="I86" s="197"/>
      <c r="J86" s="198"/>
      <c r="K86" s="197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8"/>
      <c r="I87" s="197"/>
      <c r="J87" s="198"/>
      <c r="K87" s="197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5" sqref="F5:L5"/>
      <selection pane="bottomLeft" activeCell="F5" sqref="F5:L5"/>
      <selection pane="topRight" activeCell="F5" sqref="F5:L5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2"/>
      <c r="H1" s="20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204" t="s">
        <v>99</v>
      </c>
      <c r="G2" s="205"/>
      <c r="H2" s="205"/>
      <c r="I2" s="205"/>
      <c r="J2" s="205"/>
      <c r="K2" s="205"/>
      <c r="L2" s="206"/>
    </row>
    <row r="3" spans="1:12" s="2" customFormat="1" ht="145.5" customHeight="1">
      <c r="B3" s="83" t="s">
        <v>100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7" t="str">
        <f>CONCATENATE(LIDER!I4," - ",LIDER!I6," - ",LIDER!I5)</f>
        <v xml:space="preserve"> -  - </v>
      </c>
      <c r="G4" s="207"/>
      <c r="H4" s="207"/>
      <c r="I4" s="207"/>
      <c r="J4" s="207"/>
      <c r="K4" s="207"/>
      <c r="L4" s="207"/>
    </row>
    <row r="5" spans="1:12" s="2" customFormat="1" ht="15.75" customHeight="1" thickBot="1">
      <c r="A5" s="8"/>
      <c r="B5" s="25" t="s">
        <v>101</v>
      </c>
      <c r="C5" s="88" t="s">
        <v>102</v>
      </c>
      <c r="D5" s="32" t="s">
        <v>103</v>
      </c>
      <c r="E5" s="89" t="s">
        <v>104</v>
      </c>
      <c r="F5" s="199" t="str">
        <f>LIDER!$E$29</f>
        <v>GRUPO#1 Descripción de los Aspectos Internacionales, Macroeconómicos, Legales, administrativos, aduaneros y tecnológicos de Progan del Caribe S.A.S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EDINSON ANDRES CASTRO PADILLA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8"/>
      <c r="I6" s="197"/>
      <c r="J6" s="198"/>
      <c r="K6" s="197"/>
      <c r="L6" s="198"/>
    </row>
    <row r="7" spans="1:12" s="2" customFormat="1" ht="15" customHeight="1">
      <c r="A7" s="12">
        <v>2</v>
      </c>
      <c r="B7" s="10" t="str">
        <f>LIDER!E44</f>
        <v>MATEO ANDRÉS CUESTA DÍAZ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8"/>
      <c r="I7" s="197"/>
      <c r="J7" s="198"/>
      <c r="K7" s="197"/>
      <c r="L7" s="198"/>
    </row>
    <row r="8" spans="1:12" s="2" customFormat="1" ht="15" customHeight="1">
      <c r="A8" s="12">
        <v>3</v>
      </c>
      <c r="B8" s="10" t="str">
        <f>LIDER!E45</f>
        <v>LUKASS GIRALDO RAMIREZ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8"/>
      <c r="I8" s="197"/>
      <c r="J8" s="198"/>
      <c r="K8" s="197"/>
      <c r="L8" s="198"/>
    </row>
    <row r="9" spans="1:12" s="2" customFormat="1" ht="15" customHeight="1">
      <c r="A9" s="12">
        <v>4</v>
      </c>
      <c r="B9" s="10" t="str">
        <f>LIDER!E46</f>
        <v>LOREINES OSPINO HERNÁNDEZ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8"/>
      <c r="I9" s="197"/>
      <c r="J9" s="198"/>
      <c r="K9" s="197"/>
      <c r="L9" s="198"/>
    </row>
    <row r="10" spans="1:12" s="2" customFormat="1" ht="15" customHeight="1">
      <c r="A10" s="12">
        <v>5</v>
      </c>
      <c r="B10" s="10" t="str">
        <f>LIDER!E47</f>
        <v>LAURA SOFÍA PÉREZ ARÉVALO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8"/>
      <c r="I10" s="197"/>
      <c r="J10" s="198"/>
      <c r="K10" s="197"/>
      <c r="L10" s="198"/>
    </row>
    <row r="11" spans="1:12" s="2" customFormat="1" ht="15.75" customHeight="1" thickBot="1">
      <c r="A11" s="13">
        <v>6</v>
      </c>
      <c r="B11" s="91" t="str">
        <f>LIDER!E48</f>
        <v>VALERY DANIELA SAENZ WATTS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8"/>
      <c r="I11" s="197"/>
      <c r="J11" s="198"/>
      <c r="K11" s="197"/>
      <c r="L11" s="198"/>
    </row>
    <row r="12" spans="1:12" s="2" customFormat="1" ht="15.75" customHeight="1" thickBot="1">
      <c r="A12" s="8"/>
      <c r="B12" s="25" t="s">
        <v>105</v>
      </c>
      <c r="C12" s="88" t="s">
        <v>106</v>
      </c>
      <c r="D12" s="32" t="str">
        <f>D5</f>
        <v>LIST</v>
      </c>
      <c r="E12" s="89" t="s">
        <v>104</v>
      </c>
      <c r="F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CRISTINA CAÑATE MERCADO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8"/>
      <c r="I13" s="197"/>
      <c r="J13" s="198"/>
      <c r="K13" s="197"/>
      <c r="L13" s="198"/>
    </row>
    <row r="14" spans="1:12" s="2" customFormat="1" ht="15" customHeight="1">
      <c r="A14" s="12">
        <v>2</v>
      </c>
      <c r="B14" s="10" t="str">
        <f>LIDER!F44</f>
        <v>KARINA MARRUGO MEZA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8"/>
      <c r="I14" s="197"/>
      <c r="J14" s="198"/>
      <c r="K14" s="197"/>
      <c r="L14" s="198"/>
    </row>
    <row r="15" spans="1:12" s="2" customFormat="1" ht="15" customHeight="1">
      <c r="A15" s="12">
        <v>3</v>
      </c>
      <c r="B15" s="10" t="str">
        <f>LIDER!F45</f>
        <v>HILARYS CAROLINA PATERNINA DONADO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8"/>
      <c r="I15" s="197"/>
      <c r="J15" s="198"/>
      <c r="K15" s="197"/>
      <c r="L15" s="198"/>
    </row>
    <row r="16" spans="1:12" s="2" customFormat="1" ht="15" customHeight="1">
      <c r="A16" s="12">
        <v>4</v>
      </c>
      <c r="B16" s="10" t="str">
        <f>LIDER!F46</f>
        <v>MATEO QUINTANA SERNA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8"/>
      <c r="I16" s="197"/>
      <c r="J16" s="198"/>
      <c r="K16" s="197"/>
      <c r="L16" s="198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8"/>
      <c r="I17" s="197"/>
      <c r="J17" s="198"/>
      <c r="K17" s="197"/>
      <c r="L17" s="198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8"/>
      <c r="I18" s="197"/>
      <c r="J18" s="198"/>
      <c r="K18" s="197"/>
      <c r="L18" s="198"/>
    </row>
    <row r="19" spans="1:12" s="2" customFormat="1" ht="15.75" customHeight="1">
      <c r="A19" s="14"/>
      <c r="B19" s="25" t="s">
        <v>107</v>
      </c>
      <c r="C19" s="88" t="s">
        <v>108</v>
      </c>
      <c r="D19" s="32" t="str">
        <f>D12</f>
        <v>LIST</v>
      </c>
      <c r="E19" s="89" t="s">
        <v>104</v>
      </c>
      <c r="F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YULEDIS BECERRA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8"/>
      <c r="I20" s="197"/>
      <c r="J20" s="198"/>
      <c r="K20" s="197"/>
      <c r="L20" s="198"/>
    </row>
    <row r="21" spans="1:12" s="2" customFormat="1" ht="15" customHeight="1">
      <c r="A21" s="12">
        <v>2</v>
      </c>
      <c r="B21" s="10" t="str">
        <f>LIDER!G44</f>
        <v>JULIO ALBERTO LANCHEROS PACHECO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8"/>
      <c r="I21" s="197"/>
      <c r="J21" s="198"/>
      <c r="K21" s="197"/>
      <c r="L21" s="198"/>
    </row>
    <row r="22" spans="1:12" s="2" customFormat="1" ht="15" customHeight="1">
      <c r="A22" s="12">
        <v>3</v>
      </c>
      <c r="B22" s="10" t="str">
        <f>LIDER!G45</f>
        <v>NELCY CAROLINA MEZA PÉREZ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8"/>
      <c r="I22" s="197"/>
      <c r="J22" s="198"/>
      <c r="K22" s="197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8"/>
      <c r="I23" s="197"/>
      <c r="J23" s="198"/>
      <c r="K23" s="197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8"/>
      <c r="I24" s="197"/>
      <c r="J24" s="198"/>
      <c r="K24" s="197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8"/>
      <c r="I25" s="197"/>
      <c r="J25" s="198"/>
      <c r="K25" s="197"/>
      <c r="L25" s="198"/>
    </row>
    <row r="26" spans="1:12" s="2" customFormat="1" ht="15.75" customHeight="1">
      <c r="A26" s="14"/>
      <c r="B26" s="25" t="s">
        <v>109</v>
      </c>
      <c r="C26" s="88" t="s">
        <v>110</v>
      </c>
      <c r="D26" s="32" t="str">
        <f>D19</f>
        <v>LIST</v>
      </c>
      <c r="E26" s="89" t="s">
        <v>104</v>
      </c>
      <c r="F26" s="199" t="str">
        <f>LIDER!$E$32</f>
        <v xml:space="preserve">GRUPO#4 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HELENA ISABEL ALVAREZ CORTINA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8"/>
      <c r="I27" s="197"/>
      <c r="J27" s="198"/>
      <c r="K27" s="197"/>
      <c r="L27" s="198"/>
    </row>
    <row r="28" spans="1:12" s="2" customFormat="1" ht="15" customHeight="1">
      <c r="A28" s="12">
        <v>2</v>
      </c>
      <c r="B28" s="10" t="str">
        <f>LIDER!H44</f>
        <v>ANDREA KAROLAY CARRILLO GOMEZ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8"/>
      <c r="I28" s="197"/>
      <c r="J28" s="198"/>
      <c r="K28" s="197"/>
      <c r="L28" s="198"/>
    </row>
    <row r="29" spans="1:12" s="2" customFormat="1" ht="15" customHeight="1">
      <c r="A29" s="12">
        <v>3</v>
      </c>
      <c r="B29" s="10" t="str">
        <f>LIDER!H45</f>
        <v>MELANY ANDREA FLÓREZ ALMANZA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8"/>
      <c r="I29" s="197"/>
      <c r="J29" s="198"/>
      <c r="K29" s="197"/>
      <c r="L29" s="198"/>
    </row>
    <row r="30" spans="1:12" s="2" customFormat="1" ht="15" customHeight="1">
      <c r="A30" s="12">
        <v>4</v>
      </c>
      <c r="B30" s="10" t="str">
        <f>LIDER!H46</f>
        <v>JUAN SEBASTIAN PRENS BOSSIO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8"/>
      <c r="I30" s="197"/>
      <c r="J30" s="198"/>
      <c r="K30" s="197"/>
      <c r="L30" s="198"/>
    </row>
    <row r="31" spans="1:12" s="2" customFormat="1" ht="15" customHeight="1">
      <c r="A31" s="12">
        <v>5</v>
      </c>
      <c r="B31" s="10" t="str">
        <f>LIDER!H47</f>
        <v>ALEXANDER DUBAN PROTZKAR DE LA HOZ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8"/>
      <c r="I31" s="197"/>
      <c r="J31" s="198"/>
      <c r="K31" s="197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8"/>
      <c r="I32" s="197"/>
      <c r="J32" s="198"/>
      <c r="K32" s="197"/>
      <c r="L32" s="198"/>
    </row>
    <row r="33" spans="1:12" s="2" customFormat="1" ht="15.75" customHeight="1">
      <c r="A33" s="14"/>
      <c r="B33" s="25" t="s">
        <v>111</v>
      </c>
      <c r="C33" s="88" t="s">
        <v>112</v>
      </c>
      <c r="D33" s="32" t="str">
        <f>D26</f>
        <v>LIST</v>
      </c>
      <c r="E33" s="89" t="s">
        <v>104</v>
      </c>
      <c r="F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SIARA LUCIA CHAMS CARBALLO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8"/>
      <c r="I34" s="197"/>
      <c r="J34" s="198"/>
      <c r="K34" s="197"/>
      <c r="L34" s="198"/>
    </row>
    <row r="35" spans="1:12" s="2" customFormat="1" ht="15" customHeight="1">
      <c r="A35" s="12">
        <v>2</v>
      </c>
      <c r="B35" s="10" t="str">
        <f>LIDER!E52</f>
        <v>LUCINDA GARCIA CASTRO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8"/>
      <c r="I35" s="197"/>
      <c r="J35" s="198"/>
      <c r="K35" s="197"/>
      <c r="L35" s="198"/>
    </row>
    <row r="36" spans="1:12" s="2" customFormat="1" ht="15" customHeight="1">
      <c r="A36" s="12">
        <v>3</v>
      </c>
      <c r="B36" s="10" t="str">
        <f>LIDER!E53</f>
        <v>SAMUEL DVID JULIO BARRIOS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8"/>
      <c r="I36" s="197"/>
      <c r="J36" s="198"/>
      <c r="K36" s="197"/>
      <c r="L36" s="198"/>
    </row>
    <row r="37" spans="1:12" s="2" customFormat="1" ht="15" customHeight="1">
      <c r="A37" s="12">
        <v>4</v>
      </c>
      <c r="B37" s="10" t="str">
        <f>LIDER!E54</f>
        <v>LAUREN CAROLINA MARTINEZ LICONA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8"/>
      <c r="I37" s="197"/>
      <c r="J37" s="198"/>
      <c r="K37" s="197"/>
      <c r="L37" s="198"/>
    </row>
    <row r="38" spans="1:12" s="2" customFormat="1" ht="15" customHeight="1">
      <c r="A38" s="12">
        <v>5</v>
      </c>
      <c r="B38" s="10" t="str">
        <f>LIDER!E55</f>
        <v>ASLLY MARGARITA RINCON MATTOS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8"/>
      <c r="I38" s="197"/>
      <c r="J38" s="198"/>
      <c r="K38" s="197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8"/>
      <c r="I39" s="197"/>
      <c r="J39" s="198"/>
      <c r="K39" s="197"/>
      <c r="L39" s="198"/>
    </row>
    <row r="40" spans="1:12" s="2" customFormat="1" ht="15.75" customHeight="1">
      <c r="A40" s="14"/>
      <c r="B40" s="25" t="s">
        <v>113</v>
      </c>
      <c r="C40" s="88" t="s">
        <v>114</v>
      </c>
      <c r="D40" s="32" t="str">
        <f>D33</f>
        <v>LIST</v>
      </c>
      <c r="E40" s="89" t="s">
        <v>104</v>
      </c>
      <c r="F40" s="199" t="str">
        <f>LIDER!$E$34</f>
        <v xml:space="preserve">GRUPO#6 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YEIDER SANTIAGO BOHORQUEZ GONZALEZ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8"/>
      <c r="I41" s="197"/>
      <c r="J41" s="198"/>
      <c r="K41" s="197"/>
      <c r="L41" s="198"/>
    </row>
    <row r="42" spans="1:12" s="2" customFormat="1" ht="15" customHeight="1">
      <c r="A42" s="12">
        <v>2</v>
      </c>
      <c r="B42" s="10" t="str">
        <f>LIDER!F52</f>
        <v>ELIAN MANUEL PACHECO BELTRAN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8"/>
      <c r="I42" s="197"/>
      <c r="J42" s="198"/>
      <c r="K42" s="197"/>
      <c r="L42" s="198"/>
    </row>
    <row r="43" spans="1:12" s="2" customFormat="1" ht="15" customHeight="1">
      <c r="A43" s="12">
        <v>3</v>
      </c>
      <c r="B43" s="10" t="str">
        <f>LIDER!F53</f>
        <v>VALERIA PASTRANA ARRIETA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8"/>
      <c r="I43" s="197"/>
      <c r="J43" s="198"/>
      <c r="K43" s="197"/>
      <c r="L43" s="198"/>
    </row>
    <row r="44" spans="1:12" s="2" customFormat="1" ht="15" customHeight="1">
      <c r="A44" s="12">
        <v>4</v>
      </c>
      <c r="B44" s="10" t="str">
        <f>LIDER!F54</f>
        <v>JUAN PABLO QUIJANO GUEVARA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8"/>
      <c r="I44" s="197"/>
      <c r="J44" s="198"/>
      <c r="K44" s="197"/>
      <c r="L44" s="198"/>
    </row>
    <row r="45" spans="1:12" s="2" customFormat="1" ht="15" customHeight="1">
      <c r="A45" s="12">
        <v>5</v>
      </c>
      <c r="B45" s="10" t="str">
        <f>LIDER!F55</f>
        <v>JOSE ANGEL VALLEJO REALES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8"/>
      <c r="I45" s="197"/>
      <c r="J45" s="198"/>
      <c r="K45" s="197"/>
      <c r="L45" s="198"/>
    </row>
    <row r="46" spans="1:12" s="2" customFormat="1" ht="15.75" customHeight="1">
      <c r="A46" s="13">
        <v>6</v>
      </c>
      <c r="B46" s="91" t="str">
        <f>LIDER!F56</f>
        <v>HENRY WILCHES DE LA ROSA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8"/>
      <c r="I46" s="197"/>
      <c r="J46" s="198"/>
      <c r="K46" s="197"/>
      <c r="L46" s="198"/>
    </row>
    <row r="47" spans="1:12" s="2" customFormat="1" ht="15.75" customHeight="1">
      <c r="A47" s="14"/>
      <c r="B47" s="25" t="s">
        <v>115</v>
      </c>
      <c r="C47" s="88" t="s">
        <v>116</v>
      </c>
      <c r="D47" s="32" t="str">
        <f>D40</f>
        <v>LIST</v>
      </c>
      <c r="E47" s="89" t="s">
        <v>104</v>
      </c>
      <c r="F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CARLOS JULIO LOPEZ ALEMAN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8"/>
      <c r="I48" s="197"/>
      <c r="J48" s="198"/>
      <c r="K48" s="197"/>
      <c r="L48" s="198"/>
    </row>
    <row r="49" spans="1:12" s="2" customFormat="1" ht="15" customHeight="1">
      <c r="A49" s="12">
        <v>2</v>
      </c>
      <c r="B49" s="10" t="str">
        <f>LIDER!G52</f>
        <v>DYLAN ANDRES RANGEL LOPEZ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8"/>
      <c r="I49" s="197"/>
      <c r="J49" s="198"/>
      <c r="K49" s="197"/>
      <c r="L49" s="198"/>
    </row>
    <row r="50" spans="1:12" s="2" customFormat="1" ht="15" customHeight="1">
      <c r="A50" s="12">
        <v>3</v>
      </c>
      <c r="B50" s="10" t="str">
        <f>LIDER!G53</f>
        <v>SANTIAGO TANGARIFE PONCE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8"/>
      <c r="I50" s="197"/>
      <c r="J50" s="198"/>
      <c r="K50" s="197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8"/>
      <c r="I51" s="197"/>
      <c r="J51" s="198"/>
      <c r="K51" s="197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8"/>
      <c r="I52" s="197"/>
      <c r="J52" s="198"/>
      <c r="K52" s="197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8"/>
      <c r="I53" s="197"/>
      <c r="J53" s="198"/>
      <c r="K53" s="197"/>
      <c r="L53" s="198"/>
    </row>
    <row r="54" spans="1:12" s="2" customFormat="1" ht="15.75" customHeight="1">
      <c r="A54" s="14"/>
      <c r="B54" s="25" t="s">
        <v>117</v>
      </c>
      <c r="C54" s="88" t="s">
        <v>118</v>
      </c>
      <c r="D54" s="32" t="str">
        <f>D47</f>
        <v>LIST</v>
      </c>
      <c r="E54" s="89" t="s">
        <v>104</v>
      </c>
      <c r="F54" s="199" t="str">
        <f>LIDER!$E$36</f>
        <v>GRUPO#8 Análisis de los aspectos legales, tributarios, administrativos, macroeconómicos, aduaneros, tecnológicos e internacionales que definen el perfil de The Coca-Cola Company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YURI MAR FUENMAYOR OSORIO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8"/>
      <c r="I55" s="197"/>
      <c r="J55" s="198"/>
      <c r="K55" s="197"/>
      <c r="L55" s="198"/>
    </row>
    <row r="56" spans="1:12" s="2" customFormat="1" ht="15" customHeight="1">
      <c r="A56" s="12">
        <v>2</v>
      </c>
      <c r="B56" s="10" t="str">
        <f>LIDER!H52</f>
        <v>YULEIDIS PAOLA MORENO DIAZ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8"/>
      <c r="I56" s="197"/>
      <c r="J56" s="198"/>
      <c r="K56" s="197"/>
      <c r="L56" s="198"/>
    </row>
    <row r="57" spans="1:12" s="2" customFormat="1" ht="15" customHeight="1">
      <c r="A57" s="12">
        <v>3</v>
      </c>
      <c r="B57" s="10" t="str">
        <f>LIDER!H53</f>
        <v>SHARONE JANNINE ORDOÑEZ ESCUDERO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8"/>
      <c r="I57" s="197"/>
      <c r="J57" s="198"/>
      <c r="K57" s="197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8"/>
      <c r="I58" s="197"/>
      <c r="J58" s="198"/>
      <c r="K58" s="197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8"/>
      <c r="I59" s="197"/>
      <c r="J59" s="198"/>
      <c r="K59" s="197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8"/>
      <c r="I60" s="197"/>
      <c r="J60" s="198"/>
      <c r="K60" s="197"/>
      <c r="L60" s="198"/>
    </row>
    <row r="61" spans="1:12" s="2" customFormat="1" ht="15.75" customHeight="1">
      <c r="A61" s="14"/>
      <c r="B61" s="25" t="s">
        <v>119</v>
      </c>
      <c r="C61" s="88" t="s">
        <v>120</v>
      </c>
      <c r="D61" s="32" t="str">
        <f>D54</f>
        <v>LIST</v>
      </c>
      <c r="E61" s="89" t="s">
        <v>104</v>
      </c>
      <c r="F61" s="199" t="str">
        <f>LIDER!$E$37</f>
        <v xml:space="preserve">GRUPO#9 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 t="str">
        <f>LIDER!E59</f>
        <v>ISSAC DAVID ANGULO ZABALETA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8"/>
      <c r="I62" s="197"/>
      <c r="J62" s="198"/>
      <c r="K62" s="197"/>
      <c r="L62" s="198"/>
    </row>
    <row r="63" spans="1:12" s="2" customFormat="1" ht="15" customHeight="1">
      <c r="A63" s="12">
        <v>2</v>
      </c>
      <c r="B63" s="10" t="str">
        <f>LIDER!E60</f>
        <v>ANDRES FELIPE ARROYO PARRA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8"/>
      <c r="I63" s="197"/>
      <c r="J63" s="198"/>
      <c r="K63" s="197"/>
      <c r="L63" s="198"/>
    </row>
    <row r="64" spans="1:12" s="2" customFormat="1" ht="15" customHeight="1">
      <c r="A64" s="12">
        <v>3</v>
      </c>
      <c r="B64" s="10" t="str">
        <f>LIDER!E61</f>
        <v>DANNA ALEJANDRA CASTRO ESPINOSA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8"/>
      <c r="I64" s="197"/>
      <c r="J64" s="198"/>
      <c r="K64" s="197"/>
      <c r="L64" s="198"/>
    </row>
    <row r="65" spans="1:12" s="2" customFormat="1" ht="15" customHeight="1">
      <c r="A65" s="12">
        <v>4</v>
      </c>
      <c r="B65" s="10" t="str">
        <f>LIDER!E62</f>
        <v>JUAN DAVID LOPEZ VIDES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8"/>
      <c r="I65" s="197"/>
      <c r="J65" s="198"/>
      <c r="K65" s="197"/>
      <c r="L65" s="198"/>
    </row>
    <row r="66" spans="1:12" s="2" customFormat="1" ht="15" customHeight="1">
      <c r="A66" s="12">
        <v>5</v>
      </c>
      <c r="B66" s="10" t="str">
        <f>LIDER!E63</f>
        <v>ALEJANDRA MORENO VILLALOBO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8"/>
      <c r="I66" s="197"/>
      <c r="J66" s="198"/>
      <c r="K66" s="197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8"/>
      <c r="I67" s="197"/>
      <c r="J67" s="198"/>
      <c r="K67" s="197"/>
      <c r="L67" s="198"/>
    </row>
    <row r="68" spans="1:12" s="2" customFormat="1" ht="15.75" customHeight="1">
      <c r="A68" s="14"/>
      <c r="B68" s="25" t="s">
        <v>86</v>
      </c>
      <c r="C68" s="88" t="s">
        <v>121</v>
      </c>
      <c r="D68" s="32" t="str">
        <f>D61</f>
        <v>LIST</v>
      </c>
      <c r="E68" s="89" t="s">
        <v>104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8"/>
      <c r="I69" s="197"/>
      <c r="J69" s="198"/>
      <c r="K69" s="197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8"/>
      <c r="I70" s="197"/>
      <c r="J70" s="198"/>
      <c r="K70" s="197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8"/>
      <c r="I71" s="197"/>
      <c r="J71" s="198"/>
      <c r="K71" s="197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8"/>
      <c r="I72" s="197"/>
      <c r="J72" s="198"/>
      <c r="K72" s="197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8"/>
      <c r="I73" s="197"/>
      <c r="J73" s="198"/>
      <c r="K73" s="197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8"/>
      <c r="I74" s="197"/>
      <c r="J74" s="198"/>
      <c r="K74" s="197"/>
      <c r="L74" s="198"/>
    </row>
    <row r="75" spans="1:12" s="2" customFormat="1" ht="15.75" customHeight="1">
      <c r="A75" s="14"/>
      <c r="B75" s="25" t="s">
        <v>88</v>
      </c>
      <c r="C75" s="88" t="s">
        <v>123</v>
      </c>
      <c r="D75" s="32" t="str">
        <f>D68</f>
        <v>LIST</v>
      </c>
      <c r="E75" s="89" t="s">
        <v>104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8"/>
      <c r="I76" s="197"/>
      <c r="J76" s="198"/>
      <c r="K76" s="197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8"/>
      <c r="I77" s="197"/>
      <c r="J77" s="198"/>
      <c r="K77" s="197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8"/>
      <c r="I78" s="197"/>
      <c r="J78" s="198"/>
      <c r="K78" s="197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8"/>
      <c r="I79" s="197"/>
      <c r="J79" s="198"/>
      <c r="K79" s="197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8"/>
      <c r="I80" s="197"/>
      <c r="J80" s="198"/>
      <c r="K80" s="197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8"/>
      <c r="I81" s="197"/>
      <c r="J81" s="198"/>
      <c r="K81" s="197"/>
      <c r="L81" s="198"/>
    </row>
    <row r="82" spans="1:12" s="2" customFormat="1" ht="15.75" customHeight="1">
      <c r="A82" s="14"/>
      <c r="B82" s="25" t="s">
        <v>90</v>
      </c>
      <c r="C82" s="88" t="s">
        <v>124</v>
      </c>
      <c r="D82" s="32" t="str">
        <f>D75</f>
        <v>LIST</v>
      </c>
      <c r="E82" s="89" t="s">
        <v>104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8"/>
      <c r="I83" s="197"/>
      <c r="J83" s="198"/>
      <c r="K83" s="197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8"/>
      <c r="I84" s="197"/>
      <c r="J84" s="198"/>
      <c r="K84" s="197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8"/>
      <c r="I85" s="197"/>
      <c r="J85" s="198"/>
      <c r="K85" s="197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8"/>
      <c r="I86" s="197"/>
      <c r="J86" s="198"/>
      <c r="K86" s="197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8"/>
      <c r="I87" s="197"/>
      <c r="J87" s="198"/>
      <c r="K87" s="197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8"/>
      <c r="G88" s="209"/>
      <c r="H88" s="210"/>
      <c r="I88" s="209"/>
      <c r="J88" s="210"/>
      <c r="K88" s="209"/>
      <c r="L88" s="210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59" activePane="bottomRight" state="frozen"/>
      <selection pane="bottomRight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LEGISLACION PARA EL COMERCIO</v>
      </c>
      <c r="C2" s="3"/>
      <c r="E2" s="217" t="s">
        <v>99</v>
      </c>
      <c r="F2" s="218"/>
      <c r="G2" s="218"/>
      <c r="H2" s="218"/>
      <c r="I2" s="218"/>
      <c r="J2" s="218"/>
      <c r="K2" s="219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3" t="str">
        <f>CONCATENATE(LIDER!C4," - ",LIDER!C6," - ",LIDER!C5)</f>
        <v>LEGISLACION PARA EL COMERCIO - 2489 - HAROLD ANTONIO CUADRO VELASQUEZ</v>
      </c>
      <c r="F4" s="214"/>
      <c r="G4" s="214"/>
      <c r="H4" s="214"/>
      <c r="I4" s="214"/>
      <c r="J4" s="214"/>
      <c r="K4" s="215"/>
    </row>
    <row r="5" spans="1:11" s="2" customFormat="1" ht="15.75" customHeight="1" thickBot="1">
      <c r="A5" s="8"/>
      <c r="B5" s="27" t="s">
        <v>101</v>
      </c>
      <c r="C5" s="32" t="str">
        <f>IF('S-ASIG-01'!D5="","",'S-ASIG-01'!D5)</f>
        <v>LIST</v>
      </c>
      <c r="D5" s="35" t="s">
        <v>104</v>
      </c>
      <c r="E5" s="216" t="str">
        <f>LIDER!$E$29</f>
        <v>GRUPO#1 Descripción de los Aspectos Internacionales, Macroeconómicos, Legales, administrativos, aduaneros y tecnológicos de Progan del Caribe S.A.S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EDINSON ANDRES CASTRO PADILLA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4.3500000000000005</v>
      </c>
      <c r="E6" s="211">
        <v>4.2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MATEO ANDRÉS CUESTA DÍAZ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4.3500000000000005</v>
      </c>
      <c r="E7" s="211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LUKASS GIRALDO RAMIREZ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4.3500000000000005</v>
      </c>
      <c r="E8" s="211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LOREINES OSPINO HERNÁNDEZ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4.3500000000000005</v>
      </c>
      <c r="E9" s="211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LAURA SOFÍA PÉREZ ARÉVALO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4.3500000000000005</v>
      </c>
      <c r="E10" s="211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VALERY DANIELA SAENZ WATTS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4.3500000000000005</v>
      </c>
      <c r="E11" s="211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105</v>
      </c>
      <c r="C12" s="32" t="str">
        <f>IF('S-ASIG-01'!D12="","",'S-ASIG-01'!D12)</f>
        <v>LIST</v>
      </c>
      <c r="D12" s="35" t="s">
        <v>104</v>
      </c>
      <c r="E12" s="216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CRISTINA CAÑATE MERCADO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</v>
      </c>
      <c r="E13" s="211">
        <v>4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KARINA MARRUGO MEZA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</v>
      </c>
      <c r="E14" s="211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HILARYS CAROLINA PATERNINA DONADO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</v>
      </c>
      <c r="E15" s="211"/>
      <c r="F15" s="18">
        <v>4</v>
      </c>
      <c r="G15" s="18">
        <v>4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MATEO QUINTANA SERNA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</v>
      </c>
      <c r="E16" s="211"/>
      <c r="F16" s="18">
        <v>4</v>
      </c>
      <c r="G16" s="18">
        <v>4</v>
      </c>
      <c r="H16" s="18">
        <v>4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1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107</v>
      </c>
      <c r="C19" s="32" t="str">
        <f>IF('S-ASIG-01'!D19="","",'S-ASIG-01'!D19)</f>
        <v>LIST</v>
      </c>
      <c r="D19" s="35" t="s">
        <v>104</v>
      </c>
      <c r="E19" s="216" t="str">
        <f>LIDER!$E$31</f>
        <v>GRUPO#3 ¿Cuáles son los aspectos legales, tributarios, administrativos, macroeconómicos, aduaneros, tecnológicos e internacionales que definen el perfil de expocafe en los negocios internacionales?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YULEDIS BECERRA GOMEZ</v>
      </c>
      <c r="C20" s="33" t="str">
        <f>IF('S-ASIG-01'!D20="","",'S-ASIG-01'!D20)</f>
        <v/>
      </c>
      <c r="D20" s="30" t="e">
        <f>IF(B20=0,"",IF(C20="",$E$20*LIDER!$H$19+F20*LIDER!$H$20+G20*LIDER!$H$21+H20*LIDER!$H$22+I20*LIDER!$H$23+J20*LIDER!$H$24+K20*LIDER!$H$25,"N"))</f>
        <v>#VALUE!</v>
      </c>
      <c r="E20" s="211">
        <v>3.5</v>
      </c>
      <c r="F20" s="24" t="s">
        <v>122</v>
      </c>
      <c r="G20" s="24" t="s">
        <v>122</v>
      </c>
      <c r="H20" s="24" t="s">
        <v>122</v>
      </c>
      <c r="I20" s="24" t="s">
        <v>122</v>
      </c>
      <c r="J20" s="24" t="s">
        <v>122</v>
      </c>
      <c r="K20" s="24"/>
    </row>
    <row r="21" spans="1:11" s="2" customFormat="1" ht="15" customHeight="1">
      <c r="A21" s="12">
        <v>2</v>
      </c>
      <c r="B21" s="28" t="str">
        <f>LIDER!G44</f>
        <v>JULIO ALBERTO LANCHEROS PACHECO</v>
      </c>
      <c r="C21" s="33" t="str">
        <f>IF('S-ASIG-01'!D21="","",'S-ASIG-01'!D21)</f>
        <v/>
      </c>
      <c r="D21" s="30" t="e">
        <f>IF(B21=0,"",IF(C21="",$E$20*LIDER!$H$19+F21*LIDER!$H$20+G21*LIDER!$H$21+H21*LIDER!$H$22+I21*LIDER!$H$23+J21*LIDER!$H$24+K21*LIDER!$H$25,"N"))</f>
        <v>#VALUE!</v>
      </c>
      <c r="E21" s="211"/>
      <c r="F21" s="18" t="s">
        <v>122</v>
      </c>
      <c r="G21" s="18" t="s">
        <v>122</v>
      </c>
      <c r="H21" s="18" t="s">
        <v>122</v>
      </c>
      <c r="I21" s="18" t="s">
        <v>122</v>
      </c>
      <c r="J21" s="18" t="s">
        <v>122</v>
      </c>
      <c r="K21" s="18"/>
    </row>
    <row r="22" spans="1:11" s="2" customFormat="1" ht="15" customHeight="1">
      <c r="A22" s="12">
        <v>3</v>
      </c>
      <c r="B22" s="28" t="str">
        <f>LIDER!G45</f>
        <v>NELCY CAROLINA MEZA PÉREZ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3.5</v>
      </c>
      <c r="E22" s="211"/>
      <c r="F22" s="18">
        <v>3.5</v>
      </c>
      <c r="G22" s="18">
        <v>3.5</v>
      </c>
      <c r="H22" s="18">
        <v>3.5</v>
      </c>
      <c r="I22" s="18">
        <v>3.5</v>
      </c>
      <c r="J22" s="18">
        <v>3.5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1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1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109</v>
      </c>
      <c r="C26" s="32" t="str">
        <f>IF('S-ASIG-01'!D26="","",'S-ASIG-01'!D26)</f>
        <v>LIST</v>
      </c>
      <c r="D26" s="35" t="s">
        <v>104</v>
      </c>
      <c r="E26" s="216" t="str">
        <f>LIDER!$E$32</f>
        <v xml:space="preserve">GRUPO#4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HELENA ISABEL ALVAREZ CORTINA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3.35</v>
      </c>
      <c r="E27" s="211">
        <v>3.2</v>
      </c>
      <c r="F27" s="24">
        <v>3.5</v>
      </c>
      <c r="G27" s="24">
        <v>3.5</v>
      </c>
      <c r="H27" s="24">
        <v>3.5</v>
      </c>
      <c r="I27" s="24">
        <v>3.5</v>
      </c>
      <c r="J27" s="24">
        <v>3.5</v>
      </c>
      <c r="K27" s="24"/>
    </row>
    <row r="28" spans="1:11" s="2" customFormat="1" ht="15" customHeight="1">
      <c r="A28" s="12">
        <v>2</v>
      </c>
      <c r="B28" s="28" t="str">
        <f>LIDER!H44</f>
        <v>ANDREA KAROLAY CARRILLO GOMEZ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3.35</v>
      </c>
      <c r="E28" s="211"/>
      <c r="F28" s="18">
        <v>3.5</v>
      </c>
      <c r="G28" s="18">
        <v>3.5</v>
      </c>
      <c r="H28" s="18">
        <v>3.5</v>
      </c>
      <c r="I28" s="18">
        <v>3.5</v>
      </c>
      <c r="J28" s="18">
        <v>3.5</v>
      </c>
      <c r="K28" s="18"/>
    </row>
    <row r="29" spans="1:11" s="2" customFormat="1" ht="15" customHeight="1">
      <c r="A29" s="12">
        <v>3</v>
      </c>
      <c r="B29" s="28" t="str">
        <f>LIDER!H45</f>
        <v>MELANY ANDREA FLÓREZ ALMANZA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3.35</v>
      </c>
      <c r="E29" s="211"/>
      <c r="F29" s="18">
        <v>3.5</v>
      </c>
      <c r="G29" s="18">
        <v>3.5</v>
      </c>
      <c r="H29" s="18">
        <v>3.5</v>
      </c>
      <c r="I29" s="18">
        <v>3.5</v>
      </c>
      <c r="J29" s="18">
        <v>3.5</v>
      </c>
      <c r="K29" s="18"/>
    </row>
    <row r="30" spans="1:11" s="2" customFormat="1" ht="15" customHeight="1">
      <c r="A30" s="12">
        <v>4</v>
      </c>
      <c r="B30" s="28" t="str">
        <f>LIDER!H46</f>
        <v>JUAN SEBASTIAN PRENS BOSSIO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3.35</v>
      </c>
      <c r="E30" s="211"/>
      <c r="F30" s="18">
        <v>3.5</v>
      </c>
      <c r="G30" s="18">
        <v>3.5</v>
      </c>
      <c r="H30" s="18">
        <v>3.5</v>
      </c>
      <c r="I30" s="18">
        <v>3.5</v>
      </c>
      <c r="J30" s="18">
        <v>3.5</v>
      </c>
      <c r="K30" s="18"/>
    </row>
    <row r="31" spans="1:11" s="2" customFormat="1" ht="15" customHeight="1">
      <c r="A31" s="12">
        <v>5</v>
      </c>
      <c r="B31" s="28" t="str">
        <f>LIDER!H47</f>
        <v>ALEXANDER DUBAN PROTZKAR DE LA HOZ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3.35</v>
      </c>
      <c r="E31" s="211"/>
      <c r="F31" s="18">
        <v>3.5</v>
      </c>
      <c r="G31" s="18">
        <v>3.5</v>
      </c>
      <c r="H31" s="18">
        <v>3.5</v>
      </c>
      <c r="I31" s="18">
        <v>3.5</v>
      </c>
      <c r="J31" s="18">
        <v>3.5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111</v>
      </c>
      <c r="C33" s="32" t="str">
        <f>IF('S-ASIG-01'!D33="","",'S-ASIG-01'!D33)</f>
        <v>LIST</v>
      </c>
      <c r="D33" s="35" t="s">
        <v>104</v>
      </c>
      <c r="E33" s="216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SIARA LUCIA CHAMS CARBALLO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4.25</v>
      </c>
      <c r="E34" s="211">
        <v>4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LUCINDA GARCIA CASTRO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4.25</v>
      </c>
      <c r="E35" s="211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SAMUEL DVID JULIO BARRIOS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4.25</v>
      </c>
      <c r="E36" s="211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LAUREN CAROLINA MARTINEZ LICONA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4.25</v>
      </c>
      <c r="E37" s="211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ASLLY MARGARITA RINCON MATTOS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4.25</v>
      </c>
      <c r="E38" s="211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113</v>
      </c>
      <c r="C40" s="32" t="str">
        <f>IF('S-ASIG-01'!D40="","",'S-ASIG-01'!D40)</f>
        <v>LIST</v>
      </c>
      <c r="D40" s="35" t="s">
        <v>104</v>
      </c>
      <c r="E40" s="216" t="str">
        <f>LIDER!$E$34</f>
        <v xml:space="preserve">GRUPO#6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YEIDER SANTIAGO BOHORQUEZ GONZALEZ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2.6000000000000005</v>
      </c>
      <c r="E41" s="211">
        <v>2</v>
      </c>
      <c r="F41" s="24">
        <v>3.2</v>
      </c>
      <c r="G41" s="24">
        <v>3.2</v>
      </c>
      <c r="H41" s="24">
        <v>3.2</v>
      </c>
      <c r="I41" s="24">
        <v>3.2</v>
      </c>
      <c r="J41" s="24">
        <v>3.2</v>
      </c>
      <c r="K41" s="24"/>
    </row>
    <row r="42" spans="1:11" s="2" customFormat="1" ht="15" customHeight="1">
      <c r="A42" s="12">
        <v>2</v>
      </c>
      <c r="B42" s="28" t="str">
        <f>LIDER!F52</f>
        <v>ELIAN MANUEL PACHECO BELTRAN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2.6000000000000005</v>
      </c>
      <c r="E42" s="211"/>
      <c r="F42" s="18">
        <v>3.2</v>
      </c>
      <c r="G42" s="18">
        <v>3.2</v>
      </c>
      <c r="H42" s="18">
        <v>3.2</v>
      </c>
      <c r="I42" s="18">
        <v>3.2</v>
      </c>
      <c r="J42" s="18">
        <v>3.2</v>
      </c>
      <c r="K42" s="18"/>
    </row>
    <row r="43" spans="1:11" s="2" customFormat="1" ht="15" customHeight="1">
      <c r="A43" s="12">
        <v>3</v>
      </c>
      <c r="B43" s="28" t="str">
        <f>LIDER!F53</f>
        <v>VALERIA PASTRANA ARRIETA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2.6000000000000005</v>
      </c>
      <c r="E43" s="211"/>
      <c r="F43" s="18">
        <v>3.2</v>
      </c>
      <c r="G43" s="18">
        <v>3.2</v>
      </c>
      <c r="H43" s="18">
        <v>3.2</v>
      </c>
      <c r="I43" s="18">
        <v>3.2</v>
      </c>
      <c r="J43" s="18">
        <v>3.2</v>
      </c>
      <c r="K43" s="18"/>
    </row>
    <row r="44" spans="1:11" s="2" customFormat="1" ht="15" customHeight="1">
      <c r="A44" s="12">
        <v>4</v>
      </c>
      <c r="B44" s="28" t="str">
        <f>LIDER!F54</f>
        <v>JUAN PABLO QUIJANO GUEVARA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2.6000000000000005</v>
      </c>
      <c r="E44" s="211"/>
      <c r="F44" s="18">
        <v>3.2</v>
      </c>
      <c r="G44" s="18">
        <v>3.2</v>
      </c>
      <c r="H44" s="18">
        <v>3.2</v>
      </c>
      <c r="I44" s="18">
        <v>3.2</v>
      </c>
      <c r="J44" s="18">
        <v>3.2</v>
      </c>
      <c r="K44" s="18"/>
    </row>
    <row r="45" spans="1:11" s="2" customFormat="1" ht="15" customHeight="1">
      <c r="A45" s="12">
        <v>5</v>
      </c>
      <c r="B45" s="28" t="str">
        <f>LIDER!F55</f>
        <v>JOSE ANGEL VALLEJO REALES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2.6000000000000005</v>
      </c>
      <c r="E45" s="211"/>
      <c r="F45" s="18">
        <v>3.2</v>
      </c>
      <c r="G45" s="18">
        <v>3.2</v>
      </c>
      <c r="H45" s="18">
        <v>3.2</v>
      </c>
      <c r="I45" s="18">
        <v>3.2</v>
      </c>
      <c r="J45" s="18">
        <v>3.2</v>
      </c>
      <c r="K45" s="18"/>
    </row>
    <row r="46" spans="1:11" s="2" customFormat="1" ht="15.75" customHeight="1" thickBot="1">
      <c r="A46" s="13">
        <v>6</v>
      </c>
      <c r="B46" s="28" t="str">
        <f>LIDER!F56</f>
        <v>HENRY WILCHES DE LA ROSA</v>
      </c>
      <c r="C46" s="33" t="str">
        <f>IF('S-ASIG-01'!D46="","",'S-ASIG-01'!D46)</f>
        <v/>
      </c>
      <c r="D46" s="30">
        <f>IF(B46=0,"",IF(C46="",$E$41*LIDER!$H$19+F46*LIDER!$H$20+G46*LIDER!$H$21+H46*LIDER!$H$22+I46*LIDER!$H$23+J46*LIDER!$H$24+K46*LIDER!$H$25,"N"))</f>
        <v>2.6000000000000005</v>
      </c>
      <c r="E46" s="211"/>
      <c r="F46" s="26">
        <v>3.2</v>
      </c>
      <c r="G46" s="26">
        <v>3.2</v>
      </c>
      <c r="H46" s="26">
        <v>3.2</v>
      </c>
      <c r="I46" s="26">
        <v>3.2</v>
      </c>
      <c r="J46" s="26">
        <v>3.2</v>
      </c>
      <c r="K46" s="26"/>
    </row>
    <row r="47" spans="1:11" s="2" customFormat="1" ht="15.75" customHeight="1" thickBot="1">
      <c r="A47" s="14"/>
      <c r="B47" s="27" t="s">
        <v>115</v>
      </c>
      <c r="C47" s="32" t="str">
        <f>IF('S-ASIG-01'!D47="","",'S-ASIG-01'!D47)</f>
        <v>LIST</v>
      </c>
      <c r="D47" s="35" t="s">
        <v>104</v>
      </c>
      <c r="E47" s="216" t="str">
        <f>LIDER!$E$35</f>
        <v>GRUPO#7 CÓMO ES EL PERFIL DE DRUMMOND EN LOS NEGOCIOS INTERNACIONALES TENIENDO EN CUENTA LOS ASPECTOS LEGALES, TRIBUTARIOS, ADMINISTRATIVOS, MACROECONÓMICOS, ADUANEROS, TECNOLÓGICOS E INTERNACIONALES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CARLOS JULIO LOPEZ ALEMAN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4.0999999999999996</v>
      </c>
      <c r="E48" s="211">
        <v>4</v>
      </c>
      <c r="F48" s="24">
        <v>4.2</v>
      </c>
      <c r="G48" s="24">
        <v>4.2</v>
      </c>
      <c r="H48" s="24">
        <v>4.2</v>
      </c>
      <c r="I48" s="24">
        <v>4.2</v>
      </c>
      <c r="J48" s="24">
        <v>4.2</v>
      </c>
      <c r="K48" s="24"/>
    </row>
    <row r="49" spans="1:11" s="2" customFormat="1" ht="15" customHeight="1">
      <c r="A49" s="12">
        <v>2</v>
      </c>
      <c r="B49" s="28" t="str">
        <f>LIDER!G52</f>
        <v>DYLAN ANDRES RANGEL LOPEZ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4.0999999999999996</v>
      </c>
      <c r="E49" s="211"/>
      <c r="F49" s="18">
        <v>4.2</v>
      </c>
      <c r="G49" s="18">
        <v>4.2</v>
      </c>
      <c r="H49" s="18">
        <v>4.2</v>
      </c>
      <c r="I49" s="18">
        <v>4.2</v>
      </c>
      <c r="J49" s="18">
        <v>4.2</v>
      </c>
      <c r="K49" s="18"/>
    </row>
    <row r="50" spans="1:11" s="2" customFormat="1" ht="15" customHeight="1">
      <c r="A50" s="12">
        <v>3</v>
      </c>
      <c r="B50" s="28" t="str">
        <f>LIDER!G53</f>
        <v>SANTIAGO TANGARIFE PONCE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4.0999999999999996</v>
      </c>
      <c r="E50" s="211"/>
      <c r="F50" s="18">
        <v>4.2</v>
      </c>
      <c r="G50" s="18">
        <v>4.2</v>
      </c>
      <c r="H50" s="18">
        <v>4.2</v>
      </c>
      <c r="I50" s="18">
        <v>4.2</v>
      </c>
      <c r="J50" s="18">
        <v>4.2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117</v>
      </c>
      <c r="C54" s="32" t="str">
        <f>IF('S-ASIG-01'!D54="","",'S-ASIG-01'!D54)</f>
        <v>LIST</v>
      </c>
      <c r="D54" s="35" t="s">
        <v>104</v>
      </c>
      <c r="E54" s="216" t="str">
        <f>LIDER!$E$36</f>
        <v>GRUPO#8 Análisis de los aspectos legales, tributarios, administrativos, macroeconómicos, aduaneros, tecnológicos e internacionales que definen el perfil de The Coca-Cola Company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YURI MAR FUENMAYOR OSORIO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4.5</v>
      </c>
      <c r="E55" s="211">
        <v>4.5</v>
      </c>
      <c r="F55" s="24">
        <v>4.5</v>
      </c>
      <c r="G55" s="24">
        <v>4.5</v>
      </c>
      <c r="H55" s="24">
        <v>4.5</v>
      </c>
      <c r="I55" s="24">
        <v>4.5</v>
      </c>
      <c r="J55" s="24">
        <v>4.5</v>
      </c>
      <c r="K55" s="24"/>
    </row>
    <row r="56" spans="1:11" s="2" customFormat="1" ht="15" customHeight="1">
      <c r="A56" s="12">
        <v>2</v>
      </c>
      <c r="B56" s="28" t="str">
        <f>LIDER!H52</f>
        <v>YULEIDIS PAOLA MORENO DIAZ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4.5</v>
      </c>
      <c r="E56" s="211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SHARONE JANNINE ORDOÑEZ ESCUDERO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4.5</v>
      </c>
      <c r="E57" s="211"/>
      <c r="F57" s="18">
        <v>4.5</v>
      </c>
      <c r="G57" s="18">
        <v>4.5</v>
      </c>
      <c r="H57" s="18">
        <v>4.5</v>
      </c>
      <c r="I57" s="18">
        <v>4.5</v>
      </c>
      <c r="J57" s="18">
        <v>4.5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119</v>
      </c>
      <c r="C61" s="32" t="str">
        <f>IF('S-ASIG-01'!D61="","",'S-ASIG-01'!D61)</f>
        <v>LIST</v>
      </c>
      <c r="D61" s="35" t="s">
        <v>104</v>
      </c>
      <c r="E61" s="216" t="str">
        <f>LIDER!$E$37</f>
        <v xml:space="preserve">GRUPO#9 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ISSAC DAVID ANGULO ZABALETA</v>
      </c>
      <c r="C62" s="33" t="str">
        <f>IF('S-ASIG-01'!D62="","",'S-ASIG-01'!D62)</f>
        <v/>
      </c>
      <c r="D62" s="30">
        <f>IF(B62=0,"",IF(C62="",$E$62*LIDER!$H$19+F62*LIDER!$H$20+G62*LIDER!$H$21+H62*LIDER!$H$22+I62*LIDER!$H$23+J62*LIDER!$H$24+K62*LIDER!$H$25,"N"))</f>
        <v>3.5</v>
      </c>
      <c r="E62" s="211">
        <v>3.5</v>
      </c>
      <c r="F62" s="24">
        <v>3.5</v>
      </c>
      <c r="G62" s="24">
        <v>3.5</v>
      </c>
      <c r="H62" s="24">
        <v>3.5</v>
      </c>
      <c r="I62" s="24">
        <v>3.5</v>
      </c>
      <c r="J62" s="24">
        <v>3.5</v>
      </c>
      <c r="K62" s="24"/>
    </row>
    <row r="63" spans="1:11" s="2" customFormat="1" ht="15" customHeight="1">
      <c r="A63" s="12">
        <v>2</v>
      </c>
      <c r="B63" s="28" t="str">
        <f>LIDER!E60</f>
        <v>ANDRES FELIPE ARROYO PARRA</v>
      </c>
      <c r="C63" s="33" t="str">
        <f>IF('S-ASIG-01'!D63="","",'S-ASIG-01'!D63)</f>
        <v/>
      </c>
      <c r="D63" s="30">
        <f>IF(B63=0,"",IF(C63="",$E$62*LIDER!$H$19+F63*LIDER!$H$20+G63*LIDER!$H$21+H63*LIDER!$H$22+I63*LIDER!$H$23+J63*LIDER!$H$24+K63*LIDER!$H$25,"N"))</f>
        <v>3.5</v>
      </c>
      <c r="E63" s="211"/>
      <c r="F63" s="18">
        <v>3.5</v>
      </c>
      <c r="G63" s="18">
        <v>3.5</v>
      </c>
      <c r="H63" s="18">
        <v>3.5</v>
      </c>
      <c r="I63" s="18">
        <v>3.5</v>
      </c>
      <c r="J63" s="18">
        <v>3.5</v>
      </c>
      <c r="K63" s="18"/>
    </row>
    <row r="64" spans="1:11" s="2" customFormat="1" ht="15" customHeight="1">
      <c r="A64" s="12">
        <v>3</v>
      </c>
      <c r="B64" s="28" t="str">
        <f>LIDER!E61</f>
        <v>DANNA ALEJANDRA CASTRO ESPINOSA</v>
      </c>
      <c r="C64" s="33" t="str">
        <f>IF('S-ASIG-01'!D64="","",'S-ASIG-01'!D64)</f>
        <v/>
      </c>
      <c r="D64" s="30">
        <f>IF(B64=0,"",IF(C64="",$E$62*LIDER!$H$19+F64*LIDER!$H$20+G64*LIDER!$H$21+H64*LIDER!$H$22+I64*LIDER!$H$23+J64*LIDER!$H$24+K64*LIDER!$H$25,"N"))</f>
        <v>3.5</v>
      </c>
      <c r="E64" s="211"/>
      <c r="F64" s="18">
        <v>3.5</v>
      </c>
      <c r="G64" s="18">
        <v>3.5</v>
      </c>
      <c r="H64" s="18">
        <v>3.5</v>
      </c>
      <c r="I64" s="18">
        <v>3.5</v>
      </c>
      <c r="J64" s="18">
        <v>3.5</v>
      </c>
      <c r="K64" s="18"/>
    </row>
    <row r="65" spans="1:11" s="2" customFormat="1" ht="15" customHeight="1">
      <c r="A65" s="12">
        <v>4</v>
      </c>
      <c r="B65" s="28" t="str">
        <f>LIDER!E62</f>
        <v>JUAN DAVID LOPEZ VIDES</v>
      </c>
      <c r="C65" s="33" t="str">
        <f>IF('S-ASIG-01'!D65="","",'S-ASIG-01'!D65)</f>
        <v/>
      </c>
      <c r="D65" s="30">
        <f>IF(B65=0,"",IF(C65="",$E$62*LIDER!$H$19+F65*LIDER!$H$20+G65*LIDER!$H$21+H65*LIDER!$H$22+I65*LIDER!$H$23+J65*LIDER!$H$24+K65*LIDER!$H$25,"N"))</f>
        <v>3.5</v>
      </c>
      <c r="E65" s="211"/>
      <c r="F65" s="18">
        <v>3.5</v>
      </c>
      <c r="G65" s="18">
        <v>3.5</v>
      </c>
      <c r="H65" s="18">
        <v>3.5</v>
      </c>
      <c r="I65" s="18">
        <v>3.5</v>
      </c>
      <c r="J65" s="18">
        <v>3.5</v>
      </c>
      <c r="K65" s="18"/>
    </row>
    <row r="66" spans="1:11" s="2" customFormat="1" ht="15" customHeight="1">
      <c r="A66" s="12">
        <v>5</v>
      </c>
      <c r="B66" s="28" t="str">
        <f>LIDER!E63</f>
        <v>ALEJANDRA MORENO VILLALOBO</v>
      </c>
      <c r="C66" s="33" t="str">
        <f>IF('S-ASIG-01'!D66="","",'S-ASIG-01'!D66)</f>
        <v/>
      </c>
      <c r="D66" s="30">
        <f>IF(B66=0,"",IF(C66="",$E$62*LIDER!$H$19+F66*LIDER!$H$20+G66*LIDER!$H$21+H66*LIDER!$H$22+I66*LIDER!$H$23+J66*LIDER!$H$24+K66*LIDER!$H$25,"N"))</f>
        <v>3.5</v>
      </c>
      <c r="E66" s="211"/>
      <c r="F66" s="18">
        <v>3.5</v>
      </c>
      <c r="G66" s="18">
        <v>3.5</v>
      </c>
      <c r="H66" s="18">
        <v>3.5</v>
      </c>
      <c r="I66" s="18">
        <v>3.5</v>
      </c>
      <c r="J66" s="18">
        <v>3.5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IF('S-ASIG-01'!D68="","",'S-ASIG-01'!D68)</f>
        <v>LIST</v>
      </c>
      <c r="D68" s="35" t="s">
        <v>104</v>
      </c>
      <c r="E68" s="216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>N</v>
      </c>
      <c r="D69" s="30" t="str">
        <f>IF(B69=0,"",IF(C69="",$E$69*LIDER!$H$19+F69*LIDER!$H$20+G69*LIDER!$H$21+H69*LIDER!$H$22+I69*LIDER!$H$23+J69*LIDER!$H$24+K69*LIDER!$H$25,"N"))</f>
        <v/>
      </c>
      <c r="E69" s="21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>N</v>
      </c>
      <c r="D70" s="30" t="str">
        <f>IF(B70=0,"",IF(C70="",$E$69*LIDER!$H$19+F70*LIDER!$H$20+G70*LIDER!$H$21+H70*LIDER!$H$22+I70*LIDER!$H$23+J70*LIDER!$H$24+K70*LIDER!$H$25,"N"))</f>
        <v/>
      </c>
      <c r="E70" s="21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>N</v>
      </c>
      <c r="D71" s="30" t="str">
        <f>IF(B71=0,"",IF(C71="",$E$69*LIDER!$H$19+F71*LIDER!$H$20+G71*LIDER!$H$21+H71*LIDER!$H$22+I71*LIDER!$H$23+J71*LIDER!$H$24+K71*LIDER!$H$25,"N"))</f>
        <v/>
      </c>
      <c r="E71" s="21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IF('S-ASIG-01'!D75="","",'S-ASIG-01'!D75)</f>
        <v>LIST</v>
      </c>
      <c r="D75" s="35" t="s">
        <v>104</v>
      </c>
      <c r="E75" s="216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IF('S-ASIG-01'!D82="","",'S-ASIG-01'!D82)</f>
        <v>LIST</v>
      </c>
      <c r="D82" s="35" t="s">
        <v>104</v>
      </c>
      <c r="E82" s="216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" activePane="bottomRight" state="frozen"/>
      <selection pane="bottomRight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TECNOLOGIA APLICADA</v>
      </c>
      <c r="C2" s="3"/>
      <c r="E2" s="217" t="s">
        <v>99</v>
      </c>
      <c r="F2" s="218"/>
      <c r="G2" s="218"/>
      <c r="H2" s="218"/>
      <c r="I2" s="218"/>
      <c r="J2" s="218"/>
      <c r="K2" s="219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3" t="str">
        <f>CONCATENATE(LIDER!D4," - ",LIDER!D6," - ",LIDER!D5)</f>
        <v>TECNOLOGIA APLICADA - 2387 - ARMANDO ACOSTA JULIO</v>
      </c>
      <c r="F4" s="214"/>
      <c r="G4" s="214"/>
      <c r="H4" s="214"/>
      <c r="I4" s="214"/>
      <c r="J4" s="214"/>
      <c r="K4" s="215"/>
    </row>
    <row r="5" spans="1:11" s="2" customFormat="1" ht="15.75" customHeight="1" thickBot="1">
      <c r="A5" s="8"/>
      <c r="B5" s="27" t="s">
        <v>101</v>
      </c>
      <c r="C5" s="34" t="str">
        <f>IF('S-ASIG-02'!D5="","",'S-ASIG-02'!D5)</f>
        <v>LIST</v>
      </c>
      <c r="D5" s="35" t="s">
        <v>104</v>
      </c>
      <c r="E5" s="199" t="str">
        <f>LIDER!$E$29</f>
        <v>GRUPO#1 Descripción de los Aspectos Internacionales, Macroeconómicos, Legales, administrativos, aduaneros y tecnológicos de Progan del Caribe S.A.S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EDINSON ANDRES CASTRO PADILLA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4.4000000000000004</v>
      </c>
      <c r="E6" s="197">
        <v>4.4000000000000004</v>
      </c>
      <c r="F6" s="24">
        <v>4.4000000000000004</v>
      </c>
      <c r="G6" s="24">
        <v>4.4000000000000004</v>
      </c>
      <c r="H6" s="24">
        <v>4.4000000000000004</v>
      </c>
      <c r="I6" s="24">
        <v>4.4000000000000004</v>
      </c>
      <c r="J6" s="24">
        <v>4.4000000000000004</v>
      </c>
      <c r="K6" s="24"/>
    </row>
    <row r="7" spans="1:11" s="2" customFormat="1" ht="15" customHeight="1">
      <c r="A7" s="12">
        <v>2</v>
      </c>
      <c r="B7" s="28" t="str">
        <f>LIDER!E44</f>
        <v>MATEO ANDRÉS CUESTA DÍAZ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4.4000000000000004</v>
      </c>
      <c r="E7" s="197"/>
      <c r="F7" s="18">
        <v>4.4000000000000004</v>
      </c>
      <c r="G7" s="18">
        <v>4.4000000000000004</v>
      </c>
      <c r="H7" s="18">
        <v>4.4000000000000004</v>
      </c>
      <c r="I7" s="18">
        <v>4.4000000000000004</v>
      </c>
      <c r="J7" s="18">
        <v>4.4000000000000004</v>
      </c>
      <c r="K7" s="18"/>
    </row>
    <row r="8" spans="1:11" s="2" customFormat="1" ht="15" customHeight="1">
      <c r="A8" s="12">
        <v>3</v>
      </c>
      <c r="B8" s="28" t="str">
        <f>LIDER!E45</f>
        <v>LUKASS GIRALDO RAMIREZ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4.4000000000000004</v>
      </c>
      <c r="E8" s="197"/>
      <c r="F8" s="18">
        <v>4.4000000000000004</v>
      </c>
      <c r="G8" s="18">
        <v>4.4000000000000004</v>
      </c>
      <c r="H8" s="18">
        <v>4.4000000000000004</v>
      </c>
      <c r="I8" s="18">
        <v>4.4000000000000004</v>
      </c>
      <c r="J8" s="18">
        <v>4.4000000000000004</v>
      </c>
      <c r="K8" s="18"/>
    </row>
    <row r="9" spans="1:11" s="2" customFormat="1" ht="15" customHeight="1">
      <c r="A9" s="12">
        <v>4</v>
      </c>
      <c r="B9" s="28" t="str">
        <f>LIDER!E46</f>
        <v>LOREINES OSPINO HERNÁNDEZ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4.4000000000000004</v>
      </c>
      <c r="E9" s="197"/>
      <c r="F9" s="18">
        <v>4.4000000000000004</v>
      </c>
      <c r="G9" s="18">
        <v>4.4000000000000004</v>
      </c>
      <c r="H9" s="18">
        <v>4.4000000000000004</v>
      </c>
      <c r="I9" s="18">
        <v>4.4000000000000004</v>
      </c>
      <c r="J9" s="18">
        <v>4.4000000000000004</v>
      </c>
      <c r="K9" s="18"/>
    </row>
    <row r="10" spans="1:11" s="2" customFormat="1" ht="15" customHeight="1">
      <c r="A10" s="12">
        <v>5</v>
      </c>
      <c r="B10" s="28" t="str">
        <f>LIDER!E47</f>
        <v>LAURA SOFÍA PÉREZ ARÉVALO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4.4000000000000004</v>
      </c>
      <c r="E10" s="197"/>
      <c r="F10" s="18">
        <v>4.4000000000000004</v>
      </c>
      <c r="G10" s="18">
        <v>4.4000000000000004</v>
      </c>
      <c r="H10" s="18">
        <v>4.4000000000000004</v>
      </c>
      <c r="I10" s="18">
        <v>4.4000000000000004</v>
      </c>
      <c r="J10" s="18">
        <v>4.4000000000000004</v>
      </c>
      <c r="K10" s="18"/>
    </row>
    <row r="11" spans="1:11" s="2" customFormat="1" ht="15.75" customHeight="1" thickBot="1">
      <c r="A11" s="13">
        <v>6</v>
      </c>
      <c r="B11" s="28" t="str">
        <f>LIDER!E48</f>
        <v>VALERY DANIELA SAENZ WATTS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4.4000000000000004</v>
      </c>
      <c r="E11" s="197"/>
      <c r="F11" s="26">
        <v>4.4000000000000004</v>
      </c>
      <c r="G11" s="26">
        <v>4.4000000000000004</v>
      </c>
      <c r="H11" s="26">
        <v>4.4000000000000004</v>
      </c>
      <c r="I11" s="26">
        <v>4.4000000000000004</v>
      </c>
      <c r="J11" s="26">
        <v>4.4000000000000004</v>
      </c>
      <c r="K11" s="26"/>
    </row>
    <row r="12" spans="1:11" s="2" customFormat="1" ht="15.75" customHeight="1" thickBot="1">
      <c r="A12" s="8"/>
      <c r="B12" s="27" t="s">
        <v>105</v>
      </c>
      <c r="C12" s="32" t="str">
        <f>IF('S-ASIG-02'!D12="","",'S-ASIG-02'!D12)</f>
        <v>LIST</v>
      </c>
      <c r="D12" s="35" t="s">
        <v>104</v>
      </c>
      <c r="E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CRISTINA CAÑATE MERCADO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4.3999999999999995</v>
      </c>
      <c r="E13" s="197">
        <v>4.5</v>
      </c>
      <c r="F13" s="24">
        <v>4.3</v>
      </c>
      <c r="G13" s="24">
        <v>4.3</v>
      </c>
      <c r="H13" s="24">
        <v>4.3</v>
      </c>
      <c r="I13" s="24">
        <v>4.3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KARINA MARRUGO MEZA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4.3999999999999995</v>
      </c>
      <c r="E14" s="197"/>
      <c r="F14" s="18">
        <v>4.3</v>
      </c>
      <c r="G14" s="18">
        <v>4.3</v>
      </c>
      <c r="H14" s="18">
        <v>4.3</v>
      </c>
      <c r="I14" s="18">
        <v>4.3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HILARYS CAROLINA PATERNINA DONADO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4.3999999999999995</v>
      </c>
      <c r="E15" s="197"/>
      <c r="F15" s="18">
        <v>4.3</v>
      </c>
      <c r="G15" s="18">
        <v>4.3</v>
      </c>
      <c r="H15" s="18">
        <v>4.3</v>
      </c>
      <c r="I15" s="18">
        <v>4.3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MATEO QUINTANA SERNA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4.3999999999999995</v>
      </c>
      <c r="E16" s="197"/>
      <c r="F16" s="18">
        <v>4.3</v>
      </c>
      <c r="G16" s="18">
        <v>4.3</v>
      </c>
      <c r="H16" s="18">
        <v>4.3</v>
      </c>
      <c r="I16" s="18">
        <v>4.3</v>
      </c>
      <c r="J16" s="18">
        <v>4.3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107</v>
      </c>
      <c r="C19" s="32" t="str">
        <f>IF('S-ASIG-02'!D19="","",'S-ASIG-02'!D19)</f>
        <v>LIST</v>
      </c>
      <c r="D19" s="35" t="s">
        <v>104</v>
      </c>
      <c r="E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YULEDIS BECERRA GOMEZ</v>
      </c>
      <c r="C20" s="33" t="str">
        <f>IF('S-ASIG-02'!D20="","",'S-ASIG-02'!D20)</f>
        <v/>
      </c>
      <c r="D20" s="30" t="e">
        <f>IF(B20=0,"",IF(C20="",$E$20*LIDER!$H$19+F20*LIDER!$H$20+G20*LIDER!$H$21+H20*LIDER!$H$22+I20*LIDER!$H$23+J20*LIDER!$H$24+K20*LIDER!$H$25,"N"))</f>
        <v>#VALUE!</v>
      </c>
      <c r="E20" s="197">
        <v>3.3</v>
      </c>
      <c r="F20" s="24" t="s">
        <v>125</v>
      </c>
      <c r="G20" s="24" t="s">
        <v>125</v>
      </c>
      <c r="H20" s="24" t="s">
        <v>125</v>
      </c>
      <c r="I20" s="24" t="s">
        <v>125</v>
      </c>
      <c r="J20" s="24" t="s">
        <v>125</v>
      </c>
      <c r="K20" s="24"/>
    </row>
    <row r="21" spans="1:11" s="2" customFormat="1" ht="15" customHeight="1">
      <c r="A21" s="12">
        <v>2</v>
      </c>
      <c r="B21" s="28" t="str">
        <f>LIDER!G44</f>
        <v>JULIO ALBERTO LANCHEROS PACHECO</v>
      </c>
      <c r="C21" s="33" t="str">
        <f>IF('S-ASIG-02'!D21="","",'S-ASIG-02'!D21)</f>
        <v/>
      </c>
      <c r="D21" s="30" t="e">
        <f>IF(B21=0,"",IF(C21="",$E$20*LIDER!$H$19+F21*LIDER!$H$20+G21*LIDER!$H$21+H21*LIDER!$H$22+I21*LIDER!$H$23+J21*LIDER!$H$24+K21*LIDER!$H$25,"N"))</f>
        <v>#VALUE!</v>
      </c>
      <c r="E21" s="197"/>
      <c r="F21" s="18" t="s">
        <v>125</v>
      </c>
      <c r="G21" s="18" t="s">
        <v>125</v>
      </c>
      <c r="H21" s="18" t="s">
        <v>125</v>
      </c>
      <c r="I21" s="18" t="s">
        <v>125</v>
      </c>
      <c r="J21" s="18" t="s">
        <v>125</v>
      </c>
      <c r="K21" s="18"/>
    </row>
    <row r="22" spans="1:11" s="2" customFormat="1" ht="15" customHeight="1">
      <c r="A22" s="12">
        <v>3</v>
      </c>
      <c r="B22" s="28" t="str">
        <f>LIDER!G45</f>
        <v>NELCY CAROLINA MEZA PÉREZ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3.3499999999999996</v>
      </c>
      <c r="E22" s="197"/>
      <c r="F22" s="18">
        <v>3.4</v>
      </c>
      <c r="G22" s="18">
        <v>3.4</v>
      </c>
      <c r="H22" s="18">
        <v>3.4</v>
      </c>
      <c r="I22" s="18">
        <v>3.4</v>
      </c>
      <c r="J22" s="18">
        <v>3.4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109</v>
      </c>
      <c r="C26" s="32" t="str">
        <f>IF('S-ASIG-02'!D26="","",'S-ASIG-02'!D26)</f>
        <v>LIST</v>
      </c>
      <c r="D26" s="35" t="s">
        <v>104</v>
      </c>
      <c r="E26" s="199" t="str">
        <f>LIDER!$E$32</f>
        <v xml:space="preserve">GRUPO#4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HELENA ISABEL ALVAREZ CORTINA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3.75</v>
      </c>
      <c r="E27" s="197">
        <v>3.5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ANDREA KAROLAY CARRILLO GOMEZ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3.75</v>
      </c>
      <c r="E28" s="197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MELANY ANDREA FLÓREZ ALMANZA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3.75</v>
      </c>
      <c r="E29" s="197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JUAN SEBASTIAN PRENS BOSSIO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3.75</v>
      </c>
      <c r="E30" s="197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ALEXANDER DUBAN PROTZKAR DE LA HOZ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3.75</v>
      </c>
      <c r="E31" s="197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111</v>
      </c>
      <c r="C33" s="32" t="str">
        <f>IF('S-ASIG-02'!D33="","",'S-ASIG-02'!D33)</f>
        <v>LIST</v>
      </c>
      <c r="D33" s="35" t="s">
        <v>104</v>
      </c>
      <c r="E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SIARA LUCIA CHAMS CARBALLO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4.5</v>
      </c>
      <c r="E34" s="197">
        <v>4.4000000000000004</v>
      </c>
      <c r="F34" s="24">
        <v>4.5999999999999996</v>
      </c>
      <c r="G34" s="24">
        <v>4.5999999999999996</v>
      </c>
      <c r="H34" s="24">
        <v>4.5999999999999996</v>
      </c>
      <c r="I34" s="24">
        <v>4.5999999999999996</v>
      </c>
      <c r="J34" s="24">
        <v>4.5999999999999996</v>
      </c>
      <c r="K34" s="24"/>
    </row>
    <row r="35" spans="1:11" s="2" customFormat="1" ht="15" customHeight="1">
      <c r="A35" s="12">
        <v>2</v>
      </c>
      <c r="B35" s="28" t="str">
        <f>LIDER!E52</f>
        <v>LUCINDA GARCIA CASTRO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4.5</v>
      </c>
      <c r="E35" s="197"/>
      <c r="F35" s="18">
        <v>4.5999999999999996</v>
      </c>
      <c r="G35" s="18">
        <v>4.5999999999999996</v>
      </c>
      <c r="H35" s="18">
        <v>4.5999999999999996</v>
      </c>
      <c r="I35" s="18">
        <v>4.5999999999999996</v>
      </c>
      <c r="J35" s="18">
        <v>4.5999999999999996</v>
      </c>
      <c r="K35" s="18"/>
    </row>
    <row r="36" spans="1:11" s="2" customFormat="1" ht="15" customHeight="1">
      <c r="A36" s="12">
        <v>3</v>
      </c>
      <c r="B36" s="28" t="str">
        <f>LIDER!E53</f>
        <v>SAMUEL DVID JULIO BARRIOS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4.5</v>
      </c>
      <c r="E36" s="197"/>
      <c r="F36" s="18">
        <v>4.5999999999999996</v>
      </c>
      <c r="G36" s="18">
        <v>4.5999999999999996</v>
      </c>
      <c r="H36" s="18">
        <v>4.5999999999999996</v>
      </c>
      <c r="I36" s="18">
        <v>4.5999999999999996</v>
      </c>
      <c r="J36" s="18">
        <v>4.5999999999999996</v>
      </c>
      <c r="K36" s="18"/>
    </row>
    <row r="37" spans="1:11" s="2" customFormat="1" ht="15" customHeight="1">
      <c r="A37" s="12">
        <v>4</v>
      </c>
      <c r="B37" s="28" t="str">
        <f>LIDER!E54</f>
        <v>LAUREN CAROLINA MARTINEZ LICONA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4.5</v>
      </c>
      <c r="E37" s="197"/>
      <c r="F37" s="18">
        <v>4.5999999999999996</v>
      </c>
      <c r="G37" s="18">
        <v>4.5999999999999996</v>
      </c>
      <c r="H37" s="18">
        <v>4.5999999999999996</v>
      </c>
      <c r="I37" s="18">
        <v>4.5999999999999996</v>
      </c>
      <c r="J37" s="18">
        <v>4.5999999999999996</v>
      </c>
      <c r="K37" s="18"/>
    </row>
    <row r="38" spans="1:11" s="2" customFormat="1" ht="15" customHeight="1">
      <c r="A38" s="12">
        <v>5</v>
      </c>
      <c r="B38" s="28" t="str">
        <f>LIDER!E55</f>
        <v>ASLLY MARGARITA RINCON MATTOS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4.5</v>
      </c>
      <c r="E38" s="197"/>
      <c r="F38" s="18">
        <v>4.5999999999999996</v>
      </c>
      <c r="G38" s="18">
        <v>4.5999999999999996</v>
      </c>
      <c r="H38" s="18">
        <v>4.5999999999999996</v>
      </c>
      <c r="I38" s="18">
        <v>4.5999999999999996</v>
      </c>
      <c r="J38" s="18">
        <v>4.5999999999999996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113</v>
      </c>
      <c r="C40" s="32" t="str">
        <f>IF('S-ASIG-02'!D40="","",'S-ASIG-02'!D40)</f>
        <v>LIST</v>
      </c>
      <c r="D40" s="35" t="s">
        <v>104</v>
      </c>
      <c r="E40" s="199" t="str">
        <f>LIDER!$E$34</f>
        <v xml:space="preserve">GRUPO#6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YEIDER SANTIAGO BOHORQUEZ GONZALEZ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3.5500000000000003</v>
      </c>
      <c r="E41" s="197">
        <v>3.5</v>
      </c>
      <c r="F41" s="24">
        <v>3.6</v>
      </c>
      <c r="G41" s="24">
        <v>3.6</v>
      </c>
      <c r="H41" s="24">
        <v>3.6</v>
      </c>
      <c r="I41" s="24">
        <v>3.6</v>
      </c>
      <c r="J41" s="24">
        <v>3.6</v>
      </c>
      <c r="K41" s="24"/>
    </row>
    <row r="42" spans="1:11" s="2" customFormat="1" ht="15" customHeight="1">
      <c r="A42" s="12">
        <v>2</v>
      </c>
      <c r="B42" s="28" t="str">
        <f>LIDER!F52</f>
        <v>ELIAN MANUEL PACHECO BELTRAN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3.5500000000000003</v>
      </c>
      <c r="E42" s="197"/>
      <c r="F42" s="18">
        <v>3.6</v>
      </c>
      <c r="G42" s="18">
        <v>3.6</v>
      </c>
      <c r="H42" s="18">
        <v>3.6</v>
      </c>
      <c r="I42" s="18">
        <v>3.6</v>
      </c>
      <c r="J42" s="18">
        <v>3.6</v>
      </c>
      <c r="K42" s="18"/>
    </row>
    <row r="43" spans="1:11" s="2" customFormat="1" ht="15" customHeight="1">
      <c r="A43" s="12">
        <v>3</v>
      </c>
      <c r="B43" s="28" t="str">
        <f>LIDER!F53</f>
        <v>VALERIA PASTRANA ARRIETA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3.5500000000000003</v>
      </c>
      <c r="E43" s="197"/>
      <c r="F43" s="18">
        <v>3.6</v>
      </c>
      <c r="G43" s="18">
        <v>3.6</v>
      </c>
      <c r="H43" s="18">
        <v>3.6</v>
      </c>
      <c r="I43" s="18">
        <v>3.6</v>
      </c>
      <c r="J43" s="18">
        <v>3.6</v>
      </c>
      <c r="K43" s="18"/>
    </row>
    <row r="44" spans="1:11" s="2" customFormat="1" ht="15" customHeight="1">
      <c r="A44" s="12">
        <v>4</v>
      </c>
      <c r="B44" s="28" t="str">
        <f>LIDER!F54</f>
        <v>JUAN PABLO QUIJANO GUEVARA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3.5500000000000003</v>
      </c>
      <c r="E44" s="197"/>
      <c r="F44" s="18">
        <v>3.6</v>
      </c>
      <c r="G44" s="18">
        <v>3.6</v>
      </c>
      <c r="H44" s="18">
        <v>3.6</v>
      </c>
      <c r="I44" s="18">
        <v>3.6</v>
      </c>
      <c r="J44" s="18">
        <v>3.6</v>
      </c>
      <c r="K44" s="18"/>
    </row>
    <row r="45" spans="1:11" s="2" customFormat="1" ht="15" customHeight="1">
      <c r="A45" s="12">
        <v>5</v>
      </c>
      <c r="B45" s="28" t="str">
        <f>LIDER!F55</f>
        <v>JOSE ANGEL VALLEJO REALES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3.5500000000000003</v>
      </c>
      <c r="E45" s="197"/>
      <c r="F45" s="18">
        <v>3.6</v>
      </c>
      <c r="G45" s="18">
        <v>3.6</v>
      </c>
      <c r="H45" s="18">
        <v>3.6</v>
      </c>
      <c r="I45" s="18">
        <v>3.6</v>
      </c>
      <c r="J45" s="18">
        <v>3.6</v>
      </c>
      <c r="K45" s="18"/>
    </row>
    <row r="46" spans="1:11" s="2" customFormat="1" ht="15.75" customHeight="1" thickBot="1">
      <c r="A46" s="13">
        <v>6</v>
      </c>
      <c r="B46" s="28" t="str">
        <f>LIDER!F56</f>
        <v>HENRY WILCHES DE LA ROSA</v>
      </c>
      <c r="C46" s="33" t="str">
        <f>IF('S-ASIG-02'!D46="","",'S-ASIG-02'!D46)</f>
        <v/>
      </c>
      <c r="D46" s="30">
        <f>IF(B46=0,"",IF(C46="",$E$41*LIDER!$H$19+F46*LIDER!$H$20+G46*LIDER!$H$21+H46*LIDER!$H$22+I46*LIDER!$H$23+J46*LIDER!$H$24+K46*LIDER!$H$25,"N"))</f>
        <v>3.5500000000000003</v>
      </c>
      <c r="E46" s="197"/>
      <c r="F46" s="26">
        <v>3.6</v>
      </c>
      <c r="G46" s="26">
        <v>3.6</v>
      </c>
      <c r="H46" s="26">
        <v>3.6</v>
      </c>
      <c r="I46" s="26">
        <v>3.6</v>
      </c>
      <c r="J46" s="26">
        <v>3.6</v>
      </c>
      <c r="K46" s="26"/>
    </row>
    <row r="47" spans="1:11" s="2" customFormat="1" ht="15.75" customHeight="1" thickBot="1">
      <c r="A47" s="14"/>
      <c r="B47" s="27" t="s">
        <v>115</v>
      </c>
      <c r="C47" s="32" t="str">
        <f>IF('S-ASIG-02'!D47="","",'S-ASIG-02'!D47)</f>
        <v>LIST</v>
      </c>
      <c r="D47" s="35" t="s">
        <v>104</v>
      </c>
      <c r="E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CARLOS JULIO LOPEZ ALEMAN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4.3500000000000005</v>
      </c>
      <c r="E48" s="197">
        <v>4.3</v>
      </c>
      <c r="F48" s="24">
        <v>4.4000000000000004</v>
      </c>
      <c r="G48" s="24">
        <v>4.4000000000000004</v>
      </c>
      <c r="H48" s="24">
        <v>4.4000000000000004</v>
      </c>
      <c r="I48" s="24">
        <v>4.4000000000000004</v>
      </c>
      <c r="J48" s="24">
        <v>4.4000000000000004</v>
      </c>
      <c r="K48" s="24"/>
    </row>
    <row r="49" spans="1:11" s="2" customFormat="1" ht="15" customHeight="1">
      <c r="A49" s="12">
        <v>2</v>
      </c>
      <c r="B49" s="28" t="str">
        <f>LIDER!G52</f>
        <v>DYLAN ANDRES RANGEL LOPEZ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4.3500000000000005</v>
      </c>
      <c r="E49" s="197"/>
      <c r="F49" s="18">
        <v>4.4000000000000004</v>
      </c>
      <c r="G49" s="18">
        <v>4.4000000000000004</v>
      </c>
      <c r="H49" s="18">
        <v>4.4000000000000004</v>
      </c>
      <c r="I49" s="18">
        <v>4.4000000000000004</v>
      </c>
      <c r="J49" s="18">
        <v>4.4000000000000004</v>
      </c>
      <c r="K49" s="18"/>
    </row>
    <row r="50" spans="1:11" s="2" customFormat="1" ht="15" customHeight="1">
      <c r="A50" s="12">
        <v>3</v>
      </c>
      <c r="B50" s="28" t="str">
        <f>LIDER!G53</f>
        <v>SANTIAGO TANGARIFE PONCE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4.3500000000000005</v>
      </c>
      <c r="E50" s="197"/>
      <c r="F50" s="18">
        <v>4.4000000000000004</v>
      </c>
      <c r="G50" s="18">
        <v>4.4000000000000004</v>
      </c>
      <c r="H50" s="18">
        <v>4.4000000000000004</v>
      </c>
      <c r="I50" s="18">
        <v>4.4000000000000004</v>
      </c>
      <c r="J50" s="18">
        <v>4.4000000000000004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117</v>
      </c>
      <c r="C54" s="32" t="str">
        <f>IF('S-ASIG-02'!D54="","",'S-ASIG-02'!D54)</f>
        <v>LIST</v>
      </c>
      <c r="D54" s="35" t="s">
        <v>104</v>
      </c>
      <c r="E54" s="199" t="str">
        <f>LIDER!$E$36</f>
        <v>GRUPO#8 Análisis de los aspectos legales, tributarios, administrativos, macroeconómicos, aduaneros, tecnológicos e internacionales que definen el perfil de The Coca-Cola Company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YURI MAR FUENMAYOR OSORIO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4.55</v>
      </c>
      <c r="E55" s="197">
        <v>4.5999999999999996</v>
      </c>
      <c r="F55" s="24">
        <v>4.5</v>
      </c>
      <c r="G55" s="24">
        <v>4.5</v>
      </c>
      <c r="H55" s="24">
        <v>4.5</v>
      </c>
      <c r="I55" s="24">
        <v>4.5</v>
      </c>
      <c r="J55" s="24">
        <v>4.5</v>
      </c>
      <c r="K55" s="24"/>
    </row>
    <row r="56" spans="1:11" s="2" customFormat="1" ht="15" customHeight="1">
      <c r="A56" s="12">
        <v>2</v>
      </c>
      <c r="B56" s="28" t="str">
        <f>LIDER!H52</f>
        <v>YULEIDIS PAOLA MORENO DIAZ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4.55</v>
      </c>
      <c r="E56" s="197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SHARONE JANNINE ORDOÑEZ ESCUDERO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4.55</v>
      </c>
      <c r="E57" s="197"/>
      <c r="F57" s="18">
        <v>4.5</v>
      </c>
      <c r="G57" s="18">
        <v>4.5</v>
      </c>
      <c r="H57" s="18">
        <v>4.5</v>
      </c>
      <c r="I57" s="18">
        <v>4.5</v>
      </c>
      <c r="J57" s="18">
        <v>4.5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119</v>
      </c>
      <c r="C61" s="32" t="str">
        <f>IF('S-ASIG-02'!D61="","",'S-ASIG-02'!D61)</f>
        <v>LIST</v>
      </c>
      <c r="D61" s="35" t="s">
        <v>104</v>
      </c>
      <c r="E61" s="199" t="str">
        <f>LIDER!$E$37</f>
        <v xml:space="preserve">GRUPO#9 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ISSAC DAVID ANGULO ZABALETA</v>
      </c>
      <c r="C62" s="33" t="str">
        <f>IF('S-ASIG-02'!D62="","",'S-ASIG-02'!D62)</f>
        <v/>
      </c>
      <c r="D62" s="30">
        <f>IF(B62=0,"",IF(C62="",$E$62*LIDER!$H$19+F62*LIDER!$H$20+G62*LIDER!$H$21+H62*LIDER!$H$22+I62*LIDER!$H$23+J62*LIDER!$H$24+K62*LIDER!$H$25,"N"))</f>
        <v>4.1000000000000005</v>
      </c>
      <c r="E62" s="197">
        <v>4.2</v>
      </c>
      <c r="F62" s="24">
        <v>4</v>
      </c>
      <c r="G62" s="24">
        <v>4</v>
      </c>
      <c r="H62" s="24">
        <v>4</v>
      </c>
      <c r="I62" s="24">
        <v>4</v>
      </c>
      <c r="J62" s="24">
        <v>4</v>
      </c>
      <c r="K62" s="24"/>
    </row>
    <row r="63" spans="1:11" s="2" customFormat="1" ht="15" customHeight="1">
      <c r="A63" s="12">
        <v>2</v>
      </c>
      <c r="B63" s="28" t="str">
        <f>LIDER!E60</f>
        <v>ANDRES FELIPE ARROYO PARRA</v>
      </c>
      <c r="C63" s="33" t="str">
        <f>IF('S-ASIG-02'!D63="","",'S-ASIG-02'!D63)</f>
        <v/>
      </c>
      <c r="D63" s="30">
        <f>IF(B63=0,"",IF(C63="",$E$62*LIDER!$H$19+F63*LIDER!$H$20+G63*LIDER!$H$21+H63*LIDER!$H$22+I63*LIDER!$H$23+J63*LIDER!$H$24+K63*LIDER!$H$25,"N"))</f>
        <v>4.1000000000000005</v>
      </c>
      <c r="E63" s="197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DANNA ALEJANDRA CASTRO ESPINOSA</v>
      </c>
      <c r="C64" s="33" t="str">
        <f>IF('S-ASIG-02'!D64="","",'S-ASIG-02'!D64)</f>
        <v/>
      </c>
      <c r="D64" s="30">
        <f>IF(B64=0,"",IF(C64="",$E$62*LIDER!$H$19+F64*LIDER!$H$20+G64*LIDER!$H$21+H64*LIDER!$H$22+I64*LIDER!$H$23+J64*LIDER!$H$24+K64*LIDER!$H$25,"N"))</f>
        <v>4.1000000000000005</v>
      </c>
      <c r="E64" s="197"/>
      <c r="F64" s="18">
        <v>4</v>
      </c>
      <c r="G64" s="18">
        <v>4</v>
      </c>
      <c r="H64" s="18">
        <v>4</v>
      </c>
      <c r="I64" s="18">
        <v>4</v>
      </c>
      <c r="J64" s="18">
        <v>4</v>
      </c>
      <c r="K64" s="18"/>
    </row>
    <row r="65" spans="1:11" s="2" customFormat="1" ht="15" customHeight="1">
      <c r="A65" s="12">
        <v>4</v>
      </c>
      <c r="B65" s="28" t="str">
        <f>LIDER!E62</f>
        <v>JUAN DAVID LOPEZ VIDES</v>
      </c>
      <c r="C65" s="33" t="str">
        <f>IF('S-ASIG-02'!D65="","",'S-ASIG-02'!D65)</f>
        <v/>
      </c>
      <c r="D65" s="30">
        <f>IF(B65=0,"",IF(C65="",$E$62*LIDER!$H$19+F65*LIDER!$H$20+G65*LIDER!$H$21+H65*LIDER!$H$22+I65*LIDER!$H$23+J65*LIDER!$H$24+K65*LIDER!$H$25,"N"))</f>
        <v>4.1000000000000005</v>
      </c>
      <c r="E65" s="197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ALEJANDRA MORENO VILLALOBO</v>
      </c>
      <c r="C66" s="33" t="str">
        <f>IF('S-ASIG-02'!D66="","",'S-ASIG-02'!D66)</f>
        <v/>
      </c>
      <c r="D66" s="30">
        <f>IF(B66=0,"",IF(C66="",$E$62*LIDER!$H$19+F66*LIDER!$H$20+G66*LIDER!$H$21+H66*LIDER!$H$22+I66*LIDER!$H$23+J66*LIDER!$H$24+K66*LIDER!$H$25,"N"))</f>
        <v>4.1000000000000005</v>
      </c>
      <c r="E66" s="197"/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IF('S-ASIG-02'!D68="","",'S-ASIG-02'!D68)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>N</v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>N</v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>N</v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IF('S-ASIG-02'!D75="","",'S-ASIG-02'!D75)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IF('S-ASIG-02'!D82="","",'S-ASIG-02'!D82)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38" activePane="bottomRight" state="frozen"/>
      <selection pane="bottomRight" activeCell="E41" sqref="E41:E46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INTERNACIONALIZACION</v>
      </c>
      <c r="C2" s="3"/>
      <c r="E2" s="217" t="s">
        <v>99</v>
      </c>
      <c r="F2" s="218"/>
      <c r="G2" s="218"/>
      <c r="H2" s="218"/>
      <c r="I2" s="218"/>
      <c r="J2" s="218"/>
      <c r="K2" s="219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3" t="str">
        <f>CONCATENATE(LIDER!E4," - ",LIDER!E6," - ",LIDER!E5)</f>
        <v>INTERNACIONALIZACION - 2481 - TATIANA MILENA ROJAS AROCA</v>
      </c>
      <c r="F4" s="214"/>
      <c r="G4" s="214"/>
      <c r="H4" s="214"/>
      <c r="I4" s="214"/>
      <c r="J4" s="214"/>
      <c r="K4" s="215"/>
    </row>
    <row r="5" spans="1:11" s="2" customFormat="1" ht="15.75" customHeight="1" thickBot="1">
      <c r="A5" s="8"/>
      <c r="B5" s="27" t="s">
        <v>101</v>
      </c>
      <c r="C5" s="34" t="str">
        <f>IF('S-ASIG-03'!D5="","",'S-ASIG-03'!D5)</f>
        <v>LIST</v>
      </c>
      <c r="D5" s="35" t="s">
        <v>104</v>
      </c>
      <c r="E5" s="199" t="str">
        <f>LIDER!$E$29</f>
        <v>GRUPO#1 Descripción de los Aspectos Internacionales, Macroeconómicos, Legales, administrativos, aduaneros y tecnológicos de Progan del Caribe S.A.S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EDINSON ANDRES CASTRO PADILLA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4.3500000000000005</v>
      </c>
      <c r="E6" s="197">
        <v>4.2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MATEO ANDRÉS CUESTA DÍAZ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4.3500000000000005</v>
      </c>
      <c r="E7" s="197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LUKASS GIRALDO RAMIREZ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4.3500000000000005</v>
      </c>
      <c r="E8" s="197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LOREINES OSPINO HERNÁNDEZ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4.3500000000000005</v>
      </c>
      <c r="E9" s="197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LAURA SOFÍA PÉREZ ARÉVALO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4.3500000000000005</v>
      </c>
      <c r="E10" s="197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VALERY DANIELA SAENZ WATTS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4.3500000000000005</v>
      </c>
      <c r="E11" s="197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105</v>
      </c>
      <c r="C12" s="32" t="str">
        <f>IF('S-ASIG-03'!D12="","",'S-ASIG-03'!D12)</f>
        <v>LIST</v>
      </c>
      <c r="D12" s="35" t="s">
        <v>104</v>
      </c>
      <c r="E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CRISTINA CAÑATE MERCADO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4.2</v>
      </c>
      <c r="E13" s="197">
        <v>4.2</v>
      </c>
      <c r="F13" s="24">
        <v>4.2</v>
      </c>
      <c r="G13" s="24">
        <v>4.2</v>
      </c>
      <c r="H13" s="24">
        <v>4.2</v>
      </c>
      <c r="I13" s="24">
        <v>4.2</v>
      </c>
      <c r="J13" s="24">
        <v>4.2</v>
      </c>
      <c r="K13" s="24"/>
    </row>
    <row r="14" spans="1:11" s="2" customFormat="1" ht="15" customHeight="1">
      <c r="A14" s="12">
        <v>2</v>
      </c>
      <c r="B14" s="28" t="str">
        <f>LIDER!F44</f>
        <v>KARINA MARRUGO MEZA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4.2</v>
      </c>
      <c r="E14" s="197"/>
      <c r="F14" s="18">
        <v>4.2</v>
      </c>
      <c r="G14" s="18">
        <v>4.2</v>
      </c>
      <c r="H14" s="18">
        <v>4.2</v>
      </c>
      <c r="I14" s="18">
        <v>4.2</v>
      </c>
      <c r="J14" s="18">
        <v>4.2</v>
      </c>
      <c r="K14" s="18"/>
    </row>
    <row r="15" spans="1:11" s="2" customFormat="1" ht="15" customHeight="1">
      <c r="A15" s="12">
        <v>3</v>
      </c>
      <c r="B15" s="28" t="str">
        <f>LIDER!F45</f>
        <v>HILARYS CAROLINA PATERNINA DONADO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4.2</v>
      </c>
      <c r="E15" s="197"/>
      <c r="F15" s="18">
        <v>4.2</v>
      </c>
      <c r="G15" s="18">
        <v>4.2</v>
      </c>
      <c r="H15" s="18">
        <v>4.2</v>
      </c>
      <c r="I15" s="18">
        <v>4.2</v>
      </c>
      <c r="J15" s="18">
        <v>4.2</v>
      </c>
      <c r="K15" s="18"/>
    </row>
    <row r="16" spans="1:11" s="2" customFormat="1" ht="15" customHeight="1">
      <c r="A16" s="12">
        <v>4</v>
      </c>
      <c r="B16" s="28" t="str">
        <f>LIDER!F46</f>
        <v>MATEO QUINTANA SERNA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4.2</v>
      </c>
      <c r="E16" s="197"/>
      <c r="F16" s="18">
        <v>4.2</v>
      </c>
      <c r="G16" s="18">
        <v>4.2</v>
      </c>
      <c r="H16" s="18">
        <v>4.2</v>
      </c>
      <c r="I16" s="18">
        <v>4.2</v>
      </c>
      <c r="J16" s="18">
        <v>4.2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107</v>
      </c>
      <c r="C19" s="32" t="str">
        <f>IF('S-ASIG-03'!D19="","",'S-ASIG-03'!D19)</f>
        <v>LIST</v>
      </c>
      <c r="D19" s="35" t="s">
        <v>104</v>
      </c>
      <c r="E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YULEDIS BECERRA GOMEZ</v>
      </c>
      <c r="C20" s="33" t="str">
        <f>IF('S-ASIG-03'!D20="","",'S-ASIG-03'!D20)</f>
        <v/>
      </c>
      <c r="D20" s="30" t="e">
        <f>IF(B20=0,"",IF(C20="",$E$20*LIDER!$H$19+F20*LIDER!$H$20+G20*LIDER!$H$21+H20*LIDER!$H$22+I20*LIDER!$H$23+J20*LIDER!$H$24+K20*LIDER!$H$25,"N"))</f>
        <v>#VALUE!</v>
      </c>
      <c r="E20" s="197">
        <v>3.8</v>
      </c>
      <c r="F20" s="24" t="s">
        <v>125</v>
      </c>
      <c r="G20" s="24" t="s">
        <v>125</v>
      </c>
      <c r="H20" s="24" t="s">
        <v>125</v>
      </c>
      <c r="I20" s="24" t="s">
        <v>125</v>
      </c>
      <c r="J20" s="24" t="s">
        <v>125</v>
      </c>
      <c r="K20" s="24"/>
    </row>
    <row r="21" spans="1:11" s="2" customFormat="1" ht="15" customHeight="1">
      <c r="A21" s="12">
        <v>2</v>
      </c>
      <c r="B21" s="28" t="str">
        <f>LIDER!G44</f>
        <v>JULIO ALBERTO LANCHEROS PACHECO</v>
      </c>
      <c r="C21" s="33" t="str">
        <f>IF('S-ASIG-03'!D21="","",'S-ASIG-03'!D21)</f>
        <v/>
      </c>
      <c r="D21" s="30" t="e">
        <f>IF(B21=0,"",IF(C21="",$E$20*LIDER!$H$19+F21*LIDER!$H$20+G21*LIDER!$H$21+H21*LIDER!$H$22+I21*LIDER!$H$23+J21*LIDER!$H$24+K21*LIDER!$H$25,"N"))</f>
        <v>#VALUE!</v>
      </c>
      <c r="E21" s="197"/>
      <c r="F21" s="18" t="s">
        <v>125</v>
      </c>
      <c r="G21" s="18" t="s">
        <v>125</v>
      </c>
      <c r="H21" s="18" t="s">
        <v>125</v>
      </c>
      <c r="I21" s="18" t="s">
        <v>125</v>
      </c>
      <c r="J21" s="18" t="s">
        <v>125</v>
      </c>
      <c r="K21" s="18"/>
    </row>
    <row r="22" spans="1:11" s="2" customFormat="1" ht="15" customHeight="1">
      <c r="A22" s="12">
        <v>3</v>
      </c>
      <c r="B22" s="28" t="str">
        <f>LIDER!G45</f>
        <v>NELCY CAROLINA MEZA PÉREZ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3.9000000000000004</v>
      </c>
      <c r="E22" s="197"/>
      <c r="F22" s="18">
        <v>4</v>
      </c>
      <c r="G22" s="18">
        <v>4</v>
      </c>
      <c r="H22" s="18">
        <v>4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109</v>
      </c>
      <c r="C26" s="32" t="str">
        <f>IF('S-ASIG-03'!D26="","",'S-ASIG-03'!D26)</f>
        <v>LIST</v>
      </c>
      <c r="D26" s="35" t="s">
        <v>104</v>
      </c>
      <c r="E26" s="199" t="str">
        <f>LIDER!$E$32</f>
        <v xml:space="preserve">GRUPO#4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HELENA ISABEL ALVAREZ CORTINA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4.2</v>
      </c>
      <c r="E27" s="197">
        <v>4.2</v>
      </c>
      <c r="F27" s="24">
        <v>4.2</v>
      </c>
      <c r="G27" s="24">
        <v>4.2</v>
      </c>
      <c r="H27" s="24">
        <v>4.2</v>
      </c>
      <c r="I27" s="24">
        <v>4.2</v>
      </c>
      <c r="J27" s="24">
        <v>4.2</v>
      </c>
      <c r="K27" s="24"/>
    </row>
    <row r="28" spans="1:11" s="2" customFormat="1" ht="15" customHeight="1">
      <c r="A28" s="12">
        <v>2</v>
      </c>
      <c r="B28" s="28" t="str">
        <f>LIDER!H44</f>
        <v>ANDREA KAROLAY CARRILLO GOMEZ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4.2</v>
      </c>
      <c r="E28" s="197"/>
      <c r="F28" s="18">
        <v>4.2</v>
      </c>
      <c r="G28" s="18">
        <v>4.2</v>
      </c>
      <c r="H28" s="18">
        <v>4.2</v>
      </c>
      <c r="I28" s="18">
        <v>4.2</v>
      </c>
      <c r="J28" s="18">
        <v>4.2</v>
      </c>
      <c r="K28" s="18"/>
    </row>
    <row r="29" spans="1:11" s="2" customFormat="1" ht="15" customHeight="1">
      <c r="A29" s="12">
        <v>3</v>
      </c>
      <c r="B29" s="28" t="str">
        <f>LIDER!H45</f>
        <v>MELANY ANDREA FLÓREZ ALMANZA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4.2</v>
      </c>
      <c r="E29" s="197"/>
      <c r="F29" s="18">
        <v>4.2</v>
      </c>
      <c r="G29" s="18">
        <v>4.2</v>
      </c>
      <c r="H29" s="18">
        <v>4.2</v>
      </c>
      <c r="I29" s="18">
        <v>4.2</v>
      </c>
      <c r="J29" s="18">
        <v>4.2</v>
      </c>
      <c r="K29" s="18"/>
    </row>
    <row r="30" spans="1:11" s="2" customFormat="1" ht="15" customHeight="1">
      <c r="A30" s="12">
        <v>4</v>
      </c>
      <c r="B30" s="28" t="str">
        <f>LIDER!H46</f>
        <v>JUAN SEBASTIAN PRENS BOSSIO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4.2</v>
      </c>
      <c r="E30" s="197"/>
      <c r="F30" s="18">
        <v>4.2</v>
      </c>
      <c r="G30" s="18">
        <v>4.2</v>
      </c>
      <c r="H30" s="18">
        <v>4.2</v>
      </c>
      <c r="I30" s="18">
        <v>4.2</v>
      </c>
      <c r="J30" s="18">
        <v>4.2</v>
      </c>
      <c r="K30" s="18"/>
    </row>
    <row r="31" spans="1:11" s="2" customFormat="1" ht="15" customHeight="1">
      <c r="A31" s="12">
        <v>5</v>
      </c>
      <c r="B31" s="28" t="str">
        <f>LIDER!H47</f>
        <v>ALEXANDER DUBAN PROTZKAR DE LA HOZ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4.2</v>
      </c>
      <c r="E31" s="197"/>
      <c r="F31" s="18">
        <v>4.2</v>
      </c>
      <c r="G31" s="18">
        <v>4.2</v>
      </c>
      <c r="H31" s="18">
        <v>4.2</v>
      </c>
      <c r="I31" s="18">
        <v>4.2</v>
      </c>
      <c r="J31" s="18">
        <v>4.2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111</v>
      </c>
      <c r="C33" s="32" t="str">
        <f>IF('S-ASIG-03'!D33="","",'S-ASIG-03'!D33)</f>
        <v>LIST</v>
      </c>
      <c r="D33" s="35" t="s">
        <v>104</v>
      </c>
      <c r="E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SIARA LUCIA CHAMS CARBALLO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4.2</v>
      </c>
      <c r="E34" s="197">
        <v>4.2</v>
      </c>
      <c r="F34" s="24">
        <v>4.2</v>
      </c>
      <c r="G34" s="24">
        <v>4.2</v>
      </c>
      <c r="H34" s="24">
        <v>4.2</v>
      </c>
      <c r="I34" s="24">
        <v>4.2</v>
      </c>
      <c r="J34" s="24">
        <v>4.2</v>
      </c>
      <c r="K34" s="24"/>
    </row>
    <row r="35" spans="1:11" s="2" customFormat="1" ht="15" customHeight="1">
      <c r="A35" s="12">
        <v>2</v>
      </c>
      <c r="B35" s="28" t="str">
        <f>LIDER!E52</f>
        <v>LUCINDA GARCIA CASTRO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4.2</v>
      </c>
      <c r="E35" s="197"/>
      <c r="F35" s="18">
        <v>4.2</v>
      </c>
      <c r="G35" s="18">
        <v>4.2</v>
      </c>
      <c r="H35" s="18">
        <v>4.2</v>
      </c>
      <c r="I35" s="18">
        <v>4.2</v>
      </c>
      <c r="J35" s="18">
        <v>4.2</v>
      </c>
      <c r="K35" s="18"/>
    </row>
    <row r="36" spans="1:11" s="2" customFormat="1" ht="15" customHeight="1">
      <c r="A36" s="12">
        <v>3</v>
      </c>
      <c r="B36" s="28" t="str">
        <f>LIDER!E53</f>
        <v>SAMUEL DVID JULIO BARRIOS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4.2</v>
      </c>
      <c r="E36" s="197"/>
      <c r="F36" s="18">
        <v>4.2</v>
      </c>
      <c r="G36" s="18">
        <v>4.2</v>
      </c>
      <c r="H36" s="18">
        <v>4.2</v>
      </c>
      <c r="I36" s="18">
        <v>4.2</v>
      </c>
      <c r="J36" s="18">
        <v>4.2</v>
      </c>
      <c r="K36" s="18"/>
    </row>
    <row r="37" spans="1:11" s="2" customFormat="1" ht="15" customHeight="1">
      <c r="A37" s="12">
        <v>4</v>
      </c>
      <c r="B37" s="28" t="str">
        <f>LIDER!E54</f>
        <v>LAUREN CAROLINA MARTINEZ LICONA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4.2</v>
      </c>
      <c r="E37" s="197"/>
      <c r="F37" s="18">
        <v>4.2</v>
      </c>
      <c r="G37" s="18">
        <v>4.2</v>
      </c>
      <c r="H37" s="18">
        <v>4.2</v>
      </c>
      <c r="I37" s="18">
        <v>4.2</v>
      </c>
      <c r="J37" s="18">
        <v>4.2</v>
      </c>
      <c r="K37" s="18"/>
    </row>
    <row r="38" spans="1:11" s="2" customFormat="1" ht="15" customHeight="1">
      <c r="A38" s="12">
        <v>5</v>
      </c>
      <c r="B38" s="28" t="str">
        <f>LIDER!E55</f>
        <v>ASLLY MARGARITA RINCON MATTOS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4.2</v>
      </c>
      <c r="E38" s="197"/>
      <c r="F38" s="18">
        <v>4.2</v>
      </c>
      <c r="G38" s="18">
        <v>4.2</v>
      </c>
      <c r="H38" s="18">
        <v>4.2</v>
      </c>
      <c r="I38" s="18">
        <v>4.2</v>
      </c>
      <c r="J38" s="18">
        <v>4.2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113</v>
      </c>
      <c r="C40" s="32" t="str">
        <f>IF('S-ASIG-03'!D40="","",'S-ASIG-03'!D40)</f>
        <v>LIST</v>
      </c>
      <c r="D40" s="35" t="s">
        <v>104</v>
      </c>
      <c r="E40" s="199" t="str">
        <f>LIDER!$E$34</f>
        <v xml:space="preserve">GRUPO#6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YEIDER SANTIAGO BOHORQUEZ GONZALEZ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3.9000000000000004</v>
      </c>
      <c r="E41" s="197">
        <v>3.8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ELIAN MANUEL PACHECO BELTRAN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3.9000000000000004</v>
      </c>
      <c r="E42" s="197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VALERIA PASTRANA ARRIETA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3.9000000000000004</v>
      </c>
      <c r="E43" s="197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PABLO QUIJANO GUEVARA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3.9000000000000004</v>
      </c>
      <c r="E44" s="197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JOSE ANGEL VALLEJO REALES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3.9000000000000004</v>
      </c>
      <c r="E45" s="197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 t="str">
        <f>LIDER!F56</f>
        <v>HENRY WILCHES DE LA ROSA</v>
      </c>
      <c r="C46" s="33" t="str">
        <f>IF('S-ASIG-03'!D46="","",'S-ASIG-03'!D46)</f>
        <v/>
      </c>
      <c r="D46" s="30">
        <f>IF(B46=0,"",IF(C46="",$E$41*LIDER!$H$19+F46*LIDER!$H$20+G46*LIDER!$H$21+H46*LIDER!$H$22+I46*LIDER!$H$23+J46*LIDER!$H$24+K46*LIDER!$H$25,"N"))</f>
        <v>3.9000000000000004</v>
      </c>
      <c r="E46" s="197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115</v>
      </c>
      <c r="C47" s="32" t="str">
        <f>IF('S-ASIG-03'!D47="","",'S-ASIG-03'!D47)</f>
        <v>LIST</v>
      </c>
      <c r="D47" s="35" t="s">
        <v>104</v>
      </c>
      <c r="E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CARLOS JULIO LOPEZ ALEMAN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4</v>
      </c>
      <c r="E48" s="197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DYLAN ANDRES RANGEL LOPEZ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4</v>
      </c>
      <c r="E49" s="197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SANTIAGO TANGARIFE PONCE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4</v>
      </c>
      <c r="E50" s="197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117</v>
      </c>
      <c r="C54" s="32" t="str">
        <f>IF('S-ASIG-03'!D54="","",'S-ASIG-03'!D54)</f>
        <v>LIST</v>
      </c>
      <c r="D54" s="35" t="s">
        <v>104</v>
      </c>
      <c r="E54" s="199" t="str">
        <f>LIDER!$E$36</f>
        <v>GRUPO#8 Análisis de los aspectos legales, tributarios, administrativos, macroeconómicos, aduaneros, tecnológicos e internacionales que definen el perfil de The Coca-Cola Company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YURI MAR FUENMAYOR OSORIO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4.5</v>
      </c>
      <c r="E55" s="197">
        <v>4.5</v>
      </c>
      <c r="F55" s="24">
        <v>4.5</v>
      </c>
      <c r="G55" s="24">
        <v>4.5</v>
      </c>
      <c r="H55" s="24">
        <v>4.5</v>
      </c>
      <c r="I55" s="24">
        <v>4.5</v>
      </c>
      <c r="J55" s="24">
        <v>4.5</v>
      </c>
      <c r="K55" s="24"/>
    </row>
    <row r="56" spans="1:11" s="2" customFormat="1" ht="15" customHeight="1">
      <c r="A56" s="12">
        <v>2</v>
      </c>
      <c r="B56" s="28" t="str">
        <f>LIDER!H52</f>
        <v>YULEIDIS PAOLA MORENO DIAZ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4.5</v>
      </c>
      <c r="E56" s="197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SHARONE JANNINE ORDOÑEZ ESCUDERO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4.5</v>
      </c>
      <c r="E57" s="197"/>
      <c r="F57" s="18">
        <v>4.5</v>
      </c>
      <c r="G57" s="18">
        <v>4.5</v>
      </c>
      <c r="H57" s="18">
        <v>4.5</v>
      </c>
      <c r="I57" s="18">
        <v>4.5</v>
      </c>
      <c r="J57" s="18">
        <v>4.5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119</v>
      </c>
      <c r="C61" s="32" t="str">
        <f>IF('S-ASIG-03'!D61="","",'S-ASIG-03'!D61)</f>
        <v>LIST</v>
      </c>
      <c r="D61" s="35" t="s">
        <v>104</v>
      </c>
      <c r="E61" s="199" t="str">
        <f>LIDER!$E$37</f>
        <v xml:space="preserve">GRUPO#9 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ISSAC DAVID ANGULO ZABALETA</v>
      </c>
      <c r="C62" s="33" t="str">
        <f>IF('S-ASIG-03'!D62="","",'S-ASIG-03'!D62)</f>
        <v/>
      </c>
      <c r="D62" s="30">
        <f>IF(B62=0,"",IF(C62="",$E$62*LIDER!$H$19+F62*LIDER!$H$20+G62*LIDER!$H$21+H62*LIDER!$H$22+I62*LIDER!$H$23+J62*LIDER!$H$24+K62*LIDER!$H$25,"N"))</f>
        <v>4.2</v>
      </c>
      <c r="E62" s="197">
        <v>4.2</v>
      </c>
      <c r="F62" s="24">
        <v>4.2</v>
      </c>
      <c r="G62" s="24">
        <v>4.2</v>
      </c>
      <c r="H62" s="24">
        <v>4.2</v>
      </c>
      <c r="I62" s="24">
        <v>4.2</v>
      </c>
      <c r="J62" s="24">
        <v>4.2</v>
      </c>
      <c r="K62" s="24"/>
    </row>
    <row r="63" spans="1:11" s="2" customFormat="1" ht="15" customHeight="1">
      <c r="A63" s="12">
        <v>2</v>
      </c>
      <c r="B63" s="28" t="str">
        <f>LIDER!E60</f>
        <v>ANDRES FELIPE ARROYO PARRA</v>
      </c>
      <c r="C63" s="33" t="str">
        <f>IF('S-ASIG-03'!D63="","",'S-ASIG-03'!D63)</f>
        <v/>
      </c>
      <c r="D63" s="30">
        <f>IF(B63=0,"",IF(C63="",$E$62*LIDER!$H$19+F63*LIDER!$H$20+G63*LIDER!$H$21+H63*LIDER!$H$22+I63*LIDER!$H$23+J63*LIDER!$H$24+K63*LIDER!$H$25,"N"))</f>
        <v>4.2</v>
      </c>
      <c r="E63" s="197"/>
      <c r="F63" s="18">
        <v>4.2</v>
      </c>
      <c r="G63" s="18">
        <v>4.2</v>
      </c>
      <c r="H63" s="18">
        <v>4.2</v>
      </c>
      <c r="I63" s="18">
        <v>4.2</v>
      </c>
      <c r="J63" s="18">
        <v>4.2</v>
      </c>
      <c r="K63" s="18"/>
    </row>
    <row r="64" spans="1:11" s="2" customFormat="1" ht="15" customHeight="1">
      <c r="A64" s="12">
        <v>3</v>
      </c>
      <c r="B64" s="28" t="str">
        <f>LIDER!E61</f>
        <v>DANNA ALEJANDRA CASTRO ESPINOSA</v>
      </c>
      <c r="C64" s="33" t="str">
        <f>IF('S-ASIG-03'!D64="","",'S-ASIG-03'!D64)</f>
        <v/>
      </c>
      <c r="D64" s="30">
        <f>IF(B64=0,"",IF(C64="",$E$62*LIDER!$H$19+F64*LIDER!$H$20+G64*LIDER!$H$21+H64*LIDER!$H$22+I64*LIDER!$H$23+J64*LIDER!$H$24+K64*LIDER!$H$25,"N"))</f>
        <v>4.2</v>
      </c>
      <c r="E64" s="197"/>
      <c r="F64" s="18">
        <v>4.2</v>
      </c>
      <c r="G64" s="18">
        <v>4.2</v>
      </c>
      <c r="H64" s="18">
        <v>4.2</v>
      </c>
      <c r="I64" s="18">
        <v>4.2</v>
      </c>
      <c r="J64" s="18">
        <v>4.2</v>
      </c>
      <c r="K64" s="18"/>
    </row>
    <row r="65" spans="1:11" s="2" customFormat="1" ht="15" customHeight="1">
      <c r="A65" s="12">
        <v>4</v>
      </c>
      <c r="B65" s="28" t="str">
        <f>LIDER!E62</f>
        <v>JUAN DAVID LOPEZ VIDES</v>
      </c>
      <c r="C65" s="33" t="str">
        <f>IF('S-ASIG-03'!D65="","",'S-ASIG-03'!D65)</f>
        <v/>
      </c>
      <c r="D65" s="30">
        <f>IF(B65=0,"",IF(C65="",$E$62*LIDER!$H$19+F65*LIDER!$H$20+G65*LIDER!$H$21+H65*LIDER!$H$22+I65*LIDER!$H$23+J65*LIDER!$H$24+K65*LIDER!$H$25,"N"))</f>
        <v>4.2</v>
      </c>
      <c r="E65" s="197"/>
      <c r="F65" s="18">
        <v>4.2</v>
      </c>
      <c r="G65" s="18">
        <v>4.2</v>
      </c>
      <c r="H65" s="18">
        <v>4.2</v>
      </c>
      <c r="I65" s="18">
        <v>4.2</v>
      </c>
      <c r="J65" s="18">
        <v>4.2</v>
      </c>
      <c r="K65" s="18"/>
    </row>
    <row r="66" spans="1:11" s="2" customFormat="1" ht="15" customHeight="1">
      <c r="A66" s="12">
        <v>5</v>
      </c>
      <c r="B66" s="28" t="str">
        <f>LIDER!E63</f>
        <v>ALEJANDRA MORENO VILLALOBO</v>
      </c>
      <c r="C66" s="33" t="str">
        <f>IF('S-ASIG-03'!D66="","",'S-ASIG-03'!D66)</f>
        <v/>
      </c>
      <c r="D66" s="30">
        <f>IF(B66=0,"",IF(C66="",$E$62*LIDER!$H$19+F66*LIDER!$H$20+G66*LIDER!$H$21+H66*LIDER!$H$22+I66*LIDER!$H$23+J66*LIDER!$H$24+K66*LIDER!$H$25,"N"))</f>
        <v>4.2</v>
      </c>
      <c r="E66" s="197"/>
      <c r="F66" s="18">
        <v>4.2</v>
      </c>
      <c r="G66" s="18">
        <v>4.2</v>
      </c>
      <c r="H66" s="18">
        <v>4.2</v>
      </c>
      <c r="I66" s="18">
        <v>4.2</v>
      </c>
      <c r="J66" s="18">
        <v>4.2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IF('S-ASIG-03'!D68="","",'S-ASIG-03'!D68)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IF('S-ASIG-03'!D75="","",'S-ASIG-03'!D75)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IF('S-ASIG-03'!D82="","",'S-ASIG-03'!D82)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H62" activePane="bottomRight" state="frozen"/>
      <selection pane="bottomRight" activeCell="E62" sqref="E62:J67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MACROECONOMÍA</v>
      </c>
      <c r="C2" s="3"/>
      <c r="E2" s="217" t="s">
        <v>99</v>
      </c>
      <c r="F2" s="218"/>
      <c r="G2" s="218"/>
      <c r="H2" s="218"/>
      <c r="I2" s="218"/>
      <c r="J2" s="218"/>
      <c r="K2" s="219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3" t="str">
        <f>CONCATENATE(LIDER!F4," - ",LIDER!F6," - ",LIDER!F5)</f>
        <v>MACROECONOMÍA - 1531 - ANDRES PAJARO CASTRO</v>
      </c>
      <c r="F4" s="214"/>
      <c r="G4" s="214"/>
      <c r="H4" s="214"/>
      <c r="I4" s="214"/>
      <c r="J4" s="214"/>
      <c r="K4" s="215"/>
    </row>
    <row r="5" spans="1:11" s="2" customFormat="1" ht="15.75" customHeight="1" thickBot="1">
      <c r="A5" s="8"/>
      <c r="B5" s="27" t="s">
        <v>101</v>
      </c>
      <c r="C5" s="34" t="str">
        <f>IF('S-ASIG-04'!D5="","",'S-ASIG-04'!D5)</f>
        <v>LIST</v>
      </c>
      <c r="D5" s="35" t="s">
        <v>104</v>
      </c>
      <c r="E5" s="199" t="str">
        <f>LIDER!$E$29</f>
        <v>GRUPO#1 Descripción de los Aspectos Internacionales, Macroeconómicos, Legales, administrativos, aduaneros y tecnológicos de Progan del Caribe S.A.S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EDINSON ANDRES CASTRO PADILLA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4.5</v>
      </c>
      <c r="E6" s="197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MATEO ANDRÉS CUESTA DÍAZ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4.5</v>
      </c>
      <c r="E7" s="197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LUKASS GIRALDO RAMIREZ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4.5</v>
      </c>
      <c r="E8" s="197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LOREINES OSPINO HERNÁNDEZ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4.5</v>
      </c>
      <c r="E9" s="197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LAURA SOFÍA PÉREZ ARÉVALO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4.5</v>
      </c>
      <c r="E10" s="197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VALERY DANIELA SAENZ WATTS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4.5</v>
      </c>
      <c r="E11" s="197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105</v>
      </c>
      <c r="C12" s="32" t="str">
        <f>IF('S-ASIG-04'!D12="","",'S-ASIG-04'!D12)</f>
        <v>LIST</v>
      </c>
      <c r="D12" s="35" t="s">
        <v>104</v>
      </c>
      <c r="E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CRISTINA CAÑATE MERCADO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4.3</v>
      </c>
      <c r="E13" s="197">
        <v>4.3</v>
      </c>
      <c r="F13" s="24">
        <v>4.3</v>
      </c>
      <c r="G13" s="24">
        <v>4.3</v>
      </c>
      <c r="H13" s="24">
        <v>4.3</v>
      </c>
      <c r="I13" s="24">
        <v>4.3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>KARINA MARRUGO MEZA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4.3</v>
      </c>
      <c r="E14" s="197"/>
      <c r="F14" s="18">
        <v>4.3</v>
      </c>
      <c r="G14" s="18">
        <v>4.3</v>
      </c>
      <c r="H14" s="18">
        <v>4.3</v>
      </c>
      <c r="I14" s="18">
        <v>4.3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>HILARYS CAROLINA PATERNINA DONADO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4.3</v>
      </c>
      <c r="E15" s="197"/>
      <c r="F15" s="18">
        <v>4.3</v>
      </c>
      <c r="G15" s="18">
        <v>4.3</v>
      </c>
      <c r="H15" s="18">
        <v>4.3</v>
      </c>
      <c r="I15" s="18">
        <v>4.3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>MATEO QUINTANA SERNA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4.3</v>
      </c>
      <c r="E16" s="197"/>
      <c r="F16" s="18">
        <v>4.3</v>
      </c>
      <c r="G16" s="18">
        <v>4.3</v>
      </c>
      <c r="H16" s="18">
        <v>4.3</v>
      </c>
      <c r="I16" s="18">
        <v>4.3</v>
      </c>
      <c r="J16" s="18">
        <v>4.3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107</v>
      </c>
      <c r="C19" s="32" t="str">
        <f>IF('S-ASIG-04'!D19="","",'S-ASIG-04'!D19)</f>
        <v>LIST</v>
      </c>
      <c r="D19" s="35" t="s">
        <v>104</v>
      </c>
      <c r="E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YULEDIS BECERRA GOMEZ</v>
      </c>
      <c r="C20" s="33" t="str">
        <f>IF('S-ASIG-04'!D20="","",'S-ASIG-04'!D20)</f>
        <v/>
      </c>
      <c r="D20" s="30" t="e">
        <f>IF(B20=0,"",IF(C20="",$E$20*LIDER!$H$19+F20*LIDER!$H$20+G20*LIDER!$H$21+H20*LIDER!$H$22+I20*LIDER!$H$23+J20*LIDER!$H$24+K20*LIDER!$H$25,"N"))</f>
        <v>#VALUE!</v>
      </c>
      <c r="E20" s="197">
        <v>5</v>
      </c>
      <c r="F20" s="24" t="s">
        <v>122</v>
      </c>
      <c r="G20" s="24" t="s">
        <v>122</v>
      </c>
      <c r="H20" s="24" t="s">
        <v>122</v>
      </c>
      <c r="I20" s="24" t="s">
        <v>122</v>
      </c>
      <c r="J20" s="24" t="s">
        <v>122</v>
      </c>
      <c r="K20" s="24"/>
    </row>
    <row r="21" spans="1:11" s="2" customFormat="1" ht="15" customHeight="1">
      <c r="A21" s="12">
        <v>2</v>
      </c>
      <c r="B21" s="28" t="str">
        <f>LIDER!G44</f>
        <v>JULIO ALBERTO LANCHEROS PACHECO</v>
      </c>
      <c r="C21" s="33" t="str">
        <f>IF('S-ASIG-04'!D21="","",'S-ASIG-04'!D21)</f>
        <v/>
      </c>
      <c r="D21" s="30" t="e">
        <f>IF(B21=0,"",IF(C21="",$E$20*LIDER!$H$19+F21*LIDER!$H$20+G21*LIDER!$H$21+H21*LIDER!$H$22+I21*LIDER!$H$23+J21*LIDER!$H$24+K21*LIDER!$H$25,"N"))</f>
        <v>#VALUE!</v>
      </c>
      <c r="E21" s="197"/>
      <c r="F21" s="18" t="s">
        <v>122</v>
      </c>
      <c r="G21" s="18" t="s">
        <v>122</v>
      </c>
      <c r="H21" s="18" t="s">
        <v>122</v>
      </c>
      <c r="I21" s="18" t="s">
        <v>122</v>
      </c>
      <c r="J21" s="18" t="s">
        <v>122</v>
      </c>
      <c r="K21" s="18"/>
    </row>
    <row r="22" spans="1:11" s="2" customFormat="1" ht="15" customHeight="1">
      <c r="A22" s="12">
        <v>3</v>
      </c>
      <c r="B22" s="28" t="str">
        <f>LIDER!G45</f>
        <v>NELCY CAROLINA MEZA PÉREZ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5</v>
      </c>
      <c r="E22" s="197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109</v>
      </c>
      <c r="C26" s="32" t="str">
        <f>IF('S-ASIG-04'!D26="","",'S-ASIG-04'!D26)</f>
        <v>LIST</v>
      </c>
      <c r="D26" s="35" t="s">
        <v>104</v>
      </c>
      <c r="E26" s="199" t="str">
        <f>LIDER!$E$32</f>
        <v xml:space="preserve">GRUPO#4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HELENA ISABEL ALVAREZ CORTINA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</v>
      </c>
      <c r="E27" s="197">
        <v>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ANDREA KAROLAY CARRILLO GOMEZ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</v>
      </c>
      <c r="E28" s="197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MELANY ANDREA FLÓREZ ALMANZA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</v>
      </c>
      <c r="E29" s="197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JUAN SEBASTIAN PRENS BOSSIO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</v>
      </c>
      <c r="E30" s="197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ALEXANDER DUBAN PROTZKAR DE LA HOZ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</v>
      </c>
      <c r="E31" s="197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111</v>
      </c>
      <c r="C33" s="32" t="str">
        <f>IF('S-ASIG-04'!D33="","",'S-ASIG-04'!D33)</f>
        <v>LIST</v>
      </c>
      <c r="D33" s="35" t="s">
        <v>104</v>
      </c>
      <c r="E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SIARA LUCIA CHAMS CARBALLO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4.4000000000000004</v>
      </c>
      <c r="E34" s="197">
        <v>4.4000000000000004</v>
      </c>
      <c r="F34" s="24">
        <v>4.4000000000000004</v>
      </c>
      <c r="G34" s="24">
        <v>4.4000000000000004</v>
      </c>
      <c r="H34" s="24">
        <v>4.4000000000000004</v>
      </c>
      <c r="I34" s="24">
        <v>4.4000000000000004</v>
      </c>
      <c r="J34" s="24">
        <v>4.4000000000000004</v>
      </c>
      <c r="K34" s="24"/>
    </row>
    <row r="35" spans="1:11" s="2" customFormat="1" ht="15" customHeight="1">
      <c r="A35" s="12">
        <v>2</v>
      </c>
      <c r="B35" s="28" t="str">
        <f>LIDER!E52</f>
        <v>LUCINDA GARCIA CASTRO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4.4000000000000004</v>
      </c>
      <c r="E35" s="197"/>
      <c r="F35" s="18">
        <v>4.4000000000000004</v>
      </c>
      <c r="G35" s="18">
        <v>4.4000000000000004</v>
      </c>
      <c r="H35" s="18">
        <v>4.4000000000000004</v>
      </c>
      <c r="I35" s="18">
        <v>4.4000000000000004</v>
      </c>
      <c r="J35" s="18">
        <v>4.4000000000000004</v>
      </c>
      <c r="K35" s="18"/>
    </row>
    <row r="36" spans="1:11" s="2" customFormat="1" ht="15" customHeight="1">
      <c r="A36" s="12">
        <v>3</v>
      </c>
      <c r="B36" s="28" t="str">
        <f>LIDER!E53</f>
        <v>SAMUEL DVID JULIO BARRIOS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4.4000000000000004</v>
      </c>
      <c r="E36" s="197"/>
      <c r="F36" s="18">
        <v>4.4000000000000004</v>
      </c>
      <c r="G36" s="18">
        <v>4.4000000000000004</v>
      </c>
      <c r="H36" s="18">
        <v>4.4000000000000004</v>
      </c>
      <c r="I36" s="18">
        <v>4.4000000000000004</v>
      </c>
      <c r="J36" s="18">
        <v>4.4000000000000004</v>
      </c>
      <c r="K36" s="18"/>
    </row>
    <row r="37" spans="1:11" s="2" customFormat="1" ht="15" customHeight="1">
      <c r="A37" s="12">
        <v>4</v>
      </c>
      <c r="B37" s="28" t="str">
        <f>LIDER!E54</f>
        <v>LAUREN CAROLINA MARTINEZ LICONA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4.4000000000000004</v>
      </c>
      <c r="E37" s="197"/>
      <c r="F37" s="18">
        <v>4.4000000000000004</v>
      </c>
      <c r="G37" s="18">
        <v>4.4000000000000004</v>
      </c>
      <c r="H37" s="18">
        <v>4.4000000000000004</v>
      </c>
      <c r="I37" s="18">
        <v>4.4000000000000004</v>
      </c>
      <c r="J37" s="18">
        <v>4.4000000000000004</v>
      </c>
      <c r="K37" s="18"/>
    </row>
    <row r="38" spans="1:11" s="2" customFormat="1" ht="15" customHeight="1">
      <c r="A38" s="12">
        <v>5</v>
      </c>
      <c r="B38" s="28" t="str">
        <f>LIDER!E55</f>
        <v>ASLLY MARGARITA RINCON MATTOS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4.4000000000000004</v>
      </c>
      <c r="E38" s="197"/>
      <c r="F38" s="18">
        <v>4.4000000000000004</v>
      </c>
      <c r="G38" s="18">
        <v>4.4000000000000004</v>
      </c>
      <c r="H38" s="18">
        <v>4.4000000000000004</v>
      </c>
      <c r="I38" s="18">
        <v>4.4000000000000004</v>
      </c>
      <c r="J38" s="18">
        <v>4.4000000000000004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113</v>
      </c>
      <c r="C40" s="32" t="str">
        <f>IF('S-ASIG-04'!D40="","",'S-ASIG-04'!D40)</f>
        <v>LIST</v>
      </c>
      <c r="D40" s="35" t="s">
        <v>104</v>
      </c>
      <c r="E40" s="199" t="str">
        <f>LIDER!$E$34</f>
        <v xml:space="preserve">GRUPO#6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YEIDER SANTIAGO BOHORQUEZ GONZALEZ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4</v>
      </c>
      <c r="E41" s="197">
        <v>4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ELIAN MANUEL PACHECO BELTRAN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4</v>
      </c>
      <c r="E42" s="197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VALERIA PASTRANA ARRIETA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4</v>
      </c>
      <c r="E43" s="197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PABLO QUIJANO GUEVARA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4</v>
      </c>
      <c r="E44" s="197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JOSE ANGEL VALLEJO REALES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4</v>
      </c>
      <c r="E45" s="197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 t="str">
        <f>LIDER!F56</f>
        <v>HENRY WILCHES DE LA ROSA</v>
      </c>
      <c r="C46" s="33" t="str">
        <f>IF('S-ASIG-04'!D46="","",'S-ASIG-04'!D46)</f>
        <v/>
      </c>
      <c r="D46" s="30">
        <f>IF(B46=0,"",IF(C46="",$E$41*LIDER!$H$19+F46*LIDER!$H$20+G46*LIDER!$H$21+H46*LIDER!$H$22+I46*LIDER!$H$23+J46*LIDER!$H$24+K46*LIDER!$H$25,"N"))</f>
        <v>4</v>
      </c>
      <c r="E46" s="197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115</v>
      </c>
      <c r="C47" s="32" t="str">
        <f>IF('S-ASIG-04'!D47="","",'S-ASIG-04'!D47)</f>
        <v>LIST</v>
      </c>
      <c r="D47" s="35" t="s">
        <v>104</v>
      </c>
      <c r="E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CARLOS JULIO LOPEZ ALEMAN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4.3</v>
      </c>
      <c r="E48" s="197">
        <v>4.3</v>
      </c>
      <c r="F48" s="24">
        <v>4.3</v>
      </c>
      <c r="G48" s="24">
        <v>4.3</v>
      </c>
      <c r="H48" s="24">
        <v>4.3</v>
      </c>
      <c r="I48" s="24">
        <v>4.3</v>
      </c>
      <c r="J48" s="24">
        <v>4.3</v>
      </c>
      <c r="K48" s="24"/>
    </row>
    <row r="49" spans="1:11" s="2" customFormat="1" ht="15" customHeight="1">
      <c r="A49" s="12">
        <v>2</v>
      </c>
      <c r="B49" s="28" t="str">
        <f>LIDER!G52</f>
        <v>DYLAN ANDRES RANGEL LOPEZ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4.3</v>
      </c>
      <c r="E49" s="197"/>
      <c r="F49" s="18">
        <v>4.3</v>
      </c>
      <c r="G49" s="18">
        <v>4.3</v>
      </c>
      <c r="H49" s="18">
        <v>4.3</v>
      </c>
      <c r="I49" s="18">
        <v>4.3</v>
      </c>
      <c r="J49" s="18">
        <v>4.3</v>
      </c>
      <c r="K49" s="18"/>
    </row>
    <row r="50" spans="1:11" s="2" customFormat="1" ht="15" customHeight="1">
      <c r="A50" s="12">
        <v>3</v>
      </c>
      <c r="B50" s="28" t="str">
        <f>LIDER!G53</f>
        <v>SANTIAGO TANGARIFE PONCE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4.3</v>
      </c>
      <c r="E50" s="197"/>
      <c r="F50" s="18">
        <v>4.3</v>
      </c>
      <c r="G50" s="18">
        <v>4.3</v>
      </c>
      <c r="H50" s="18">
        <v>4.3</v>
      </c>
      <c r="I50" s="18">
        <v>4.3</v>
      </c>
      <c r="J50" s="18">
        <v>4.3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117</v>
      </c>
      <c r="C54" s="32" t="str">
        <f>IF('S-ASIG-04'!D54="","",'S-ASIG-04'!D54)</f>
        <v>LIST</v>
      </c>
      <c r="D54" s="35" t="s">
        <v>104</v>
      </c>
      <c r="E54" s="199" t="str">
        <f>LIDER!$E$36</f>
        <v>GRUPO#8 Análisis de los aspectos legales, tributarios, administrativos, macroeconómicos, aduaneros, tecnológicos e internacionales que definen el perfil de The Coca-Cola Company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YURI MAR FUENMAYOR OSORIO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4.5</v>
      </c>
      <c r="E55" s="197">
        <v>4.5</v>
      </c>
      <c r="F55" s="24">
        <v>4.5</v>
      </c>
      <c r="G55" s="24">
        <v>4.5</v>
      </c>
      <c r="H55" s="24">
        <v>4.5</v>
      </c>
      <c r="I55" s="24">
        <v>4.5</v>
      </c>
      <c r="J55" s="24">
        <v>4.5</v>
      </c>
      <c r="K55" s="24"/>
    </row>
    <row r="56" spans="1:11" s="2" customFormat="1" ht="15" customHeight="1">
      <c r="A56" s="12">
        <v>2</v>
      </c>
      <c r="B56" s="28" t="str">
        <f>LIDER!H52</f>
        <v>YULEIDIS PAOLA MORENO DIAZ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4.5</v>
      </c>
      <c r="E56" s="197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SHARONE JANNINE ORDOÑEZ ESCUDERO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4.5</v>
      </c>
      <c r="E57" s="197"/>
      <c r="F57" s="18">
        <v>4.5</v>
      </c>
      <c r="G57" s="18">
        <v>4.5</v>
      </c>
      <c r="H57" s="18">
        <v>4.5</v>
      </c>
      <c r="I57" s="18">
        <v>4.5</v>
      </c>
      <c r="J57" s="18">
        <v>4.5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119</v>
      </c>
      <c r="C61" s="32" t="str">
        <f>IF('S-ASIG-04'!D61="","",'S-ASIG-04'!D61)</f>
        <v>LIST</v>
      </c>
      <c r="D61" s="35" t="s">
        <v>104</v>
      </c>
      <c r="E61" s="199" t="str">
        <f>LIDER!$E$37</f>
        <v xml:space="preserve">GRUPO#9 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ISSAC DAVID ANGULO ZABALETA</v>
      </c>
      <c r="C62" s="33" t="str">
        <f>IF('S-ASIG-04'!D62="","",'S-ASIG-04'!D62)</f>
        <v/>
      </c>
      <c r="D62" s="30">
        <f>IF(B62=0,"",IF(C62="",$E$62*LIDER!$H$19+F62*LIDER!$H$20+G62*LIDER!$H$21+H62*LIDER!$H$22+I62*LIDER!$H$23+J62*LIDER!$H$24+K62*LIDER!$H$25,"N"))</f>
        <v>4</v>
      </c>
      <c r="E62" s="197">
        <v>4</v>
      </c>
      <c r="F62" s="24">
        <v>4</v>
      </c>
      <c r="G62" s="24">
        <v>4</v>
      </c>
      <c r="H62" s="24">
        <v>4</v>
      </c>
      <c r="I62" s="24">
        <v>4</v>
      </c>
      <c r="J62" s="24">
        <v>4</v>
      </c>
      <c r="K62" s="24"/>
    </row>
    <row r="63" spans="1:11" s="2" customFormat="1" ht="15" customHeight="1">
      <c r="A63" s="12">
        <v>2</v>
      </c>
      <c r="B63" s="28" t="str">
        <f>LIDER!E60</f>
        <v>ANDRES FELIPE ARROYO PARRA</v>
      </c>
      <c r="C63" s="33" t="str">
        <f>IF('S-ASIG-04'!D63="","",'S-ASIG-04'!D63)</f>
        <v/>
      </c>
      <c r="D63" s="30">
        <f>IF(B63=0,"",IF(C63="",$E$62*LIDER!$H$19+F63*LIDER!$H$20+G63*LIDER!$H$21+H63*LIDER!$H$22+I63*LIDER!$H$23+J63*LIDER!$H$24+K63*LIDER!$H$25,"N"))</f>
        <v>4</v>
      </c>
      <c r="E63" s="197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DANNA ALEJANDRA CASTRO ESPINOSA</v>
      </c>
      <c r="C64" s="33" t="str">
        <f>IF('S-ASIG-04'!D64="","",'S-ASIG-04'!D64)</f>
        <v/>
      </c>
      <c r="D64" s="30">
        <f>IF(B64=0,"",IF(C64="",$E$62*LIDER!$H$19+F64*LIDER!$H$20+G64*LIDER!$H$21+H64*LIDER!$H$22+I64*LIDER!$H$23+J64*LIDER!$H$24+K64*LIDER!$H$25,"N"))</f>
        <v>4</v>
      </c>
      <c r="E64" s="197"/>
      <c r="F64" s="18">
        <v>4</v>
      </c>
      <c r="G64" s="18">
        <v>4</v>
      </c>
      <c r="H64" s="18">
        <v>4</v>
      </c>
      <c r="I64" s="18">
        <v>4</v>
      </c>
      <c r="J64" s="18">
        <v>4</v>
      </c>
      <c r="K64" s="18"/>
    </row>
    <row r="65" spans="1:11" s="2" customFormat="1" ht="15" customHeight="1">
      <c r="A65" s="12">
        <v>4</v>
      </c>
      <c r="B65" s="28" t="str">
        <f>LIDER!E62</f>
        <v>JUAN DAVID LOPEZ VIDES</v>
      </c>
      <c r="C65" s="33" t="str">
        <f>IF('S-ASIG-04'!D65="","",'S-ASIG-04'!D65)</f>
        <v/>
      </c>
      <c r="D65" s="30">
        <f>IF(B65=0,"",IF(C65="",$E$62*LIDER!$H$19+F65*LIDER!$H$20+G65*LIDER!$H$21+H65*LIDER!$H$22+I65*LIDER!$H$23+J65*LIDER!$H$24+K65*LIDER!$H$25,"N"))</f>
        <v>4</v>
      </c>
      <c r="E65" s="197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ALEJANDRA MORENO VILLALOBO</v>
      </c>
      <c r="C66" s="33" t="str">
        <f>IF('S-ASIG-04'!D66="","",'S-ASIG-04'!D66)</f>
        <v/>
      </c>
      <c r="D66" s="30">
        <f>IF(B66=0,"",IF(C66="",$E$62*LIDER!$H$19+F66*LIDER!$H$20+G66*LIDER!$H$21+H66*LIDER!$H$22+I66*LIDER!$H$23+J66*LIDER!$H$24+K66*LIDER!$H$25,"N"))</f>
        <v>4</v>
      </c>
      <c r="E66" s="197"/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IF('S-ASIG-04'!D68="","",'S-ASIG-04'!D68)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IF('S-ASIG-04'!D75="","",'S-ASIG-04'!D75)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IF('S-ASIG-04'!D82="","",'S-ASIG-04'!D82)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60" activePane="bottomRight" state="frozen"/>
      <selection pane="bottomRight" activeCell="E62" sqref="E62:J67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217" t="s">
        <v>99</v>
      </c>
      <c r="F2" s="218"/>
      <c r="G2" s="218"/>
      <c r="H2" s="218"/>
      <c r="I2" s="218"/>
      <c r="J2" s="218"/>
      <c r="K2" s="219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3" t="str">
        <f>CONCATENATE(LIDER!G4," - ",LIDER!G6," - ",LIDER!G5)</f>
        <v>MATEMÁTICAS FINANCIERAS - 1411 - JORGE LUIS PUERTA SALAS</v>
      </c>
      <c r="F4" s="214"/>
      <c r="G4" s="214"/>
      <c r="H4" s="214"/>
      <c r="I4" s="214"/>
      <c r="J4" s="214"/>
      <c r="K4" s="215"/>
    </row>
    <row r="5" spans="1:11" s="2" customFormat="1" ht="15.75" customHeight="1" thickBot="1">
      <c r="A5" s="8"/>
      <c r="B5" s="27" t="s">
        <v>101</v>
      </c>
      <c r="C5" s="34" t="str">
        <f>IF('S-ASIG-05'!D5="","",'S-ASIG-05'!D5)</f>
        <v>LIST</v>
      </c>
      <c r="D5" s="35" t="s">
        <v>104</v>
      </c>
      <c r="E5" s="199" t="str">
        <f>LIDER!$E$29</f>
        <v>GRUPO#1 Descripción de los Aspectos Internacionales, Macroeconómicos, Legales, administrativos, aduaneros y tecnológicos de Progan del Caribe S.A.S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EDINSON ANDRES CASTRO PADILLA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4.3000000000000007</v>
      </c>
      <c r="E6" s="197">
        <v>4.2</v>
      </c>
      <c r="F6" s="24">
        <v>4.4000000000000004</v>
      </c>
      <c r="G6" s="24">
        <v>4.4000000000000004</v>
      </c>
      <c r="H6" s="24">
        <v>4.4000000000000004</v>
      </c>
      <c r="I6" s="24">
        <v>4.4000000000000004</v>
      </c>
      <c r="J6" s="24">
        <v>4.4000000000000004</v>
      </c>
      <c r="K6" s="24"/>
    </row>
    <row r="7" spans="1:11" s="2" customFormat="1" ht="15" customHeight="1">
      <c r="A7" s="12">
        <v>2</v>
      </c>
      <c r="B7" s="28" t="str">
        <f>LIDER!E44</f>
        <v>MATEO ANDRÉS CUESTA DÍAZ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4.3000000000000007</v>
      </c>
      <c r="E7" s="197"/>
      <c r="F7" s="18">
        <v>4.4000000000000004</v>
      </c>
      <c r="G7" s="18">
        <v>4.4000000000000004</v>
      </c>
      <c r="H7" s="18">
        <v>4.4000000000000004</v>
      </c>
      <c r="I7" s="18">
        <v>4.4000000000000004</v>
      </c>
      <c r="J7" s="18">
        <v>4.4000000000000004</v>
      </c>
      <c r="K7" s="18"/>
    </row>
    <row r="8" spans="1:11" s="2" customFormat="1" ht="15" customHeight="1">
      <c r="A8" s="12">
        <v>3</v>
      </c>
      <c r="B8" s="28" t="str">
        <f>LIDER!E45</f>
        <v>LUKASS GIRALDO RAMIREZ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4.3000000000000007</v>
      </c>
      <c r="E8" s="197"/>
      <c r="F8" s="18">
        <v>4.4000000000000004</v>
      </c>
      <c r="G8" s="18">
        <v>4.4000000000000004</v>
      </c>
      <c r="H8" s="18">
        <v>4.4000000000000004</v>
      </c>
      <c r="I8" s="18">
        <v>4.4000000000000004</v>
      </c>
      <c r="J8" s="18">
        <v>4.4000000000000004</v>
      </c>
      <c r="K8" s="18"/>
    </row>
    <row r="9" spans="1:11" s="2" customFormat="1" ht="15" customHeight="1">
      <c r="A9" s="12">
        <v>4</v>
      </c>
      <c r="B9" s="28" t="str">
        <f>LIDER!E46</f>
        <v>LOREINES OSPINO HERNÁNDEZ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4.3000000000000007</v>
      </c>
      <c r="E9" s="197"/>
      <c r="F9" s="18">
        <v>4.4000000000000004</v>
      </c>
      <c r="G9" s="18">
        <v>4.4000000000000004</v>
      </c>
      <c r="H9" s="18">
        <v>4.4000000000000004</v>
      </c>
      <c r="I9" s="18">
        <v>4.4000000000000004</v>
      </c>
      <c r="J9" s="18">
        <v>4.4000000000000004</v>
      </c>
      <c r="K9" s="18"/>
    </row>
    <row r="10" spans="1:11" s="2" customFormat="1" ht="15" customHeight="1">
      <c r="A10" s="12">
        <v>5</v>
      </c>
      <c r="B10" s="28" t="str">
        <f>LIDER!E47</f>
        <v>LAURA SOFÍA PÉREZ ARÉVALO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4.3000000000000007</v>
      </c>
      <c r="E10" s="197"/>
      <c r="F10" s="18">
        <v>4.4000000000000004</v>
      </c>
      <c r="G10" s="18">
        <v>4.4000000000000004</v>
      </c>
      <c r="H10" s="18">
        <v>4.4000000000000004</v>
      </c>
      <c r="I10" s="18">
        <v>4.4000000000000004</v>
      </c>
      <c r="J10" s="18">
        <v>4.4000000000000004</v>
      </c>
      <c r="K10" s="18"/>
    </row>
    <row r="11" spans="1:11" s="2" customFormat="1" ht="15.75" customHeight="1" thickBot="1">
      <c r="A11" s="13">
        <v>6</v>
      </c>
      <c r="B11" s="28" t="str">
        <f>LIDER!E48</f>
        <v>VALERY DANIELA SAENZ WATTS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4.3000000000000007</v>
      </c>
      <c r="E11" s="197"/>
      <c r="F11" s="26">
        <v>4.4000000000000004</v>
      </c>
      <c r="G11" s="26">
        <v>4.4000000000000004</v>
      </c>
      <c r="H11" s="26">
        <v>4.4000000000000004</v>
      </c>
      <c r="I11" s="26">
        <v>4.4000000000000004</v>
      </c>
      <c r="J11" s="26">
        <v>4.4000000000000004</v>
      </c>
      <c r="K11" s="26"/>
    </row>
    <row r="12" spans="1:11" s="2" customFormat="1" ht="15.75" customHeight="1" thickBot="1">
      <c r="A12" s="8"/>
      <c r="B12" s="27" t="s">
        <v>105</v>
      </c>
      <c r="C12" s="32" t="str">
        <f>IF('S-ASIG-05'!D12="","",'S-ASIG-05'!D12)</f>
        <v>LIST</v>
      </c>
      <c r="D12" s="35" t="s">
        <v>104</v>
      </c>
      <c r="E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CRISTINA CAÑATE MERCADO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4.2</v>
      </c>
      <c r="E13" s="197">
        <v>4.2</v>
      </c>
      <c r="F13" s="24">
        <v>4.2</v>
      </c>
      <c r="G13" s="24">
        <v>4.2</v>
      </c>
      <c r="H13" s="24">
        <v>4.2</v>
      </c>
      <c r="I13" s="24">
        <v>4.2</v>
      </c>
      <c r="J13" s="24">
        <v>4.2</v>
      </c>
      <c r="K13" s="24"/>
    </row>
    <row r="14" spans="1:11" s="2" customFormat="1" ht="15" customHeight="1">
      <c r="A14" s="12">
        <v>2</v>
      </c>
      <c r="B14" s="28" t="str">
        <f>LIDER!F44</f>
        <v>KARINA MARRUGO MEZA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4.2</v>
      </c>
      <c r="E14" s="197"/>
      <c r="F14" s="18">
        <v>4.2</v>
      </c>
      <c r="G14" s="18">
        <v>4.2</v>
      </c>
      <c r="H14" s="18">
        <v>4.2</v>
      </c>
      <c r="I14" s="18">
        <v>4.2</v>
      </c>
      <c r="J14" s="18">
        <v>4.2</v>
      </c>
      <c r="K14" s="18"/>
    </row>
    <row r="15" spans="1:11" s="2" customFormat="1" ht="15" customHeight="1">
      <c r="A15" s="12">
        <v>3</v>
      </c>
      <c r="B15" s="28" t="str">
        <f>LIDER!F45</f>
        <v>HILARYS CAROLINA PATERNINA DONADO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4.2</v>
      </c>
      <c r="E15" s="197"/>
      <c r="F15" s="18">
        <v>4.2</v>
      </c>
      <c r="G15" s="18">
        <v>4.2</v>
      </c>
      <c r="H15" s="18">
        <v>4.2</v>
      </c>
      <c r="I15" s="18">
        <v>4.2</v>
      </c>
      <c r="J15" s="18">
        <v>4.2</v>
      </c>
      <c r="K15" s="18"/>
    </row>
    <row r="16" spans="1:11" s="2" customFormat="1" ht="15" customHeight="1">
      <c r="A16" s="12">
        <v>4</v>
      </c>
      <c r="B16" s="28" t="str">
        <f>LIDER!F46</f>
        <v>MATEO QUINTANA SERNA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4.2</v>
      </c>
      <c r="E16" s="197"/>
      <c r="F16" s="18">
        <v>4.2</v>
      </c>
      <c r="G16" s="18">
        <v>4.2</v>
      </c>
      <c r="H16" s="18">
        <v>4.2</v>
      </c>
      <c r="I16" s="18">
        <v>4.2</v>
      </c>
      <c r="J16" s="18">
        <v>4.2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107</v>
      </c>
      <c r="C19" s="32" t="str">
        <f>IF('S-ASIG-05'!D19="","",'S-ASIG-05'!D19)</f>
        <v>LIST</v>
      </c>
      <c r="D19" s="35" t="s">
        <v>104</v>
      </c>
      <c r="E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YULEDIS BECERRA GOMEZ</v>
      </c>
      <c r="C20" s="33" t="str">
        <f>IF('S-ASIG-05'!D20="","",'S-ASIG-05'!D20)</f>
        <v/>
      </c>
      <c r="D20" s="30" t="e">
        <f>IF(B20=0,"",IF(C20="",$E$20*LIDER!$H$19+F20*LIDER!$H$20+G20*LIDER!$H$21+H20*LIDER!$H$22+I20*LIDER!$H$23+J20*LIDER!$H$24+K20*LIDER!$H$25,"N"))</f>
        <v>#VALUE!</v>
      </c>
      <c r="E20" s="197">
        <v>5</v>
      </c>
      <c r="F20" s="24" t="s">
        <v>122</v>
      </c>
      <c r="G20" s="24" t="s">
        <v>122</v>
      </c>
      <c r="H20" s="24" t="s">
        <v>122</v>
      </c>
      <c r="I20" s="24" t="s">
        <v>122</v>
      </c>
      <c r="J20" s="24" t="s">
        <v>122</v>
      </c>
      <c r="K20" s="24"/>
    </row>
    <row r="21" spans="1:11" s="2" customFormat="1" ht="15" customHeight="1">
      <c r="A21" s="12">
        <v>2</v>
      </c>
      <c r="B21" s="28" t="str">
        <f>LIDER!G44</f>
        <v>JULIO ALBERTO LANCHEROS PACHECO</v>
      </c>
      <c r="C21" s="33" t="str">
        <f>IF('S-ASIG-05'!D21="","",'S-ASIG-05'!D21)</f>
        <v/>
      </c>
      <c r="D21" s="30" t="e">
        <f>IF(B21=0,"",IF(C21="",$E$20*LIDER!$H$19+F21*LIDER!$H$20+G21*LIDER!$H$21+H21*LIDER!$H$22+I21*LIDER!$H$23+J21*LIDER!$H$24+K21*LIDER!$H$25,"N"))</f>
        <v>#VALUE!</v>
      </c>
      <c r="E21" s="197"/>
      <c r="F21" s="18" t="s">
        <v>122</v>
      </c>
      <c r="G21" s="18" t="s">
        <v>122</v>
      </c>
      <c r="H21" s="18" t="s">
        <v>122</v>
      </c>
      <c r="I21" s="18" t="s">
        <v>122</v>
      </c>
      <c r="J21" s="18" t="s">
        <v>122</v>
      </c>
      <c r="K21" s="18"/>
    </row>
    <row r="22" spans="1:11" s="2" customFormat="1" ht="15" customHeight="1">
      <c r="A22" s="12">
        <v>3</v>
      </c>
      <c r="B22" s="28" t="str">
        <f>LIDER!G45</f>
        <v>NELCY CAROLINA MEZA PÉREZ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5</v>
      </c>
      <c r="E22" s="197"/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109</v>
      </c>
      <c r="C26" s="32" t="str">
        <f>IF('S-ASIG-05'!D26="","",'S-ASIG-05'!D26)</f>
        <v>LIST</v>
      </c>
      <c r="D26" s="35" t="s">
        <v>104</v>
      </c>
      <c r="E26" s="199" t="str">
        <f>LIDER!$E$32</f>
        <v xml:space="preserve">GRUPO#4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HELENA ISABEL ALVAREZ CORTINA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</v>
      </c>
      <c r="E27" s="197">
        <v>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ANDREA KAROLAY CARRILLO GOMEZ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</v>
      </c>
      <c r="E28" s="197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MELANY ANDREA FLÓREZ ALMANZA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</v>
      </c>
      <c r="E29" s="197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JUAN SEBASTIAN PRENS BOSSIO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</v>
      </c>
      <c r="E30" s="197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ALEXANDER DUBAN PROTZKAR DE LA HOZ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</v>
      </c>
      <c r="E31" s="197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111</v>
      </c>
      <c r="C33" s="32" t="str">
        <f>IF('S-ASIG-05'!D33="","",'S-ASIG-05'!D33)</f>
        <v>LIST</v>
      </c>
      <c r="D33" s="35" t="s">
        <v>104</v>
      </c>
      <c r="E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SIARA LUCIA CHAMS CARBALLO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4.4000000000000004</v>
      </c>
      <c r="E34" s="197">
        <v>4.4000000000000004</v>
      </c>
      <c r="F34" s="24">
        <v>4.4000000000000004</v>
      </c>
      <c r="G34" s="24">
        <v>4.4000000000000004</v>
      </c>
      <c r="H34" s="24">
        <v>4.4000000000000004</v>
      </c>
      <c r="I34" s="24">
        <v>4.4000000000000004</v>
      </c>
      <c r="J34" s="24">
        <v>4.4000000000000004</v>
      </c>
      <c r="K34" s="24"/>
    </row>
    <row r="35" spans="1:11" s="2" customFormat="1" ht="15" customHeight="1">
      <c r="A35" s="12">
        <v>2</v>
      </c>
      <c r="B35" s="28" t="str">
        <f>LIDER!E52</f>
        <v>LUCINDA GARCIA CASTRO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4.4000000000000004</v>
      </c>
      <c r="E35" s="197"/>
      <c r="F35" s="18">
        <v>4.4000000000000004</v>
      </c>
      <c r="G35" s="18">
        <v>4.4000000000000004</v>
      </c>
      <c r="H35" s="18">
        <v>4.4000000000000004</v>
      </c>
      <c r="I35" s="18">
        <v>4.4000000000000004</v>
      </c>
      <c r="J35" s="18">
        <v>4.4000000000000004</v>
      </c>
      <c r="K35" s="18"/>
    </row>
    <row r="36" spans="1:11" s="2" customFormat="1" ht="15" customHeight="1">
      <c r="A36" s="12">
        <v>3</v>
      </c>
      <c r="B36" s="28" t="str">
        <f>LIDER!E53</f>
        <v>SAMUEL DVID JULIO BARRIOS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4.4000000000000004</v>
      </c>
      <c r="E36" s="197"/>
      <c r="F36" s="18">
        <v>4.4000000000000004</v>
      </c>
      <c r="G36" s="18">
        <v>4.4000000000000004</v>
      </c>
      <c r="H36" s="18">
        <v>4.4000000000000004</v>
      </c>
      <c r="I36" s="18">
        <v>4.4000000000000004</v>
      </c>
      <c r="J36" s="18">
        <v>4.4000000000000004</v>
      </c>
      <c r="K36" s="18"/>
    </row>
    <row r="37" spans="1:11" s="2" customFormat="1" ht="15" customHeight="1">
      <c r="A37" s="12">
        <v>4</v>
      </c>
      <c r="B37" s="28" t="str">
        <f>LIDER!E54</f>
        <v>LAUREN CAROLINA MARTINEZ LICONA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4.4000000000000004</v>
      </c>
      <c r="E37" s="197"/>
      <c r="F37" s="18">
        <v>4.4000000000000004</v>
      </c>
      <c r="G37" s="18">
        <v>4.4000000000000004</v>
      </c>
      <c r="H37" s="18">
        <v>4.4000000000000004</v>
      </c>
      <c r="I37" s="18">
        <v>4.4000000000000004</v>
      </c>
      <c r="J37" s="18">
        <v>4.4000000000000004</v>
      </c>
      <c r="K37" s="18"/>
    </row>
    <row r="38" spans="1:11" s="2" customFormat="1" ht="15" customHeight="1">
      <c r="A38" s="12">
        <v>5</v>
      </c>
      <c r="B38" s="28" t="str">
        <f>LIDER!E55</f>
        <v>ASLLY MARGARITA RINCON MATTOS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4.4000000000000004</v>
      </c>
      <c r="E38" s="197"/>
      <c r="F38" s="18">
        <v>4.4000000000000004</v>
      </c>
      <c r="G38" s="18">
        <v>4.4000000000000004</v>
      </c>
      <c r="H38" s="18">
        <v>4.4000000000000004</v>
      </c>
      <c r="I38" s="18">
        <v>4.4000000000000004</v>
      </c>
      <c r="J38" s="18">
        <v>4.4000000000000004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113</v>
      </c>
      <c r="C40" s="32" t="str">
        <f>IF('S-ASIG-05'!D40="","",'S-ASIG-05'!D40)</f>
        <v>LIST</v>
      </c>
      <c r="D40" s="35" t="s">
        <v>104</v>
      </c>
      <c r="E40" s="199" t="str">
        <f>LIDER!$E$34</f>
        <v xml:space="preserve">GRUPO#6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YEIDER SANTIAGO BOHORQUEZ GONZALEZ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4</v>
      </c>
      <c r="E41" s="197">
        <v>4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ELIAN MANUEL PACHECO BELTRAN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4</v>
      </c>
      <c r="E42" s="197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VALERIA PASTRANA ARRIETA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4</v>
      </c>
      <c r="E43" s="197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JUAN PABLO QUIJANO GUEVARA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4</v>
      </c>
      <c r="E44" s="197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JOSE ANGEL VALLEJO REALES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4</v>
      </c>
      <c r="E45" s="197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 t="str">
        <f>LIDER!F56</f>
        <v>HENRY WILCHES DE LA ROSA</v>
      </c>
      <c r="C46" s="33" t="str">
        <f>IF('S-ASIG-05'!D46="","",'S-ASIG-05'!D46)</f>
        <v/>
      </c>
      <c r="D46" s="30">
        <f>IF(B46=0,"",IF(C46="",$E$41*LIDER!$H$19+F46*LIDER!$H$20+G46*LIDER!$H$21+H46*LIDER!$H$22+I46*LIDER!$H$23+J46*LIDER!$H$24+K46*LIDER!$H$25,"N"))</f>
        <v>4</v>
      </c>
      <c r="E46" s="197"/>
      <c r="F46" s="26">
        <v>4</v>
      </c>
      <c r="G46" s="26">
        <v>4</v>
      </c>
      <c r="H46" s="26">
        <v>4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115</v>
      </c>
      <c r="C47" s="32" t="str">
        <f>IF('S-ASIG-05'!D47="","",'S-ASIG-05'!D47)</f>
        <v>LIST</v>
      </c>
      <c r="D47" s="35" t="s">
        <v>104</v>
      </c>
      <c r="E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CARLOS JULIO LOPEZ ALEMAN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4.1499999999999995</v>
      </c>
      <c r="E48" s="197">
        <v>4</v>
      </c>
      <c r="F48" s="24">
        <v>4.3</v>
      </c>
      <c r="G48" s="24">
        <v>4.3</v>
      </c>
      <c r="H48" s="24">
        <v>4.3</v>
      </c>
      <c r="I48" s="24">
        <v>4.3</v>
      </c>
      <c r="J48" s="24">
        <v>4.3</v>
      </c>
      <c r="K48" s="24"/>
    </row>
    <row r="49" spans="1:11" s="2" customFormat="1" ht="15" customHeight="1">
      <c r="A49" s="12">
        <v>2</v>
      </c>
      <c r="B49" s="28" t="str">
        <f>LIDER!G52</f>
        <v>DYLAN ANDRES RANGEL LOPEZ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4.1499999999999995</v>
      </c>
      <c r="E49" s="197"/>
      <c r="F49" s="18">
        <v>4.3</v>
      </c>
      <c r="G49" s="18">
        <v>4.3</v>
      </c>
      <c r="H49" s="18">
        <v>4.3</v>
      </c>
      <c r="I49" s="18">
        <v>4.3</v>
      </c>
      <c r="J49" s="18">
        <v>4.3</v>
      </c>
      <c r="K49" s="18"/>
    </row>
    <row r="50" spans="1:11" s="2" customFormat="1" ht="15" customHeight="1">
      <c r="A50" s="12">
        <v>3</v>
      </c>
      <c r="B50" s="28" t="str">
        <f>LIDER!G53</f>
        <v>SANTIAGO TANGARIFE PONCE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4.1499999999999995</v>
      </c>
      <c r="E50" s="197"/>
      <c r="F50" s="18">
        <v>4.3</v>
      </c>
      <c r="G50" s="18">
        <v>4.3</v>
      </c>
      <c r="H50" s="18">
        <v>4.3</v>
      </c>
      <c r="I50" s="18">
        <v>4.3</v>
      </c>
      <c r="J50" s="18">
        <v>4.3</v>
      </c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117</v>
      </c>
      <c r="C54" s="32" t="str">
        <f>IF('S-ASIG-05'!D54="","",'S-ASIG-05'!D54)</f>
        <v>LIST</v>
      </c>
      <c r="D54" s="35" t="s">
        <v>104</v>
      </c>
      <c r="E54" s="199" t="str">
        <f>LIDER!$E$36</f>
        <v>GRUPO#8 Análisis de los aspectos legales, tributarios, administrativos, macroeconómicos, aduaneros, tecnológicos e internacionales que definen el perfil de The Coca-Cola Company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YURI MAR FUENMAYOR OSORIO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4.5</v>
      </c>
      <c r="E55" s="197">
        <v>4.5</v>
      </c>
      <c r="F55" s="24">
        <v>4.5</v>
      </c>
      <c r="G55" s="24">
        <v>4.5</v>
      </c>
      <c r="H55" s="24">
        <v>4.5</v>
      </c>
      <c r="I55" s="24">
        <v>4.5</v>
      </c>
      <c r="J55" s="24">
        <v>4.5</v>
      </c>
      <c r="K55" s="24"/>
    </row>
    <row r="56" spans="1:11" s="2" customFormat="1" ht="15" customHeight="1">
      <c r="A56" s="12">
        <v>2</v>
      </c>
      <c r="B56" s="28" t="str">
        <f>LIDER!H52</f>
        <v>YULEIDIS PAOLA MORENO DIAZ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4.5</v>
      </c>
      <c r="E56" s="197"/>
      <c r="F56" s="18">
        <v>4.5</v>
      </c>
      <c r="G56" s="18">
        <v>4.5</v>
      </c>
      <c r="H56" s="18">
        <v>4.5</v>
      </c>
      <c r="I56" s="18">
        <v>4.5</v>
      </c>
      <c r="J56" s="18">
        <v>4.5</v>
      </c>
      <c r="K56" s="18"/>
    </row>
    <row r="57" spans="1:11" s="2" customFormat="1" ht="15" customHeight="1">
      <c r="A57" s="12">
        <v>3</v>
      </c>
      <c r="B57" s="28" t="str">
        <f>LIDER!H53</f>
        <v>SHARONE JANNINE ORDOÑEZ ESCUDERO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4.5</v>
      </c>
      <c r="E57" s="197"/>
      <c r="F57" s="18">
        <v>4.5</v>
      </c>
      <c r="G57" s="18">
        <v>4.5</v>
      </c>
      <c r="H57" s="18">
        <v>4.5</v>
      </c>
      <c r="I57" s="18">
        <v>4.5</v>
      </c>
      <c r="J57" s="18">
        <v>4.5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119</v>
      </c>
      <c r="C61" s="32" t="str">
        <f>IF('S-ASIG-05'!D61="","",'S-ASIG-05'!D61)</f>
        <v>LIST</v>
      </c>
      <c r="D61" s="35" t="s">
        <v>104</v>
      </c>
      <c r="E61" s="199" t="str">
        <f>LIDER!$E$37</f>
        <v xml:space="preserve">GRUPO#9 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ISSAC DAVID ANGULO ZABALETA</v>
      </c>
      <c r="C62" s="33" t="str">
        <f>IF('S-ASIG-05'!D62="","",'S-ASIG-05'!D62)</f>
        <v/>
      </c>
      <c r="D62" s="30">
        <f>IF(B62=0,"",IF(C62="",$E$62*LIDER!$H$19+F62*LIDER!$H$20+G62*LIDER!$H$21+H62*LIDER!$H$22+I62*LIDER!$H$23+J62*LIDER!$H$24+K62*LIDER!$H$25,"N"))</f>
        <v>4</v>
      </c>
      <c r="E62" s="197">
        <v>4</v>
      </c>
      <c r="F62" s="24">
        <v>4</v>
      </c>
      <c r="G62" s="24">
        <v>4</v>
      </c>
      <c r="H62" s="24">
        <v>4</v>
      </c>
      <c r="I62" s="24">
        <v>4</v>
      </c>
      <c r="J62" s="24">
        <v>4</v>
      </c>
      <c r="K62" s="24"/>
    </row>
    <row r="63" spans="1:11" s="2" customFormat="1" ht="15" customHeight="1">
      <c r="A63" s="12">
        <v>2</v>
      </c>
      <c r="B63" s="28" t="str">
        <f>LIDER!E60</f>
        <v>ANDRES FELIPE ARROYO PARRA</v>
      </c>
      <c r="C63" s="33" t="str">
        <f>IF('S-ASIG-05'!D63="","",'S-ASIG-05'!D63)</f>
        <v/>
      </c>
      <c r="D63" s="30">
        <f>IF(B63=0,"",IF(C63="",$E$62*LIDER!$H$19+F63*LIDER!$H$20+G63*LIDER!$H$21+H63*LIDER!$H$22+I63*LIDER!$H$23+J63*LIDER!$H$24+K63*LIDER!$H$25,"N"))</f>
        <v>4</v>
      </c>
      <c r="E63" s="197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DANNA ALEJANDRA CASTRO ESPINOSA</v>
      </c>
      <c r="C64" s="33" t="str">
        <f>IF('S-ASIG-05'!D64="","",'S-ASIG-05'!D64)</f>
        <v/>
      </c>
      <c r="D64" s="30">
        <f>IF(B64=0,"",IF(C64="",$E$62*LIDER!$H$19+F64*LIDER!$H$20+G64*LIDER!$H$21+H64*LIDER!$H$22+I64*LIDER!$H$23+J64*LIDER!$H$24+K64*LIDER!$H$25,"N"))</f>
        <v>4</v>
      </c>
      <c r="E64" s="197"/>
      <c r="F64" s="18">
        <v>4</v>
      </c>
      <c r="G64" s="18">
        <v>4</v>
      </c>
      <c r="H64" s="18">
        <v>4</v>
      </c>
      <c r="I64" s="18">
        <v>4</v>
      </c>
      <c r="J64" s="18">
        <v>4</v>
      </c>
      <c r="K64" s="18"/>
    </row>
    <row r="65" spans="1:11" s="2" customFormat="1" ht="15" customHeight="1">
      <c r="A65" s="12">
        <v>4</v>
      </c>
      <c r="B65" s="28" t="str">
        <f>LIDER!E62</f>
        <v>JUAN DAVID LOPEZ VIDES</v>
      </c>
      <c r="C65" s="33" t="str">
        <f>IF('S-ASIG-05'!D65="","",'S-ASIG-05'!D65)</f>
        <v/>
      </c>
      <c r="D65" s="30">
        <f>IF(B65=0,"",IF(C65="",$E$62*LIDER!$H$19+F65*LIDER!$H$20+G65*LIDER!$H$21+H65*LIDER!$H$22+I65*LIDER!$H$23+J65*LIDER!$H$24+K65*LIDER!$H$25,"N"))</f>
        <v>4</v>
      </c>
      <c r="E65" s="197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ALEJANDRA MORENO VILLALOBO</v>
      </c>
      <c r="C66" s="33" t="str">
        <f>IF('S-ASIG-05'!D66="","",'S-ASIG-05'!D66)</f>
        <v/>
      </c>
      <c r="D66" s="30">
        <f>IF(B66=0,"",IF(C66="",$E$62*LIDER!$H$19+F66*LIDER!$H$20+G66*LIDER!$H$21+H66*LIDER!$H$22+I66*LIDER!$H$23+J66*LIDER!$H$24+K66*LIDER!$H$25,"N"))</f>
        <v>4</v>
      </c>
      <c r="E66" s="197"/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IF('S-ASIG-05'!D68="","",'S-ASIG-05'!D68)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IF('S-ASIG-05'!D75="","",'S-ASIG-05'!D75)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IF('S-ASIG-05'!D82="","",'S-ASIG-05'!D82)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1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217" t="s">
        <v>99</v>
      </c>
      <c r="F2" s="218"/>
      <c r="G2" s="218"/>
      <c r="H2" s="218"/>
      <c r="I2" s="218"/>
      <c r="J2" s="218"/>
      <c r="K2" s="219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3" t="str">
        <f>CONCATENATE(LIDER!I4," - ",LIDER!I6," - ",LIDER!I5)</f>
        <v xml:space="preserve"> -  - </v>
      </c>
      <c r="F4" s="214"/>
      <c r="G4" s="214"/>
      <c r="H4" s="214"/>
      <c r="I4" s="214"/>
      <c r="J4" s="214"/>
      <c r="K4" s="215"/>
    </row>
    <row r="5" spans="1:11" s="2" customFormat="1" ht="15.75" customHeight="1" thickBot="1">
      <c r="A5" s="8"/>
      <c r="B5" s="27" t="s">
        <v>101</v>
      </c>
      <c r="C5" s="34" t="str">
        <f>IF('S-ASIG-07'!D5="","",'S-ASIG-07'!D5)</f>
        <v>LIST</v>
      </c>
      <c r="D5" s="35" t="s">
        <v>104</v>
      </c>
      <c r="E5" s="199" t="str">
        <f>LIDER!$E$29</f>
        <v>GRUPO#1 Descripción de los Aspectos Internacionales, Macroeconómicos, Legales, administrativos, aduaneros y tecnológicos de Progan del Caribe S.A.S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EDINSON ANDRES CASTRO PADILLA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MATEO ANDRÉS CUESTA DÍAZ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LUKASS GIRALDO RAMIREZ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LOREINES OSPINO HERNÁNDEZ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LAURA SOFÍA PÉREZ ARÉVALO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VALERY DANIELA SAENZ WATTS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IF('S-ASIG-07'!D12="","",'S-ASIG-07'!D12)</f>
        <v>LIST</v>
      </c>
      <c r="D12" s="35" t="s">
        <v>104</v>
      </c>
      <c r="E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CRISTINA CAÑATE MERCADO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KARINA MARRUGO MEZA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HILARYS CAROLINA PATERNINA DONADO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MATEO QUINTANA SERNA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107</v>
      </c>
      <c r="C19" s="32" t="str">
        <f>IF('S-ASIG-07'!D19="","",'S-ASIG-07'!D19)</f>
        <v>LIST</v>
      </c>
      <c r="D19" s="35" t="s">
        <v>104</v>
      </c>
      <c r="E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YULEDIS BECERRA GOMEZ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JULIO ALBERTO LANCHEROS PACHECO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NELCY CAROLINA MEZA PÉREZ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109</v>
      </c>
      <c r="C26" s="32" t="str">
        <f>IF('S-ASIG-07'!D26="","",'S-ASIG-07'!D26)</f>
        <v>LIST</v>
      </c>
      <c r="D26" s="35" t="s">
        <v>104</v>
      </c>
      <c r="E26" s="199" t="str">
        <f>LIDER!$E$32</f>
        <v xml:space="preserve">GRUPO#4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HELENA ISABEL ALVAREZ CORTINA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ANDREA KAROLAY CARRILLO GOMEZ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MELANY ANDREA FLÓREZ ALMANZA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SEBASTIAN PRENS BOSSIO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ALEXANDER DUBAN PROTZKAR DE LA HOZ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111</v>
      </c>
      <c r="C33" s="32" t="str">
        <f>IF('S-ASIG-07'!D33="","",'S-ASIG-07'!D33)</f>
        <v>LIST</v>
      </c>
      <c r="D33" s="35" t="s">
        <v>104</v>
      </c>
      <c r="E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SIARA LUCIA CHAMS CARBALLO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LUCINDA GARCIA CASTRO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SAMUEL DVID JULIO BARRIOS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 CAROLINA MARTINEZ LICONA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ASLLY MARGARITA RINCON MATTOS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113</v>
      </c>
      <c r="C40" s="32" t="str">
        <f>IF('S-ASIG-07'!D40="","",'S-ASIG-07'!D40)</f>
        <v>LIST</v>
      </c>
      <c r="D40" s="35" t="s">
        <v>104</v>
      </c>
      <c r="E40" s="199" t="str">
        <f>LIDER!$E$34</f>
        <v xml:space="preserve">GRUPO#6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YEIDER SANTIAGO BOHORQUEZ GONZALEZ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ELIAN MANUEL PACHECO BELTRAN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VALERIA PASTRANA ARRIETA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JUAN PABLO QUIJANO GUEVARA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JOSE ANGEL VALLEJO REALES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HENRY WILCHES DE LA ROSA</v>
      </c>
      <c r="C46" s="33" t="str">
        <f>IF('S-ASIG-07'!D46="","",'S-ASIG-07'!D46)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115</v>
      </c>
      <c r="C47" s="32" t="str">
        <f>IF('S-ASIG-07'!D47="","",'S-ASIG-07'!D47)</f>
        <v>LIST</v>
      </c>
      <c r="D47" s="35" t="s">
        <v>104</v>
      </c>
      <c r="E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CARLOS JULIO LOPEZ ALEMAN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DYLAN ANDRES RANGEL LOPEZ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SANTIAGO TANGARIFE PONCE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117</v>
      </c>
      <c r="C54" s="32" t="str">
        <f>IF('S-ASIG-07'!D54="","",'S-ASIG-07'!D54)</f>
        <v>LIST</v>
      </c>
      <c r="D54" s="35" t="s">
        <v>104</v>
      </c>
      <c r="E54" s="199" t="str">
        <f>LIDER!$E$36</f>
        <v>GRUPO#8 Análisis de los aspectos legales, tributarios, administrativos, macroeconómicos, aduaneros, tecnológicos e internacionales que definen el perfil de The Coca-Cola Company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YURI MAR FUENMAYOR OSORIO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YULEIDIS PAOLA MORENO DIAZ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SHARONE JANNINE ORDOÑEZ ESCUDERO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119</v>
      </c>
      <c r="C61" s="32" t="str">
        <f>IF('S-ASIG-07'!D61="","",'S-ASIG-07'!D61)</f>
        <v>LIST</v>
      </c>
      <c r="D61" s="35" t="s">
        <v>104</v>
      </c>
      <c r="E61" s="199" t="str">
        <f>LIDER!$E$37</f>
        <v xml:space="preserve">GRUPO#9 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ISSAC DAVID ANGULO ZABALETA</v>
      </c>
      <c r="C62" s="33" t="str">
        <f>IF('S-ASIG-07'!D62="","",'S-ASIG-07'!D62)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ANDRES FELIPE ARROYO PARRA</v>
      </c>
      <c r="C63" s="33" t="str">
        <f>IF('S-ASIG-07'!D63="","",'S-ASIG-07'!D63)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DANNA ALEJANDRA CASTRO ESPINOSA</v>
      </c>
      <c r="C64" s="33" t="str">
        <f>IF('S-ASIG-07'!D64="","",'S-ASIG-07'!D64)</f>
        <v/>
      </c>
      <c r="D64" s="30">
        <f>IF(B64=0,"",IF(C64="",$E$62*LIDER!$H$19+F64*LIDER!$H$20+G64*LIDER!$H$21+H64*LIDER!$H$22+I64*LIDER!$H$23+J64*LIDER!$H$24+K64*LIDER!$H$25,"N"))</f>
        <v>0</v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JUAN DAVID LOPEZ VIDES</v>
      </c>
      <c r="C65" s="33" t="str">
        <f>IF('S-ASIG-07'!D65="","",'S-ASIG-07'!D65)</f>
        <v/>
      </c>
      <c r="D65" s="30">
        <f>IF(B65=0,"",IF(C65="",$E$62*LIDER!$H$19+F65*LIDER!$H$20+G65*LIDER!$H$21+H65*LIDER!$H$22+I65*LIDER!$H$23+J65*LIDER!$H$24+K65*LIDER!$H$25,"N"))</f>
        <v>0</v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ALEJANDRA MORENO VILLALOBO</v>
      </c>
      <c r="C66" s="33" t="str">
        <f>IF('S-ASIG-07'!D66="","",'S-ASIG-07'!D66)</f>
        <v/>
      </c>
      <c r="D66" s="30">
        <f>IF(B66=0,"",IF(C66="",$E$62*LIDER!$H$19+F66*LIDER!$H$20+G66*LIDER!$H$21+H66*LIDER!$H$22+I66*LIDER!$H$23+J66*LIDER!$H$24+K66*LIDER!$H$25,"N"))</f>
        <v>0</v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IF('S-ASIG-07'!D68="","",'S-ASIG-07'!D68)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IF('S-ASIG-07'!D75="","",'S-ASIG-07'!D75)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IF('S-ASIG-07'!D82="","",'S-ASIG-07'!D82)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1" t="str">
        <f>LIDER!B2</f>
        <v>TECNOLOGÍA EN GESTIÓN DE NEGOCIOS INTERN</v>
      </c>
      <c r="B1" s="202"/>
      <c r="C1" s="202"/>
      <c r="D1" s="202"/>
      <c r="E1" s="202"/>
      <c r="F1" s="202"/>
      <c r="G1" s="20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LIDER!H4</f>
        <v>0</v>
      </c>
      <c r="C2" s="3"/>
      <c r="E2" s="217" t="s">
        <v>99</v>
      </c>
      <c r="F2" s="218"/>
      <c r="G2" s="218"/>
      <c r="H2" s="218"/>
      <c r="I2" s="218"/>
      <c r="J2" s="218"/>
      <c r="K2" s="219"/>
    </row>
    <row r="3" spans="1:11" s="2" customFormat="1" ht="145.5" customHeight="1" thickBot="1">
      <c r="B3" s="4" t="s">
        <v>100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3" t="str">
        <f>CONCATENATE(LIDER!H4," - ",LIDER!H6," - ",LIDER!H5)</f>
        <v xml:space="preserve"> -  - </v>
      </c>
      <c r="F4" s="214"/>
      <c r="G4" s="214"/>
      <c r="H4" s="214"/>
      <c r="I4" s="214"/>
      <c r="J4" s="214"/>
      <c r="K4" s="215"/>
    </row>
    <row r="5" spans="1:11" s="2" customFormat="1" ht="15.75" customHeight="1" thickBot="1">
      <c r="A5" s="8"/>
      <c r="B5" s="27" t="s">
        <v>101</v>
      </c>
      <c r="C5" s="34" t="str">
        <f>IF('S-ASIG-06'!D5="","",'S-ASIG-06'!D5)</f>
        <v>LIST</v>
      </c>
      <c r="D5" s="35" t="s">
        <v>104</v>
      </c>
      <c r="E5" s="199" t="str">
        <f>LIDER!$E$29</f>
        <v>GRUPO#1 Descripción de los Aspectos Internacionales, Macroeconómicos, Legales, administrativos, aduaneros y tecnológicos de Progan del Caribe S.A.S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EDINSON ANDRES CASTRO PADILLA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MATEO ANDRÉS CUESTA DÍAZ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LUKASS GIRALDO RAMIREZ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LOREINES OSPINO HERNÁNDEZ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LAURA SOFÍA PÉREZ ARÉVALO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VALERY DANIELA SAENZ WATTS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105</v>
      </c>
      <c r="C12" s="32" t="str">
        <f>IF('S-ASIG-06'!D12="","",'S-ASIG-06'!D12)</f>
        <v>LIST</v>
      </c>
      <c r="D12" s="35" t="s">
        <v>104</v>
      </c>
      <c r="E12" s="199" t="str">
        <f>LIDER!$E$30</f>
        <v>GRUPO#2 ¿CUALES SON LOS ASPECTOS LEGALES, TRIBUTARIOS, ADMINISTRATIVOS, MACROECONOMICOS, ADUANEROS, TECNOLOGICOS E INTERNACIONALES QUE DEFINEN EL PERFIL DE LAS EMPRESA CEMENTOS ARGOS S.A EN LOS NEGOCIOS INTERNACIONALES?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CRISTINA CAÑATE MERCADO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KARINA MARRUGO MEZA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HILARYS CAROLINA PATERNINA DONADO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MATEO QUINTANA SERNA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107</v>
      </c>
      <c r="C19" s="32" t="str">
        <f>IF('S-ASIG-06'!D19="","",'S-ASIG-06'!D19)</f>
        <v>LIST</v>
      </c>
      <c r="D19" s="35" t="s">
        <v>104</v>
      </c>
      <c r="E19" s="199" t="str">
        <f>LIDER!$E$31</f>
        <v>GRUPO#3 ¿Cuáles son los aspectos legales, tributarios, administrativos, macroeconómicos, aduaneros, tecnológicos e internacionales que definen el perfil de expocafe en los negocios internacionales?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YULEDIS BECERRA GOMEZ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JULIO ALBERTO LANCHEROS PACHECO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NELCY CAROLINA MEZA PÉREZ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109</v>
      </c>
      <c r="C26" s="32" t="str">
        <f>IF('S-ASIG-06'!D26="","",'S-ASIG-06'!D26)</f>
        <v>LIST</v>
      </c>
      <c r="D26" s="35" t="s">
        <v>104</v>
      </c>
      <c r="E26" s="199" t="str">
        <f>LIDER!$E$32</f>
        <v xml:space="preserve">GRUPO#4 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HELENA ISABEL ALVAREZ CORTINA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ANDREA KAROLAY CARRILLO GOMEZ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MELANY ANDREA FLÓREZ ALMANZA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JUAN SEBASTIAN PRENS BOSSIO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ALEXANDER DUBAN PROTZKAR DE LA HOZ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111</v>
      </c>
      <c r="C33" s="32" t="str">
        <f>IF('S-ASIG-06'!D33="","",'S-ASIG-06'!D33)</f>
        <v>LIST</v>
      </c>
      <c r="D33" s="35" t="s">
        <v>104</v>
      </c>
      <c r="E33" s="199" t="str">
        <f>LIDER!$E$33</f>
        <v>GRUPO#5 Cuáles son los aspectos legales, tributarios, administrativos, macroeconómicos, aduaneros, tecnológicos e internacionales que definen el perfil de la empresa Colombina S.A. en los negocios internacionales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SIARA LUCIA CHAMS CARBALLO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LUCINDA GARCIA CASTRO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SAMUEL DVID JULIO BARRIOS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LAUREN CAROLINA MARTINEZ LICONA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ASLLY MARGARITA RINCON MATTOS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113</v>
      </c>
      <c r="C40" s="32" t="str">
        <f>IF('S-ASIG-06'!D40="","",'S-ASIG-06'!D40)</f>
        <v>LIST</v>
      </c>
      <c r="D40" s="35" t="s">
        <v>104</v>
      </c>
      <c r="E40" s="199" t="str">
        <f>LIDER!$E$34</f>
        <v xml:space="preserve">GRUPO#6 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YEIDER SANTIAGO BOHORQUEZ GONZALEZ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ELIAN MANUEL PACHECO BELTRAN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VALERIA PASTRANA ARRIETA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JUAN PABLO QUIJANO GUEVARA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JOSE ANGEL VALLEJO REALES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HENRY WILCHES DE LA ROSA</v>
      </c>
      <c r="C46" s="33" t="str">
        <f>IF('S-ASIG-06'!D46="","",'S-ASIG-06'!D46)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115</v>
      </c>
      <c r="C47" s="32" t="str">
        <f>IF('S-ASIG-06'!D47="","",'S-ASIG-06'!D47)</f>
        <v>LIST</v>
      </c>
      <c r="D47" s="35" t="s">
        <v>104</v>
      </c>
      <c r="E47" s="199" t="str">
        <f>LIDER!$E$35</f>
        <v>GRUPO#7 CÓMO ES EL PERFIL DE DRUMMOND EN LOS NEGOCIOS INTERNACIONALES TENIENDO EN CUENTA LOS ASPECTOS LEGALES, TRIBUTARIOS, ADMINISTRATIVOS, MACROECONÓMICOS, ADUANEROS, TECNOLÓGICOS E INTERNACIONALES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CARLOS JULIO LOPEZ ALEMAN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DYLAN ANDRES RANGEL LOPEZ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SANTIAGO TANGARIFE PONCE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117</v>
      </c>
      <c r="C54" s="32" t="str">
        <f>IF('S-ASIG-06'!D54="","",'S-ASIG-06'!D54)</f>
        <v>LIST</v>
      </c>
      <c r="D54" s="35" t="s">
        <v>104</v>
      </c>
      <c r="E54" s="199" t="str">
        <f>LIDER!$E$36</f>
        <v>GRUPO#8 Análisis de los aspectos legales, tributarios, administrativos, macroeconómicos, aduaneros, tecnológicos e internacionales que definen el perfil de The Coca-Cola Company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YURI MAR FUENMAYOR OSORIO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YULEIDIS PAOLA MORENO DIAZ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SHARONE JANNINE ORDOÑEZ ESCUDERO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119</v>
      </c>
      <c r="C61" s="32" t="str">
        <f>IF('S-ASIG-06'!D61="","",'S-ASIG-06'!D61)</f>
        <v>LIST</v>
      </c>
      <c r="D61" s="35" t="s">
        <v>104</v>
      </c>
      <c r="E61" s="199" t="str">
        <f>LIDER!$E$37</f>
        <v xml:space="preserve">GRUPO#9 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 t="str">
        <f>LIDER!E59</f>
        <v>ISSAC DAVID ANGULO ZABALETA</v>
      </c>
      <c r="C62" s="33" t="str">
        <f>IF('S-ASIG-06'!D62="","",'S-ASIG-06'!D62)</f>
        <v/>
      </c>
      <c r="D62" s="30">
        <f>IF(B62=0,"",IF(C62="",$E$62*LIDER!$H$19+F62*LIDER!$H$20+G62*LIDER!$H$21+H62*LIDER!$H$22+I62*LIDER!$H$23+J62*LIDER!$H$24+K62*LIDER!$H$25,"N"))</f>
        <v>0</v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 t="str">
        <f>LIDER!E60</f>
        <v>ANDRES FELIPE ARROYO PARRA</v>
      </c>
      <c r="C63" s="33" t="str">
        <f>IF('S-ASIG-06'!D63="","",'S-ASIG-06'!D63)</f>
        <v/>
      </c>
      <c r="D63" s="30">
        <f>IF(B63=0,"",IF(C63="",$E$62*LIDER!$H$19+F63*LIDER!$H$20+G63*LIDER!$H$21+H63*LIDER!$H$22+I63*LIDER!$H$23+J63*LIDER!$H$24+K63*LIDER!$H$25,"N"))</f>
        <v>0</v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 t="str">
        <f>LIDER!E61</f>
        <v>DANNA ALEJANDRA CASTRO ESPINOSA</v>
      </c>
      <c r="C64" s="33" t="str">
        <f>IF('S-ASIG-06'!D64="","",'S-ASIG-06'!D64)</f>
        <v/>
      </c>
      <c r="D64" s="30">
        <f>IF(B64=0,"",IF(C64="",$E$62*LIDER!$H$19+F64*LIDER!$H$20+G64*LIDER!$H$21+H64*LIDER!$H$22+I64*LIDER!$H$23+J64*LIDER!$H$24+K64*LIDER!$H$25,"N"))</f>
        <v>0</v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 t="str">
        <f>LIDER!E62</f>
        <v>JUAN DAVID LOPEZ VIDES</v>
      </c>
      <c r="C65" s="33" t="str">
        <f>IF('S-ASIG-06'!D65="","",'S-ASIG-06'!D65)</f>
        <v/>
      </c>
      <c r="D65" s="30">
        <f>IF(B65=0,"",IF(C65="",$E$62*LIDER!$H$19+F65*LIDER!$H$20+G65*LIDER!$H$21+H65*LIDER!$H$22+I65*LIDER!$H$23+J65*LIDER!$H$24+K65*LIDER!$H$25,"N"))</f>
        <v>0</v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 t="str">
        <f>LIDER!E63</f>
        <v>ALEJANDRA MORENO VILLALOBO</v>
      </c>
      <c r="C66" s="33" t="str">
        <f>IF('S-ASIG-06'!D66="","",'S-ASIG-06'!D66)</f>
        <v/>
      </c>
      <c r="D66" s="30">
        <f>IF(B66=0,"",IF(C66="",$E$62*LIDER!$H$19+F66*LIDER!$H$20+G66*LIDER!$H$21+H66*LIDER!$H$22+I66*LIDER!$H$23+J66*LIDER!$H$24+K66*LIDER!$H$25,"N"))</f>
        <v>0</v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IF('S-ASIG-06'!D68="","",'S-ASIG-06'!D68)</f>
        <v>LIST</v>
      </c>
      <c r="D68" s="35" t="s">
        <v>104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IF('S-ASIG-06'!D75="","",'S-ASIG-06'!D75)</f>
        <v>LIST</v>
      </c>
      <c r="D75" s="35" t="s">
        <v>104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IF('S-ASIG-06'!D82="","",'S-ASIG-06'!D82)</f>
        <v>LIST</v>
      </c>
      <c r="D82" s="35" t="s">
        <v>104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SEM-03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142" t="s">
        <v>126</v>
      </c>
      <c r="H2" s="143"/>
      <c r="I2" s="143"/>
      <c r="J2" s="143"/>
      <c r="K2" s="143"/>
      <c r="L2" s="143"/>
      <c r="M2" s="144"/>
      <c r="N2" s="2"/>
      <c r="O2" s="147" t="s">
        <v>127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2489</v>
      </c>
      <c r="H3" s="49" t="str">
        <f>CONCATENATE("N° : ",LIDER!D6)</f>
        <v>N° : 2387</v>
      </c>
      <c r="I3" s="49" t="str">
        <f>CONCATENATE("N° : ",LIDER!E6)</f>
        <v>N° : 2481</v>
      </c>
      <c r="J3" s="49" t="str">
        <f>CONCATENATE("N° : ",LIDER!F6)</f>
        <v>N° : 1531</v>
      </c>
      <c r="K3" s="49" t="str">
        <f>CONCATENATE("N° : ",LIDER!G6)</f>
        <v>N° : 1411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2489</v>
      </c>
      <c r="P3" s="49" t="str">
        <f t="shared" ref="P3:U3" si="0">H3</f>
        <v>N° : 2387</v>
      </c>
      <c r="Q3" s="49" t="str">
        <f t="shared" si="0"/>
        <v>N° : 2481</v>
      </c>
      <c r="R3" s="49" t="str">
        <f t="shared" si="0"/>
        <v>N° : 1531</v>
      </c>
      <c r="S3" s="49" t="str">
        <f t="shared" si="0"/>
        <v>N° : 1411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128</v>
      </c>
      <c r="D4" s="54" t="s">
        <v>129</v>
      </c>
      <c r="E4" s="55" t="s">
        <v>130</v>
      </c>
      <c r="G4" s="56" t="str">
        <f>MID(LIDER!C4,1,9)</f>
        <v>LEGISLACI</v>
      </c>
      <c r="H4" s="57" t="str">
        <f>MID(LIDER!D4,1,9)</f>
        <v>TECNOLOGI</v>
      </c>
      <c r="I4" s="57" t="str">
        <f>MID(LIDER!E4,1,9)</f>
        <v>INTERNACI</v>
      </c>
      <c r="J4" s="57" t="str">
        <f>MID(LIDER!F4,1,9)</f>
        <v>MACROECON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131</v>
      </c>
      <c r="O4" s="60" t="str">
        <f t="shared" ref="O4:U4" si="1">G4</f>
        <v>LEGISLACI</v>
      </c>
      <c r="P4" s="61" t="str">
        <f t="shared" si="1"/>
        <v>TECNOLOGI</v>
      </c>
      <c r="Q4" s="61" t="str">
        <f t="shared" si="1"/>
        <v>INTERNACI</v>
      </c>
      <c r="R4" s="61" t="str">
        <f t="shared" si="1"/>
        <v>MACROECON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132</v>
      </c>
    </row>
    <row r="5" spans="1:22" ht="15" customHeight="1">
      <c r="A5" s="12">
        <v>1</v>
      </c>
      <c r="B5" s="63" t="str">
        <f>LIDER!C9</f>
        <v>EDINSON ANDRES CASTRO PADILLA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4.4974999999999996</v>
      </c>
      <c r="E5" s="66">
        <f>IF(B5=0,"",IFERROR(SUMIF(O5:U5,"&gt;0",O5:U5)/COUNTIF(O5:U5,"&gt;0"),0))</f>
        <v>4.3800000000000008</v>
      </c>
      <c r="F5" s="47"/>
      <c r="G5" s="67">
        <f>IF(B5=0,"",IFERROR(VLOOKUP(B5,'S-ASIG-01'!$B$5:$E$88,4,0),0))</f>
        <v>4.55</v>
      </c>
      <c r="H5" s="65">
        <f>IF(B5=0,"",IFERROR(VLOOKUP(B5,'S-ASIG-02'!$B$5:$E$88,4,0),0))</f>
        <v>4.49</v>
      </c>
      <c r="I5" s="65">
        <f>IF(B5=0,"",IFERROR(VLOOKUP(B5,'S-ASIG-03'!$B$5:$E$88,4,0),0))</f>
        <v>4.4000000000000004</v>
      </c>
      <c r="J5" s="65">
        <f>IF(B5=0,"",IFERROR(VLOOKUP(B5,'S-ASIG-04'!$B$5:$E$88,4,0),0))</f>
        <v>0</v>
      </c>
      <c r="K5" s="65">
        <f>IF(B5=0,"",IFERROR(VLOOKUP(B5,'S-ASIG-05'!$B$5:$E$88,4,0),0))</f>
        <v>4.55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133</v>
      </c>
      <c r="O5" s="67">
        <f>IF(B5=0,"",IFERROR(VLOOKUP(B5,'T-ASIG-01'!$B$5:$D$88,3,0),0))</f>
        <v>4.3500000000000005</v>
      </c>
      <c r="P5" s="65">
        <f>IF(B5=0,"",IFERROR(VLOOKUP(B5,'T-ASIG-02'!$B$5:$D$88,3,0),0))</f>
        <v>4.4000000000000004</v>
      </c>
      <c r="Q5" s="65">
        <f>IF(B5=0,"",IFERROR(VLOOKUP(B5,'T-ASIG-03'!$B$5:$D$88,3,0),0))</f>
        <v>4.3500000000000005</v>
      </c>
      <c r="R5" s="65">
        <f>IF(B5=0,"",IFERROR(VLOOKUP(B5,'T-ASIG-04'!$B$5:$D$88,3,0),0))</f>
        <v>4.5</v>
      </c>
      <c r="S5" s="65">
        <f>IF(B5=0,"",IFERROR(VLOOKUP(B5,'T-ASIG-05'!$B$5:$D$88,3,0),0))</f>
        <v>4.3000000000000007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134</v>
      </c>
    </row>
    <row r="6" spans="1:22" ht="15" customHeight="1">
      <c r="A6" s="12">
        <v>2</v>
      </c>
      <c r="B6" s="70" t="str">
        <f>LIDER!C10</f>
        <v>MATEO ANDRÉS CUESTA DÍAZ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4.4974999999999996</v>
      </c>
      <c r="E6" s="66">
        <f t="shared" ref="E6:E54" si="3">IF(B6=0,"",IFERROR(SUMIF(O6:U6,"&gt;0",O6:U6)/COUNTIF(O6:U6,"&gt;0"),0))</f>
        <v>4.3800000000000008</v>
      </c>
      <c r="F6" s="47"/>
      <c r="G6" s="71">
        <f>IF(B6=0,"",IFERROR(VLOOKUP(B6,'S-ASIG-01'!$B$5:$E$88,4,0),0))</f>
        <v>4.55</v>
      </c>
      <c r="H6" s="72">
        <f>IF(B6=0,"",IFERROR(VLOOKUP(B6,'S-ASIG-02'!$B$5:$E$88,4,0),0))</f>
        <v>4.49</v>
      </c>
      <c r="I6" s="72">
        <f>IF(B6=0,"",IFERROR(VLOOKUP(B6,'S-ASIG-03'!$B$5:$E$88,4,0),0))</f>
        <v>4.4000000000000004</v>
      </c>
      <c r="J6" s="72">
        <f>IF(B6=0,"",IFERROR(VLOOKUP(B6,'S-ASIG-04'!$B$5:$E$88,4,0),0))</f>
        <v>0</v>
      </c>
      <c r="K6" s="72">
        <f>IF(B6=0,"",IFERROR(VLOOKUP(B6,'S-ASIG-05'!$B$5:$E$88,4,0),0))</f>
        <v>4.55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133</v>
      </c>
      <c r="O6" s="71">
        <f>IF(B6=0,"",IFERROR(VLOOKUP(B6,'T-ASIG-01'!$B$5:$D$88,3,0),0))</f>
        <v>4.3500000000000005</v>
      </c>
      <c r="P6" s="72">
        <f>IF(B6=0,"",IFERROR(VLOOKUP(B6,'T-ASIG-02'!$B$5:$D$88,3,0),0))</f>
        <v>4.4000000000000004</v>
      </c>
      <c r="Q6" s="72">
        <f>IF(B6=0,"",IFERROR(VLOOKUP(B6,'T-ASIG-03'!$B$5:$D$88,3,0),0))</f>
        <v>4.3500000000000005</v>
      </c>
      <c r="R6" s="72">
        <f>IF(B6=0,"",IFERROR(VLOOKUP(B6,'T-ASIG-04'!$B$5:$D$88,3,0),0))</f>
        <v>4.5</v>
      </c>
      <c r="S6" s="72">
        <f>IF(B6=0,"",IFERROR(VLOOKUP(B6,'T-ASIG-05'!$B$5:$D$88,3,0),0))</f>
        <v>4.3000000000000007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134</v>
      </c>
    </row>
    <row r="7" spans="1:22" ht="15" customHeight="1">
      <c r="A7" s="12">
        <v>3</v>
      </c>
      <c r="B7" s="70" t="str">
        <f>LIDER!C11</f>
        <v>LUKASS GIRALDO RAMIREZ</v>
      </c>
      <c r="C7" s="64" t="str">
        <f>IF(B7=0,"",IFERROR(VLOOKUP(B7,'S-ASIG-01'!$B$5:$E$88,2,0),0))</f>
        <v>G01</v>
      </c>
      <c r="D7" s="65">
        <f t="shared" si="2"/>
        <v>4.4974999999999996</v>
      </c>
      <c r="E7" s="66">
        <f t="shared" si="3"/>
        <v>4.3800000000000008</v>
      </c>
      <c r="F7" s="47"/>
      <c r="G7" s="71">
        <f>IF(B7=0,"",IFERROR(VLOOKUP(B7,'S-ASIG-01'!$B$5:$E$88,4,0),0))</f>
        <v>4.55</v>
      </c>
      <c r="H7" s="72">
        <f>IF(B7=0,"",IFERROR(VLOOKUP(B7,'S-ASIG-02'!$B$5:$E$88,4,0),0))</f>
        <v>4.49</v>
      </c>
      <c r="I7" s="72">
        <f>IF(B7=0,"",IFERROR(VLOOKUP(B7,'S-ASIG-03'!$B$5:$E$88,4,0),0))</f>
        <v>4.4000000000000004</v>
      </c>
      <c r="J7" s="72">
        <f>IF(B7=0,"",IFERROR(VLOOKUP(B7,'S-ASIG-04'!$B$5:$E$88,4,0),0))</f>
        <v>0</v>
      </c>
      <c r="K7" s="72">
        <f>IF(B7=0,"",IFERROR(VLOOKUP(B7,'S-ASIG-05'!$B$5:$E$88,4,0),0))</f>
        <v>4.55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133</v>
      </c>
      <c r="O7" s="71">
        <f>IF(B7=0,"",IFERROR(VLOOKUP(B7,'T-ASIG-01'!$B$5:$D$88,3,0),0))</f>
        <v>4.3500000000000005</v>
      </c>
      <c r="P7" s="72">
        <f>IF(B7=0,"",IFERROR(VLOOKUP(B7,'T-ASIG-02'!$B$5:$D$88,3,0),0))</f>
        <v>4.4000000000000004</v>
      </c>
      <c r="Q7" s="72">
        <f>IF(B7=0,"",IFERROR(VLOOKUP(B7,'T-ASIG-03'!$B$5:$D$88,3,0),0))</f>
        <v>4.3500000000000005</v>
      </c>
      <c r="R7" s="72">
        <f>IF(B7=0,"",IFERROR(VLOOKUP(B7,'T-ASIG-04'!$B$5:$D$88,3,0),0))</f>
        <v>4.5</v>
      </c>
      <c r="S7" s="72">
        <f>IF(B7=0,"",IFERROR(VLOOKUP(B7,'T-ASIG-05'!$B$5:$D$88,3,0),0))</f>
        <v>4.3000000000000007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134</v>
      </c>
    </row>
    <row r="8" spans="1:22" ht="15" customHeight="1">
      <c r="A8" s="12">
        <v>4</v>
      </c>
      <c r="B8" s="70" t="str">
        <f>LIDER!C12</f>
        <v>LOREINES OSPINO HERNÁNDEZ</v>
      </c>
      <c r="C8" s="64" t="str">
        <f>IF(B8=0,"",IFERROR(VLOOKUP(B8,'S-ASIG-01'!$B$5:$E$88,2,0),0))</f>
        <v>G01</v>
      </c>
      <c r="D8" s="65">
        <f t="shared" si="2"/>
        <v>4.4974999999999996</v>
      </c>
      <c r="E8" s="66">
        <f t="shared" si="3"/>
        <v>4.3800000000000008</v>
      </c>
      <c r="F8" s="47"/>
      <c r="G8" s="71">
        <f>IF(B8=0,"",IFERROR(VLOOKUP(B8,'S-ASIG-01'!$B$5:$E$88,4,0),0))</f>
        <v>4.55</v>
      </c>
      <c r="H8" s="72">
        <f>IF(B8=0,"",IFERROR(VLOOKUP(B8,'S-ASIG-02'!$B$5:$E$88,4,0),0))</f>
        <v>4.49</v>
      </c>
      <c r="I8" s="72">
        <f>IF(B8=0,"",IFERROR(VLOOKUP(B8,'S-ASIG-03'!$B$5:$E$88,4,0),0))</f>
        <v>4.4000000000000004</v>
      </c>
      <c r="J8" s="72">
        <f>IF(B8=0,"",IFERROR(VLOOKUP(B8,'S-ASIG-04'!$B$5:$E$88,4,0),0))</f>
        <v>0</v>
      </c>
      <c r="K8" s="72">
        <f>IF(B8=0,"",IFERROR(VLOOKUP(B8,'S-ASIG-05'!$B$5:$E$88,4,0),0))</f>
        <v>4.55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133</v>
      </c>
      <c r="O8" s="71">
        <f>IF(B8=0,"",IFERROR(VLOOKUP(B8,'T-ASIG-01'!$B$5:$D$88,3,0),0))</f>
        <v>4.3500000000000005</v>
      </c>
      <c r="P8" s="72">
        <f>IF(B8=0,"",IFERROR(VLOOKUP(B8,'T-ASIG-02'!$B$5:$D$88,3,0),0))</f>
        <v>4.4000000000000004</v>
      </c>
      <c r="Q8" s="72">
        <f>IF(B8=0,"",IFERROR(VLOOKUP(B8,'T-ASIG-03'!$B$5:$D$88,3,0),0))</f>
        <v>4.3500000000000005</v>
      </c>
      <c r="R8" s="72">
        <f>IF(B8=0,"",IFERROR(VLOOKUP(B8,'T-ASIG-04'!$B$5:$D$88,3,0),0))</f>
        <v>4.5</v>
      </c>
      <c r="S8" s="72">
        <f>IF(B8=0,"",IFERROR(VLOOKUP(B8,'T-ASIG-05'!$B$5:$D$88,3,0),0))</f>
        <v>4.3000000000000007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134</v>
      </c>
    </row>
    <row r="9" spans="1:22" ht="15" customHeight="1">
      <c r="A9" s="12">
        <v>5</v>
      </c>
      <c r="B9" s="70" t="str">
        <f>LIDER!C13</f>
        <v>LAURA SOFÍA PÉREZ ARÉVALO</v>
      </c>
      <c r="C9" s="64" t="str">
        <f>IF(B9=0,"",IFERROR(VLOOKUP(B9,'S-ASIG-01'!$B$5:$E$88,2,0),0))</f>
        <v>G01</v>
      </c>
      <c r="D9" s="65">
        <f t="shared" si="2"/>
        <v>4.4974999999999996</v>
      </c>
      <c r="E9" s="66">
        <f t="shared" si="3"/>
        <v>4.3800000000000008</v>
      </c>
      <c r="F9" s="47"/>
      <c r="G9" s="71">
        <f>IF(B9=0,"",IFERROR(VLOOKUP(B9,'S-ASIG-01'!$B$5:$E$88,4,0),0))</f>
        <v>4.55</v>
      </c>
      <c r="H9" s="72">
        <f>IF(B9=0,"",IFERROR(VLOOKUP(B9,'S-ASIG-02'!$B$5:$E$88,4,0),0))</f>
        <v>4.49</v>
      </c>
      <c r="I9" s="72">
        <f>IF(B9=0,"",IFERROR(VLOOKUP(B9,'S-ASIG-03'!$B$5:$E$88,4,0),0))</f>
        <v>4.4000000000000004</v>
      </c>
      <c r="J9" s="72">
        <f>IF(B9=0,"",IFERROR(VLOOKUP(B9,'S-ASIG-04'!$B$5:$E$88,4,0),0))</f>
        <v>0</v>
      </c>
      <c r="K9" s="72">
        <f>IF(B9=0,"",IFERROR(VLOOKUP(B9,'S-ASIG-05'!$B$5:$E$88,4,0),0))</f>
        <v>4.55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133</v>
      </c>
      <c r="O9" s="71">
        <f>IF(B9=0,"",IFERROR(VLOOKUP(B9,'T-ASIG-01'!$B$5:$D$88,3,0),0))</f>
        <v>4.3500000000000005</v>
      </c>
      <c r="P9" s="72">
        <f>IF(B9=0,"",IFERROR(VLOOKUP(B9,'T-ASIG-02'!$B$5:$D$88,3,0),0))</f>
        <v>4.4000000000000004</v>
      </c>
      <c r="Q9" s="72">
        <f>IF(B9=0,"",IFERROR(VLOOKUP(B9,'T-ASIG-03'!$B$5:$D$88,3,0),0))</f>
        <v>4.3500000000000005</v>
      </c>
      <c r="R9" s="72">
        <f>IF(B9=0,"",IFERROR(VLOOKUP(B9,'T-ASIG-04'!$B$5:$D$88,3,0),0))</f>
        <v>4.5</v>
      </c>
      <c r="S9" s="72">
        <f>IF(B9=0,"",IFERROR(VLOOKUP(B9,'T-ASIG-05'!$B$5:$D$88,3,0),0))</f>
        <v>4.3000000000000007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134</v>
      </c>
    </row>
    <row r="10" spans="1:22" ht="15" customHeight="1">
      <c r="A10" s="12">
        <v>6</v>
      </c>
      <c r="B10" s="70" t="str">
        <f>LIDER!C14</f>
        <v>VALERY DANIELA SAENZ WATTS</v>
      </c>
      <c r="C10" s="64" t="str">
        <f>IF(B10=0,"",IFERROR(VLOOKUP(B10,'S-ASIG-01'!$B$5:$E$88,2,0),0))</f>
        <v>G01</v>
      </c>
      <c r="D10" s="65">
        <f t="shared" si="2"/>
        <v>4.4974999999999996</v>
      </c>
      <c r="E10" s="66">
        <f t="shared" si="3"/>
        <v>4.3800000000000008</v>
      </c>
      <c r="F10" s="47"/>
      <c r="G10" s="71">
        <f>IF(B10=0,"",IFERROR(VLOOKUP(B10,'S-ASIG-01'!$B$5:$E$88,4,0),0))</f>
        <v>4.55</v>
      </c>
      <c r="H10" s="72">
        <f>IF(B10=0,"",IFERROR(VLOOKUP(B10,'S-ASIG-02'!$B$5:$E$88,4,0),0))</f>
        <v>4.49</v>
      </c>
      <c r="I10" s="72">
        <f>IF(B10=0,"",IFERROR(VLOOKUP(B10,'S-ASIG-03'!$B$5:$E$88,4,0),0))</f>
        <v>4.4000000000000004</v>
      </c>
      <c r="J10" s="72">
        <f>IF(B10=0,"",IFERROR(VLOOKUP(B10,'S-ASIG-04'!$B$5:$E$88,4,0),0))</f>
        <v>0</v>
      </c>
      <c r="K10" s="72">
        <f>IF(B10=0,"",IFERROR(VLOOKUP(B10,'S-ASIG-05'!$B$5:$E$88,4,0),0))</f>
        <v>4.55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133</v>
      </c>
      <c r="O10" s="71">
        <f>IF(B10=0,"",IFERROR(VLOOKUP(B10,'T-ASIG-01'!$B$5:$D$88,3,0),0))</f>
        <v>4.3500000000000005</v>
      </c>
      <c r="P10" s="72">
        <f>IF(B10=0,"",IFERROR(VLOOKUP(B10,'T-ASIG-02'!$B$5:$D$88,3,0),0))</f>
        <v>4.4000000000000004</v>
      </c>
      <c r="Q10" s="72">
        <f>IF(B10=0,"",IFERROR(VLOOKUP(B10,'T-ASIG-03'!$B$5:$D$88,3,0),0))</f>
        <v>4.3500000000000005</v>
      </c>
      <c r="R10" s="72">
        <f>IF(B10=0,"",IFERROR(VLOOKUP(B10,'T-ASIG-04'!$B$5:$D$88,3,0),0))</f>
        <v>4.5</v>
      </c>
      <c r="S10" s="72">
        <f>IF(B10=0,"",IFERROR(VLOOKUP(B10,'T-ASIG-05'!$B$5:$D$88,3,0),0))</f>
        <v>4.3000000000000007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134</v>
      </c>
    </row>
    <row r="11" spans="1:22" ht="15" customHeight="1">
      <c r="A11" s="12">
        <v>7</v>
      </c>
      <c r="B11" s="70" t="str">
        <f>LIDER!C15</f>
        <v>MARIA CRISTINA CAÑATE MERCADO</v>
      </c>
      <c r="C11" s="64" t="str">
        <f>IF(B11=0,"",IFERROR(VLOOKUP(B11,'S-ASIG-01'!$B$5:$E$88,2,0),0))</f>
        <v>G02</v>
      </c>
      <c r="D11" s="65">
        <f t="shared" si="2"/>
        <v>3.6275000000000004</v>
      </c>
      <c r="E11" s="66">
        <f t="shared" si="3"/>
        <v>4.22</v>
      </c>
      <c r="F11" s="47"/>
      <c r="G11" s="71">
        <f>IF(B11=0,"",IFERROR(VLOOKUP(B11,'S-ASIG-01'!$B$5:$E$88,4,0),0))</f>
        <v>3.5</v>
      </c>
      <c r="H11" s="72">
        <f>IF(B11=0,"",IFERROR(VLOOKUP(B11,'S-ASIG-02'!$B$5:$E$88,4,0),0))</f>
        <v>3.6999999999999997</v>
      </c>
      <c r="I11" s="72">
        <f>IF(B11=0,"",IFERROR(VLOOKUP(B11,'S-ASIG-03'!$B$5:$E$88,4,0),0))</f>
        <v>3.6000000000000005</v>
      </c>
      <c r="J11" s="72">
        <f>IF(B11=0,"",IFERROR(VLOOKUP(B11,'S-ASIG-04'!$B$5:$E$88,4,0),0))</f>
        <v>0</v>
      </c>
      <c r="K11" s="72">
        <f>IF(B11=0,"",IFERROR(VLOOKUP(B11,'S-ASIG-05'!$B$5:$E$88,4,0),0))</f>
        <v>3.71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133</v>
      </c>
      <c r="O11" s="71">
        <f>IF(B11=0,"",IFERROR(VLOOKUP(B11,'T-ASIG-01'!$B$5:$D$88,3,0),0))</f>
        <v>4</v>
      </c>
      <c r="P11" s="72">
        <f>IF(B11=0,"",IFERROR(VLOOKUP(B11,'T-ASIG-02'!$B$5:$D$88,3,0),0))</f>
        <v>4.3999999999999995</v>
      </c>
      <c r="Q11" s="72">
        <f>IF(B11=0,"",IFERROR(VLOOKUP(B11,'T-ASIG-03'!$B$5:$D$88,3,0),0))</f>
        <v>4.2</v>
      </c>
      <c r="R11" s="72">
        <f>IF(B11=0,"",IFERROR(VLOOKUP(B11,'T-ASIG-04'!$B$5:$D$88,3,0),0))</f>
        <v>4.3</v>
      </c>
      <c r="S11" s="72">
        <f>IF(B11=0,"",IFERROR(VLOOKUP(B11,'T-ASIG-05'!$B$5:$D$88,3,0),0))</f>
        <v>4.2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134</v>
      </c>
    </row>
    <row r="12" spans="1:22" ht="15" customHeight="1">
      <c r="A12" s="12">
        <v>8</v>
      </c>
      <c r="B12" s="70" t="str">
        <f>LIDER!C16</f>
        <v>KARINA MARRUGO MEZA</v>
      </c>
      <c r="C12" s="64" t="str">
        <f>IF(B12=0,"",IFERROR(VLOOKUP(B12,'S-ASIG-01'!$B$5:$E$88,2,0),0))</f>
        <v>G02</v>
      </c>
      <c r="D12" s="65">
        <f t="shared" si="2"/>
        <v>3.6275000000000004</v>
      </c>
      <c r="E12" s="66">
        <f t="shared" si="3"/>
        <v>4.22</v>
      </c>
      <c r="F12" s="47"/>
      <c r="G12" s="71">
        <f>IF(B12=0,"",IFERROR(VLOOKUP(B12,'S-ASIG-01'!$B$5:$E$88,4,0),0))</f>
        <v>3.5</v>
      </c>
      <c r="H12" s="72">
        <f>IF(B12=0,"",IFERROR(VLOOKUP(B12,'S-ASIG-02'!$B$5:$E$88,4,0),0))</f>
        <v>3.6999999999999997</v>
      </c>
      <c r="I12" s="72">
        <f>IF(B12=0,"",IFERROR(VLOOKUP(B12,'S-ASIG-03'!$B$5:$E$88,4,0),0))</f>
        <v>3.6000000000000005</v>
      </c>
      <c r="J12" s="72">
        <f>IF(B12=0,"",IFERROR(VLOOKUP(B12,'S-ASIG-04'!$B$5:$E$88,4,0),0))</f>
        <v>0</v>
      </c>
      <c r="K12" s="72">
        <f>IF(B12=0,"",IFERROR(VLOOKUP(B12,'S-ASIG-05'!$B$5:$E$88,4,0),0))</f>
        <v>3.71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133</v>
      </c>
      <c r="O12" s="71">
        <f>IF(B12=0,"",IFERROR(VLOOKUP(B12,'T-ASIG-01'!$B$5:$D$88,3,0),0))</f>
        <v>4</v>
      </c>
      <c r="P12" s="72">
        <f>IF(B12=0,"",IFERROR(VLOOKUP(B12,'T-ASIG-02'!$B$5:$D$88,3,0),0))</f>
        <v>4.3999999999999995</v>
      </c>
      <c r="Q12" s="72">
        <f>IF(B12=0,"",IFERROR(VLOOKUP(B12,'T-ASIG-03'!$B$5:$D$88,3,0),0))</f>
        <v>4.2</v>
      </c>
      <c r="R12" s="72">
        <f>IF(B12=0,"",IFERROR(VLOOKUP(B12,'T-ASIG-04'!$B$5:$D$88,3,0),0))</f>
        <v>4.3</v>
      </c>
      <c r="S12" s="72">
        <f>IF(B12=0,"",IFERROR(VLOOKUP(B12,'T-ASIG-05'!$B$5:$D$88,3,0),0))</f>
        <v>4.2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134</v>
      </c>
    </row>
    <row r="13" spans="1:22" ht="15" customHeight="1">
      <c r="A13" s="12">
        <v>9</v>
      </c>
      <c r="B13" s="70" t="str">
        <f>LIDER!C17</f>
        <v>HILARYS CAROLINA PATERNINA DONADO</v>
      </c>
      <c r="C13" s="64" t="str">
        <f>IF(B13=0,"",IFERROR(VLOOKUP(B13,'S-ASIG-01'!$B$5:$E$88,2,0),0))</f>
        <v>G02</v>
      </c>
      <c r="D13" s="65">
        <f t="shared" si="2"/>
        <v>3.6275000000000004</v>
      </c>
      <c r="E13" s="66">
        <f t="shared" si="3"/>
        <v>4.22</v>
      </c>
      <c r="F13" s="47"/>
      <c r="G13" s="71">
        <f>IF(B13=0,"",IFERROR(VLOOKUP(B13,'S-ASIG-01'!$B$5:$E$88,4,0),0))</f>
        <v>3.5</v>
      </c>
      <c r="H13" s="72">
        <f>IF(B13=0,"",IFERROR(VLOOKUP(B13,'S-ASIG-02'!$B$5:$E$88,4,0),0))</f>
        <v>3.6999999999999997</v>
      </c>
      <c r="I13" s="72">
        <f>IF(B13=0,"",IFERROR(VLOOKUP(B13,'S-ASIG-03'!$B$5:$E$88,4,0),0))</f>
        <v>3.6000000000000005</v>
      </c>
      <c r="J13" s="72">
        <f>IF(B13=0,"",IFERROR(VLOOKUP(B13,'S-ASIG-04'!$B$5:$E$88,4,0),0))</f>
        <v>0</v>
      </c>
      <c r="K13" s="72">
        <f>IF(B13=0,"",IFERROR(VLOOKUP(B13,'S-ASIG-05'!$B$5:$E$88,4,0),0))</f>
        <v>3.71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133</v>
      </c>
      <c r="O13" s="71">
        <f>IF(B13=0,"",IFERROR(VLOOKUP(B13,'T-ASIG-01'!$B$5:$D$88,3,0),0))</f>
        <v>4</v>
      </c>
      <c r="P13" s="72">
        <f>IF(B13=0,"",IFERROR(VLOOKUP(B13,'T-ASIG-02'!$B$5:$D$88,3,0),0))</f>
        <v>4.3999999999999995</v>
      </c>
      <c r="Q13" s="72">
        <f>IF(B13=0,"",IFERROR(VLOOKUP(B13,'T-ASIG-03'!$B$5:$D$88,3,0),0))</f>
        <v>4.2</v>
      </c>
      <c r="R13" s="72">
        <f>IF(B13=0,"",IFERROR(VLOOKUP(B13,'T-ASIG-04'!$B$5:$D$88,3,0),0))</f>
        <v>4.3</v>
      </c>
      <c r="S13" s="72">
        <f>IF(B13=0,"",IFERROR(VLOOKUP(B13,'T-ASIG-05'!$B$5:$D$88,3,0),0))</f>
        <v>4.2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134</v>
      </c>
    </row>
    <row r="14" spans="1:22" ht="15" customHeight="1">
      <c r="A14" s="12">
        <v>10</v>
      </c>
      <c r="B14" s="70" t="str">
        <f>LIDER!C18</f>
        <v>MATEO QUINTANA SERNA</v>
      </c>
      <c r="C14" s="64" t="str">
        <f>IF(B14=0,"",IFERROR(VLOOKUP(B14,'S-ASIG-01'!$B$5:$E$88,2,0),0))</f>
        <v>G02</v>
      </c>
      <c r="D14" s="65">
        <f t="shared" si="2"/>
        <v>3.6275000000000004</v>
      </c>
      <c r="E14" s="66">
        <f t="shared" si="3"/>
        <v>4.22</v>
      </c>
      <c r="F14" s="47"/>
      <c r="G14" s="71">
        <f>IF(B14=0,"",IFERROR(VLOOKUP(B14,'S-ASIG-01'!$B$5:$E$88,4,0),0))</f>
        <v>3.5</v>
      </c>
      <c r="H14" s="72">
        <f>IF(B14=0,"",IFERROR(VLOOKUP(B14,'S-ASIG-02'!$B$5:$E$88,4,0),0))</f>
        <v>3.6999999999999997</v>
      </c>
      <c r="I14" s="72">
        <f>IF(B14=0,"",IFERROR(VLOOKUP(B14,'S-ASIG-03'!$B$5:$E$88,4,0),0))</f>
        <v>3.6000000000000005</v>
      </c>
      <c r="J14" s="72">
        <f>IF(B14=0,"",IFERROR(VLOOKUP(B14,'S-ASIG-04'!$B$5:$E$88,4,0),0))</f>
        <v>0</v>
      </c>
      <c r="K14" s="72">
        <f>IF(B14=0,"",IFERROR(VLOOKUP(B14,'S-ASIG-05'!$B$5:$E$88,4,0),0))</f>
        <v>3.71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133</v>
      </c>
      <c r="O14" s="71">
        <f>IF(B14=0,"",IFERROR(VLOOKUP(B14,'T-ASIG-01'!$B$5:$D$88,3,0),0))</f>
        <v>4</v>
      </c>
      <c r="P14" s="72">
        <f>IF(B14=0,"",IFERROR(VLOOKUP(B14,'T-ASIG-02'!$B$5:$D$88,3,0),0))</f>
        <v>4.3999999999999995</v>
      </c>
      <c r="Q14" s="72">
        <f>IF(B14=0,"",IFERROR(VLOOKUP(B14,'T-ASIG-03'!$B$5:$D$88,3,0),0))</f>
        <v>4.2</v>
      </c>
      <c r="R14" s="72">
        <f>IF(B14=0,"",IFERROR(VLOOKUP(B14,'T-ASIG-04'!$B$5:$D$88,3,0),0))</f>
        <v>4.3</v>
      </c>
      <c r="S14" s="72">
        <f>IF(B14=0,"",IFERROR(VLOOKUP(B14,'T-ASIG-05'!$B$5:$D$88,3,0),0))</f>
        <v>4.2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134</v>
      </c>
    </row>
    <row r="15" spans="1:22" ht="15" customHeight="1">
      <c r="A15" s="12">
        <v>11</v>
      </c>
      <c r="B15" s="70" t="str">
        <f>LIDER!C19</f>
        <v>YULEDIS BECERRA GOMEZ</v>
      </c>
      <c r="C15" s="64" t="str">
        <f>IF(B15=0,"",IFERROR(VLOOKUP(B15,'S-ASIG-01'!$B$5:$E$88,2,0),0))</f>
        <v>G03</v>
      </c>
      <c r="D15" s="65">
        <f t="shared" si="2"/>
        <v>2.23</v>
      </c>
      <c r="E15" s="66">
        <f t="shared" si="3"/>
        <v>0</v>
      </c>
      <c r="F15" s="47"/>
      <c r="G15" s="71">
        <f>IF(B15=0,"",IFERROR(VLOOKUP(B15,'S-ASIG-01'!$B$5:$E$88,4,0),0))</f>
        <v>2.08</v>
      </c>
      <c r="H15" s="72">
        <f>IF(B15=0,"",IFERROR(VLOOKUP(B15,'S-ASIG-02'!$B$5:$E$88,4,0),0))</f>
        <v>2.3000000000000003</v>
      </c>
      <c r="I15" s="72">
        <f>IF(B15=0,"",IFERROR(VLOOKUP(B15,'S-ASIG-03'!$B$5:$E$88,4,0),0))</f>
        <v>1.9999999999999998</v>
      </c>
      <c r="J15" s="72">
        <f>IF(B15=0,"",IFERROR(VLOOKUP(B15,'S-ASIG-04'!$B$5:$E$88,4,0),0))</f>
        <v>0</v>
      </c>
      <c r="K15" s="72">
        <f>IF(B15=0,"",IFERROR(VLOOKUP(B15,'S-ASIG-05'!$B$5:$E$88,4,0),0))</f>
        <v>2.5399999999999996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133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134</v>
      </c>
    </row>
    <row r="16" spans="1:22" ht="15" customHeight="1">
      <c r="A16" s="12">
        <v>12</v>
      </c>
      <c r="B16" s="70" t="str">
        <f>LIDER!C20</f>
        <v>JULIO ALBERTO LANCHEROS PACHECO</v>
      </c>
      <c r="C16" s="64" t="str">
        <f>IF(B16=0,"",IFERROR(VLOOKUP(B16,'S-ASIG-01'!$B$5:$E$88,2,0),0))</f>
        <v>G03</v>
      </c>
      <c r="D16" s="65">
        <f t="shared" si="2"/>
        <v>2.23</v>
      </c>
      <c r="E16" s="66">
        <f t="shared" si="3"/>
        <v>0</v>
      </c>
      <c r="F16" s="47"/>
      <c r="G16" s="71">
        <f>IF(B16=0,"",IFERROR(VLOOKUP(B16,'S-ASIG-01'!$B$5:$E$88,4,0),0))</f>
        <v>2.08</v>
      </c>
      <c r="H16" s="72">
        <f>IF(B16=0,"",IFERROR(VLOOKUP(B16,'S-ASIG-02'!$B$5:$E$88,4,0),0))</f>
        <v>2.3000000000000003</v>
      </c>
      <c r="I16" s="72">
        <f>IF(B16=0,"",IFERROR(VLOOKUP(B16,'S-ASIG-03'!$B$5:$E$88,4,0),0))</f>
        <v>1.9999999999999998</v>
      </c>
      <c r="J16" s="72">
        <f>IF(B16=0,"",IFERROR(VLOOKUP(B16,'S-ASIG-04'!$B$5:$E$88,4,0),0))</f>
        <v>0</v>
      </c>
      <c r="K16" s="72">
        <f>IF(B16=0,"",IFERROR(VLOOKUP(B16,'S-ASIG-05'!$B$5:$E$88,4,0),0))</f>
        <v>2.5399999999999996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133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134</v>
      </c>
    </row>
    <row r="17" spans="1:22" ht="15" customHeight="1">
      <c r="A17" s="12">
        <v>13</v>
      </c>
      <c r="B17" s="70" t="str">
        <f>LIDER!C21</f>
        <v>NELCY CAROLINA MEZA PÉREZ</v>
      </c>
      <c r="C17" s="64" t="str">
        <f>IF(B17=0,"",IFERROR(VLOOKUP(B17,'S-ASIG-01'!$B$5:$E$88,2,0),0))</f>
        <v>G03</v>
      </c>
      <c r="D17" s="65">
        <f t="shared" si="2"/>
        <v>2.23</v>
      </c>
      <c r="E17" s="66">
        <f t="shared" si="3"/>
        <v>4.1500000000000004</v>
      </c>
      <c r="F17" s="47"/>
      <c r="G17" s="71">
        <f>IF(B17=0,"",IFERROR(VLOOKUP(B17,'S-ASIG-01'!$B$5:$E$88,4,0),0))</f>
        <v>2.08</v>
      </c>
      <c r="H17" s="72">
        <f>IF(B17=0,"",IFERROR(VLOOKUP(B17,'S-ASIG-02'!$B$5:$E$88,4,0),0))</f>
        <v>2.3000000000000003</v>
      </c>
      <c r="I17" s="72">
        <f>IF(B17=0,"",IFERROR(VLOOKUP(B17,'S-ASIG-03'!$B$5:$E$88,4,0),0))</f>
        <v>1.9999999999999998</v>
      </c>
      <c r="J17" s="72">
        <f>IF(B17=0,"",IFERROR(VLOOKUP(B17,'S-ASIG-04'!$B$5:$E$88,4,0),0))</f>
        <v>0</v>
      </c>
      <c r="K17" s="72">
        <f>IF(B17=0,"",IFERROR(VLOOKUP(B17,'S-ASIG-05'!$B$5:$E$88,4,0),0))</f>
        <v>2.5399999999999996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133</v>
      </c>
      <c r="O17" s="71">
        <f>IF(B17=0,"",IFERROR(VLOOKUP(B17,'T-ASIG-01'!$B$5:$D$88,3,0),0))</f>
        <v>3.5</v>
      </c>
      <c r="P17" s="72">
        <f>IF(B17=0,"",IFERROR(VLOOKUP(B17,'T-ASIG-02'!$B$5:$D$88,3,0),0))</f>
        <v>3.3499999999999996</v>
      </c>
      <c r="Q17" s="72">
        <f>IF(B17=0,"",IFERROR(VLOOKUP(B17,'T-ASIG-03'!$B$5:$D$88,3,0),0))</f>
        <v>3.9000000000000004</v>
      </c>
      <c r="R17" s="72">
        <f>IF(B17=0,"",IFERROR(VLOOKUP(B17,'T-ASIG-04'!$B$5:$D$88,3,0),0))</f>
        <v>5</v>
      </c>
      <c r="S17" s="72">
        <f>IF(B17=0,"",IFERROR(VLOOKUP(B17,'T-ASIG-05'!$B$5:$D$88,3,0),0))</f>
        <v>5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134</v>
      </c>
    </row>
    <row r="18" spans="1:22" ht="15" customHeight="1">
      <c r="A18" s="12">
        <v>14</v>
      </c>
      <c r="B18" s="70" t="str">
        <f>LIDER!C22</f>
        <v>HELENA ISABEL ALVAREZ CORTINA</v>
      </c>
      <c r="C18" s="64" t="str">
        <f>IF(B18=0,"",IFERROR(VLOOKUP(B18,'S-ASIG-01'!$B$5:$E$88,2,0),0))</f>
        <v>G04</v>
      </c>
      <c r="D18" s="65">
        <f t="shared" si="2"/>
        <v>3.3550000000000004</v>
      </c>
      <c r="E18" s="66">
        <f t="shared" si="3"/>
        <v>3.8600000000000003</v>
      </c>
      <c r="F18" s="47"/>
      <c r="G18" s="71">
        <f>IF(B18=0,"",IFERROR(VLOOKUP(B18,'S-ASIG-01'!$B$5:$E$88,4,0),0))</f>
        <v>3.24</v>
      </c>
      <c r="H18" s="72">
        <f>IF(B18=0,"",IFERROR(VLOOKUP(B18,'S-ASIG-02'!$B$5:$E$88,4,0),0))</f>
        <v>3.4000000000000004</v>
      </c>
      <c r="I18" s="72">
        <f>IF(B18=0,"",IFERROR(VLOOKUP(B18,'S-ASIG-03'!$B$5:$E$88,4,0),0))</f>
        <v>3.3000000000000003</v>
      </c>
      <c r="J18" s="72">
        <f>IF(B18=0,"",IFERROR(VLOOKUP(B18,'S-ASIG-04'!$B$5:$E$88,4,0),0))</f>
        <v>0</v>
      </c>
      <c r="K18" s="72">
        <f>IF(B18=0,"",IFERROR(VLOOKUP(B18,'S-ASIG-05'!$B$5:$E$88,4,0),0))</f>
        <v>3.4800000000000004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133</v>
      </c>
      <c r="O18" s="71">
        <f>IF(B18=0,"",IFERROR(VLOOKUP(B18,'T-ASIG-01'!$B$5:$D$88,3,0),0))</f>
        <v>3.35</v>
      </c>
      <c r="P18" s="72">
        <f>IF(B18=0,"",IFERROR(VLOOKUP(B18,'T-ASIG-02'!$B$5:$D$88,3,0),0))</f>
        <v>3.75</v>
      </c>
      <c r="Q18" s="72">
        <f>IF(B18=0,"",IFERROR(VLOOKUP(B18,'T-ASIG-03'!$B$5:$D$88,3,0),0))</f>
        <v>4.2</v>
      </c>
      <c r="R18" s="72">
        <f>IF(B18=0,"",IFERROR(VLOOKUP(B18,'T-ASIG-04'!$B$5:$D$88,3,0),0))</f>
        <v>4</v>
      </c>
      <c r="S18" s="72">
        <f>IF(B18=0,"",IFERROR(VLOOKUP(B18,'T-ASIG-05'!$B$5:$D$88,3,0),0))</f>
        <v>4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134</v>
      </c>
    </row>
    <row r="19" spans="1:22" ht="15" customHeight="1">
      <c r="A19" s="12">
        <v>15</v>
      </c>
      <c r="B19" s="70" t="str">
        <f>LIDER!C23</f>
        <v>ANDREA KAROLAY CARRILLO GOMEZ</v>
      </c>
      <c r="C19" s="64" t="str">
        <f>IF(B19=0,"",IFERROR(VLOOKUP(B19,'S-ASIG-01'!$B$5:$E$88,2,0),0))</f>
        <v>G04</v>
      </c>
      <c r="D19" s="65">
        <f t="shared" si="2"/>
        <v>3.3550000000000004</v>
      </c>
      <c r="E19" s="66">
        <f t="shared" si="3"/>
        <v>3.8600000000000003</v>
      </c>
      <c r="F19" s="47"/>
      <c r="G19" s="71">
        <f>IF(B19=0,"",IFERROR(VLOOKUP(B19,'S-ASIG-01'!$B$5:$E$88,4,0),0))</f>
        <v>3.24</v>
      </c>
      <c r="H19" s="72">
        <f>IF(B19=0,"",IFERROR(VLOOKUP(B19,'S-ASIG-02'!$B$5:$E$88,4,0),0))</f>
        <v>3.4000000000000004</v>
      </c>
      <c r="I19" s="72">
        <f>IF(B19=0,"",IFERROR(VLOOKUP(B19,'S-ASIG-03'!$B$5:$E$88,4,0),0))</f>
        <v>3.3000000000000003</v>
      </c>
      <c r="J19" s="72">
        <f>IF(B19=0,"",IFERROR(VLOOKUP(B19,'S-ASIG-04'!$B$5:$E$88,4,0),0))</f>
        <v>0</v>
      </c>
      <c r="K19" s="72">
        <f>IF(B19=0,"",IFERROR(VLOOKUP(B19,'S-ASIG-05'!$B$5:$E$88,4,0),0))</f>
        <v>3.4800000000000004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133</v>
      </c>
      <c r="O19" s="71">
        <f>IF(B19=0,"",IFERROR(VLOOKUP(B19,'T-ASIG-01'!$B$5:$D$88,3,0),0))</f>
        <v>3.35</v>
      </c>
      <c r="P19" s="72">
        <f>IF(B19=0,"",IFERROR(VLOOKUP(B19,'T-ASIG-02'!$B$5:$D$88,3,0),0))</f>
        <v>3.75</v>
      </c>
      <c r="Q19" s="72">
        <f>IF(B19=0,"",IFERROR(VLOOKUP(B19,'T-ASIG-03'!$B$5:$D$88,3,0),0))</f>
        <v>4.2</v>
      </c>
      <c r="R19" s="72">
        <f>IF(B19=0,"",IFERROR(VLOOKUP(B19,'T-ASIG-04'!$B$5:$D$88,3,0),0))</f>
        <v>4</v>
      </c>
      <c r="S19" s="72">
        <f>IF(B19=0,"",IFERROR(VLOOKUP(B19,'T-ASIG-05'!$B$5:$D$88,3,0),0))</f>
        <v>4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134</v>
      </c>
    </row>
    <row r="20" spans="1:22" ht="15" customHeight="1">
      <c r="A20" s="12">
        <v>16</v>
      </c>
      <c r="B20" s="70" t="str">
        <f>LIDER!C24</f>
        <v>MELANY ANDREA FLÓREZ ALMANZA</v>
      </c>
      <c r="C20" s="64" t="str">
        <f>IF(B20=0,"",IFERROR(VLOOKUP(B20,'S-ASIG-01'!$B$5:$E$88,2,0),0))</f>
        <v>G04</v>
      </c>
      <c r="D20" s="65">
        <f t="shared" si="2"/>
        <v>3.3550000000000004</v>
      </c>
      <c r="E20" s="66">
        <f t="shared" si="3"/>
        <v>3.8600000000000003</v>
      </c>
      <c r="F20" s="47"/>
      <c r="G20" s="71">
        <f>IF(B20=0,"",IFERROR(VLOOKUP(B20,'S-ASIG-01'!$B$5:$E$88,4,0),0))</f>
        <v>3.24</v>
      </c>
      <c r="H20" s="72">
        <f>IF(B20=0,"",IFERROR(VLOOKUP(B20,'S-ASIG-02'!$B$5:$E$88,4,0),0))</f>
        <v>3.4000000000000004</v>
      </c>
      <c r="I20" s="72">
        <f>IF(B20=0,"",IFERROR(VLOOKUP(B20,'S-ASIG-03'!$B$5:$E$88,4,0),0))</f>
        <v>3.3000000000000003</v>
      </c>
      <c r="J20" s="72">
        <f>IF(B20=0,"",IFERROR(VLOOKUP(B20,'S-ASIG-04'!$B$5:$E$88,4,0),0))</f>
        <v>0</v>
      </c>
      <c r="K20" s="72">
        <f>IF(B20=0,"",IFERROR(VLOOKUP(B20,'S-ASIG-05'!$B$5:$E$88,4,0),0))</f>
        <v>3.4800000000000004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133</v>
      </c>
      <c r="O20" s="71">
        <f>IF(B20=0,"",IFERROR(VLOOKUP(B20,'T-ASIG-01'!$B$5:$D$88,3,0),0))</f>
        <v>3.35</v>
      </c>
      <c r="P20" s="72">
        <f>IF(B20=0,"",IFERROR(VLOOKUP(B20,'T-ASIG-02'!$B$5:$D$88,3,0),0))</f>
        <v>3.75</v>
      </c>
      <c r="Q20" s="72">
        <f>IF(B20=0,"",IFERROR(VLOOKUP(B20,'T-ASIG-03'!$B$5:$D$88,3,0),0))</f>
        <v>4.2</v>
      </c>
      <c r="R20" s="72">
        <f>IF(B20=0,"",IFERROR(VLOOKUP(B20,'T-ASIG-04'!$B$5:$D$88,3,0),0))</f>
        <v>4</v>
      </c>
      <c r="S20" s="72">
        <f>IF(B20=0,"",IFERROR(VLOOKUP(B20,'T-ASIG-05'!$B$5:$D$88,3,0),0))</f>
        <v>4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134</v>
      </c>
    </row>
    <row r="21" spans="1:22" ht="15" customHeight="1">
      <c r="A21" s="12">
        <v>17</v>
      </c>
      <c r="B21" s="70" t="str">
        <f>LIDER!C25</f>
        <v>JUAN SEBASTIAN PRENS BOSSIO</v>
      </c>
      <c r="C21" s="64" t="str">
        <f>IF(B21=0,"",IFERROR(VLOOKUP(B21,'S-ASIG-01'!$B$5:$E$88,2,0),0))</f>
        <v>G04</v>
      </c>
      <c r="D21" s="65">
        <f t="shared" si="2"/>
        <v>3.3550000000000004</v>
      </c>
      <c r="E21" s="66">
        <f t="shared" si="3"/>
        <v>3.8600000000000003</v>
      </c>
      <c r="F21" s="47"/>
      <c r="G21" s="71">
        <f>IF(B21=0,"",IFERROR(VLOOKUP(B21,'S-ASIG-01'!$B$5:$E$88,4,0),0))</f>
        <v>3.24</v>
      </c>
      <c r="H21" s="72">
        <f>IF(B21=0,"",IFERROR(VLOOKUP(B21,'S-ASIG-02'!$B$5:$E$88,4,0),0))</f>
        <v>3.4000000000000004</v>
      </c>
      <c r="I21" s="72">
        <f>IF(B21=0,"",IFERROR(VLOOKUP(B21,'S-ASIG-03'!$B$5:$E$88,4,0),0))</f>
        <v>3.3000000000000003</v>
      </c>
      <c r="J21" s="72">
        <f>IF(B21=0,"",IFERROR(VLOOKUP(B21,'S-ASIG-04'!$B$5:$E$88,4,0),0))</f>
        <v>0</v>
      </c>
      <c r="K21" s="72">
        <f>IF(B21=0,"",IFERROR(VLOOKUP(B21,'S-ASIG-05'!$B$5:$E$88,4,0),0))</f>
        <v>3.4800000000000004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133</v>
      </c>
      <c r="O21" s="71">
        <f>IF(B21=0,"",IFERROR(VLOOKUP(B21,'T-ASIG-01'!$B$5:$D$88,3,0),0))</f>
        <v>3.35</v>
      </c>
      <c r="P21" s="72">
        <f>IF(B21=0,"",IFERROR(VLOOKUP(B21,'T-ASIG-02'!$B$5:$D$88,3,0),0))</f>
        <v>3.75</v>
      </c>
      <c r="Q21" s="72">
        <f>IF(B21=0,"",IFERROR(VLOOKUP(B21,'T-ASIG-03'!$B$5:$D$88,3,0),0))</f>
        <v>4.2</v>
      </c>
      <c r="R21" s="72">
        <f>IF(B21=0,"",IFERROR(VLOOKUP(B21,'T-ASIG-04'!$B$5:$D$88,3,0),0))</f>
        <v>4</v>
      </c>
      <c r="S21" s="72">
        <f>IF(B21=0,"",IFERROR(VLOOKUP(B21,'T-ASIG-05'!$B$5:$D$88,3,0),0))</f>
        <v>4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134</v>
      </c>
    </row>
    <row r="22" spans="1:22" ht="15" customHeight="1">
      <c r="A22" s="12">
        <v>18</v>
      </c>
      <c r="B22" s="70" t="str">
        <f>LIDER!C26</f>
        <v>ALEXANDER DUBAN PROTZKAR DE LA HOZ</v>
      </c>
      <c r="C22" s="64" t="str">
        <f>IF(B22=0,"",IFERROR(VLOOKUP(B22,'S-ASIG-01'!$B$5:$E$88,2,0),0))</f>
        <v>G04</v>
      </c>
      <c r="D22" s="65">
        <f t="shared" si="2"/>
        <v>3.3550000000000004</v>
      </c>
      <c r="E22" s="66">
        <f t="shared" si="3"/>
        <v>3.8600000000000003</v>
      </c>
      <c r="F22" s="47"/>
      <c r="G22" s="71">
        <f>IF(B22=0,"",IFERROR(VLOOKUP(B22,'S-ASIG-01'!$B$5:$E$88,4,0),0))</f>
        <v>3.24</v>
      </c>
      <c r="H22" s="72">
        <f>IF(B22=0,"",IFERROR(VLOOKUP(B22,'S-ASIG-02'!$B$5:$E$88,4,0),0))</f>
        <v>3.4000000000000004</v>
      </c>
      <c r="I22" s="72">
        <f>IF(B22=0,"",IFERROR(VLOOKUP(B22,'S-ASIG-03'!$B$5:$E$88,4,0),0))</f>
        <v>3.3000000000000003</v>
      </c>
      <c r="J22" s="72">
        <f>IF(B22=0,"",IFERROR(VLOOKUP(B22,'S-ASIG-04'!$B$5:$E$88,4,0),0))</f>
        <v>0</v>
      </c>
      <c r="K22" s="72">
        <f>IF(B22=0,"",IFERROR(VLOOKUP(B22,'S-ASIG-05'!$B$5:$E$88,4,0),0))</f>
        <v>3.4800000000000004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133</v>
      </c>
      <c r="O22" s="71">
        <f>IF(B22=0,"",IFERROR(VLOOKUP(B22,'T-ASIG-01'!$B$5:$D$88,3,0),0))</f>
        <v>3.35</v>
      </c>
      <c r="P22" s="72">
        <f>IF(B22=0,"",IFERROR(VLOOKUP(B22,'T-ASIG-02'!$B$5:$D$88,3,0),0))</f>
        <v>3.75</v>
      </c>
      <c r="Q22" s="72">
        <f>IF(B22=0,"",IFERROR(VLOOKUP(B22,'T-ASIG-03'!$B$5:$D$88,3,0),0))</f>
        <v>4.2</v>
      </c>
      <c r="R22" s="72">
        <f>IF(B22=0,"",IFERROR(VLOOKUP(B22,'T-ASIG-04'!$B$5:$D$88,3,0),0))</f>
        <v>4</v>
      </c>
      <c r="S22" s="72">
        <f>IF(B22=0,"",IFERROR(VLOOKUP(B22,'T-ASIG-05'!$B$5:$D$88,3,0),0))</f>
        <v>4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134</v>
      </c>
    </row>
    <row r="23" spans="1:22" ht="15" customHeight="1">
      <c r="A23" s="12">
        <v>19</v>
      </c>
      <c r="B23" s="70" t="str">
        <f>LIDER!C27</f>
        <v>SIARA LUCIA CHAMS CARBALLO</v>
      </c>
      <c r="C23" s="64" t="str">
        <f>IF(B23=0,"",IFERROR(VLOOKUP(B23,'S-ASIG-01'!$B$5:$E$88,2,0),0))</f>
        <v>G05</v>
      </c>
      <c r="D23" s="65">
        <f t="shared" si="2"/>
        <v>3.7925</v>
      </c>
      <c r="E23" s="66">
        <f t="shared" si="3"/>
        <v>4.3499999999999996</v>
      </c>
      <c r="F23" s="47"/>
      <c r="G23" s="71">
        <f>IF(B23=0,"",IFERROR(VLOOKUP(B23,'S-ASIG-01'!$B$5:$E$88,4,0),0))</f>
        <v>3.7600000000000002</v>
      </c>
      <c r="H23" s="72">
        <f>IF(B23=0,"",IFERROR(VLOOKUP(B23,'S-ASIG-02'!$B$5:$E$88,4,0),0))</f>
        <v>3.9499999999999997</v>
      </c>
      <c r="I23" s="72">
        <f>IF(B23=0,"",IFERROR(VLOOKUP(B23,'S-ASIG-03'!$B$5:$E$88,4,0),0))</f>
        <v>3.7000000000000006</v>
      </c>
      <c r="J23" s="72">
        <f>IF(B23=0,"",IFERROR(VLOOKUP(B23,'S-ASIG-04'!$B$5:$E$88,4,0),0))</f>
        <v>0</v>
      </c>
      <c r="K23" s="72">
        <f>IF(B23=0,"",IFERROR(VLOOKUP(B23,'S-ASIG-05'!$B$5:$E$88,4,0),0))</f>
        <v>3.7600000000000002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133</v>
      </c>
      <c r="O23" s="71">
        <f>IF(B23=0,"",IFERROR(VLOOKUP(B23,'T-ASIG-01'!$B$5:$D$88,3,0),0))</f>
        <v>4.25</v>
      </c>
      <c r="P23" s="72">
        <f>IF(B23=0,"",IFERROR(VLOOKUP(B23,'T-ASIG-02'!$B$5:$D$88,3,0),0))</f>
        <v>4.5</v>
      </c>
      <c r="Q23" s="72">
        <f>IF(B23=0,"",IFERROR(VLOOKUP(B23,'T-ASIG-03'!$B$5:$D$88,3,0),0))</f>
        <v>4.2</v>
      </c>
      <c r="R23" s="72">
        <f>IF(B23=0,"",IFERROR(VLOOKUP(B23,'T-ASIG-04'!$B$5:$D$88,3,0),0))</f>
        <v>4.4000000000000004</v>
      </c>
      <c r="S23" s="72">
        <f>IF(B23=0,"",IFERROR(VLOOKUP(B23,'T-ASIG-05'!$B$5:$D$88,3,0),0))</f>
        <v>4.4000000000000004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134</v>
      </c>
    </row>
    <row r="24" spans="1:22" ht="15" customHeight="1">
      <c r="A24" s="12">
        <v>20</v>
      </c>
      <c r="B24" s="70" t="str">
        <f>LIDER!C28</f>
        <v>LUCINDA GARCIA CASTRO</v>
      </c>
      <c r="C24" s="64" t="str">
        <f>IF(B24=0,"",IFERROR(VLOOKUP(B24,'S-ASIG-01'!$B$5:$E$88,2,0),0))</f>
        <v>G05</v>
      </c>
      <c r="D24" s="65">
        <f t="shared" si="2"/>
        <v>3.7925</v>
      </c>
      <c r="E24" s="66">
        <f t="shared" si="3"/>
        <v>4.3499999999999996</v>
      </c>
      <c r="F24" s="47"/>
      <c r="G24" s="71">
        <f>IF(B24=0,"",IFERROR(VLOOKUP(B24,'S-ASIG-01'!$B$5:$E$88,4,0),0))</f>
        <v>3.7600000000000002</v>
      </c>
      <c r="H24" s="72">
        <f>IF(B24=0,"",IFERROR(VLOOKUP(B24,'S-ASIG-02'!$B$5:$E$88,4,0),0))</f>
        <v>3.9499999999999997</v>
      </c>
      <c r="I24" s="72">
        <f>IF(B24=0,"",IFERROR(VLOOKUP(B24,'S-ASIG-03'!$B$5:$E$88,4,0),0))</f>
        <v>3.7000000000000006</v>
      </c>
      <c r="J24" s="72">
        <f>IF(B24=0,"",IFERROR(VLOOKUP(B24,'S-ASIG-04'!$B$5:$E$88,4,0),0))</f>
        <v>0</v>
      </c>
      <c r="K24" s="72">
        <f>IF(B24=0,"",IFERROR(VLOOKUP(B24,'S-ASIG-05'!$B$5:$E$88,4,0),0))</f>
        <v>3.7600000000000002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133</v>
      </c>
      <c r="O24" s="71">
        <f>IF(B24=0,"",IFERROR(VLOOKUP(B24,'T-ASIG-01'!$B$5:$D$88,3,0),0))</f>
        <v>4.25</v>
      </c>
      <c r="P24" s="72">
        <f>IF(B24=0,"",IFERROR(VLOOKUP(B24,'T-ASIG-02'!$B$5:$D$88,3,0),0))</f>
        <v>4.5</v>
      </c>
      <c r="Q24" s="72">
        <f>IF(B24=0,"",IFERROR(VLOOKUP(B24,'T-ASIG-03'!$B$5:$D$88,3,0),0))</f>
        <v>4.2</v>
      </c>
      <c r="R24" s="72">
        <f>IF(B24=0,"",IFERROR(VLOOKUP(B24,'T-ASIG-04'!$B$5:$D$88,3,0),0))</f>
        <v>4.4000000000000004</v>
      </c>
      <c r="S24" s="72">
        <f>IF(B24=0,"",IFERROR(VLOOKUP(B24,'T-ASIG-05'!$B$5:$D$88,3,0),0))</f>
        <v>4.4000000000000004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134</v>
      </c>
    </row>
    <row r="25" spans="1:22" ht="15" customHeight="1">
      <c r="A25" s="12">
        <v>21</v>
      </c>
      <c r="B25" s="70" t="str">
        <f>LIDER!C29</f>
        <v>SAMUEL DVID JULIO BARRIOS</v>
      </c>
      <c r="C25" s="64" t="str">
        <f>IF(B25=0,"",IFERROR(VLOOKUP(B25,'S-ASIG-01'!$B$5:$E$88,2,0),0))</f>
        <v>G05</v>
      </c>
      <c r="D25" s="65">
        <f t="shared" si="2"/>
        <v>3.7925</v>
      </c>
      <c r="E25" s="66">
        <f t="shared" si="3"/>
        <v>4.3499999999999996</v>
      </c>
      <c r="F25" s="47"/>
      <c r="G25" s="71">
        <f>IF(B25=0,"",IFERROR(VLOOKUP(B25,'S-ASIG-01'!$B$5:$E$88,4,0),0))</f>
        <v>3.7600000000000002</v>
      </c>
      <c r="H25" s="72">
        <f>IF(B25=0,"",IFERROR(VLOOKUP(B25,'S-ASIG-02'!$B$5:$E$88,4,0),0))</f>
        <v>3.9499999999999997</v>
      </c>
      <c r="I25" s="72">
        <f>IF(B25=0,"",IFERROR(VLOOKUP(B25,'S-ASIG-03'!$B$5:$E$88,4,0),0))</f>
        <v>3.7000000000000006</v>
      </c>
      <c r="J25" s="72">
        <f>IF(B25=0,"",IFERROR(VLOOKUP(B25,'S-ASIG-04'!$B$5:$E$88,4,0),0))</f>
        <v>0</v>
      </c>
      <c r="K25" s="72">
        <f>IF(B25=0,"",IFERROR(VLOOKUP(B25,'S-ASIG-05'!$B$5:$E$88,4,0),0))</f>
        <v>3.7600000000000002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133</v>
      </c>
      <c r="O25" s="71">
        <f>IF(B25=0,"",IFERROR(VLOOKUP(B25,'T-ASIG-01'!$B$5:$D$88,3,0),0))</f>
        <v>4.25</v>
      </c>
      <c r="P25" s="72">
        <f>IF(B25=0,"",IFERROR(VLOOKUP(B25,'T-ASIG-02'!$B$5:$D$88,3,0),0))</f>
        <v>4.5</v>
      </c>
      <c r="Q25" s="72">
        <f>IF(B25=0,"",IFERROR(VLOOKUP(B25,'T-ASIG-03'!$B$5:$D$88,3,0),0))</f>
        <v>4.2</v>
      </c>
      <c r="R25" s="72">
        <f>IF(B25=0,"",IFERROR(VLOOKUP(B25,'T-ASIG-04'!$B$5:$D$88,3,0),0))</f>
        <v>4.4000000000000004</v>
      </c>
      <c r="S25" s="72">
        <f>IF(B25=0,"",IFERROR(VLOOKUP(B25,'T-ASIG-05'!$B$5:$D$88,3,0),0))</f>
        <v>4.4000000000000004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134</v>
      </c>
    </row>
    <row r="26" spans="1:22" ht="15" customHeight="1">
      <c r="A26" s="12">
        <v>22</v>
      </c>
      <c r="B26" s="70" t="str">
        <f>LIDER!C30</f>
        <v>LAUREN CAROLINA MARTINEZ LICONA</v>
      </c>
      <c r="C26" s="64" t="str">
        <f>IF(B26=0,"",IFERROR(VLOOKUP(B26,'S-ASIG-01'!$B$5:$E$88,2,0),0))</f>
        <v>G05</v>
      </c>
      <c r="D26" s="65">
        <f t="shared" si="2"/>
        <v>3.7925</v>
      </c>
      <c r="E26" s="66">
        <f t="shared" si="3"/>
        <v>4.3499999999999996</v>
      </c>
      <c r="F26" s="47"/>
      <c r="G26" s="71">
        <f>IF(B26=0,"",IFERROR(VLOOKUP(B26,'S-ASIG-01'!$B$5:$E$88,4,0),0))</f>
        <v>3.7600000000000002</v>
      </c>
      <c r="H26" s="72">
        <f>IF(B26=0,"",IFERROR(VLOOKUP(B26,'S-ASIG-02'!$B$5:$E$88,4,0),0))</f>
        <v>3.9499999999999997</v>
      </c>
      <c r="I26" s="72">
        <f>IF(B26=0,"",IFERROR(VLOOKUP(B26,'S-ASIG-03'!$B$5:$E$88,4,0),0))</f>
        <v>3.7000000000000006</v>
      </c>
      <c r="J26" s="72">
        <f>IF(B26=0,"",IFERROR(VLOOKUP(B26,'S-ASIG-04'!$B$5:$E$88,4,0),0))</f>
        <v>0</v>
      </c>
      <c r="K26" s="72">
        <f>IF(B26=0,"",IFERROR(VLOOKUP(B26,'S-ASIG-05'!$B$5:$E$88,4,0),0))</f>
        <v>3.7600000000000002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133</v>
      </c>
      <c r="O26" s="71">
        <f>IF(B26=0,"",IFERROR(VLOOKUP(B26,'T-ASIG-01'!$B$5:$D$88,3,0),0))</f>
        <v>4.25</v>
      </c>
      <c r="P26" s="72">
        <f>IF(B26=0,"",IFERROR(VLOOKUP(B26,'T-ASIG-02'!$B$5:$D$88,3,0),0))</f>
        <v>4.5</v>
      </c>
      <c r="Q26" s="72">
        <f>IF(B26=0,"",IFERROR(VLOOKUP(B26,'T-ASIG-03'!$B$5:$D$88,3,0),0))</f>
        <v>4.2</v>
      </c>
      <c r="R26" s="72">
        <f>IF(B26=0,"",IFERROR(VLOOKUP(B26,'T-ASIG-04'!$B$5:$D$88,3,0),0))</f>
        <v>4.4000000000000004</v>
      </c>
      <c r="S26" s="72">
        <f>IF(B26=0,"",IFERROR(VLOOKUP(B26,'T-ASIG-05'!$B$5:$D$88,3,0),0))</f>
        <v>4.4000000000000004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134</v>
      </c>
    </row>
    <row r="27" spans="1:22" ht="15" customHeight="1">
      <c r="A27" s="12">
        <v>23</v>
      </c>
      <c r="B27" s="70" t="str">
        <f>LIDER!C31</f>
        <v>ASLLY MARGARITA RINCON MATTOS</v>
      </c>
      <c r="C27" s="64" t="str">
        <f>IF(B27=0,"",IFERROR(VLOOKUP(B27,'S-ASIG-01'!$B$5:$E$88,2,0),0))</f>
        <v>G05</v>
      </c>
      <c r="D27" s="65">
        <f t="shared" si="2"/>
        <v>3.7925</v>
      </c>
      <c r="E27" s="66">
        <f t="shared" si="3"/>
        <v>4.3499999999999996</v>
      </c>
      <c r="F27" s="47"/>
      <c r="G27" s="71">
        <f>IF(B27=0,"",IFERROR(VLOOKUP(B27,'S-ASIG-01'!$B$5:$E$88,4,0),0))</f>
        <v>3.7600000000000002</v>
      </c>
      <c r="H27" s="72">
        <f>IF(B27=0,"",IFERROR(VLOOKUP(B27,'S-ASIG-02'!$B$5:$E$88,4,0),0))</f>
        <v>3.9499999999999997</v>
      </c>
      <c r="I27" s="72">
        <f>IF(B27=0,"",IFERROR(VLOOKUP(B27,'S-ASIG-03'!$B$5:$E$88,4,0),0))</f>
        <v>3.7000000000000006</v>
      </c>
      <c r="J27" s="72">
        <f>IF(B27=0,"",IFERROR(VLOOKUP(B27,'S-ASIG-04'!$B$5:$E$88,4,0),0))</f>
        <v>0</v>
      </c>
      <c r="K27" s="72">
        <f>IF(B27=0,"",IFERROR(VLOOKUP(B27,'S-ASIG-05'!$B$5:$E$88,4,0),0))</f>
        <v>3.7600000000000002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133</v>
      </c>
      <c r="O27" s="71">
        <f>IF(B27=0,"",IFERROR(VLOOKUP(B27,'T-ASIG-01'!$B$5:$D$88,3,0),0))</f>
        <v>4.25</v>
      </c>
      <c r="P27" s="72">
        <f>IF(B27=0,"",IFERROR(VLOOKUP(B27,'T-ASIG-02'!$B$5:$D$88,3,0),0))</f>
        <v>4.5</v>
      </c>
      <c r="Q27" s="72">
        <f>IF(B27=0,"",IFERROR(VLOOKUP(B27,'T-ASIG-03'!$B$5:$D$88,3,0),0))</f>
        <v>4.2</v>
      </c>
      <c r="R27" s="72">
        <f>IF(B27=0,"",IFERROR(VLOOKUP(B27,'T-ASIG-04'!$B$5:$D$88,3,0),0))</f>
        <v>4.4000000000000004</v>
      </c>
      <c r="S27" s="72">
        <f>IF(B27=0,"",IFERROR(VLOOKUP(B27,'T-ASIG-05'!$B$5:$D$88,3,0),0))</f>
        <v>4.4000000000000004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134</v>
      </c>
    </row>
    <row r="28" spans="1:22" ht="15" customHeight="1">
      <c r="A28" s="12">
        <v>24</v>
      </c>
      <c r="B28" s="70" t="str">
        <f>LIDER!C32</f>
        <v>YEIDER SANTIAGO BOHORQUEZ GONZALEZ</v>
      </c>
      <c r="C28" s="64" t="str">
        <f>IF(B28=0,"",IFERROR(VLOOKUP(B28,'S-ASIG-01'!$B$5:$E$88,2,0),0))</f>
        <v>G06</v>
      </c>
      <c r="D28" s="65">
        <f t="shared" si="2"/>
        <v>3.0274999999999999</v>
      </c>
      <c r="E28" s="66">
        <f t="shared" si="3"/>
        <v>3.6100000000000003</v>
      </c>
      <c r="F28" s="47"/>
      <c r="G28" s="71">
        <f>IF(B28=0,"",IFERROR(VLOOKUP(B28,'S-ASIG-01'!$B$5:$E$88,4,0),0))</f>
        <v>2.7</v>
      </c>
      <c r="H28" s="72">
        <f>IF(B28=0,"",IFERROR(VLOOKUP(B28,'S-ASIG-02'!$B$5:$E$88,4,0),0))</f>
        <v>3</v>
      </c>
      <c r="I28" s="72">
        <f>IF(B28=0,"",IFERROR(VLOOKUP(B28,'S-ASIG-03'!$B$5:$E$88,4,0),0))</f>
        <v>3</v>
      </c>
      <c r="J28" s="72">
        <f>IF(B28=0,"",IFERROR(VLOOKUP(B28,'S-ASIG-04'!$B$5:$E$88,4,0),0))</f>
        <v>0</v>
      </c>
      <c r="K28" s="72">
        <f>IF(B28=0,"",IFERROR(VLOOKUP(B28,'S-ASIG-05'!$B$5:$E$88,4,0),0))</f>
        <v>3.41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133</v>
      </c>
      <c r="O28" s="71">
        <f>IF(B28=0,"",IFERROR(VLOOKUP(B28,'T-ASIG-01'!$B$5:$D$88,3,0),0))</f>
        <v>2.6000000000000005</v>
      </c>
      <c r="P28" s="72">
        <f>IF(B28=0,"",IFERROR(VLOOKUP(B28,'T-ASIG-02'!$B$5:$D$88,3,0),0))</f>
        <v>3.5500000000000003</v>
      </c>
      <c r="Q28" s="72">
        <f>IF(B28=0,"",IFERROR(VLOOKUP(B28,'T-ASIG-03'!$B$5:$D$88,3,0),0))</f>
        <v>3.9000000000000004</v>
      </c>
      <c r="R28" s="72">
        <f>IF(B28=0,"",IFERROR(VLOOKUP(B28,'T-ASIG-04'!$B$5:$D$88,3,0),0))</f>
        <v>4</v>
      </c>
      <c r="S28" s="72">
        <f>IF(B28=0,"",IFERROR(VLOOKUP(B28,'T-ASIG-05'!$B$5:$D$88,3,0),0))</f>
        <v>4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134</v>
      </c>
    </row>
    <row r="29" spans="1:22" ht="15" customHeight="1">
      <c r="A29" s="12">
        <v>25</v>
      </c>
      <c r="B29" s="70" t="str">
        <f>LIDER!C33</f>
        <v>ELIAN MANUEL PACHECO BELTRAN</v>
      </c>
      <c r="C29" s="64" t="str">
        <f>IF(B29=0,"",IFERROR(VLOOKUP(B29,'S-ASIG-01'!$B$5:$E$88,2,0),0))</f>
        <v>G06</v>
      </c>
      <c r="D29" s="65">
        <f t="shared" si="2"/>
        <v>3.0274999999999999</v>
      </c>
      <c r="E29" s="66">
        <f t="shared" si="3"/>
        <v>3.6100000000000003</v>
      </c>
      <c r="F29" s="47"/>
      <c r="G29" s="71">
        <f>IF(B29=0,"",IFERROR(VLOOKUP(B29,'S-ASIG-01'!$B$5:$E$88,4,0),0))</f>
        <v>2.7</v>
      </c>
      <c r="H29" s="72">
        <f>IF(B29=0,"",IFERROR(VLOOKUP(B29,'S-ASIG-02'!$B$5:$E$88,4,0),0))</f>
        <v>3</v>
      </c>
      <c r="I29" s="72">
        <f>IF(B29=0,"",IFERROR(VLOOKUP(B29,'S-ASIG-03'!$B$5:$E$88,4,0),0))</f>
        <v>3</v>
      </c>
      <c r="J29" s="72">
        <f>IF(B29=0,"",IFERROR(VLOOKUP(B29,'S-ASIG-04'!$B$5:$E$88,4,0),0))</f>
        <v>0</v>
      </c>
      <c r="K29" s="72">
        <f>IF(B29=0,"",IFERROR(VLOOKUP(B29,'S-ASIG-05'!$B$5:$E$88,4,0),0))</f>
        <v>3.41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133</v>
      </c>
      <c r="O29" s="71">
        <f>IF(B29=0,"",IFERROR(VLOOKUP(B29,'T-ASIG-01'!$B$5:$D$88,3,0),0))</f>
        <v>2.6000000000000005</v>
      </c>
      <c r="P29" s="72">
        <f>IF(B29=0,"",IFERROR(VLOOKUP(B29,'T-ASIG-02'!$B$5:$D$88,3,0),0))</f>
        <v>3.5500000000000003</v>
      </c>
      <c r="Q29" s="72">
        <f>IF(B29=0,"",IFERROR(VLOOKUP(B29,'T-ASIG-03'!$B$5:$D$88,3,0),0))</f>
        <v>3.9000000000000004</v>
      </c>
      <c r="R29" s="72">
        <f>IF(B29=0,"",IFERROR(VLOOKUP(B29,'T-ASIG-04'!$B$5:$D$88,3,0),0))</f>
        <v>4</v>
      </c>
      <c r="S29" s="72">
        <f>IF(B29=0,"",IFERROR(VLOOKUP(B29,'T-ASIG-05'!$B$5:$D$88,3,0),0))</f>
        <v>4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134</v>
      </c>
    </row>
    <row r="30" spans="1:22" ht="15" customHeight="1">
      <c r="A30" s="12">
        <v>26</v>
      </c>
      <c r="B30" s="70" t="str">
        <f>LIDER!C34</f>
        <v>VALERIA PASTRANA ARRIETA</v>
      </c>
      <c r="C30" s="64" t="str">
        <f>IF(B30=0,"",IFERROR(VLOOKUP(B30,'S-ASIG-01'!$B$5:$E$88,2,0),0))</f>
        <v>G06</v>
      </c>
      <c r="D30" s="65">
        <f t="shared" si="2"/>
        <v>3.0274999999999999</v>
      </c>
      <c r="E30" s="66">
        <f t="shared" si="3"/>
        <v>3.6100000000000003</v>
      </c>
      <c r="F30" s="47"/>
      <c r="G30" s="71">
        <f>IF(B30=0,"",IFERROR(VLOOKUP(B30,'S-ASIG-01'!$B$5:$E$88,4,0),0))</f>
        <v>2.7</v>
      </c>
      <c r="H30" s="72">
        <f>IF(B30=0,"",IFERROR(VLOOKUP(B30,'S-ASIG-02'!$B$5:$E$88,4,0),0))</f>
        <v>3</v>
      </c>
      <c r="I30" s="72">
        <f>IF(B30=0,"",IFERROR(VLOOKUP(B30,'S-ASIG-03'!$B$5:$E$88,4,0),0))</f>
        <v>3</v>
      </c>
      <c r="J30" s="72">
        <f>IF(B30=0,"",IFERROR(VLOOKUP(B30,'S-ASIG-04'!$B$5:$E$88,4,0),0))</f>
        <v>0</v>
      </c>
      <c r="K30" s="72">
        <f>IF(B30=0,"",IFERROR(VLOOKUP(B30,'S-ASIG-05'!$B$5:$E$88,4,0),0))</f>
        <v>3.41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133</v>
      </c>
      <c r="O30" s="71">
        <f>IF(B30=0,"",IFERROR(VLOOKUP(B30,'T-ASIG-01'!$B$5:$D$88,3,0),0))</f>
        <v>2.6000000000000005</v>
      </c>
      <c r="P30" s="72">
        <f>IF(B30=0,"",IFERROR(VLOOKUP(B30,'T-ASIG-02'!$B$5:$D$88,3,0),0))</f>
        <v>3.5500000000000003</v>
      </c>
      <c r="Q30" s="72">
        <f>IF(B30=0,"",IFERROR(VLOOKUP(B30,'T-ASIG-03'!$B$5:$D$88,3,0),0))</f>
        <v>3.9000000000000004</v>
      </c>
      <c r="R30" s="72">
        <f>IF(B30=0,"",IFERROR(VLOOKUP(B30,'T-ASIG-04'!$B$5:$D$88,3,0),0))</f>
        <v>4</v>
      </c>
      <c r="S30" s="72">
        <f>IF(B30=0,"",IFERROR(VLOOKUP(B30,'T-ASIG-05'!$B$5:$D$88,3,0),0))</f>
        <v>4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134</v>
      </c>
    </row>
    <row r="31" spans="1:22" ht="15" customHeight="1">
      <c r="A31" s="12">
        <v>27</v>
      </c>
      <c r="B31" s="70" t="str">
        <f>LIDER!C35</f>
        <v>JUAN PABLO QUIJANO GUEVARA</v>
      </c>
      <c r="C31" s="64" t="str">
        <f>IF(B31=0,"",IFERROR(VLOOKUP(B31,'S-ASIG-01'!$B$5:$E$88,2,0),0))</f>
        <v>G06</v>
      </c>
      <c r="D31" s="65">
        <f t="shared" si="2"/>
        <v>3.0274999999999999</v>
      </c>
      <c r="E31" s="66">
        <f t="shared" si="3"/>
        <v>3.6100000000000003</v>
      </c>
      <c r="F31" s="47"/>
      <c r="G31" s="71">
        <f>IF(B31=0,"",IFERROR(VLOOKUP(B31,'S-ASIG-01'!$B$5:$E$88,4,0),0))</f>
        <v>2.7</v>
      </c>
      <c r="H31" s="72">
        <f>IF(B31=0,"",IFERROR(VLOOKUP(B31,'S-ASIG-02'!$B$5:$E$88,4,0),0))</f>
        <v>3</v>
      </c>
      <c r="I31" s="72">
        <f>IF(B31=0,"",IFERROR(VLOOKUP(B31,'S-ASIG-03'!$B$5:$E$88,4,0),0))</f>
        <v>3</v>
      </c>
      <c r="J31" s="72">
        <f>IF(B31=0,"",IFERROR(VLOOKUP(B31,'S-ASIG-04'!$B$5:$E$88,4,0),0))</f>
        <v>0</v>
      </c>
      <c r="K31" s="72">
        <f>IF(B31=0,"",IFERROR(VLOOKUP(B31,'S-ASIG-05'!$B$5:$E$88,4,0),0))</f>
        <v>3.41</v>
      </c>
      <c r="L31" s="72">
        <f>IF(B31=0,"",IFERROR(VLOOKUP(B31,'S-ASIG-06'!$B$5:$E$88,4,0),0))</f>
        <v>0</v>
      </c>
      <c r="M31" s="73">
        <f>IF(B31=0,"",IFERROR(VLOOKUP(B31,'S-ASIG-07'!$B$5:$E$88,4,0),0))</f>
        <v>0</v>
      </c>
      <c r="N31" s="68" t="s">
        <v>133</v>
      </c>
      <c r="O31" s="71">
        <f>IF(B31=0,"",IFERROR(VLOOKUP(B31,'T-ASIG-01'!$B$5:$D$88,3,0),0))</f>
        <v>2.6000000000000005</v>
      </c>
      <c r="P31" s="72">
        <f>IF(B31=0,"",IFERROR(VLOOKUP(B31,'T-ASIG-02'!$B$5:$D$88,3,0),0))</f>
        <v>3.5500000000000003</v>
      </c>
      <c r="Q31" s="72">
        <f>IF(B31=0,"",IFERROR(VLOOKUP(B31,'T-ASIG-03'!$B$5:$D$88,3,0),0))</f>
        <v>3.9000000000000004</v>
      </c>
      <c r="R31" s="72">
        <f>IF(B31=0,"",IFERROR(VLOOKUP(B31,'T-ASIG-04'!$B$5:$D$88,3,0),0))</f>
        <v>4</v>
      </c>
      <c r="S31" s="72">
        <f>IF(B31=0,"",IFERROR(VLOOKUP(B31,'T-ASIG-05'!$B$5:$D$88,3,0),0))</f>
        <v>4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134</v>
      </c>
    </row>
    <row r="32" spans="1:22" ht="15" customHeight="1">
      <c r="A32" s="12">
        <v>28</v>
      </c>
      <c r="B32" s="70" t="str">
        <f>LIDER!C36</f>
        <v>JOSE ANGEL VALLEJO REALES</v>
      </c>
      <c r="C32" s="64" t="str">
        <f>IF(B32=0,"",IFERROR(VLOOKUP(B32,'S-ASIG-01'!$B$5:$E$88,2,0),0))</f>
        <v>G06</v>
      </c>
      <c r="D32" s="65">
        <f t="shared" si="2"/>
        <v>3.0274999999999999</v>
      </c>
      <c r="E32" s="66">
        <f t="shared" si="3"/>
        <v>3.6100000000000003</v>
      </c>
      <c r="F32" s="47"/>
      <c r="G32" s="71">
        <f>IF(B32=0,"",IFERROR(VLOOKUP(B32,'S-ASIG-01'!$B$5:$E$88,4,0),0))</f>
        <v>2.7</v>
      </c>
      <c r="H32" s="72">
        <f>IF(B32=0,"",IFERROR(VLOOKUP(B32,'S-ASIG-02'!$B$5:$E$88,4,0),0))</f>
        <v>3</v>
      </c>
      <c r="I32" s="72">
        <f>IF(B32=0,"",IFERROR(VLOOKUP(B32,'S-ASIG-03'!$B$5:$E$88,4,0),0))</f>
        <v>3</v>
      </c>
      <c r="J32" s="72">
        <f>IF(B32=0,"",IFERROR(VLOOKUP(B32,'S-ASIG-04'!$B$5:$E$88,4,0),0))</f>
        <v>0</v>
      </c>
      <c r="K32" s="72">
        <f>IF(B32=0,"",IFERROR(VLOOKUP(B32,'S-ASIG-05'!$B$5:$E$88,4,0),0))</f>
        <v>3.41</v>
      </c>
      <c r="L32" s="72">
        <f>IF(B32=0,"",IFERROR(VLOOKUP(B32,'S-ASIG-06'!$B$5:$E$88,4,0),0))</f>
        <v>0</v>
      </c>
      <c r="M32" s="73">
        <f>IF(B32=0,"",IFERROR(VLOOKUP(B32,'S-ASIG-07'!$B$5:$E$88,4,0),0))</f>
        <v>0</v>
      </c>
      <c r="N32" s="68" t="s">
        <v>133</v>
      </c>
      <c r="O32" s="71">
        <f>IF(B32=0,"",IFERROR(VLOOKUP(B32,'T-ASIG-01'!$B$5:$D$88,3,0),0))</f>
        <v>2.6000000000000005</v>
      </c>
      <c r="P32" s="72">
        <f>IF(B32=0,"",IFERROR(VLOOKUP(B32,'T-ASIG-02'!$B$5:$D$88,3,0),0))</f>
        <v>3.5500000000000003</v>
      </c>
      <c r="Q32" s="72">
        <f>IF(B32=0,"",IFERROR(VLOOKUP(B32,'T-ASIG-03'!$B$5:$D$88,3,0),0))</f>
        <v>3.9000000000000004</v>
      </c>
      <c r="R32" s="72">
        <f>IF(B32=0,"",IFERROR(VLOOKUP(B32,'T-ASIG-04'!$B$5:$D$88,3,0),0))</f>
        <v>4</v>
      </c>
      <c r="S32" s="72">
        <f>IF(B32=0,"",IFERROR(VLOOKUP(B32,'T-ASIG-05'!$B$5:$D$88,3,0),0))</f>
        <v>4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134</v>
      </c>
    </row>
    <row r="33" spans="1:22" ht="15" customHeight="1">
      <c r="A33" s="12">
        <v>29</v>
      </c>
      <c r="B33" s="70" t="str">
        <f>LIDER!C37</f>
        <v>HENRY WILCHES DE LA ROSA</v>
      </c>
      <c r="C33" s="64" t="str">
        <f>IF(B33=0,"",IFERROR(VLOOKUP(B33,'S-ASIG-01'!$B$5:$E$88,2,0),0))</f>
        <v>G06</v>
      </c>
      <c r="D33" s="65">
        <f t="shared" si="2"/>
        <v>3.0274999999999999</v>
      </c>
      <c r="E33" s="66">
        <f t="shared" si="3"/>
        <v>3.6100000000000003</v>
      </c>
      <c r="F33" s="47"/>
      <c r="G33" s="71">
        <f>IF(B33=0,"",IFERROR(VLOOKUP(B33,'S-ASIG-01'!$B$5:$E$88,4,0),0))</f>
        <v>2.7</v>
      </c>
      <c r="H33" s="72">
        <f>IF(B33=0,"",IFERROR(VLOOKUP(B33,'S-ASIG-02'!$B$5:$E$88,4,0),0))</f>
        <v>3</v>
      </c>
      <c r="I33" s="72">
        <f>IF(B33=0,"",IFERROR(VLOOKUP(B33,'S-ASIG-03'!$B$5:$E$88,4,0),0))</f>
        <v>3</v>
      </c>
      <c r="J33" s="72">
        <f>IF(B33=0,"",IFERROR(VLOOKUP(B33,'S-ASIG-04'!$B$5:$E$88,4,0),0))</f>
        <v>0</v>
      </c>
      <c r="K33" s="72">
        <f>IF(B33=0,"",IFERROR(VLOOKUP(B33,'S-ASIG-05'!$B$5:$E$88,4,0),0))</f>
        <v>3.41</v>
      </c>
      <c r="L33" s="72">
        <f>IF(B33=0,"",IFERROR(VLOOKUP(B33,'S-ASIG-06'!$B$5:$E$88,4,0),0))</f>
        <v>0</v>
      </c>
      <c r="M33" s="73">
        <f>IF(B33=0,"",IFERROR(VLOOKUP(B33,'S-ASIG-07'!$B$5:$E$88,4,0),0))</f>
        <v>0</v>
      </c>
      <c r="N33" s="68" t="s">
        <v>133</v>
      </c>
      <c r="O33" s="71">
        <f>IF(B33=0,"",IFERROR(VLOOKUP(B33,'T-ASIG-01'!$B$5:$D$88,3,0),0))</f>
        <v>2.6000000000000005</v>
      </c>
      <c r="P33" s="72">
        <f>IF(B33=0,"",IFERROR(VLOOKUP(B33,'T-ASIG-02'!$B$5:$D$88,3,0),0))</f>
        <v>3.5500000000000003</v>
      </c>
      <c r="Q33" s="72">
        <f>IF(B33=0,"",IFERROR(VLOOKUP(B33,'T-ASIG-03'!$B$5:$D$88,3,0),0))</f>
        <v>3.9000000000000004</v>
      </c>
      <c r="R33" s="72">
        <f>IF(B33=0,"",IFERROR(VLOOKUP(B33,'T-ASIG-04'!$B$5:$D$88,3,0),0))</f>
        <v>4</v>
      </c>
      <c r="S33" s="72">
        <f>IF(B33=0,"",IFERROR(VLOOKUP(B33,'T-ASIG-05'!$B$5:$D$88,3,0),0))</f>
        <v>4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134</v>
      </c>
    </row>
    <row r="34" spans="1:22" ht="15" customHeight="1">
      <c r="A34" s="12">
        <v>30</v>
      </c>
      <c r="B34" s="70" t="str">
        <f>LIDER!C38</f>
        <v>CARLOS JULIO LOPEZ ALEMAN</v>
      </c>
      <c r="C34" s="64" t="str">
        <f>IF(B34=0,"",IFERROR(VLOOKUP(B34,'S-ASIG-01'!$B$5:$E$88,2,0),0))</f>
        <v>G07</v>
      </c>
      <c r="D34" s="65">
        <f t="shared" si="2"/>
        <v>3.3825000000000003</v>
      </c>
      <c r="E34" s="66">
        <f t="shared" si="3"/>
        <v>4.18</v>
      </c>
      <c r="F34" s="47"/>
      <c r="G34" s="71">
        <f>IF(B34=0,"",IFERROR(VLOOKUP(B34,'S-ASIG-01'!$B$5:$E$88,4,0),0))</f>
        <v>3.3</v>
      </c>
      <c r="H34" s="72">
        <f>IF(B34=0,"",IFERROR(VLOOKUP(B34,'S-ASIG-02'!$B$5:$E$88,4,0),0))</f>
        <v>3.5000000000000004</v>
      </c>
      <c r="I34" s="72">
        <f>IF(B34=0,"",IFERROR(VLOOKUP(B34,'S-ASIG-03'!$B$5:$E$88,4,0),0))</f>
        <v>3.2</v>
      </c>
      <c r="J34" s="72">
        <f>IF(B34=0,"",IFERROR(VLOOKUP(B34,'S-ASIG-04'!$B$5:$E$88,4,0),0))</f>
        <v>0</v>
      </c>
      <c r="K34" s="72">
        <f>IF(B34=0,"",IFERROR(VLOOKUP(B34,'S-ASIG-05'!$B$5:$E$88,4,0),0))</f>
        <v>3.5300000000000002</v>
      </c>
      <c r="L34" s="72">
        <f>IF(B34=0,"",IFERROR(VLOOKUP(B34,'S-ASIG-06'!$B$5:$E$88,4,0),0))</f>
        <v>0</v>
      </c>
      <c r="M34" s="73">
        <f>IF(B34=0,"",IFERROR(VLOOKUP(B34,'S-ASIG-07'!$B$5:$E$88,4,0),0))</f>
        <v>0</v>
      </c>
      <c r="N34" s="68" t="s">
        <v>133</v>
      </c>
      <c r="O34" s="71">
        <f>IF(B34=0,"",IFERROR(VLOOKUP(B34,'T-ASIG-01'!$B$5:$D$88,3,0),0))</f>
        <v>4.0999999999999996</v>
      </c>
      <c r="P34" s="72">
        <f>IF(B34=0,"",IFERROR(VLOOKUP(B34,'T-ASIG-02'!$B$5:$D$88,3,0),0))</f>
        <v>4.3500000000000005</v>
      </c>
      <c r="Q34" s="72">
        <f>IF(B34=0,"",IFERROR(VLOOKUP(B34,'T-ASIG-03'!$B$5:$D$88,3,0),0))</f>
        <v>4</v>
      </c>
      <c r="R34" s="72">
        <f>IF(B34=0,"",IFERROR(VLOOKUP(B34,'T-ASIG-04'!$B$5:$D$88,3,0),0))</f>
        <v>4.3</v>
      </c>
      <c r="S34" s="72">
        <f>IF(B34=0,"",IFERROR(VLOOKUP(B34,'T-ASIG-05'!$B$5:$D$88,3,0),0))</f>
        <v>4.1499999999999995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134</v>
      </c>
    </row>
    <row r="35" spans="1:22" ht="15" customHeight="1">
      <c r="A35" s="12">
        <v>31</v>
      </c>
      <c r="B35" s="70" t="str">
        <f>LIDER!C39</f>
        <v>DYLAN ANDRES RANGEL LOPEZ</v>
      </c>
      <c r="C35" s="64" t="str">
        <f>IF(B35=0,"",IFERROR(VLOOKUP(B35,'S-ASIG-01'!$B$5:$E$88,2,0),0))</f>
        <v>G07</v>
      </c>
      <c r="D35" s="65">
        <f t="shared" si="2"/>
        <v>3.3825000000000003</v>
      </c>
      <c r="E35" s="66">
        <f t="shared" si="3"/>
        <v>4.18</v>
      </c>
      <c r="F35" s="47"/>
      <c r="G35" s="71">
        <f>IF(B35=0,"",IFERROR(VLOOKUP(B35,'S-ASIG-01'!$B$5:$E$88,4,0),0))</f>
        <v>3.3</v>
      </c>
      <c r="H35" s="72">
        <f>IF(B35=0,"",IFERROR(VLOOKUP(B35,'S-ASIG-02'!$B$5:$E$88,4,0),0))</f>
        <v>3.5000000000000004</v>
      </c>
      <c r="I35" s="72">
        <f>IF(B35=0,"",IFERROR(VLOOKUP(B35,'S-ASIG-03'!$B$5:$E$88,4,0),0))</f>
        <v>3.2</v>
      </c>
      <c r="J35" s="72">
        <f>IF(B35=0,"",IFERROR(VLOOKUP(B35,'S-ASIG-04'!$B$5:$E$88,4,0),0))</f>
        <v>0</v>
      </c>
      <c r="K35" s="72">
        <f>IF(B35=0,"",IFERROR(VLOOKUP(B35,'S-ASIG-05'!$B$5:$E$88,4,0),0))</f>
        <v>3.5300000000000002</v>
      </c>
      <c r="L35" s="72">
        <f>IF(B35=0,"",IFERROR(VLOOKUP(B35,'S-ASIG-06'!$B$5:$E$88,4,0),0))</f>
        <v>0</v>
      </c>
      <c r="M35" s="73">
        <f>IF(B35=0,"",IFERROR(VLOOKUP(B35,'S-ASIG-07'!$B$5:$E$88,4,0),0))</f>
        <v>0</v>
      </c>
      <c r="N35" s="68" t="s">
        <v>133</v>
      </c>
      <c r="O35" s="71">
        <f>IF(B35=0,"",IFERROR(VLOOKUP(B35,'T-ASIG-01'!$B$5:$D$88,3,0),0))</f>
        <v>4.0999999999999996</v>
      </c>
      <c r="P35" s="72">
        <f>IF(B35=0,"",IFERROR(VLOOKUP(B35,'T-ASIG-02'!$B$5:$D$88,3,0),0))</f>
        <v>4.3500000000000005</v>
      </c>
      <c r="Q35" s="72">
        <f>IF(B35=0,"",IFERROR(VLOOKUP(B35,'T-ASIG-03'!$B$5:$D$88,3,0),0))</f>
        <v>4</v>
      </c>
      <c r="R35" s="72">
        <f>IF(B35=0,"",IFERROR(VLOOKUP(B35,'T-ASIG-04'!$B$5:$D$88,3,0),0))</f>
        <v>4.3</v>
      </c>
      <c r="S35" s="72">
        <f>IF(B35=0,"",IFERROR(VLOOKUP(B35,'T-ASIG-05'!$B$5:$D$88,3,0),0))</f>
        <v>4.1499999999999995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134</v>
      </c>
    </row>
    <row r="36" spans="1:22" ht="15" customHeight="1">
      <c r="A36" s="12">
        <v>32</v>
      </c>
      <c r="B36" s="70" t="str">
        <f>LIDER!C40</f>
        <v>SANTIAGO TANGARIFE PONCE</v>
      </c>
      <c r="C36" s="64" t="str">
        <f>IF(B36=0,"",IFERROR(VLOOKUP(B36,'S-ASIG-01'!$B$5:$E$88,2,0),0))</f>
        <v>G07</v>
      </c>
      <c r="D36" s="65">
        <f t="shared" si="2"/>
        <v>3.3825000000000003</v>
      </c>
      <c r="E36" s="66">
        <f t="shared" si="3"/>
        <v>4.18</v>
      </c>
      <c r="F36" s="47"/>
      <c r="G36" s="71">
        <f>IF(B36=0,"",IFERROR(VLOOKUP(B36,'S-ASIG-01'!$B$5:$E$88,4,0),0))</f>
        <v>3.3</v>
      </c>
      <c r="H36" s="72">
        <f>IF(B36=0,"",IFERROR(VLOOKUP(B36,'S-ASIG-02'!$B$5:$E$88,4,0),0))</f>
        <v>3.5000000000000004</v>
      </c>
      <c r="I36" s="72">
        <f>IF(B36=0,"",IFERROR(VLOOKUP(B36,'S-ASIG-03'!$B$5:$E$88,4,0),0))</f>
        <v>3.2</v>
      </c>
      <c r="J36" s="72">
        <f>IF(B36=0,"",IFERROR(VLOOKUP(B36,'S-ASIG-04'!$B$5:$E$88,4,0),0))</f>
        <v>0</v>
      </c>
      <c r="K36" s="72">
        <f>IF(B36=0,"",IFERROR(VLOOKUP(B36,'S-ASIG-05'!$B$5:$E$88,4,0),0))</f>
        <v>3.5300000000000002</v>
      </c>
      <c r="L36" s="72">
        <f>IF(B36=0,"",IFERROR(VLOOKUP(B36,'S-ASIG-06'!$B$5:$E$88,4,0),0))</f>
        <v>0</v>
      </c>
      <c r="M36" s="73">
        <f>IF(B36=0,"",IFERROR(VLOOKUP(B36,'S-ASIG-07'!$B$5:$E$88,4,0),0))</f>
        <v>0</v>
      </c>
      <c r="N36" s="68" t="s">
        <v>133</v>
      </c>
      <c r="O36" s="71">
        <f>IF(B36=0,"",IFERROR(VLOOKUP(B36,'T-ASIG-01'!$B$5:$D$88,3,0),0))</f>
        <v>4.0999999999999996</v>
      </c>
      <c r="P36" s="72">
        <f>IF(B36=0,"",IFERROR(VLOOKUP(B36,'T-ASIG-02'!$B$5:$D$88,3,0),0))</f>
        <v>4.3500000000000005</v>
      </c>
      <c r="Q36" s="72">
        <f>IF(B36=0,"",IFERROR(VLOOKUP(B36,'T-ASIG-03'!$B$5:$D$88,3,0),0))</f>
        <v>4</v>
      </c>
      <c r="R36" s="72">
        <f>IF(B36=0,"",IFERROR(VLOOKUP(B36,'T-ASIG-04'!$B$5:$D$88,3,0),0))</f>
        <v>4.3</v>
      </c>
      <c r="S36" s="72">
        <f>IF(B36=0,"",IFERROR(VLOOKUP(B36,'T-ASIG-05'!$B$5:$D$88,3,0),0))</f>
        <v>4.1499999999999995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134</v>
      </c>
    </row>
    <row r="37" spans="1:22" ht="15" customHeight="1">
      <c r="A37" s="12">
        <v>33</v>
      </c>
      <c r="B37" s="70" t="str">
        <f>LIDER!C41</f>
        <v>YURI MAR FUENMAYOR OSORIO</v>
      </c>
      <c r="C37" s="64" t="str">
        <f>IF(B37=0,"",IFERROR(VLOOKUP(B37,'S-ASIG-01'!$B$5:$E$88,2,0),0))</f>
        <v>G08</v>
      </c>
      <c r="D37" s="65">
        <f t="shared" si="2"/>
        <v>4.2349999999999994</v>
      </c>
      <c r="E37" s="66">
        <f t="shared" si="3"/>
        <v>4.51</v>
      </c>
      <c r="F37" s="47"/>
      <c r="G37" s="71">
        <f>IF(B37=0,"",IFERROR(VLOOKUP(B37,'S-ASIG-01'!$B$5:$E$88,4,0),0))</f>
        <v>4.26</v>
      </c>
      <c r="H37" s="72">
        <f>IF(B37=0,"",IFERROR(VLOOKUP(B37,'S-ASIG-02'!$B$5:$E$88,4,0),0))</f>
        <v>4.2</v>
      </c>
      <c r="I37" s="72">
        <f>IF(B37=0,"",IFERROR(VLOOKUP(B37,'S-ASIG-03'!$B$5:$E$88,4,0),0))</f>
        <v>4.2</v>
      </c>
      <c r="J37" s="72">
        <f>IF(B37=0,"",IFERROR(VLOOKUP(B37,'S-ASIG-04'!$B$5:$E$88,4,0),0))</f>
        <v>0</v>
      </c>
      <c r="K37" s="72">
        <f>IF(B37=0,"",IFERROR(VLOOKUP(B37,'S-ASIG-05'!$B$5:$E$88,4,0),0))</f>
        <v>4.2799999999999994</v>
      </c>
      <c r="L37" s="72">
        <f>IF(B37=0,"",IFERROR(VLOOKUP(B37,'S-ASIG-06'!$B$5:$E$88,4,0),0))</f>
        <v>0</v>
      </c>
      <c r="M37" s="73">
        <f>IF(B37=0,"",IFERROR(VLOOKUP(B37,'S-ASIG-07'!$B$5:$E$88,4,0),0))</f>
        <v>0</v>
      </c>
      <c r="N37" s="68" t="s">
        <v>133</v>
      </c>
      <c r="O37" s="71">
        <f>IF(B37=0,"",IFERROR(VLOOKUP(B37,'T-ASIG-01'!$B$5:$D$88,3,0),0))</f>
        <v>4.5</v>
      </c>
      <c r="P37" s="72">
        <f>IF(B37=0,"",IFERROR(VLOOKUP(B37,'T-ASIG-02'!$B$5:$D$88,3,0),0))</f>
        <v>4.55</v>
      </c>
      <c r="Q37" s="72">
        <f>IF(B37=0,"",IFERROR(VLOOKUP(B37,'T-ASIG-03'!$B$5:$D$88,3,0),0))</f>
        <v>4.5</v>
      </c>
      <c r="R37" s="72">
        <f>IF(B37=0,"",IFERROR(VLOOKUP(B37,'T-ASIG-04'!$B$5:$D$88,3,0),0))</f>
        <v>4.5</v>
      </c>
      <c r="S37" s="72">
        <f>IF(B37=0,"",IFERROR(VLOOKUP(B37,'T-ASIG-05'!$B$5:$D$88,3,0),0))</f>
        <v>4.5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134</v>
      </c>
    </row>
    <row r="38" spans="1:22" ht="15" customHeight="1">
      <c r="A38" s="12">
        <v>34</v>
      </c>
      <c r="B38" s="70" t="str">
        <f>LIDER!C42</f>
        <v>YULEIDIS PAOLA MORENO DIAZ</v>
      </c>
      <c r="C38" s="64" t="str">
        <f>IF(B38=0,"",IFERROR(VLOOKUP(B38,'S-ASIG-01'!$B$5:$E$88,2,0),0))</f>
        <v>G08</v>
      </c>
      <c r="D38" s="65">
        <f t="shared" si="2"/>
        <v>4.2349999999999994</v>
      </c>
      <c r="E38" s="66">
        <f t="shared" si="3"/>
        <v>4.51</v>
      </c>
      <c r="F38" s="47"/>
      <c r="G38" s="71">
        <f>IF(B38=0,"",IFERROR(VLOOKUP(B38,'S-ASIG-01'!$B$5:$E$88,4,0),0))</f>
        <v>4.26</v>
      </c>
      <c r="H38" s="72">
        <f>IF(B38=0,"",IFERROR(VLOOKUP(B38,'S-ASIG-02'!$B$5:$E$88,4,0),0))</f>
        <v>4.2</v>
      </c>
      <c r="I38" s="72">
        <f>IF(B38=0,"",IFERROR(VLOOKUP(B38,'S-ASIG-03'!$B$5:$E$88,4,0),0))</f>
        <v>4.2</v>
      </c>
      <c r="J38" s="72">
        <f>IF(B38=0,"",IFERROR(VLOOKUP(B38,'S-ASIG-04'!$B$5:$E$88,4,0),0))</f>
        <v>0</v>
      </c>
      <c r="K38" s="72">
        <f>IF(B38=0,"",IFERROR(VLOOKUP(B38,'S-ASIG-05'!$B$5:$E$88,4,0),0))</f>
        <v>4.2799999999999994</v>
      </c>
      <c r="L38" s="72">
        <f>IF(B38=0,"",IFERROR(VLOOKUP(B38,'S-ASIG-06'!$B$5:$E$88,4,0),0))</f>
        <v>0</v>
      </c>
      <c r="M38" s="73">
        <f>IF(B38=0,"",IFERROR(VLOOKUP(B38,'S-ASIG-07'!$B$5:$E$88,4,0),0))</f>
        <v>0</v>
      </c>
      <c r="N38" s="68" t="s">
        <v>133</v>
      </c>
      <c r="O38" s="71">
        <f>IF(B38=0,"",IFERROR(VLOOKUP(B38,'T-ASIG-01'!$B$5:$D$88,3,0),0))</f>
        <v>4.5</v>
      </c>
      <c r="P38" s="72">
        <f>IF(B38=0,"",IFERROR(VLOOKUP(B38,'T-ASIG-02'!$B$5:$D$88,3,0),0))</f>
        <v>4.55</v>
      </c>
      <c r="Q38" s="72">
        <f>IF(B38=0,"",IFERROR(VLOOKUP(B38,'T-ASIG-03'!$B$5:$D$88,3,0),0))</f>
        <v>4.5</v>
      </c>
      <c r="R38" s="72">
        <f>IF(B38=0,"",IFERROR(VLOOKUP(B38,'T-ASIG-04'!$B$5:$D$88,3,0),0))</f>
        <v>4.5</v>
      </c>
      <c r="S38" s="72">
        <f>IF(B38=0,"",IFERROR(VLOOKUP(B38,'T-ASIG-05'!$B$5:$D$88,3,0),0))</f>
        <v>4.5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134</v>
      </c>
    </row>
    <row r="39" spans="1:22" ht="15" customHeight="1">
      <c r="A39" s="12">
        <v>35</v>
      </c>
      <c r="B39" s="70" t="str">
        <f>LIDER!C43</f>
        <v>SHARONE JANNINE ORDOÑEZ ESCUDERO</v>
      </c>
      <c r="C39" s="64" t="str">
        <f>IF(B39=0,"",IFERROR(VLOOKUP(B39,'S-ASIG-01'!$B$5:$E$88,2,0),0))</f>
        <v>G08</v>
      </c>
      <c r="D39" s="65">
        <f t="shared" si="2"/>
        <v>4.2349999999999994</v>
      </c>
      <c r="E39" s="66">
        <f t="shared" si="3"/>
        <v>4.51</v>
      </c>
      <c r="F39" s="47"/>
      <c r="G39" s="71">
        <f>IF(B39=0,"",IFERROR(VLOOKUP(B39,'S-ASIG-01'!$B$5:$E$88,4,0),0))</f>
        <v>4.26</v>
      </c>
      <c r="H39" s="72">
        <f>IF(B39=0,"",IFERROR(VLOOKUP(B39,'S-ASIG-02'!$B$5:$E$88,4,0),0))</f>
        <v>4.2</v>
      </c>
      <c r="I39" s="72">
        <f>IF(B39=0,"",IFERROR(VLOOKUP(B39,'S-ASIG-03'!$B$5:$E$88,4,0),0))</f>
        <v>4.2</v>
      </c>
      <c r="J39" s="72">
        <f>IF(B39=0,"",IFERROR(VLOOKUP(B39,'S-ASIG-04'!$B$5:$E$88,4,0),0))</f>
        <v>0</v>
      </c>
      <c r="K39" s="72">
        <f>IF(B39=0,"",IFERROR(VLOOKUP(B39,'S-ASIG-05'!$B$5:$E$88,4,0),0))</f>
        <v>4.2799999999999994</v>
      </c>
      <c r="L39" s="72">
        <f>IF(B39=0,"",IFERROR(VLOOKUP(B39,'S-ASIG-06'!$B$5:$E$88,4,0),0))</f>
        <v>0</v>
      </c>
      <c r="M39" s="73">
        <f>IF(B39=0,"",IFERROR(VLOOKUP(B39,'S-ASIG-07'!$B$5:$E$88,4,0),0))</f>
        <v>0</v>
      </c>
      <c r="N39" s="68" t="s">
        <v>133</v>
      </c>
      <c r="O39" s="71">
        <f>IF(B39=0,"",IFERROR(VLOOKUP(B39,'T-ASIG-01'!$B$5:$D$88,3,0),0))</f>
        <v>4.5</v>
      </c>
      <c r="P39" s="72">
        <f>IF(B39=0,"",IFERROR(VLOOKUP(B39,'T-ASIG-02'!$B$5:$D$88,3,0),0))</f>
        <v>4.55</v>
      </c>
      <c r="Q39" s="72">
        <f>IF(B39=0,"",IFERROR(VLOOKUP(B39,'T-ASIG-03'!$B$5:$D$88,3,0),0))</f>
        <v>4.5</v>
      </c>
      <c r="R39" s="72">
        <f>IF(B39=0,"",IFERROR(VLOOKUP(B39,'T-ASIG-04'!$B$5:$D$88,3,0),0))</f>
        <v>4.5</v>
      </c>
      <c r="S39" s="72">
        <f>IF(B39=0,"",IFERROR(VLOOKUP(B39,'T-ASIG-05'!$B$5:$D$88,3,0),0))</f>
        <v>4.5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134</v>
      </c>
    </row>
    <row r="40" spans="1:22" ht="15" customHeight="1">
      <c r="A40" s="12">
        <v>36</v>
      </c>
      <c r="B40" s="70" t="str">
        <f>LIDER!C44</f>
        <v>ISSAC DAVID ANGULO ZABALETA</v>
      </c>
      <c r="C40" s="64" t="str">
        <f>IF(B40=0,"",IFERROR(VLOOKUP(B40,'S-ASIG-01'!$B$5:$E$88,2,0),0))</f>
        <v>G09</v>
      </c>
      <c r="D40" s="65">
        <f t="shared" si="2"/>
        <v>3.29</v>
      </c>
      <c r="E40" s="66">
        <f t="shared" si="3"/>
        <v>3.96</v>
      </c>
      <c r="F40" s="47"/>
      <c r="G40" s="71">
        <f>IF(B40=0,"",IFERROR(VLOOKUP(B40,'S-ASIG-01'!$B$5:$E$88,4,0),0))</f>
        <v>3.12</v>
      </c>
      <c r="H40" s="72">
        <f>IF(B40=0,"",IFERROR(VLOOKUP(B40,'S-ASIG-02'!$B$5:$E$88,4,0),0))</f>
        <v>3.45</v>
      </c>
      <c r="I40" s="72">
        <f>IF(B40=0,"",IFERROR(VLOOKUP(B40,'S-ASIG-03'!$B$5:$E$88,4,0),0))</f>
        <v>3.2</v>
      </c>
      <c r="J40" s="72">
        <f>IF(B40=0,"",IFERROR(VLOOKUP(B40,'S-ASIG-04'!$B$5:$E$88,4,0),0))</f>
        <v>0</v>
      </c>
      <c r="K40" s="72">
        <f>IF(B40=0,"",IFERROR(VLOOKUP(B40,'S-ASIG-05'!$B$5:$E$88,4,0),0))</f>
        <v>3.3900000000000006</v>
      </c>
      <c r="L40" s="72">
        <f>IF(B40=0,"",IFERROR(VLOOKUP(B40,'S-ASIG-06'!$B$5:$E$88,4,0),0))</f>
        <v>0</v>
      </c>
      <c r="M40" s="73">
        <f>IF(B40=0,"",IFERROR(VLOOKUP(B40,'S-ASIG-07'!$B$5:$E$88,4,0),0))</f>
        <v>0</v>
      </c>
      <c r="N40" s="68" t="s">
        <v>133</v>
      </c>
      <c r="O40" s="71">
        <f>IF(B40=0,"",IFERROR(VLOOKUP(B40,'T-ASIG-01'!$B$5:$D$88,3,0),0))</f>
        <v>3.5</v>
      </c>
      <c r="P40" s="72">
        <f>IF(B40=0,"",IFERROR(VLOOKUP(B40,'T-ASIG-02'!$B$5:$D$88,3,0),0))</f>
        <v>4.1000000000000005</v>
      </c>
      <c r="Q40" s="72">
        <f>IF(B40=0,"",IFERROR(VLOOKUP(B40,'T-ASIG-03'!$B$5:$D$88,3,0),0))</f>
        <v>4.2</v>
      </c>
      <c r="R40" s="72">
        <f>IF(B40=0,"",IFERROR(VLOOKUP(B40,'T-ASIG-04'!$B$5:$D$88,3,0),0))</f>
        <v>4</v>
      </c>
      <c r="S40" s="72">
        <f>IF(B40=0,"",IFERROR(VLOOKUP(B40,'T-ASIG-05'!$B$5:$D$88,3,0),0))</f>
        <v>4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134</v>
      </c>
    </row>
    <row r="41" spans="1:22" ht="15" customHeight="1">
      <c r="A41" s="12">
        <v>37</v>
      </c>
      <c r="B41" s="70" t="str">
        <f>LIDER!C45</f>
        <v>ANDRES FELIPE ARROYO PARRA</v>
      </c>
      <c r="C41" s="64" t="str">
        <f>IF(B41=0,"",IFERROR(VLOOKUP(B41,'S-ASIG-01'!$B$5:$E$88,2,0),0))</f>
        <v>G09</v>
      </c>
      <c r="D41" s="65">
        <f t="shared" si="2"/>
        <v>3.29</v>
      </c>
      <c r="E41" s="66">
        <f t="shared" si="3"/>
        <v>3.96</v>
      </c>
      <c r="F41" s="47"/>
      <c r="G41" s="71">
        <f>IF(B41=0,"",IFERROR(VLOOKUP(B41,'S-ASIG-01'!$B$5:$E$88,4,0),0))</f>
        <v>3.12</v>
      </c>
      <c r="H41" s="72">
        <f>IF(B41=0,"",IFERROR(VLOOKUP(B41,'S-ASIG-02'!$B$5:$E$88,4,0),0))</f>
        <v>3.45</v>
      </c>
      <c r="I41" s="72">
        <f>IF(B41=0,"",IFERROR(VLOOKUP(B41,'S-ASIG-03'!$B$5:$E$88,4,0),0))</f>
        <v>3.2</v>
      </c>
      <c r="J41" s="72">
        <f>IF(B41=0,"",IFERROR(VLOOKUP(B41,'S-ASIG-04'!$B$5:$E$88,4,0),0))</f>
        <v>0</v>
      </c>
      <c r="K41" s="72">
        <f>IF(B41=0,"",IFERROR(VLOOKUP(B41,'S-ASIG-05'!$B$5:$E$88,4,0),0))</f>
        <v>3.3900000000000006</v>
      </c>
      <c r="L41" s="72">
        <f>IF(B41=0,"",IFERROR(VLOOKUP(B41,'S-ASIG-06'!$B$5:$E$88,4,0),0))</f>
        <v>0</v>
      </c>
      <c r="M41" s="73">
        <f>IF(B41=0,"",IFERROR(VLOOKUP(B41,'S-ASIG-07'!$B$5:$E$88,4,0),0))</f>
        <v>0</v>
      </c>
      <c r="N41" s="68" t="s">
        <v>133</v>
      </c>
      <c r="O41" s="71">
        <f>IF(B41=0,"",IFERROR(VLOOKUP(B41,'T-ASIG-01'!$B$5:$D$88,3,0),0))</f>
        <v>3.5</v>
      </c>
      <c r="P41" s="72">
        <f>IF(B41=0,"",IFERROR(VLOOKUP(B41,'T-ASIG-02'!$B$5:$D$88,3,0),0))</f>
        <v>4.1000000000000005</v>
      </c>
      <c r="Q41" s="72">
        <f>IF(B41=0,"",IFERROR(VLOOKUP(B41,'T-ASIG-03'!$B$5:$D$88,3,0),0))</f>
        <v>4.2</v>
      </c>
      <c r="R41" s="72">
        <f>IF(B41=0,"",IFERROR(VLOOKUP(B41,'T-ASIG-04'!$B$5:$D$88,3,0),0))</f>
        <v>4</v>
      </c>
      <c r="S41" s="72">
        <f>IF(B41=0,"",IFERROR(VLOOKUP(B41,'T-ASIG-05'!$B$5:$D$88,3,0),0))</f>
        <v>4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134</v>
      </c>
    </row>
    <row r="42" spans="1:22" ht="15" customHeight="1">
      <c r="A42" s="12">
        <v>38</v>
      </c>
      <c r="B42" s="70" t="str">
        <f>LIDER!C46</f>
        <v>DANNA ALEJANDRA CASTRO ESPINOSA</v>
      </c>
      <c r="C42" s="64" t="str">
        <f>IF(B42=0,"",IFERROR(VLOOKUP(B42,'S-ASIG-01'!$B$5:$E$88,2,0),0))</f>
        <v>G09</v>
      </c>
      <c r="D42" s="65">
        <f t="shared" si="2"/>
        <v>3.29</v>
      </c>
      <c r="E42" s="66">
        <f t="shared" si="3"/>
        <v>3.96</v>
      </c>
      <c r="F42" s="47"/>
      <c r="G42" s="71">
        <f>IF(B42=0,"",IFERROR(VLOOKUP(B42,'S-ASIG-01'!$B$5:$E$88,4,0),0))</f>
        <v>3.12</v>
      </c>
      <c r="H42" s="72">
        <f>IF(B42=0,"",IFERROR(VLOOKUP(B42,'S-ASIG-02'!$B$5:$E$88,4,0),0))</f>
        <v>3.45</v>
      </c>
      <c r="I42" s="72">
        <f>IF(B42=0,"",IFERROR(VLOOKUP(B42,'S-ASIG-03'!$B$5:$E$88,4,0),0))</f>
        <v>3.2</v>
      </c>
      <c r="J42" s="72">
        <f>IF(B42=0,"",IFERROR(VLOOKUP(B42,'S-ASIG-04'!$B$5:$E$88,4,0),0))</f>
        <v>0</v>
      </c>
      <c r="K42" s="72">
        <f>IF(B42=0,"",IFERROR(VLOOKUP(B42,'S-ASIG-05'!$B$5:$E$88,4,0),0))</f>
        <v>3.3900000000000006</v>
      </c>
      <c r="L42" s="72">
        <f>IF(B42=0,"",IFERROR(VLOOKUP(B42,'S-ASIG-06'!$B$5:$E$88,4,0),0))</f>
        <v>0</v>
      </c>
      <c r="M42" s="73">
        <f>IF(B42=0,"",IFERROR(VLOOKUP(B42,'S-ASIG-07'!$B$5:$E$88,4,0),0))</f>
        <v>0</v>
      </c>
      <c r="N42" s="68" t="s">
        <v>133</v>
      </c>
      <c r="O42" s="71">
        <f>IF(B42=0,"",IFERROR(VLOOKUP(B42,'T-ASIG-01'!$B$5:$D$88,3,0),0))</f>
        <v>3.5</v>
      </c>
      <c r="P42" s="72">
        <f>IF(B42=0,"",IFERROR(VLOOKUP(B42,'T-ASIG-02'!$B$5:$D$88,3,0),0))</f>
        <v>4.1000000000000005</v>
      </c>
      <c r="Q42" s="72">
        <f>IF(B42=0,"",IFERROR(VLOOKUP(B42,'T-ASIG-03'!$B$5:$D$88,3,0),0))</f>
        <v>4.2</v>
      </c>
      <c r="R42" s="72">
        <f>IF(B42=0,"",IFERROR(VLOOKUP(B42,'T-ASIG-04'!$B$5:$D$88,3,0),0))</f>
        <v>4</v>
      </c>
      <c r="S42" s="72">
        <f>IF(B42=0,"",IFERROR(VLOOKUP(B42,'T-ASIG-05'!$B$5:$D$88,3,0),0))</f>
        <v>4</v>
      </c>
      <c r="T42" s="72">
        <f>IF(B42=0,"",IFERROR(VLOOKUP(B42,'T-ASIG-06'!$B$5:$D$88,3,0),0))</f>
        <v>0</v>
      </c>
      <c r="U42" s="73">
        <f>IF(B42=0,"",IFERROR(VLOOKUP(B42,'T-ASIG-07'!$B$5:$D$88,3,0),0))</f>
        <v>0</v>
      </c>
      <c r="V42" s="69" t="s">
        <v>134</v>
      </c>
    </row>
    <row r="43" spans="1:22" ht="15" customHeight="1">
      <c r="A43" s="12">
        <v>39</v>
      </c>
      <c r="B43" s="70" t="str">
        <f>LIDER!C47</f>
        <v>JUAN DAVID LOPEZ VIDES</v>
      </c>
      <c r="C43" s="64" t="str">
        <f>IF(B43=0,"",IFERROR(VLOOKUP(B43,'S-ASIG-01'!$B$5:$E$88,2,0),0))</f>
        <v>G09</v>
      </c>
      <c r="D43" s="65">
        <f t="shared" si="2"/>
        <v>3.29</v>
      </c>
      <c r="E43" s="66">
        <f t="shared" si="3"/>
        <v>3.96</v>
      </c>
      <c r="F43" s="47"/>
      <c r="G43" s="71">
        <f>IF(B43=0,"",IFERROR(VLOOKUP(B43,'S-ASIG-01'!$B$5:$E$88,4,0),0))</f>
        <v>3.12</v>
      </c>
      <c r="H43" s="72">
        <f>IF(B43=0,"",IFERROR(VLOOKUP(B43,'S-ASIG-02'!$B$5:$E$88,4,0),0))</f>
        <v>3.45</v>
      </c>
      <c r="I43" s="72">
        <f>IF(B43=0,"",IFERROR(VLOOKUP(B43,'S-ASIG-03'!$B$5:$E$88,4,0),0))</f>
        <v>3.2</v>
      </c>
      <c r="J43" s="72">
        <f>IF(B43=0,"",IFERROR(VLOOKUP(B43,'S-ASIG-04'!$B$5:$E$88,4,0),0))</f>
        <v>0</v>
      </c>
      <c r="K43" s="72">
        <f>IF(B43=0,"",IFERROR(VLOOKUP(B43,'S-ASIG-05'!$B$5:$E$88,4,0),0))</f>
        <v>3.3900000000000006</v>
      </c>
      <c r="L43" s="72">
        <f>IF(B43=0,"",IFERROR(VLOOKUP(B43,'S-ASIG-06'!$B$5:$E$88,4,0),0))</f>
        <v>0</v>
      </c>
      <c r="M43" s="73">
        <f>IF(B43=0,"",IFERROR(VLOOKUP(B43,'S-ASIG-07'!$B$5:$E$88,4,0),0))</f>
        <v>0</v>
      </c>
      <c r="N43" s="68" t="s">
        <v>133</v>
      </c>
      <c r="O43" s="71">
        <f>IF(B43=0,"",IFERROR(VLOOKUP(B43,'T-ASIG-01'!$B$5:$D$88,3,0),0))</f>
        <v>3.5</v>
      </c>
      <c r="P43" s="72">
        <f>IF(B43=0,"",IFERROR(VLOOKUP(B43,'T-ASIG-02'!$B$5:$D$88,3,0),0))</f>
        <v>4.1000000000000005</v>
      </c>
      <c r="Q43" s="72">
        <f>IF(B43=0,"",IFERROR(VLOOKUP(B43,'T-ASIG-03'!$B$5:$D$88,3,0),0))</f>
        <v>4.2</v>
      </c>
      <c r="R43" s="72">
        <f>IF(B43=0,"",IFERROR(VLOOKUP(B43,'T-ASIG-04'!$B$5:$D$88,3,0),0))</f>
        <v>4</v>
      </c>
      <c r="S43" s="72">
        <f>IF(B43=0,"",IFERROR(VLOOKUP(B43,'T-ASIG-05'!$B$5:$D$88,3,0),0))</f>
        <v>4</v>
      </c>
      <c r="T43" s="72">
        <f>IF(B43=0,"",IFERROR(VLOOKUP(B43,'T-ASIG-06'!$B$5:$D$88,3,0),0))</f>
        <v>0</v>
      </c>
      <c r="U43" s="73">
        <f>IF(B43=0,"",IFERROR(VLOOKUP(B43,'T-ASIG-07'!$B$5:$D$88,3,0),0))</f>
        <v>0</v>
      </c>
      <c r="V43" s="69" t="s">
        <v>134</v>
      </c>
    </row>
    <row r="44" spans="1:22" ht="15" customHeight="1">
      <c r="A44" s="12">
        <v>40</v>
      </c>
      <c r="B44" s="70" t="str">
        <f>LIDER!C48</f>
        <v>ALEJANDRA MORENO VILLALOBO</v>
      </c>
      <c r="C44" s="64" t="str">
        <f>IF(B44=0,"",IFERROR(VLOOKUP(B44,'S-ASIG-01'!$B$5:$E$88,2,0),0))</f>
        <v>G09</v>
      </c>
      <c r="D44" s="65">
        <f t="shared" si="2"/>
        <v>3.29</v>
      </c>
      <c r="E44" s="66">
        <f t="shared" si="3"/>
        <v>3.96</v>
      </c>
      <c r="F44" s="47"/>
      <c r="G44" s="71">
        <f>IF(B44=0,"",IFERROR(VLOOKUP(B44,'S-ASIG-01'!$B$5:$E$88,4,0),0))</f>
        <v>3.12</v>
      </c>
      <c r="H44" s="72">
        <f>IF(B44=0,"",IFERROR(VLOOKUP(B44,'S-ASIG-02'!$B$5:$E$88,4,0),0))</f>
        <v>3.45</v>
      </c>
      <c r="I44" s="72">
        <f>IF(B44=0,"",IFERROR(VLOOKUP(B44,'S-ASIG-03'!$B$5:$E$88,4,0),0))</f>
        <v>3.2</v>
      </c>
      <c r="J44" s="72">
        <f>IF(B44=0,"",IFERROR(VLOOKUP(B44,'S-ASIG-04'!$B$5:$E$88,4,0),0))</f>
        <v>0</v>
      </c>
      <c r="K44" s="72">
        <f>IF(B44=0,"",IFERROR(VLOOKUP(B44,'S-ASIG-05'!$B$5:$E$88,4,0),0))</f>
        <v>3.3900000000000006</v>
      </c>
      <c r="L44" s="72">
        <f>IF(B44=0,"",IFERROR(VLOOKUP(B44,'S-ASIG-06'!$B$5:$E$88,4,0),0))</f>
        <v>0</v>
      </c>
      <c r="M44" s="73">
        <f>IF(B44=0,"",IFERROR(VLOOKUP(B44,'S-ASIG-07'!$B$5:$E$88,4,0),0))</f>
        <v>0</v>
      </c>
      <c r="N44" s="68" t="s">
        <v>133</v>
      </c>
      <c r="O44" s="71">
        <f>IF(B44=0,"",IFERROR(VLOOKUP(B44,'T-ASIG-01'!$B$5:$D$88,3,0),0))</f>
        <v>3.5</v>
      </c>
      <c r="P44" s="72">
        <f>IF(B44=0,"",IFERROR(VLOOKUP(B44,'T-ASIG-02'!$B$5:$D$88,3,0),0))</f>
        <v>4.1000000000000005</v>
      </c>
      <c r="Q44" s="72">
        <f>IF(B44=0,"",IFERROR(VLOOKUP(B44,'T-ASIG-03'!$B$5:$D$88,3,0),0))</f>
        <v>4.2</v>
      </c>
      <c r="R44" s="72">
        <f>IF(B44=0,"",IFERROR(VLOOKUP(B44,'T-ASIG-04'!$B$5:$D$88,3,0),0))</f>
        <v>4</v>
      </c>
      <c r="S44" s="72">
        <f>IF(B44=0,"",IFERROR(VLOOKUP(B44,'T-ASIG-05'!$B$5:$D$88,3,0),0))</f>
        <v>4</v>
      </c>
      <c r="T44" s="72">
        <f>IF(B44=0,"",IFERROR(VLOOKUP(B44,'T-ASIG-06'!$B$5:$D$88,3,0),0))</f>
        <v>0</v>
      </c>
      <c r="U44" s="73">
        <f>IF(B44=0,"",IFERROR(VLOOKUP(B44,'T-ASIG-07'!$B$5:$D$88,3,0),0))</f>
        <v>0</v>
      </c>
      <c r="V44" s="69" t="s">
        <v>134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133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134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133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134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133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134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133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134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133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134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133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134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133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134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133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134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133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134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133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134</v>
      </c>
    </row>
  </sheetData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JORGE LUIS PUERTA SALAS</cp:lastModifiedBy>
  <cp:revision/>
  <dcterms:created xsi:type="dcterms:W3CDTF">2025-09-29T20:45:44Z</dcterms:created>
  <dcterms:modified xsi:type="dcterms:W3CDTF">2026-05-20T00:40:46Z</dcterms:modified>
  <cp:category/>
  <cp:contentStatus/>
</cp:coreProperties>
</file>