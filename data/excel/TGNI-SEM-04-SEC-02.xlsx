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4/"/>
    </mc:Choice>
  </mc:AlternateContent>
  <xr:revisionPtr revIDLastSave="736" documentId="13_ncr:1_{873B306B-7452-46B3-9F3B-D3EECACDA568}" xr6:coauthVersionLast="47" xr6:coauthVersionMax="47" xr10:uidLastSave="{566BEA2B-9263-4D48-B713-47CAE53315B0}"/>
  <bookViews>
    <workbookView xWindow="-120" yWindow="-120" windowWidth="20730" windowHeight="11040" tabRatio="815" firstSheet="9" activeTab="9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5" sheetId="6" r:id="rId12"/>
    <sheet name="T-ASIG-06" sheetId="7" r:id="rId13"/>
    <sheet name="T-ASIG-07" sheetId="16" r:id="rId14"/>
    <sheet name="DEFINITIVAS" sheetId="8" r:id="rId15"/>
    <sheet name="T-ASIG-04" sheetId="5" r:id="rId16"/>
  </sheets>
  <definedNames>
    <definedName name="_xlnm._FilterDatabase" localSheetId="14" hidden="1">DEFINITIVAS!$B$4:$E$4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B44" i="7"/>
  <c r="D44" i="7" s="1"/>
  <c r="B43" i="7"/>
  <c r="B42" i="7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E23" i="15"/>
  <c r="B23" i="15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E31" i="14"/>
  <c r="B31" i="14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E23" i="13"/>
  <c r="B23" i="13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E23" i="10"/>
  <c r="B23" i="10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6" i="4" l="1"/>
  <c r="D45" i="7"/>
  <c r="D42" i="7"/>
  <c r="D9" i="7"/>
  <c r="D18" i="7"/>
  <c r="D42" i="3"/>
  <c r="D36" i="6"/>
  <c r="D22" i="5"/>
  <c r="D22" i="7"/>
  <c r="D21" i="4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42" i="8"/>
  <c r="B33" i="8"/>
  <c r="B29" i="8"/>
  <c r="B34" i="8"/>
  <c r="B39" i="8"/>
  <c r="B30" i="8"/>
  <c r="B46" i="8"/>
  <c r="B35" i="8"/>
  <c r="B43" i="8"/>
  <c r="B49" i="8"/>
  <c r="B5" i="8"/>
  <c r="B31" i="8"/>
  <c r="B6" i="8"/>
  <c r="B7" i="8"/>
  <c r="B36" i="8"/>
  <c r="B44" i="8"/>
  <c r="B45" i="8"/>
  <c r="B8" i="8"/>
  <c r="B37" i="8"/>
  <c r="B38" i="8"/>
  <c r="B47" i="8"/>
  <c r="B40" i="8"/>
  <c r="B41" i="8"/>
  <c r="B50" i="8"/>
  <c r="B48" i="8"/>
  <c r="B32" i="8"/>
  <c r="B51" i="8"/>
  <c r="B52" i="8"/>
  <c r="B53" i="8"/>
  <c r="B54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H7" i="8" l="1"/>
  <c r="H6" i="8"/>
  <c r="I14" i="8"/>
  <c r="I9" i="8"/>
  <c r="I6" i="8"/>
  <c r="H50" i="8"/>
  <c r="M50" i="8"/>
  <c r="L50" i="8"/>
  <c r="D23" i="8"/>
  <c r="I50" i="8"/>
  <c r="K50" i="8"/>
  <c r="J50" i="8"/>
  <c r="O50" i="8"/>
  <c r="P50" i="8"/>
  <c r="Q50" i="8"/>
  <c r="C23" i="8"/>
  <c r="R50" i="8"/>
  <c r="S50" i="8"/>
  <c r="E23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22" i="8"/>
  <c r="E22" i="8"/>
  <c r="M49" i="8"/>
  <c r="L49" i="8"/>
  <c r="G49" i="8"/>
  <c r="K49" i="8"/>
  <c r="J49" i="8"/>
  <c r="C22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24" i="8"/>
  <c r="H51" i="8"/>
  <c r="E24" i="8"/>
  <c r="M51" i="8"/>
  <c r="L51" i="8"/>
  <c r="G51" i="8"/>
  <c r="K51" i="8"/>
  <c r="J51" i="8"/>
  <c r="O51" i="8"/>
  <c r="P51" i="8"/>
  <c r="C24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19" i="8"/>
  <c r="P46" i="8"/>
  <c r="Q46" i="8"/>
  <c r="R46" i="8"/>
  <c r="S46" i="8"/>
  <c r="T46" i="8"/>
  <c r="U46" i="8"/>
  <c r="H46" i="8"/>
  <c r="D19" i="8"/>
  <c r="E19" i="8"/>
  <c r="M46" i="8"/>
  <c r="I46" i="8"/>
  <c r="K45" i="8"/>
  <c r="J45" i="8"/>
  <c r="P45" i="8"/>
  <c r="C18" i="8"/>
  <c r="Q45" i="8"/>
  <c r="R45" i="8"/>
  <c r="S45" i="8"/>
  <c r="T45" i="8"/>
  <c r="U45" i="8"/>
  <c r="H45" i="8"/>
  <c r="D18" i="8"/>
  <c r="E18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17" i="8"/>
  <c r="R44" i="8"/>
  <c r="S44" i="8"/>
  <c r="T44" i="8"/>
  <c r="U44" i="8"/>
  <c r="H44" i="8"/>
  <c r="D17" i="8"/>
  <c r="E17" i="8"/>
  <c r="M44" i="8"/>
  <c r="I44" i="8"/>
  <c r="L44" i="8"/>
  <c r="G44" i="8"/>
  <c r="P44" i="8"/>
  <c r="K28" i="8"/>
  <c r="J28" i="8"/>
  <c r="H28" i="8"/>
  <c r="M28" i="8"/>
  <c r="I28" i="8"/>
  <c r="L28" i="8"/>
  <c r="T52" i="8"/>
  <c r="E25" i="8"/>
  <c r="U52" i="8"/>
  <c r="H52" i="8"/>
  <c r="D25" i="8"/>
  <c r="I52" i="8"/>
  <c r="L52" i="8"/>
  <c r="G52" i="8"/>
  <c r="K52" i="8"/>
  <c r="J52" i="8"/>
  <c r="O52" i="8"/>
  <c r="P52" i="8"/>
  <c r="C25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16" i="8"/>
  <c r="E16" i="8"/>
  <c r="M43" i="8"/>
  <c r="I43" i="8"/>
  <c r="L43" i="8"/>
  <c r="G43" i="8"/>
  <c r="K43" i="8"/>
  <c r="O43" i="8"/>
  <c r="Q43" i="8"/>
  <c r="C16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15" i="8"/>
  <c r="S42" i="8"/>
  <c r="T42" i="8"/>
  <c r="U42" i="8"/>
  <c r="H42" i="8"/>
  <c r="D15" i="8"/>
  <c r="E15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14" i="8"/>
  <c r="E14" i="8"/>
  <c r="M41" i="8"/>
  <c r="I41" i="8"/>
  <c r="L41" i="8"/>
  <c r="G41" i="8"/>
  <c r="Q41" i="8"/>
  <c r="K41" i="8"/>
  <c r="J41" i="8"/>
  <c r="C14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13" i="8"/>
  <c r="Q40" i="8"/>
  <c r="R40" i="8"/>
  <c r="S40" i="8"/>
  <c r="U40" i="8"/>
  <c r="H40" i="8"/>
  <c r="D13" i="8"/>
  <c r="E13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20" i="8"/>
  <c r="O47" i="8"/>
  <c r="P47" i="8"/>
  <c r="Q47" i="8"/>
  <c r="R47" i="8"/>
  <c r="S47" i="8"/>
  <c r="T47" i="8"/>
  <c r="U47" i="8"/>
  <c r="H47" i="8"/>
  <c r="D20" i="8"/>
  <c r="E20" i="8"/>
  <c r="M47" i="8"/>
  <c r="E21" i="8"/>
  <c r="M48" i="8"/>
  <c r="L48" i="8"/>
  <c r="G48" i="8"/>
  <c r="K48" i="8"/>
  <c r="I48" i="8"/>
  <c r="J48" i="8"/>
  <c r="O48" i="8"/>
  <c r="P48" i="8"/>
  <c r="Q48" i="8"/>
  <c r="C21" i="8"/>
  <c r="R48" i="8"/>
  <c r="S48" i="8"/>
  <c r="T48" i="8"/>
  <c r="U48" i="8"/>
  <c r="H48" i="8"/>
  <c r="D21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27" i="8"/>
  <c r="E27" i="8"/>
  <c r="M54" i="8"/>
  <c r="I54" i="8"/>
  <c r="L54" i="8"/>
  <c r="G54" i="8"/>
  <c r="K54" i="8"/>
  <c r="J54" i="8"/>
  <c r="O54" i="8"/>
  <c r="P54" i="8"/>
  <c r="T54" i="8"/>
  <c r="Q54" i="8"/>
  <c r="C27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26" i="8"/>
  <c r="E26" i="8"/>
  <c r="M53" i="8"/>
  <c r="I53" i="8"/>
  <c r="L53" i="8"/>
  <c r="G53" i="8"/>
  <c r="K53" i="8"/>
  <c r="J53" i="8"/>
  <c r="O53" i="8"/>
  <c r="P53" i="8"/>
  <c r="Q53" i="8"/>
  <c r="C26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6" i="8"/>
  <c r="O39" i="8"/>
  <c r="G39" i="8"/>
  <c r="P39" i="8"/>
  <c r="Q39" i="8"/>
  <c r="R39" i="8"/>
  <c r="S39" i="8"/>
  <c r="U39" i="8"/>
  <c r="C12" i="8"/>
  <c r="T39" i="8"/>
  <c r="R35" i="8"/>
  <c r="S35" i="8"/>
  <c r="G35" i="8"/>
  <c r="T35" i="8"/>
  <c r="U35" i="8"/>
  <c r="Q35" i="8"/>
  <c r="C54" i="8"/>
  <c r="P35" i="8"/>
  <c r="O35" i="8"/>
  <c r="R27" i="8"/>
  <c r="S27" i="8"/>
  <c r="T27" i="8"/>
  <c r="G27" i="8"/>
  <c r="U27" i="8"/>
  <c r="Q27" i="8"/>
  <c r="C40" i="8"/>
  <c r="O27" i="8"/>
  <c r="P27" i="8"/>
  <c r="R19" i="8"/>
  <c r="S19" i="8"/>
  <c r="G19" i="8"/>
  <c r="T19" i="8"/>
  <c r="U19" i="8"/>
  <c r="O19" i="8"/>
  <c r="Q19" i="8"/>
  <c r="C7" i="8"/>
  <c r="P19" i="8"/>
  <c r="R11" i="8"/>
  <c r="G11" i="8"/>
  <c r="S11" i="8"/>
  <c r="T11" i="8"/>
  <c r="U11" i="8"/>
  <c r="Q11" i="8"/>
  <c r="C30" i="8"/>
  <c r="O11" i="8"/>
  <c r="P11" i="8"/>
  <c r="S26" i="8"/>
  <c r="T26" i="8"/>
  <c r="U26" i="8"/>
  <c r="O26" i="8"/>
  <c r="G26" i="8"/>
  <c r="R26" i="8"/>
  <c r="P26" i="8"/>
  <c r="C47" i="8"/>
  <c r="Q26" i="8"/>
  <c r="S10" i="8"/>
  <c r="T10" i="8"/>
  <c r="U10" i="8"/>
  <c r="O10" i="8"/>
  <c r="G10" i="8"/>
  <c r="R10" i="8"/>
  <c r="P10" i="8"/>
  <c r="Q10" i="8"/>
  <c r="C39" i="8"/>
  <c r="T33" i="8"/>
  <c r="U33" i="8"/>
  <c r="O33" i="8"/>
  <c r="G33" i="8"/>
  <c r="P33" i="8"/>
  <c r="S33" i="8"/>
  <c r="Q33" i="8"/>
  <c r="R33" i="8"/>
  <c r="C52" i="8"/>
  <c r="T25" i="8"/>
  <c r="U25" i="8"/>
  <c r="O25" i="8"/>
  <c r="G25" i="8"/>
  <c r="P25" i="8"/>
  <c r="Q25" i="8"/>
  <c r="S25" i="8"/>
  <c r="C38" i="8"/>
  <c r="R25" i="8"/>
  <c r="T17" i="8"/>
  <c r="U17" i="8"/>
  <c r="O17" i="8"/>
  <c r="G17" i="8"/>
  <c r="P17" i="8"/>
  <c r="S17" i="8"/>
  <c r="Q17" i="8"/>
  <c r="C31" i="8"/>
  <c r="R17" i="8"/>
  <c r="T9" i="8"/>
  <c r="U9" i="8"/>
  <c r="O9" i="8"/>
  <c r="G9" i="8"/>
  <c r="P9" i="8"/>
  <c r="Q9" i="8"/>
  <c r="S9" i="8"/>
  <c r="R9" i="8"/>
  <c r="C34" i="8"/>
  <c r="U32" i="8"/>
  <c r="O32" i="8"/>
  <c r="G32" i="8"/>
  <c r="P32" i="8"/>
  <c r="Q32" i="8"/>
  <c r="C51" i="8"/>
  <c r="R32" i="8"/>
  <c r="T32" i="8"/>
  <c r="S32" i="8"/>
  <c r="U24" i="8"/>
  <c r="O24" i="8"/>
  <c r="G24" i="8"/>
  <c r="P24" i="8"/>
  <c r="Q24" i="8"/>
  <c r="C37" i="8"/>
  <c r="T24" i="8"/>
  <c r="R24" i="8"/>
  <c r="S24" i="8"/>
  <c r="U16" i="8"/>
  <c r="O16" i="8"/>
  <c r="G16" i="8"/>
  <c r="P16" i="8"/>
  <c r="Q16" i="8"/>
  <c r="C5" i="8"/>
  <c r="R16" i="8"/>
  <c r="T16" i="8"/>
  <c r="S16" i="8"/>
  <c r="U8" i="8"/>
  <c r="O8" i="8"/>
  <c r="G8" i="8"/>
  <c r="P8" i="8"/>
  <c r="Q8" i="8"/>
  <c r="C29" i="8"/>
  <c r="R8" i="8"/>
  <c r="T8" i="8"/>
  <c r="S8" i="8"/>
  <c r="O23" i="8"/>
  <c r="G23" i="8"/>
  <c r="C8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49" i="8"/>
  <c r="T15" i="8"/>
  <c r="O38" i="8"/>
  <c r="G38" i="8"/>
  <c r="P38" i="8"/>
  <c r="Q38" i="8"/>
  <c r="C11" i="8"/>
  <c r="R38" i="8"/>
  <c r="S38" i="8"/>
  <c r="T38" i="8"/>
  <c r="U38" i="8"/>
  <c r="O30" i="8"/>
  <c r="G30" i="8"/>
  <c r="P30" i="8"/>
  <c r="Q30" i="8"/>
  <c r="C48" i="8"/>
  <c r="R30" i="8"/>
  <c r="S30" i="8"/>
  <c r="T30" i="8"/>
  <c r="U30" i="8"/>
  <c r="O22" i="8"/>
  <c r="G22" i="8"/>
  <c r="P22" i="8"/>
  <c r="Q22" i="8"/>
  <c r="C45" i="8"/>
  <c r="R22" i="8"/>
  <c r="S22" i="8"/>
  <c r="T22" i="8"/>
  <c r="U22" i="8"/>
  <c r="O14" i="8"/>
  <c r="G14" i="8"/>
  <c r="P14" i="8"/>
  <c r="Q14" i="8"/>
  <c r="C43" i="8"/>
  <c r="R14" i="8"/>
  <c r="S14" i="8"/>
  <c r="T14" i="8"/>
  <c r="U14" i="8"/>
  <c r="S34" i="8"/>
  <c r="T34" i="8"/>
  <c r="U34" i="8"/>
  <c r="O34" i="8"/>
  <c r="G34" i="8"/>
  <c r="P34" i="8"/>
  <c r="R34" i="8"/>
  <c r="Q34" i="8"/>
  <c r="C53" i="8"/>
  <c r="O31" i="8"/>
  <c r="G31" i="8"/>
  <c r="P31" i="8"/>
  <c r="C32" i="8"/>
  <c r="Q31" i="8"/>
  <c r="R31" i="8"/>
  <c r="S31" i="8"/>
  <c r="U31" i="8"/>
  <c r="T31" i="8"/>
  <c r="P37" i="8"/>
  <c r="Q37" i="8"/>
  <c r="C10" i="8"/>
  <c r="R37" i="8"/>
  <c r="U37" i="8"/>
  <c r="S37" i="8"/>
  <c r="T37" i="8"/>
  <c r="O37" i="8"/>
  <c r="G37" i="8"/>
  <c r="P29" i="8"/>
  <c r="Q29" i="8"/>
  <c r="C50" i="8"/>
  <c r="R29" i="8"/>
  <c r="S29" i="8"/>
  <c r="T29" i="8"/>
  <c r="O29" i="8"/>
  <c r="G29" i="8"/>
  <c r="U29" i="8"/>
  <c r="P21" i="8"/>
  <c r="U21" i="8"/>
  <c r="Q21" i="8"/>
  <c r="C44" i="8"/>
  <c r="R21" i="8"/>
  <c r="S21" i="8"/>
  <c r="T21" i="8"/>
  <c r="O21" i="8"/>
  <c r="G21" i="8"/>
  <c r="P13" i="8"/>
  <c r="Q13" i="8"/>
  <c r="C35" i="8"/>
  <c r="R13" i="8"/>
  <c r="S13" i="8"/>
  <c r="T13" i="8"/>
  <c r="U13" i="8"/>
  <c r="O13" i="8"/>
  <c r="G13" i="8"/>
  <c r="Q36" i="8"/>
  <c r="C9" i="8"/>
  <c r="R36" i="8"/>
  <c r="S36" i="8"/>
  <c r="T36" i="8"/>
  <c r="U36" i="8"/>
  <c r="P36" i="8"/>
  <c r="G36" i="8"/>
  <c r="O36" i="8"/>
  <c r="Q28" i="8"/>
  <c r="C41" i="8"/>
  <c r="R28" i="8"/>
  <c r="S28" i="8"/>
  <c r="T28" i="8"/>
  <c r="U28" i="8"/>
  <c r="P28" i="8"/>
  <c r="G28" i="8"/>
  <c r="O28" i="8"/>
  <c r="Q20" i="8"/>
  <c r="C36" i="8"/>
  <c r="R20" i="8"/>
  <c r="S20" i="8"/>
  <c r="T20" i="8"/>
  <c r="U20" i="8"/>
  <c r="P20" i="8"/>
  <c r="G20" i="8"/>
  <c r="O20" i="8"/>
  <c r="Q12" i="8"/>
  <c r="C46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33" i="8"/>
  <c r="C42" i="8"/>
  <c r="C28" i="8"/>
  <c r="D45" i="8" l="1"/>
  <c r="D39" i="8"/>
  <c r="D53" i="8"/>
  <c r="D42" i="8"/>
  <c r="D8" i="8"/>
  <c r="D51" i="8"/>
  <c r="D30" i="8"/>
  <c r="D31" i="8"/>
  <c r="D35" i="8"/>
  <c r="D47" i="8"/>
  <c r="D9" i="8"/>
  <c r="D46" i="8"/>
  <c r="D48" i="8"/>
  <c r="D7" i="8"/>
  <c r="D32" i="8"/>
  <c r="D10" i="8"/>
  <c r="D28" i="8"/>
  <c r="D6" i="8"/>
  <c r="D5" i="8"/>
  <c r="D52" i="8"/>
  <c r="D11" i="8"/>
  <c r="D41" i="8"/>
  <c r="D49" i="8"/>
  <c r="D12" i="8"/>
  <c r="D29" i="8"/>
  <c r="D50" i="8"/>
  <c r="D37" i="8"/>
  <c r="D36" i="8"/>
  <c r="D54" i="8"/>
  <c r="E11" i="8"/>
  <c r="D33" i="8"/>
  <c r="D34" i="8"/>
  <c r="D38" i="8"/>
  <c r="D44" i="8"/>
  <c r="D43" i="8"/>
  <c r="D40" i="8"/>
  <c r="E44" i="8"/>
  <c r="E50" i="8"/>
  <c r="E40" i="8"/>
  <c r="E8" i="8"/>
  <c r="E38" i="8"/>
  <c r="E34" i="8"/>
  <c r="E45" i="8"/>
  <c r="E49" i="8"/>
  <c r="E12" i="8"/>
  <c r="E5" i="8"/>
  <c r="E53" i="8"/>
  <c r="E47" i="8"/>
  <c r="E7" i="8"/>
  <c r="E46" i="8"/>
  <c r="E41" i="8"/>
  <c r="E29" i="8"/>
  <c r="E51" i="8"/>
  <c r="E35" i="8"/>
  <c r="E28" i="8"/>
  <c r="E54" i="8"/>
  <c r="E31" i="8"/>
  <c r="E52" i="8"/>
  <c r="E33" i="8"/>
  <c r="E32" i="8"/>
  <c r="E43" i="8"/>
  <c r="E37" i="8"/>
  <c r="E48" i="8"/>
  <c r="E10" i="8"/>
  <c r="E6" i="8"/>
  <c r="E36" i="8"/>
  <c r="E9" i="8"/>
  <c r="E39" i="8"/>
  <c r="E30" i="8"/>
  <c r="E42" i="8"/>
</calcChain>
</file>

<file path=xl/sharedStrings.xml><?xml version="1.0" encoding="utf-8"?>
<sst xmlns="http://schemas.openxmlformats.org/spreadsheetml/2006/main" count="698" uniqueCount="124">
  <si>
    <t>TECNOLOGÍA EN GESTIÓN DE NEGOCIOS INTERN</t>
  </si>
  <si>
    <t>SEMESTRE:</t>
  </si>
  <si>
    <t>SEM-04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</si>
  <si>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</si>
  <si>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</si>
  <si>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</si>
  <si>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</si>
  <si>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</si>
  <si>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</si>
  <si>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</si>
  <si>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</si>
  <si>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ELECTIVA DE PROFUNDIZACION I</t>
  </si>
  <si>
    <t>ETICA</t>
  </si>
  <si>
    <t>IMPORTACIONES Y EXPORTACIONES</t>
  </si>
  <si>
    <t>ESTADÍSTICA</t>
  </si>
  <si>
    <t>FUNDAMENTOS DE MERCADEO</t>
  </si>
  <si>
    <t>FUNDAMENTOS DE FINANZAS</t>
  </si>
  <si>
    <t>SANDRA MILENA CASTAÑO GIRALDO</t>
  </si>
  <si>
    <t>LEIDY ENID QUINTERO SÁNCHEZ</t>
  </si>
  <si>
    <t>JEYSSON STEEVEN ANILLO CARRANZA</t>
  </si>
  <si>
    <t>ANTONIO OSPINO RODRIGUEZ</t>
  </si>
  <si>
    <t>GABRIEL EDUARDO CARDONA TUÑON</t>
  </si>
  <si>
    <t>LEONARDO CARLOS DE ORO BARRIOS</t>
  </si>
  <si>
    <t>LISTA DE ESTUDIANTES</t>
  </si>
  <si>
    <t>SEGUNDA ENTREGA - CRITERIO DE EVALUACIÓN DOCUMENTO - SEGUNDO CORTE</t>
  </si>
  <si>
    <t>PONDERACIÓN</t>
  </si>
  <si>
    <t>ADMINISTRACIÓN DE EMPRESAS C.I</t>
  </si>
  <si>
    <t>BARRIOS BENITEZ EMILY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</si>
  <si>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</si>
  <si>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</si>
  <si>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BARRIOS CUADRADO HEILIN TATIANA</t>
  </si>
  <si>
    <t>ANTEPROYECTO: Portada, planteamiento del problema, justificacion del trabajo o proyecto de aula, objetivos, marco teorico, diseño metodologico.</t>
  </si>
  <si>
    <t>CONTADURÍA PÚBLICA</t>
  </si>
  <si>
    <t>CARMONA SIERRA YIRLEIS PATRICIA</t>
  </si>
  <si>
    <t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t>
  </si>
  <si>
    <t>NEGOCIOS INTERNACIONALES PROFESIONAL</t>
  </si>
  <si>
    <t>CASTILLO VILLA NELDA SOFIA</t>
  </si>
  <si>
    <t>BILIOGRAFIA: Las referencias bibliograficas adoptan las normas APA. El documento es producto de un rastreo bibliografico que muestra analisis y sistensis.</t>
  </si>
  <si>
    <t>CASUSOL RODRIGUEZ AYLIN MARIANA</t>
  </si>
  <si>
    <t>ASESORIAS: Anexó la hoja de tutoria firmada ( 3 fimas minmimo).</t>
  </si>
  <si>
    <t>TECNOLOGíA EN GESTION CONTABLE</t>
  </si>
  <si>
    <t>CHAVEZ ARRIETA EVELYN SHARY</t>
  </si>
  <si>
    <t>TECNOLOGÍA EN GESTIÓN DE MARKETING</t>
  </si>
  <si>
    <t>DE ARCOS AVENDAÑO SAID JADITH</t>
  </si>
  <si>
    <t>TECNOLOGÍA EN GESTIÓN DEL TALENTO HUMANO</t>
  </si>
  <si>
    <t>DONADO ALMANZA DAVID</t>
  </si>
  <si>
    <t>TECNOLOGÍA EN GESTIÓN FINANCIERA</t>
  </si>
  <si>
    <t>ESMERAL CORDERO NORIETH CAROLINA</t>
  </si>
  <si>
    <t>TECNOLOGÍA EN GESTIÓN LOGISTICA Y PORTUARIA</t>
  </si>
  <si>
    <t>GARCIA MATUTE VALERIE DANIELA</t>
  </si>
  <si>
    <t>ENTREGA FINAL - CRITERIO DE EVALUACIÓN SUSTENTACIÓN - TERCER CORTE</t>
  </si>
  <si>
    <t>TECNOLOGÍA EN GESTIÓN TURISTICA Y HOTELERA</t>
  </si>
  <si>
    <t>GOMEZ JULIO LUIS DANIEL</t>
  </si>
  <si>
    <t>Evaluación del Documento Final</t>
  </si>
  <si>
    <t>HERRERA DIAZ OSCAR JOSUE</t>
  </si>
  <si>
    <t>Sustentación de los Resultados: Se refleja un dominio del tema, la  información está delimitada y es clara. Hay una jerarquía y fluidez en las ideas que presenta.</t>
  </si>
  <si>
    <t>HERRERA TEJEDOR BRENDIS VANESA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</si>
  <si>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</si>
  <si>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JACOME PERALTA DIEGO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</si>
  <si>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</si>
  <si>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MADRID BORDA JESUS ALBERTO</t>
  </si>
  <si>
    <t>Tiempo: El uso del tiempo fue apropiado, se ajusta al previsto.
Ofrece una conclusión donde condensa las ideas principales del objetivo general y los específicos.</t>
  </si>
  <si>
    <t>MAGALLANES PEDROZA VALENTINA</t>
  </si>
  <si>
    <t>Uso de Recursos Audiovisuales Tecnológicos: La sustentación se acompaña de recursos visuales pertinentes, atractivos y de gran calidad</t>
  </si>
  <si>
    <t>MANJARRES CORREA PAULA ANDREA</t>
  </si>
  <si>
    <t>MARTINEZ JULIO YEMILY ALBANIS</t>
  </si>
  <si>
    <t>MENDOZA MUÑOZ MATEO JAVIER</t>
  </si>
  <si>
    <t>MOLINA PÁJARO MARIA DE LOS ÁNGELES</t>
  </si>
  <si>
    <t>TITULOS DE LOS PROYECTOS DE AULA</t>
  </si>
  <si>
    <t>NARVAEZ MORELO WISNEEY</t>
  </si>
  <si>
    <t xml:space="preserve">GRUPO#1  Vestidos de Baño en Crochet (Brazil, Estados Unidos y República Dominicana) </t>
  </si>
  <si>
    <t>PADILLA MORALES VALERIE SOFIA</t>
  </si>
  <si>
    <t xml:space="preserve">GRUPO#2  VINO DE MARACUYA, CHILE , PANAMA Y ESTADOS UNDOS) </t>
  </si>
  <si>
    <t>PÁJARO DE LA PEÑA ANGELA ISABEL</t>
  </si>
  <si>
    <t>GRUPO#3  TRAJES DE BAÑO PARA PERSONAS DE CONTEXTURA GRUESA  (</t>
  </si>
  <si>
    <t>PEREZ MORENO ANA ISABEL</t>
  </si>
  <si>
    <t>GRUPO#4  KITS PICKNIC ESPAÑA, BRAZIL Y PERU</t>
  </si>
  <si>
    <t>PÉREZ TORRES BRISNEY ALEJANDRA</t>
  </si>
  <si>
    <t xml:space="preserve">GRUPO#5  HAMACAS INTERNACIONALES CON COJINES ESTADOS UNIDOS, SUECIA Y ESPAÑA </t>
  </si>
  <si>
    <t>RODRIGUEZ ARCIA MARICRUZ</t>
  </si>
  <si>
    <t xml:space="preserve">GRUPO#6  COSMETICOS A BASE DE CAFE ,  ESPAÑA , ESTADOS UNIDOS,  CANADA </t>
  </si>
  <si>
    <t>RUIZ RIVERO HEILEEN CAROLINA</t>
  </si>
  <si>
    <t>GRUPO#7</t>
  </si>
  <si>
    <t xml:space="preserve">GOMEZ PINEDA DIEGO ALEJANDRO </t>
  </si>
  <si>
    <t>GRUPO#8</t>
  </si>
  <si>
    <t xml:space="preserve">ZUÑIGA ARANGO  NICOLAS </t>
  </si>
  <si>
    <t>GRUPO#9</t>
  </si>
  <si>
    <t xml:space="preserve">MARTINEZ SARMIENTO ISAAC DAVID </t>
  </si>
  <si>
    <t>GRUPO#10</t>
  </si>
  <si>
    <t xml:space="preserve">LOPEZ NAVARRO LUIS ENRIQUE 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</si>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</sst>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C1" zoomScale="95" zoomScaleNormal="95" workbookViewId="0">
      <selection activeCell="F56" sqref="F56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0" t="s">
        <v>0</v>
      </c>
      <c r="C2" s="191"/>
      <c r="D2" s="192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2413</v>
      </c>
      <c r="D6" s="134">
        <v>2401</v>
      </c>
      <c r="E6" s="134">
        <v>1480</v>
      </c>
      <c r="F6" s="134">
        <v>1924</v>
      </c>
      <c r="G6" s="134">
        <v>1397</v>
      </c>
      <c r="H6" s="134">
        <v>1512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93" t="s">
        <v>24</v>
      </c>
      <c r="F8" s="194"/>
      <c r="G8" s="195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96" t="s">
        <v>28</v>
      </c>
      <c r="F9" s="197"/>
      <c r="G9" s="198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70" t="s">
        <v>31</v>
      </c>
      <c r="F10" s="171"/>
      <c r="G10" s="172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96" t="s">
        <v>34</v>
      </c>
      <c r="F11" s="197"/>
      <c r="G11" s="198"/>
      <c r="H11" s="135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70" t="s">
        <v>37</v>
      </c>
      <c r="F12" s="171"/>
      <c r="G12" s="172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73" t="s">
        <v>39</v>
      </c>
      <c r="F13" s="174"/>
      <c r="G13" s="175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6"/>
      <c r="F14" s="168"/>
      <c r="G14" s="169"/>
      <c r="H14" s="136">
        <v>0</v>
      </c>
      <c r="I14" s="69" t="s">
        <v>42</v>
      </c>
    </row>
    <row r="15" spans="2:9" ht="15" customHeight="1">
      <c r="B15" s="108">
        <v>7</v>
      </c>
      <c r="C15" s="111" t="s">
        <v>43</v>
      </c>
      <c r="E15" s="177"/>
      <c r="F15" s="178"/>
      <c r="G15" s="179"/>
      <c r="H15" s="135">
        <v>0</v>
      </c>
      <c r="I15" s="69" t="s">
        <v>44</v>
      </c>
    </row>
    <row r="16" spans="2:9" ht="15" customHeight="1">
      <c r="B16" s="108">
        <v>8</v>
      </c>
      <c r="C16" s="111" t="s">
        <v>45</v>
      </c>
      <c r="E16" s="112"/>
      <c r="F16" s="112"/>
      <c r="G16" s="112"/>
      <c r="H16" s="137">
        <f>IF(SUM(H9:H15)&gt;1,"Más del 100%",SUM(H9:H15))</f>
        <v>0.99999999999999989</v>
      </c>
      <c r="I16" s="69" t="s">
        <v>46</v>
      </c>
    </row>
    <row r="17" spans="2:9" ht="15" customHeight="1">
      <c r="B17" s="108">
        <v>9</v>
      </c>
      <c r="C17" s="111" t="s">
        <v>47</v>
      </c>
      <c r="E17" s="186"/>
      <c r="F17" s="186"/>
      <c r="G17" s="186"/>
      <c r="H17" s="186"/>
      <c r="I17" s="69" t="s">
        <v>48</v>
      </c>
    </row>
    <row r="18" spans="2:9" ht="15" customHeight="1">
      <c r="B18" s="108">
        <v>10</v>
      </c>
      <c r="C18" s="111" t="s">
        <v>49</v>
      </c>
      <c r="E18" s="160" t="s">
        <v>50</v>
      </c>
      <c r="F18" s="161"/>
      <c r="G18" s="161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3" t="s">
        <v>53</v>
      </c>
      <c r="F19" s="184"/>
      <c r="G19" s="185"/>
      <c r="H19" s="138">
        <v>0.5</v>
      </c>
    </row>
    <row r="20" spans="2:9" ht="15" customHeight="1">
      <c r="B20" s="108">
        <v>12</v>
      </c>
      <c r="C20" s="111" t="s">
        <v>54</v>
      </c>
      <c r="E20" s="162" t="s">
        <v>55</v>
      </c>
      <c r="F20" s="163"/>
      <c r="G20" s="164"/>
      <c r="H20" s="139">
        <v>0.2</v>
      </c>
    </row>
    <row r="21" spans="2:9" ht="15" customHeight="1">
      <c r="B21" s="108">
        <v>13</v>
      </c>
      <c r="C21" s="111" t="s">
        <v>56</v>
      </c>
      <c r="E21" s="165" t="s">
        <v>57</v>
      </c>
      <c r="F21" s="166"/>
      <c r="G21" s="167"/>
      <c r="H21" s="140">
        <v>0.1</v>
      </c>
    </row>
    <row r="22" spans="2:9" ht="15" customHeight="1">
      <c r="B22" s="108">
        <v>14</v>
      </c>
      <c r="C22" s="111" t="s">
        <v>58</v>
      </c>
      <c r="E22" s="162" t="s">
        <v>59</v>
      </c>
      <c r="F22" s="168"/>
      <c r="G22" s="169"/>
      <c r="H22" s="139">
        <v>0.05</v>
      </c>
    </row>
    <row r="23" spans="2:9" ht="15" customHeight="1">
      <c r="B23" s="108">
        <v>15</v>
      </c>
      <c r="C23" s="111" t="s">
        <v>60</v>
      </c>
      <c r="E23" s="165" t="s">
        <v>61</v>
      </c>
      <c r="F23" s="166"/>
      <c r="G23" s="167"/>
      <c r="H23" s="141">
        <v>0.05</v>
      </c>
    </row>
    <row r="24" spans="2:9" ht="15" customHeight="1">
      <c r="B24" s="108">
        <v>16</v>
      </c>
      <c r="C24" s="111" t="s">
        <v>62</v>
      </c>
      <c r="E24" s="162" t="s">
        <v>63</v>
      </c>
      <c r="F24" s="163"/>
      <c r="G24" s="164"/>
      <c r="H24" s="139">
        <v>0.1</v>
      </c>
    </row>
    <row r="25" spans="2:9" ht="15" customHeight="1">
      <c r="B25" s="108">
        <v>17</v>
      </c>
      <c r="C25" s="111" t="s">
        <v>64</v>
      </c>
      <c r="E25" s="180"/>
      <c r="F25" s="181"/>
      <c r="G25" s="182"/>
      <c r="H25" s="140"/>
    </row>
    <row r="26" spans="2:9" ht="15" customHeight="1">
      <c r="B26" s="108">
        <v>18</v>
      </c>
      <c r="C26" s="111" t="s">
        <v>65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>
      <c r="B28" s="108">
        <v>20</v>
      </c>
      <c r="C28" s="111" t="s">
        <v>67</v>
      </c>
      <c r="E28" s="187" t="s">
        <v>68</v>
      </c>
      <c r="F28" s="188"/>
      <c r="G28" s="188"/>
      <c r="H28" s="189"/>
    </row>
    <row r="29" spans="2:9" ht="15" customHeight="1">
      <c r="B29" s="108">
        <v>21</v>
      </c>
      <c r="C29" s="111" t="s">
        <v>69</v>
      </c>
      <c r="E29" s="157" t="s">
        <v>70</v>
      </c>
      <c r="F29" s="158"/>
      <c r="G29" s="158"/>
      <c r="H29" s="159"/>
    </row>
    <row r="30" spans="2:9" ht="15" customHeight="1">
      <c r="B30" s="108">
        <v>22</v>
      </c>
      <c r="C30" s="111" t="s">
        <v>71</v>
      </c>
      <c r="E30" s="154" t="s">
        <v>72</v>
      </c>
      <c r="F30" s="155"/>
      <c r="G30" s="155"/>
      <c r="H30" s="156"/>
    </row>
    <row r="31" spans="2:9" ht="15" customHeight="1">
      <c r="B31" s="108">
        <v>23</v>
      </c>
      <c r="C31" s="111" t="s">
        <v>73</v>
      </c>
      <c r="E31" s="157" t="s">
        <v>74</v>
      </c>
      <c r="F31" s="158"/>
      <c r="G31" s="158"/>
      <c r="H31" s="159"/>
    </row>
    <row r="32" spans="2:9" ht="15" customHeight="1">
      <c r="B32" s="108">
        <v>24</v>
      </c>
      <c r="C32" s="111" t="s">
        <v>75</v>
      </c>
      <c r="E32" s="154" t="s">
        <v>76</v>
      </c>
      <c r="F32" s="155"/>
      <c r="G32" s="155"/>
      <c r="H32" s="156"/>
    </row>
    <row r="33" spans="2:8" ht="15" customHeight="1">
      <c r="B33" s="108">
        <v>25</v>
      </c>
      <c r="C33" s="111" t="s">
        <v>77</v>
      </c>
      <c r="E33" s="157" t="s">
        <v>78</v>
      </c>
      <c r="F33" s="158"/>
      <c r="G33" s="158"/>
      <c r="H33" s="159"/>
    </row>
    <row r="34" spans="2:8" ht="15" customHeight="1">
      <c r="B34" s="108">
        <v>26</v>
      </c>
      <c r="C34" s="111" t="s">
        <v>79</v>
      </c>
      <c r="E34" s="154" t="s">
        <v>80</v>
      </c>
      <c r="F34" s="155"/>
      <c r="G34" s="155"/>
      <c r="H34" s="156"/>
    </row>
    <row r="35" spans="2:8" ht="15" customHeight="1">
      <c r="B35" s="108">
        <v>27</v>
      </c>
      <c r="C35" s="111" t="s">
        <v>81</v>
      </c>
      <c r="E35" s="157" t="s">
        <v>82</v>
      </c>
      <c r="F35" s="158"/>
      <c r="G35" s="158"/>
      <c r="H35" s="159"/>
    </row>
    <row r="36" spans="2:8" ht="15" customHeight="1" thickBot="1">
      <c r="B36" s="108">
        <v>28</v>
      </c>
      <c r="C36" s="111" t="s">
        <v>83</v>
      </c>
      <c r="E36" s="154" t="s">
        <v>84</v>
      </c>
      <c r="F36" s="155"/>
      <c r="G36" s="155"/>
      <c r="H36" s="156"/>
    </row>
    <row r="37" spans="2:8" ht="15" customHeight="1" thickBot="1">
      <c r="B37" s="108">
        <v>29</v>
      </c>
      <c r="C37" s="111" t="s">
        <v>85</v>
      </c>
      <c r="E37" s="157" t="s">
        <v>86</v>
      </c>
      <c r="F37" s="158"/>
      <c r="G37" s="158"/>
      <c r="H37" s="159"/>
    </row>
    <row r="38" spans="2:8" ht="15" customHeight="1" thickBot="1">
      <c r="B38" s="108">
        <v>30</v>
      </c>
      <c r="C38" s="111" t="s">
        <v>87</v>
      </c>
      <c r="E38" s="154" t="s">
        <v>88</v>
      </c>
      <c r="F38" s="155"/>
      <c r="G38" s="155"/>
      <c r="H38" s="156"/>
    </row>
    <row r="39" spans="2:8" ht="15" customHeight="1" thickBot="1">
      <c r="B39" s="108">
        <v>31</v>
      </c>
      <c r="C39" s="111" t="s">
        <v>89</v>
      </c>
      <c r="E39" s="157" t="s">
        <v>90</v>
      </c>
      <c r="F39" s="158"/>
      <c r="G39" s="158"/>
      <c r="H39" s="159"/>
    </row>
    <row r="40" spans="2:8" ht="15" customHeight="1" thickBot="1">
      <c r="B40" s="108">
        <v>32</v>
      </c>
      <c r="C40" s="111"/>
      <c r="E40" s="154" t="s">
        <v>91</v>
      </c>
      <c r="F40" s="155"/>
      <c r="G40" s="155"/>
      <c r="H40" s="156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  Vestidos de</v>
      </c>
      <c r="F42" s="116" t="str">
        <f>MID(E30,1,20)</f>
        <v>GRUPO#2  VINO DE MAR</v>
      </c>
      <c r="G42" s="116" t="str">
        <f>MID(E31,1,20)</f>
        <v>GRUPO#3  TRAJES DE B</v>
      </c>
      <c r="H42" s="117" t="str">
        <f>MID(E32,1,20)</f>
        <v>GRUPO#4  KITS PICKNI</v>
      </c>
    </row>
    <row r="43" spans="2:8" ht="15" customHeight="1">
      <c r="B43" s="108">
        <v>35</v>
      </c>
      <c r="C43" s="111"/>
      <c r="E43" s="118" t="s">
        <v>27</v>
      </c>
      <c r="F43" s="119" t="s">
        <v>69</v>
      </c>
      <c r="G43" s="119" t="s">
        <v>41</v>
      </c>
      <c r="H43" s="120" t="s">
        <v>30</v>
      </c>
    </row>
    <row r="44" spans="2:8" ht="15" customHeight="1">
      <c r="B44" s="108">
        <v>36</v>
      </c>
      <c r="C44" s="111"/>
      <c r="E44" s="121" t="s">
        <v>56</v>
      </c>
      <c r="F44" s="122" t="s">
        <v>38</v>
      </c>
      <c r="G44" s="122" t="s">
        <v>75</v>
      </c>
      <c r="H44" s="123" t="s">
        <v>65</v>
      </c>
    </row>
    <row r="45" spans="2:8" ht="15" customHeight="1">
      <c r="B45" s="108">
        <v>37</v>
      </c>
      <c r="C45" s="111"/>
      <c r="E45" s="124" t="s">
        <v>81</v>
      </c>
      <c r="F45" s="125" t="s">
        <v>33</v>
      </c>
      <c r="G45" s="125" t="s">
        <v>73</v>
      </c>
      <c r="H45" s="126" t="s">
        <v>64</v>
      </c>
    </row>
    <row r="46" spans="2:8" ht="15" customHeight="1">
      <c r="B46" s="108">
        <v>38</v>
      </c>
      <c r="C46" s="111"/>
      <c r="E46" s="121" t="s">
        <v>43</v>
      </c>
      <c r="F46" s="122" t="s">
        <v>62</v>
      </c>
      <c r="G46" s="122"/>
      <c r="H46" s="123" t="s">
        <v>49</v>
      </c>
    </row>
    <row r="47" spans="2:8" ht="15" customHeight="1">
      <c r="B47" s="108">
        <v>39</v>
      </c>
      <c r="C47" s="111"/>
      <c r="E47" s="124" t="s">
        <v>36</v>
      </c>
      <c r="F47" s="125" t="s">
        <v>67</v>
      </c>
      <c r="G47" s="125"/>
      <c r="H47" s="126"/>
    </row>
    <row r="48" spans="2:8" ht="15" customHeight="1" thickBot="1">
      <c r="B48" s="108">
        <v>40</v>
      </c>
      <c r="C48" s="111"/>
      <c r="E48" s="127"/>
      <c r="F48" s="128" t="s">
        <v>47</v>
      </c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  HAMACAS INT</v>
      </c>
      <c r="F50" s="116" t="str">
        <f>MID(E34,1,20)</f>
        <v xml:space="preserve">GRUPO#6  COSMETICOS 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71</v>
      </c>
      <c r="F51" s="119" t="s">
        <v>77</v>
      </c>
      <c r="G51" s="119"/>
      <c r="H51" s="120"/>
    </row>
    <row r="52" spans="2:8" ht="15" customHeight="1">
      <c r="B52" s="108">
        <v>44</v>
      </c>
      <c r="C52" s="111"/>
      <c r="E52" s="121" t="s">
        <v>79</v>
      </c>
      <c r="F52" s="122" t="s">
        <v>83</v>
      </c>
      <c r="G52" s="122"/>
      <c r="H52" s="123"/>
    </row>
    <row r="53" spans="2:8" ht="15" customHeight="1">
      <c r="B53" s="108">
        <v>45</v>
      </c>
      <c r="C53" s="111"/>
      <c r="E53" s="124" t="s">
        <v>45</v>
      </c>
      <c r="F53" s="125" t="s">
        <v>85</v>
      </c>
      <c r="G53" s="125"/>
      <c r="H53" s="126"/>
    </row>
    <row r="54" spans="2:8" ht="15" customHeight="1">
      <c r="B54" s="108">
        <v>46</v>
      </c>
      <c r="C54" s="111"/>
      <c r="E54" s="121"/>
      <c r="F54" s="122" t="s">
        <v>87</v>
      </c>
      <c r="G54" s="122"/>
      <c r="H54" s="123"/>
    </row>
    <row r="55" spans="2:8" ht="15" customHeight="1">
      <c r="B55" s="108">
        <v>47</v>
      </c>
      <c r="C55" s="111"/>
      <c r="E55" s="124"/>
      <c r="F55" s="125" t="s">
        <v>52</v>
      </c>
      <c r="G55" s="125"/>
      <c r="H55" s="126"/>
    </row>
    <row r="56" spans="2:8" ht="15" customHeight="1" thickBot="1">
      <c r="B56" s="108">
        <v>48</v>
      </c>
      <c r="C56" s="111"/>
      <c r="E56" s="127"/>
      <c r="F56" s="128" t="s">
        <v>89</v>
      </c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MAwMC53dW7ctY9ivixw2czPezpslehvs2ZuMs54Rox1ITDEjdaX0E11radvaiegptYsKQeFp4NyBRa6VRN914g==" saltValue="J3XZ5PRHAmzNkI2fHLFYww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ELECTIVA DE PROFUNDIZACION I</v>
      </c>
      <c r="C2" s="82"/>
      <c r="D2" s="3"/>
      <c r="F2" s="201" t="s">
        <v>92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CONCATENATE(LIDER!C4," - ",LIDER!C6," - ",LIDER!C5)</f>
        <v>ELECTIVA DE PROFUNDIZACION I - 2413 - SANDRA MILENA CASTAÑO GIRALDO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94</v>
      </c>
      <c r="C5" s="88" t="s">
        <v>95</v>
      </c>
      <c r="D5" s="32" t="s">
        <v>96</v>
      </c>
      <c r="E5" s="89" t="s">
        <v>97</v>
      </c>
      <c r="F5" s="144" t="str">
        <f>LIDER!$E$29</f>
        <v xml:space="preserve">GRUPO#1  Vestidos de Baño en Crochet (Brazil, Estados Unidos y República Dominicana)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BARRIOS BENITEZ EMILY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4.45</v>
      </c>
      <c r="F6" s="200">
        <v>4</v>
      </c>
      <c r="G6" s="142">
        <v>4</v>
      </c>
      <c r="H6" s="199">
        <v>4.5</v>
      </c>
      <c r="I6" s="142">
        <v>5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HERRERA TEJEDOR BRENDIS VANESA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4.45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RUIZ RIVERO HEILEEN CAROLINA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4.45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DE ARCOS AVENDAÑO SAID JADITH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4.45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CASTILLO VILLA NELDA SOFIA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4.45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98</v>
      </c>
      <c r="C12" s="88" t="s">
        <v>99</v>
      </c>
      <c r="D12" s="32" t="str">
        <f>D5</f>
        <v>LIST</v>
      </c>
      <c r="E12" s="89" t="s">
        <v>97</v>
      </c>
      <c r="F12" s="144" t="str">
        <f>LIDER!$E$30</f>
        <v xml:space="preserve">GRUPO#2  VINO DE MARACUYA, CHILE , PANAMA Y ESTADOS UNDOS)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NARVAEZ MORELO WISNEEY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4.3499999999999996</v>
      </c>
      <c r="F13" s="200">
        <v>4.5</v>
      </c>
      <c r="G13" s="142">
        <v>4</v>
      </c>
      <c r="H13" s="199">
        <v>4.5</v>
      </c>
      <c r="I13" s="142">
        <v>4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CASUSOL RODRIGUEZ AYLIN MARIANA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4.3499999999999996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CARMONA SIERRA YIRLEIS PATRICIA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4.3499999999999996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MAGALLANES PEDROZA VALENTINA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4.3499999999999996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MOLINA PÁJARO MARIA DE LOS ÁNGELES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4.3499999999999996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 t="str">
        <f>LIDER!F48</f>
        <v>ESMERAL CORDERO NORIETH CAROLINA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4.3499999999999996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100</v>
      </c>
      <c r="C19" s="88" t="s">
        <v>101</v>
      </c>
      <c r="D19" s="32" t="str">
        <f>D12</f>
        <v>LIST</v>
      </c>
      <c r="E19" s="89" t="s">
        <v>97</v>
      </c>
      <c r="F19" s="144" t="str">
        <f>LIDER!$E$31</f>
        <v>GRUPO#3  TRAJES DE BAÑO PARA PERSONAS DE CONTEXTURA GRUESA  (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CHAVEZ ARRIETA EVELYN SHARY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3.4600000000000004</v>
      </c>
      <c r="F20" s="200">
        <v>4</v>
      </c>
      <c r="G20" s="142">
        <v>4</v>
      </c>
      <c r="H20" s="199">
        <v>4.2</v>
      </c>
      <c r="I20" s="142">
        <v>3</v>
      </c>
      <c r="J20" s="199">
        <v>0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PEREZ MORENO ANA ISABEL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3.4600000000000004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PÁJARO DE LA PEÑA ANGELA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3.4600000000000004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102</v>
      </c>
      <c r="C26" s="88" t="s">
        <v>103</v>
      </c>
      <c r="D26" s="32" t="str">
        <f>D19</f>
        <v>LIST</v>
      </c>
      <c r="E26" s="89" t="s">
        <v>97</v>
      </c>
      <c r="F26" s="144" t="str">
        <f>LIDER!$E$32</f>
        <v>GRUPO#4  KITS PICKNIC ESPAÑA, BRAZIL Y PERU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BARRIOS CUADRADO HEILIN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3.7200000000000006</v>
      </c>
      <c r="F27" s="200">
        <v>4</v>
      </c>
      <c r="G27" s="142">
        <v>3.8</v>
      </c>
      <c r="H27" s="199">
        <v>4.2</v>
      </c>
      <c r="I27" s="142">
        <v>3</v>
      </c>
      <c r="J27" s="199">
        <v>3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MARTINEZ JULIO YEMILY ALBANIS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3.7200000000000006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MANJARRES CORREA PAULA ANDREA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3.7200000000000006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GARCIA MATUTE VALERIE DANIELA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3.7200000000000006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104</v>
      </c>
      <c r="C33" s="88" t="s">
        <v>105</v>
      </c>
      <c r="D33" s="32" t="str">
        <f>D26</f>
        <v>LIST</v>
      </c>
      <c r="E33" s="89" t="s">
        <v>97</v>
      </c>
      <c r="F33" s="144" t="str">
        <f>LIDER!$E$33</f>
        <v xml:space="preserve">GRUPO#5  HAMACAS INTERNACIONALES CON COJINES ESTADOS UNIDOS, SUECIA Y ESPAÑA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PADILLA MORALES VALERIE SOFIA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4.59</v>
      </c>
      <c r="F34" s="200">
        <v>4.5</v>
      </c>
      <c r="G34" s="142">
        <v>4.5</v>
      </c>
      <c r="H34" s="199">
        <v>4.3</v>
      </c>
      <c r="I34" s="142">
        <v>5</v>
      </c>
      <c r="J34" s="199">
        <v>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RODRIGUEZ ARCIA MARICRUZ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4.59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DONADO ALMANZA DAVID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4.59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106</v>
      </c>
      <c r="C40" s="88" t="s">
        <v>107</v>
      </c>
      <c r="D40" s="32" t="str">
        <f>D33</f>
        <v>LIST</v>
      </c>
      <c r="E40" s="89" t="s">
        <v>97</v>
      </c>
      <c r="F40" s="144" t="str">
        <f>LIDER!$E$34</f>
        <v xml:space="preserve">GRUPO#6  COSMETICOS A BASE DE CAFE ,  ESPAÑA , ESTADOS UNIDOS,  CANADA 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PÉREZ TORRES BRISNEY ALEJANDRA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2.14</v>
      </c>
      <c r="F41" s="200">
        <v>3.2</v>
      </c>
      <c r="G41" s="142">
        <v>3</v>
      </c>
      <c r="H41" s="199">
        <v>3</v>
      </c>
      <c r="I41" s="142">
        <v>0</v>
      </c>
      <c r="J41" s="199">
        <v>0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 xml:space="preserve">GOMEZ PINEDA DIEGO ALEJANDRO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2.14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 xml:space="preserve">ZUÑIGA ARANGO  NICOLAS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2.14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 xml:space="preserve">MARTINEZ SARMIENTO ISAAC DAVID 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2.14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GOMEZ JULIO LUIS DANIEL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2.14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 t="str">
        <f>LIDER!F56</f>
        <v xml:space="preserve">LOPEZ NAVARRO LUIS ENRIQUE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2.14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108</v>
      </c>
      <c r="D47" s="32" t="str">
        <f>D40</f>
        <v>LIST</v>
      </c>
      <c r="E47" s="89" t="s">
        <v>97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109</v>
      </c>
      <c r="D54" s="32" t="str">
        <f>D47</f>
        <v>LIST</v>
      </c>
      <c r="E54" s="89" t="s">
        <v>97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110</v>
      </c>
      <c r="D61" s="32" t="str">
        <f>D54</f>
        <v>LIST</v>
      </c>
      <c r="E61" s="89" t="s">
        <v>97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111</v>
      </c>
      <c r="D68" s="32" t="str">
        <f>D61</f>
        <v>LIST</v>
      </c>
      <c r="E68" s="89" t="s">
        <v>97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112</v>
      </c>
      <c r="D75" s="32" t="str">
        <f>D68</f>
        <v>LIST</v>
      </c>
      <c r="E75" s="89" t="s">
        <v>97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113</v>
      </c>
      <c r="D82" s="32" t="str">
        <f>D75</f>
        <v>LIST</v>
      </c>
      <c r="E82" s="89" t="s">
        <v>97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ETICA</v>
      </c>
      <c r="C2" s="82"/>
      <c r="D2" s="3"/>
      <c r="F2" s="201" t="s">
        <v>92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CONCATENATE(LIDER!D4," - ",LIDER!D6," - ",LIDER!D5)</f>
        <v>ETICA - 2401 - LEIDY ENID QUINTERO SÁNCHEZ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94</v>
      </c>
      <c r="C5" s="88" t="s">
        <v>95</v>
      </c>
      <c r="D5" s="32" t="s">
        <v>96</v>
      </c>
      <c r="E5" s="89" t="s">
        <v>97</v>
      </c>
      <c r="F5" s="144" t="str">
        <f>LIDER!$E$29</f>
        <v xml:space="preserve">GRUPO#1  Vestidos de Baño en Crochet (Brazil, Estados Unidos y República Dominicana)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BARRIOS BENITEZ EMILY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4.32</v>
      </c>
      <c r="F6" s="200">
        <v>4</v>
      </c>
      <c r="G6" s="142">
        <v>3.8</v>
      </c>
      <c r="H6" s="199">
        <v>4.2</v>
      </c>
      <c r="I6" s="142">
        <v>5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HERRERA TEJEDOR BRENDIS VANESA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4.32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RUIZ RIVERO HEILEEN CAROLINA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4.32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DE ARCOS AVENDAÑO SAID JADITH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4.32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CASTILLO VILLA NELDA SOFIA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4.32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98</v>
      </c>
      <c r="C12" s="88" t="s">
        <v>99</v>
      </c>
      <c r="D12" s="32" t="str">
        <f>D5</f>
        <v>LIST</v>
      </c>
      <c r="E12" s="89" t="s">
        <v>97</v>
      </c>
      <c r="F12" s="144" t="str">
        <f>LIDER!$E$30</f>
        <v xml:space="preserve">GRUPO#2  VINO DE MARACUYA, CHILE , PANAMA Y ESTADOS UNDOS)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NARVAEZ MORELO WISNEEY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</v>
      </c>
      <c r="F13" s="200">
        <v>4</v>
      </c>
      <c r="G13" s="142">
        <v>4.5</v>
      </c>
      <c r="H13" s="199">
        <v>4</v>
      </c>
      <c r="I13" s="142">
        <v>4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CASUSOL RODRIGUEZ AYLIN MARIANA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CARMONA SIERRA YIRLEIS PATRICIA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MAGALLANES PEDROZA VALENTINA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MOLINA PÁJARO MARIA DE LOS ÁNGELES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 t="str">
        <f>LIDER!F48</f>
        <v>ESMERAL CORDERO NORIETH CAROLINA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4.2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100</v>
      </c>
      <c r="C19" s="88" t="s">
        <v>101</v>
      </c>
      <c r="D19" s="32" t="str">
        <f>D12</f>
        <v>LIST</v>
      </c>
      <c r="E19" s="89" t="s">
        <v>97</v>
      </c>
      <c r="F19" s="144" t="str">
        <f>LIDER!$E$31</f>
        <v>GRUPO#3  TRAJES DE BAÑO PARA PERSONAS DE CONTEXTURA GRUESA  (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CHAVEZ ARRIETA EVELYN SHARY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2.96</v>
      </c>
      <c r="F20" s="200">
        <v>3.8</v>
      </c>
      <c r="G20" s="142">
        <v>4</v>
      </c>
      <c r="H20" s="199">
        <v>3</v>
      </c>
      <c r="I20" s="142">
        <v>2.5</v>
      </c>
      <c r="J20" s="199">
        <v>0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PEREZ MORENO ANA ISABEL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2.96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PÁJARO DE LA PEÑA ANGELA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2.96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102</v>
      </c>
      <c r="C26" s="88" t="s">
        <v>103</v>
      </c>
      <c r="D26" s="32" t="str">
        <f>D19</f>
        <v>LIST</v>
      </c>
      <c r="E26" s="89" t="s">
        <v>97</v>
      </c>
      <c r="F26" s="144" t="str">
        <f>LIDER!$E$32</f>
        <v>GRUPO#4  KITS PICKNIC ESPAÑA, BRAZIL Y PERU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BARRIOS CUADRADO HEILIN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</v>
      </c>
      <c r="F27" s="200">
        <v>3.8</v>
      </c>
      <c r="G27" s="142">
        <v>3.5</v>
      </c>
      <c r="H27" s="199">
        <v>3.8</v>
      </c>
      <c r="I27" s="142">
        <v>3</v>
      </c>
      <c r="J27" s="199">
        <v>3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MARTINEZ JULIO YEMILY ALBANIS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MANJARRES CORREA PAULA ANDREA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GARCIA MATUTE VALERIE DANIELA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104</v>
      </c>
      <c r="C33" s="88" t="s">
        <v>105</v>
      </c>
      <c r="D33" s="32" t="str">
        <f>D26</f>
        <v>LIST</v>
      </c>
      <c r="E33" s="89" t="s">
        <v>97</v>
      </c>
      <c r="F33" s="144" t="str">
        <f>LIDER!$E$33</f>
        <v xml:space="preserve">GRUPO#5  HAMACAS INTERNACIONALES CON COJINES ESTADOS UNIDOS, SUECIA Y ESPAÑA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PADILLA MORALES VALERIE SOFIA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4.46</v>
      </c>
      <c r="F34" s="200">
        <v>4.4000000000000004</v>
      </c>
      <c r="G34" s="142">
        <v>4.4000000000000004</v>
      </c>
      <c r="H34" s="199">
        <v>4</v>
      </c>
      <c r="I34" s="142">
        <v>5</v>
      </c>
      <c r="J34" s="199">
        <v>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RODRIGUEZ ARCIA MARICRUZ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4.46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DONADO ALMANZA DAVID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4.46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106</v>
      </c>
      <c r="C40" s="88" t="s">
        <v>107</v>
      </c>
      <c r="D40" s="32" t="str">
        <f>D33</f>
        <v>LIST</v>
      </c>
      <c r="E40" s="89" t="s">
        <v>97</v>
      </c>
      <c r="F40" s="144" t="str">
        <f>LIDER!$E$34</f>
        <v xml:space="preserve">GRUPO#6  COSMETICOS A BASE DE CAFE ,  ESPAÑA , ESTADOS UNIDOS,  CANADA 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PÉREZ TORRES BRISNEY ALEJANDRA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</v>
      </c>
      <c r="F41" s="200">
        <v>3</v>
      </c>
      <c r="G41" s="142">
        <v>2.8</v>
      </c>
      <c r="H41" s="199">
        <v>2.8</v>
      </c>
      <c r="I41" s="142">
        <v>0</v>
      </c>
      <c r="J41" s="199">
        <v>0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 xml:space="preserve">GOMEZ PINEDA DIEGO ALEJANDRO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 xml:space="preserve">ZUÑIGA ARANGO  NICOLAS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 xml:space="preserve">MARTINEZ SARMIENTO ISAAC DAVID 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GOMEZ JULIO LUIS DANIEL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 t="str">
        <f>LIDER!F56</f>
        <v xml:space="preserve">LOPEZ NAVARRO LUIS ENRIQUE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2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108</v>
      </c>
      <c r="D47" s="32" t="str">
        <f>D40</f>
        <v>LIST</v>
      </c>
      <c r="E47" s="89" t="s">
        <v>97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109</v>
      </c>
      <c r="D54" s="32" t="str">
        <f>D47</f>
        <v>LIST</v>
      </c>
      <c r="E54" s="89" t="s">
        <v>97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110</v>
      </c>
      <c r="D61" s="32" t="str">
        <f>D54</f>
        <v>LIST</v>
      </c>
      <c r="E61" s="89" t="s">
        <v>97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111</v>
      </c>
      <c r="D68" s="32" t="str">
        <f>D61</f>
        <v>LIST</v>
      </c>
      <c r="E68" s="89" t="s">
        <v>97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112</v>
      </c>
      <c r="D75" s="32" t="str">
        <f>D68</f>
        <v>LIST</v>
      </c>
      <c r="E75" s="89" t="s">
        <v>97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113</v>
      </c>
      <c r="D82" s="32" t="str">
        <f>D75</f>
        <v>LIST</v>
      </c>
      <c r="E82" s="89" t="s">
        <v>97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IMPORTACIONES Y EXPORTACIONES</v>
      </c>
      <c r="C2" s="82"/>
      <c r="D2" s="3"/>
      <c r="F2" s="201" t="s">
        <v>92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CONCATENATE(LIDER!E4," - ",LIDER!E6," - ",LIDER!E5)</f>
        <v>IMPORTACIONES Y EXPORTACIONES - 1480 - JEYSSON STEEVEN ANILLO CARRANZA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94</v>
      </c>
      <c r="C5" s="88" t="s">
        <v>95</v>
      </c>
      <c r="D5" s="32" t="s">
        <v>96</v>
      </c>
      <c r="E5" s="89" t="s">
        <v>97</v>
      </c>
      <c r="F5" s="144" t="str">
        <f>LIDER!$E$29</f>
        <v xml:space="preserve">GRUPO#1  Vestidos de Baño en Crochet (Brazil, Estados Unidos y República Dominicana)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BARRIOS BENITEZ EMILY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4.59</v>
      </c>
      <c r="F6" s="200">
        <v>4.2</v>
      </c>
      <c r="G6" s="142">
        <v>4.2</v>
      </c>
      <c r="H6" s="199">
        <v>4.7</v>
      </c>
      <c r="I6" s="142">
        <v>5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HERRERA TEJEDOR BRENDIS VANESA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4.59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RUIZ RIVERO HEILEEN CAROLINA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4.59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DE ARCOS AVENDAÑO SAID JADITH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4.59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CASTILLO VILLA NELDA SOFIA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4.59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98</v>
      </c>
      <c r="C12" s="88" t="s">
        <v>99</v>
      </c>
      <c r="D12" s="32" t="str">
        <f>D5</f>
        <v>LIST</v>
      </c>
      <c r="E12" s="89" t="s">
        <v>97</v>
      </c>
      <c r="F12" s="144" t="str">
        <f>LIDER!$E$30</f>
        <v xml:space="preserve">GRUPO#2  VINO DE MARACUYA, CHILE , PANAMA Y ESTADOS UNDOS)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NARVAEZ MORELO WISNEEY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4.4499999999999993</v>
      </c>
      <c r="F13" s="200">
        <v>4.7</v>
      </c>
      <c r="G13" s="142">
        <v>4.4000000000000004</v>
      </c>
      <c r="H13" s="199">
        <v>4.5</v>
      </c>
      <c r="I13" s="142">
        <v>4</v>
      </c>
      <c r="J13" s="199">
        <v>4.8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CASUSOL RODRIGUEZ AYLIN MARIANA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4.4499999999999993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CARMONA SIERRA YIRLEIS PATRICIA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4.4499999999999993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MAGALLANES PEDROZA VALENTINA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4.4499999999999993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MOLINA PÁJARO MARIA DE LOS ÁNGELES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4.4499999999999993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 t="str">
        <f>LIDER!F48</f>
        <v>ESMERAL CORDERO NORIETH CAROLINA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4.4499999999999993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100</v>
      </c>
      <c r="C19" s="88" t="s">
        <v>101</v>
      </c>
      <c r="D19" s="32" t="str">
        <f>D12</f>
        <v>LIST</v>
      </c>
      <c r="E19" s="89" t="s">
        <v>97</v>
      </c>
      <c r="F19" s="144" t="str">
        <f>LIDER!$E$31</f>
        <v>GRUPO#3  TRAJES DE BAÑO PARA PERSONAS DE CONTEXTURA GRUESA  (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CHAVEZ ARRIETA EVELYN SHARY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3.74</v>
      </c>
      <c r="F20" s="200">
        <v>4.2</v>
      </c>
      <c r="G20" s="142">
        <v>4.2</v>
      </c>
      <c r="H20" s="199">
        <v>4</v>
      </c>
      <c r="I20" s="142">
        <v>3.3</v>
      </c>
      <c r="J20" s="199">
        <v>2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PEREZ MORENO ANA ISABEL</v>
      </c>
      <c r="C21" s="90" t="str">
        <f t="shared" ref="C21:C25" si="2">C20</f>
        <v>G03</v>
      </c>
      <c r="D21" s="96" t="s">
        <v>114</v>
      </c>
      <c r="E21" s="11" t="str">
        <f>IF(B21=0,0,IF(D21="",$F$20*LIDER!$H$9+$G$20*LIDER!$H$10+$H$20*LIDER!$H$11+$I$20*LIDER!$H$12+$J$20*LIDER!$H$13+$K$20*LIDER!$H$14+$L$20*LIDER!$H$15,"N"))</f>
        <v>N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PÁJARO DE LA PEÑA ANGELA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3.74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102</v>
      </c>
      <c r="C26" s="88" t="s">
        <v>103</v>
      </c>
      <c r="D26" s="32" t="str">
        <f>D19</f>
        <v>LIST</v>
      </c>
      <c r="E26" s="89" t="s">
        <v>97</v>
      </c>
      <c r="F26" s="144" t="str">
        <f>LIDER!$E$32</f>
        <v>GRUPO#4  KITS PICKNIC ESPAÑA, BRAZIL Y PERU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BARRIOS CUADRADO HEILIN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3.92</v>
      </c>
      <c r="F27" s="200">
        <v>4.3</v>
      </c>
      <c r="G27" s="142">
        <v>3.9</v>
      </c>
      <c r="H27" s="199">
        <v>4.4000000000000004</v>
      </c>
      <c r="I27" s="142">
        <v>3.2</v>
      </c>
      <c r="J27" s="199">
        <v>3.2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MARTINEZ JULIO YEMILY ALBANIS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3.92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MANJARRES CORREA PAULA ANDREA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3.92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GARCIA MATUTE VALERIE DANIELA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3.92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104</v>
      </c>
      <c r="C33" s="88" t="s">
        <v>105</v>
      </c>
      <c r="D33" s="32" t="str">
        <f>D26</f>
        <v>LIST</v>
      </c>
      <c r="E33" s="89" t="s">
        <v>97</v>
      </c>
      <c r="F33" s="144" t="str">
        <f>LIDER!$E$33</f>
        <v xml:space="preserve">GRUPO#5  HAMACAS INTERNACIONALES CON COJINES ESTADOS UNIDOS, SUECIA Y ESPAÑA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PADILLA MORALES VALERIE SOFIA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4.63</v>
      </c>
      <c r="F34" s="200">
        <v>4.7</v>
      </c>
      <c r="G34" s="142">
        <v>4.7</v>
      </c>
      <c r="H34" s="199">
        <v>4.5</v>
      </c>
      <c r="I34" s="142">
        <v>4.5</v>
      </c>
      <c r="J34" s="199">
        <v>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RODRIGUEZ ARCIA MARICRUZ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4.63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DONADO ALMANZA DAVID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4.63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106</v>
      </c>
      <c r="C40" s="88" t="s">
        <v>107</v>
      </c>
      <c r="D40" s="32" t="str">
        <f>D33</f>
        <v>LIST</v>
      </c>
      <c r="E40" s="89" t="s">
        <v>97</v>
      </c>
      <c r="F40" s="144" t="str">
        <f>LIDER!$E$34</f>
        <v xml:space="preserve">GRUPO#6  COSMETICOS A BASE DE CAFE ,  ESPAÑA , ESTADOS UNIDOS,  CANADA 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PÉREZ TORRES BRISNEY ALEJANDRA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2.4000000000000004</v>
      </c>
      <c r="F41" s="200">
        <v>3</v>
      </c>
      <c r="G41" s="142">
        <v>3</v>
      </c>
      <c r="H41" s="199">
        <v>3</v>
      </c>
      <c r="I41" s="142">
        <v>1</v>
      </c>
      <c r="J41" s="199">
        <v>1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 xml:space="preserve">GOMEZ PINEDA DIEGO ALEJANDRO </v>
      </c>
      <c r="C42" s="90" t="str">
        <f t="shared" ref="C42:C46" si="5">C41</f>
        <v>G06</v>
      </c>
      <c r="D42" s="96" t="s">
        <v>114</v>
      </c>
      <c r="E42" s="11" t="str">
        <f>IF(B42=0,0,IF(D42="",$F$41*LIDER!$H$9+$G$41*LIDER!$H$10+$H$41*LIDER!$H$11+$I$41*LIDER!$H$12+$J$41*LIDER!$H$13+$K$41*LIDER!$H$14+$L$41*LIDER!$H$15,"N"))</f>
        <v>N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 xml:space="preserve">ZUÑIGA ARANGO  NICOLAS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2.4000000000000004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 xml:space="preserve">MARTINEZ SARMIENTO ISAAC DAVID 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2.4000000000000004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GOMEZ JULIO LUIS DANIEL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2.4000000000000004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 t="str">
        <f>LIDER!F56</f>
        <v xml:space="preserve">LOPEZ NAVARRO LUIS ENRIQUE </v>
      </c>
      <c r="C46" s="92" t="str">
        <f t="shared" si="5"/>
        <v>G06</v>
      </c>
      <c r="D46" s="97" t="s">
        <v>114</v>
      </c>
      <c r="E46" s="93" t="str">
        <f>IF(B46=0,0,IF(D46="",$F$41*LIDER!$H$9+$G$41*LIDER!$H$10+$H$41*LIDER!$H$11+$I$41*LIDER!$H$12+$J$41*LIDER!$H$13+$K$41*LIDER!$H$14+$L$41*LIDER!$H$15,"N"))</f>
        <v>N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108</v>
      </c>
      <c r="D47" s="32" t="str">
        <f>D40</f>
        <v>LIST</v>
      </c>
      <c r="E47" s="89" t="s">
        <v>97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109</v>
      </c>
      <c r="D54" s="32" t="str">
        <f>D47</f>
        <v>LIST</v>
      </c>
      <c r="E54" s="89" t="s">
        <v>97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110</v>
      </c>
      <c r="D61" s="32" t="str">
        <f>D54</f>
        <v>LIST</v>
      </c>
      <c r="E61" s="89" t="s">
        <v>97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111</v>
      </c>
      <c r="D68" s="32" t="str">
        <f>D61</f>
        <v>LIST</v>
      </c>
      <c r="E68" s="89" t="s">
        <v>97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112</v>
      </c>
      <c r="D75" s="32" t="str">
        <f>D68</f>
        <v>LIST</v>
      </c>
      <c r="E75" s="89" t="s">
        <v>97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113</v>
      </c>
      <c r="D82" s="32" t="str">
        <f>D75</f>
        <v>LIST</v>
      </c>
      <c r="E82" s="89" t="s">
        <v>97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ESTADÍSTICA</v>
      </c>
      <c r="C2" s="82"/>
      <c r="D2" s="3"/>
      <c r="F2" s="201" t="s">
        <v>92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CONCATENATE(LIDER!F4," - ",LIDER!F6," - ",LIDER!F5)</f>
        <v>ESTADÍSTICA - 1924 - ANTONIO OSPINO RODRIGUEZ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94</v>
      </c>
      <c r="C5" s="88" t="s">
        <v>95</v>
      </c>
      <c r="D5" s="32" t="s">
        <v>96</v>
      </c>
      <c r="E5" s="89" t="s">
        <v>97</v>
      </c>
      <c r="F5" s="144" t="str">
        <f>LIDER!$E$29</f>
        <v xml:space="preserve">GRUPO#1  Vestidos de Baño en Crochet (Brazil, Estados Unidos y República Dominicana)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BARRIOS BENITEZ EMILY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3.4000000000000004</v>
      </c>
      <c r="F6" s="200">
        <v>3.5</v>
      </c>
      <c r="G6" s="142">
        <v>3.5</v>
      </c>
      <c r="H6" s="199">
        <v>3.5</v>
      </c>
      <c r="I6" s="142">
        <v>3</v>
      </c>
      <c r="J6" s="199">
        <v>3.5</v>
      </c>
      <c r="K6" s="142"/>
      <c r="L6" s="199"/>
    </row>
    <row r="7" spans="1:12" s="2" customFormat="1" ht="15" customHeight="1">
      <c r="A7" s="12">
        <v>2</v>
      </c>
      <c r="B7" s="10" t="str">
        <f>LIDER!E44</f>
        <v>HERRERA TEJEDOR BRENDIS VANESA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3.4000000000000004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RUIZ RIVERO HEILEEN CAROLINA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3.4000000000000004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DE ARCOS AVENDAÑO SAID JADITH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3.4000000000000004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CASTILLO VILLA NELDA SOFIA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3.4000000000000004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98</v>
      </c>
      <c r="C12" s="88" t="s">
        <v>99</v>
      </c>
      <c r="D12" s="32" t="str">
        <f>D5</f>
        <v>LIST</v>
      </c>
      <c r="E12" s="89" t="s">
        <v>97</v>
      </c>
      <c r="F12" s="144" t="str">
        <f>LIDER!$E$30</f>
        <v xml:space="preserve">GRUPO#2  VINO DE MARACUYA, CHILE , PANAMA Y ESTADOS UNDOS)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NARVAEZ MORELO WISNEEY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3.5000000000000004</v>
      </c>
      <c r="F13" s="200">
        <v>3.5</v>
      </c>
      <c r="G13" s="142">
        <v>3.5</v>
      </c>
      <c r="H13" s="199">
        <v>3.5</v>
      </c>
      <c r="I13" s="142">
        <v>3.5</v>
      </c>
      <c r="J13" s="199">
        <v>3.5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CASUSOL RODRIGUEZ AYLIN MARIANA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3.5000000000000004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CARMONA SIERRA YIRLEIS PATRICIA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3.5000000000000004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MAGALLANES PEDROZA VALENTINA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3.5000000000000004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MOLINA PÁJARO MARIA DE LOS ÁNGELES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3.5000000000000004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 t="str">
        <f>LIDER!F48</f>
        <v>ESMERAL CORDERO NORIETH CAROLINA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3.5000000000000004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100</v>
      </c>
      <c r="C19" s="88" t="s">
        <v>101</v>
      </c>
      <c r="D19" s="32" t="str">
        <f>D12</f>
        <v>LIST</v>
      </c>
      <c r="E19" s="89" t="s">
        <v>97</v>
      </c>
      <c r="F19" s="144" t="str">
        <f>LIDER!$E$31</f>
        <v>GRUPO#3  TRAJES DE BAÑO PARA PERSONAS DE CONTEXTURA GRUESA  (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CHAVEZ ARRIETA EVELYN SHARY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3.5000000000000004</v>
      </c>
      <c r="F20" s="200">
        <v>3.5</v>
      </c>
      <c r="G20" s="142">
        <v>3.5</v>
      </c>
      <c r="H20" s="199">
        <v>3.5</v>
      </c>
      <c r="I20" s="142">
        <v>3.5</v>
      </c>
      <c r="J20" s="199">
        <v>3.5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PEREZ MORENO ANA ISABEL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3.5000000000000004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PÁJARO DE LA PEÑA ANGELA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3.5000000000000004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102</v>
      </c>
      <c r="C26" s="88" t="s">
        <v>103</v>
      </c>
      <c r="D26" s="32" t="str">
        <f>D19</f>
        <v>LIST</v>
      </c>
      <c r="E26" s="89" t="s">
        <v>97</v>
      </c>
      <c r="F26" s="144" t="str">
        <f>LIDER!$E$32</f>
        <v>GRUPO#4  KITS PICKNIC ESPAÑA, BRAZIL Y PERU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BARRIOS CUADRADO HEILIN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3.45</v>
      </c>
      <c r="F27" s="200">
        <v>3.5</v>
      </c>
      <c r="G27" s="142">
        <v>3.5</v>
      </c>
      <c r="H27" s="199">
        <v>3.5</v>
      </c>
      <c r="I27" s="142">
        <v>3.5</v>
      </c>
      <c r="J27" s="199">
        <v>3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MARTINEZ JULIO YEMILY ALBANIS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3.45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MANJARRES CORREA PAULA ANDREA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3.45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GARCIA MATUTE VALERIE DANIELA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3.45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104</v>
      </c>
      <c r="C33" s="88" t="s">
        <v>105</v>
      </c>
      <c r="D33" s="32" t="str">
        <f>D26</f>
        <v>LIST</v>
      </c>
      <c r="E33" s="89" t="s">
        <v>97</v>
      </c>
      <c r="F33" s="144" t="str">
        <f>LIDER!$E$33</f>
        <v xml:space="preserve">GRUPO#5  HAMACAS INTERNACIONALES CON COJINES ESTADOS UNIDOS, SUECIA Y ESPAÑA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PADILLA MORALES VALERIE SOFIA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3.6900000000000004</v>
      </c>
      <c r="F34" s="200">
        <v>4</v>
      </c>
      <c r="G34" s="142">
        <v>4</v>
      </c>
      <c r="H34" s="199">
        <v>3.8</v>
      </c>
      <c r="I34" s="142">
        <v>3</v>
      </c>
      <c r="J34" s="199">
        <v>3.5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RODRIGUEZ ARCIA MARICRUZ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3.6900000000000004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DONADO ALMANZA DAVID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3.6900000000000004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106</v>
      </c>
      <c r="C40" s="88" t="s">
        <v>107</v>
      </c>
      <c r="D40" s="32" t="str">
        <f>D33</f>
        <v>LIST</v>
      </c>
      <c r="E40" s="89" t="s">
        <v>97</v>
      </c>
      <c r="F40" s="144" t="str">
        <f>LIDER!$E$34</f>
        <v xml:space="preserve">GRUPO#6  COSMETICOS A BASE DE CAFE ,  ESPAÑA , ESTADOS UNIDOS,  CANADA 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PÉREZ TORRES BRISNEY ALEJANDRA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3.3500000000000005</v>
      </c>
      <c r="F41" s="200">
        <v>3.5</v>
      </c>
      <c r="G41" s="142">
        <v>3.5</v>
      </c>
      <c r="H41" s="199">
        <v>3.2</v>
      </c>
      <c r="I41" s="142">
        <v>3.2</v>
      </c>
      <c r="J41" s="199">
        <v>3.5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 xml:space="preserve">GOMEZ PINEDA DIEGO ALEJANDRO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3.3500000000000005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 xml:space="preserve">ZUÑIGA ARANGO  NICOLAS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3.3500000000000005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 xml:space="preserve">MARTINEZ SARMIENTO ISAAC DAVID 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3.3500000000000005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GOMEZ JULIO LUIS DANIEL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3.3500000000000005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 t="str">
        <f>LIDER!F56</f>
        <v xml:space="preserve">LOPEZ NAVARRO LUIS ENRIQUE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3.3500000000000005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108</v>
      </c>
      <c r="D47" s="32" t="str">
        <f>D40</f>
        <v>LIST</v>
      </c>
      <c r="E47" s="89" t="s">
        <v>97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109</v>
      </c>
      <c r="D54" s="32" t="str">
        <f>D47</f>
        <v>LIST</v>
      </c>
      <c r="E54" s="89" t="s">
        <v>97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110</v>
      </c>
      <c r="D61" s="32" t="str">
        <f>D54</f>
        <v>LIST</v>
      </c>
      <c r="E61" s="89" t="s">
        <v>97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111</v>
      </c>
      <c r="D68" s="32" t="str">
        <f>D61</f>
        <v>LIST</v>
      </c>
      <c r="E68" s="89" t="s">
        <v>97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112</v>
      </c>
      <c r="D75" s="32" t="str">
        <f>D68</f>
        <v>LIST</v>
      </c>
      <c r="E75" s="89" t="s">
        <v>97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113</v>
      </c>
      <c r="D82" s="32" t="str">
        <f>D75</f>
        <v>LIST</v>
      </c>
      <c r="E82" s="89" t="s">
        <v>97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FUNDAMENTOS DE MERCADEO</v>
      </c>
      <c r="C2" s="82"/>
      <c r="D2" s="3"/>
      <c r="F2" s="201" t="s">
        <v>92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CONCATENATE(LIDER!G4," - ",LIDER!G6," - ",LIDER!G5)</f>
        <v>FUNDAMENTOS DE MERCADEO - 1397 - GABRIEL EDUARDO CARDONA TUÑON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94</v>
      </c>
      <c r="C5" s="88" t="s">
        <v>95</v>
      </c>
      <c r="D5" s="32" t="s">
        <v>96</v>
      </c>
      <c r="E5" s="89" t="s">
        <v>97</v>
      </c>
      <c r="F5" s="144" t="str">
        <f>LIDER!$E$29</f>
        <v xml:space="preserve">GRUPO#1  Vestidos de Baño en Crochet (Brazil, Estados Unidos y República Dominicana)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BARRIOS BENITEZ EMILY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3.5000000000000004</v>
      </c>
      <c r="F6" s="200">
        <v>3.5</v>
      </c>
      <c r="G6" s="142">
        <v>3.5</v>
      </c>
      <c r="H6" s="199">
        <v>3.5</v>
      </c>
      <c r="I6" s="142">
        <v>3.5</v>
      </c>
      <c r="J6" s="199">
        <v>3.5</v>
      </c>
      <c r="K6" s="142"/>
      <c r="L6" s="199"/>
    </row>
    <row r="7" spans="1:12" s="2" customFormat="1" ht="15" customHeight="1">
      <c r="A7" s="12">
        <v>2</v>
      </c>
      <c r="B7" s="10" t="str">
        <f>LIDER!E44</f>
        <v>HERRERA TEJEDOR BRENDIS VANESA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3.5000000000000004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RUIZ RIVERO HEILEEN CAROLINA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3.5000000000000004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DE ARCOS AVENDAÑO SAID JADITH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3.5000000000000004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CASTILLO VILLA NELDA SOFIA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3.5000000000000004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98</v>
      </c>
      <c r="C12" s="88" t="s">
        <v>99</v>
      </c>
      <c r="D12" s="32" t="str">
        <f>D5</f>
        <v>LIST</v>
      </c>
      <c r="E12" s="89" t="s">
        <v>97</v>
      </c>
      <c r="F12" s="144" t="str">
        <f>LIDER!$E$30</f>
        <v xml:space="preserve">GRUPO#2  VINO DE MARACUYA, CHILE , PANAMA Y ESTADOS UNDOS)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NARVAEZ MORELO WISNEEY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</v>
      </c>
      <c r="F13" s="200">
        <v>4.5</v>
      </c>
      <c r="G13" s="142">
        <v>4.5</v>
      </c>
      <c r="H13" s="199">
        <v>4.5</v>
      </c>
      <c r="I13" s="142">
        <v>4.5</v>
      </c>
      <c r="J13" s="199">
        <v>4.5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CASUSOL RODRIGUEZ AYLIN MARIANA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CARMONA SIERRA YIRLEIS PATRICIA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MAGALLANES PEDROZA VALENTINA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MOLINA PÁJARO MARIA DE LOS ÁNGELES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 t="str">
        <f>LIDER!F48</f>
        <v>ESMERAL CORDERO NORIETH CAROLINA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4.5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100</v>
      </c>
      <c r="C19" s="88" t="s">
        <v>101</v>
      </c>
      <c r="D19" s="32" t="str">
        <f>D12</f>
        <v>LIST</v>
      </c>
      <c r="E19" s="89" t="s">
        <v>97</v>
      </c>
      <c r="F19" s="144" t="str">
        <f>LIDER!$E$31</f>
        <v>GRUPO#3  TRAJES DE BAÑO PARA PERSONAS DE CONTEXTURA GRUESA  (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CHAVEZ ARRIETA EVELYN SHARY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3.7000000000000006</v>
      </c>
      <c r="F20" s="200">
        <v>3.7</v>
      </c>
      <c r="G20" s="142">
        <v>3.7</v>
      </c>
      <c r="H20" s="199">
        <v>3.7</v>
      </c>
      <c r="I20" s="142">
        <v>3.7</v>
      </c>
      <c r="J20" s="199">
        <v>3.7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PEREZ MORENO ANA ISABEL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3.7000000000000006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PÁJARO DE LA PEÑA ANGELA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3.7000000000000006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102</v>
      </c>
      <c r="C26" s="88" t="s">
        <v>103</v>
      </c>
      <c r="D26" s="32" t="str">
        <f>D19</f>
        <v>LIST</v>
      </c>
      <c r="E26" s="89" t="s">
        <v>97</v>
      </c>
      <c r="F26" s="144" t="str">
        <f>LIDER!$E$32</f>
        <v>GRUPO#4  KITS PICKNIC ESPAÑA, BRAZIL Y PERU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BARRIOS CUADRADO HEILIN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3.3000000000000003</v>
      </c>
      <c r="F27" s="200">
        <v>3.3</v>
      </c>
      <c r="G27" s="142">
        <v>3.3</v>
      </c>
      <c r="H27" s="199">
        <v>3.3</v>
      </c>
      <c r="I27" s="142">
        <v>3.3</v>
      </c>
      <c r="J27" s="199">
        <v>3.3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MARTINEZ JULIO YEMILY ALBANIS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3.3000000000000003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MANJARRES CORREA PAULA ANDREA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3.3000000000000003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GARCIA MATUTE VALERIE DANIELA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3.3000000000000003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104</v>
      </c>
      <c r="C33" s="88" t="s">
        <v>105</v>
      </c>
      <c r="D33" s="32" t="str">
        <f>D26</f>
        <v>LIST</v>
      </c>
      <c r="E33" s="89" t="s">
        <v>97</v>
      </c>
      <c r="F33" s="144" t="str">
        <f>LIDER!$E$33</f>
        <v xml:space="preserve">GRUPO#5  HAMACAS INTERNACIONALES CON COJINES ESTADOS UNIDOS, SUECIA Y ESPAÑA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PADILLA MORALES VALERIE SOFIA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4.5999999999999996</v>
      </c>
      <c r="F34" s="200">
        <v>4.5999999999999996</v>
      </c>
      <c r="G34" s="142">
        <v>4.5999999999999996</v>
      </c>
      <c r="H34" s="199">
        <v>4.5999999999999996</v>
      </c>
      <c r="I34" s="142">
        <v>4.5999999999999996</v>
      </c>
      <c r="J34" s="199">
        <v>4.5999999999999996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RODRIGUEZ ARCIA MARICRUZ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4.5999999999999996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DONADO ALMANZA DAVID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4.5999999999999996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106</v>
      </c>
      <c r="C40" s="88" t="s">
        <v>107</v>
      </c>
      <c r="D40" s="32" t="str">
        <f>D33</f>
        <v>LIST</v>
      </c>
      <c r="E40" s="89" t="s">
        <v>97</v>
      </c>
      <c r="F40" s="144" t="str">
        <f>LIDER!$E$34</f>
        <v xml:space="preserve">GRUPO#6  COSMETICOS A BASE DE CAFE ,  ESPAÑA , ESTADOS UNIDOS,  CANADA 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PÉREZ TORRES BRISNEY ALEJANDRA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</v>
      </c>
      <c r="F41" s="200">
        <v>3</v>
      </c>
      <c r="G41" s="142">
        <v>3</v>
      </c>
      <c r="H41" s="199">
        <v>3</v>
      </c>
      <c r="I41" s="142">
        <v>3</v>
      </c>
      <c r="J41" s="199">
        <v>3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 xml:space="preserve">GOMEZ PINEDA DIEGO ALEJANDRO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 xml:space="preserve">ZUÑIGA ARANGO  NICOLAS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 xml:space="preserve">MARTINEZ SARMIENTO ISAAC DAVID 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GOMEZ JULIO LUIS DANIEL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 t="str">
        <f>LIDER!F56</f>
        <v xml:space="preserve">LOPEZ NAVARRO LUIS ENRIQUE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108</v>
      </c>
      <c r="D47" s="32" t="str">
        <f>D40</f>
        <v>LIST</v>
      </c>
      <c r="E47" s="89" t="s">
        <v>97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109</v>
      </c>
      <c r="D54" s="32" t="str">
        <f>D47</f>
        <v>LIST</v>
      </c>
      <c r="E54" s="89" t="s">
        <v>97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110</v>
      </c>
      <c r="D61" s="32" t="str">
        <f>D54</f>
        <v>LIST</v>
      </c>
      <c r="E61" s="89" t="s">
        <v>97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111</v>
      </c>
      <c r="D68" s="32" t="str">
        <f>D61</f>
        <v>LIST</v>
      </c>
      <c r="E68" s="89" t="s">
        <v>97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112</v>
      </c>
      <c r="D75" s="32" t="str">
        <f>D68</f>
        <v>LIST</v>
      </c>
      <c r="E75" s="89" t="s">
        <v>97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113</v>
      </c>
      <c r="D82" s="32" t="str">
        <f>D75</f>
        <v>LIST</v>
      </c>
      <c r="E82" s="89" t="s">
        <v>97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LIDER!H4</f>
        <v>FUNDAMENTOS DE FINANZAS</v>
      </c>
      <c r="C2" s="82"/>
      <c r="D2" s="3"/>
      <c r="F2" s="201" t="s">
        <v>92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CONCATENATE(LIDER!H4," - ",LIDER!H6," - ",LIDER!H5)</f>
        <v>FUNDAMENTOS DE FINANZAS - 1512 - LEONARDO CARLOS DE ORO BARRIOS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94</v>
      </c>
      <c r="C5" s="88" t="s">
        <v>95</v>
      </c>
      <c r="D5" s="32" t="s">
        <v>96</v>
      </c>
      <c r="E5" s="89" t="s">
        <v>97</v>
      </c>
      <c r="F5" s="144" t="str">
        <f>LIDER!$E$29</f>
        <v xml:space="preserve">GRUPO#1  Vestidos de Baño en Crochet (Brazil, Estados Unidos y República Dominicana)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BARRIOS BENITEZ EMILY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3.53</v>
      </c>
      <c r="F6" s="200">
        <v>3.7</v>
      </c>
      <c r="G6" s="142">
        <v>4.2</v>
      </c>
      <c r="H6" s="199">
        <v>3.5</v>
      </c>
      <c r="I6" s="142">
        <v>2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HERRERA TEJEDOR BRENDIS VANESA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3.53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RUIZ RIVERO HEILEEN CAROLINA</v>
      </c>
      <c r="C8" s="90" t="str">
        <f t="shared" si="0"/>
        <v>G01</v>
      </c>
      <c r="D8" s="96" t="s">
        <v>114</v>
      </c>
      <c r="E8" s="11" t="str">
        <f>IF(B8=0,0,IF(D8="",$F$6*LIDER!$H$9+$G$6*LIDER!$H$10+$H$6*LIDER!$H$11+$I$6*LIDER!$H$12+$J$6*LIDER!$H$13+$K$6*LIDER!$H$14+$L$6*LIDER!$H$15,"N"))</f>
        <v>N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DE ARCOS AVENDAÑO SAID JADITH</v>
      </c>
      <c r="C9" s="90" t="str">
        <f t="shared" si="0"/>
        <v>G01</v>
      </c>
      <c r="D9" s="96" t="s">
        <v>114</v>
      </c>
      <c r="E9" s="11" t="str">
        <f>IF(B9=0,0,IF(D9="",$F$6*LIDER!$H$9+$G$6*LIDER!$H$10+$H$6*LIDER!$H$11+$I$6*LIDER!$H$12+$J$6*LIDER!$H$13+$K$6*LIDER!$H$14+$L$6*LIDER!$H$15,"N"))</f>
        <v>N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CASTILLO VILLA NELDA SOFIA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3.53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98</v>
      </c>
      <c r="C12" s="88" t="s">
        <v>99</v>
      </c>
      <c r="D12" s="32" t="str">
        <f>D5</f>
        <v>LIST</v>
      </c>
      <c r="E12" s="89" t="s">
        <v>97</v>
      </c>
      <c r="F12" s="144" t="str">
        <f>LIDER!$E$30</f>
        <v xml:space="preserve">GRUPO#2  VINO DE MARACUYA, CHILE , PANAMA Y ESTADOS UNDOS)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NARVAEZ MORELO WISNEEY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</v>
      </c>
      <c r="F13" s="200">
        <v>4.2</v>
      </c>
      <c r="G13" s="142">
        <v>4.2</v>
      </c>
      <c r="H13" s="199">
        <v>4.2</v>
      </c>
      <c r="I13" s="142">
        <v>4.2</v>
      </c>
      <c r="J13" s="199">
        <v>4.2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CASUSOL RODRIGUEZ AYLIN MARIANA</v>
      </c>
      <c r="C14" s="90" t="str">
        <f t="shared" ref="C14:C18" si="1">C13</f>
        <v>G02</v>
      </c>
      <c r="D14" s="96" t="s">
        <v>114</v>
      </c>
      <c r="E14" s="11" t="str">
        <f>IF(B14=0,0,IF(D14="",$F$13*LIDER!$H$9+$G$13*LIDER!$H$10+$H$13*LIDER!$H$11+$I$13*LIDER!$H$12+$J$13*LIDER!$H$13+$K$13*LIDER!$H$14+$L$13*LIDER!$H$15,"N"))</f>
        <v>N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CARMONA SIERRA YIRLEIS PATRICIA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MAGALLANES PEDROZA VALENTINA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MOLINA PÁJARO MARIA DE LOS ÁNGELES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 t="str">
        <f>LIDER!F48</f>
        <v>ESMERAL CORDERO NORIETH CAROLINA</v>
      </c>
      <c r="C18" s="92" t="str">
        <f t="shared" si="1"/>
        <v>G02</v>
      </c>
      <c r="D18" s="97" t="s">
        <v>114</v>
      </c>
      <c r="E18" s="93" t="str">
        <f>IF(B18=0,0,IF(D18="",$F$13*LIDER!$H$9+$G$13*LIDER!$H$10+$H$13*LIDER!$H$11+$I$13*LIDER!$H$12+$J$13*LIDER!$H$13+$K$13*LIDER!$H$14+$L$13*LIDER!$H$15,"N"))</f>
        <v>N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100</v>
      </c>
      <c r="C19" s="88" t="s">
        <v>101</v>
      </c>
      <c r="D19" s="32" t="str">
        <f>D12</f>
        <v>LIST</v>
      </c>
      <c r="E19" s="89" t="s">
        <v>97</v>
      </c>
      <c r="F19" s="144" t="str">
        <f>LIDER!$E$31</f>
        <v>GRUPO#3  TRAJES DE BAÑO PARA PERSONAS DE CONTEXTURA GRUESA  (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CHAVEZ ARRIETA EVELYN SHARY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3.2500000000000004</v>
      </c>
      <c r="F20" s="200">
        <v>4</v>
      </c>
      <c r="G20" s="142">
        <v>4</v>
      </c>
      <c r="H20" s="199">
        <v>3.5</v>
      </c>
      <c r="I20" s="142">
        <v>2.5</v>
      </c>
      <c r="J20" s="199">
        <v>1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PEREZ MORENO ANA ISABEL</v>
      </c>
      <c r="C21" s="90" t="str">
        <f t="shared" ref="C21:C25" si="2">C20</f>
        <v>G03</v>
      </c>
      <c r="D21" s="96" t="s">
        <v>114</v>
      </c>
      <c r="E21" s="11" t="str">
        <f>IF(B21=0,0,IF(D21="",$F$20*LIDER!$H$9+$G$20*LIDER!$H$10+$H$20*LIDER!$H$11+$I$20*LIDER!$H$12+$J$20*LIDER!$H$13+$K$20*LIDER!$H$14+$L$20*LIDER!$H$15,"N"))</f>
        <v>N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PÁJARO DE LA PEÑA ANGELA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3.2500000000000004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102</v>
      </c>
      <c r="C26" s="88" t="s">
        <v>103</v>
      </c>
      <c r="D26" s="32" t="str">
        <f>D19</f>
        <v>LIST</v>
      </c>
      <c r="E26" s="89" t="s">
        <v>97</v>
      </c>
      <c r="F26" s="144" t="str">
        <f>LIDER!$E$32</f>
        <v>GRUPO#4  KITS PICKNIC ESPAÑA, BRAZIL Y PERU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BARRIOS CUADRADO HEILIN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4.1400000000000006</v>
      </c>
      <c r="F27" s="200">
        <v>4.2</v>
      </c>
      <c r="G27" s="142">
        <v>4.2</v>
      </c>
      <c r="H27" s="199">
        <v>4.2</v>
      </c>
      <c r="I27" s="142">
        <v>3.5</v>
      </c>
      <c r="J27" s="199">
        <v>5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MARTINEZ JULIO YEMILY ALBANIS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4.1400000000000006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MANJARRES CORREA PAULA ANDREA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4.1400000000000006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GARCIA MATUTE VALERIE DANIELA</v>
      </c>
      <c r="C30" s="90" t="str">
        <f t="shared" si="3"/>
        <v>G04</v>
      </c>
      <c r="D30" s="96" t="s">
        <v>114</v>
      </c>
      <c r="E30" s="11" t="str">
        <f>IF(B30=0,0,IF(D30="",$F$27*LIDER!$H$9+$G$27*LIDER!$H$10+$H$27*LIDER!$H$11+$I$27*LIDER!$H$12+$J$27*LIDER!$H$13+$K$27*LIDER!$H$14+$L$27*LIDER!$H$15,"N"))</f>
        <v>N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104</v>
      </c>
      <c r="C33" s="88" t="s">
        <v>105</v>
      </c>
      <c r="D33" s="32" t="str">
        <f>D26</f>
        <v>LIST</v>
      </c>
      <c r="E33" s="89" t="s">
        <v>97</v>
      </c>
      <c r="F33" s="144" t="str">
        <f>LIDER!$E$33</f>
        <v xml:space="preserve">GRUPO#5  HAMACAS INTERNACIONALES CON COJINES ESTADOS UNIDOS, SUECIA Y ESPAÑA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PADILLA MORALES VALERIE SOFIA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4.24</v>
      </c>
      <c r="F34" s="200">
        <v>4.2</v>
      </c>
      <c r="G34" s="142">
        <v>4.2</v>
      </c>
      <c r="H34" s="199">
        <v>4.2</v>
      </c>
      <c r="I34" s="142">
        <v>4</v>
      </c>
      <c r="J34" s="199">
        <v>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RODRIGUEZ ARCIA MARICRUZ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4.24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DONADO ALMANZA DAVID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4.24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106</v>
      </c>
      <c r="C40" s="88" t="s">
        <v>107</v>
      </c>
      <c r="D40" s="32" t="str">
        <f>D33</f>
        <v>LIST</v>
      </c>
      <c r="E40" s="89" t="s">
        <v>97</v>
      </c>
      <c r="F40" s="144" t="str">
        <f>LIDER!$E$34</f>
        <v xml:space="preserve">GRUPO#6  COSMETICOS A BASE DE CAFE ,  ESPAÑA , ESTADOS UNIDOS,  CANADA 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PÉREZ TORRES BRISNEY ALEJANDRA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2.52</v>
      </c>
      <c r="F41" s="200">
        <v>3.3</v>
      </c>
      <c r="G41" s="142">
        <v>3.3</v>
      </c>
      <c r="H41" s="199">
        <v>3</v>
      </c>
      <c r="I41" s="142">
        <v>1</v>
      </c>
      <c r="J41" s="199">
        <v>1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 xml:space="preserve">GOMEZ PINEDA DIEGO ALEJANDRO </v>
      </c>
      <c r="C42" s="90" t="str">
        <f t="shared" ref="C42:C46" si="5">C41</f>
        <v>G06</v>
      </c>
      <c r="D42" s="96" t="s">
        <v>114</v>
      </c>
      <c r="E42" s="11" t="str">
        <f>IF(B42=0,0,IF(D42="",$F$41*LIDER!$H$9+$G$41*LIDER!$H$10+$H$41*LIDER!$H$11+$I$41*LIDER!$H$12+$J$41*LIDER!$H$13+$K$41*LIDER!$H$14+$L$41*LIDER!$H$15,"N"))</f>
        <v>N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 xml:space="preserve">ZUÑIGA ARANGO  NICOLAS </v>
      </c>
      <c r="C43" s="90" t="str">
        <f t="shared" si="5"/>
        <v>G06</v>
      </c>
      <c r="D43" s="96" t="s">
        <v>114</v>
      </c>
      <c r="E43" s="11" t="str">
        <f>IF(B43=0,0,IF(D43="",$F$41*LIDER!$H$9+$G$41*LIDER!$H$10+$H$41*LIDER!$H$11+$I$41*LIDER!$H$12+$J$41*LIDER!$H$13+$K$41*LIDER!$H$14+$L$41*LIDER!$H$15,"N"))</f>
        <v>N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 xml:space="preserve">MARTINEZ SARMIENTO ISAAC DAVID </v>
      </c>
      <c r="C44" s="90" t="str">
        <f t="shared" si="5"/>
        <v>G06</v>
      </c>
      <c r="D44" s="96" t="s">
        <v>114</v>
      </c>
      <c r="E44" s="11" t="str">
        <f>IF(B44=0,0,IF(D44="",$F$41*LIDER!$H$9+$G$41*LIDER!$H$10+$H$41*LIDER!$H$11+$I$41*LIDER!$H$12+$J$41*LIDER!$H$13+$K$41*LIDER!$H$14+$L$41*LIDER!$H$15,"N"))</f>
        <v>N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GOMEZ JULIO LUIS DANIEL</v>
      </c>
      <c r="C45" s="90" t="str">
        <f t="shared" si="5"/>
        <v>G06</v>
      </c>
      <c r="D45" s="96" t="s">
        <v>114</v>
      </c>
      <c r="E45" s="11" t="str">
        <f>IF(B45=0,0,IF(D45="",$F$41*LIDER!$H$9+$G$41*LIDER!$H$10+$H$41*LIDER!$H$11+$I$41*LIDER!$H$12+$J$41*LIDER!$H$13+$K$41*LIDER!$H$14+$L$41*LIDER!$H$15,"N"))</f>
        <v>N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 t="str">
        <f>LIDER!F56</f>
        <v xml:space="preserve">LOPEZ NAVARRO LUIS ENRIQUE </v>
      </c>
      <c r="C46" s="92" t="str">
        <f t="shared" si="5"/>
        <v>G06</v>
      </c>
      <c r="D46" s="97" t="s">
        <v>114</v>
      </c>
      <c r="E46" s="93" t="str">
        <f>IF(B46=0,0,IF(D46="",$F$41*LIDER!$H$9+$G$41*LIDER!$H$10+$H$41*LIDER!$H$11+$I$41*LIDER!$H$12+$J$41*LIDER!$H$13+$K$41*LIDER!$H$14+$L$41*LIDER!$H$15,"N"))</f>
        <v>N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108</v>
      </c>
      <c r="D47" s="32" t="str">
        <f>D40</f>
        <v>LIST</v>
      </c>
      <c r="E47" s="89" t="s">
        <v>97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109</v>
      </c>
      <c r="D54" s="32" t="str">
        <f>D47</f>
        <v>LIST</v>
      </c>
      <c r="E54" s="89" t="s">
        <v>97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110</v>
      </c>
      <c r="D61" s="32" t="str">
        <f>D54</f>
        <v>LIST</v>
      </c>
      <c r="E61" s="89" t="s">
        <v>97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111</v>
      </c>
      <c r="D68" s="32" t="str">
        <f>D61</f>
        <v>LIST</v>
      </c>
      <c r="E68" s="89" t="s">
        <v>97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112</v>
      </c>
      <c r="D75" s="32" t="str">
        <f>D68</f>
        <v>LIST</v>
      </c>
      <c r="E75" s="89" t="s">
        <v>97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113</v>
      </c>
      <c r="D82" s="32" t="str">
        <f>D75</f>
        <v>LIST</v>
      </c>
      <c r="E82" s="89" t="s">
        <v>97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201" t="s">
        <v>92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CONCATENATE(LIDER!I4," - ",LIDER!I6," - ",LIDER!I5)</f>
        <v xml:space="preserve"> -  - 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94</v>
      </c>
      <c r="C5" s="88" t="s">
        <v>95</v>
      </c>
      <c r="D5" s="32" t="s">
        <v>96</v>
      </c>
      <c r="E5" s="89" t="s">
        <v>97</v>
      </c>
      <c r="F5" s="144" t="str">
        <f>LIDER!$E$29</f>
        <v xml:space="preserve">GRUPO#1  Vestidos de Baño en Crochet (Brazil, Estados Unidos y República Dominicana) 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BARRIOS BENITEZ EMILY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42"/>
      <c r="H6" s="199"/>
      <c r="I6" s="142"/>
      <c r="J6" s="199"/>
      <c r="K6" s="142"/>
      <c r="L6" s="199"/>
    </row>
    <row r="7" spans="1:12" s="2" customFormat="1" ht="15" customHeight="1">
      <c r="A7" s="12">
        <v>2</v>
      </c>
      <c r="B7" s="10" t="str">
        <f>LIDER!E44</f>
        <v>HERRERA TEJEDOR BRENDIS VANESA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RUIZ RIVERO HEILEEN CAROLINA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DE ARCOS AVENDAÑO SAID JADITH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CASTILLO VILLA NELDA SOFIA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98</v>
      </c>
      <c r="C12" s="88" t="s">
        <v>99</v>
      </c>
      <c r="D12" s="32" t="str">
        <f>D5</f>
        <v>LIST</v>
      </c>
      <c r="E12" s="89" t="s">
        <v>97</v>
      </c>
      <c r="F12" s="144" t="str">
        <f>LIDER!$E$30</f>
        <v xml:space="preserve">GRUPO#2  VINO DE MARACUYA, CHILE , PANAMA Y ESTADOS UNDOS) 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NARVAEZ MORELO WISNEEY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42"/>
      <c r="H13" s="199"/>
      <c r="I13" s="142"/>
      <c r="J13" s="199"/>
      <c r="K13" s="142"/>
      <c r="L13" s="199"/>
    </row>
    <row r="14" spans="1:12" s="2" customFormat="1" ht="15" customHeight="1">
      <c r="A14" s="12">
        <v>2</v>
      </c>
      <c r="B14" s="10" t="str">
        <f>LIDER!F44</f>
        <v>CASUSOL RODRIGUEZ AYLIN MARIANA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CARMONA SIERRA YIRLEIS PATRICIA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MAGALLANES PEDROZA VALENTINA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MOLINA PÁJARO MARIA DE LOS ÁNGELES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 t="str">
        <f>LIDER!F48</f>
        <v>ESMERAL CORDERO NORIETH CAROLINA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100</v>
      </c>
      <c r="C19" s="88" t="s">
        <v>101</v>
      </c>
      <c r="D19" s="32" t="str">
        <f>D12</f>
        <v>LIST</v>
      </c>
      <c r="E19" s="89" t="s">
        <v>97</v>
      </c>
      <c r="F19" s="144" t="str">
        <f>LIDER!$E$31</f>
        <v>GRUPO#3  TRAJES DE BAÑO PARA PERSONAS DE CONTEXTURA GRUESA  (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CHAVEZ ARRIETA EVELYN SHARY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42"/>
      <c r="H20" s="199"/>
      <c r="I20" s="142"/>
      <c r="J20" s="199"/>
      <c r="K20" s="142"/>
      <c r="L20" s="199"/>
    </row>
    <row r="21" spans="1:12" s="2" customFormat="1" ht="15" customHeight="1">
      <c r="A21" s="12">
        <v>2</v>
      </c>
      <c r="B21" s="10" t="str">
        <f>LIDER!G44</f>
        <v>PEREZ MORENO ANA ISABEL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PÁJARO DE LA PEÑA ANGELA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102</v>
      </c>
      <c r="C26" s="88" t="s">
        <v>103</v>
      </c>
      <c r="D26" s="32" t="str">
        <f>D19</f>
        <v>LIST</v>
      </c>
      <c r="E26" s="89" t="s">
        <v>97</v>
      </c>
      <c r="F26" s="144" t="str">
        <f>LIDER!$E$32</f>
        <v>GRUPO#4  KITS PICKNIC ESPAÑA, BRAZIL Y PERU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BARRIOS CUADRADO HEILIN TATIANA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 t="str">
        <f>LIDER!H44</f>
        <v>MARTINEZ JULIO YEMILY ALBANIS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MANJARRES CORREA PAULA ANDREA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GARCIA MATUTE VALERIE DANIELA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104</v>
      </c>
      <c r="C33" s="88" t="s">
        <v>105</v>
      </c>
      <c r="D33" s="32" t="str">
        <f>D26</f>
        <v>LIST</v>
      </c>
      <c r="E33" s="89" t="s">
        <v>97</v>
      </c>
      <c r="F33" s="144" t="str">
        <f>LIDER!$E$33</f>
        <v xml:space="preserve">GRUPO#5  HAMACAS INTERNACIONALES CON COJINES ESTADOS UNIDOS, SUECIA Y ESPAÑA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PADILLA MORALES VALERIE SOFIA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 t="str">
        <f>LIDER!E52</f>
        <v>RODRIGUEZ ARCIA MARICRUZ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DONADO ALMANZA DAVID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106</v>
      </c>
      <c r="C40" s="88" t="s">
        <v>107</v>
      </c>
      <c r="D40" s="32" t="str">
        <f>D33</f>
        <v>LIST</v>
      </c>
      <c r="E40" s="89" t="s">
        <v>97</v>
      </c>
      <c r="F40" s="144" t="str">
        <f>LIDER!$E$34</f>
        <v xml:space="preserve">GRUPO#6  COSMETICOS A BASE DE CAFE ,  ESPAÑA , ESTADOS UNIDOS,  CANADA 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PÉREZ TORRES BRISNEY ALEJANDRA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 t="str">
        <f>LIDER!F52</f>
        <v xml:space="preserve">GOMEZ PINEDA DIEGO ALEJANDRO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 xml:space="preserve">ZUÑIGA ARANGO  NICOLAS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 xml:space="preserve">MARTINEZ SARMIENTO ISAAC DAVID 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GOMEZ JULIO LUIS DANIEL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 t="str">
        <f>LIDER!F56</f>
        <v xml:space="preserve">LOPEZ NAVARRO LUIS ENRIQUE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108</v>
      </c>
      <c r="D47" s="32" t="str">
        <f>D40</f>
        <v>LIST</v>
      </c>
      <c r="E47" s="89" t="s">
        <v>97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109</v>
      </c>
      <c r="D54" s="32" t="str">
        <f>D47</f>
        <v>LIST</v>
      </c>
      <c r="E54" s="89" t="s">
        <v>97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110</v>
      </c>
      <c r="D61" s="32" t="str">
        <f>D54</f>
        <v>LIST</v>
      </c>
      <c r="E61" s="89" t="s">
        <v>97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111</v>
      </c>
      <c r="D68" s="32" t="str">
        <f>D61</f>
        <v>LIST</v>
      </c>
      <c r="E68" s="89" t="s">
        <v>97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112</v>
      </c>
      <c r="D75" s="32" t="str">
        <f>D68</f>
        <v>LIST</v>
      </c>
      <c r="E75" s="89" t="s">
        <v>97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113</v>
      </c>
      <c r="D82" s="32" t="str">
        <f>D75</f>
        <v>LIST</v>
      </c>
      <c r="E82" s="89" t="s">
        <v>97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16" activePane="bottomRight" state="frozen"/>
      <selection pane="bottomRight" sqref="A1:G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ELECTIVA DE PROFUNDIZACION I</v>
      </c>
      <c r="C2" s="3"/>
      <c r="E2" s="148" t="s">
        <v>92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CONCATENATE(LIDER!C4," - ",LIDER!C6," - ",LIDER!C5)</f>
        <v>ELECTIVA DE PROFUNDIZACION I - 2413 - SANDRA MILENA CASTAÑO GIRALDO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94</v>
      </c>
      <c r="C5" s="32" t="str">
        <f>IF('S-ASIG-01'!D5="","",'S-ASIG-01'!D5)</f>
        <v>LIST</v>
      </c>
      <c r="D5" s="35" t="s">
        <v>97</v>
      </c>
      <c r="E5" s="209" t="str">
        <f>LIDER!$E$29</f>
        <v xml:space="preserve">GRUPO#1  Vestidos de Baño en Crochet (Brazil, Estados Unidos y República Dominicana)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BARRIOS BENITEZ EMILY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4.335</v>
      </c>
      <c r="E6" s="207">
        <v>4.5</v>
      </c>
      <c r="F6" s="24">
        <v>4</v>
      </c>
      <c r="G6" s="24">
        <v>4.3</v>
      </c>
      <c r="H6" s="24">
        <v>4.5</v>
      </c>
      <c r="I6" s="24">
        <v>4.5999999999999996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HERRERA TEJEDOR BRENDIS VANESA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4.335</v>
      </c>
      <c r="E7" s="207"/>
      <c r="F7" s="18">
        <v>4</v>
      </c>
      <c r="G7" s="18">
        <v>4.3</v>
      </c>
      <c r="H7" s="18">
        <v>4.5</v>
      </c>
      <c r="I7" s="18">
        <v>4.5999999999999996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RUIZ RIVERO HEILEEN CAROLINA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4.335</v>
      </c>
      <c r="E8" s="207"/>
      <c r="F8" s="18">
        <v>4</v>
      </c>
      <c r="G8" s="18">
        <v>4.3</v>
      </c>
      <c r="H8" s="18">
        <v>4.5</v>
      </c>
      <c r="I8" s="18">
        <v>4.5999999999999996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DE ARCOS AVENDAÑO SAID JADITH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4.335</v>
      </c>
      <c r="E9" s="207"/>
      <c r="F9" s="18">
        <v>4</v>
      </c>
      <c r="G9" s="18">
        <v>4.3</v>
      </c>
      <c r="H9" s="18">
        <v>4.5</v>
      </c>
      <c r="I9" s="18">
        <v>4.5999999999999996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CASTILLO VILLA NELDA SOFIA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4.335</v>
      </c>
      <c r="E10" s="207"/>
      <c r="F10" s="18">
        <v>4</v>
      </c>
      <c r="G10" s="18">
        <v>4.3</v>
      </c>
      <c r="H10" s="18">
        <v>4.5</v>
      </c>
      <c r="I10" s="18">
        <v>4.5999999999999996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98</v>
      </c>
      <c r="C12" s="32" t="str">
        <f>IF('S-ASIG-01'!D12="","",'S-ASIG-01'!D12)</f>
        <v>LIST</v>
      </c>
      <c r="D12" s="35" t="s">
        <v>97</v>
      </c>
      <c r="E12" s="209" t="str">
        <f>LIDER!$E$30</f>
        <v xml:space="preserve">GRUPO#2  VINO DE MARACUYA, CHILE , PANAMA Y ESTADOS UNDOS)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NARVAEZ MORELO WISNEEY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4.4749999999999996</v>
      </c>
      <c r="E13" s="207">
        <v>4.5</v>
      </c>
      <c r="F13" s="24">
        <v>4.5</v>
      </c>
      <c r="G13" s="24">
        <v>4.8</v>
      </c>
      <c r="H13" s="24">
        <v>4.3</v>
      </c>
      <c r="I13" s="24">
        <v>4</v>
      </c>
      <c r="J13" s="24">
        <v>4.3</v>
      </c>
      <c r="K13" s="24"/>
    </row>
    <row r="14" spans="1:11" s="2" customFormat="1" ht="15" customHeight="1">
      <c r="A14" s="12">
        <v>2</v>
      </c>
      <c r="B14" s="28" t="str">
        <f>LIDER!F44</f>
        <v>CASUSOL RODRIGUEZ AYLIN MARIANA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4.4749999999999996</v>
      </c>
      <c r="E14" s="207"/>
      <c r="F14" s="18">
        <v>4.5</v>
      </c>
      <c r="G14" s="18">
        <v>4.8</v>
      </c>
      <c r="H14" s="18">
        <v>4.3</v>
      </c>
      <c r="I14" s="18">
        <v>4</v>
      </c>
      <c r="J14" s="18">
        <v>4.3</v>
      </c>
      <c r="K14" s="18"/>
    </row>
    <row r="15" spans="1:11" s="2" customFormat="1" ht="15" customHeight="1">
      <c r="A15" s="12">
        <v>3</v>
      </c>
      <c r="B15" s="28" t="str">
        <f>LIDER!F45</f>
        <v>CARMONA SIERRA YIRLEIS PATRICIA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4.4749999999999996</v>
      </c>
      <c r="E15" s="207"/>
      <c r="F15" s="18">
        <v>4.5</v>
      </c>
      <c r="G15" s="18">
        <v>4.8</v>
      </c>
      <c r="H15" s="18">
        <v>4.3</v>
      </c>
      <c r="I15" s="18">
        <v>4</v>
      </c>
      <c r="J15" s="18">
        <v>4.3</v>
      </c>
      <c r="K15" s="18"/>
    </row>
    <row r="16" spans="1:11" s="2" customFormat="1" ht="15" customHeight="1">
      <c r="A16" s="12">
        <v>4</v>
      </c>
      <c r="B16" s="28" t="str">
        <f>LIDER!F46</f>
        <v>MAGALLANES PEDROZA VALENTINA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4.4749999999999996</v>
      </c>
      <c r="E16" s="207"/>
      <c r="F16" s="18">
        <v>4.5</v>
      </c>
      <c r="G16" s="18">
        <v>4.8</v>
      </c>
      <c r="H16" s="18">
        <v>4.3</v>
      </c>
      <c r="I16" s="18">
        <v>4</v>
      </c>
      <c r="J16" s="18">
        <v>4.3</v>
      </c>
      <c r="K16" s="18"/>
    </row>
    <row r="17" spans="1:11" s="2" customFormat="1" ht="15" customHeight="1">
      <c r="A17" s="12">
        <v>5</v>
      </c>
      <c r="B17" s="28" t="str">
        <f>LIDER!F47</f>
        <v>MOLINA PÁJARO MARIA DE LOS ÁNGELES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4.4749999999999996</v>
      </c>
      <c r="E17" s="207"/>
      <c r="F17" s="18">
        <v>4.5</v>
      </c>
      <c r="G17" s="18">
        <v>4.8</v>
      </c>
      <c r="H17" s="18">
        <v>4.3</v>
      </c>
      <c r="I17" s="18">
        <v>4</v>
      </c>
      <c r="J17" s="18">
        <v>4.3</v>
      </c>
      <c r="K17" s="18"/>
    </row>
    <row r="18" spans="1:11" s="2" customFormat="1" ht="15.75" customHeight="1" thickBot="1">
      <c r="A18" s="13">
        <v>6</v>
      </c>
      <c r="B18" s="28" t="str">
        <f>LIDER!F48</f>
        <v>ESMERAL CORDERO NORIETH CAROLINA</v>
      </c>
      <c r="C18" s="33" t="str">
        <f>IF('S-ASIG-01'!D18="","",'S-ASIG-01'!D18)</f>
        <v/>
      </c>
      <c r="D18" s="30">
        <f>IF(B18=0,"",IF(C18="",$E$13*LIDER!$H$19+F18*LIDER!$H$20+G18*LIDER!$H$21+H18*LIDER!$H$22+I18*LIDER!$H$23+J18*LIDER!$H$24+K18*LIDER!$H$25,"N"))</f>
        <v>4.4749999999999996</v>
      </c>
      <c r="E18" s="207"/>
      <c r="F18" s="26">
        <v>4.5</v>
      </c>
      <c r="G18" s="26">
        <v>4.8</v>
      </c>
      <c r="H18" s="26">
        <v>4.3</v>
      </c>
      <c r="I18" s="26">
        <v>4</v>
      </c>
      <c r="J18" s="26">
        <v>4.3</v>
      </c>
      <c r="K18" s="26"/>
    </row>
    <row r="19" spans="1:11" s="2" customFormat="1" ht="15.75" customHeight="1" thickBot="1">
      <c r="A19" s="14"/>
      <c r="B19" s="27" t="s">
        <v>100</v>
      </c>
      <c r="C19" s="32" t="str">
        <f>IF('S-ASIG-01'!D19="","",'S-ASIG-01'!D19)</f>
        <v>LIST</v>
      </c>
      <c r="D19" s="35" t="s">
        <v>97</v>
      </c>
      <c r="E19" s="209" t="str">
        <f>LIDER!$E$31</f>
        <v>GRUPO#3  TRAJES DE BAÑO PARA PERSONAS DE CONTEXTURA GRUESA  (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CHAVEZ ARRIETA EVELYN SHARY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4.5999999999999996</v>
      </c>
      <c r="E20" s="207">
        <v>4.5</v>
      </c>
      <c r="F20" s="24">
        <v>4.5</v>
      </c>
      <c r="G20" s="24">
        <v>4.5</v>
      </c>
      <c r="H20" s="24">
        <v>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PEREZ MORENO ANA ISABEL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4.5999999999999996</v>
      </c>
      <c r="E21" s="207"/>
      <c r="F21" s="18">
        <v>4.5</v>
      </c>
      <c r="G21" s="18">
        <v>4.5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PÁJARO DE LA PEÑA ANGELA ISABEL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4.7</v>
      </c>
      <c r="E22" s="207"/>
      <c r="F22" s="18">
        <v>5</v>
      </c>
      <c r="G22" s="18">
        <v>4.5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0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102</v>
      </c>
      <c r="C26" s="32" t="str">
        <f>IF('S-ASIG-01'!D26="","",'S-ASIG-01'!D26)</f>
        <v>LIST</v>
      </c>
      <c r="D26" s="35" t="s">
        <v>97</v>
      </c>
      <c r="E26" s="209" t="str">
        <f>LIDER!$E$32</f>
        <v>GRUPO#4  KITS PICKNIC ESPAÑA, BRAZIL Y PERU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BARRIOS CUADRADO HEILIN TATIANA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4.1750000000000007</v>
      </c>
      <c r="E27" s="207">
        <v>4.2</v>
      </c>
      <c r="F27" s="24">
        <v>4</v>
      </c>
      <c r="G27" s="24">
        <v>4</v>
      </c>
      <c r="H27" s="24">
        <v>4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MARTINEZ JULIO YEMILY ALBANIS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4.1750000000000007</v>
      </c>
      <c r="E28" s="207"/>
      <c r="F28" s="18">
        <v>4</v>
      </c>
      <c r="G28" s="18">
        <v>4</v>
      </c>
      <c r="H28" s="18">
        <v>4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MANJARRES CORREA PAULA ANDREA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4.1750000000000007</v>
      </c>
      <c r="E29" s="207"/>
      <c r="F29" s="18">
        <v>4</v>
      </c>
      <c r="G29" s="18">
        <v>4</v>
      </c>
      <c r="H29" s="18">
        <v>4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GARCIA MATUTE VALERIE DANIELA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4.1750000000000007</v>
      </c>
      <c r="E30" s="207"/>
      <c r="F30" s="18">
        <v>4</v>
      </c>
      <c r="G30" s="18">
        <v>4</v>
      </c>
      <c r="H30" s="18">
        <v>4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7"/>
      <c r="F31" s="18">
        <v>4</v>
      </c>
      <c r="G31" s="18">
        <v>4</v>
      </c>
      <c r="H31" s="18">
        <v>4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104</v>
      </c>
      <c r="C33" s="32" t="str">
        <f>IF('S-ASIG-01'!D33="","",'S-ASIG-01'!D33)</f>
        <v>LIST</v>
      </c>
      <c r="D33" s="35" t="s">
        <v>97</v>
      </c>
      <c r="E33" s="209" t="str">
        <f>LIDER!$E$33</f>
        <v xml:space="preserve">GRUPO#5  HAMACAS INTERNACIONALES CON COJINES ESTADOS UNIDOS, SUECIA Y ESPAÑA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PADILLA MORALES VALERIE SOFIA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4.2300000000000004</v>
      </c>
      <c r="E34" s="207">
        <v>4.3</v>
      </c>
      <c r="F34" s="24">
        <v>4.3</v>
      </c>
      <c r="G34" s="24">
        <v>4</v>
      </c>
      <c r="H34" s="24">
        <v>4</v>
      </c>
      <c r="I34" s="24">
        <v>4</v>
      </c>
      <c r="J34" s="24">
        <v>4.2</v>
      </c>
      <c r="K34" s="24"/>
    </row>
    <row r="35" spans="1:11" s="2" customFormat="1" ht="15" customHeight="1">
      <c r="A35" s="12">
        <v>2</v>
      </c>
      <c r="B35" s="28" t="str">
        <f>LIDER!E52</f>
        <v>RODRIGUEZ ARCIA MARICRUZ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4.2300000000000004</v>
      </c>
      <c r="E35" s="207"/>
      <c r="F35" s="18">
        <v>4.3</v>
      </c>
      <c r="G35" s="18">
        <v>4</v>
      </c>
      <c r="H35" s="18">
        <v>4</v>
      </c>
      <c r="I35" s="18">
        <v>4</v>
      </c>
      <c r="J35" s="18">
        <v>4.2</v>
      </c>
      <c r="K35" s="18"/>
    </row>
    <row r="36" spans="1:11" s="2" customFormat="1" ht="15" customHeight="1">
      <c r="A36" s="12">
        <v>3</v>
      </c>
      <c r="B36" s="28" t="str">
        <f>LIDER!E53</f>
        <v>DONADO ALMANZA DAVID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4.2300000000000004</v>
      </c>
      <c r="E36" s="207"/>
      <c r="F36" s="18">
        <v>4.3</v>
      </c>
      <c r="G36" s="18">
        <v>4</v>
      </c>
      <c r="H36" s="18">
        <v>4</v>
      </c>
      <c r="I36" s="18">
        <v>4</v>
      </c>
      <c r="J36" s="18">
        <v>4.2</v>
      </c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106</v>
      </c>
      <c r="C40" s="32" t="str">
        <f>IF('S-ASIG-01'!D40="","",'S-ASIG-01'!D40)</f>
        <v>LIST</v>
      </c>
      <c r="D40" s="35" t="s">
        <v>97</v>
      </c>
      <c r="E40" s="209" t="str">
        <f>LIDER!$E$34</f>
        <v xml:space="preserve">GRUPO#6  COSMETICOS A BASE DE CAFE ,  ESPAÑA , ESTADOS UNIDOS,  CANADA 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PÉREZ TORRES BRISNEY ALEJANDRA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2.4500000000000002</v>
      </c>
      <c r="E41" s="207">
        <v>2</v>
      </c>
      <c r="F41" s="24">
        <v>3</v>
      </c>
      <c r="G41" s="24">
        <v>2.5</v>
      </c>
      <c r="H41" s="24">
        <v>3</v>
      </c>
      <c r="I41" s="24">
        <v>3</v>
      </c>
      <c r="J41" s="24">
        <v>3</v>
      </c>
      <c r="K41" s="24"/>
    </row>
    <row r="42" spans="1:11" s="2" customFormat="1" ht="15" customHeight="1">
      <c r="A42" s="12">
        <v>2</v>
      </c>
      <c r="B42" s="28" t="str">
        <f>LIDER!F52</f>
        <v xml:space="preserve">GOMEZ PINEDA DIEGO ALEJANDRO 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2.4500000000000002</v>
      </c>
      <c r="E42" s="207"/>
      <c r="F42" s="18">
        <v>3</v>
      </c>
      <c r="G42" s="18">
        <v>2.5</v>
      </c>
      <c r="H42" s="18">
        <v>3</v>
      </c>
      <c r="I42" s="18">
        <v>3</v>
      </c>
      <c r="J42" s="18">
        <v>3</v>
      </c>
      <c r="K42" s="18"/>
    </row>
    <row r="43" spans="1:11" s="2" customFormat="1" ht="15" customHeight="1">
      <c r="A43" s="12">
        <v>3</v>
      </c>
      <c r="B43" s="28" t="str">
        <f>LIDER!F53</f>
        <v xml:space="preserve">ZUÑIGA ARANGO  NICOLAS 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2.4500000000000002</v>
      </c>
      <c r="E43" s="207"/>
      <c r="F43" s="18">
        <v>3</v>
      </c>
      <c r="G43" s="18">
        <v>2.5</v>
      </c>
      <c r="H43" s="18">
        <v>3</v>
      </c>
      <c r="I43" s="18">
        <v>3</v>
      </c>
      <c r="J43" s="18">
        <v>3</v>
      </c>
      <c r="K43" s="18"/>
    </row>
    <row r="44" spans="1:11" s="2" customFormat="1" ht="15" customHeight="1">
      <c r="A44" s="12">
        <v>4</v>
      </c>
      <c r="B44" s="28" t="str">
        <f>LIDER!F54</f>
        <v xml:space="preserve">MARTINEZ SARMIENTO ISAAC DAVID 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2.4500000000000002</v>
      </c>
      <c r="E44" s="207"/>
      <c r="F44" s="18">
        <v>3</v>
      </c>
      <c r="G44" s="18">
        <v>2.5</v>
      </c>
      <c r="H44" s="18">
        <v>3</v>
      </c>
      <c r="I44" s="18">
        <v>3</v>
      </c>
      <c r="J44" s="18">
        <v>3</v>
      </c>
      <c r="K44" s="18"/>
    </row>
    <row r="45" spans="1:11" s="2" customFormat="1" ht="15" customHeight="1">
      <c r="A45" s="12">
        <v>5</v>
      </c>
      <c r="B45" s="28" t="str">
        <f>LIDER!F55</f>
        <v>GOMEZ JULIO LUIS DANIEL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2.4500000000000002</v>
      </c>
      <c r="E45" s="207"/>
      <c r="F45" s="18">
        <v>3</v>
      </c>
      <c r="G45" s="18">
        <v>2.5</v>
      </c>
      <c r="H45" s="18">
        <v>3</v>
      </c>
      <c r="I45" s="18">
        <v>3</v>
      </c>
      <c r="J45" s="18">
        <v>3</v>
      </c>
      <c r="K45" s="18"/>
    </row>
    <row r="46" spans="1:11" s="2" customFormat="1" ht="15.75" customHeight="1" thickBot="1">
      <c r="A46" s="13">
        <v>6</v>
      </c>
      <c r="B46" s="28" t="str">
        <f>LIDER!F56</f>
        <v xml:space="preserve">LOPEZ NAVARRO LUIS ENRIQUE </v>
      </c>
      <c r="C46" s="33" t="str">
        <f>IF('S-ASIG-01'!D46="","",'S-ASIG-01'!D46)</f>
        <v/>
      </c>
      <c r="D46" s="30">
        <f>IF(B46=0,"",IF(C46="",$E$41*LIDER!$H$19+F46*LIDER!$H$20+G46*LIDER!$H$21+H46*LIDER!$H$22+I46*LIDER!$H$23+J46*LIDER!$H$24+K46*LIDER!$H$25,"N"))</f>
        <v>2.4500000000000002</v>
      </c>
      <c r="E46" s="207"/>
      <c r="F46" s="26">
        <v>3</v>
      </c>
      <c r="G46" s="26">
        <v>2.5</v>
      </c>
      <c r="H46" s="26">
        <v>3</v>
      </c>
      <c r="I46" s="26">
        <v>3</v>
      </c>
      <c r="J46" s="26">
        <v>3</v>
      </c>
      <c r="K46" s="26"/>
    </row>
    <row r="47" spans="1:11" s="2" customFormat="1" ht="15.75" customHeight="1" thickBot="1">
      <c r="A47" s="14"/>
      <c r="B47" s="27" t="s">
        <v>82</v>
      </c>
      <c r="C47" s="32" t="str">
        <f>IF('S-ASIG-01'!D47="","",'S-ASIG-01'!D47)</f>
        <v>LIST</v>
      </c>
      <c r="D47" s="35" t="s">
        <v>97</v>
      </c>
      <c r="E47" s="209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IF('S-ASIG-01'!D54="","",'S-ASIG-01'!D54)</f>
        <v>LIST</v>
      </c>
      <c r="D54" s="35" t="s">
        <v>97</v>
      </c>
      <c r="E54" s="209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IF('S-ASIG-01'!D61="","",'S-ASIG-01'!D61)</f>
        <v>LIST</v>
      </c>
      <c r="D61" s="35" t="s">
        <v>97</v>
      </c>
      <c r="E61" s="209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IF('S-ASIG-01'!D68="","",'S-ASIG-01'!D68)</f>
        <v>LIST</v>
      </c>
      <c r="D68" s="35" t="s">
        <v>97</v>
      </c>
      <c r="E68" s="209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IF('S-ASIG-01'!D75="","",'S-ASIG-01'!D75)</f>
        <v>LIST</v>
      </c>
      <c r="D75" s="35" t="s">
        <v>97</v>
      </c>
      <c r="E75" s="209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IF('S-ASIG-01'!D82="","",'S-ASIG-01'!D82)</f>
        <v>LIST</v>
      </c>
      <c r="D82" s="35" t="s">
        <v>97</v>
      </c>
      <c r="E82" s="209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tabSelected="1" workbookViewId="0">
      <pane xSplit="4" ySplit="3" topLeftCell="E18" activePane="bottomRight" state="frozen"/>
      <selection pane="bottomRight" activeCell="E20" sqref="E20:E25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ETICA</v>
      </c>
      <c r="C2" s="3"/>
      <c r="E2" s="148" t="s">
        <v>92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CONCATENATE(LIDER!D4," - ",LIDER!D6," - ",LIDER!D5)</f>
        <v>ETICA - 2401 - LEIDY ENID QUINTERO SÁNCHEZ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94</v>
      </c>
      <c r="C5" s="34" t="str">
        <f>IF('S-ASIG-02'!D5="","",'S-ASIG-02'!D5)</f>
        <v>LIST</v>
      </c>
      <c r="D5" s="35" t="s">
        <v>97</v>
      </c>
      <c r="E5" s="144" t="str">
        <f>LIDER!$E$29</f>
        <v xml:space="preserve">GRUPO#1  Vestidos de Baño en Crochet (Brazil, Estados Unidos y República Dominicana)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BARRIOS BENITEZ EMILY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4.335</v>
      </c>
      <c r="E6" s="142">
        <v>4.5</v>
      </c>
      <c r="F6" s="24">
        <v>4</v>
      </c>
      <c r="G6" s="24">
        <v>4.3</v>
      </c>
      <c r="H6" s="24">
        <v>4.5</v>
      </c>
      <c r="I6" s="24">
        <v>4.5999999999999996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HERRERA TEJEDOR BRENDIS VANESA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4.335</v>
      </c>
      <c r="E7" s="142"/>
      <c r="F7" s="18">
        <v>4</v>
      </c>
      <c r="G7" s="18">
        <v>4.3</v>
      </c>
      <c r="H7" s="18">
        <v>4.5</v>
      </c>
      <c r="I7" s="18">
        <v>4.5999999999999996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RUIZ RIVERO HEILEEN CAROLINA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4.335</v>
      </c>
      <c r="E8" s="142"/>
      <c r="F8" s="18">
        <v>4</v>
      </c>
      <c r="G8" s="18">
        <v>4.3</v>
      </c>
      <c r="H8" s="18">
        <v>4.5</v>
      </c>
      <c r="I8" s="18">
        <v>4.5999999999999996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DE ARCOS AVENDAÑO SAID JADITH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4.335</v>
      </c>
      <c r="E9" s="142"/>
      <c r="F9" s="18">
        <v>4</v>
      </c>
      <c r="G9" s="18">
        <v>4.3</v>
      </c>
      <c r="H9" s="18">
        <v>4.5</v>
      </c>
      <c r="I9" s="18">
        <v>4.5999999999999996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CASTILLO VILLA NELDA SOFIA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4.335</v>
      </c>
      <c r="E10" s="142"/>
      <c r="F10" s="18">
        <v>4</v>
      </c>
      <c r="G10" s="18">
        <v>4.3</v>
      </c>
      <c r="H10" s="18">
        <v>4.5</v>
      </c>
      <c r="I10" s="18">
        <v>4.5999999999999996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>
        <v>4</v>
      </c>
      <c r="G11" s="26">
        <v>4.3</v>
      </c>
      <c r="H11" s="26">
        <v>4.5</v>
      </c>
      <c r="I11" s="26">
        <v>4.5999999999999996</v>
      </c>
      <c r="J11" s="26">
        <v>4</v>
      </c>
      <c r="K11" s="26"/>
    </row>
    <row r="12" spans="1:11" s="2" customFormat="1" ht="15.75" customHeight="1" thickBot="1">
      <c r="A12" s="8"/>
      <c r="B12" s="27" t="s">
        <v>98</v>
      </c>
      <c r="C12" s="32" t="str">
        <f>IF('S-ASIG-02'!D12="","",'S-ASIG-02'!D12)</f>
        <v>LIST</v>
      </c>
      <c r="D12" s="35" t="s">
        <v>97</v>
      </c>
      <c r="E12" s="144" t="str">
        <f>LIDER!$E$30</f>
        <v xml:space="preserve">GRUPO#2  VINO DE MARACUYA, CHILE , PANAMA Y ESTADOS UNDOS)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NARVAEZ MORELO WISNEEY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4.4749999999999996</v>
      </c>
      <c r="E13" s="142">
        <v>4.5</v>
      </c>
      <c r="F13" s="24">
        <v>4.5</v>
      </c>
      <c r="G13" s="24">
        <v>4.8</v>
      </c>
      <c r="H13" s="24">
        <v>4.3</v>
      </c>
      <c r="I13" s="24">
        <v>4</v>
      </c>
      <c r="J13" s="24">
        <v>4.3</v>
      </c>
      <c r="K13" s="24"/>
    </row>
    <row r="14" spans="1:11" s="2" customFormat="1" ht="15" customHeight="1">
      <c r="A14" s="12">
        <v>2</v>
      </c>
      <c r="B14" s="28" t="str">
        <f>LIDER!F44</f>
        <v>CASUSOL RODRIGUEZ AYLIN MARIANA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4.4749999999999996</v>
      </c>
      <c r="E14" s="142"/>
      <c r="F14" s="18">
        <v>4.5</v>
      </c>
      <c r="G14" s="18">
        <v>4.8</v>
      </c>
      <c r="H14" s="18">
        <v>4.3</v>
      </c>
      <c r="I14" s="18">
        <v>4</v>
      </c>
      <c r="J14" s="18">
        <v>4.3</v>
      </c>
      <c r="K14" s="18"/>
    </row>
    <row r="15" spans="1:11" s="2" customFormat="1" ht="15" customHeight="1">
      <c r="A15" s="12">
        <v>3</v>
      </c>
      <c r="B15" s="28" t="str">
        <f>LIDER!F45</f>
        <v>CARMONA SIERRA YIRLEIS PATRICIA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4.4749999999999996</v>
      </c>
      <c r="E15" s="142"/>
      <c r="F15" s="18">
        <v>4.5</v>
      </c>
      <c r="G15" s="18">
        <v>4.8</v>
      </c>
      <c r="H15" s="18">
        <v>4.3</v>
      </c>
      <c r="I15" s="18">
        <v>4</v>
      </c>
      <c r="J15" s="18">
        <v>4.3</v>
      </c>
      <c r="K15" s="18"/>
    </row>
    <row r="16" spans="1:11" s="2" customFormat="1" ht="15" customHeight="1">
      <c r="A16" s="12">
        <v>4</v>
      </c>
      <c r="B16" s="28" t="str">
        <f>LIDER!F46</f>
        <v>MAGALLANES PEDROZA VALENTINA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4.4749999999999996</v>
      </c>
      <c r="E16" s="142"/>
      <c r="F16" s="18">
        <v>4.5</v>
      </c>
      <c r="G16" s="18">
        <v>4.8</v>
      </c>
      <c r="H16" s="18">
        <v>4.3</v>
      </c>
      <c r="I16" s="18">
        <v>4</v>
      </c>
      <c r="J16" s="18">
        <v>4.3</v>
      </c>
      <c r="K16" s="18"/>
    </row>
    <row r="17" spans="1:11" s="2" customFormat="1" ht="15" customHeight="1">
      <c r="A17" s="12">
        <v>5</v>
      </c>
      <c r="B17" s="28" t="str">
        <f>LIDER!F47</f>
        <v>MOLINA PÁJARO MARIA DE LOS ÁNGELES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4.4749999999999996</v>
      </c>
      <c r="E17" s="142"/>
      <c r="F17" s="18">
        <v>4.5</v>
      </c>
      <c r="G17" s="18">
        <v>4.8</v>
      </c>
      <c r="H17" s="18">
        <v>4.3</v>
      </c>
      <c r="I17" s="18">
        <v>4</v>
      </c>
      <c r="J17" s="18">
        <v>4.3</v>
      </c>
      <c r="K17" s="18"/>
    </row>
    <row r="18" spans="1:11" s="2" customFormat="1" ht="15.75" customHeight="1" thickBot="1">
      <c r="A18" s="13">
        <v>6</v>
      </c>
      <c r="B18" s="28" t="str">
        <f>LIDER!F48</f>
        <v>ESMERAL CORDERO NORIETH CAROLINA</v>
      </c>
      <c r="C18" s="33" t="str">
        <f>IF('S-ASIG-02'!D18="","",'S-ASIG-02'!D18)</f>
        <v/>
      </c>
      <c r="D18" s="30">
        <f>IF(B18=0,"",IF(C18="",$E$13*LIDER!$H$19+F18*LIDER!$H$20+G18*LIDER!$H$21+H18*LIDER!$H$22+I18*LIDER!$H$23+J18*LIDER!$H$24+K18*LIDER!$H$25,"N"))</f>
        <v>4.4749999999999996</v>
      </c>
      <c r="E18" s="142"/>
      <c r="F18" s="26">
        <v>4.5</v>
      </c>
      <c r="G18" s="26">
        <v>4.8</v>
      </c>
      <c r="H18" s="26">
        <v>4.3</v>
      </c>
      <c r="I18" s="26">
        <v>4</v>
      </c>
      <c r="J18" s="26">
        <v>4.3</v>
      </c>
      <c r="K18" s="26"/>
    </row>
    <row r="19" spans="1:11" s="2" customFormat="1" ht="15.75" customHeight="1" thickBot="1">
      <c r="A19" s="14"/>
      <c r="B19" s="27" t="s">
        <v>100</v>
      </c>
      <c r="C19" s="32" t="str">
        <f>IF('S-ASIG-02'!D19="","",'S-ASIG-02'!D19)</f>
        <v>LIST</v>
      </c>
      <c r="D19" s="35" t="s">
        <v>97</v>
      </c>
      <c r="E19" s="144" t="str">
        <f>LIDER!$E$31</f>
        <v>GRUPO#3  TRAJES DE BAÑO PARA PERSONAS DE CONTEXTURA GRUESA  (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CHAVEZ ARRIETA EVELYN SHARY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4.5999999999999996</v>
      </c>
      <c r="E20" s="142">
        <v>4.5</v>
      </c>
      <c r="F20" s="24">
        <v>4.5</v>
      </c>
      <c r="G20" s="24">
        <v>4.5</v>
      </c>
      <c r="H20" s="24">
        <v>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PEREZ MORENO ANA ISABEL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4.5999999999999996</v>
      </c>
      <c r="E21" s="142"/>
      <c r="F21" s="18">
        <v>4.5</v>
      </c>
      <c r="G21" s="18">
        <v>4.5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PÁJARO DE LA PEÑA ANGELA ISABEL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4.7</v>
      </c>
      <c r="E22" s="142"/>
      <c r="F22" s="18">
        <v>5</v>
      </c>
      <c r="G22" s="18">
        <v>4.5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102</v>
      </c>
      <c r="C26" s="32" t="str">
        <f>IF('S-ASIG-02'!D26="","",'S-ASIG-02'!D26)</f>
        <v>LIST</v>
      </c>
      <c r="D26" s="35" t="s">
        <v>97</v>
      </c>
      <c r="E26" s="144" t="str">
        <f>LIDER!$E$32</f>
        <v>GRUPO#4  KITS PICKNIC ESPAÑA, BRAZIL Y PERU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BARRIOS CUADRADO HEILIN TATIANA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MARTINEZ JULIO YEMILY ALBANIS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MANJARRES CORREA PAULA ANDREA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GARCIA MATUTE VALERIE DANIELA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104</v>
      </c>
      <c r="C33" s="32" t="str">
        <f>IF('S-ASIG-02'!D33="","",'S-ASIG-02'!D33)</f>
        <v>LIST</v>
      </c>
      <c r="D33" s="35" t="s">
        <v>97</v>
      </c>
      <c r="E33" s="144" t="str">
        <f>LIDER!$E$33</f>
        <v xml:space="preserve">GRUPO#5  HAMACAS INTERNACIONALES CON COJINES ESTADOS UNIDOS, SUECIA Y ESPAÑA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PADILLA MORALES VALERIE SOFIA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RODRIGUEZ ARCIA MARICRUZ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DONADO ALMANZA DAVID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106</v>
      </c>
      <c r="C40" s="32" t="str">
        <f>IF('S-ASIG-02'!D40="","",'S-ASIG-02'!D40)</f>
        <v>LIST</v>
      </c>
      <c r="D40" s="35" t="s">
        <v>97</v>
      </c>
      <c r="E40" s="144" t="str">
        <f>LIDER!$E$34</f>
        <v xml:space="preserve">GRUPO#6  COSMETICOS A BASE DE CAFE ,  ESPAÑA , ESTADOS UNIDOS,  CANADA 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PÉREZ TORRES BRISNEY ALEJANDRA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 xml:space="preserve">GOMEZ PINEDA DIEGO ALEJANDRO 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 xml:space="preserve">ZUÑIGA ARANGO  NICOLAS 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 xml:space="preserve">MARTINEZ SARMIENTO ISAAC DAVID 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GOMEZ JULIO LUIS DANIEL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 xml:space="preserve">LOPEZ NAVARRO LUIS ENRIQUE </v>
      </c>
      <c r="C46" s="33" t="str">
        <f>IF('S-ASIG-02'!D46="","",'S-ASIG-02'!D46)</f>
        <v/>
      </c>
      <c r="D46" s="30">
        <f>IF(B46=0,"",IF(C46="",$E$41*LIDER!$H$19+F46*LIDER!$H$20+G46*LIDER!$H$21+H46*LIDER!$H$22+I46*LIDER!$H$23+J46*LIDER!$H$24+K46*LIDER!$H$25,"N"))</f>
        <v>0</v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IF('S-ASIG-02'!D47="","",'S-ASIG-02'!D47)</f>
        <v>LIST</v>
      </c>
      <c r="D47" s="35" t="s">
        <v>97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IF('S-ASIG-02'!D54="","",'S-ASIG-02'!D54)</f>
        <v>LIST</v>
      </c>
      <c r="D54" s="35" t="s">
        <v>97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IF('S-ASIG-02'!D61="","",'S-ASIG-02'!D61)</f>
        <v>LIST</v>
      </c>
      <c r="D61" s="35" t="s">
        <v>97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IF('S-ASIG-02'!D68="","",'S-ASIG-02'!D68)</f>
        <v>LIST</v>
      </c>
      <c r="D68" s="35" t="s">
        <v>97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IF('S-ASIG-02'!D75="","",'S-ASIG-02'!D75)</f>
        <v>LIST</v>
      </c>
      <c r="D75" s="35" t="s">
        <v>97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IF('S-ASIG-02'!D82="","",'S-ASIG-02'!D82)</f>
        <v>LIST</v>
      </c>
      <c r="D82" s="35" t="s">
        <v>97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0" activePane="bottomRight" state="frozen"/>
      <selection pane="bottomRight" activeCell="I43" sqref="I43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IMPORTACIONES Y EXPORTACIONES</v>
      </c>
      <c r="C2" s="3"/>
      <c r="E2" s="148" t="s">
        <v>92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CONCATENATE(LIDER!E4," - ",LIDER!E6," - ",LIDER!E5)</f>
        <v>IMPORTACIONES Y EXPORTACIONES - 1480 - JEYSSON STEEVEN ANILLO CARRANZA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94</v>
      </c>
      <c r="C5" s="34" t="str">
        <f>IF('S-ASIG-03'!D5="","",'S-ASIG-03'!D5)</f>
        <v>LIST</v>
      </c>
      <c r="D5" s="35" t="s">
        <v>97</v>
      </c>
      <c r="E5" s="144" t="str">
        <f>LIDER!$E$29</f>
        <v xml:space="preserve">GRUPO#1  Vestidos de Baño en Crochet (Brazil, Estados Unidos y República Dominicana)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BARRIOS BENITEZ EMILY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4.3650000000000002</v>
      </c>
      <c r="E6" s="142">
        <v>4.4000000000000004</v>
      </c>
      <c r="F6" s="24">
        <v>4.4000000000000004</v>
      </c>
      <c r="G6" s="24">
        <v>4.5</v>
      </c>
      <c r="H6" s="24">
        <v>4.5</v>
      </c>
      <c r="I6" s="24">
        <v>4.2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HERRERA TEJEDOR BRENDIS VANESA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4.3650000000000002</v>
      </c>
      <c r="E7" s="142"/>
      <c r="F7" s="18">
        <v>4.4000000000000004</v>
      </c>
      <c r="G7" s="18">
        <v>4.5</v>
      </c>
      <c r="H7" s="18">
        <v>4.5</v>
      </c>
      <c r="I7" s="18">
        <v>4.2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RUIZ RIVERO HEILEEN CAROLINA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4.3650000000000002</v>
      </c>
      <c r="E8" s="142"/>
      <c r="F8" s="18">
        <v>4.4000000000000004</v>
      </c>
      <c r="G8" s="18">
        <v>4.5</v>
      </c>
      <c r="H8" s="18">
        <v>4.5</v>
      </c>
      <c r="I8" s="18">
        <v>4.2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DE ARCOS AVENDAÑO SAID JADITH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4.3650000000000002</v>
      </c>
      <c r="E9" s="142"/>
      <c r="F9" s="18">
        <v>4.4000000000000004</v>
      </c>
      <c r="G9" s="18">
        <v>4.5</v>
      </c>
      <c r="H9" s="18">
        <v>4.5</v>
      </c>
      <c r="I9" s="18">
        <v>4.2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CASTILLO VILLA NELDA SOFIA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4.3650000000000002</v>
      </c>
      <c r="E10" s="142"/>
      <c r="F10" s="18">
        <v>4.4000000000000004</v>
      </c>
      <c r="G10" s="18">
        <v>4.5</v>
      </c>
      <c r="H10" s="18">
        <v>4.5</v>
      </c>
      <c r="I10" s="18">
        <v>4.2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>
        <v>4.4000000000000004</v>
      </c>
      <c r="G11" s="26">
        <v>4.5</v>
      </c>
      <c r="H11" s="26">
        <v>4.5</v>
      </c>
      <c r="I11" s="26">
        <v>4.2</v>
      </c>
      <c r="J11" s="26">
        <v>4</v>
      </c>
      <c r="K11" s="26"/>
    </row>
    <row r="12" spans="1:11" s="2" customFormat="1" ht="15.75" customHeight="1" thickBot="1">
      <c r="A12" s="8"/>
      <c r="B12" s="27" t="s">
        <v>98</v>
      </c>
      <c r="C12" s="32" t="str">
        <f>IF('S-ASIG-03'!D12="","",'S-ASIG-03'!D12)</f>
        <v>LIST</v>
      </c>
      <c r="D12" s="35" t="s">
        <v>97</v>
      </c>
      <c r="E12" s="144" t="str">
        <f>LIDER!$E$30</f>
        <v xml:space="preserve">GRUPO#2  VINO DE MARACUYA, CHILE , PANAMA Y ESTADOS UNDOS)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NARVAEZ MORELO WISNEEY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4.2250000000000005</v>
      </c>
      <c r="E13" s="142">
        <v>4.2</v>
      </c>
      <c r="F13" s="24">
        <v>4.0999999999999996</v>
      </c>
      <c r="G13" s="24">
        <v>4.4000000000000004</v>
      </c>
      <c r="H13" s="24">
        <v>4.4000000000000004</v>
      </c>
      <c r="I13" s="24">
        <v>4.0999999999999996</v>
      </c>
      <c r="J13" s="24">
        <v>4.4000000000000004</v>
      </c>
      <c r="K13" s="24"/>
    </row>
    <row r="14" spans="1:11" s="2" customFormat="1" ht="15" customHeight="1">
      <c r="A14" s="12">
        <v>2</v>
      </c>
      <c r="B14" s="28" t="str">
        <f>LIDER!F44</f>
        <v>CASUSOL RODRIGUEZ AYLIN MARIANA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4.2250000000000005</v>
      </c>
      <c r="E14" s="142"/>
      <c r="F14" s="18">
        <v>4.0999999999999996</v>
      </c>
      <c r="G14" s="18">
        <v>4.4000000000000004</v>
      </c>
      <c r="H14" s="18">
        <v>4.4000000000000004</v>
      </c>
      <c r="I14" s="18">
        <v>4.0999999999999996</v>
      </c>
      <c r="J14" s="18">
        <v>4.4000000000000004</v>
      </c>
      <c r="K14" s="18"/>
    </row>
    <row r="15" spans="1:11" s="2" customFormat="1" ht="15" customHeight="1">
      <c r="A15" s="12">
        <v>3</v>
      </c>
      <c r="B15" s="28" t="str">
        <f>LIDER!F45</f>
        <v>CARMONA SIERRA YIRLEIS PATRICIA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4.2250000000000005</v>
      </c>
      <c r="E15" s="142"/>
      <c r="F15" s="18">
        <v>4.0999999999999996</v>
      </c>
      <c r="G15" s="18">
        <v>4.4000000000000004</v>
      </c>
      <c r="H15" s="18">
        <v>4.4000000000000004</v>
      </c>
      <c r="I15" s="18">
        <v>4.0999999999999996</v>
      </c>
      <c r="J15" s="18">
        <v>4.4000000000000004</v>
      </c>
      <c r="K15" s="18"/>
    </row>
    <row r="16" spans="1:11" s="2" customFormat="1" ht="15" customHeight="1">
      <c r="A16" s="12">
        <v>4</v>
      </c>
      <c r="B16" s="28" t="str">
        <f>LIDER!F46</f>
        <v>MAGALLANES PEDROZA VALENTINA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4.2250000000000005</v>
      </c>
      <c r="E16" s="142"/>
      <c r="F16" s="18">
        <v>4.0999999999999996</v>
      </c>
      <c r="G16" s="18">
        <v>4.4000000000000004</v>
      </c>
      <c r="H16" s="18">
        <v>4.4000000000000004</v>
      </c>
      <c r="I16" s="18">
        <v>4.0999999999999996</v>
      </c>
      <c r="J16" s="18">
        <v>4.4000000000000004</v>
      </c>
      <c r="K16" s="18"/>
    </row>
    <row r="17" spans="1:11" s="2" customFormat="1" ht="15" customHeight="1">
      <c r="A17" s="12">
        <v>5</v>
      </c>
      <c r="B17" s="28" t="str">
        <f>LIDER!F47</f>
        <v>MOLINA PÁJARO MARIA DE LOS ÁNGELES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4.2250000000000005</v>
      </c>
      <c r="E17" s="142"/>
      <c r="F17" s="18">
        <v>4.0999999999999996</v>
      </c>
      <c r="G17" s="18">
        <v>4.4000000000000004</v>
      </c>
      <c r="H17" s="18">
        <v>4.4000000000000004</v>
      </c>
      <c r="I17" s="18">
        <v>4.0999999999999996</v>
      </c>
      <c r="J17" s="18">
        <v>4.4000000000000004</v>
      </c>
      <c r="K17" s="18"/>
    </row>
    <row r="18" spans="1:11" s="2" customFormat="1" ht="15.75" customHeight="1" thickBot="1">
      <c r="A18" s="13">
        <v>6</v>
      </c>
      <c r="B18" s="28" t="str">
        <f>LIDER!F48</f>
        <v>ESMERAL CORDERO NORIETH CAROLINA</v>
      </c>
      <c r="C18" s="33" t="str">
        <f>IF('S-ASIG-03'!D18="","",'S-ASIG-03'!D18)</f>
        <v/>
      </c>
      <c r="D18" s="30">
        <f>IF(B18=0,"",IF(C18="",$E$13*LIDER!$H$19+F18*LIDER!$H$20+G18*LIDER!$H$21+H18*LIDER!$H$22+I18*LIDER!$H$23+J18*LIDER!$H$24+K18*LIDER!$H$25,"N"))</f>
        <v>4.2250000000000005</v>
      </c>
      <c r="E18" s="142"/>
      <c r="F18" s="26">
        <v>4.0999999999999996</v>
      </c>
      <c r="G18" s="26">
        <v>4.4000000000000004</v>
      </c>
      <c r="H18" s="26">
        <v>4.4000000000000004</v>
      </c>
      <c r="I18" s="26">
        <v>4.0999999999999996</v>
      </c>
      <c r="J18" s="26">
        <v>4.4000000000000004</v>
      </c>
      <c r="K18" s="26"/>
    </row>
    <row r="19" spans="1:11" s="2" customFormat="1" ht="15.75" customHeight="1" thickBot="1">
      <c r="A19" s="14"/>
      <c r="B19" s="27" t="s">
        <v>100</v>
      </c>
      <c r="C19" s="32" t="str">
        <f>IF('S-ASIG-03'!D19="","",'S-ASIG-03'!D19)</f>
        <v>LIST</v>
      </c>
      <c r="D19" s="35" t="s">
        <v>97</v>
      </c>
      <c r="E19" s="144" t="str">
        <f>LIDER!$E$31</f>
        <v>GRUPO#3  TRAJES DE BAÑO PARA PERSONAS DE CONTEXTURA GRUESA  (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CHAVEZ ARRIETA EVELYN SHARY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4.67</v>
      </c>
      <c r="E20" s="142">
        <v>4.5999999999999996</v>
      </c>
      <c r="F20" s="24">
        <v>4.8</v>
      </c>
      <c r="G20" s="24">
        <v>4.8</v>
      </c>
      <c r="H20" s="24">
        <v>4.8</v>
      </c>
      <c r="I20" s="24">
        <v>4.8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PEREZ MORENO ANA ISABEL</v>
      </c>
      <c r="C21" s="33" t="str">
        <f>IF('S-ASIG-03'!D21="","",'S-ASIG-03'!D21)</f>
        <v>N</v>
      </c>
      <c r="D21" s="30" t="str">
        <f>IF(B21=0,"",IF(C21="",$E$20*LIDER!$H$19+F21*LIDER!$H$20+G21*LIDER!$H$21+H21*LIDER!$H$22+I21*LIDER!$H$23+J21*LIDER!$H$24+K21*LIDER!$H$25,"N"))</f>
        <v>N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PÁJARO DE LA PEÑA ANGELA ISABEL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4.8</v>
      </c>
      <c r="E22" s="142"/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102</v>
      </c>
      <c r="C26" s="32" t="str">
        <f>IF('S-ASIG-03'!D26="","",'S-ASIG-03'!D26)</f>
        <v>LIST</v>
      </c>
      <c r="D26" s="35" t="s">
        <v>97</v>
      </c>
      <c r="E26" s="144" t="str">
        <f>LIDER!$E$32</f>
        <v>GRUPO#4  KITS PICKNIC ESPAÑA, BRAZIL Y PERU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BARRIOS CUADRADO HEILIN TATIANA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3.93</v>
      </c>
      <c r="E27" s="142">
        <v>3.8</v>
      </c>
      <c r="F27" s="24">
        <v>3.8</v>
      </c>
      <c r="G27" s="24">
        <v>4.4000000000000004</v>
      </c>
      <c r="H27" s="24">
        <v>4.4000000000000004</v>
      </c>
      <c r="I27" s="24">
        <v>4.2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MARTINEZ JULIO YEMILY ALBANIS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3.93</v>
      </c>
      <c r="E28" s="142"/>
      <c r="F28" s="18">
        <v>3.8</v>
      </c>
      <c r="G28" s="18">
        <v>4.4000000000000004</v>
      </c>
      <c r="H28" s="18">
        <v>4.4000000000000004</v>
      </c>
      <c r="I28" s="18">
        <v>4.2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MANJARRES CORREA PAULA ANDREA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3.93</v>
      </c>
      <c r="E29" s="142"/>
      <c r="F29" s="18">
        <v>3.8</v>
      </c>
      <c r="G29" s="18">
        <v>4.4000000000000004</v>
      </c>
      <c r="H29" s="18">
        <v>4.4000000000000004</v>
      </c>
      <c r="I29" s="18">
        <v>4.2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GARCIA MATUTE VALERIE DANIELA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3.93</v>
      </c>
      <c r="E30" s="142"/>
      <c r="F30" s="18">
        <v>3.8</v>
      </c>
      <c r="G30" s="18">
        <v>4.4000000000000004</v>
      </c>
      <c r="H30" s="18">
        <v>4.4000000000000004</v>
      </c>
      <c r="I30" s="18">
        <v>4.2</v>
      </c>
      <c r="J30" s="18">
        <v>4</v>
      </c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104</v>
      </c>
      <c r="C33" s="32" t="str">
        <f>IF('S-ASIG-03'!D33="","",'S-ASIG-03'!D33)</f>
        <v>LIST</v>
      </c>
      <c r="D33" s="35" t="s">
        <v>97</v>
      </c>
      <c r="E33" s="144" t="str">
        <f>LIDER!$E$33</f>
        <v xml:space="preserve">GRUPO#5  HAMACAS INTERNACIONALES CON COJINES ESTADOS UNIDOS, SUECIA Y ESPAÑA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PADILLA MORALES VALERIE SOFIA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4.370000000000001</v>
      </c>
      <c r="E34" s="142">
        <v>4.4000000000000004</v>
      </c>
      <c r="F34" s="24">
        <v>4.3</v>
      </c>
      <c r="G34" s="24">
        <v>4.3</v>
      </c>
      <c r="H34" s="24">
        <v>4.4000000000000004</v>
      </c>
      <c r="I34" s="24">
        <v>4.4000000000000004</v>
      </c>
      <c r="J34" s="24">
        <v>4.4000000000000004</v>
      </c>
      <c r="K34" s="24"/>
    </row>
    <row r="35" spans="1:11" s="2" customFormat="1" ht="15" customHeight="1">
      <c r="A35" s="12">
        <v>2</v>
      </c>
      <c r="B35" s="28" t="str">
        <f>LIDER!E52</f>
        <v>RODRIGUEZ ARCIA MARICRUZ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4.370000000000001</v>
      </c>
      <c r="E35" s="142"/>
      <c r="F35" s="18">
        <v>4.3</v>
      </c>
      <c r="G35" s="18">
        <v>4.3</v>
      </c>
      <c r="H35" s="18">
        <v>4.4000000000000004</v>
      </c>
      <c r="I35" s="18">
        <v>4.4000000000000004</v>
      </c>
      <c r="J35" s="18">
        <v>4.4000000000000004</v>
      </c>
      <c r="K35" s="18"/>
    </row>
    <row r="36" spans="1:11" s="2" customFormat="1" ht="15" customHeight="1">
      <c r="A36" s="12">
        <v>3</v>
      </c>
      <c r="B36" s="28" t="str">
        <f>LIDER!E53</f>
        <v>DONADO ALMANZA DAVID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4.1800000000000006</v>
      </c>
      <c r="E36" s="142"/>
      <c r="F36" s="18">
        <v>3.7</v>
      </c>
      <c r="G36" s="18">
        <v>3.8</v>
      </c>
      <c r="H36" s="18">
        <v>4</v>
      </c>
      <c r="I36" s="18">
        <v>4.4000000000000004</v>
      </c>
      <c r="J36" s="18">
        <v>4.4000000000000004</v>
      </c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106</v>
      </c>
      <c r="C40" s="32" t="str">
        <f>IF('S-ASIG-03'!D40="","",'S-ASIG-03'!D40)</f>
        <v>LIST</v>
      </c>
      <c r="D40" s="35" t="s">
        <v>97</v>
      </c>
      <c r="E40" s="144" t="str">
        <f>LIDER!$E$34</f>
        <v xml:space="preserve">GRUPO#6  COSMETICOS A BASE DE CAFE ,  ESPAÑA , ESTADOS UNIDOS,  CANADA 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PÉREZ TORRES BRISNEY ALEJANDRA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1.5</v>
      </c>
      <c r="E41" s="142">
        <v>3</v>
      </c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 xml:space="preserve">GOMEZ PINEDA DIEGO ALEJANDRO </v>
      </c>
      <c r="C42" s="33" t="str">
        <f>IF('S-ASIG-03'!D42="","",'S-ASIG-03'!D42)</f>
        <v>N</v>
      </c>
      <c r="D42" s="30" t="str">
        <f>IF(B42=0,"",IF(C42="",$E$41*LIDER!$H$19+F42*LIDER!$H$20+G42*LIDER!$H$21+H42*LIDER!$H$22+I42*LIDER!$H$23+J42*LIDER!$H$24+K42*LIDER!$H$25,"N"))</f>
        <v>N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 xml:space="preserve">ZUÑIGA ARANGO  NICOLAS 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3.1050000000000004</v>
      </c>
      <c r="E43" s="142"/>
      <c r="F43" s="18">
        <v>3.2</v>
      </c>
      <c r="G43" s="18">
        <v>3.5</v>
      </c>
      <c r="H43" s="18">
        <v>3.2</v>
      </c>
      <c r="I43" s="18">
        <v>3.1</v>
      </c>
      <c r="J43" s="18">
        <v>3</v>
      </c>
      <c r="K43" s="18"/>
    </row>
    <row r="44" spans="1:11" s="2" customFormat="1" ht="15" customHeight="1">
      <c r="A44" s="12">
        <v>4</v>
      </c>
      <c r="B44" s="28" t="str">
        <f>LIDER!F54</f>
        <v xml:space="preserve">MARTINEZ SARMIENTO ISAAC DAVID 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3.1050000000000004</v>
      </c>
      <c r="E44" s="142"/>
      <c r="F44" s="18">
        <v>3.2</v>
      </c>
      <c r="G44" s="18">
        <v>3.5</v>
      </c>
      <c r="H44" s="18">
        <v>3.2</v>
      </c>
      <c r="I44" s="18">
        <v>3.1</v>
      </c>
      <c r="J44" s="18">
        <v>3</v>
      </c>
      <c r="K44" s="18"/>
    </row>
    <row r="45" spans="1:11" s="2" customFormat="1" ht="15" customHeight="1">
      <c r="A45" s="12">
        <v>5</v>
      </c>
      <c r="B45" s="28" t="str">
        <f>LIDER!F55</f>
        <v>GOMEZ JULIO LUIS DANIEL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3.1050000000000004</v>
      </c>
      <c r="E45" s="142"/>
      <c r="F45" s="18">
        <v>3.2</v>
      </c>
      <c r="G45" s="18">
        <v>3.5</v>
      </c>
      <c r="H45" s="18">
        <v>3.2</v>
      </c>
      <c r="I45" s="18">
        <v>3.1</v>
      </c>
      <c r="J45" s="18">
        <v>3</v>
      </c>
      <c r="K45" s="18"/>
    </row>
    <row r="46" spans="1:11" s="2" customFormat="1" ht="15.75" customHeight="1" thickBot="1">
      <c r="A46" s="13">
        <v>6</v>
      </c>
      <c r="B46" s="28" t="str">
        <f>LIDER!F56</f>
        <v xml:space="preserve">LOPEZ NAVARRO LUIS ENRIQUE </v>
      </c>
      <c r="C46" s="33" t="str">
        <f>IF('S-ASIG-03'!D46="","",'S-ASIG-03'!D46)</f>
        <v>N</v>
      </c>
      <c r="D46" s="30" t="str">
        <f>IF(B46=0,"",IF(C46="",$E$41*LIDER!$H$19+F46*LIDER!$H$20+G46*LIDER!$H$21+H46*LIDER!$H$22+I46*LIDER!$H$23+J46*LIDER!$H$24+K46*LIDER!$H$25,"N"))</f>
        <v>N</v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IF('S-ASIG-03'!D47="","",'S-ASIG-03'!D47)</f>
        <v>LIST</v>
      </c>
      <c r="D47" s="35" t="s">
        <v>97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IF('S-ASIG-03'!D54="","",'S-ASIG-03'!D54)</f>
        <v>LIST</v>
      </c>
      <c r="D54" s="35" t="s">
        <v>97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IF('S-ASIG-03'!D61="","",'S-ASIG-03'!D61)</f>
        <v>LIST</v>
      </c>
      <c r="D61" s="35" t="s">
        <v>97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IF('S-ASIG-03'!D68="","",'S-ASIG-03'!D68)</f>
        <v>LIST</v>
      </c>
      <c r="D68" s="35" t="s">
        <v>97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IF('S-ASIG-03'!D75="","",'S-ASIG-03'!D75)</f>
        <v>LIST</v>
      </c>
      <c r="D75" s="35" t="s">
        <v>97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IF('S-ASIG-03'!D82="","",'S-ASIG-03'!D82)</f>
        <v>LIST</v>
      </c>
      <c r="D82" s="35" t="s">
        <v>97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FUNDAMENTOS DE MERCADEO</v>
      </c>
      <c r="C2" s="3"/>
      <c r="E2" s="148" t="s">
        <v>92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CONCATENATE(LIDER!G4," - ",LIDER!G6," - ",LIDER!G5)</f>
        <v>FUNDAMENTOS DE MERCADEO - 1397 - GABRIEL EDUARDO CARDONA TUÑON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94</v>
      </c>
      <c r="C5" s="34" t="str">
        <f>IF('S-ASIG-05'!D5="","",'S-ASIG-05'!D5)</f>
        <v>LIST</v>
      </c>
      <c r="D5" s="35" t="s">
        <v>97</v>
      </c>
      <c r="E5" s="144" t="str">
        <f>LIDER!$E$29</f>
        <v xml:space="preserve">GRUPO#1  Vestidos de Baño en Crochet (Brazil, Estados Unidos y República Dominicana)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BARRIOS BENITEZ EMILY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</v>
      </c>
      <c r="E6" s="142">
        <v>4</v>
      </c>
      <c r="F6" s="24">
        <v>4</v>
      </c>
      <c r="G6" s="24">
        <v>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HERRERA TEJEDOR BRENDIS VANESA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</v>
      </c>
      <c r="E7" s="142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RUIZ RIVERO HEILEEN CAROLINA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</v>
      </c>
      <c r="E8" s="142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DE ARCOS AVENDAÑO SAID JADITH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</v>
      </c>
      <c r="E9" s="142"/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CASTILLO VILLA NELDA SOFIA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</v>
      </c>
      <c r="E10" s="142"/>
      <c r="F10" s="18">
        <v>4</v>
      </c>
      <c r="G10" s="18">
        <v>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98</v>
      </c>
      <c r="C12" s="32" t="str">
        <f>IF('S-ASIG-05'!D12="","",'S-ASIG-05'!D12)</f>
        <v>LIST</v>
      </c>
      <c r="D12" s="35" t="s">
        <v>97</v>
      </c>
      <c r="E12" s="144" t="str">
        <f>LIDER!$E$30</f>
        <v xml:space="preserve">GRUPO#2  VINO DE MARACUYA, CHILE , PANAMA Y ESTADOS UNDOS)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NARVAEZ MORELO WISNEEY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4.3</v>
      </c>
      <c r="E13" s="142">
        <v>4.3</v>
      </c>
      <c r="F13" s="24">
        <v>4.3</v>
      </c>
      <c r="G13" s="24">
        <v>4.3</v>
      </c>
      <c r="H13" s="24">
        <v>4.3</v>
      </c>
      <c r="I13" s="24">
        <v>4.3</v>
      </c>
      <c r="J13" s="24">
        <v>4.3</v>
      </c>
      <c r="K13" s="24"/>
    </row>
    <row r="14" spans="1:11" s="2" customFormat="1" ht="15" customHeight="1">
      <c r="A14" s="12">
        <v>2</v>
      </c>
      <c r="B14" s="28" t="str">
        <f>LIDER!F44</f>
        <v>CASUSOL RODRIGUEZ AYLIN MARIANA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4.3</v>
      </c>
      <c r="E14" s="142"/>
      <c r="F14" s="18">
        <v>4.3</v>
      </c>
      <c r="G14" s="18">
        <v>4.3</v>
      </c>
      <c r="H14" s="18">
        <v>4.3</v>
      </c>
      <c r="I14" s="18">
        <v>4.3</v>
      </c>
      <c r="J14" s="18">
        <v>4.3</v>
      </c>
      <c r="K14" s="18"/>
    </row>
    <row r="15" spans="1:11" s="2" customFormat="1" ht="15" customHeight="1">
      <c r="A15" s="12">
        <v>3</v>
      </c>
      <c r="B15" s="28" t="str">
        <f>LIDER!F45</f>
        <v>CARMONA SIERRA YIRLEIS PATRICIA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4.3</v>
      </c>
      <c r="E15" s="142"/>
      <c r="F15" s="18">
        <v>4.3</v>
      </c>
      <c r="G15" s="18">
        <v>4.3</v>
      </c>
      <c r="H15" s="18">
        <v>4.3</v>
      </c>
      <c r="I15" s="18">
        <v>4.3</v>
      </c>
      <c r="J15" s="18">
        <v>4.3</v>
      </c>
      <c r="K15" s="18"/>
    </row>
    <row r="16" spans="1:11" s="2" customFormat="1" ht="15" customHeight="1">
      <c r="A16" s="12">
        <v>4</v>
      </c>
      <c r="B16" s="28" t="str">
        <f>LIDER!F46</f>
        <v>MAGALLANES PEDROZA VALENTINA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4.3</v>
      </c>
      <c r="E16" s="142"/>
      <c r="F16" s="18">
        <v>4.3</v>
      </c>
      <c r="G16" s="18">
        <v>4.3</v>
      </c>
      <c r="H16" s="18">
        <v>4.3</v>
      </c>
      <c r="I16" s="18">
        <v>4.3</v>
      </c>
      <c r="J16" s="18">
        <v>4.3</v>
      </c>
      <c r="K16" s="18"/>
    </row>
    <row r="17" spans="1:11" s="2" customFormat="1" ht="15" customHeight="1">
      <c r="A17" s="12">
        <v>5</v>
      </c>
      <c r="B17" s="28" t="str">
        <f>LIDER!F47</f>
        <v>MOLINA PÁJARO MARIA DE LOS ÁNGELES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4.3</v>
      </c>
      <c r="E17" s="142"/>
      <c r="F17" s="18">
        <v>4.3</v>
      </c>
      <c r="G17" s="18">
        <v>4.3</v>
      </c>
      <c r="H17" s="18">
        <v>4.3</v>
      </c>
      <c r="I17" s="18">
        <v>4.3</v>
      </c>
      <c r="J17" s="18">
        <v>4.3</v>
      </c>
      <c r="K17" s="18"/>
    </row>
    <row r="18" spans="1:11" s="2" customFormat="1" ht="15.75" customHeight="1" thickBot="1">
      <c r="A18" s="13">
        <v>6</v>
      </c>
      <c r="B18" s="28" t="str">
        <f>LIDER!F48</f>
        <v>ESMERAL CORDERO NORIETH CAROLINA</v>
      </c>
      <c r="C18" s="33" t="str">
        <f>IF('S-ASIG-05'!D18="","",'S-ASIG-05'!D18)</f>
        <v/>
      </c>
      <c r="D18" s="30">
        <f>IF(B18=0,"",IF(C18="",$E$13*LIDER!$H$19+F18*LIDER!$H$20+G18*LIDER!$H$21+H18*LIDER!$H$22+I18*LIDER!$H$23+J18*LIDER!$H$24+K18*LIDER!$H$25,"N"))</f>
        <v>4.3</v>
      </c>
      <c r="E18" s="142"/>
      <c r="F18" s="26">
        <v>4.3</v>
      </c>
      <c r="G18" s="26">
        <v>4.3</v>
      </c>
      <c r="H18" s="26">
        <v>4.3</v>
      </c>
      <c r="I18" s="26">
        <v>4.3</v>
      </c>
      <c r="J18" s="26">
        <v>4.3</v>
      </c>
      <c r="K18" s="26"/>
    </row>
    <row r="19" spans="1:11" s="2" customFormat="1" ht="15.75" customHeight="1" thickBot="1">
      <c r="A19" s="14"/>
      <c r="B19" s="27" t="s">
        <v>100</v>
      </c>
      <c r="C19" s="32" t="str">
        <f>IF('S-ASIG-05'!D19="","",'S-ASIG-05'!D19)</f>
        <v>LIST</v>
      </c>
      <c r="D19" s="35" t="s">
        <v>97</v>
      </c>
      <c r="E19" s="144" t="str">
        <f>LIDER!$E$31</f>
        <v>GRUPO#3  TRAJES DE BAÑO PARA PERSONAS DE CONTEXTURA GRUESA  (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CHAVEZ ARRIETA EVELYN SHARY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4.5</v>
      </c>
      <c r="E20" s="142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PEREZ MORENO ANA ISABEL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PÁJARO DE LA PEÑA ANGELA ISABEL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4.75</v>
      </c>
      <c r="E22" s="142"/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102</v>
      </c>
      <c r="C26" s="32" t="str">
        <f>IF('S-ASIG-05'!D26="","",'S-ASIG-05'!D26)</f>
        <v>LIST</v>
      </c>
      <c r="D26" s="35" t="s">
        <v>97</v>
      </c>
      <c r="E26" s="144" t="str">
        <f>LIDER!$E$32</f>
        <v>GRUPO#4  KITS PICKNIC ESPAÑA, BRAZIL Y PERU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BARRIOS CUADRADO HEILIN TATIANA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4.0999999999999996</v>
      </c>
      <c r="E27" s="142">
        <v>4</v>
      </c>
      <c r="F27" s="24">
        <v>4.2</v>
      </c>
      <c r="G27" s="24">
        <v>4.2</v>
      </c>
      <c r="H27" s="24">
        <v>4.2</v>
      </c>
      <c r="I27" s="24">
        <v>4.2</v>
      </c>
      <c r="J27" s="24">
        <v>4.2</v>
      </c>
      <c r="K27" s="24"/>
    </row>
    <row r="28" spans="1:11" s="2" customFormat="1" ht="15" customHeight="1">
      <c r="A28" s="12">
        <v>2</v>
      </c>
      <c r="B28" s="28" t="str">
        <f>LIDER!H44</f>
        <v>MARTINEZ JULIO YEMILY ALBANIS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4.0999999999999996</v>
      </c>
      <c r="E28" s="142"/>
      <c r="F28" s="18">
        <v>4.2</v>
      </c>
      <c r="G28" s="18">
        <v>4.2</v>
      </c>
      <c r="H28" s="18">
        <v>4.2</v>
      </c>
      <c r="I28" s="18">
        <v>4.2</v>
      </c>
      <c r="J28" s="18">
        <v>4.2</v>
      </c>
      <c r="K28" s="18"/>
    </row>
    <row r="29" spans="1:11" s="2" customFormat="1" ht="15" customHeight="1">
      <c r="A29" s="12">
        <v>3</v>
      </c>
      <c r="B29" s="28" t="str">
        <f>LIDER!H45</f>
        <v>MANJARRES CORREA PAULA ANDREA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4.0999999999999996</v>
      </c>
      <c r="E29" s="142"/>
      <c r="F29" s="18">
        <v>4.2</v>
      </c>
      <c r="G29" s="18">
        <v>4.2</v>
      </c>
      <c r="H29" s="18">
        <v>4.2</v>
      </c>
      <c r="I29" s="18">
        <v>4.2</v>
      </c>
      <c r="J29" s="18">
        <v>4.2</v>
      </c>
      <c r="K29" s="18"/>
    </row>
    <row r="30" spans="1:11" s="2" customFormat="1" ht="15" customHeight="1">
      <c r="A30" s="12">
        <v>4</v>
      </c>
      <c r="B30" s="28" t="str">
        <f>LIDER!H46</f>
        <v>GARCIA MATUTE VALERIE DANIELA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4.0999999999999996</v>
      </c>
      <c r="E30" s="142"/>
      <c r="F30" s="18">
        <v>4.2</v>
      </c>
      <c r="G30" s="18">
        <v>4.2</v>
      </c>
      <c r="H30" s="18">
        <v>4.2</v>
      </c>
      <c r="I30" s="18">
        <v>4.2</v>
      </c>
      <c r="J30" s="18">
        <v>4.2</v>
      </c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104</v>
      </c>
      <c r="C33" s="32" t="str">
        <f>IF('S-ASIG-05'!D33="","",'S-ASIG-05'!D33)</f>
        <v>LIST</v>
      </c>
      <c r="D33" s="35" t="s">
        <v>97</v>
      </c>
      <c r="E33" s="144" t="str">
        <f>LIDER!$E$33</f>
        <v xml:space="preserve">GRUPO#5  HAMACAS INTERNACIONALES CON COJINES ESTADOS UNIDOS, SUECIA Y ESPAÑA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PADILLA MORALES VALERIE SOFIA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</v>
      </c>
      <c r="E34" s="142">
        <v>4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RODRIGUEZ ARCIA MARICRUZ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</v>
      </c>
      <c r="E35" s="142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DONADO ALMANZA DAVID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</v>
      </c>
      <c r="E36" s="142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106</v>
      </c>
      <c r="C40" s="32" t="str">
        <f>IF('S-ASIG-05'!D40="","",'S-ASIG-05'!D40)</f>
        <v>LIST</v>
      </c>
      <c r="D40" s="35" t="s">
        <v>97</v>
      </c>
      <c r="E40" s="144" t="str">
        <f>LIDER!$E$34</f>
        <v xml:space="preserve">GRUPO#6  COSMETICOS A BASE DE CAFE ,  ESPAÑA , ESTADOS UNIDOS,  CANADA 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PÉREZ TORRES BRISNEY ALEJANDRA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1.75</v>
      </c>
      <c r="E41" s="142">
        <v>3.5</v>
      </c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 xml:space="preserve">GOMEZ PINEDA DIEGO ALEJANDRO 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3.5</v>
      </c>
      <c r="E42" s="142"/>
      <c r="F42" s="18">
        <v>3.5</v>
      </c>
      <c r="G42" s="18">
        <v>3.5</v>
      </c>
      <c r="H42" s="18">
        <v>3.5</v>
      </c>
      <c r="I42" s="18">
        <v>3.5</v>
      </c>
      <c r="J42" s="18">
        <v>3.5</v>
      </c>
      <c r="K42" s="18"/>
    </row>
    <row r="43" spans="1:11" s="2" customFormat="1" ht="15" customHeight="1">
      <c r="A43" s="12">
        <v>3</v>
      </c>
      <c r="B43" s="28" t="str">
        <f>LIDER!F53</f>
        <v xml:space="preserve">ZUÑIGA ARANGO  NICOLAS 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3.5</v>
      </c>
      <c r="E43" s="142"/>
      <c r="F43" s="18">
        <v>3.5</v>
      </c>
      <c r="G43" s="18">
        <v>3.5</v>
      </c>
      <c r="H43" s="18">
        <v>3.5</v>
      </c>
      <c r="I43" s="18">
        <v>3.5</v>
      </c>
      <c r="J43" s="18">
        <v>3.5</v>
      </c>
      <c r="K43" s="18"/>
    </row>
    <row r="44" spans="1:11" s="2" customFormat="1" ht="15" customHeight="1">
      <c r="A44" s="12">
        <v>4</v>
      </c>
      <c r="B44" s="28" t="str">
        <f>LIDER!F54</f>
        <v xml:space="preserve">MARTINEZ SARMIENTO ISAAC DAVID 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3.5</v>
      </c>
      <c r="E44" s="142"/>
      <c r="F44" s="18">
        <v>3.5</v>
      </c>
      <c r="G44" s="18">
        <v>3.5</v>
      </c>
      <c r="H44" s="18">
        <v>3.5</v>
      </c>
      <c r="I44" s="18">
        <v>3.5</v>
      </c>
      <c r="J44" s="18">
        <v>3.5</v>
      </c>
      <c r="K44" s="18"/>
    </row>
    <row r="45" spans="1:11" s="2" customFormat="1" ht="15" customHeight="1">
      <c r="A45" s="12">
        <v>5</v>
      </c>
      <c r="B45" s="28" t="str">
        <f>LIDER!F55</f>
        <v>GOMEZ JULIO LUIS DANIEL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3.5</v>
      </c>
      <c r="E45" s="142"/>
      <c r="F45" s="18">
        <v>3.5</v>
      </c>
      <c r="G45" s="18">
        <v>3.5</v>
      </c>
      <c r="H45" s="18">
        <v>3.5</v>
      </c>
      <c r="I45" s="18">
        <v>3.5</v>
      </c>
      <c r="J45" s="18">
        <v>3.5</v>
      </c>
      <c r="K45" s="18"/>
    </row>
    <row r="46" spans="1:11" s="2" customFormat="1" ht="15.75" customHeight="1" thickBot="1">
      <c r="A46" s="13">
        <v>6</v>
      </c>
      <c r="B46" s="28" t="str">
        <f>LIDER!F56</f>
        <v xml:space="preserve">LOPEZ NAVARRO LUIS ENRIQUE </v>
      </c>
      <c r="C46" s="33" t="str">
        <f>IF('S-ASIG-05'!D46="","",'S-ASIG-05'!D46)</f>
        <v/>
      </c>
      <c r="D46" s="30">
        <f>IF(B46=0,"",IF(C46="",$E$41*LIDER!$H$19+F46*LIDER!$H$20+G46*LIDER!$H$21+H46*LIDER!$H$22+I46*LIDER!$H$23+J46*LIDER!$H$24+K46*LIDER!$H$25,"N"))</f>
        <v>3.5</v>
      </c>
      <c r="E46" s="142"/>
      <c r="F46" s="26">
        <v>3.5</v>
      </c>
      <c r="G46" s="26">
        <v>3.5</v>
      </c>
      <c r="H46" s="26">
        <v>3.5</v>
      </c>
      <c r="I46" s="26">
        <v>3.5</v>
      </c>
      <c r="J46" s="26">
        <v>3.5</v>
      </c>
      <c r="K46" s="26"/>
    </row>
    <row r="47" spans="1:11" s="2" customFormat="1" ht="15.75" customHeight="1" thickBot="1">
      <c r="A47" s="14"/>
      <c r="B47" s="27" t="s">
        <v>82</v>
      </c>
      <c r="C47" s="32" t="str">
        <f>IF('S-ASIG-05'!D47="","",'S-ASIG-05'!D47)</f>
        <v>LIST</v>
      </c>
      <c r="D47" s="35" t="s">
        <v>97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IF('S-ASIG-05'!D54="","",'S-ASIG-05'!D54)</f>
        <v>LIST</v>
      </c>
      <c r="D54" s="35" t="s">
        <v>97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IF('S-ASIG-05'!D61="","",'S-ASIG-05'!D61)</f>
        <v>LIST</v>
      </c>
      <c r="D61" s="35" t="s">
        <v>97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IF('S-ASIG-05'!D68="","",'S-ASIG-05'!D68)</f>
        <v>LIST</v>
      </c>
      <c r="D68" s="35" t="s">
        <v>97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IF('S-ASIG-05'!D75="","",'S-ASIG-05'!D75)</f>
        <v>LIST</v>
      </c>
      <c r="D75" s="35" t="s">
        <v>97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IF('S-ASIG-05'!D82="","",'S-ASIG-05'!D82)</f>
        <v>LIST</v>
      </c>
      <c r="D82" s="35" t="s">
        <v>97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0" activePane="bottomRight" state="frozen"/>
      <selection pane="bottomRight" activeCell="F41" sqref="F4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LIDER!H4</f>
        <v>FUNDAMENTOS DE FINANZAS</v>
      </c>
      <c r="C2" s="3"/>
      <c r="E2" s="148" t="s">
        <v>92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CONCATENATE(LIDER!H4," - ",LIDER!H6," - ",LIDER!H5)</f>
        <v>FUNDAMENTOS DE FINANZAS - 1512 - LEONARDO CARLOS DE ORO BARRIOS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94</v>
      </c>
      <c r="C5" s="34" t="str">
        <f>IF('S-ASIG-06'!D5="","",'S-ASIG-06'!D5)</f>
        <v>LIST</v>
      </c>
      <c r="D5" s="35" t="s">
        <v>97</v>
      </c>
      <c r="E5" s="144" t="str">
        <f>LIDER!$E$29</f>
        <v xml:space="preserve">GRUPO#1  Vestidos de Baño en Crochet (Brazil, Estados Unidos y República Dominicana)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BARRIOS BENITEZ EMILY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4.42</v>
      </c>
      <c r="E6" s="142">
        <v>4.5</v>
      </c>
      <c r="F6" s="24">
        <v>4.5</v>
      </c>
      <c r="G6" s="24">
        <v>4.5</v>
      </c>
      <c r="H6" s="24">
        <v>4.0999999999999996</v>
      </c>
      <c r="I6" s="24">
        <v>4.0999999999999996</v>
      </c>
      <c r="J6" s="24">
        <v>4.0999999999999996</v>
      </c>
      <c r="K6" s="24"/>
    </row>
    <row r="7" spans="1:11" s="2" customFormat="1" ht="15" customHeight="1">
      <c r="A7" s="12">
        <v>2</v>
      </c>
      <c r="B7" s="28" t="str">
        <f>LIDER!E44</f>
        <v>HERRERA TEJEDOR BRENDIS VANESA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4.42</v>
      </c>
      <c r="E7" s="142"/>
      <c r="F7" s="18">
        <v>4.5</v>
      </c>
      <c r="G7" s="18">
        <v>4.5</v>
      </c>
      <c r="H7" s="18">
        <v>4.0999999999999996</v>
      </c>
      <c r="I7" s="18">
        <v>4.0999999999999996</v>
      </c>
      <c r="J7" s="18">
        <v>4.0999999999999996</v>
      </c>
      <c r="K7" s="18"/>
    </row>
    <row r="8" spans="1:11" s="2" customFormat="1" ht="15" customHeight="1">
      <c r="A8" s="12">
        <v>3</v>
      </c>
      <c r="B8" s="28" t="str">
        <f>LIDER!E45</f>
        <v>RUIZ RIVERO HEILEEN CAROLINA</v>
      </c>
      <c r="C8" s="33" t="str">
        <f>IF('S-ASIG-06'!D8="","",'S-ASIG-06'!D8)</f>
        <v>N</v>
      </c>
      <c r="D8" s="30" t="str">
        <f>IF(B8=0,"",IF(C8="",$E$6*LIDER!$H$19+F8*LIDER!$H$20+G8*LIDER!$H$21+H8*LIDER!$H$22+I8*LIDER!$H$23+J8*LIDER!$H$24+K8*LIDER!$H$25,"N"))</f>
        <v>N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DE ARCOS AVENDAÑO SAID JADITH</v>
      </c>
      <c r="C9" s="33" t="str">
        <f>IF('S-ASIG-06'!D9="","",'S-ASIG-06'!D9)</f>
        <v>N</v>
      </c>
      <c r="D9" s="30" t="str">
        <f>IF(B9=0,"",IF(C9="",$E$6*LIDER!$H$19+F9*LIDER!$H$20+G9*LIDER!$H$21+H9*LIDER!$H$22+I9*LIDER!$H$23+J9*LIDER!$H$24+K9*LIDER!$H$25,"N"))</f>
        <v>N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CASTILLO VILLA NELDA SOFIA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4.42</v>
      </c>
      <c r="E10" s="142"/>
      <c r="F10" s="18">
        <v>4.5</v>
      </c>
      <c r="G10" s="18">
        <v>4.5</v>
      </c>
      <c r="H10" s="18">
        <v>4.0999999999999996</v>
      </c>
      <c r="I10" s="18">
        <v>4.0999999999999996</v>
      </c>
      <c r="J10" s="18">
        <v>4.0999999999999996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98</v>
      </c>
      <c r="C12" s="32" t="str">
        <f>IF('S-ASIG-06'!D12="","",'S-ASIG-06'!D12)</f>
        <v>LIST</v>
      </c>
      <c r="D12" s="35" t="s">
        <v>97</v>
      </c>
      <c r="E12" s="144" t="str">
        <f>LIDER!$E$30</f>
        <v xml:space="preserve">GRUPO#2  VINO DE MARACUYA, CHILE , PANAMA Y ESTADOS UNDOS)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NARVAEZ MORELO WISNEEY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4.82</v>
      </c>
      <c r="E13" s="142">
        <v>4.8</v>
      </c>
      <c r="F13" s="24">
        <v>4.8</v>
      </c>
      <c r="G13" s="24">
        <v>4.8</v>
      </c>
      <c r="H13" s="24">
        <v>4.8</v>
      </c>
      <c r="I13" s="24">
        <v>4.8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CASUSOL RODRIGUEZ AYLIN MARIANA</v>
      </c>
      <c r="C14" s="33" t="str">
        <f>IF('S-ASIG-06'!D14="","",'S-ASIG-06'!D14)</f>
        <v>N</v>
      </c>
      <c r="D14" s="30" t="str">
        <f>IF(B14=0,"",IF(C14="",$E$13*LIDER!$H$19+F14*LIDER!$H$20+G14*LIDER!$H$21+H14*LIDER!$H$22+I14*LIDER!$H$23+J14*LIDER!$H$24+K14*LIDER!$H$25,"N"))</f>
        <v>N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CARMONA SIERRA YIRLEIS PATRICIA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4.82</v>
      </c>
      <c r="E15" s="142"/>
      <c r="F15" s="18">
        <v>4.8</v>
      </c>
      <c r="G15" s="18">
        <v>4.8</v>
      </c>
      <c r="H15" s="18">
        <v>4.8</v>
      </c>
      <c r="I15" s="18">
        <v>4.8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>MAGALLANES PEDROZA VALENTINA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4.82</v>
      </c>
      <c r="E16" s="142"/>
      <c r="F16" s="18">
        <v>4.8</v>
      </c>
      <c r="G16" s="18">
        <v>4.8</v>
      </c>
      <c r="H16" s="18">
        <v>4.8</v>
      </c>
      <c r="I16" s="18">
        <v>4.8</v>
      </c>
      <c r="J16" s="18">
        <v>5</v>
      </c>
      <c r="K16" s="18"/>
    </row>
    <row r="17" spans="1:11" s="2" customFormat="1" ht="15" customHeight="1">
      <c r="A17" s="12">
        <v>5</v>
      </c>
      <c r="B17" s="28" t="str">
        <f>LIDER!F47</f>
        <v>MOLINA PÁJARO MARIA DE LOS ÁNGELES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4.82</v>
      </c>
      <c r="E17" s="142"/>
      <c r="F17" s="18">
        <v>4.8</v>
      </c>
      <c r="G17" s="18">
        <v>4.8</v>
      </c>
      <c r="H17" s="18">
        <v>4.8</v>
      </c>
      <c r="I17" s="18">
        <v>4.8</v>
      </c>
      <c r="J17" s="18">
        <v>5</v>
      </c>
      <c r="K17" s="18"/>
    </row>
    <row r="18" spans="1:11" s="2" customFormat="1" ht="15.75" customHeight="1" thickBot="1">
      <c r="A18" s="13">
        <v>6</v>
      </c>
      <c r="B18" s="28" t="str">
        <f>LIDER!F48</f>
        <v>ESMERAL CORDERO NORIETH CAROLINA</v>
      </c>
      <c r="C18" s="33" t="str">
        <f>IF('S-ASIG-06'!D18="","",'S-ASIG-06'!D18)</f>
        <v>N</v>
      </c>
      <c r="D18" s="30" t="str">
        <f>IF(B18=0,"",IF(C18="",$E$13*LIDER!$H$19+F18*LIDER!$H$20+G18*LIDER!$H$21+H18*LIDER!$H$22+I18*LIDER!$H$23+J18*LIDER!$H$24+K18*LIDER!$H$25,"N"))</f>
        <v>N</v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100</v>
      </c>
      <c r="C19" s="32" t="str">
        <f>IF('S-ASIG-06'!D19="","",'S-ASIG-06'!D19)</f>
        <v>LIST</v>
      </c>
      <c r="D19" s="35" t="s">
        <v>97</v>
      </c>
      <c r="E19" s="144" t="str">
        <f>LIDER!$E$31</f>
        <v>GRUPO#3  TRAJES DE BAÑO PARA PERSONAS DE CONTEXTURA GRUESA  (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CHAVEZ ARRIETA EVELYN SHARY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4.5999999999999996</v>
      </c>
      <c r="E20" s="142">
        <v>4.5</v>
      </c>
      <c r="F20" s="24">
        <v>4.7</v>
      </c>
      <c r="G20" s="24">
        <v>4.7</v>
      </c>
      <c r="H20" s="24">
        <v>4.7</v>
      </c>
      <c r="I20" s="24">
        <v>4.7</v>
      </c>
      <c r="J20" s="24">
        <v>4.7</v>
      </c>
      <c r="K20" s="24"/>
    </row>
    <row r="21" spans="1:11" s="2" customFormat="1" ht="15" customHeight="1">
      <c r="A21" s="12">
        <v>2</v>
      </c>
      <c r="B21" s="28" t="str">
        <f>LIDER!G44</f>
        <v>PEREZ MORENO ANA ISABEL</v>
      </c>
      <c r="C21" s="33" t="str">
        <f>IF('S-ASIG-06'!D21="","",'S-ASIG-06'!D21)</f>
        <v>N</v>
      </c>
      <c r="D21" s="30" t="str">
        <f>IF(B21=0,"",IF(C21="",$E$20*LIDER!$H$19+F21*LIDER!$H$20+G21*LIDER!$H$21+H21*LIDER!$H$22+I21*LIDER!$H$23+J21*LIDER!$H$24+K21*LIDER!$H$25,"N"))</f>
        <v>N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PÁJARO DE LA PEÑA ANGELA ISABEL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4.75</v>
      </c>
      <c r="E22" s="142"/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102</v>
      </c>
      <c r="C26" s="32" t="str">
        <f>IF('S-ASIG-06'!D26="","",'S-ASIG-06'!D26)</f>
        <v>LIST</v>
      </c>
      <c r="D26" s="35" t="s">
        <v>97</v>
      </c>
      <c r="E26" s="144" t="str">
        <f>LIDER!$E$32</f>
        <v>GRUPO#4  KITS PICKNIC ESPAÑA, BRAZIL Y PERU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BARRIOS CUADRADO HEILIN TATIANA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4.25</v>
      </c>
      <c r="E27" s="142">
        <v>4.5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MARTINEZ JULIO YEMILY ALBANIS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4.25</v>
      </c>
      <c r="E28" s="142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MANJARRES CORREA PAULA ANDREA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4.25</v>
      </c>
      <c r="E29" s="142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GARCIA MATUTE VALERIE DANIELA</v>
      </c>
      <c r="C30" s="33" t="str">
        <f>IF('S-ASIG-06'!D30="","",'S-ASIG-06'!D30)</f>
        <v>N</v>
      </c>
      <c r="D30" s="30" t="str">
        <f>IF(B30=0,"",IF(C30="",$E$27*LIDER!$H$19+F30*LIDER!$H$20+G30*LIDER!$H$21+H30*LIDER!$H$22+I30*LIDER!$H$23+J30*LIDER!$H$24+K30*LIDER!$H$25,"N"))</f>
        <v>N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104</v>
      </c>
      <c r="C33" s="32" t="str">
        <f>IF('S-ASIG-06'!D33="","",'S-ASIG-06'!D33)</f>
        <v>LIST</v>
      </c>
      <c r="D33" s="35" t="s">
        <v>97</v>
      </c>
      <c r="E33" s="144" t="str">
        <f>LIDER!$E$33</f>
        <v xml:space="preserve">GRUPO#5  HAMACAS INTERNACIONALES CON COJINES ESTADOS UNIDOS, SUECIA Y ESPAÑA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PADILLA MORALES VALERIE SOFIA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4.25</v>
      </c>
      <c r="E34" s="142">
        <v>4.5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RODRIGUEZ ARCIA MARICRUZ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4.25</v>
      </c>
      <c r="E35" s="142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DONADO ALMANZA DAVID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4.25</v>
      </c>
      <c r="E36" s="142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106</v>
      </c>
      <c r="C40" s="32" t="str">
        <f>IF('S-ASIG-06'!D40="","",'S-ASIG-06'!D40)</f>
        <v>LIST</v>
      </c>
      <c r="D40" s="35" t="s">
        <v>97</v>
      </c>
      <c r="E40" s="144" t="str">
        <f>LIDER!$E$34</f>
        <v xml:space="preserve">GRUPO#6  COSMETICOS A BASE DE CAFE ,  ESPAÑA , ESTADOS UNIDOS,  CANADA 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PÉREZ TORRES BRISNEY ALEJANDRA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1.5</v>
      </c>
      <c r="E41" s="142">
        <v>3</v>
      </c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 xml:space="preserve">GOMEZ PINEDA DIEGO ALEJANDRO </v>
      </c>
      <c r="C42" s="33" t="str">
        <f>IF('S-ASIG-06'!D42="","",'S-ASIG-06'!D42)</f>
        <v>N</v>
      </c>
      <c r="D42" s="30" t="str">
        <f>IF(B42=0,"",IF(C42="",$E$41*LIDER!$H$19+F42*LIDER!$H$20+G42*LIDER!$H$21+H42*LIDER!$H$22+I42*LIDER!$H$23+J42*LIDER!$H$24+K42*LIDER!$H$25,"N"))</f>
        <v>N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 xml:space="preserve">ZUÑIGA ARANGO  NICOLAS </v>
      </c>
      <c r="C43" s="33" t="str">
        <f>IF('S-ASIG-06'!D43="","",'S-ASIG-06'!D43)</f>
        <v>N</v>
      </c>
      <c r="D43" s="30" t="str">
        <f>IF(B43=0,"",IF(C43="",$E$41*LIDER!$H$19+F43*LIDER!$H$20+G43*LIDER!$H$21+H43*LIDER!$H$22+I43*LIDER!$H$23+J43*LIDER!$H$24+K43*LIDER!$H$25,"N"))</f>
        <v>N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 xml:space="preserve">MARTINEZ SARMIENTO ISAAC DAVID </v>
      </c>
      <c r="C44" s="33" t="str">
        <f>IF('S-ASIG-06'!D44="","",'S-ASIG-06'!D44)</f>
        <v>N</v>
      </c>
      <c r="D44" s="30" t="str">
        <f>IF(B44=0,"",IF(C44="",$E$41*LIDER!$H$19+F44*LIDER!$H$20+G44*LIDER!$H$21+H44*LIDER!$H$22+I44*LIDER!$H$23+J44*LIDER!$H$24+K44*LIDER!$H$25,"N"))</f>
        <v>N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GOMEZ JULIO LUIS DANIEL</v>
      </c>
      <c r="C45" s="33" t="str">
        <f>IF('S-ASIG-06'!D45="","",'S-ASIG-06'!D45)</f>
        <v>N</v>
      </c>
      <c r="D45" s="30" t="str">
        <f>IF(B45=0,"",IF(C45="",$E$41*LIDER!$H$19+F45*LIDER!$H$20+G45*LIDER!$H$21+H45*LIDER!$H$22+I45*LIDER!$H$23+J45*LIDER!$H$24+K45*LIDER!$H$25,"N"))</f>
        <v>N</v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 xml:space="preserve">LOPEZ NAVARRO LUIS ENRIQUE </v>
      </c>
      <c r="C46" s="33" t="str">
        <f>IF('S-ASIG-06'!D46="","",'S-ASIG-06'!D46)</f>
        <v>N</v>
      </c>
      <c r="D46" s="30" t="str">
        <f>IF(B46=0,"",IF(C46="",$E$41*LIDER!$H$19+F46*LIDER!$H$20+G46*LIDER!$H$21+H46*LIDER!$H$22+I46*LIDER!$H$23+J46*LIDER!$H$24+K46*LIDER!$H$25,"N"))</f>
        <v>N</v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IF('S-ASIG-06'!D47="","",'S-ASIG-06'!D47)</f>
        <v>LIST</v>
      </c>
      <c r="D47" s="35" t="s">
        <v>97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IF('S-ASIG-06'!D54="","",'S-ASIG-06'!D54)</f>
        <v>LIST</v>
      </c>
      <c r="D54" s="35" t="s">
        <v>97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IF('S-ASIG-06'!D61="","",'S-ASIG-06'!D61)</f>
        <v>LIST</v>
      </c>
      <c r="D61" s="35" t="s">
        <v>97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IF('S-ASIG-06'!D68="","",'S-ASIG-06'!D68)</f>
        <v>LIST</v>
      </c>
      <c r="D68" s="35" t="s">
        <v>97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IF('S-ASIG-06'!D75="","",'S-ASIG-06'!D75)</f>
        <v>LIST</v>
      </c>
      <c r="D75" s="35" t="s">
        <v>97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IF('S-ASIG-06'!D82="","",'S-ASIG-06'!D82)</f>
        <v>LIST</v>
      </c>
      <c r="D82" s="35" t="s">
        <v>97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148" t="s">
        <v>92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CONCATENATE(LIDER!I4," - ",LIDER!I6," - ",LIDER!I5)</f>
        <v xml:space="preserve"> -  - 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94</v>
      </c>
      <c r="C5" s="34" t="str">
        <f>IF('S-ASIG-07'!D5="","",'S-ASIG-07'!D5)</f>
        <v>LIST</v>
      </c>
      <c r="D5" s="35" t="s">
        <v>97</v>
      </c>
      <c r="E5" s="144" t="str">
        <f>LIDER!$E$29</f>
        <v xml:space="preserve">GRUPO#1  Vestidos de Baño en Crochet (Brazil, Estados Unidos y República Dominicana)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BARRIOS BENITEZ EMILY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HERRERA TEJEDOR BRENDIS VANESA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RUIZ RIVERO HEILEEN CAROLINA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DE ARCOS AVENDAÑO SAID JADITH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CASTILLO VILLA NELDA SOFIA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98</v>
      </c>
      <c r="C12" s="32" t="str">
        <f>IF('S-ASIG-07'!D12="","",'S-ASIG-07'!D12)</f>
        <v>LIST</v>
      </c>
      <c r="D12" s="35" t="s">
        <v>97</v>
      </c>
      <c r="E12" s="144" t="str">
        <f>LIDER!$E$30</f>
        <v xml:space="preserve">GRUPO#2  VINO DE MARACUYA, CHILE , PANAMA Y ESTADOS UNDOS)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NARVAEZ MORELO WISNEEY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CASUSOL RODRIGUEZ AYLIN MARIANA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CARMONA SIERRA YIRLEIS PATRICIA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MAGALLANES PEDROZA VALENTINA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MOLINA PÁJARO MARIA DE LOS ÁNGELES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ESMERAL CORDERO NORIETH CAROLINA</v>
      </c>
      <c r="C18" s="33" t="str">
        <f>IF('S-ASIG-07'!D18="","",'S-ASIG-07'!D18)</f>
        <v/>
      </c>
      <c r="D18" s="30">
        <f>IF(B18=0,"",IF(C18="",$E$13*LIDER!$H$19+F18*LIDER!$H$20+G18*LIDER!$H$21+H18*LIDER!$H$22+I18*LIDER!$H$23+J18*LIDER!$H$24+K18*LIDER!$H$25,"N"))</f>
        <v>0</v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100</v>
      </c>
      <c r="C19" s="32" t="str">
        <f>IF('S-ASIG-07'!D19="","",'S-ASIG-07'!D19)</f>
        <v>LIST</v>
      </c>
      <c r="D19" s="35" t="s">
        <v>97</v>
      </c>
      <c r="E19" s="144" t="str">
        <f>LIDER!$E$31</f>
        <v>GRUPO#3  TRAJES DE BAÑO PARA PERSONAS DE CONTEXTURA GRUESA  (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CHAVEZ ARRIETA EVELYN SHARY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PEREZ MORENO ANA ISABEL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PÁJARO DE LA PEÑA ANGELA ISABEL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102</v>
      </c>
      <c r="C26" s="32" t="str">
        <f>IF('S-ASIG-07'!D26="","",'S-ASIG-07'!D26)</f>
        <v>LIST</v>
      </c>
      <c r="D26" s="35" t="s">
        <v>97</v>
      </c>
      <c r="E26" s="144" t="str">
        <f>LIDER!$E$32</f>
        <v>GRUPO#4  KITS PICKNIC ESPAÑA, BRAZIL Y PERU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BARRIOS CUADRADO HEILIN TATIANA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MARTINEZ JULIO YEMILY ALBANIS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MANJARRES CORREA PAULA ANDREA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GARCIA MATUTE VALERIE DANIELA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104</v>
      </c>
      <c r="C33" s="32" t="str">
        <f>IF('S-ASIG-07'!D33="","",'S-ASIG-07'!D33)</f>
        <v>LIST</v>
      </c>
      <c r="D33" s="35" t="s">
        <v>97</v>
      </c>
      <c r="E33" s="144" t="str">
        <f>LIDER!$E$33</f>
        <v xml:space="preserve">GRUPO#5  HAMACAS INTERNACIONALES CON COJINES ESTADOS UNIDOS, SUECIA Y ESPAÑA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PADILLA MORALES VALERIE SOFIA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RODRIGUEZ ARCIA MARICRUZ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DONADO ALMANZA DAVID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106</v>
      </c>
      <c r="C40" s="32" t="str">
        <f>IF('S-ASIG-07'!D40="","",'S-ASIG-07'!D40)</f>
        <v>LIST</v>
      </c>
      <c r="D40" s="35" t="s">
        <v>97</v>
      </c>
      <c r="E40" s="144" t="str">
        <f>LIDER!$E$34</f>
        <v xml:space="preserve">GRUPO#6  COSMETICOS A BASE DE CAFE ,  ESPAÑA , ESTADOS UNIDOS,  CANADA 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PÉREZ TORRES BRISNEY ALEJANDRA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 xml:space="preserve">GOMEZ PINEDA DIEGO ALEJANDRO 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 xml:space="preserve">ZUÑIGA ARANGO  NICOLAS 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 xml:space="preserve">MARTINEZ SARMIENTO ISAAC DAVID 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GOMEZ JULIO LUIS DANIEL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 xml:space="preserve">LOPEZ NAVARRO LUIS ENRIQUE </v>
      </c>
      <c r="C46" s="33" t="str">
        <f>IF('S-ASIG-07'!D46="","",'S-ASIG-07'!D46)</f>
        <v/>
      </c>
      <c r="D46" s="30">
        <f>IF(B46=0,"",IF(C46="",$E$41*LIDER!$H$19+F46*LIDER!$H$20+G46*LIDER!$H$21+H46*LIDER!$H$22+I46*LIDER!$H$23+J46*LIDER!$H$24+K46*LIDER!$H$25,"N"))</f>
        <v>0</v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IF('S-ASIG-07'!D47="","",'S-ASIG-07'!D47)</f>
        <v>LIST</v>
      </c>
      <c r="D47" s="35" t="s">
        <v>97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IF('S-ASIG-07'!D54="","",'S-ASIG-07'!D54)</f>
        <v>LIST</v>
      </c>
      <c r="D54" s="35" t="s">
        <v>97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IF('S-ASIG-07'!D61="","",'S-ASIG-07'!D61)</f>
        <v>LIST</v>
      </c>
      <c r="D61" s="35" t="s">
        <v>97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IF('S-ASIG-07'!D68="","",'S-ASIG-07'!D68)</f>
        <v>LIST</v>
      </c>
      <c r="D68" s="35" t="s">
        <v>97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IF('S-ASIG-07'!D75="","",'S-ASIG-07'!D75)</f>
        <v>LIST</v>
      </c>
      <c r="D75" s="35" t="s">
        <v>97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IF('S-ASIG-07'!D82="","",'S-ASIG-07'!D82)</f>
        <v>LIST</v>
      </c>
      <c r="D82" s="35" t="s">
        <v>97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30" activePane="bottomRight" state="frozen"/>
      <selection pane="bottomRight" activeCell="P3" sqref="P3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5.85546875" style="46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SEM-04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210" t="s">
        <v>115</v>
      </c>
      <c r="H2" s="211"/>
      <c r="I2" s="211"/>
      <c r="J2" s="211"/>
      <c r="K2" s="211"/>
      <c r="L2" s="211"/>
      <c r="M2" s="212"/>
      <c r="N2" s="2"/>
      <c r="O2" s="215" t="s">
        <v>116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2413</v>
      </c>
      <c r="H3" s="49" t="str">
        <f>CONCATENATE("N° : ",LIDER!D6)</f>
        <v>N° : 2401</v>
      </c>
      <c r="I3" s="49" t="str">
        <f>CONCATENATE("N° : ",LIDER!E6)</f>
        <v>N° : 1480</v>
      </c>
      <c r="J3" s="49" t="str">
        <f>CONCATENATE("N° : ",LIDER!F6)</f>
        <v>N° : 1924</v>
      </c>
      <c r="K3" s="49" t="str">
        <f>CONCATENATE("N° : ",LIDER!G6)</f>
        <v>N° : 1397</v>
      </c>
      <c r="L3" s="49" t="str">
        <f>CONCATENATE("N° : ",LIDER!H6)</f>
        <v>N° : 1512</v>
      </c>
      <c r="M3" s="50" t="str">
        <f>CONCATENATE("N° : ",LIDER!I6)</f>
        <v xml:space="preserve">N° : </v>
      </c>
      <c r="O3" s="48" t="str">
        <f>G3</f>
        <v>N° : 2413</v>
      </c>
      <c r="P3" s="49" t="str">
        <f t="shared" ref="P3:U3" si="0">H3</f>
        <v>N° : 2401</v>
      </c>
      <c r="Q3" s="49" t="str">
        <f t="shared" si="0"/>
        <v>N° : 1480</v>
      </c>
      <c r="R3" s="49" t="str">
        <f t="shared" si="0"/>
        <v>N° : 1924</v>
      </c>
      <c r="S3" s="49" t="str">
        <f t="shared" si="0"/>
        <v>N° : 1397</v>
      </c>
      <c r="T3" s="49" t="str">
        <f t="shared" si="0"/>
        <v>N° : 1512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117</v>
      </c>
      <c r="D4" s="54" t="s">
        <v>118</v>
      </c>
      <c r="E4" s="55" t="s">
        <v>119</v>
      </c>
      <c r="G4" s="56" t="str">
        <f>MID(LIDER!C4,1,9)</f>
        <v xml:space="preserve">ELECTIVA </v>
      </c>
      <c r="H4" s="57" t="str">
        <f>MID(LIDER!D4,1,9)</f>
        <v>ETICA</v>
      </c>
      <c r="I4" s="57" t="str">
        <f>MID(LIDER!E4,1,9)</f>
        <v>IMPORTACI</v>
      </c>
      <c r="J4" s="57" t="str">
        <f>MID(LIDER!F4,1,9)</f>
        <v>ESTADÍSTI</v>
      </c>
      <c r="K4" s="57" t="str">
        <f>MID(LIDER!G4,1,9)</f>
        <v>FUNDAMENT</v>
      </c>
      <c r="L4" s="57" t="str">
        <f>MID(LIDER!H4,1,9)</f>
        <v>FUNDAMENT</v>
      </c>
      <c r="M4" s="58" t="str">
        <f>MID(LIDER!I4,1,9)</f>
        <v/>
      </c>
      <c r="N4" s="59" t="s">
        <v>120</v>
      </c>
      <c r="O4" s="60" t="str">
        <f t="shared" ref="O4:U4" si="1">G4</f>
        <v xml:space="preserve">ELECTIVA </v>
      </c>
      <c r="P4" s="61" t="str">
        <f t="shared" si="1"/>
        <v>ETICA</v>
      </c>
      <c r="Q4" s="61" t="str">
        <f t="shared" si="1"/>
        <v>IMPORTACI</v>
      </c>
      <c r="R4" s="61" t="str">
        <f t="shared" si="1"/>
        <v>ESTADÍSTI</v>
      </c>
      <c r="S4" s="61" t="str">
        <f t="shared" si="1"/>
        <v>FUNDAMENT</v>
      </c>
      <c r="T4" s="61" t="str">
        <f t="shared" si="1"/>
        <v>FUNDAMENT</v>
      </c>
      <c r="U4" s="62" t="str">
        <f t="shared" si="1"/>
        <v/>
      </c>
      <c r="V4" s="59" t="s">
        <v>121</v>
      </c>
    </row>
    <row r="5" spans="1:22" ht="15" customHeight="1">
      <c r="A5" s="12">
        <v>1</v>
      </c>
      <c r="B5" s="63" t="str">
        <f>LIDER!C20</f>
        <v>HERRERA DIAZ OSCAR JOSUE</v>
      </c>
      <c r="C5" s="64">
        <f>IF(B5=0,"",IFERROR(VLOOKUP(B5,'S-ASIG-01'!$B$5:$E$88,2,0),0))</f>
        <v>0</v>
      </c>
      <c r="D5" s="65">
        <f t="shared" ref="D5:D36" si="2">IF(B5=0,"",IFERROR(SUMIF(G5:M5,"&gt;0",G5:M5)/COUNTIF(G5:M5,"&gt;0"),0))</f>
        <v>0</v>
      </c>
      <c r="E5" s="66">
        <f t="shared" ref="E5:E36" si="3">IF(B5=0,"",IFERROR(SUMIF(O5:U5,"&gt;0",O5:U5)/COUNTIF(O5:U5,"&gt;0"),0))</f>
        <v>0</v>
      </c>
      <c r="F5" s="47"/>
      <c r="G5" s="67">
        <f>IF(B5=0,"",IFERROR(VLOOKUP(B5,'S-ASIG-01'!$B$5:$E$88,4,0),0))</f>
        <v>0</v>
      </c>
      <c r="H5" s="65">
        <f>IF(B5=0,"",IFERROR(VLOOKUP(B5,'S-ASIG-02'!$B$5:$E$88,4,0),0))</f>
        <v>0</v>
      </c>
      <c r="I5" s="65">
        <f>IF(B5=0,"",IFERROR(VLOOKUP(B5,'S-ASIG-03'!$B$5:$E$88,4,0),0))</f>
        <v>0</v>
      </c>
      <c r="J5" s="65">
        <f>IF(B5=0,"",IFERROR(VLOOKUP(B5,'S-ASIG-04'!$B$5:$E$88,4,0),0))</f>
        <v>0</v>
      </c>
      <c r="K5" s="65">
        <f>IF(B5=0,"",IFERROR(VLOOKUP(B5,'S-ASIG-05'!$B$5:$E$88,4,0),0))</f>
        <v>0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122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123</v>
      </c>
    </row>
    <row r="6" spans="1:22" ht="15" customHeight="1">
      <c r="A6" s="12">
        <v>2</v>
      </c>
      <c r="B6" s="70" t="str">
        <f>LIDER!C22</f>
        <v>JACOME PERALTA DIEGO</v>
      </c>
      <c r="C6" s="64">
        <f>IF(B6=0,"",IFERROR(VLOOKUP(B6,'S-ASIG-01'!$B$5:$E$88,2,0),0))</f>
        <v>0</v>
      </c>
      <c r="D6" s="65">
        <f t="shared" si="2"/>
        <v>0</v>
      </c>
      <c r="E6" s="66">
        <f t="shared" si="3"/>
        <v>0</v>
      </c>
      <c r="F6" s="47"/>
      <c r="G6" s="71">
        <f>IF(B6=0,"",IFERROR(VLOOKUP(B6,'S-ASIG-01'!$B$5:$E$88,4,0),0))</f>
        <v>0</v>
      </c>
      <c r="H6" s="72">
        <f>IF(B6=0,"",IFERROR(VLOOKUP(B6,'S-ASIG-02'!$B$5:$E$88,4,0),0))</f>
        <v>0</v>
      </c>
      <c r="I6" s="72">
        <f>IF(B6=0,"",IFERROR(VLOOKUP(B6,'S-ASIG-03'!$B$5:$E$88,4,0),0))</f>
        <v>0</v>
      </c>
      <c r="J6" s="72">
        <f>IF(B6=0,"",IFERROR(VLOOKUP(B6,'S-ASIG-04'!$B$5:$E$88,4,0),0))</f>
        <v>0</v>
      </c>
      <c r="K6" s="72">
        <f>IF(B6=0,"",IFERROR(VLOOKUP(B6,'S-ASIG-05'!$B$5:$E$88,4,0),0))</f>
        <v>0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122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123</v>
      </c>
    </row>
    <row r="7" spans="1:22" ht="15" customHeight="1">
      <c r="A7" s="12">
        <v>3</v>
      </c>
      <c r="B7" s="70" t="str">
        <f>LIDER!C23</f>
        <v>MADRID BORDA JESUS ALBERTO</v>
      </c>
      <c r="C7" s="64">
        <f>IF(B7=0,"",IFERROR(VLOOKUP(B7,'S-ASIG-01'!$B$5:$E$88,2,0),0))</f>
        <v>0</v>
      </c>
      <c r="D7" s="65">
        <f t="shared" si="2"/>
        <v>0</v>
      </c>
      <c r="E7" s="66">
        <f t="shared" si="3"/>
        <v>0</v>
      </c>
      <c r="F7" s="47"/>
      <c r="G7" s="71">
        <f>IF(B7=0,"",IFERROR(VLOOKUP(B7,'S-ASIG-01'!$B$5:$E$88,4,0),0))</f>
        <v>0</v>
      </c>
      <c r="H7" s="72">
        <f>IF(B7=0,"",IFERROR(VLOOKUP(B7,'S-ASIG-02'!$B$5:$E$88,4,0),0))</f>
        <v>0</v>
      </c>
      <c r="I7" s="72">
        <f>IF(B7=0,"",IFERROR(VLOOKUP(B7,'S-ASIG-03'!$B$5:$E$88,4,0),0))</f>
        <v>0</v>
      </c>
      <c r="J7" s="72">
        <f>IF(B7=0,"",IFERROR(VLOOKUP(B7,'S-ASIG-04'!$B$5:$E$88,4,0),0))</f>
        <v>0</v>
      </c>
      <c r="K7" s="72">
        <f>IF(B7=0,"",IFERROR(VLOOKUP(B7,'S-ASIG-05'!$B$5:$E$88,4,0),0))</f>
        <v>0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122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123</v>
      </c>
    </row>
    <row r="8" spans="1:22" ht="15" customHeight="1">
      <c r="A8" s="12">
        <v>4</v>
      </c>
      <c r="B8" s="70" t="str">
        <f>LIDER!C27</f>
        <v>MENDOZA MUÑOZ MATEO JAVIER</v>
      </c>
      <c r="C8" s="64">
        <f>IF(B8=0,"",IFERROR(VLOOKUP(B8,'S-ASIG-01'!$B$5:$E$88,2,0),0))</f>
        <v>0</v>
      </c>
      <c r="D8" s="65">
        <f t="shared" si="2"/>
        <v>0</v>
      </c>
      <c r="E8" s="66">
        <f t="shared" si="3"/>
        <v>0</v>
      </c>
      <c r="F8" s="47"/>
      <c r="G8" s="71">
        <f>IF(B8=0,"",IFERROR(VLOOKUP(B8,'S-ASIG-01'!$B$5:$E$88,4,0),0))</f>
        <v>0</v>
      </c>
      <c r="H8" s="72">
        <f>IF(B8=0,"",IFERROR(VLOOKUP(B8,'S-ASIG-02'!$B$5:$E$88,4,0),0))</f>
        <v>0</v>
      </c>
      <c r="I8" s="72">
        <f>IF(B8=0,"",IFERROR(VLOOKUP(B8,'S-ASIG-03'!$B$5:$E$88,4,0),0))</f>
        <v>0</v>
      </c>
      <c r="J8" s="72">
        <f>IF(B8=0,"",IFERROR(VLOOKUP(B8,'S-ASIG-04'!$B$5:$E$88,4,0),0))</f>
        <v>0</v>
      </c>
      <c r="K8" s="72">
        <f>IF(B8=0,"",IFERROR(VLOOKUP(B8,'S-ASIG-05'!$B$5:$E$88,4,0),0))</f>
        <v>0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122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123</v>
      </c>
    </row>
    <row r="9" spans="1:22" ht="15" hidden="1" customHeight="1">
      <c r="A9" s="12">
        <v>5</v>
      </c>
      <c r="B9" s="70">
        <f>LIDER!C40</f>
        <v>0</v>
      </c>
      <c r="C9" s="64" t="str">
        <f>IF(B9=0,"",IFERROR(VLOOKUP(B9,'S-ASIG-01'!$B$5:$E$88,2,0),0))</f>
        <v/>
      </c>
      <c r="D9" s="65" t="str">
        <f t="shared" si="2"/>
        <v/>
      </c>
      <c r="E9" s="66" t="str">
        <f t="shared" si="3"/>
        <v/>
      </c>
      <c r="F9" s="47"/>
      <c r="G9" s="71" t="str">
        <f>IF(B9=0,"",IFERROR(VLOOKUP(B9,'S-ASIG-01'!$B$5:$E$88,4,0),0))</f>
        <v/>
      </c>
      <c r="H9" s="72" t="str">
        <f>IF(B9=0,"",IFERROR(VLOOKUP(B9,'S-ASIG-02'!$B$5:$E$88,4,0),0))</f>
        <v/>
      </c>
      <c r="I9" s="72" t="str">
        <f>IF(B9=0,"",IFERROR(VLOOKUP(B9,'S-ASIG-03'!$B$5:$E$88,4,0),0))</f>
        <v/>
      </c>
      <c r="J9" s="72" t="str">
        <f>IF(B9=0,"",IFERROR(VLOOKUP(B9,'S-ASIG-04'!$B$5:$E$88,4,0),0))</f>
        <v/>
      </c>
      <c r="K9" s="72" t="str">
        <f>IF(B9=0,"",IFERROR(VLOOKUP(B9,'S-ASIG-05'!$B$5:$E$88,4,0),0))</f>
        <v/>
      </c>
      <c r="L9" s="72" t="str">
        <f>IF(B9=0,"",IFERROR(VLOOKUP(B9,'S-ASIG-06'!$B$5:$E$88,4,0),0))</f>
        <v/>
      </c>
      <c r="M9" s="73" t="str">
        <f>IF(B9=0,"",IFERROR(VLOOKUP(B9,'S-ASIG-07'!$B$5:$E$88,4,0),0))</f>
        <v/>
      </c>
      <c r="N9" s="68" t="s">
        <v>122</v>
      </c>
      <c r="O9" s="71" t="str">
        <f>IF(B9=0,"",IFERROR(VLOOKUP(B9,'T-ASIG-01'!$B$5:$D$88,3,0),0))</f>
        <v/>
      </c>
      <c r="P9" s="72" t="str">
        <f>IF(B9=0,"",IFERROR(VLOOKUP(B9,'T-ASIG-02'!$B$5:$D$88,3,0),0))</f>
        <v/>
      </c>
      <c r="Q9" s="72" t="str">
        <f>IF(B9=0,"",IFERROR(VLOOKUP(B9,'T-ASIG-03'!$B$5:$D$88,3,0),0))</f>
        <v/>
      </c>
      <c r="R9" s="72" t="str">
        <f>IF(B9=0,"",IFERROR(VLOOKUP(B9,'T-ASIG-04'!$B$5:$D$88,3,0),0))</f>
        <v/>
      </c>
      <c r="S9" s="72" t="str">
        <f>IF(B9=0,"",IFERROR(VLOOKUP(B9,'T-ASIG-05'!$B$5:$D$88,3,0),0))</f>
        <v/>
      </c>
      <c r="T9" s="72" t="str">
        <f>IF(B9=0,"",IFERROR(VLOOKUP(B9,'T-ASIG-06'!$B$5:$D$88,3,0),0))</f>
        <v/>
      </c>
      <c r="U9" s="73" t="str">
        <f>IF(B9=0,"",IFERROR(VLOOKUP(B9,'T-ASIG-07'!$B$5:$D$88,3,0),0))</f>
        <v/>
      </c>
      <c r="V9" s="69" t="s">
        <v>123</v>
      </c>
    </row>
    <row r="10" spans="1:22" ht="15" hidden="1" customHeight="1">
      <c r="A10" s="12">
        <v>6</v>
      </c>
      <c r="B10" s="70">
        <f>LIDER!C41</f>
        <v>0</v>
      </c>
      <c r="C10" s="64" t="str">
        <f>IF(B10=0,"",IFERROR(VLOOKUP(B10,'S-ASIG-01'!$B$5:$E$88,2,0),0))</f>
        <v/>
      </c>
      <c r="D10" s="65" t="str">
        <f t="shared" si="2"/>
        <v/>
      </c>
      <c r="E10" s="66" t="str">
        <f t="shared" si="3"/>
        <v/>
      </c>
      <c r="F10" s="47"/>
      <c r="G10" s="71" t="str">
        <f>IF(B10=0,"",IFERROR(VLOOKUP(B10,'S-ASIG-01'!$B$5:$E$88,4,0),0))</f>
        <v/>
      </c>
      <c r="H10" s="72" t="str">
        <f>IF(B10=0,"",IFERROR(VLOOKUP(B10,'S-ASIG-02'!$B$5:$E$88,4,0),0))</f>
        <v/>
      </c>
      <c r="I10" s="72" t="str">
        <f>IF(B10=0,"",IFERROR(VLOOKUP(B10,'S-ASIG-03'!$B$5:$E$88,4,0),0))</f>
        <v/>
      </c>
      <c r="J10" s="72" t="str">
        <f>IF(B10=0,"",IFERROR(VLOOKUP(B10,'S-ASIG-04'!$B$5:$E$88,4,0),0))</f>
        <v/>
      </c>
      <c r="K10" s="72" t="str">
        <f>IF(B10=0,"",IFERROR(VLOOKUP(B10,'S-ASIG-05'!$B$5:$E$88,4,0),0))</f>
        <v/>
      </c>
      <c r="L10" s="72" t="str">
        <f>IF(B10=0,"",IFERROR(VLOOKUP(B10,'S-ASIG-06'!$B$5:$E$88,4,0),0))</f>
        <v/>
      </c>
      <c r="M10" s="73" t="str">
        <f>IF(B10=0,"",IFERROR(VLOOKUP(B10,'S-ASIG-07'!$B$5:$E$88,4,0),0))</f>
        <v/>
      </c>
      <c r="N10" s="68" t="s">
        <v>122</v>
      </c>
      <c r="O10" s="71" t="str">
        <f>IF(B10=0,"",IFERROR(VLOOKUP(B10,'T-ASIG-01'!$B$5:$D$88,3,0),0))</f>
        <v/>
      </c>
      <c r="P10" s="72" t="str">
        <f>IF(B10=0,"",IFERROR(VLOOKUP(B10,'T-ASIG-02'!$B$5:$D$88,3,0),0))</f>
        <v/>
      </c>
      <c r="Q10" s="72" t="str">
        <f>IF(B10=0,"",IFERROR(VLOOKUP(B10,'T-ASIG-03'!$B$5:$D$88,3,0),0))</f>
        <v/>
      </c>
      <c r="R10" s="72" t="str">
        <f>IF(B10=0,"",IFERROR(VLOOKUP(B10,'T-ASIG-04'!$B$5:$D$88,3,0),0))</f>
        <v/>
      </c>
      <c r="S10" s="72" t="str">
        <f>IF(B10=0,"",IFERROR(VLOOKUP(B10,'T-ASIG-05'!$B$5:$D$88,3,0),0))</f>
        <v/>
      </c>
      <c r="T10" s="72" t="str">
        <f>IF(B10=0,"",IFERROR(VLOOKUP(B10,'T-ASIG-06'!$B$5:$D$88,3,0),0))</f>
        <v/>
      </c>
      <c r="U10" s="73" t="str">
        <f>IF(B10=0,"",IFERROR(VLOOKUP(B10,'T-ASIG-07'!$B$5:$D$88,3,0),0))</f>
        <v/>
      </c>
      <c r="V10" s="69" t="s">
        <v>123</v>
      </c>
    </row>
    <row r="11" spans="1:22" ht="15" hidden="1" customHeight="1">
      <c r="A11" s="12">
        <v>7</v>
      </c>
      <c r="B11" s="70">
        <f>LIDER!C42</f>
        <v>0</v>
      </c>
      <c r="C11" s="64" t="str">
        <f>IF(B11=0,"",IFERROR(VLOOKUP(B11,'S-ASIG-01'!$B$5:$E$88,2,0),0))</f>
        <v/>
      </c>
      <c r="D11" s="65" t="str">
        <f t="shared" si="2"/>
        <v/>
      </c>
      <c r="E11" s="66" t="str">
        <f t="shared" si="3"/>
        <v/>
      </c>
      <c r="F11" s="47"/>
      <c r="G11" s="71" t="str">
        <f>IF(B11=0,"",IFERROR(VLOOKUP(B11,'S-ASIG-01'!$B$5:$E$88,4,0),0))</f>
        <v/>
      </c>
      <c r="H11" s="72" t="str">
        <f>IF(B11=0,"",IFERROR(VLOOKUP(B11,'S-ASIG-02'!$B$5:$E$88,4,0),0))</f>
        <v/>
      </c>
      <c r="I11" s="72" t="str">
        <f>IF(B11=0,"",IFERROR(VLOOKUP(B11,'S-ASIG-03'!$B$5:$E$88,4,0),0))</f>
        <v/>
      </c>
      <c r="J11" s="72" t="str">
        <f>IF(B11=0,"",IFERROR(VLOOKUP(B11,'S-ASIG-04'!$B$5:$E$88,4,0),0))</f>
        <v/>
      </c>
      <c r="K11" s="72" t="str">
        <f>IF(B11=0,"",IFERROR(VLOOKUP(B11,'S-ASIG-05'!$B$5:$E$88,4,0),0))</f>
        <v/>
      </c>
      <c r="L11" s="72" t="str">
        <f>IF(B11=0,"",IFERROR(VLOOKUP(B11,'S-ASIG-06'!$B$5:$E$88,4,0),0))</f>
        <v/>
      </c>
      <c r="M11" s="73" t="str">
        <f>IF(B11=0,"",IFERROR(VLOOKUP(B11,'S-ASIG-07'!$B$5:$E$88,4,0),0))</f>
        <v/>
      </c>
      <c r="N11" s="68" t="s">
        <v>122</v>
      </c>
      <c r="O11" s="71" t="str">
        <f>IF(B11=0,"",IFERROR(VLOOKUP(B11,'T-ASIG-01'!$B$5:$D$88,3,0),0))</f>
        <v/>
      </c>
      <c r="P11" s="72" t="str">
        <f>IF(B11=0,"",IFERROR(VLOOKUP(B11,'T-ASIG-02'!$B$5:$D$88,3,0),0))</f>
        <v/>
      </c>
      <c r="Q11" s="72" t="str">
        <f>IF(B11=0,"",IFERROR(VLOOKUP(B11,'T-ASIG-03'!$B$5:$D$88,3,0),0))</f>
        <v/>
      </c>
      <c r="R11" s="72" t="str">
        <f>IF(B11=0,"",IFERROR(VLOOKUP(B11,'T-ASIG-04'!$B$5:$D$88,3,0),0))</f>
        <v/>
      </c>
      <c r="S11" s="72" t="str">
        <f>IF(B11=0,"",IFERROR(VLOOKUP(B11,'T-ASIG-05'!$B$5:$D$88,3,0),0))</f>
        <v/>
      </c>
      <c r="T11" s="72" t="str">
        <f>IF(B11=0,"",IFERROR(VLOOKUP(B11,'T-ASIG-06'!$B$5:$D$88,3,0),0))</f>
        <v/>
      </c>
      <c r="U11" s="73" t="str">
        <f>IF(B11=0,"",IFERROR(VLOOKUP(B11,'T-ASIG-07'!$B$5:$D$88,3,0),0))</f>
        <v/>
      </c>
      <c r="V11" s="69" t="s">
        <v>123</v>
      </c>
    </row>
    <row r="12" spans="1:22" ht="15" hidden="1" customHeight="1">
      <c r="A12" s="12">
        <v>8</v>
      </c>
      <c r="B12" s="70">
        <f>LIDER!C43</f>
        <v>0</v>
      </c>
      <c r="C12" s="64" t="str">
        <f>IF(B12=0,"",IFERROR(VLOOKUP(B12,'S-ASIG-01'!$B$5:$E$88,2,0),0))</f>
        <v/>
      </c>
      <c r="D12" s="65" t="str">
        <f t="shared" si="2"/>
        <v/>
      </c>
      <c r="E12" s="66" t="str">
        <f t="shared" si="3"/>
        <v/>
      </c>
      <c r="F12" s="47"/>
      <c r="G12" s="71" t="str">
        <f>IF(B12=0,"",IFERROR(VLOOKUP(B12,'S-ASIG-01'!$B$5:$E$88,4,0),0))</f>
        <v/>
      </c>
      <c r="H12" s="72" t="str">
        <f>IF(B12=0,"",IFERROR(VLOOKUP(B12,'S-ASIG-02'!$B$5:$E$88,4,0),0))</f>
        <v/>
      </c>
      <c r="I12" s="72" t="str">
        <f>IF(B12=0,"",IFERROR(VLOOKUP(B12,'S-ASIG-03'!$B$5:$E$88,4,0),0))</f>
        <v/>
      </c>
      <c r="J12" s="72" t="str">
        <f>IF(B12=0,"",IFERROR(VLOOKUP(B12,'S-ASIG-04'!$B$5:$E$88,4,0),0))</f>
        <v/>
      </c>
      <c r="K12" s="72" t="str">
        <f>IF(B12=0,"",IFERROR(VLOOKUP(B12,'S-ASIG-05'!$B$5:$E$88,4,0),0))</f>
        <v/>
      </c>
      <c r="L12" s="72" t="str">
        <f>IF(B12=0,"",IFERROR(VLOOKUP(B12,'S-ASIG-06'!$B$5:$E$88,4,0),0))</f>
        <v/>
      </c>
      <c r="M12" s="73" t="str">
        <f>IF(B12=0,"",IFERROR(VLOOKUP(B12,'S-ASIG-07'!$B$5:$E$88,4,0),0))</f>
        <v/>
      </c>
      <c r="N12" s="68" t="s">
        <v>122</v>
      </c>
      <c r="O12" s="71" t="str">
        <f>IF(B12=0,"",IFERROR(VLOOKUP(B12,'T-ASIG-01'!$B$5:$D$88,3,0),0))</f>
        <v/>
      </c>
      <c r="P12" s="72" t="str">
        <f>IF(B12=0,"",IFERROR(VLOOKUP(B12,'T-ASIG-02'!$B$5:$D$88,3,0),0))</f>
        <v/>
      </c>
      <c r="Q12" s="72" t="str">
        <f>IF(B12=0,"",IFERROR(VLOOKUP(B12,'T-ASIG-03'!$B$5:$D$88,3,0),0))</f>
        <v/>
      </c>
      <c r="R12" s="72" t="str">
        <f>IF(B12=0,"",IFERROR(VLOOKUP(B12,'T-ASIG-04'!$B$5:$D$88,3,0),0))</f>
        <v/>
      </c>
      <c r="S12" s="72" t="str">
        <f>IF(B12=0,"",IFERROR(VLOOKUP(B12,'T-ASIG-05'!$B$5:$D$88,3,0),0))</f>
        <v/>
      </c>
      <c r="T12" s="72" t="str">
        <f>IF(B12=0,"",IFERROR(VLOOKUP(B12,'T-ASIG-06'!$B$5:$D$88,3,0),0))</f>
        <v/>
      </c>
      <c r="U12" s="73" t="str">
        <f>IF(B12=0,"",IFERROR(VLOOKUP(B12,'T-ASIG-07'!$B$5:$D$88,3,0),0))</f>
        <v/>
      </c>
      <c r="V12" s="69" t="s">
        <v>123</v>
      </c>
    </row>
    <row r="13" spans="1:22" ht="15" hidden="1" customHeight="1">
      <c r="A13" s="12">
        <v>9</v>
      </c>
      <c r="B13" s="70">
        <f>LIDER!C44</f>
        <v>0</v>
      </c>
      <c r="C13" s="64" t="str">
        <f>IF(B13=0,"",IFERROR(VLOOKUP(B13,'S-ASIG-01'!$B$5:$E$88,2,0),0))</f>
        <v/>
      </c>
      <c r="D13" s="65" t="str">
        <f t="shared" si="2"/>
        <v/>
      </c>
      <c r="E13" s="66" t="str">
        <f t="shared" si="3"/>
        <v/>
      </c>
      <c r="F13" s="47"/>
      <c r="G13" s="71" t="str">
        <f>IF(B13=0,"",IFERROR(VLOOKUP(B13,'S-ASIG-01'!$B$5:$E$88,4,0),0))</f>
        <v/>
      </c>
      <c r="H13" s="72" t="str">
        <f>IF(B13=0,"",IFERROR(VLOOKUP(B13,'S-ASIG-02'!$B$5:$E$88,4,0),0))</f>
        <v/>
      </c>
      <c r="I13" s="72" t="str">
        <f>IF(B13=0,"",IFERROR(VLOOKUP(B13,'S-ASIG-03'!$B$5:$E$88,4,0),0))</f>
        <v/>
      </c>
      <c r="J13" s="72" t="str">
        <f>IF(B13=0,"",IFERROR(VLOOKUP(B13,'S-ASIG-04'!$B$5:$E$88,4,0),0))</f>
        <v/>
      </c>
      <c r="K13" s="72" t="str">
        <f>IF(B13=0,"",IFERROR(VLOOKUP(B13,'S-ASIG-05'!$B$5:$E$88,4,0),0))</f>
        <v/>
      </c>
      <c r="L13" s="72" t="str">
        <f>IF(B13=0,"",IFERROR(VLOOKUP(B13,'S-ASIG-06'!$B$5:$E$88,4,0),0))</f>
        <v/>
      </c>
      <c r="M13" s="73" t="str">
        <f>IF(B13=0,"",IFERROR(VLOOKUP(B13,'S-ASIG-07'!$B$5:$E$88,4,0),0))</f>
        <v/>
      </c>
      <c r="N13" s="68" t="s">
        <v>122</v>
      </c>
      <c r="O13" s="71" t="str">
        <f>IF(B13=0,"",IFERROR(VLOOKUP(B13,'T-ASIG-01'!$B$5:$D$88,3,0),0))</f>
        <v/>
      </c>
      <c r="P13" s="72" t="str">
        <f>IF(B13=0,"",IFERROR(VLOOKUP(B13,'T-ASIG-02'!$B$5:$D$88,3,0),0))</f>
        <v/>
      </c>
      <c r="Q13" s="72" t="str">
        <f>IF(B13=0,"",IFERROR(VLOOKUP(B13,'T-ASIG-03'!$B$5:$D$88,3,0),0))</f>
        <v/>
      </c>
      <c r="R13" s="72" t="str">
        <f>IF(B13=0,"",IFERROR(VLOOKUP(B13,'T-ASIG-04'!$B$5:$D$88,3,0),0))</f>
        <v/>
      </c>
      <c r="S13" s="72" t="str">
        <f>IF(B13=0,"",IFERROR(VLOOKUP(B13,'T-ASIG-05'!$B$5:$D$88,3,0),0))</f>
        <v/>
      </c>
      <c r="T13" s="72" t="str">
        <f>IF(B13=0,"",IFERROR(VLOOKUP(B13,'T-ASIG-06'!$B$5:$D$88,3,0),0))</f>
        <v/>
      </c>
      <c r="U13" s="73" t="str">
        <f>IF(B13=0,"",IFERROR(VLOOKUP(B13,'T-ASIG-07'!$B$5:$D$88,3,0),0))</f>
        <v/>
      </c>
      <c r="V13" s="69" t="s">
        <v>123</v>
      </c>
    </row>
    <row r="14" spans="1:22" ht="15" hidden="1" customHeight="1">
      <c r="A14" s="12">
        <v>10</v>
      </c>
      <c r="B14" s="70">
        <f>LIDER!C45</f>
        <v>0</v>
      </c>
      <c r="C14" s="64" t="str">
        <f>IF(B14=0,"",IFERROR(VLOOKUP(B14,'S-ASIG-01'!$B$5:$E$88,2,0),0))</f>
        <v/>
      </c>
      <c r="D14" s="65" t="str">
        <f t="shared" si="2"/>
        <v/>
      </c>
      <c r="E14" s="66" t="str">
        <f t="shared" si="3"/>
        <v/>
      </c>
      <c r="F14" s="47"/>
      <c r="G14" s="71" t="str">
        <f>IF(B14=0,"",IFERROR(VLOOKUP(B14,'S-ASIG-01'!$B$5:$E$88,4,0),0))</f>
        <v/>
      </c>
      <c r="H14" s="72" t="str">
        <f>IF(B14=0,"",IFERROR(VLOOKUP(B14,'S-ASIG-02'!$B$5:$E$88,4,0),0))</f>
        <v/>
      </c>
      <c r="I14" s="72" t="str">
        <f>IF(B14=0,"",IFERROR(VLOOKUP(B14,'S-ASIG-03'!$B$5:$E$88,4,0),0))</f>
        <v/>
      </c>
      <c r="J14" s="72" t="str">
        <f>IF(B14=0,"",IFERROR(VLOOKUP(B14,'S-ASIG-04'!$B$5:$E$88,4,0),0))</f>
        <v/>
      </c>
      <c r="K14" s="72" t="str">
        <f>IF(B14=0,"",IFERROR(VLOOKUP(B14,'S-ASIG-05'!$B$5:$E$88,4,0),0))</f>
        <v/>
      </c>
      <c r="L14" s="72" t="str">
        <f>IF(B14=0,"",IFERROR(VLOOKUP(B14,'S-ASIG-06'!$B$5:$E$88,4,0),0))</f>
        <v/>
      </c>
      <c r="M14" s="73" t="str">
        <f>IF(B14=0,"",IFERROR(VLOOKUP(B14,'S-ASIG-07'!$B$5:$E$88,4,0),0))</f>
        <v/>
      </c>
      <c r="N14" s="68" t="s">
        <v>122</v>
      </c>
      <c r="O14" s="71" t="str">
        <f>IF(B14=0,"",IFERROR(VLOOKUP(B14,'T-ASIG-01'!$B$5:$D$88,3,0),0))</f>
        <v/>
      </c>
      <c r="P14" s="72" t="str">
        <f>IF(B14=0,"",IFERROR(VLOOKUP(B14,'T-ASIG-02'!$B$5:$D$88,3,0),0))</f>
        <v/>
      </c>
      <c r="Q14" s="72" t="str">
        <f>IF(B14=0,"",IFERROR(VLOOKUP(B14,'T-ASIG-03'!$B$5:$D$88,3,0),0))</f>
        <v/>
      </c>
      <c r="R14" s="72" t="str">
        <f>IF(B14=0,"",IFERROR(VLOOKUP(B14,'T-ASIG-04'!$B$5:$D$88,3,0),0))</f>
        <v/>
      </c>
      <c r="S14" s="72" t="str">
        <f>IF(B14=0,"",IFERROR(VLOOKUP(B14,'T-ASIG-05'!$B$5:$D$88,3,0),0))</f>
        <v/>
      </c>
      <c r="T14" s="72" t="str">
        <f>IF(B14=0,"",IFERROR(VLOOKUP(B14,'T-ASIG-06'!$B$5:$D$88,3,0),0))</f>
        <v/>
      </c>
      <c r="U14" s="73" t="str">
        <f>IF(B14=0,"",IFERROR(VLOOKUP(B14,'T-ASIG-07'!$B$5:$D$88,3,0),0))</f>
        <v/>
      </c>
      <c r="V14" s="69" t="s">
        <v>123</v>
      </c>
    </row>
    <row r="15" spans="1:22" ht="15" hidden="1" customHeight="1">
      <c r="A15" s="12">
        <v>11</v>
      </c>
      <c r="B15" s="70">
        <f>LIDER!C46</f>
        <v>0</v>
      </c>
      <c r="C15" s="64" t="str">
        <f>IF(B15=0,"",IFERROR(VLOOKUP(B15,'S-ASIG-01'!$B$5:$E$88,2,0),0))</f>
        <v/>
      </c>
      <c r="D15" s="65" t="str">
        <f t="shared" si="2"/>
        <v/>
      </c>
      <c r="E15" s="66" t="str">
        <f t="shared" si="3"/>
        <v/>
      </c>
      <c r="F15" s="47"/>
      <c r="G15" s="71" t="str">
        <f>IF(B15=0,"",IFERROR(VLOOKUP(B15,'S-ASIG-01'!$B$5:$E$88,4,0),0))</f>
        <v/>
      </c>
      <c r="H15" s="72" t="str">
        <f>IF(B15=0,"",IFERROR(VLOOKUP(B15,'S-ASIG-02'!$B$5:$E$88,4,0),0))</f>
        <v/>
      </c>
      <c r="I15" s="72" t="str">
        <f>IF(B15=0,"",IFERROR(VLOOKUP(B15,'S-ASIG-03'!$B$5:$E$88,4,0),0))</f>
        <v/>
      </c>
      <c r="J15" s="72" t="str">
        <f>IF(B15=0,"",IFERROR(VLOOKUP(B15,'S-ASIG-04'!$B$5:$E$88,4,0),0))</f>
        <v/>
      </c>
      <c r="K15" s="72" t="str">
        <f>IF(B15=0,"",IFERROR(VLOOKUP(B15,'S-ASIG-05'!$B$5:$E$88,4,0),0))</f>
        <v/>
      </c>
      <c r="L15" s="72" t="str">
        <f>IF(B15=0,"",IFERROR(VLOOKUP(B15,'S-ASIG-06'!$B$5:$E$88,4,0),0))</f>
        <v/>
      </c>
      <c r="M15" s="73" t="str">
        <f>IF(B15=0,"",IFERROR(VLOOKUP(B15,'S-ASIG-07'!$B$5:$E$88,4,0),0))</f>
        <v/>
      </c>
      <c r="N15" s="68" t="s">
        <v>122</v>
      </c>
      <c r="O15" s="71" t="str">
        <f>IF(B15=0,"",IFERROR(VLOOKUP(B15,'T-ASIG-01'!$B$5:$D$88,3,0),0))</f>
        <v/>
      </c>
      <c r="P15" s="72" t="str">
        <f>IF(B15=0,"",IFERROR(VLOOKUP(B15,'T-ASIG-02'!$B$5:$D$88,3,0),0))</f>
        <v/>
      </c>
      <c r="Q15" s="72" t="str">
        <f>IF(B15=0,"",IFERROR(VLOOKUP(B15,'T-ASIG-03'!$B$5:$D$88,3,0),0))</f>
        <v/>
      </c>
      <c r="R15" s="72" t="str">
        <f>IF(B15=0,"",IFERROR(VLOOKUP(B15,'T-ASIG-04'!$B$5:$D$88,3,0),0))</f>
        <v/>
      </c>
      <c r="S15" s="72" t="str">
        <f>IF(B15=0,"",IFERROR(VLOOKUP(B15,'T-ASIG-05'!$B$5:$D$88,3,0),0))</f>
        <v/>
      </c>
      <c r="T15" s="72" t="str">
        <f>IF(B15=0,"",IFERROR(VLOOKUP(B15,'T-ASIG-06'!$B$5:$D$88,3,0),0))</f>
        <v/>
      </c>
      <c r="U15" s="73" t="str">
        <f>IF(B15=0,"",IFERROR(VLOOKUP(B15,'T-ASIG-07'!$B$5:$D$88,3,0),0))</f>
        <v/>
      </c>
      <c r="V15" s="69" t="s">
        <v>123</v>
      </c>
    </row>
    <row r="16" spans="1:22" ht="15" hidden="1" customHeight="1">
      <c r="A16" s="12">
        <v>12</v>
      </c>
      <c r="B16" s="70">
        <f>LIDER!C47</f>
        <v>0</v>
      </c>
      <c r="C16" s="64" t="str">
        <f>IF(B16=0,"",IFERROR(VLOOKUP(B16,'S-ASIG-01'!$B$5:$E$88,2,0),0))</f>
        <v/>
      </c>
      <c r="D16" s="65" t="str">
        <f t="shared" si="2"/>
        <v/>
      </c>
      <c r="E16" s="66" t="str">
        <f t="shared" si="3"/>
        <v/>
      </c>
      <c r="F16" s="47"/>
      <c r="G16" s="71" t="str">
        <f>IF(B16=0,"",IFERROR(VLOOKUP(B16,'S-ASIG-01'!$B$5:$E$88,4,0),0))</f>
        <v/>
      </c>
      <c r="H16" s="72" t="str">
        <f>IF(B16=0,"",IFERROR(VLOOKUP(B16,'S-ASIG-02'!$B$5:$E$88,4,0),0))</f>
        <v/>
      </c>
      <c r="I16" s="72" t="str">
        <f>IF(B16=0,"",IFERROR(VLOOKUP(B16,'S-ASIG-03'!$B$5:$E$88,4,0),0))</f>
        <v/>
      </c>
      <c r="J16" s="72" t="str">
        <f>IF(B16=0,"",IFERROR(VLOOKUP(B16,'S-ASIG-04'!$B$5:$E$88,4,0),0))</f>
        <v/>
      </c>
      <c r="K16" s="72" t="str">
        <f>IF(B16=0,"",IFERROR(VLOOKUP(B16,'S-ASIG-05'!$B$5:$E$88,4,0),0))</f>
        <v/>
      </c>
      <c r="L16" s="72" t="str">
        <f>IF(B16=0,"",IFERROR(VLOOKUP(B16,'S-ASIG-06'!$B$5:$E$88,4,0),0))</f>
        <v/>
      </c>
      <c r="M16" s="73" t="str">
        <f>IF(B16=0,"",IFERROR(VLOOKUP(B16,'S-ASIG-07'!$B$5:$E$88,4,0),0))</f>
        <v/>
      </c>
      <c r="N16" s="68" t="s">
        <v>122</v>
      </c>
      <c r="O16" s="71" t="str">
        <f>IF(B16=0,"",IFERROR(VLOOKUP(B16,'T-ASIG-01'!$B$5:$D$88,3,0),0))</f>
        <v/>
      </c>
      <c r="P16" s="72" t="str">
        <f>IF(B16=0,"",IFERROR(VLOOKUP(B16,'T-ASIG-02'!$B$5:$D$88,3,0),0))</f>
        <v/>
      </c>
      <c r="Q16" s="72" t="str">
        <f>IF(B16=0,"",IFERROR(VLOOKUP(B16,'T-ASIG-03'!$B$5:$D$88,3,0),0))</f>
        <v/>
      </c>
      <c r="R16" s="72" t="str">
        <f>IF(B16=0,"",IFERROR(VLOOKUP(B16,'T-ASIG-04'!$B$5:$D$88,3,0),0))</f>
        <v/>
      </c>
      <c r="S16" s="72" t="str">
        <f>IF(B16=0,"",IFERROR(VLOOKUP(B16,'T-ASIG-05'!$B$5:$D$88,3,0),0))</f>
        <v/>
      </c>
      <c r="T16" s="72" t="str">
        <f>IF(B16=0,"",IFERROR(VLOOKUP(B16,'T-ASIG-06'!$B$5:$D$88,3,0),0))</f>
        <v/>
      </c>
      <c r="U16" s="73" t="str">
        <f>IF(B16=0,"",IFERROR(VLOOKUP(B16,'T-ASIG-07'!$B$5:$D$88,3,0),0))</f>
        <v/>
      </c>
      <c r="V16" s="69" t="s">
        <v>123</v>
      </c>
    </row>
    <row r="17" spans="1:22" ht="15" hidden="1" customHeight="1">
      <c r="A17" s="12">
        <v>13</v>
      </c>
      <c r="B17" s="70">
        <f>LIDER!C48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122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123</v>
      </c>
    </row>
    <row r="18" spans="1:22" ht="15" hidden="1" customHeight="1">
      <c r="A18" s="12">
        <v>14</v>
      </c>
      <c r="B18" s="70">
        <f>LIDER!C49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122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123</v>
      </c>
    </row>
    <row r="19" spans="1:22" ht="15" hidden="1" customHeight="1">
      <c r="A19" s="12">
        <v>15</v>
      </c>
      <c r="B19" s="70">
        <f>LIDER!C50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122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123</v>
      </c>
    </row>
    <row r="20" spans="1:22" ht="15" hidden="1" customHeight="1">
      <c r="A20" s="12">
        <v>16</v>
      </c>
      <c r="B20" s="70">
        <f>LIDER!C51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122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123</v>
      </c>
    </row>
    <row r="21" spans="1:22" ht="15" hidden="1" customHeight="1">
      <c r="A21" s="12">
        <v>17</v>
      </c>
      <c r="B21" s="70">
        <f>LIDER!C52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122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123</v>
      </c>
    </row>
    <row r="22" spans="1:22" ht="15" hidden="1" customHeight="1">
      <c r="A22" s="12">
        <v>18</v>
      </c>
      <c r="B22" s="70">
        <f>LIDER!C53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122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123</v>
      </c>
    </row>
    <row r="23" spans="1:22" ht="15" hidden="1" customHeight="1">
      <c r="A23" s="12">
        <v>19</v>
      </c>
      <c r="B23" s="70">
        <f>LIDER!C54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122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123</v>
      </c>
    </row>
    <row r="24" spans="1:22" ht="15" hidden="1" customHeight="1">
      <c r="A24" s="12">
        <v>20</v>
      </c>
      <c r="B24" s="70">
        <f>LIDER!C55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122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123</v>
      </c>
    </row>
    <row r="25" spans="1:22" ht="15" hidden="1" customHeight="1">
      <c r="A25" s="12">
        <v>21</v>
      </c>
      <c r="B25" s="70">
        <f>LIDER!C56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122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123</v>
      </c>
    </row>
    <row r="26" spans="1:22" ht="15" hidden="1" customHeight="1">
      <c r="A26" s="12">
        <v>22</v>
      </c>
      <c r="B26" s="70">
        <f>LIDER!C57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122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123</v>
      </c>
    </row>
    <row r="27" spans="1:22" ht="15" hidden="1" customHeight="1">
      <c r="A27" s="12">
        <v>23</v>
      </c>
      <c r="B27" s="70">
        <f>LIDER!C58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122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123</v>
      </c>
    </row>
    <row r="28" spans="1:22" ht="15" customHeight="1">
      <c r="A28" s="12">
        <v>24</v>
      </c>
      <c r="B28" s="70" t="str">
        <f>LIDER!C9</f>
        <v>BARRIOS BENITEZ EMILY</v>
      </c>
      <c r="C28" s="64" t="str">
        <f>IF(B28=0,"",IFERROR(VLOOKUP(B28,'S-ASIG-01'!$B$5:$E$88,2,0),0))</f>
        <v>G01</v>
      </c>
      <c r="D28" s="65">
        <f t="shared" si="2"/>
        <v>3.9649999999999999</v>
      </c>
      <c r="E28" s="66">
        <f t="shared" si="3"/>
        <v>4.2266666666666666</v>
      </c>
      <c r="F28" s="47"/>
      <c r="G28" s="71">
        <f>IF(B28=0,"",IFERROR(VLOOKUP(B28,'S-ASIG-01'!$B$5:$E$88,4,0),0))</f>
        <v>4.45</v>
      </c>
      <c r="H28" s="72">
        <f>IF(B28=0,"",IFERROR(VLOOKUP(B28,'S-ASIG-02'!$B$5:$E$88,4,0),0))</f>
        <v>4.32</v>
      </c>
      <c r="I28" s="72">
        <f>IF(B28=0,"",IFERROR(VLOOKUP(B28,'S-ASIG-03'!$B$5:$E$88,4,0),0))</f>
        <v>4.59</v>
      </c>
      <c r="J28" s="72">
        <f>IF(B28=0,"",IFERROR(VLOOKUP(B28,'S-ASIG-04'!$B$5:$E$88,4,0),0))</f>
        <v>3.4000000000000004</v>
      </c>
      <c r="K28" s="72">
        <f>IF(B28=0,"",IFERROR(VLOOKUP(B28,'S-ASIG-05'!$B$5:$E$88,4,0),0))</f>
        <v>3.5000000000000004</v>
      </c>
      <c r="L28" s="72">
        <f>IF(B28=0,"",IFERROR(VLOOKUP(B28,'S-ASIG-06'!$B$5:$E$88,4,0),0))</f>
        <v>3.53</v>
      </c>
      <c r="M28" s="73">
        <f>IF(B28=0,"",IFERROR(VLOOKUP(B28,'S-ASIG-07'!$B$5:$E$88,4,0),0))</f>
        <v>0</v>
      </c>
      <c r="N28" s="68" t="s">
        <v>122</v>
      </c>
      <c r="O28" s="71">
        <f>IF(B28=0,"",IFERROR(VLOOKUP(B28,'T-ASIG-01'!$B$5:$D$88,3,0),0))</f>
        <v>4.335</v>
      </c>
      <c r="P28" s="72">
        <f>IF(B28=0,"",IFERROR(VLOOKUP(B28,'T-ASIG-02'!$B$5:$D$88,3,0),0))</f>
        <v>4.335</v>
      </c>
      <c r="Q28" s="72">
        <f>IF(B28=0,"",IFERROR(VLOOKUP(B28,'T-ASIG-03'!$B$5:$D$88,3,0),0))</f>
        <v>4.3650000000000002</v>
      </c>
      <c r="R28" s="72">
        <f>IF(B28=0,"",IFERROR(VLOOKUP(B28,'T-ASIG-04'!$B$5:$D$88,3,0),0))</f>
        <v>3.9049999999999998</v>
      </c>
      <c r="S28" s="72">
        <f>IF(B28=0,"",IFERROR(VLOOKUP(B28,'T-ASIG-05'!$B$5:$D$88,3,0),0))</f>
        <v>4</v>
      </c>
      <c r="T28" s="72">
        <f>IF(B28=0,"",IFERROR(VLOOKUP(B28,'T-ASIG-06'!$B$5:$D$88,3,0),0))</f>
        <v>4.42</v>
      </c>
      <c r="U28" s="73">
        <f>IF(B28=0,"",IFERROR(VLOOKUP(B28,'T-ASIG-07'!$B$5:$D$88,3,0),0))</f>
        <v>0</v>
      </c>
      <c r="V28" s="69" t="s">
        <v>123</v>
      </c>
    </row>
    <row r="29" spans="1:22" ht="15" customHeight="1">
      <c r="A29" s="12">
        <v>25</v>
      </c>
      <c r="B29" s="70" t="str">
        <f>LIDER!C12</f>
        <v>CASTILLO VILLA NELDA SOFIA</v>
      </c>
      <c r="C29" s="64" t="str">
        <f>IF(B29=0,"",IFERROR(VLOOKUP(B29,'S-ASIG-01'!$B$5:$E$88,2,0),0))</f>
        <v>G01</v>
      </c>
      <c r="D29" s="65">
        <f t="shared" si="2"/>
        <v>3.9649999999999999</v>
      </c>
      <c r="E29" s="66">
        <f t="shared" si="3"/>
        <v>4.2399999999999993</v>
      </c>
      <c r="F29" s="47"/>
      <c r="G29" s="71">
        <f>IF(B29=0,"",IFERROR(VLOOKUP(B29,'S-ASIG-01'!$B$5:$E$88,4,0),0))</f>
        <v>4.45</v>
      </c>
      <c r="H29" s="72">
        <f>IF(B29=0,"",IFERROR(VLOOKUP(B29,'S-ASIG-02'!$B$5:$E$88,4,0),0))</f>
        <v>4.32</v>
      </c>
      <c r="I29" s="72">
        <f>IF(B29=0,"",IFERROR(VLOOKUP(B29,'S-ASIG-03'!$B$5:$E$88,4,0),0))</f>
        <v>4.59</v>
      </c>
      <c r="J29" s="72">
        <f>IF(B29=0,"",IFERROR(VLOOKUP(B29,'S-ASIG-04'!$B$5:$E$88,4,0),0))</f>
        <v>3.4000000000000004</v>
      </c>
      <c r="K29" s="72">
        <f>IF(B29=0,"",IFERROR(VLOOKUP(B29,'S-ASIG-05'!$B$5:$E$88,4,0),0))</f>
        <v>3.5000000000000004</v>
      </c>
      <c r="L29" s="72">
        <f>IF(B29=0,"",IFERROR(VLOOKUP(B29,'S-ASIG-06'!$B$5:$E$88,4,0),0))</f>
        <v>3.53</v>
      </c>
      <c r="M29" s="73">
        <f>IF(B29=0,"",IFERROR(VLOOKUP(B29,'S-ASIG-07'!$B$5:$E$88,4,0),0))</f>
        <v>0</v>
      </c>
      <c r="N29" s="68" t="s">
        <v>122</v>
      </c>
      <c r="O29" s="71">
        <f>IF(B29=0,"",IFERROR(VLOOKUP(B29,'T-ASIG-01'!$B$5:$D$88,3,0),0))</f>
        <v>4.335</v>
      </c>
      <c r="P29" s="72">
        <f>IF(B29=0,"",IFERROR(VLOOKUP(B29,'T-ASIG-02'!$B$5:$D$88,3,0),0))</f>
        <v>4.335</v>
      </c>
      <c r="Q29" s="72">
        <f>IF(B29=0,"",IFERROR(VLOOKUP(B29,'T-ASIG-03'!$B$5:$D$88,3,0),0))</f>
        <v>4.3650000000000002</v>
      </c>
      <c r="R29" s="72">
        <f>IF(B29=0,"",IFERROR(VLOOKUP(B29,'T-ASIG-04'!$B$5:$D$88,3,0),0))</f>
        <v>3.9849999999999999</v>
      </c>
      <c r="S29" s="72">
        <f>IF(B29=0,"",IFERROR(VLOOKUP(B29,'T-ASIG-05'!$B$5:$D$88,3,0),0))</f>
        <v>4</v>
      </c>
      <c r="T29" s="72">
        <f>IF(B29=0,"",IFERROR(VLOOKUP(B29,'T-ASIG-06'!$B$5:$D$88,3,0),0))</f>
        <v>4.42</v>
      </c>
      <c r="U29" s="73">
        <f>IF(B29=0,"",IFERROR(VLOOKUP(B29,'T-ASIG-07'!$B$5:$D$88,3,0),0))</f>
        <v>0</v>
      </c>
      <c r="V29" s="69" t="s">
        <v>123</v>
      </c>
    </row>
    <row r="30" spans="1:22" ht="15" customHeight="1">
      <c r="A30" s="12">
        <v>26</v>
      </c>
      <c r="B30" s="70" t="str">
        <f>LIDER!C15</f>
        <v>DE ARCOS AVENDAÑO SAID JADITH</v>
      </c>
      <c r="C30" s="64" t="str">
        <f>IF(B30=0,"",IFERROR(VLOOKUP(B30,'S-ASIG-01'!$B$5:$E$88,2,0),0))</f>
        <v>G01</v>
      </c>
      <c r="D30" s="65">
        <f t="shared" si="2"/>
        <v>4.0519999999999996</v>
      </c>
      <c r="E30" s="66">
        <f t="shared" si="3"/>
        <v>4.2</v>
      </c>
      <c r="F30" s="47"/>
      <c r="G30" s="71">
        <f>IF(B30=0,"",IFERROR(VLOOKUP(B30,'S-ASIG-01'!$B$5:$E$88,4,0),0))</f>
        <v>4.45</v>
      </c>
      <c r="H30" s="72">
        <f>IF(B30=0,"",IFERROR(VLOOKUP(B30,'S-ASIG-02'!$B$5:$E$88,4,0),0))</f>
        <v>4.32</v>
      </c>
      <c r="I30" s="72">
        <f>IF(B30=0,"",IFERROR(VLOOKUP(B30,'S-ASIG-03'!$B$5:$E$88,4,0),0))</f>
        <v>4.59</v>
      </c>
      <c r="J30" s="72">
        <f>IF(B30=0,"",IFERROR(VLOOKUP(B30,'S-ASIG-04'!$B$5:$E$88,4,0),0))</f>
        <v>3.4000000000000004</v>
      </c>
      <c r="K30" s="72">
        <f>IF(B30=0,"",IFERROR(VLOOKUP(B30,'S-ASIG-05'!$B$5:$E$88,4,0),0))</f>
        <v>3.5000000000000004</v>
      </c>
      <c r="L30" s="72" t="str">
        <f>IF(B30=0,"",IFERROR(VLOOKUP(B30,'S-ASIG-06'!$B$5:$E$88,4,0),0))</f>
        <v>N</v>
      </c>
      <c r="M30" s="73">
        <f>IF(B30=0,"",IFERROR(VLOOKUP(B30,'S-ASIG-07'!$B$5:$E$88,4,0),0))</f>
        <v>0</v>
      </c>
      <c r="N30" s="68" t="s">
        <v>122</v>
      </c>
      <c r="O30" s="71">
        <f>IF(B30=0,"",IFERROR(VLOOKUP(B30,'T-ASIG-01'!$B$5:$D$88,3,0),0))</f>
        <v>4.335</v>
      </c>
      <c r="P30" s="72">
        <f>IF(B30=0,"",IFERROR(VLOOKUP(B30,'T-ASIG-02'!$B$5:$D$88,3,0),0))</f>
        <v>4.335</v>
      </c>
      <c r="Q30" s="72">
        <f>IF(B30=0,"",IFERROR(VLOOKUP(B30,'T-ASIG-03'!$B$5:$D$88,3,0),0))</f>
        <v>4.3650000000000002</v>
      </c>
      <c r="R30" s="72">
        <f>IF(B30=0,"",IFERROR(VLOOKUP(B30,'T-ASIG-04'!$B$5:$D$88,3,0),0))</f>
        <v>3.9649999999999999</v>
      </c>
      <c r="S30" s="72">
        <f>IF(B30=0,"",IFERROR(VLOOKUP(B30,'T-ASIG-05'!$B$5:$D$88,3,0),0))</f>
        <v>4</v>
      </c>
      <c r="T30" s="72" t="str">
        <f>IF(B30=0,"",IFERROR(VLOOKUP(B30,'T-ASIG-06'!$B$5:$D$88,3,0),0))</f>
        <v>N</v>
      </c>
      <c r="U30" s="73">
        <f>IF(B30=0,"",IFERROR(VLOOKUP(B30,'T-ASIG-07'!$B$5:$D$88,3,0),0))</f>
        <v>0</v>
      </c>
      <c r="V30" s="69" t="s">
        <v>123</v>
      </c>
    </row>
    <row r="31" spans="1:22" ht="15" customHeight="1">
      <c r="A31" s="12">
        <v>27</v>
      </c>
      <c r="B31" s="70" t="str">
        <f>LIDER!C21</f>
        <v>HERRERA TEJEDOR BRENDIS VANESA</v>
      </c>
      <c r="C31" s="64" t="str">
        <f>IF(B31=0,"",IFERROR(VLOOKUP(B31,'S-ASIG-01'!$B$5:$E$88,2,0),0))</f>
        <v>G01</v>
      </c>
      <c r="D31" s="65">
        <f t="shared" si="2"/>
        <v>3.9649999999999999</v>
      </c>
      <c r="E31" s="66">
        <f t="shared" si="3"/>
        <v>4.2300000000000004</v>
      </c>
      <c r="F31" s="47"/>
      <c r="G31" s="71">
        <f>IF(B31=0,"",IFERROR(VLOOKUP(B31,'S-ASIG-01'!$B$5:$E$88,4,0),0))</f>
        <v>4.45</v>
      </c>
      <c r="H31" s="72">
        <f>IF(B31=0,"",IFERROR(VLOOKUP(B31,'S-ASIG-02'!$B$5:$E$88,4,0),0))</f>
        <v>4.32</v>
      </c>
      <c r="I31" s="72">
        <f>IF(B31=0,"",IFERROR(VLOOKUP(B31,'S-ASIG-03'!$B$5:$E$88,4,0),0))</f>
        <v>4.59</v>
      </c>
      <c r="J31" s="72">
        <f>IF(B31=0,"",IFERROR(VLOOKUP(B31,'S-ASIG-04'!$B$5:$E$88,4,0),0))</f>
        <v>3.4000000000000004</v>
      </c>
      <c r="K31" s="72">
        <f>IF(B31=0,"",IFERROR(VLOOKUP(B31,'S-ASIG-05'!$B$5:$E$88,4,0),0))</f>
        <v>3.5000000000000004</v>
      </c>
      <c r="L31" s="72">
        <f>IF(B31=0,"",IFERROR(VLOOKUP(B31,'S-ASIG-06'!$B$5:$E$88,4,0),0))</f>
        <v>3.53</v>
      </c>
      <c r="M31" s="73">
        <f>IF(B31=0,"",IFERROR(VLOOKUP(B31,'S-ASIG-07'!$B$5:$E$88,4,0),0))</f>
        <v>0</v>
      </c>
      <c r="N31" s="68" t="s">
        <v>122</v>
      </c>
      <c r="O31" s="71">
        <f>IF(B31=0,"",IFERROR(VLOOKUP(B31,'T-ASIG-01'!$B$5:$D$88,3,0),0))</f>
        <v>4.335</v>
      </c>
      <c r="P31" s="72">
        <f>IF(B31=0,"",IFERROR(VLOOKUP(B31,'T-ASIG-02'!$B$5:$D$88,3,0),0))</f>
        <v>4.335</v>
      </c>
      <c r="Q31" s="72">
        <f>IF(B31=0,"",IFERROR(VLOOKUP(B31,'T-ASIG-03'!$B$5:$D$88,3,0),0))</f>
        <v>4.3650000000000002</v>
      </c>
      <c r="R31" s="72">
        <f>IF(B31=0,"",IFERROR(VLOOKUP(B31,'T-ASIG-04'!$B$5:$D$88,3,0),0))</f>
        <v>3.9249999999999998</v>
      </c>
      <c r="S31" s="72">
        <f>IF(B31=0,"",IFERROR(VLOOKUP(B31,'T-ASIG-05'!$B$5:$D$88,3,0),0))</f>
        <v>4</v>
      </c>
      <c r="T31" s="72">
        <f>IF(B31=0,"",IFERROR(VLOOKUP(B31,'T-ASIG-06'!$B$5:$D$88,3,0),0))</f>
        <v>4.42</v>
      </c>
      <c r="U31" s="73">
        <f>IF(B31=0,"",IFERROR(VLOOKUP(B31,'T-ASIG-07'!$B$5:$D$88,3,0),0))</f>
        <v>0</v>
      </c>
      <c r="V31" s="69" t="s">
        <v>123</v>
      </c>
    </row>
    <row r="32" spans="1:22" ht="15" customHeight="1">
      <c r="A32" s="12">
        <v>28</v>
      </c>
      <c r="B32" s="70" t="str">
        <f>LIDER!C35</f>
        <v>RUIZ RIVERO HEILEEN CAROLINA</v>
      </c>
      <c r="C32" s="64" t="str">
        <f>IF(B32=0,"",IFERROR(VLOOKUP(B32,'S-ASIG-01'!$B$5:$E$88,2,0),0))</f>
        <v>G01</v>
      </c>
      <c r="D32" s="65">
        <f t="shared" si="2"/>
        <v>4.0519999999999996</v>
      </c>
      <c r="E32" s="66">
        <f t="shared" si="3"/>
        <v>4.1959999999999997</v>
      </c>
      <c r="F32" s="47"/>
      <c r="G32" s="71">
        <f>IF(B32=0,"",IFERROR(VLOOKUP(B32,'S-ASIG-01'!$B$5:$E$88,4,0),0))</f>
        <v>4.45</v>
      </c>
      <c r="H32" s="72">
        <f>IF(B32=0,"",IFERROR(VLOOKUP(B32,'S-ASIG-02'!$B$5:$E$88,4,0),0))</f>
        <v>4.32</v>
      </c>
      <c r="I32" s="72">
        <f>IF(B32=0,"",IFERROR(VLOOKUP(B32,'S-ASIG-03'!$B$5:$E$88,4,0),0))</f>
        <v>4.59</v>
      </c>
      <c r="J32" s="72">
        <f>IF(B32=0,"",IFERROR(VLOOKUP(B32,'S-ASIG-04'!$B$5:$E$88,4,0),0))</f>
        <v>3.4000000000000004</v>
      </c>
      <c r="K32" s="72">
        <f>IF(B32=0,"",IFERROR(VLOOKUP(B32,'S-ASIG-05'!$B$5:$E$88,4,0),0))</f>
        <v>3.5000000000000004</v>
      </c>
      <c r="L32" s="72" t="str">
        <f>IF(B32=0,"",IFERROR(VLOOKUP(B32,'S-ASIG-06'!$B$5:$E$88,4,0),0))</f>
        <v>N</v>
      </c>
      <c r="M32" s="73">
        <f>IF(B32=0,"",IFERROR(VLOOKUP(B32,'S-ASIG-07'!$B$5:$E$88,4,0),0))</f>
        <v>0</v>
      </c>
      <c r="N32" s="68" t="s">
        <v>122</v>
      </c>
      <c r="O32" s="71">
        <f>IF(B32=0,"",IFERROR(VLOOKUP(B32,'T-ASIG-01'!$B$5:$D$88,3,0),0))</f>
        <v>4.335</v>
      </c>
      <c r="P32" s="72">
        <f>IF(B32=0,"",IFERROR(VLOOKUP(B32,'T-ASIG-02'!$B$5:$D$88,3,0),0))</f>
        <v>4.335</v>
      </c>
      <c r="Q32" s="72">
        <f>IF(B32=0,"",IFERROR(VLOOKUP(B32,'T-ASIG-03'!$B$5:$D$88,3,0),0))</f>
        <v>4.3650000000000002</v>
      </c>
      <c r="R32" s="72">
        <f>IF(B32=0,"",IFERROR(VLOOKUP(B32,'T-ASIG-04'!$B$5:$D$88,3,0),0))</f>
        <v>3.9449999999999998</v>
      </c>
      <c r="S32" s="72">
        <f>IF(B32=0,"",IFERROR(VLOOKUP(B32,'T-ASIG-05'!$B$5:$D$88,3,0),0))</f>
        <v>4</v>
      </c>
      <c r="T32" s="72" t="str">
        <f>IF(B32=0,"",IFERROR(VLOOKUP(B32,'T-ASIG-06'!$B$5:$D$88,3,0),0))</f>
        <v>N</v>
      </c>
      <c r="U32" s="73">
        <f>IF(B32=0,"",IFERROR(VLOOKUP(B32,'T-ASIG-07'!$B$5:$D$88,3,0),0))</f>
        <v>0</v>
      </c>
      <c r="V32" s="69" t="s">
        <v>123</v>
      </c>
    </row>
    <row r="33" spans="1:22" ht="15" customHeight="1">
      <c r="A33" s="12">
        <v>29</v>
      </c>
      <c r="B33" s="70" t="str">
        <f>LIDER!C11</f>
        <v>CARMONA SIERRA YIRLEIS PATRICIA</v>
      </c>
      <c r="C33" s="64" t="str">
        <f>IF(B33=0,"",IFERROR(VLOOKUP(B33,'S-ASIG-01'!$B$5:$E$88,2,0),0))</f>
        <v>G02</v>
      </c>
      <c r="D33" s="65">
        <f t="shared" si="2"/>
        <v>4.2</v>
      </c>
      <c r="E33" s="66">
        <f t="shared" si="3"/>
        <v>4.3616666666666672</v>
      </c>
      <c r="F33" s="47"/>
      <c r="G33" s="71">
        <f>IF(B33=0,"",IFERROR(VLOOKUP(B33,'S-ASIG-01'!$B$5:$E$88,4,0),0))</f>
        <v>4.3499999999999996</v>
      </c>
      <c r="H33" s="72">
        <f>IF(B33=0,"",IFERROR(VLOOKUP(B33,'S-ASIG-02'!$B$5:$E$88,4,0),0))</f>
        <v>4.2</v>
      </c>
      <c r="I33" s="72">
        <f>IF(B33=0,"",IFERROR(VLOOKUP(B33,'S-ASIG-03'!$B$5:$E$88,4,0),0))</f>
        <v>4.4499999999999993</v>
      </c>
      <c r="J33" s="72">
        <f>IF(B33=0,"",IFERROR(VLOOKUP(B33,'S-ASIG-04'!$B$5:$E$88,4,0),0))</f>
        <v>3.5000000000000004</v>
      </c>
      <c r="K33" s="72">
        <f>IF(B33=0,"",IFERROR(VLOOKUP(B33,'S-ASIG-05'!$B$5:$E$88,4,0),0))</f>
        <v>4.5</v>
      </c>
      <c r="L33" s="72">
        <f>IF(B33=0,"",IFERROR(VLOOKUP(B33,'S-ASIG-06'!$B$5:$E$88,4,0),0))</f>
        <v>4.2</v>
      </c>
      <c r="M33" s="73">
        <f>IF(B33=0,"",IFERROR(VLOOKUP(B33,'S-ASIG-07'!$B$5:$E$88,4,0),0))</f>
        <v>0</v>
      </c>
      <c r="N33" s="68" t="s">
        <v>122</v>
      </c>
      <c r="O33" s="71">
        <f>IF(B33=0,"",IFERROR(VLOOKUP(B33,'T-ASIG-01'!$B$5:$D$88,3,0),0))</f>
        <v>4.4749999999999996</v>
      </c>
      <c r="P33" s="72">
        <f>IF(B33=0,"",IFERROR(VLOOKUP(B33,'T-ASIG-02'!$B$5:$D$88,3,0),0))</f>
        <v>4.4749999999999996</v>
      </c>
      <c r="Q33" s="72">
        <f>IF(B33=0,"",IFERROR(VLOOKUP(B33,'T-ASIG-03'!$B$5:$D$88,3,0),0))</f>
        <v>4.2250000000000005</v>
      </c>
      <c r="R33" s="72">
        <f>IF(B33=0,"",IFERROR(VLOOKUP(B33,'T-ASIG-04'!$B$5:$D$88,3,0),0))</f>
        <v>3.8749999999999996</v>
      </c>
      <c r="S33" s="72">
        <f>IF(B33=0,"",IFERROR(VLOOKUP(B33,'T-ASIG-05'!$B$5:$D$88,3,0),0))</f>
        <v>4.3</v>
      </c>
      <c r="T33" s="72">
        <f>IF(B33=0,"",IFERROR(VLOOKUP(B33,'T-ASIG-06'!$B$5:$D$88,3,0),0))</f>
        <v>4.82</v>
      </c>
      <c r="U33" s="73">
        <f>IF(B33=0,"",IFERROR(VLOOKUP(B33,'T-ASIG-07'!$B$5:$D$88,3,0),0))</f>
        <v>0</v>
      </c>
      <c r="V33" s="69" t="s">
        <v>123</v>
      </c>
    </row>
    <row r="34" spans="1:22" ht="15" customHeight="1">
      <c r="A34" s="12">
        <v>30</v>
      </c>
      <c r="B34" s="70" t="str">
        <f>LIDER!C13</f>
        <v>CASUSOL RODRIGUEZ AYLIN MARIANA</v>
      </c>
      <c r="C34" s="64" t="str">
        <f>IF(B34=0,"",IFERROR(VLOOKUP(B34,'S-ASIG-01'!$B$5:$E$88,2,0),0))</f>
        <v>G02</v>
      </c>
      <c r="D34" s="65">
        <f t="shared" si="2"/>
        <v>4.2</v>
      </c>
      <c r="E34" s="66">
        <f t="shared" si="3"/>
        <v>4.2700000000000005</v>
      </c>
      <c r="F34" s="47"/>
      <c r="G34" s="71">
        <f>IF(B34=0,"",IFERROR(VLOOKUP(B34,'S-ASIG-01'!$B$5:$E$88,4,0),0))</f>
        <v>4.3499999999999996</v>
      </c>
      <c r="H34" s="72">
        <f>IF(B34=0,"",IFERROR(VLOOKUP(B34,'S-ASIG-02'!$B$5:$E$88,4,0),0))</f>
        <v>4.2</v>
      </c>
      <c r="I34" s="72">
        <f>IF(B34=0,"",IFERROR(VLOOKUP(B34,'S-ASIG-03'!$B$5:$E$88,4,0),0))</f>
        <v>4.4499999999999993</v>
      </c>
      <c r="J34" s="72">
        <f>IF(B34=0,"",IFERROR(VLOOKUP(B34,'S-ASIG-04'!$B$5:$E$88,4,0),0))</f>
        <v>3.5000000000000004</v>
      </c>
      <c r="K34" s="72">
        <f>IF(B34=0,"",IFERROR(VLOOKUP(B34,'S-ASIG-05'!$B$5:$E$88,4,0),0))</f>
        <v>4.5</v>
      </c>
      <c r="L34" s="72" t="str">
        <f>IF(B34=0,"",IFERROR(VLOOKUP(B34,'S-ASIG-06'!$B$5:$E$88,4,0),0))</f>
        <v>N</v>
      </c>
      <c r="M34" s="73">
        <f>IF(B34=0,"",IFERROR(VLOOKUP(B34,'S-ASIG-07'!$B$5:$E$88,4,0),0))</f>
        <v>0</v>
      </c>
      <c r="N34" s="68" t="s">
        <v>122</v>
      </c>
      <c r="O34" s="71">
        <f>IF(B34=0,"",IFERROR(VLOOKUP(B34,'T-ASIG-01'!$B$5:$D$88,3,0),0))</f>
        <v>4.4749999999999996</v>
      </c>
      <c r="P34" s="72">
        <f>IF(B34=0,"",IFERROR(VLOOKUP(B34,'T-ASIG-02'!$B$5:$D$88,3,0),0))</f>
        <v>4.4749999999999996</v>
      </c>
      <c r="Q34" s="72">
        <f>IF(B34=0,"",IFERROR(VLOOKUP(B34,'T-ASIG-03'!$B$5:$D$88,3,0),0))</f>
        <v>4.2250000000000005</v>
      </c>
      <c r="R34" s="72">
        <f>IF(B34=0,"",IFERROR(VLOOKUP(B34,'T-ASIG-04'!$B$5:$D$88,3,0),0))</f>
        <v>3.8749999999999996</v>
      </c>
      <c r="S34" s="72">
        <f>IF(B34=0,"",IFERROR(VLOOKUP(B34,'T-ASIG-05'!$B$5:$D$88,3,0),0))</f>
        <v>4.3</v>
      </c>
      <c r="T34" s="72" t="str">
        <f>IF(B34=0,"",IFERROR(VLOOKUP(B34,'T-ASIG-06'!$B$5:$D$88,3,0),0))</f>
        <v>N</v>
      </c>
      <c r="U34" s="73">
        <f>IF(B34=0,"",IFERROR(VLOOKUP(B34,'T-ASIG-07'!$B$5:$D$88,3,0),0))</f>
        <v>0</v>
      </c>
      <c r="V34" s="69" t="s">
        <v>123</v>
      </c>
    </row>
    <row r="35" spans="1:22" ht="15" customHeight="1">
      <c r="A35" s="12">
        <v>31</v>
      </c>
      <c r="B35" s="70" t="str">
        <f>LIDER!C17</f>
        <v>ESMERAL CORDERO NORIETH CAROLINA</v>
      </c>
      <c r="C35" s="64" t="str">
        <f>IF(B35=0,"",IFERROR(VLOOKUP(B35,'S-ASIG-01'!$B$5:$E$88,2,0),0))</f>
        <v>G02</v>
      </c>
      <c r="D35" s="65">
        <f t="shared" si="2"/>
        <v>4.2</v>
      </c>
      <c r="E35" s="66">
        <f t="shared" si="3"/>
        <v>4.2700000000000005</v>
      </c>
      <c r="F35" s="47"/>
      <c r="G35" s="71">
        <f>IF(B35=0,"",IFERROR(VLOOKUP(B35,'S-ASIG-01'!$B$5:$E$88,4,0),0))</f>
        <v>4.3499999999999996</v>
      </c>
      <c r="H35" s="72">
        <f>IF(B35=0,"",IFERROR(VLOOKUP(B35,'S-ASIG-02'!$B$5:$E$88,4,0),0))</f>
        <v>4.2</v>
      </c>
      <c r="I35" s="72">
        <f>IF(B35=0,"",IFERROR(VLOOKUP(B35,'S-ASIG-03'!$B$5:$E$88,4,0),0))</f>
        <v>4.4499999999999993</v>
      </c>
      <c r="J35" s="72">
        <f>IF(B35=0,"",IFERROR(VLOOKUP(B35,'S-ASIG-04'!$B$5:$E$88,4,0),0))</f>
        <v>3.5000000000000004</v>
      </c>
      <c r="K35" s="72">
        <f>IF(B35=0,"",IFERROR(VLOOKUP(B35,'S-ASIG-05'!$B$5:$E$88,4,0),0))</f>
        <v>4.5</v>
      </c>
      <c r="L35" s="72" t="str">
        <f>IF(B35=0,"",IFERROR(VLOOKUP(B35,'S-ASIG-06'!$B$5:$E$88,4,0),0))</f>
        <v>N</v>
      </c>
      <c r="M35" s="73">
        <f>IF(B35=0,"",IFERROR(VLOOKUP(B35,'S-ASIG-07'!$B$5:$E$88,4,0),0))</f>
        <v>0</v>
      </c>
      <c r="N35" s="68" t="s">
        <v>122</v>
      </c>
      <c r="O35" s="71">
        <f>IF(B35=0,"",IFERROR(VLOOKUP(B35,'T-ASIG-01'!$B$5:$D$88,3,0),0))</f>
        <v>4.4749999999999996</v>
      </c>
      <c r="P35" s="72">
        <f>IF(B35=0,"",IFERROR(VLOOKUP(B35,'T-ASIG-02'!$B$5:$D$88,3,0),0))</f>
        <v>4.4749999999999996</v>
      </c>
      <c r="Q35" s="72">
        <f>IF(B35=0,"",IFERROR(VLOOKUP(B35,'T-ASIG-03'!$B$5:$D$88,3,0),0))</f>
        <v>4.2250000000000005</v>
      </c>
      <c r="R35" s="72">
        <f>IF(B35=0,"",IFERROR(VLOOKUP(B35,'T-ASIG-04'!$B$5:$D$88,3,0),0))</f>
        <v>3.8749999999999996</v>
      </c>
      <c r="S35" s="72">
        <f>IF(B35=0,"",IFERROR(VLOOKUP(B35,'T-ASIG-05'!$B$5:$D$88,3,0),0))</f>
        <v>4.3</v>
      </c>
      <c r="T35" s="72" t="str">
        <f>IF(B35=0,"",IFERROR(VLOOKUP(B35,'T-ASIG-06'!$B$5:$D$88,3,0),0))</f>
        <v>N</v>
      </c>
      <c r="U35" s="73">
        <f>IF(B35=0,"",IFERROR(VLOOKUP(B35,'T-ASIG-07'!$B$5:$D$88,3,0),0))</f>
        <v>0</v>
      </c>
      <c r="V35" s="69" t="s">
        <v>123</v>
      </c>
    </row>
    <row r="36" spans="1:22" ht="15" customHeight="1">
      <c r="A36" s="12">
        <v>32</v>
      </c>
      <c r="B36" s="70" t="str">
        <f>LIDER!C24</f>
        <v>MAGALLANES PEDROZA VALENTINA</v>
      </c>
      <c r="C36" s="64" t="str">
        <f>IF(B36=0,"",IFERROR(VLOOKUP(B36,'S-ASIG-01'!$B$5:$E$88,2,0),0))</f>
        <v>G02</v>
      </c>
      <c r="D36" s="65">
        <f t="shared" si="2"/>
        <v>4.2</v>
      </c>
      <c r="E36" s="66">
        <f t="shared" si="3"/>
        <v>4.3616666666666672</v>
      </c>
      <c r="F36" s="47"/>
      <c r="G36" s="71">
        <f>IF(B36=0,"",IFERROR(VLOOKUP(B36,'S-ASIG-01'!$B$5:$E$88,4,0),0))</f>
        <v>4.3499999999999996</v>
      </c>
      <c r="H36" s="72">
        <f>IF(B36=0,"",IFERROR(VLOOKUP(B36,'S-ASIG-02'!$B$5:$E$88,4,0),0))</f>
        <v>4.2</v>
      </c>
      <c r="I36" s="72">
        <f>IF(B36=0,"",IFERROR(VLOOKUP(B36,'S-ASIG-03'!$B$5:$E$88,4,0),0))</f>
        <v>4.4499999999999993</v>
      </c>
      <c r="J36" s="72">
        <f>IF(B36=0,"",IFERROR(VLOOKUP(B36,'S-ASIG-04'!$B$5:$E$88,4,0),0))</f>
        <v>3.5000000000000004</v>
      </c>
      <c r="K36" s="72">
        <f>IF(B36=0,"",IFERROR(VLOOKUP(B36,'S-ASIG-05'!$B$5:$E$88,4,0),0))</f>
        <v>4.5</v>
      </c>
      <c r="L36" s="72">
        <f>IF(B36=0,"",IFERROR(VLOOKUP(B36,'S-ASIG-06'!$B$5:$E$88,4,0),0))</f>
        <v>4.2</v>
      </c>
      <c r="M36" s="73">
        <f>IF(B36=0,"",IFERROR(VLOOKUP(B36,'S-ASIG-07'!$B$5:$E$88,4,0),0))</f>
        <v>0</v>
      </c>
      <c r="N36" s="68" t="s">
        <v>122</v>
      </c>
      <c r="O36" s="71">
        <f>IF(B36=0,"",IFERROR(VLOOKUP(B36,'T-ASIG-01'!$B$5:$D$88,3,0),0))</f>
        <v>4.4749999999999996</v>
      </c>
      <c r="P36" s="72">
        <f>IF(B36=0,"",IFERROR(VLOOKUP(B36,'T-ASIG-02'!$B$5:$D$88,3,0),0))</f>
        <v>4.4749999999999996</v>
      </c>
      <c r="Q36" s="72">
        <f>IF(B36=0,"",IFERROR(VLOOKUP(B36,'T-ASIG-03'!$B$5:$D$88,3,0),0))</f>
        <v>4.2250000000000005</v>
      </c>
      <c r="R36" s="72">
        <f>IF(B36=0,"",IFERROR(VLOOKUP(B36,'T-ASIG-04'!$B$5:$D$88,3,0),0))</f>
        <v>3.8749999999999996</v>
      </c>
      <c r="S36" s="72">
        <f>IF(B36=0,"",IFERROR(VLOOKUP(B36,'T-ASIG-05'!$B$5:$D$88,3,0),0))</f>
        <v>4.3</v>
      </c>
      <c r="T36" s="72">
        <f>IF(B36=0,"",IFERROR(VLOOKUP(B36,'T-ASIG-06'!$B$5:$D$88,3,0),0))</f>
        <v>4.82</v>
      </c>
      <c r="U36" s="73">
        <f>IF(B36=0,"",IFERROR(VLOOKUP(B36,'T-ASIG-07'!$B$5:$D$88,3,0),0))</f>
        <v>0</v>
      </c>
      <c r="V36" s="69" t="s">
        <v>123</v>
      </c>
    </row>
    <row r="37" spans="1:22" ht="15" customHeight="1">
      <c r="A37" s="12">
        <v>33</v>
      </c>
      <c r="B37" s="70" t="str">
        <f>LIDER!C28</f>
        <v>MOLINA PÁJARO MARIA DE LOS ÁNGELES</v>
      </c>
      <c r="C37" s="64" t="str">
        <f>IF(B37=0,"",IFERROR(VLOOKUP(B37,'S-ASIG-01'!$B$5:$E$88,2,0),0))</f>
        <v>G02</v>
      </c>
      <c r="D37" s="65">
        <f t="shared" ref="D37:D54" si="4">IF(B37=0,"",IFERROR(SUMIF(G37:M37,"&gt;0",G37:M37)/COUNTIF(G37:M37,"&gt;0"),0))</f>
        <v>4.2</v>
      </c>
      <c r="E37" s="66">
        <f t="shared" ref="E37:E54" si="5">IF(B37=0,"",IFERROR(SUMIF(O37:U37,"&gt;0",O37:U37)/COUNTIF(O37:U37,"&gt;0"),0))</f>
        <v>4.3616666666666672</v>
      </c>
      <c r="F37" s="47"/>
      <c r="G37" s="71">
        <f>IF(B37=0,"",IFERROR(VLOOKUP(B37,'S-ASIG-01'!$B$5:$E$88,4,0),0))</f>
        <v>4.3499999999999996</v>
      </c>
      <c r="H37" s="72">
        <f>IF(B37=0,"",IFERROR(VLOOKUP(B37,'S-ASIG-02'!$B$5:$E$88,4,0),0))</f>
        <v>4.2</v>
      </c>
      <c r="I37" s="72">
        <f>IF(B37=0,"",IFERROR(VLOOKUP(B37,'S-ASIG-03'!$B$5:$E$88,4,0),0))</f>
        <v>4.4499999999999993</v>
      </c>
      <c r="J37" s="72">
        <f>IF(B37=0,"",IFERROR(VLOOKUP(B37,'S-ASIG-04'!$B$5:$E$88,4,0),0))</f>
        <v>3.5000000000000004</v>
      </c>
      <c r="K37" s="72">
        <f>IF(B37=0,"",IFERROR(VLOOKUP(B37,'S-ASIG-05'!$B$5:$E$88,4,0),0))</f>
        <v>4.5</v>
      </c>
      <c r="L37" s="72">
        <f>IF(B37=0,"",IFERROR(VLOOKUP(B37,'S-ASIG-06'!$B$5:$E$88,4,0),0))</f>
        <v>4.2</v>
      </c>
      <c r="M37" s="73">
        <f>IF(B37=0,"",IFERROR(VLOOKUP(B37,'S-ASIG-07'!$B$5:$E$88,4,0),0))</f>
        <v>0</v>
      </c>
      <c r="N37" s="68" t="s">
        <v>122</v>
      </c>
      <c r="O37" s="71">
        <f>IF(B37=0,"",IFERROR(VLOOKUP(B37,'T-ASIG-01'!$B$5:$D$88,3,0),0))</f>
        <v>4.4749999999999996</v>
      </c>
      <c r="P37" s="72">
        <f>IF(B37=0,"",IFERROR(VLOOKUP(B37,'T-ASIG-02'!$B$5:$D$88,3,0),0))</f>
        <v>4.4749999999999996</v>
      </c>
      <c r="Q37" s="72">
        <f>IF(B37=0,"",IFERROR(VLOOKUP(B37,'T-ASIG-03'!$B$5:$D$88,3,0),0))</f>
        <v>4.2250000000000005</v>
      </c>
      <c r="R37" s="72">
        <f>IF(B37=0,"",IFERROR(VLOOKUP(B37,'T-ASIG-04'!$B$5:$D$88,3,0),0))</f>
        <v>3.8749999999999996</v>
      </c>
      <c r="S37" s="72">
        <f>IF(B37=0,"",IFERROR(VLOOKUP(B37,'T-ASIG-05'!$B$5:$D$88,3,0),0))</f>
        <v>4.3</v>
      </c>
      <c r="T37" s="72">
        <f>IF(B37=0,"",IFERROR(VLOOKUP(B37,'T-ASIG-06'!$B$5:$D$88,3,0),0))</f>
        <v>4.82</v>
      </c>
      <c r="U37" s="73">
        <f>IF(B37=0,"",IFERROR(VLOOKUP(B37,'T-ASIG-07'!$B$5:$D$88,3,0),0))</f>
        <v>0</v>
      </c>
      <c r="V37" s="69" t="s">
        <v>123</v>
      </c>
    </row>
    <row r="38" spans="1:22" ht="15" customHeight="1">
      <c r="A38" s="12">
        <v>34</v>
      </c>
      <c r="B38" s="70" t="str">
        <f>LIDER!C29</f>
        <v>NARVAEZ MORELO WISNEEY</v>
      </c>
      <c r="C38" s="64" t="str">
        <f>IF(B38=0,"",IFERROR(VLOOKUP(B38,'S-ASIG-01'!$B$5:$E$88,2,0),0))</f>
        <v>G02</v>
      </c>
      <c r="D38" s="65">
        <f t="shared" si="4"/>
        <v>4.2</v>
      </c>
      <c r="E38" s="66">
        <f t="shared" si="5"/>
        <v>4.3616666666666672</v>
      </c>
      <c r="F38" s="47"/>
      <c r="G38" s="71">
        <f>IF(B38=0,"",IFERROR(VLOOKUP(B38,'S-ASIG-01'!$B$5:$E$88,4,0),0))</f>
        <v>4.3499999999999996</v>
      </c>
      <c r="H38" s="72">
        <f>IF(B38=0,"",IFERROR(VLOOKUP(B38,'S-ASIG-02'!$B$5:$E$88,4,0),0))</f>
        <v>4.2</v>
      </c>
      <c r="I38" s="72">
        <f>IF(B38=0,"",IFERROR(VLOOKUP(B38,'S-ASIG-03'!$B$5:$E$88,4,0),0))</f>
        <v>4.4499999999999993</v>
      </c>
      <c r="J38" s="72">
        <f>IF(B38=0,"",IFERROR(VLOOKUP(B38,'S-ASIG-04'!$B$5:$E$88,4,0),0))</f>
        <v>3.5000000000000004</v>
      </c>
      <c r="K38" s="72">
        <f>IF(B38=0,"",IFERROR(VLOOKUP(B38,'S-ASIG-05'!$B$5:$E$88,4,0),0))</f>
        <v>4.5</v>
      </c>
      <c r="L38" s="72">
        <f>IF(B38=0,"",IFERROR(VLOOKUP(B38,'S-ASIG-06'!$B$5:$E$88,4,0),0))</f>
        <v>4.2</v>
      </c>
      <c r="M38" s="73">
        <f>IF(B38=0,"",IFERROR(VLOOKUP(B38,'S-ASIG-07'!$B$5:$E$88,4,0),0))</f>
        <v>0</v>
      </c>
      <c r="N38" s="68" t="s">
        <v>122</v>
      </c>
      <c r="O38" s="71">
        <f>IF(B38=0,"",IFERROR(VLOOKUP(B38,'T-ASIG-01'!$B$5:$D$88,3,0),0))</f>
        <v>4.4749999999999996</v>
      </c>
      <c r="P38" s="72">
        <f>IF(B38=0,"",IFERROR(VLOOKUP(B38,'T-ASIG-02'!$B$5:$D$88,3,0),0))</f>
        <v>4.4749999999999996</v>
      </c>
      <c r="Q38" s="72">
        <f>IF(B38=0,"",IFERROR(VLOOKUP(B38,'T-ASIG-03'!$B$5:$D$88,3,0),0))</f>
        <v>4.2250000000000005</v>
      </c>
      <c r="R38" s="72">
        <f>IF(B38=0,"",IFERROR(VLOOKUP(B38,'T-ASIG-04'!$B$5:$D$88,3,0),0))</f>
        <v>3.8749999999999996</v>
      </c>
      <c r="S38" s="72">
        <f>IF(B38=0,"",IFERROR(VLOOKUP(B38,'T-ASIG-05'!$B$5:$D$88,3,0),0))</f>
        <v>4.3</v>
      </c>
      <c r="T38" s="72">
        <f>IF(B38=0,"",IFERROR(VLOOKUP(B38,'T-ASIG-06'!$B$5:$D$88,3,0),0))</f>
        <v>4.82</v>
      </c>
      <c r="U38" s="73">
        <f>IF(B38=0,"",IFERROR(VLOOKUP(B38,'T-ASIG-07'!$B$5:$D$88,3,0),0))</f>
        <v>0</v>
      </c>
      <c r="V38" s="69" t="s">
        <v>123</v>
      </c>
    </row>
    <row r="39" spans="1:22" ht="15" customHeight="1">
      <c r="A39" s="12">
        <v>35</v>
      </c>
      <c r="B39" s="70" t="str">
        <f>LIDER!C14</f>
        <v>CHAVEZ ARRIETA EVELYN SHARY</v>
      </c>
      <c r="C39" s="64" t="str">
        <f>IF(B39=0,"",IFERROR(VLOOKUP(B39,'S-ASIG-01'!$B$5:$E$88,2,0),0))</f>
        <v>G03</v>
      </c>
      <c r="D39" s="65">
        <f t="shared" si="4"/>
        <v>3.4350000000000001</v>
      </c>
      <c r="E39" s="66">
        <f t="shared" si="5"/>
        <v>4.5908333333333333</v>
      </c>
      <c r="F39" s="47"/>
      <c r="G39" s="71">
        <f>IF(B39=0,"",IFERROR(VLOOKUP(B39,'S-ASIG-01'!$B$5:$E$88,4,0),0))</f>
        <v>3.4600000000000004</v>
      </c>
      <c r="H39" s="72">
        <f>IF(B39=0,"",IFERROR(VLOOKUP(B39,'S-ASIG-02'!$B$5:$E$88,4,0),0))</f>
        <v>2.96</v>
      </c>
      <c r="I39" s="72">
        <f>IF(B39=0,"",IFERROR(VLOOKUP(B39,'S-ASIG-03'!$B$5:$E$88,4,0),0))</f>
        <v>3.74</v>
      </c>
      <c r="J39" s="72">
        <f>IF(B39=0,"",IFERROR(VLOOKUP(B39,'S-ASIG-04'!$B$5:$E$88,4,0),0))</f>
        <v>3.5000000000000004</v>
      </c>
      <c r="K39" s="72">
        <f>IF(B39=0,"",IFERROR(VLOOKUP(B39,'S-ASIG-05'!$B$5:$E$88,4,0),0))</f>
        <v>3.7000000000000006</v>
      </c>
      <c r="L39" s="72">
        <f>IF(B39=0,"",IFERROR(VLOOKUP(B39,'S-ASIG-06'!$B$5:$E$88,4,0),0))</f>
        <v>3.2500000000000004</v>
      </c>
      <c r="M39" s="73">
        <f>IF(B39=0,"",IFERROR(VLOOKUP(B39,'S-ASIG-07'!$B$5:$E$88,4,0),0))</f>
        <v>0</v>
      </c>
      <c r="N39" s="68" t="s">
        <v>122</v>
      </c>
      <c r="O39" s="71">
        <f>IF(B39=0,"",IFERROR(VLOOKUP(B39,'T-ASIG-01'!$B$5:$D$88,3,0),0))</f>
        <v>4.5999999999999996</v>
      </c>
      <c r="P39" s="72">
        <f>IF(B39=0,"",IFERROR(VLOOKUP(B39,'T-ASIG-02'!$B$5:$D$88,3,0),0))</f>
        <v>4.5999999999999996</v>
      </c>
      <c r="Q39" s="72">
        <f>IF(B39=0,"",IFERROR(VLOOKUP(B39,'T-ASIG-03'!$B$5:$D$88,3,0),0))</f>
        <v>4.67</v>
      </c>
      <c r="R39" s="72">
        <f>IF(B39=0,"",IFERROR(VLOOKUP(B39,'T-ASIG-04'!$B$5:$D$88,3,0),0))</f>
        <v>4.5750000000000002</v>
      </c>
      <c r="S39" s="72">
        <f>IF(B39=0,"",IFERROR(VLOOKUP(B39,'T-ASIG-05'!$B$5:$D$88,3,0),0))</f>
        <v>4.5</v>
      </c>
      <c r="T39" s="72">
        <f>IF(B39=0,"",IFERROR(VLOOKUP(B39,'T-ASIG-06'!$B$5:$D$88,3,0),0))</f>
        <v>4.5999999999999996</v>
      </c>
      <c r="U39" s="73">
        <f>IF(B39=0,"",IFERROR(VLOOKUP(B39,'T-ASIG-07'!$B$5:$D$88,3,0),0))</f>
        <v>0</v>
      </c>
      <c r="V39" s="69" t="s">
        <v>123</v>
      </c>
    </row>
    <row r="40" spans="1:22" ht="15" customHeight="1">
      <c r="A40" s="12">
        <v>36</v>
      </c>
      <c r="B40" s="70" t="str">
        <f>LIDER!C31</f>
        <v>PÁJARO DE LA PEÑA ANGELA ISABEL</v>
      </c>
      <c r="C40" s="64" t="str">
        <f>IF(B40=0,"",IFERROR(VLOOKUP(B40,'S-ASIG-01'!$B$5:$E$88,2,0),0))</f>
        <v>G03</v>
      </c>
      <c r="D40" s="65">
        <f t="shared" si="4"/>
        <v>3.4350000000000001</v>
      </c>
      <c r="E40" s="66">
        <f t="shared" si="5"/>
        <v>4.7124999999999995</v>
      </c>
      <c r="F40" s="47"/>
      <c r="G40" s="71">
        <f>IF(B40=0,"",IFERROR(VLOOKUP(B40,'S-ASIG-01'!$B$5:$E$88,4,0),0))</f>
        <v>3.4600000000000004</v>
      </c>
      <c r="H40" s="72">
        <f>IF(B40=0,"",IFERROR(VLOOKUP(B40,'S-ASIG-02'!$B$5:$E$88,4,0),0))</f>
        <v>2.96</v>
      </c>
      <c r="I40" s="72">
        <f>IF(B40=0,"",IFERROR(VLOOKUP(B40,'S-ASIG-03'!$B$5:$E$88,4,0),0))</f>
        <v>3.74</v>
      </c>
      <c r="J40" s="72">
        <f>IF(B40=0,"",IFERROR(VLOOKUP(B40,'S-ASIG-04'!$B$5:$E$88,4,0),0))</f>
        <v>3.5000000000000004</v>
      </c>
      <c r="K40" s="72">
        <f>IF(B40=0,"",IFERROR(VLOOKUP(B40,'S-ASIG-05'!$B$5:$E$88,4,0),0))</f>
        <v>3.7000000000000006</v>
      </c>
      <c r="L40" s="72">
        <f>IF(B40=0,"",IFERROR(VLOOKUP(B40,'S-ASIG-06'!$B$5:$E$88,4,0),0))</f>
        <v>3.2500000000000004</v>
      </c>
      <c r="M40" s="73">
        <f>IF(B40=0,"",IFERROR(VLOOKUP(B40,'S-ASIG-07'!$B$5:$E$88,4,0),0))</f>
        <v>0</v>
      </c>
      <c r="N40" s="68" t="s">
        <v>122</v>
      </c>
      <c r="O40" s="71">
        <f>IF(B40=0,"",IFERROR(VLOOKUP(B40,'T-ASIG-01'!$B$5:$D$88,3,0),0))</f>
        <v>4.7</v>
      </c>
      <c r="P40" s="72">
        <f>IF(B40=0,"",IFERROR(VLOOKUP(B40,'T-ASIG-02'!$B$5:$D$88,3,0),0))</f>
        <v>4.7</v>
      </c>
      <c r="Q40" s="72">
        <f>IF(B40=0,"",IFERROR(VLOOKUP(B40,'T-ASIG-03'!$B$5:$D$88,3,0),0))</f>
        <v>4.8</v>
      </c>
      <c r="R40" s="72">
        <f>IF(B40=0,"",IFERROR(VLOOKUP(B40,'T-ASIG-04'!$B$5:$D$88,3,0),0))</f>
        <v>4.5750000000000002</v>
      </c>
      <c r="S40" s="72">
        <f>IF(B40=0,"",IFERROR(VLOOKUP(B40,'T-ASIG-05'!$B$5:$D$88,3,0),0))</f>
        <v>4.75</v>
      </c>
      <c r="T40" s="72">
        <f>IF(B40=0,"",IFERROR(VLOOKUP(B40,'T-ASIG-06'!$B$5:$D$88,3,0),0))</f>
        <v>4.75</v>
      </c>
      <c r="U40" s="73">
        <f>IF(B40=0,"",IFERROR(VLOOKUP(B40,'T-ASIG-07'!$B$5:$D$88,3,0),0))</f>
        <v>0</v>
      </c>
      <c r="V40" s="69" t="s">
        <v>123</v>
      </c>
    </row>
    <row r="41" spans="1:22" ht="15" customHeight="1">
      <c r="A41" s="12">
        <v>37</v>
      </c>
      <c r="B41" s="70" t="str">
        <f>LIDER!C32</f>
        <v>PEREZ MORENO ANA ISABEL</v>
      </c>
      <c r="C41" s="64" t="str">
        <f>IF(B41=0,"",IFERROR(VLOOKUP(B41,'S-ASIG-01'!$B$5:$E$88,2,0),0))</f>
        <v>G03</v>
      </c>
      <c r="D41" s="65">
        <f t="shared" si="4"/>
        <v>3.4050000000000002</v>
      </c>
      <c r="E41" s="66">
        <f t="shared" si="5"/>
        <v>4.5687499999999996</v>
      </c>
      <c r="F41" s="47"/>
      <c r="G41" s="71">
        <f>IF(B41=0,"",IFERROR(VLOOKUP(B41,'S-ASIG-01'!$B$5:$E$88,4,0),0))</f>
        <v>3.4600000000000004</v>
      </c>
      <c r="H41" s="72">
        <f>IF(B41=0,"",IFERROR(VLOOKUP(B41,'S-ASIG-02'!$B$5:$E$88,4,0),0))</f>
        <v>2.96</v>
      </c>
      <c r="I41" s="72" t="str">
        <f>IF(B41=0,"",IFERROR(VLOOKUP(B41,'S-ASIG-03'!$B$5:$E$88,4,0),0))</f>
        <v>N</v>
      </c>
      <c r="J41" s="72">
        <f>IF(B41=0,"",IFERROR(VLOOKUP(B41,'S-ASIG-04'!$B$5:$E$88,4,0),0))</f>
        <v>3.5000000000000004</v>
      </c>
      <c r="K41" s="72">
        <f>IF(B41=0,"",IFERROR(VLOOKUP(B41,'S-ASIG-05'!$B$5:$E$88,4,0),0))</f>
        <v>3.7000000000000006</v>
      </c>
      <c r="L41" s="72" t="str">
        <f>IF(B41=0,"",IFERROR(VLOOKUP(B41,'S-ASIG-06'!$B$5:$E$88,4,0),0))</f>
        <v>N</v>
      </c>
      <c r="M41" s="73">
        <f>IF(B41=0,"",IFERROR(VLOOKUP(B41,'S-ASIG-07'!$B$5:$E$88,4,0),0))</f>
        <v>0</v>
      </c>
      <c r="N41" s="68" t="s">
        <v>122</v>
      </c>
      <c r="O41" s="71">
        <f>IF(B41=0,"",IFERROR(VLOOKUP(B41,'T-ASIG-01'!$B$5:$D$88,3,0),0))</f>
        <v>4.5999999999999996</v>
      </c>
      <c r="P41" s="72">
        <f>IF(B41=0,"",IFERROR(VLOOKUP(B41,'T-ASIG-02'!$B$5:$D$88,3,0),0))</f>
        <v>4.5999999999999996</v>
      </c>
      <c r="Q41" s="72" t="str">
        <f>IF(B41=0,"",IFERROR(VLOOKUP(B41,'T-ASIG-03'!$B$5:$D$88,3,0),0))</f>
        <v>N</v>
      </c>
      <c r="R41" s="72">
        <f>IF(B41=0,"",IFERROR(VLOOKUP(B41,'T-ASIG-04'!$B$5:$D$88,3,0),0))</f>
        <v>4.5750000000000002</v>
      </c>
      <c r="S41" s="72">
        <f>IF(B41=0,"",IFERROR(VLOOKUP(B41,'T-ASIG-05'!$B$5:$D$88,3,0),0))</f>
        <v>4.5</v>
      </c>
      <c r="T41" s="72" t="str">
        <f>IF(B41=0,"",IFERROR(VLOOKUP(B41,'T-ASIG-06'!$B$5:$D$88,3,0),0))</f>
        <v>N</v>
      </c>
      <c r="U41" s="73">
        <f>IF(B41=0,"",IFERROR(VLOOKUP(B41,'T-ASIG-07'!$B$5:$D$88,3,0),0))</f>
        <v>0</v>
      </c>
      <c r="V41" s="69" t="s">
        <v>123</v>
      </c>
    </row>
    <row r="42" spans="1:22" ht="15" customHeight="1">
      <c r="A42" s="12">
        <v>38</v>
      </c>
      <c r="B42" s="70" t="str">
        <f>LIDER!C10</f>
        <v>BARRIOS CUADRADO HEILIN TATIANA</v>
      </c>
      <c r="C42" s="64" t="str">
        <f>IF(B42=0,"",IFERROR(VLOOKUP(B42,'S-ASIG-01'!$B$5:$E$88,2,0),0))</f>
        <v>G04</v>
      </c>
      <c r="D42" s="65">
        <f t="shared" si="4"/>
        <v>3.6716666666666669</v>
      </c>
      <c r="E42" s="66">
        <f t="shared" si="5"/>
        <v>4.0409999999999995</v>
      </c>
      <c r="F42" s="47"/>
      <c r="G42" s="71">
        <f>IF(B42=0,"",IFERROR(VLOOKUP(B42,'S-ASIG-01'!$B$5:$E$88,4,0),0))</f>
        <v>3.7200000000000006</v>
      </c>
      <c r="H42" s="72">
        <f>IF(B42=0,"",IFERROR(VLOOKUP(B42,'S-ASIG-02'!$B$5:$E$88,4,0),0))</f>
        <v>3.5</v>
      </c>
      <c r="I42" s="72">
        <f>IF(B42=0,"",IFERROR(VLOOKUP(B42,'S-ASIG-03'!$B$5:$E$88,4,0),0))</f>
        <v>3.92</v>
      </c>
      <c r="J42" s="72">
        <f>IF(B42=0,"",IFERROR(VLOOKUP(B42,'S-ASIG-04'!$B$5:$E$88,4,0),0))</f>
        <v>3.45</v>
      </c>
      <c r="K42" s="72">
        <f>IF(B42=0,"",IFERROR(VLOOKUP(B42,'S-ASIG-05'!$B$5:$E$88,4,0),0))</f>
        <v>3.3000000000000003</v>
      </c>
      <c r="L42" s="72">
        <f>IF(B42=0,"",IFERROR(VLOOKUP(B42,'S-ASIG-06'!$B$5:$E$88,4,0),0))</f>
        <v>4.1400000000000006</v>
      </c>
      <c r="M42" s="73">
        <f>IF(B42=0,"",IFERROR(VLOOKUP(B42,'S-ASIG-07'!$B$5:$E$88,4,0),0))</f>
        <v>0</v>
      </c>
      <c r="N42" s="68" t="s">
        <v>122</v>
      </c>
      <c r="O42" s="71">
        <f>IF(B42=0,"",IFERROR(VLOOKUP(B42,'T-ASIG-01'!$B$5:$D$88,3,0),0))</f>
        <v>4.1750000000000007</v>
      </c>
      <c r="P42" s="72">
        <f>IF(B42=0,"",IFERROR(VLOOKUP(B42,'T-ASIG-02'!$B$5:$D$88,3,0),0))</f>
        <v>0</v>
      </c>
      <c r="Q42" s="72">
        <f>IF(B42=0,"",IFERROR(VLOOKUP(B42,'T-ASIG-03'!$B$5:$D$88,3,0),0))</f>
        <v>3.93</v>
      </c>
      <c r="R42" s="72">
        <f>IF(B42=0,"",IFERROR(VLOOKUP(B42,'T-ASIG-04'!$B$5:$D$88,3,0),0))</f>
        <v>3.75</v>
      </c>
      <c r="S42" s="72">
        <f>IF(B42=0,"",IFERROR(VLOOKUP(B42,'T-ASIG-05'!$B$5:$D$88,3,0),0))</f>
        <v>4.0999999999999996</v>
      </c>
      <c r="T42" s="72">
        <f>IF(B42=0,"",IFERROR(VLOOKUP(B42,'T-ASIG-06'!$B$5:$D$88,3,0),0))</f>
        <v>4.25</v>
      </c>
      <c r="U42" s="73">
        <f>IF(B42=0,"",IFERROR(VLOOKUP(B42,'T-ASIG-07'!$B$5:$D$88,3,0),0))</f>
        <v>0</v>
      </c>
      <c r="V42" s="69" t="s">
        <v>123</v>
      </c>
    </row>
    <row r="43" spans="1:22" ht="15" customHeight="1">
      <c r="A43" s="12">
        <v>39</v>
      </c>
      <c r="B43" s="70" t="str">
        <f>LIDER!C18</f>
        <v>GARCIA MATUTE VALERIE DANIELA</v>
      </c>
      <c r="C43" s="64" t="str">
        <f>IF(B43=0,"",IFERROR(VLOOKUP(B43,'S-ASIG-01'!$B$5:$E$88,2,0),0))</f>
        <v>G04</v>
      </c>
      <c r="D43" s="65">
        <f t="shared" si="4"/>
        <v>3.5780000000000003</v>
      </c>
      <c r="E43" s="66">
        <f t="shared" si="5"/>
        <v>3.98875</v>
      </c>
      <c r="F43" s="47"/>
      <c r="G43" s="71">
        <f>IF(B43=0,"",IFERROR(VLOOKUP(B43,'S-ASIG-01'!$B$5:$E$88,4,0),0))</f>
        <v>3.7200000000000006</v>
      </c>
      <c r="H43" s="72">
        <f>IF(B43=0,"",IFERROR(VLOOKUP(B43,'S-ASIG-02'!$B$5:$E$88,4,0),0))</f>
        <v>3.5</v>
      </c>
      <c r="I43" s="72">
        <f>IF(B43=0,"",IFERROR(VLOOKUP(B43,'S-ASIG-03'!$B$5:$E$88,4,0),0))</f>
        <v>3.92</v>
      </c>
      <c r="J43" s="72">
        <f>IF(B43=0,"",IFERROR(VLOOKUP(B43,'S-ASIG-04'!$B$5:$E$88,4,0),0))</f>
        <v>3.45</v>
      </c>
      <c r="K43" s="72">
        <f>IF(B43=0,"",IFERROR(VLOOKUP(B43,'S-ASIG-05'!$B$5:$E$88,4,0),0))</f>
        <v>3.3000000000000003</v>
      </c>
      <c r="L43" s="72" t="str">
        <f>IF(B43=0,"",IFERROR(VLOOKUP(B43,'S-ASIG-06'!$B$5:$E$88,4,0),0))</f>
        <v>N</v>
      </c>
      <c r="M43" s="73">
        <f>IF(B43=0,"",IFERROR(VLOOKUP(B43,'S-ASIG-07'!$B$5:$E$88,4,0),0))</f>
        <v>0</v>
      </c>
      <c r="N43" s="68" t="s">
        <v>122</v>
      </c>
      <c r="O43" s="71">
        <f>IF(B43=0,"",IFERROR(VLOOKUP(B43,'T-ASIG-01'!$B$5:$D$88,3,0),0))</f>
        <v>4.1750000000000007</v>
      </c>
      <c r="P43" s="72">
        <f>IF(B43=0,"",IFERROR(VLOOKUP(B43,'T-ASIG-02'!$B$5:$D$88,3,0),0))</f>
        <v>0</v>
      </c>
      <c r="Q43" s="72">
        <f>IF(B43=0,"",IFERROR(VLOOKUP(B43,'T-ASIG-03'!$B$5:$D$88,3,0),0))</f>
        <v>3.93</v>
      </c>
      <c r="R43" s="72">
        <f>IF(B43=0,"",IFERROR(VLOOKUP(B43,'T-ASIG-04'!$B$5:$D$88,3,0),0))</f>
        <v>3.75</v>
      </c>
      <c r="S43" s="72">
        <f>IF(B43=0,"",IFERROR(VLOOKUP(B43,'T-ASIG-05'!$B$5:$D$88,3,0),0))</f>
        <v>4.0999999999999996</v>
      </c>
      <c r="T43" s="72" t="str">
        <f>IF(B43=0,"",IFERROR(VLOOKUP(B43,'T-ASIG-06'!$B$5:$D$88,3,0),0))</f>
        <v>N</v>
      </c>
      <c r="U43" s="73">
        <f>IF(B43=0,"",IFERROR(VLOOKUP(B43,'T-ASIG-07'!$B$5:$D$88,3,0),0))</f>
        <v>0</v>
      </c>
      <c r="V43" s="69" t="s">
        <v>123</v>
      </c>
    </row>
    <row r="44" spans="1:22" ht="15" customHeight="1">
      <c r="A44" s="12">
        <v>40</v>
      </c>
      <c r="B44" s="70" t="str">
        <f>LIDER!C25</f>
        <v>MANJARRES CORREA PAULA ANDREA</v>
      </c>
      <c r="C44" s="64" t="str">
        <f>IF(B44=0,"",IFERROR(VLOOKUP(B44,'S-ASIG-01'!$B$5:$E$88,2,0),0))</f>
        <v>G04</v>
      </c>
      <c r="D44" s="65">
        <f t="shared" si="4"/>
        <v>3.6716666666666669</v>
      </c>
      <c r="E44" s="66">
        <f t="shared" si="5"/>
        <v>4.0409999999999995</v>
      </c>
      <c r="F44" s="47"/>
      <c r="G44" s="71">
        <f>IF(B44=0,"",IFERROR(VLOOKUP(B44,'S-ASIG-01'!$B$5:$E$88,4,0),0))</f>
        <v>3.7200000000000006</v>
      </c>
      <c r="H44" s="72">
        <f>IF(B44=0,"",IFERROR(VLOOKUP(B44,'S-ASIG-02'!$B$5:$E$88,4,0),0))</f>
        <v>3.5</v>
      </c>
      <c r="I44" s="72">
        <f>IF(B44=0,"",IFERROR(VLOOKUP(B44,'S-ASIG-03'!$B$5:$E$88,4,0),0))</f>
        <v>3.92</v>
      </c>
      <c r="J44" s="72">
        <f>IF(B44=0,"",IFERROR(VLOOKUP(B44,'S-ASIG-04'!$B$5:$E$88,4,0),0))</f>
        <v>3.45</v>
      </c>
      <c r="K44" s="72">
        <f>IF(B44=0,"",IFERROR(VLOOKUP(B44,'S-ASIG-05'!$B$5:$E$88,4,0),0))</f>
        <v>3.3000000000000003</v>
      </c>
      <c r="L44" s="72">
        <f>IF(B44=0,"",IFERROR(VLOOKUP(B44,'S-ASIG-06'!$B$5:$E$88,4,0),0))</f>
        <v>4.1400000000000006</v>
      </c>
      <c r="M44" s="73">
        <f>IF(B44=0,"",IFERROR(VLOOKUP(B44,'S-ASIG-07'!$B$5:$E$88,4,0),0))</f>
        <v>0</v>
      </c>
      <c r="N44" s="68" t="s">
        <v>122</v>
      </c>
      <c r="O44" s="71">
        <f>IF(B44=0,"",IFERROR(VLOOKUP(B44,'T-ASIG-01'!$B$5:$D$88,3,0),0))</f>
        <v>4.1750000000000007</v>
      </c>
      <c r="P44" s="72">
        <f>IF(B44=0,"",IFERROR(VLOOKUP(B44,'T-ASIG-02'!$B$5:$D$88,3,0),0))</f>
        <v>0</v>
      </c>
      <c r="Q44" s="72">
        <f>IF(B44=0,"",IFERROR(VLOOKUP(B44,'T-ASIG-03'!$B$5:$D$88,3,0),0))</f>
        <v>3.93</v>
      </c>
      <c r="R44" s="72">
        <f>IF(B44=0,"",IFERROR(VLOOKUP(B44,'T-ASIG-04'!$B$5:$D$88,3,0),0))</f>
        <v>3.75</v>
      </c>
      <c r="S44" s="72">
        <f>IF(B44=0,"",IFERROR(VLOOKUP(B44,'T-ASIG-05'!$B$5:$D$88,3,0),0))</f>
        <v>4.0999999999999996</v>
      </c>
      <c r="T44" s="72">
        <f>IF(B44=0,"",IFERROR(VLOOKUP(B44,'T-ASIG-06'!$B$5:$D$88,3,0),0))</f>
        <v>4.25</v>
      </c>
      <c r="U44" s="73">
        <f>IF(B44=0,"",IFERROR(VLOOKUP(B44,'T-ASIG-07'!$B$5:$D$88,3,0),0))</f>
        <v>0</v>
      </c>
      <c r="V44" s="69" t="s">
        <v>123</v>
      </c>
    </row>
    <row r="45" spans="1:22" ht="15" customHeight="1">
      <c r="A45" s="12">
        <v>41</v>
      </c>
      <c r="B45" s="70" t="str">
        <f>LIDER!C26</f>
        <v>MARTINEZ JULIO YEMILY ALBANIS</v>
      </c>
      <c r="C45" s="64" t="str">
        <f>IF(B45=0,"",IFERROR(VLOOKUP(B45,'S-ASIG-01'!$B$5:$E$88,2,0),0))</f>
        <v>G04</v>
      </c>
      <c r="D45" s="65">
        <f t="shared" si="4"/>
        <v>3.6716666666666669</v>
      </c>
      <c r="E45" s="66">
        <f t="shared" si="5"/>
        <v>4.0409999999999995</v>
      </c>
      <c r="F45" s="47"/>
      <c r="G45" s="71">
        <f>IF(B45=0,"",IFERROR(VLOOKUP(B45,'S-ASIG-01'!$B$5:$E$88,4,0),0))</f>
        <v>3.7200000000000006</v>
      </c>
      <c r="H45" s="72">
        <f>IF(B45=0,"",IFERROR(VLOOKUP(B45,'S-ASIG-02'!$B$5:$E$88,4,0),0))</f>
        <v>3.5</v>
      </c>
      <c r="I45" s="72">
        <f>IF(B45=0,"",IFERROR(VLOOKUP(B45,'S-ASIG-03'!$B$5:$E$88,4,0),0))</f>
        <v>3.92</v>
      </c>
      <c r="J45" s="72">
        <f>IF(B45=0,"",IFERROR(VLOOKUP(B45,'S-ASIG-04'!$B$5:$E$88,4,0),0))</f>
        <v>3.45</v>
      </c>
      <c r="K45" s="72">
        <f>IF(B45=0,"",IFERROR(VLOOKUP(B45,'S-ASIG-05'!$B$5:$E$88,4,0),0))</f>
        <v>3.3000000000000003</v>
      </c>
      <c r="L45" s="72">
        <f>IF(B45=0,"",IFERROR(VLOOKUP(B45,'S-ASIG-06'!$B$5:$E$88,4,0),0))</f>
        <v>4.1400000000000006</v>
      </c>
      <c r="M45" s="73">
        <f>IF(B45=0,"",IFERROR(VLOOKUP(B45,'S-ASIG-07'!$B$5:$E$88,4,0),0))</f>
        <v>0</v>
      </c>
      <c r="N45" s="68" t="s">
        <v>122</v>
      </c>
      <c r="O45" s="71">
        <f>IF(B45=0,"",IFERROR(VLOOKUP(B45,'T-ASIG-01'!$B$5:$D$88,3,0),0))</f>
        <v>4.1750000000000007</v>
      </c>
      <c r="P45" s="72">
        <f>IF(B45=0,"",IFERROR(VLOOKUP(B45,'T-ASIG-02'!$B$5:$D$88,3,0),0))</f>
        <v>0</v>
      </c>
      <c r="Q45" s="72">
        <f>IF(B45=0,"",IFERROR(VLOOKUP(B45,'T-ASIG-03'!$B$5:$D$88,3,0),0))</f>
        <v>3.93</v>
      </c>
      <c r="R45" s="72">
        <f>IF(B45=0,"",IFERROR(VLOOKUP(B45,'T-ASIG-04'!$B$5:$D$88,3,0),0))</f>
        <v>3.75</v>
      </c>
      <c r="S45" s="72">
        <f>IF(B45=0,"",IFERROR(VLOOKUP(B45,'T-ASIG-05'!$B$5:$D$88,3,0),0))</f>
        <v>4.0999999999999996</v>
      </c>
      <c r="T45" s="72">
        <f>IF(B45=0,"",IFERROR(VLOOKUP(B45,'T-ASIG-06'!$B$5:$D$88,3,0),0))</f>
        <v>4.25</v>
      </c>
      <c r="U45" s="73">
        <f>IF(B45=0,"",IFERROR(VLOOKUP(B45,'T-ASIG-07'!$B$5:$D$88,3,0),0))</f>
        <v>0</v>
      </c>
      <c r="V45" s="69" t="s">
        <v>123</v>
      </c>
    </row>
    <row r="46" spans="1:22" ht="15" customHeight="1">
      <c r="A46" s="12">
        <v>42</v>
      </c>
      <c r="B46" s="70" t="str">
        <f>LIDER!C16</f>
        <v>DONADO ALMANZA DAVID</v>
      </c>
      <c r="C46" s="64" t="str">
        <f>IF(B46=0,"",IFERROR(VLOOKUP(B46,'S-ASIG-01'!$B$5:$E$88,2,0),0))</f>
        <v>G05</v>
      </c>
      <c r="D46" s="65">
        <f t="shared" si="4"/>
        <v>4.3683333333333332</v>
      </c>
      <c r="E46" s="66">
        <f t="shared" si="5"/>
        <v>4.117</v>
      </c>
      <c r="F46" s="47"/>
      <c r="G46" s="71">
        <f>IF(B46=0,"",IFERROR(VLOOKUP(B46,'S-ASIG-01'!$B$5:$E$88,4,0),0))</f>
        <v>4.59</v>
      </c>
      <c r="H46" s="72">
        <f>IF(B46=0,"",IFERROR(VLOOKUP(B46,'S-ASIG-02'!$B$5:$E$88,4,0),0))</f>
        <v>4.46</v>
      </c>
      <c r="I46" s="72">
        <f>IF(B46=0,"",IFERROR(VLOOKUP(B46,'S-ASIG-03'!$B$5:$E$88,4,0),0))</f>
        <v>4.63</v>
      </c>
      <c r="J46" s="72">
        <f>IF(B46=0,"",IFERROR(VLOOKUP(B46,'S-ASIG-04'!$B$5:$E$88,4,0),0))</f>
        <v>3.6900000000000004</v>
      </c>
      <c r="K46" s="72">
        <f>IF(B46=0,"",IFERROR(VLOOKUP(B46,'S-ASIG-05'!$B$5:$E$88,4,0),0))</f>
        <v>4.5999999999999996</v>
      </c>
      <c r="L46" s="72">
        <f>IF(B46=0,"",IFERROR(VLOOKUP(B46,'S-ASIG-06'!$B$5:$E$88,4,0),0))</f>
        <v>4.24</v>
      </c>
      <c r="M46" s="73">
        <f>IF(B46=0,"",IFERROR(VLOOKUP(B46,'S-ASIG-07'!$B$5:$E$88,4,0),0))</f>
        <v>0</v>
      </c>
      <c r="N46" s="68" t="s">
        <v>122</v>
      </c>
      <c r="O46" s="71">
        <f>IF(B46=0,"",IFERROR(VLOOKUP(B46,'T-ASIG-01'!$B$5:$D$88,3,0),0))</f>
        <v>4.2300000000000004</v>
      </c>
      <c r="P46" s="72">
        <f>IF(B46=0,"",IFERROR(VLOOKUP(B46,'T-ASIG-02'!$B$5:$D$88,3,0),0))</f>
        <v>0</v>
      </c>
      <c r="Q46" s="72">
        <f>IF(B46=0,"",IFERROR(VLOOKUP(B46,'T-ASIG-03'!$B$5:$D$88,3,0),0))</f>
        <v>4.1800000000000006</v>
      </c>
      <c r="R46" s="72">
        <f>IF(B46=0,"",IFERROR(VLOOKUP(B46,'T-ASIG-04'!$B$5:$D$88,3,0),0))</f>
        <v>3.9250000000000007</v>
      </c>
      <c r="S46" s="72">
        <f>IF(B46=0,"",IFERROR(VLOOKUP(B46,'T-ASIG-05'!$B$5:$D$88,3,0),0))</f>
        <v>4</v>
      </c>
      <c r="T46" s="72">
        <f>IF(B46=0,"",IFERROR(VLOOKUP(B46,'T-ASIG-06'!$B$5:$D$88,3,0),0))</f>
        <v>4.25</v>
      </c>
      <c r="U46" s="73">
        <f>IF(B46=0,"",IFERROR(VLOOKUP(B46,'T-ASIG-07'!$B$5:$D$88,3,0),0))</f>
        <v>0</v>
      </c>
      <c r="V46" s="69" t="s">
        <v>123</v>
      </c>
    </row>
    <row r="47" spans="1:22" ht="15" customHeight="1">
      <c r="A47" s="12">
        <v>43</v>
      </c>
      <c r="B47" s="70" t="str">
        <f>LIDER!C30</f>
        <v>PADILLA MORALES VALERIE SOFIA</v>
      </c>
      <c r="C47" s="64" t="str">
        <f>IF(B47=0,"",IFERROR(VLOOKUP(B47,'S-ASIG-01'!$B$5:$E$88,2,0),0))</f>
        <v>G05</v>
      </c>
      <c r="D47" s="65">
        <f t="shared" si="4"/>
        <v>4.3683333333333332</v>
      </c>
      <c r="E47" s="66">
        <f t="shared" si="5"/>
        <v>4.1550000000000002</v>
      </c>
      <c r="F47" s="47"/>
      <c r="G47" s="71">
        <f>IF(B47=0,"",IFERROR(VLOOKUP(B47,'S-ASIG-01'!$B$5:$E$88,4,0),0))</f>
        <v>4.59</v>
      </c>
      <c r="H47" s="72">
        <f>IF(B47=0,"",IFERROR(VLOOKUP(B47,'S-ASIG-02'!$B$5:$E$88,4,0),0))</f>
        <v>4.46</v>
      </c>
      <c r="I47" s="72">
        <f>IF(B47=0,"",IFERROR(VLOOKUP(B47,'S-ASIG-03'!$B$5:$E$88,4,0),0))</f>
        <v>4.63</v>
      </c>
      <c r="J47" s="72">
        <f>IF(B47=0,"",IFERROR(VLOOKUP(B47,'S-ASIG-04'!$B$5:$E$88,4,0),0))</f>
        <v>3.6900000000000004</v>
      </c>
      <c r="K47" s="72">
        <f>IF(B47=0,"",IFERROR(VLOOKUP(B47,'S-ASIG-05'!$B$5:$E$88,4,0),0))</f>
        <v>4.5999999999999996</v>
      </c>
      <c r="L47" s="72">
        <f>IF(B47=0,"",IFERROR(VLOOKUP(B47,'S-ASIG-06'!$B$5:$E$88,4,0),0))</f>
        <v>4.24</v>
      </c>
      <c r="M47" s="73">
        <f>IF(B47=0,"",IFERROR(VLOOKUP(B47,'S-ASIG-07'!$B$5:$E$88,4,0),0))</f>
        <v>0</v>
      </c>
      <c r="N47" s="68" t="s">
        <v>122</v>
      </c>
      <c r="O47" s="71">
        <f>IF(B47=0,"",IFERROR(VLOOKUP(B47,'T-ASIG-01'!$B$5:$D$88,3,0),0))</f>
        <v>4.2300000000000004</v>
      </c>
      <c r="P47" s="72">
        <f>IF(B47=0,"",IFERROR(VLOOKUP(B47,'T-ASIG-02'!$B$5:$D$88,3,0),0))</f>
        <v>0</v>
      </c>
      <c r="Q47" s="72">
        <f>IF(B47=0,"",IFERROR(VLOOKUP(B47,'T-ASIG-03'!$B$5:$D$88,3,0),0))</f>
        <v>4.370000000000001</v>
      </c>
      <c r="R47" s="72">
        <f>IF(B47=0,"",IFERROR(VLOOKUP(B47,'T-ASIG-04'!$B$5:$D$88,3,0),0))</f>
        <v>3.9250000000000007</v>
      </c>
      <c r="S47" s="72">
        <f>IF(B47=0,"",IFERROR(VLOOKUP(B47,'T-ASIG-05'!$B$5:$D$88,3,0),0))</f>
        <v>4</v>
      </c>
      <c r="T47" s="72">
        <f>IF(B47=0,"",IFERROR(VLOOKUP(B47,'T-ASIG-06'!$B$5:$D$88,3,0),0))</f>
        <v>4.25</v>
      </c>
      <c r="U47" s="73">
        <f>IF(B47=0,"",IFERROR(VLOOKUP(B47,'T-ASIG-07'!$B$5:$D$88,3,0),0))</f>
        <v>0</v>
      </c>
      <c r="V47" s="69" t="s">
        <v>123</v>
      </c>
    </row>
    <row r="48" spans="1:22" ht="15" customHeight="1">
      <c r="A48" s="12">
        <v>44</v>
      </c>
      <c r="B48" s="70" t="str">
        <f>LIDER!C34</f>
        <v>RODRIGUEZ ARCIA MARICRUZ</v>
      </c>
      <c r="C48" s="64" t="str">
        <f>IF(B48=0,"",IFERROR(VLOOKUP(B48,'S-ASIG-01'!$B$5:$E$88,2,0),0))</f>
        <v>G05</v>
      </c>
      <c r="D48" s="65">
        <f t="shared" si="4"/>
        <v>4.3683333333333332</v>
      </c>
      <c r="E48" s="66">
        <f t="shared" si="5"/>
        <v>4.1550000000000002</v>
      </c>
      <c r="F48" s="47"/>
      <c r="G48" s="71">
        <f>IF(B48=0,"",IFERROR(VLOOKUP(B48,'S-ASIG-01'!$B$5:$E$88,4,0),0))</f>
        <v>4.59</v>
      </c>
      <c r="H48" s="72">
        <f>IF(B48=0,"",IFERROR(VLOOKUP(B48,'S-ASIG-02'!$B$5:$E$88,4,0),0))</f>
        <v>4.46</v>
      </c>
      <c r="I48" s="72">
        <f>IF(B48=0,"",IFERROR(VLOOKUP(B48,'S-ASIG-03'!$B$5:$E$88,4,0),0))</f>
        <v>4.63</v>
      </c>
      <c r="J48" s="72">
        <f>IF(B48=0,"",IFERROR(VLOOKUP(B48,'S-ASIG-04'!$B$5:$E$88,4,0),0))</f>
        <v>3.6900000000000004</v>
      </c>
      <c r="K48" s="72">
        <f>IF(B48=0,"",IFERROR(VLOOKUP(B48,'S-ASIG-05'!$B$5:$E$88,4,0),0))</f>
        <v>4.5999999999999996</v>
      </c>
      <c r="L48" s="72">
        <f>IF(B48=0,"",IFERROR(VLOOKUP(B48,'S-ASIG-06'!$B$5:$E$88,4,0),0))</f>
        <v>4.24</v>
      </c>
      <c r="M48" s="73">
        <f>IF(B48=0,"",IFERROR(VLOOKUP(B48,'S-ASIG-07'!$B$5:$E$88,4,0),0))</f>
        <v>0</v>
      </c>
      <c r="N48" s="68" t="s">
        <v>122</v>
      </c>
      <c r="O48" s="71">
        <f>IF(B48=0,"",IFERROR(VLOOKUP(B48,'T-ASIG-01'!$B$5:$D$88,3,0),0))</f>
        <v>4.2300000000000004</v>
      </c>
      <c r="P48" s="72">
        <f>IF(B48=0,"",IFERROR(VLOOKUP(B48,'T-ASIG-02'!$B$5:$D$88,3,0),0))</f>
        <v>0</v>
      </c>
      <c r="Q48" s="72">
        <f>IF(B48=0,"",IFERROR(VLOOKUP(B48,'T-ASIG-03'!$B$5:$D$88,3,0),0))</f>
        <v>4.370000000000001</v>
      </c>
      <c r="R48" s="72">
        <f>IF(B48=0,"",IFERROR(VLOOKUP(B48,'T-ASIG-04'!$B$5:$D$88,3,0),0))</f>
        <v>3.9250000000000007</v>
      </c>
      <c r="S48" s="72">
        <f>IF(B48=0,"",IFERROR(VLOOKUP(B48,'T-ASIG-05'!$B$5:$D$88,3,0),0))</f>
        <v>4</v>
      </c>
      <c r="T48" s="72">
        <f>IF(B48=0,"",IFERROR(VLOOKUP(B48,'T-ASIG-06'!$B$5:$D$88,3,0),0))</f>
        <v>4.25</v>
      </c>
      <c r="U48" s="73">
        <f>IF(B48=0,"",IFERROR(VLOOKUP(B48,'T-ASIG-07'!$B$5:$D$88,3,0),0))</f>
        <v>0</v>
      </c>
      <c r="V48" s="69" t="s">
        <v>123</v>
      </c>
    </row>
    <row r="49" spans="1:22" ht="15" customHeight="1">
      <c r="A49" s="12">
        <v>45</v>
      </c>
      <c r="B49" s="70" t="str">
        <f>LIDER!C19</f>
        <v>GOMEZ JULIO LUIS DANIEL</v>
      </c>
      <c r="C49" s="64" t="str">
        <f>IF(B49=0,"",IFERROR(VLOOKUP(B49,'S-ASIG-01'!$B$5:$E$88,2,0),0))</f>
        <v>G06</v>
      </c>
      <c r="D49" s="65">
        <f t="shared" si="4"/>
        <v>2.5780000000000003</v>
      </c>
      <c r="E49" s="66">
        <f t="shared" si="5"/>
        <v>3.1387499999999999</v>
      </c>
      <c r="F49" s="47"/>
      <c r="G49" s="71">
        <f>IF(B49=0,"",IFERROR(VLOOKUP(B49,'S-ASIG-01'!$B$5:$E$88,4,0),0))</f>
        <v>2.14</v>
      </c>
      <c r="H49" s="72">
        <f>IF(B49=0,"",IFERROR(VLOOKUP(B49,'S-ASIG-02'!$B$5:$E$88,4,0),0))</f>
        <v>2</v>
      </c>
      <c r="I49" s="72">
        <f>IF(B49=0,"",IFERROR(VLOOKUP(B49,'S-ASIG-03'!$B$5:$E$88,4,0),0))</f>
        <v>2.4000000000000004</v>
      </c>
      <c r="J49" s="72">
        <f>IF(B49=0,"",IFERROR(VLOOKUP(B49,'S-ASIG-04'!$B$5:$E$88,4,0),0))</f>
        <v>3.3500000000000005</v>
      </c>
      <c r="K49" s="72">
        <f>IF(B49=0,"",IFERROR(VLOOKUP(B49,'S-ASIG-05'!$B$5:$E$88,4,0),0))</f>
        <v>3</v>
      </c>
      <c r="L49" s="72" t="str">
        <f>IF(B49=0,"",IFERROR(VLOOKUP(B49,'S-ASIG-06'!$B$5:$E$88,4,0),0))</f>
        <v>N</v>
      </c>
      <c r="M49" s="73">
        <f>IF(B49=0,"",IFERROR(VLOOKUP(B49,'S-ASIG-07'!$B$5:$E$88,4,0),0))</f>
        <v>0</v>
      </c>
      <c r="N49" s="68" t="s">
        <v>122</v>
      </c>
      <c r="O49" s="71">
        <f>IF(B49=0,"",IFERROR(VLOOKUP(B49,'T-ASIG-01'!$B$5:$D$88,3,0),0))</f>
        <v>2.4500000000000002</v>
      </c>
      <c r="P49" s="72">
        <f>IF(B49=0,"",IFERROR(VLOOKUP(B49,'T-ASIG-02'!$B$5:$D$88,3,0),0))</f>
        <v>0</v>
      </c>
      <c r="Q49" s="72">
        <f>IF(B49=0,"",IFERROR(VLOOKUP(B49,'T-ASIG-03'!$B$5:$D$88,3,0),0))</f>
        <v>3.1050000000000004</v>
      </c>
      <c r="R49" s="72">
        <f>IF(B49=0,"",IFERROR(VLOOKUP(B49,'T-ASIG-04'!$B$5:$D$88,3,0),0))</f>
        <v>3.5</v>
      </c>
      <c r="S49" s="72">
        <f>IF(B49=0,"",IFERROR(VLOOKUP(B49,'T-ASIG-05'!$B$5:$D$88,3,0),0))</f>
        <v>3.5</v>
      </c>
      <c r="T49" s="72" t="str">
        <f>IF(B49=0,"",IFERROR(VLOOKUP(B49,'T-ASIG-06'!$B$5:$D$88,3,0),0))</f>
        <v>N</v>
      </c>
      <c r="U49" s="73">
        <f>IF(B49=0,"",IFERROR(VLOOKUP(B49,'T-ASIG-07'!$B$5:$D$88,3,0),0))</f>
        <v>0</v>
      </c>
      <c r="V49" s="69" t="s">
        <v>123</v>
      </c>
    </row>
    <row r="50" spans="1:22" ht="15" customHeight="1">
      <c r="A50" s="12">
        <v>46</v>
      </c>
      <c r="B50" s="70" t="str">
        <f>LIDER!C33</f>
        <v>PÉREZ TORRES BRISNEY ALEJANDRA</v>
      </c>
      <c r="C50" s="64" t="str">
        <f>IF(B50=0,"",IFERROR(VLOOKUP(B50,'S-ASIG-01'!$B$5:$E$88,2,0),0))</f>
        <v>G06</v>
      </c>
      <c r="D50" s="65">
        <f t="shared" si="4"/>
        <v>2.5683333333333334</v>
      </c>
      <c r="E50" s="66">
        <f t="shared" si="5"/>
        <v>1.7899999999999998</v>
      </c>
      <c r="F50" s="47"/>
      <c r="G50" s="71">
        <f>IF(B50=0,"",IFERROR(VLOOKUP(B50,'S-ASIG-01'!$B$5:$E$88,4,0),0))</f>
        <v>2.14</v>
      </c>
      <c r="H50" s="72">
        <f>IF(B50=0,"",IFERROR(VLOOKUP(B50,'S-ASIG-02'!$B$5:$E$88,4,0),0))</f>
        <v>2</v>
      </c>
      <c r="I50" s="72">
        <f>IF(B50=0,"",IFERROR(VLOOKUP(B50,'S-ASIG-03'!$B$5:$E$88,4,0),0))</f>
        <v>2.4000000000000004</v>
      </c>
      <c r="J50" s="72">
        <f>IF(B50=0,"",IFERROR(VLOOKUP(B50,'S-ASIG-04'!$B$5:$E$88,4,0),0))</f>
        <v>3.3500000000000005</v>
      </c>
      <c r="K50" s="72">
        <f>IF(B50=0,"",IFERROR(VLOOKUP(B50,'S-ASIG-05'!$B$5:$E$88,4,0),0))</f>
        <v>3</v>
      </c>
      <c r="L50" s="72">
        <f>IF(B50=0,"",IFERROR(VLOOKUP(B50,'S-ASIG-06'!$B$5:$E$88,4,0),0))</f>
        <v>2.52</v>
      </c>
      <c r="M50" s="73">
        <f>IF(B50=0,"",IFERROR(VLOOKUP(B50,'S-ASIG-07'!$B$5:$E$88,4,0),0))</f>
        <v>0</v>
      </c>
      <c r="N50" s="68" t="s">
        <v>122</v>
      </c>
      <c r="O50" s="71">
        <f>IF(B50=0,"",IFERROR(VLOOKUP(B50,'T-ASIG-01'!$B$5:$D$88,3,0),0))</f>
        <v>2.4500000000000002</v>
      </c>
      <c r="P50" s="72">
        <f>IF(B50=0,"",IFERROR(VLOOKUP(B50,'T-ASIG-02'!$B$5:$D$88,3,0),0))</f>
        <v>0</v>
      </c>
      <c r="Q50" s="72">
        <f>IF(B50=0,"",IFERROR(VLOOKUP(B50,'T-ASIG-03'!$B$5:$D$88,3,0),0))</f>
        <v>1.5</v>
      </c>
      <c r="R50" s="72">
        <f>IF(B50=0,"",IFERROR(VLOOKUP(B50,'T-ASIG-04'!$B$5:$D$88,3,0),0))</f>
        <v>1.75</v>
      </c>
      <c r="S50" s="72">
        <f>IF(B50=0,"",IFERROR(VLOOKUP(B50,'T-ASIG-05'!$B$5:$D$88,3,0),0))</f>
        <v>1.75</v>
      </c>
      <c r="T50" s="72">
        <f>IF(B50=0,"",IFERROR(VLOOKUP(B50,'T-ASIG-06'!$B$5:$D$88,3,0),0))</f>
        <v>1.5</v>
      </c>
      <c r="U50" s="73">
        <f>IF(B50=0,"",IFERROR(VLOOKUP(B50,'T-ASIG-07'!$B$5:$D$88,3,0),0))</f>
        <v>0</v>
      </c>
      <c r="V50" s="69" t="s">
        <v>123</v>
      </c>
    </row>
    <row r="51" spans="1:22" ht="15" customHeight="1">
      <c r="A51" s="12">
        <v>47</v>
      </c>
      <c r="B51" s="70" t="str">
        <f>LIDER!C36</f>
        <v xml:space="preserve">GOMEZ PINEDA DIEGO ALEJANDRO </v>
      </c>
      <c r="C51" s="64" t="str">
        <f>IF(B51=0,"",IFERROR(VLOOKUP(B51,'S-ASIG-01'!$B$5:$E$88,2,0),0))</f>
        <v>G06</v>
      </c>
      <c r="D51" s="65">
        <f t="shared" si="4"/>
        <v>2.6225000000000005</v>
      </c>
      <c r="E51" s="66">
        <f t="shared" si="5"/>
        <v>3.15</v>
      </c>
      <c r="F51" s="47"/>
      <c r="G51" s="71">
        <f>IF(B51=0,"",IFERROR(VLOOKUP(B51,'S-ASIG-01'!$B$5:$E$88,4,0),0))</f>
        <v>2.14</v>
      </c>
      <c r="H51" s="72">
        <f>IF(B51=0,"",IFERROR(VLOOKUP(B51,'S-ASIG-02'!$B$5:$E$88,4,0),0))</f>
        <v>2</v>
      </c>
      <c r="I51" s="72" t="str">
        <f>IF(B51=0,"",IFERROR(VLOOKUP(B51,'S-ASIG-03'!$B$5:$E$88,4,0),0))</f>
        <v>N</v>
      </c>
      <c r="J51" s="72">
        <f>IF(B51=0,"",IFERROR(VLOOKUP(B51,'S-ASIG-04'!$B$5:$E$88,4,0),0))</f>
        <v>3.3500000000000005</v>
      </c>
      <c r="K51" s="72">
        <f>IF(B51=0,"",IFERROR(VLOOKUP(B51,'S-ASIG-05'!$B$5:$E$88,4,0),0))</f>
        <v>3</v>
      </c>
      <c r="L51" s="72" t="str">
        <f>IF(B51=0,"",IFERROR(VLOOKUP(B51,'S-ASIG-06'!$B$5:$E$88,4,0),0))</f>
        <v>N</v>
      </c>
      <c r="M51" s="73">
        <f>IF(B51=0,"",IFERROR(VLOOKUP(B51,'S-ASIG-07'!$B$5:$E$88,4,0),0))</f>
        <v>0</v>
      </c>
      <c r="N51" s="68" t="s">
        <v>122</v>
      </c>
      <c r="O51" s="71">
        <f>IF(B51=0,"",IFERROR(VLOOKUP(B51,'T-ASIG-01'!$B$5:$D$88,3,0),0))</f>
        <v>2.4500000000000002</v>
      </c>
      <c r="P51" s="72">
        <f>IF(B51=0,"",IFERROR(VLOOKUP(B51,'T-ASIG-02'!$B$5:$D$88,3,0),0))</f>
        <v>0</v>
      </c>
      <c r="Q51" s="72" t="str">
        <f>IF(B51=0,"",IFERROR(VLOOKUP(B51,'T-ASIG-03'!$B$5:$D$88,3,0),0))</f>
        <v>N</v>
      </c>
      <c r="R51" s="72">
        <f>IF(B51=0,"",IFERROR(VLOOKUP(B51,'T-ASIG-04'!$B$5:$D$88,3,0),0))</f>
        <v>3.5</v>
      </c>
      <c r="S51" s="72">
        <f>IF(B51=0,"",IFERROR(VLOOKUP(B51,'T-ASIG-05'!$B$5:$D$88,3,0),0))</f>
        <v>3.5</v>
      </c>
      <c r="T51" s="72" t="str">
        <f>IF(B51=0,"",IFERROR(VLOOKUP(B51,'T-ASIG-06'!$B$5:$D$88,3,0),0))</f>
        <v>N</v>
      </c>
      <c r="U51" s="73">
        <f>IF(B51=0,"",IFERROR(VLOOKUP(B51,'T-ASIG-07'!$B$5:$D$88,3,0),0))</f>
        <v>0</v>
      </c>
      <c r="V51" s="69" t="s">
        <v>123</v>
      </c>
    </row>
    <row r="52" spans="1:22" ht="15" customHeight="1">
      <c r="A52" s="12">
        <v>48</v>
      </c>
      <c r="B52" s="70" t="str">
        <f>LIDER!C37</f>
        <v xml:space="preserve">ZUÑIGA ARANGO  NICOLAS </v>
      </c>
      <c r="C52" s="64" t="str">
        <f>IF(B52=0,"",IFERROR(VLOOKUP(B52,'S-ASIG-01'!$B$5:$E$88,2,0),0))</f>
        <v>G06</v>
      </c>
      <c r="D52" s="65">
        <f t="shared" si="4"/>
        <v>2.5780000000000003</v>
      </c>
      <c r="E52" s="66">
        <f t="shared" si="5"/>
        <v>3.1387499999999999</v>
      </c>
      <c r="F52" s="47"/>
      <c r="G52" s="71">
        <f>IF(B52=0,"",IFERROR(VLOOKUP(B52,'S-ASIG-01'!$B$5:$E$88,4,0),0))</f>
        <v>2.14</v>
      </c>
      <c r="H52" s="72">
        <f>IF(B52=0,"",IFERROR(VLOOKUP(B52,'S-ASIG-02'!$B$5:$E$88,4,0),0))</f>
        <v>2</v>
      </c>
      <c r="I52" s="72">
        <f>IF(B52=0,"",IFERROR(VLOOKUP(B52,'S-ASIG-03'!$B$5:$E$88,4,0),0))</f>
        <v>2.4000000000000004</v>
      </c>
      <c r="J52" s="72">
        <f>IF(B52=0,"",IFERROR(VLOOKUP(B52,'S-ASIG-04'!$B$5:$E$88,4,0),0))</f>
        <v>3.3500000000000005</v>
      </c>
      <c r="K52" s="72">
        <f>IF(B52=0,"",IFERROR(VLOOKUP(B52,'S-ASIG-05'!$B$5:$E$88,4,0),0))</f>
        <v>3</v>
      </c>
      <c r="L52" s="72" t="str">
        <f>IF(B52=0,"",IFERROR(VLOOKUP(B52,'S-ASIG-06'!$B$5:$E$88,4,0),0))</f>
        <v>N</v>
      </c>
      <c r="M52" s="73">
        <f>IF(B52=0,"",IFERROR(VLOOKUP(B52,'S-ASIG-07'!$B$5:$E$88,4,0),0))</f>
        <v>0</v>
      </c>
      <c r="N52" s="68" t="s">
        <v>122</v>
      </c>
      <c r="O52" s="71">
        <f>IF(B52=0,"",IFERROR(VLOOKUP(B52,'T-ASIG-01'!$B$5:$D$88,3,0),0))</f>
        <v>2.4500000000000002</v>
      </c>
      <c r="P52" s="72">
        <f>IF(B52=0,"",IFERROR(VLOOKUP(B52,'T-ASIG-02'!$B$5:$D$88,3,0),0))</f>
        <v>0</v>
      </c>
      <c r="Q52" s="72">
        <f>IF(B52=0,"",IFERROR(VLOOKUP(B52,'T-ASIG-03'!$B$5:$D$88,3,0),0))</f>
        <v>3.1050000000000004</v>
      </c>
      <c r="R52" s="72">
        <f>IF(B52=0,"",IFERROR(VLOOKUP(B52,'T-ASIG-04'!$B$5:$D$88,3,0),0))</f>
        <v>3.5</v>
      </c>
      <c r="S52" s="72">
        <f>IF(B52=0,"",IFERROR(VLOOKUP(B52,'T-ASIG-05'!$B$5:$D$88,3,0),0))</f>
        <v>3.5</v>
      </c>
      <c r="T52" s="72" t="str">
        <f>IF(B52=0,"",IFERROR(VLOOKUP(B52,'T-ASIG-06'!$B$5:$D$88,3,0),0))</f>
        <v>N</v>
      </c>
      <c r="U52" s="73">
        <f>IF(B52=0,"",IFERROR(VLOOKUP(B52,'T-ASIG-07'!$B$5:$D$88,3,0),0))</f>
        <v>0</v>
      </c>
      <c r="V52" s="69" t="s">
        <v>123</v>
      </c>
    </row>
    <row r="53" spans="1:22" ht="15" customHeight="1">
      <c r="A53" s="12">
        <v>49</v>
      </c>
      <c r="B53" s="70" t="str">
        <f>LIDER!C38</f>
        <v xml:space="preserve">MARTINEZ SARMIENTO ISAAC DAVID </v>
      </c>
      <c r="C53" s="64" t="str">
        <f>IF(B53=0,"",IFERROR(VLOOKUP(B53,'S-ASIG-01'!$B$5:$E$88,2,0),0))</f>
        <v>G06</v>
      </c>
      <c r="D53" s="65">
        <f t="shared" si="4"/>
        <v>2.5780000000000003</v>
      </c>
      <c r="E53" s="66">
        <f t="shared" si="5"/>
        <v>3.1387499999999999</v>
      </c>
      <c r="F53" s="47"/>
      <c r="G53" s="71">
        <f>IF(B53=0,"",IFERROR(VLOOKUP(B53,'S-ASIG-01'!$B$5:$E$88,4,0),0))</f>
        <v>2.14</v>
      </c>
      <c r="H53" s="72">
        <f>IF(B53=0,"",IFERROR(VLOOKUP(B53,'S-ASIG-02'!$B$5:$E$88,4,0),0))</f>
        <v>2</v>
      </c>
      <c r="I53" s="72">
        <f>IF(B53=0,"",IFERROR(VLOOKUP(B53,'S-ASIG-03'!$B$5:$E$88,4,0),0))</f>
        <v>2.4000000000000004</v>
      </c>
      <c r="J53" s="72">
        <f>IF(B53=0,"",IFERROR(VLOOKUP(B53,'S-ASIG-04'!$B$5:$E$88,4,0),0))</f>
        <v>3.3500000000000005</v>
      </c>
      <c r="K53" s="72">
        <f>IF(B53=0,"",IFERROR(VLOOKUP(B53,'S-ASIG-05'!$B$5:$E$88,4,0),0))</f>
        <v>3</v>
      </c>
      <c r="L53" s="72" t="str">
        <f>IF(B53=0,"",IFERROR(VLOOKUP(B53,'S-ASIG-06'!$B$5:$E$88,4,0),0))</f>
        <v>N</v>
      </c>
      <c r="M53" s="73">
        <f>IF(B53=0,"",IFERROR(VLOOKUP(B53,'S-ASIG-07'!$B$5:$E$88,4,0),0))</f>
        <v>0</v>
      </c>
      <c r="N53" s="68" t="s">
        <v>122</v>
      </c>
      <c r="O53" s="71">
        <f>IF(B53=0,"",IFERROR(VLOOKUP(B53,'T-ASIG-01'!$B$5:$D$88,3,0),0))</f>
        <v>2.4500000000000002</v>
      </c>
      <c r="P53" s="72">
        <f>IF(B53=0,"",IFERROR(VLOOKUP(B53,'T-ASIG-02'!$B$5:$D$88,3,0),0))</f>
        <v>0</v>
      </c>
      <c r="Q53" s="72">
        <f>IF(B53=0,"",IFERROR(VLOOKUP(B53,'T-ASIG-03'!$B$5:$D$88,3,0),0))</f>
        <v>3.1050000000000004</v>
      </c>
      <c r="R53" s="72">
        <f>IF(B53=0,"",IFERROR(VLOOKUP(B53,'T-ASIG-04'!$B$5:$D$88,3,0),0))</f>
        <v>3.5</v>
      </c>
      <c r="S53" s="72">
        <f>IF(B53=0,"",IFERROR(VLOOKUP(B53,'T-ASIG-05'!$B$5:$D$88,3,0),0))</f>
        <v>3.5</v>
      </c>
      <c r="T53" s="72" t="str">
        <f>IF(B53=0,"",IFERROR(VLOOKUP(B53,'T-ASIG-06'!$B$5:$D$88,3,0),0))</f>
        <v>N</v>
      </c>
      <c r="U53" s="73">
        <f>IF(B53=0,"",IFERROR(VLOOKUP(B53,'T-ASIG-07'!$B$5:$D$88,3,0),0))</f>
        <v>0</v>
      </c>
      <c r="V53" s="69" t="s">
        <v>123</v>
      </c>
    </row>
    <row r="54" spans="1:22" ht="15" customHeight="1" thickBot="1">
      <c r="A54" s="15">
        <v>50</v>
      </c>
      <c r="B54" s="74" t="str">
        <f>LIDER!C39</f>
        <v xml:space="preserve">LOPEZ NAVARRO LUIS ENRIQUE </v>
      </c>
      <c r="C54" s="75" t="str">
        <f>IF(B54=0,"",IFERROR(VLOOKUP(B54,'S-ASIG-01'!$B$5:$E$88,2,0),0))</f>
        <v>G06</v>
      </c>
      <c r="D54" s="76">
        <f t="shared" si="4"/>
        <v>2.6225000000000005</v>
      </c>
      <c r="E54" s="77">
        <f t="shared" si="5"/>
        <v>3.15</v>
      </c>
      <c r="F54" s="47"/>
      <c r="G54" s="78">
        <f>IF(B54=0,"",IFERROR(VLOOKUP(B54,'S-ASIG-01'!$B$5:$E$88,4,0),0))</f>
        <v>2.14</v>
      </c>
      <c r="H54" s="79">
        <f>IF(B54=0,"",IFERROR(VLOOKUP(B54,'S-ASIG-02'!$B$5:$E$88,4,0),0))</f>
        <v>2</v>
      </c>
      <c r="I54" s="79" t="str">
        <f>IF(B54=0,"",IFERROR(VLOOKUP(B54,'S-ASIG-03'!$B$5:$E$88,4,0),0))</f>
        <v>N</v>
      </c>
      <c r="J54" s="79">
        <f>IF(B54=0,"",IFERROR(VLOOKUP(B54,'S-ASIG-04'!$B$5:$E$88,4,0),0))</f>
        <v>3.3500000000000005</v>
      </c>
      <c r="K54" s="79">
        <f>IF(B54=0,"",IFERROR(VLOOKUP(B54,'S-ASIG-05'!$B$5:$E$88,4,0),0))</f>
        <v>3</v>
      </c>
      <c r="L54" s="79" t="str">
        <f>IF(B54=0,"",IFERROR(VLOOKUP(B54,'S-ASIG-06'!$B$5:$E$88,4,0),0))</f>
        <v>N</v>
      </c>
      <c r="M54" s="80">
        <f>IF(B54=0,"",IFERROR(VLOOKUP(B54,'S-ASIG-07'!$B$5:$E$88,4,0),0))</f>
        <v>0</v>
      </c>
      <c r="N54" s="68" t="s">
        <v>122</v>
      </c>
      <c r="O54" s="78">
        <f>IF(B54=0,"",IFERROR(VLOOKUP(B54,'T-ASIG-01'!$B$5:$D$88,3,0),0))</f>
        <v>2.4500000000000002</v>
      </c>
      <c r="P54" s="79">
        <f>IF(B54=0,"",IFERROR(VLOOKUP(B54,'T-ASIG-02'!$B$5:$D$88,3,0),0))</f>
        <v>0</v>
      </c>
      <c r="Q54" s="79" t="str">
        <f>IF(B54=0,"",IFERROR(VLOOKUP(B54,'T-ASIG-03'!$B$5:$D$88,3,0),0))</f>
        <v>N</v>
      </c>
      <c r="R54" s="79">
        <f>IF(B54=0,"",IFERROR(VLOOKUP(B54,'T-ASIG-04'!$B$5:$D$88,3,0),0))</f>
        <v>3.5</v>
      </c>
      <c r="S54" s="79">
        <f>IF(B54=0,"",IFERROR(VLOOKUP(B54,'T-ASIG-05'!$B$5:$D$88,3,0),0))</f>
        <v>3.5</v>
      </c>
      <c r="T54" s="79" t="str">
        <f>IF(B54=0,"",IFERROR(VLOOKUP(B54,'T-ASIG-06'!$B$5:$D$88,3,0),0))</f>
        <v>N</v>
      </c>
      <c r="U54" s="80">
        <f>IF(B54=0,"",IFERROR(VLOOKUP(B54,'T-ASIG-07'!$B$5:$D$88,3,0),0))</f>
        <v>0</v>
      </c>
      <c r="V54" s="69" t="s">
        <v>123</v>
      </c>
    </row>
  </sheetData>
  <sheetProtection algorithmName="SHA-512" hashValue="1eair4Vu/KX4uB2UHiKpm788NrjIcyhRcPpCKqbgzGh3l8l/lbom20y3wELW0JYN/PdeLrRDIuuKaH91OaNDJA==" saltValue="6QhlX+hCM2k9dMix/HUBqQ==" spinCount="100000" sheet="1" objects="1" scenarios="1"/>
  <autoFilter ref="B4:E4" xr:uid="{A552E55D-77B5-4F91-A8D3-B332FB7E1763}">
    <sortState xmlns:xlrd2="http://schemas.microsoft.com/office/spreadsheetml/2017/richdata2" ref="B5:E54">
      <sortCondition ref="C4"/>
    </sortState>
  </autoFilter>
  <mergeCells count="4">
    <mergeCell ref="G2:M2"/>
    <mergeCell ref="N1:O1"/>
    <mergeCell ref="G1:M1"/>
    <mergeCell ref="O2:U2"/>
  </mergeCells>
  <conditionalFormatting sqref="B5:E54 G5:M54 O5:U54">
    <cfRule type="expression" dxfId="32" priority="6">
      <formula>ISEVEN($A5)</formula>
    </cfRule>
  </conditionalFormatting>
  <conditionalFormatting sqref="B5:U54">
    <cfRule type="cellIs" dxfId="31" priority="3" operator="equal">
      <formula>0</formula>
    </cfRule>
  </conditionalFormatting>
  <conditionalFormatting sqref="D5:U54">
    <cfRule type="cellIs" dxfId="30" priority="1" operator="equal">
      <formula>5</formula>
    </cfRule>
    <cfRule type="cellIs" dxfId="29" priority="4" operator="between">
      <formula>0.1</formula>
      <formula>2.9999999999</formula>
    </cfRule>
    <cfRule type="cellIs" dxfId="28" priority="5" operator="between">
      <formula>4</formula>
      <formula>4.9999999999</formula>
    </cfRule>
  </conditionalFormatting>
  <conditionalFormatting sqref="G5:U54">
    <cfRule type="containsText" dxfId="27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34" activePane="bottomRight" state="frozen"/>
      <selection pane="bottomRight" activeCell="K41" sqref="K4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ESTADÍSTICA</v>
      </c>
      <c r="C2" s="3"/>
      <c r="E2" s="148" t="s">
        <v>92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CONCATENATE(LIDER!F4," - ",LIDER!F6," - ",LIDER!F5)</f>
        <v>ESTADÍSTICA - 1924 - ANTONIO OSPINO RODRIGUEZ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94</v>
      </c>
      <c r="C5" s="34" t="str">
        <f>IF('S-ASIG-04'!D5="","",'S-ASIG-04'!D5)</f>
        <v>LIST</v>
      </c>
      <c r="D5" s="35" t="s">
        <v>97</v>
      </c>
      <c r="E5" s="144" t="str">
        <f>LIDER!$E$29</f>
        <v xml:space="preserve">GRUPO#1  Vestidos de Baño en Crochet (Brazil, Estados Unidos y República Dominicana) 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BARRIOS BENITEZ EMILY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3.9049999999999998</v>
      </c>
      <c r="E6" s="142">
        <v>4</v>
      </c>
      <c r="F6" s="24">
        <v>4</v>
      </c>
      <c r="G6" s="24">
        <v>3.5</v>
      </c>
      <c r="H6" s="24">
        <v>3.5</v>
      </c>
      <c r="I6" s="24">
        <v>4</v>
      </c>
      <c r="J6" s="24">
        <v>3.8</v>
      </c>
      <c r="K6" s="24"/>
    </row>
    <row r="7" spans="1:11" s="2" customFormat="1" ht="15" customHeight="1">
      <c r="A7" s="12">
        <v>2</v>
      </c>
      <c r="B7" s="28" t="str">
        <f>LIDER!E44</f>
        <v>HERRERA TEJEDOR BRENDIS VANESA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3.9249999999999998</v>
      </c>
      <c r="E7" s="142"/>
      <c r="F7" s="18">
        <v>4.0999999999999996</v>
      </c>
      <c r="G7" s="18">
        <v>3.5</v>
      </c>
      <c r="H7" s="18">
        <v>3.5</v>
      </c>
      <c r="I7" s="18">
        <v>4</v>
      </c>
      <c r="J7" s="18">
        <v>3.8</v>
      </c>
      <c r="K7" s="18"/>
    </row>
    <row r="8" spans="1:11" s="2" customFormat="1" ht="15" customHeight="1">
      <c r="A8" s="12">
        <v>3</v>
      </c>
      <c r="B8" s="28" t="str">
        <f>LIDER!E45</f>
        <v>RUIZ RIVERO HEILEEN CAROLINA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3.9449999999999998</v>
      </c>
      <c r="E8" s="142"/>
      <c r="F8" s="18">
        <v>4.2</v>
      </c>
      <c r="G8" s="18">
        <v>3.5</v>
      </c>
      <c r="H8" s="18">
        <v>3.5</v>
      </c>
      <c r="I8" s="18">
        <v>4</v>
      </c>
      <c r="J8" s="18">
        <v>3.8</v>
      </c>
      <c r="K8" s="18"/>
    </row>
    <row r="9" spans="1:11" s="2" customFormat="1" ht="15" customHeight="1">
      <c r="A9" s="12">
        <v>4</v>
      </c>
      <c r="B9" s="28" t="str">
        <f>LIDER!E46</f>
        <v>DE ARCOS AVENDAÑO SAID JADITH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3.9649999999999999</v>
      </c>
      <c r="E9" s="142"/>
      <c r="F9" s="18">
        <v>4.3</v>
      </c>
      <c r="G9" s="18">
        <v>3.5</v>
      </c>
      <c r="H9" s="18">
        <v>3.5</v>
      </c>
      <c r="I9" s="18">
        <v>4</v>
      </c>
      <c r="J9" s="18">
        <v>3.8</v>
      </c>
      <c r="K9" s="18"/>
    </row>
    <row r="10" spans="1:11" s="2" customFormat="1" ht="15" customHeight="1">
      <c r="A10" s="12">
        <v>5</v>
      </c>
      <c r="B10" s="28" t="str">
        <f>LIDER!E47</f>
        <v>CASTILLO VILLA NELDA SOFIA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3.9849999999999999</v>
      </c>
      <c r="E10" s="142"/>
      <c r="F10" s="18">
        <v>4.4000000000000004</v>
      </c>
      <c r="G10" s="18">
        <v>3.5</v>
      </c>
      <c r="H10" s="18">
        <v>3.5</v>
      </c>
      <c r="I10" s="18">
        <v>4</v>
      </c>
      <c r="J10" s="18">
        <v>3.8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98</v>
      </c>
      <c r="C12" s="32" t="str">
        <f>IF('S-ASIG-04'!D12="","",'S-ASIG-04'!D12)</f>
        <v>LIST</v>
      </c>
      <c r="D12" s="35" t="s">
        <v>97</v>
      </c>
      <c r="E12" s="144" t="str">
        <f>LIDER!$E$30</f>
        <v xml:space="preserve">GRUPO#2  VINO DE MARACUYA, CHILE , PANAMA Y ESTADOS UNDOS) 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NARVAEZ MORELO WISNEEY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3.8749999999999996</v>
      </c>
      <c r="E13" s="142">
        <v>3.5</v>
      </c>
      <c r="F13" s="24">
        <v>4</v>
      </c>
      <c r="G13" s="24">
        <v>4</v>
      </c>
      <c r="H13" s="24">
        <v>3.5</v>
      </c>
      <c r="I13" s="24">
        <v>5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CASUSOL RODRIGUEZ AYLIN MARIANA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3.8749999999999996</v>
      </c>
      <c r="E14" s="142"/>
      <c r="F14" s="18">
        <v>4</v>
      </c>
      <c r="G14" s="18">
        <v>4</v>
      </c>
      <c r="H14" s="18">
        <v>3.5</v>
      </c>
      <c r="I14" s="18">
        <v>5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>CARMONA SIERRA YIRLEIS PATRICIA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3.8749999999999996</v>
      </c>
      <c r="E15" s="142"/>
      <c r="F15" s="18">
        <v>4</v>
      </c>
      <c r="G15" s="18">
        <v>4</v>
      </c>
      <c r="H15" s="18">
        <v>3.5</v>
      </c>
      <c r="I15" s="18">
        <v>5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>MAGALLANES PEDROZA VALENTINA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3.8749999999999996</v>
      </c>
      <c r="E16" s="142"/>
      <c r="F16" s="18">
        <v>4</v>
      </c>
      <c r="G16" s="18">
        <v>4</v>
      </c>
      <c r="H16" s="18">
        <v>3.5</v>
      </c>
      <c r="I16" s="18">
        <v>5</v>
      </c>
      <c r="J16" s="18">
        <v>5</v>
      </c>
      <c r="K16" s="18"/>
    </row>
    <row r="17" spans="1:11" s="2" customFormat="1" ht="15" customHeight="1">
      <c r="A17" s="12">
        <v>5</v>
      </c>
      <c r="B17" s="28" t="str">
        <f>LIDER!F47</f>
        <v>MOLINA PÁJARO MARIA DE LOS ÁNGELES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3.8749999999999996</v>
      </c>
      <c r="E17" s="142"/>
      <c r="F17" s="18">
        <v>4</v>
      </c>
      <c r="G17" s="18">
        <v>4</v>
      </c>
      <c r="H17" s="18">
        <v>3.5</v>
      </c>
      <c r="I17" s="18">
        <v>5</v>
      </c>
      <c r="J17" s="18">
        <v>5</v>
      </c>
      <c r="K17" s="18"/>
    </row>
    <row r="18" spans="1:11" s="2" customFormat="1" ht="15.75" customHeight="1" thickBot="1">
      <c r="A18" s="13">
        <v>6</v>
      </c>
      <c r="B18" s="28" t="str">
        <f>LIDER!F48</f>
        <v>ESMERAL CORDERO NORIETH CAROLINA</v>
      </c>
      <c r="C18" s="33" t="str">
        <f>IF('S-ASIG-04'!D18="","",'S-ASIG-04'!D18)</f>
        <v/>
      </c>
      <c r="D18" s="30">
        <f>IF(B18=0,"",IF(C18="",$E$13*LIDER!$H$19+F18*LIDER!$H$20+G18*LIDER!$H$21+H18*LIDER!$H$22+I18*LIDER!$H$23+J18*LIDER!$H$24+K18*LIDER!$H$25,"N"))</f>
        <v>3.8749999999999996</v>
      </c>
      <c r="E18" s="142"/>
      <c r="F18" s="26">
        <v>4</v>
      </c>
      <c r="G18" s="26">
        <v>4</v>
      </c>
      <c r="H18" s="26">
        <v>3.5</v>
      </c>
      <c r="I18" s="26">
        <v>5</v>
      </c>
      <c r="J18" s="26">
        <v>5</v>
      </c>
      <c r="K18" s="26"/>
    </row>
    <row r="19" spans="1:11" s="2" customFormat="1" ht="15.75" customHeight="1" thickBot="1">
      <c r="A19" s="14"/>
      <c r="B19" s="27" t="s">
        <v>100</v>
      </c>
      <c r="C19" s="32" t="str">
        <f>IF('S-ASIG-04'!D19="","",'S-ASIG-04'!D19)</f>
        <v>LIST</v>
      </c>
      <c r="D19" s="35" t="s">
        <v>97</v>
      </c>
      <c r="E19" s="144" t="str">
        <f>LIDER!$E$31</f>
        <v>GRUPO#3  TRAJES DE BAÑO PARA PERSONAS DE CONTEXTURA GRUESA  (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CHAVEZ ARRIETA EVELYN SHARY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4.5750000000000002</v>
      </c>
      <c r="E20" s="142">
        <v>4.5</v>
      </c>
      <c r="F20" s="24">
        <v>4.5</v>
      </c>
      <c r="G20" s="24">
        <v>4.5</v>
      </c>
      <c r="H20" s="24">
        <v>4.5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PEREZ MORENO ANA ISABEL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4.5750000000000002</v>
      </c>
      <c r="E21" s="142"/>
      <c r="F21" s="18">
        <v>4.5</v>
      </c>
      <c r="G21" s="18">
        <v>4.5</v>
      </c>
      <c r="H21" s="18">
        <v>4.5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PÁJARO DE LA PEÑA ANGELA ISABEL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4.5750000000000002</v>
      </c>
      <c r="E22" s="142"/>
      <c r="F22" s="18">
        <v>4.5</v>
      </c>
      <c r="G22" s="18">
        <v>4.5</v>
      </c>
      <c r="H22" s="18">
        <v>4.5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102</v>
      </c>
      <c r="C26" s="32" t="str">
        <f>IF('S-ASIG-04'!D26="","",'S-ASIG-04'!D26)</f>
        <v>LIST</v>
      </c>
      <c r="D26" s="35" t="s">
        <v>97</v>
      </c>
      <c r="E26" s="144" t="str">
        <f>LIDER!$E$32</f>
        <v>GRUPO#4  KITS PICKNIC ESPAÑA, BRAZIL Y PERU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BARRIOS CUADRADO HEILIN TATIANA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3.75</v>
      </c>
      <c r="E27" s="142">
        <v>3.5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MARTINEZ JULIO YEMILY ALBANIS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3.75</v>
      </c>
      <c r="E28" s="142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MANJARRES CORREA PAULA ANDREA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3.75</v>
      </c>
      <c r="E29" s="142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GARCIA MATUTE VALERIE DANIELA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3.75</v>
      </c>
      <c r="E30" s="142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104</v>
      </c>
      <c r="C33" s="32" t="str">
        <f>IF('S-ASIG-04'!D33="","",'S-ASIG-04'!D33)</f>
        <v>LIST</v>
      </c>
      <c r="D33" s="35" t="s">
        <v>97</v>
      </c>
      <c r="E33" s="144" t="str">
        <f>LIDER!$E$33</f>
        <v xml:space="preserve">GRUPO#5  HAMACAS INTERNACIONALES CON COJINES ESTADOS UNIDOS, SUECIA Y ESPAÑA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PADILLA MORALES VALERIE SOFIA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3.9250000000000007</v>
      </c>
      <c r="E34" s="142">
        <v>4</v>
      </c>
      <c r="F34" s="24">
        <v>3.5</v>
      </c>
      <c r="G34" s="24">
        <v>3.5</v>
      </c>
      <c r="H34" s="24">
        <v>4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RODRIGUEZ ARCIA MARICRUZ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3.9250000000000007</v>
      </c>
      <c r="E35" s="142"/>
      <c r="F35" s="18">
        <v>3.5</v>
      </c>
      <c r="G35" s="18">
        <v>3.5</v>
      </c>
      <c r="H35" s="18">
        <v>4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DONADO ALMANZA DAVID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3.9250000000000007</v>
      </c>
      <c r="E36" s="142"/>
      <c r="F36" s="18">
        <v>3.5</v>
      </c>
      <c r="G36" s="18">
        <v>3.5</v>
      </c>
      <c r="H36" s="18">
        <v>4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106</v>
      </c>
      <c r="C40" s="32" t="str">
        <f>IF('S-ASIG-04'!D40="","",'S-ASIG-04'!D40)</f>
        <v>LIST</v>
      </c>
      <c r="D40" s="35" t="s">
        <v>97</v>
      </c>
      <c r="E40" s="144" t="str">
        <f>LIDER!$E$34</f>
        <v xml:space="preserve">GRUPO#6  COSMETICOS A BASE DE CAFE ,  ESPAÑA , ESTADOS UNIDOS,  CANADA 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PÉREZ TORRES BRISNEY ALEJANDRA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1.75</v>
      </c>
      <c r="E41" s="142">
        <v>3.5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/>
    </row>
    <row r="42" spans="1:11" s="2" customFormat="1" ht="15" customHeight="1">
      <c r="A42" s="12">
        <v>2</v>
      </c>
      <c r="B42" s="28" t="str">
        <f>LIDER!F52</f>
        <v xml:space="preserve">GOMEZ PINEDA DIEGO ALEJANDRO 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3.5</v>
      </c>
      <c r="E42" s="142"/>
      <c r="F42" s="18">
        <v>3.5</v>
      </c>
      <c r="G42" s="18">
        <v>3.5</v>
      </c>
      <c r="H42" s="18">
        <v>3.5</v>
      </c>
      <c r="I42" s="18">
        <v>3.5</v>
      </c>
      <c r="J42" s="18">
        <v>3.5</v>
      </c>
      <c r="K42" s="18"/>
    </row>
    <row r="43" spans="1:11" s="2" customFormat="1" ht="15" customHeight="1">
      <c r="A43" s="12">
        <v>3</v>
      </c>
      <c r="B43" s="28" t="str">
        <f>LIDER!F53</f>
        <v xml:space="preserve">ZUÑIGA ARANGO  NICOLAS 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3.5</v>
      </c>
      <c r="E43" s="142"/>
      <c r="F43" s="18">
        <v>3.5</v>
      </c>
      <c r="G43" s="18">
        <v>3.5</v>
      </c>
      <c r="H43" s="18">
        <v>3.5</v>
      </c>
      <c r="I43" s="18">
        <v>3.5</v>
      </c>
      <c r="J43" s="18">
        <v>3.5</v>
      </c>
      <c r="K43" s="18"/>
    </row>
    <row r="44" spans="1:11" s="2" customFormat="1" ht="15" customHeight="1">
      <c r="A44" s="12">
        <v>4</v>
      </c>
      <c r="B44" s="28" t="str">
        <f>LIDER!F54</f>
        <v xml:space="preserve">MARTINEZ SARMIENTO ISAAC DAVID 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3.5</v>
      </c>
      <c r="E44" s="142"/>
      <c r="F44" s="18">
        <v>3.5</v>
      </c>
      <c r="G44" s="18">
        <v>3.5</v>
      </c>
      <c r="H44" s="18">
        <v>3.5</v>
      </c>
      <c r="I44" s="18">
        <v>3.5</v>
      </c>
      <c r="J44" s="18">
        <v>3.5</v>
      </c>
      <c r="K44" s="18"/>
    </row>
    <row r="45" spans="1:11" s="2" customFormat="1" ht="15" customHeight="1">
      <c r="A45" s="12">
        <v>5</v>
      </c>
      <c r="B45" s="28" t="str">
        <f>LIDER!F55</f>
        <v>GOMEZ JULIO LUIS DANIEL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3.5</v>
      </c>
      <c r="E45" s="142"/>
      <c r="F45" s="18">
        <v>3.5</v>
      </c>
      <c r="G45" s="18">
        <v>3.5</v>
      </c>
      <c r="H45" s="18">
        <v>3.5</v>
      </c>
      <c r="I45" s="18">
        <v>3.5</v>
      </c>
      <c r="J45" s="18">
        <v>3.5</v>
      </c>
      <c r="K45" s="18"/>
    </row>
    <row r="46" spans="1:11" s="2" customFormat="1" ht="15.75" customHeight="1" thickBot="1">
      <c r="A46" s="13">
        <v>6</v>
      </c>
      <c r="B46" s="28" t="str">
        <f>LIDER!F56</f>
        <v xml:space="preserve">LOPEZ NAVARRO LUIS ENRIQUE </v>
      </c>
      <c r="C46" s="33" t="str">
        <f>IF('S-ASIG-04'!D46="","",'S-ASIG-04'!D46)</f>
        <v/>
      </c>
      <c r="D46" s="30">
        <f>IF(B46=0,"",IF(C46="",$E$41*LIDER!$H$19+F46*LIDER!$H$20+G46*LIDER!$H$21+H46*LIDER!$H$22+I46*LIDER!$H$23+J46*LIDER!$H$24+K46*LIDER!$H$25,"N"))</f>
        <v>3.5</v>
      </c>
      <c r="E46" s="142"/>
      <c r="F46" s="26">
        <v>3.5</v>
      </c>
      <c r="G46" s="26">
        <v>3.5</v>
      </c>
      <c r="H46" s="26">
        <v>3.5</v>
      </c>
      <c r="I46" s="26">
        <v>3.5</v>
      </c>
      <c r="J46" s="26">
        <v>3.5</v>
      </c>
      <c r="K46" s="26"/>
    </row>
    <row r="47" spans="1:11" s="2" customFormat="1" ht="15.75" customHeight="1" thickBot="1">
      <c r="A47" s="14"/>
      <c r="B47" s="27" t="s">
        <v>82</v>
      </c>
      <c r="C47" s="32" t="str">
        <f>IF('S-ASIG-04'!D47="","",'S-ASIG-04'!D47)</f>
        <v>LIST</v>
      </c>
      <c r="D47" s="35" t="s">
        <v>97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IF('S-ASIG-04'!D54="","",'S-ASIG-04'!D54)</f>
        <v>LIST</v>
      </c>
      <c r="D54" s="35" t="s">
        <v>97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IF('S-ASIG-04'!D61="","",'S-ASIG-04'!D61)</f>
        <v>LIST</v>
      </c>
      <c r="D61" s="35" t="s">
        <v>97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IF('S-ASIG-04'!D68="","",'S-ASIG-04'!D68)</f>
        <v>LIST</v>
      </c>
      <c r="D68" s="35" t="s">
        <v>97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IF('S-ASIG-04'!D75="","",'S-ASIG-04'!D75)</f>
        <v>LIST</v>
      </c>
      <c r="D75" s="35" t="s">
        <v>97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IF('S-ASIG-04'!D82="","",'S-ASIG-04'!D82)</f>
        <v>LIST</v>
      </c>
      <c r="D82" s="35" t="s">
        <v>97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26" priority="14">
      <formula>ISEVEN($A6)</formula>
    </cfRule>
  </conditionalFormatting>
  <conditionalFormatting sqref="A13:B18 D13:D18">
    <cfRule type="expression" dxfId="25" priority="13">
      <formula>ISEVEN($A13)</formula>
    </cfRule>
  </conditionalFormatting>
  <conditionalFormatting sqref="A20:B25 D20:D25">
    <cfRule type="expression" dxfId="24" priority="12">
      <formula>ISEVEN($A20)</formula>
    </cfRule>
  </conditionalFormatting>
  <conditionalFormatting sqref="A27:B32 D27:D32">
    <cfRule type="expression" dxfId="23" priority="11">
      <formula>ISEVEN($A27)</formula>
    </cfRule>
  </conditionalFormatting>
  <conditionalFormatting sqref="A34:B39 D34:D39">
    <cfRule type="expression" dxfId="22" priority="10">
      <formula>ISEVEN($A34)</formula>
    </cfRule>
  </conditionalFormatting>
  <conditionalFormatting sqref="A41:B46 D41:D46">
    <cfRule type="expression" dxfId="21" priority="9">
      <formula>ISEVEN($A41)</formula>
    </cfRule>
  </conditionalFormatting>
  <conditionalFormatting sqref="A48:B53 D48:D53">
    <cfRule type="expression" dxfId="20" priority="8">
      <formula>ISEVEN($A48)</formula>
    </cfRule>
  </conditionalFormatting>
  <conditionalFormatting sqref="A55:B60 D55:D60">
    <cfRule type="expression" dxfId="19" priority="7">
      <formula>ISEVEN($A55)</formula>
    </cfRule>
  </conditionalFormatting>
  <conditionalFormatting sqref="A62:B67 D62:D67">
    <cfRule type="expression" dxfId="18" priority="6">
      <formula>ISEVEN($A62)</formula>
    </cfRule>
  </conditionalFormatting>
  <conditionalFormatting sqref="A69:B74 D69:D74">
    <cfRule type="expression" dxfId="17" priority="5">
      <formula>ISEVEN($A69)</formula>
    </cfRule>
  </conditionalFormatting>
  <conditionalFormatting sqref="A76:B81 D76:D81">
    <cfRule type="expression" dxfId="16" priority="4">
      <formula>ISEVEN($A76)</formula>
    </cfRule>
  </conditionalFormatting>
  <conditionalFormatting sqref="A83:B88 D83:D88">
    <cfRule type="expression" dxfId="15" priority="3">
      <formula>ISEVEN($A83)</formula>
    </cfRule>
  </conditionalFormatting>
  <conditionalFormatting sqref="B6:B88">
    <cfRule type="cellIs" dxfId="14" priority="2" operator="equal">
      <formula>0</formula>
    </cfRule>
  </conditionalFormatting>
  <conditionalFormatting sqref="C5 B6:D88">
    <cfRule type="expression" dxfId="13" priority="1">
      <formula>$C5="N"</formula>
    </cfRule>
  </conditionalFormatting>
  <conditionalFormatting sqref="E6:K6 F7:K11">
    <cfRule type="expression" dxfId="12" priority="29">
      <formula>ISEVEN($A6)</formula>
    </cfRule>
  </conditionalFormatting>
  <conditionalFormatting sqref="E13:K13 F14:K18">
    <cfRule type="expression" dxfId="11" priority="28">
      <formula>ISEVEN($A13)</formula>
    </cfRule>
  </conditionalFormatting>
  <conditionalFormatting sqref="E20:K20 F21:K25">
    <cfRule type="expression" dxfId="10" priority="27">
      <formula>ISEVEN($A20)</formula>
    </cfRule>
  </conditionalFormatting>
  <conditionalFormatting sqref="E27:K27 F28:K32">
    <cfRule type="expression" dxfId="9" priority="26">
      <formula>ISEVEN($A27)</formula>
    </cfRule>
  </conditionalFormatting>
  <conditionalFormatting sqref="E34:K34 F35:K39">
    <cfRule type="expression" dxfId="8" priority="25">
      <formula>ISEVEN($A34)</formula>
    </cfRule>
  </conditionalFormatting>
  <conditionalFormatting sqref="E41:K41 F42:K46">
    <cfRule type="expression" dxfId="7" priority="24">
      <formula>ISEVEN($A41)</formula>
    </cfRule>
  </conditionalFormatting>
  <conditionalFormatting sqref="E48:K48 F49:K53">
    <cfRule type="expression" dxfId="6" priority="23">
      <formula>ISEVEN($A48)</formula>
    </cfRule>
  </conditionalFormatting>
  <conditionalFormatting sqref="E55:K55 F56:K60">
    <cfRule type="expression" dxfId="5" priority="22">
      <formula>ISEVEN($A55)</formula>
    </cfRule>
  </conditionalFormatting>
  <conditionalFormatting sqref="E62:K62 F63:K67">
    <cfRule type="expression" dxfId="4" priority="21">
      <formula>ISEVEN($A62)</formula>
    </cfRule>
  </conditionalFormatting>
  <conditionalFormatting sqref="E69:K69 F70:K74">
    <cfRule type="expression" dxfId="3" priority="20">
      <formula>ISEVEN($A69)</formula>
    </cfRule>
  </conditionalFormatting>
  <conditionalFormatting sqref="E76:K76 F77:K81">
    <cfRule type="expression" dxfId="2" priority="19">
      <formula>ISEVEN($A76)</formula>
    </cfRule>
  </conditionalFormatting>
  <conditionalFormatting sqref="E83:K83 F84:K88">
    <cfRule type="expression" dxfId="1" priority="18">
      <formula>ISEVEN($A83)</formula>
    </cfRule>
  </conditionalFormatting>
  <conditionalFormatting sqref="F6:K11 F13:K18 F20:K25 F27:K32 F34:K39 F41:K46 F48:K53 F55:K60 F62:K67 F69:K74 F76:K81 F83:K88">
    <cfRule type="expression" dxfId="0" priority="15">
      <formula>$D6="N"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LEIDY ENID QUINTERO SANCHEZ</cp:lastModifiedBy>
  <cp:revision/>
  <dcterms:created xsi:type="dcterms:W3CDTF">2025-09-29T20:45:44Z</dcterms:created>
  <dcterms:modified xsi:type="dcterms:W3CDTF">2026-05-21T13:45:22Z</dcterms:modified>
  <cp:category/>
  <cp:contentStatus/>
</cp:coreProperties>
</file>