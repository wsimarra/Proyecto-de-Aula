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4/"/>
    </mc:Choice>
  </mc:AlternateContent>
  <xr:revisionPtr revIDLastSave="451" documentId="13_ncr:1_{1C29D2B7-C78A-4EA7-9869-DDCA1551E4ED}" xr6:coauthVersionLast="47" xr6:coauthVersionMax="47" xr10:uidLastSave="{9A38148E-A444-45B5-A702-AF82225C37C5}"/>
  <bookViews>
    <workbookView xWindow="-120" yWindow="-120" windowWidth="20730" windowHeight="11040" tabRatio="8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B78" i="16"/>
  <c r="D78" i="16" s="1"/>
  <c r="B77" i="16"/>
  <c r="D77" i="16" s="1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D74" i="7"/>
  <c r="B74" i="7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B70" i="6"/>
  <c r="D70" i="6" s="1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D59" i="6"/>
  <c r="B59" i="6"/>
  <c r="B58" i="6"/>
  <c r="D58" i="6" s="1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B72" i="4"/>
  <c r="D72" i="4" s="1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B79" i="15"/>
  <c r="E79" i="15" s="1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B71" i="15"/>
  <c r="E71" i="15" s="1"/>
  <c r="B70" i="15"/>
  <c r="E70" i="15" s="1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C76" i="13"/>
  <c r="C77" i="13" s="1"/>
  <c r="C78" i="13" s="1"/>
  <c r="C79" i="13" s="1"/>
  <c r="C80" i="13" s="1"/>
  <c r="C81" i="13" s="1"/>
  <c r="B76" i="13"/>
  <c r="E76" i="13" s="1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C78" i="12"/>
  <c r="B78" i="12"/>
  <c r="E78" i="12" s="1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B72" i="10"/>
  <c r="E72" i="10" s="1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6"/>
  <c r="D48" i="7"/>
  <c r="D42" i="3"/>
  <c r="D37" i="4"/>
  <c r="D36" i="6"/>
  <c r="D37" i="16"/>
  <c r="D21" i="4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I50" i="8"/>
  <c r="K50" i="8"/>
  <c r="J50" i="8"/>
  <c r="O50" i="8"/>
  <c r="P50" i="8"/>
  <c r="Q50" i="8"/>
  <c r="C50" i="8"/>
  <c r="R50" i="8"/>
  <c r="S50" i="8"/>
  <c r="T50" i="8"/>
  <c r="U50" i="8"/>
  <c r="G50" i="8"/>
  <c r="D50" i="8" s="1"/>
  <c r="H34" i="8"/>
  <c r="M34" i="8"/>
  <c r="I34" i="8"/>
  <c r="K34" i="8"/>
  <c r="J34" i="8"/>
  <c r="L34" i="8"/>
  <c r="H18" i="8"/>
  <c r="M18" i="8"/>
  <c r="I18" i="8"/>
  <c r="L18" i="8"/>
  <c r="K18" i="8"/>
  <c r="J18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H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E46" i="8" s="1"/>
  <c r="S46" i="8"/>
  <c r="T46" i="8"/>
  <c r="U46" i="8"/>
  <c r="H46" i="8"/>
  <c r="M46" i="8"/>
  <c r="I46" i="8"/>
  <c r="K45" i="8"/>
  <c r="J45" i="8"/>
  <c r="P45" i="8"/>
  <c r="C45" i="8"/>
  <c r="Q45" i="8"/>
  <c r="R45" i="8"/>
  <c r="S45" i="8"/>
  <c r="T45" i="8"/>
  <c r="U45" i="8"/>
  <c r="H45" i="8"/>
  <c r="M45" i="8"/>
  <c r="I45" i="8"/>
  <c r="L45" i="8"/>
  <c r="G45" i="8"/>
  <c r="D45" i="8" s="1"/>
  <c r="O45" i="8"/>
  <c r="E45" i="8" s="1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M44" i="8"/>
  <c r="I44" i="8"/>
  <c r="L44" i="8"/>
  <c r="G44" i="8"/>
  <c r="D44" i="8" s="1"/>
  <c r="P44" i="8"/>
  <c r="E44" i="8" s="1"/>
  <c r="K28" i="8"/>
  <c r="J28" i="8"/>
  <c r="H28" i="8"/>
  <c r="M28" i="8"/>
  <c r="I28" i="8"/>
  <c r="L28" i="8"/>
  <c r="T52" i="8"/>
  <c r="U52" i="8"/>
  <c r="H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M42" i="8"/>
  <c r="I42" i="8"/>
  <c r="L42" i="8"/>
  <c r="G42" i="8"/>
  <c r="K42" i="8"/>
  <c r="R42" i="8"/>
  <c r="E42" i="8" s="1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E47" i="8"/>
  <c r="M47" i="8"/>
  <c r="D47" i="8" s="1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48" i="8" l="1"/>
  <c r="D54" i="8"/>
  <c r="E54" i="8"/>
  <c r="D46" i="8"/>
  <c r="E53" i="8"/>
  <c r="D53" i="8"/>
  <c r="E48" i="8"/>
  <c r="E40" i="8"/>
  <c r="D40" i="8"/>
  <c r="E41" i="8"/>
  <c r="D41" i="8"/>
  <c r="D42" i="8"/>
  <c r="E43" i="8"/>
  <c r="D43" i="8"/>
  <c r="E52" i="8"/>
  <c r="D52" i="8"/>
  <c r="E51" i="8"/>
  <c r="D51" i="8"/>
  <c r="E49" i="8"/>
  <c r="D49" i="8"/>
  <c r="E50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<sst xmlns="http://schemas.openxmlformats.org/spreadsheetml/2006/main" count="734" uniqueCount="149">
  <si>
    <t>TECNOLOGÍA EN GESTIÓN DE NEGOCIOS INTERN</t>
  </si>
  <si>
    <t>SEMESTRE:</t>
  </si>
  <si>
    <t>SEM-04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</si>
  <si>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</si>
  <si>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</si>
  <si>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</si>
  <si>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</si>
  <si>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</si>
  <si>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</si>
  <si>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</si>
  <si>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</si>
  <si>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ESTADÍSTICA</t>
  </si>
  <si>
    <t>ETICA</t>
  </si>
  <si>
    <t>ELECTIVA DE PROFUNDIZACION I</t>
  </si>
  <si>
    <t>IMPORTACIONES Y EXPORTACIONES</t>
  </si>
  <si>
    <t>FUNDAMENTOS DE MERCADEO</t>
  </si>
  <si>
    <t>FUNDAMENTOS DE FINANZAS</t>
  </si>
  <si>
    <t>OSVALDO ALCIDE BLANQUICET LOZANO</t>
  </si>
  <si>
    <t>LEIDY ENID QUINTERO SÁNCHEZ</t>
  </si>
  <si>
    <t>HUMBERTO MARQUEZ PEÑALOZA</t>
  </si>
  <si>
    <t>REYNALDO ARTURO ROJAS TRILLOS</t>
  </si>
  <si>
    <t>GABRIEL EDUARDO CARDONA TUÑON</t>
  </si>
  <si>
    <t>LEONARDO CARLOS DE ORO BARRIOS</t>
  </si>
  <si>
    <t>LISTA DE ESTUDIANTES</t>
  </si>
  <si>
    <t>SEGUNDA ENTREGA - CRITERIO DE EVALUACIÓN DOCUMENTO - SEGUNDO CORTE</t>
  </si>
  <si>
    <t>PONDERACIÓN</t>
  </si>
  <si>
    <t>ADMINISTRACIÓN DE EMPRESAS C.I</t>
  </si>
  <si>
    <t>MESHEL ARAGON AGUIRRE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</si>
  <si>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</si>
  <si>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</si>
  <si>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VALENTINA CASTRO PEREZ</t>
  </si>
  <si>
    <t>ANTEPROYECTO: Portada, planteamiento del problema, justificacion del trabajo o proyecto de aula, objetivos, marco teorico, diseño metodologico.</t>
  </si>
  <si>
    <t>CONTADURÍA PÚBLICA</t>
  </si>
  <si>
    <t>JUAN DIEGO DEL RIO VEGA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</si>
  <si>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</si>
  <si>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</si>
  <si>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MELANIE ISABEL MONSALVE GRANADOS</t>
  </si>
  <si>
    <t>BILIOGRAFIA: Las referencias bibliograficas adoptan las normas APA. El documento es producto de un rastreo bibliografico que muestra analisis y sistensis.</t>
  </si>
  <si>
    <t>HANA SOFIA SANTANA GARCIA</t>
  </si>
  <si>
    <t>ASESORIAS: Anexó la hoja de tutoria firmada ( 3 fimas minmimo).</t>
  </si>
  <si>
    <t>TECNOLOGíA EN GESTION CONTABLE</t>
  </si>
  <si>
    <t>YUREIDYS ALVAREZ CASTELLANO</t>
  </si>
  <si>
    <t>TECNOLOGÍA EN GESTIÓN DE MARKETING</t>
  </si>
  <si>
    <t>EFRAÍN JOSÉ CEBALLOS SALGADO</t>
  </si>
  <si>
    <t>TECNOLOGÍA EN GESTIÓN DEL TALENTO HUMANO</t>
  </si>
  <si>
    <t>ANDRES FELIPE TORRES ARROYO</t>
  </si>
  <si>
    <t>TECNOLOGÍA EN GESTIÓN FINANCIERA</t>
  </si>
  <si>
    <t>YUSETH DAVID VILLEGAS ARTEAGA</t>
  </si>
  <si>
    <t>TECNOLOGÍA EN GESTIÓN LOGISTICA Y PORTUARIA</t>
  </si>
  <si>
    <t>ISAAC JOSE ZAPATA ZAPATA</t>
  </si>
  <si>
    <t>ENTREGA FINAL - CRITERIO DE EVALUACIÓN SUSTENTACIÓN - TERCER CORTE</t>
  </si>
  <si>
    <t>TECNOLOGÍA EN GESTIÓN TURISTICA Y HOTELERA</t>
  </si>
  <si>
    <t>ANDREA KAROLAY CARRILLO GOMEZ</t>
  </si>
  <si>
    <t>Evaluación del Documento Final</t>
  </si>
  <si>
    <t>MARIANA JIMENEZ DEVOZ</t>
  </si>
  <si>
    <t>Sustentación de los Resultados: Se refleja un dominio del tema, la  información está delimitada y es clara. Hay una jerarquía y fluidez en las ideas que presenta.</t>
  </si>
  <si>
    <t>WYLYS JUNIOR ORTIZ ZUÑIGA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</si>
  <si>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</si>
  <si>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MELANI DESTERLYN RAMIREZ CUADRO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</si>
  <si>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</si>
  <si>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EYLANS ANDRES AHUMADA SALAZAR</t>
  </si>
  <si>
    <t>Tiempo: El uso del tiempo fue apropiado, se ajusta al previsto.
Ofrece una conclusión donde condensa las ideas principales del objetivo general y los específicos.</t>
  </si>
  <si>
    <t>KENDRY YIRETH LABIOSA VERGARA</t>
  </si>
  <si>
    <t>Uso de Recursos Audiovisuales Tecnológicos: La sustentación se acompaña de recursos visuales pertinentes, atractivos y de gran calidad</t>
  </si>
  <si>
    <t>VALERY PAOLA OSORIO VIDAL</t>
  </si>
  <si>
    <t>YERLIS PAOLA RUIZ GARCIA</t>
  </si>
  <si>
    <t>DANIEL ISAAC SIMANCA SANCHEZ</t>
  </si>
  <si>
    <t>DAVID ANDRES CASTILLA CARDENAS</t>
  </si>
  <si>
    <t>TITULOS DE LOS PROYECTOS DE AULA</t>
  </si>
  <si>
    <t>MARIA FERNANDA DE HORTA GOMEZ</t>
  </si>
  <si>
    <t>GRUPO#1: Identificación de una Oportunidad de Negocio Internacional para el Sistema de Riego Solar mediante el Estudio de Tres Mercados Potenciales: Chile, España y Estados Unidos</t>
  </si>
  <si>
    <t>MARÍA ALEJANDRA LEMOS OCHOA</t>
  </si>
  <si>
    <t>GRUPO#2: ANÁLISIS DE UNA OPORTUNIDAD DE NEGOCIO PARA LA COMERCIALIZACIÓN DE PRODUCTOS CAPILARES DE LA EMPRESA ROMELIA S.A.S. EN LOS MERCADOS POTENCIALES DE MEXICO, ESTADOS UNIDOS Y ESPAÑA</t>
  </si>
  <si>
    <t>SHARON JULIANA MONTES FERNANDEZ</t>
  </si>
  <si>
    <t xml:space="preserve">GRUPO#3: Identificación de una oportunidad de negocio para EcoCao S.A.S. mediante el estudio de Estados Unidos, Ecuador y Chile como mercados potenciales. </t>
  </si>
  <si>
    <t>DAVID ALEJANDRO RHENALS LOPEZ</t>
  </si>
  <si>
    <t>GRUPO#4: Identificación de una Oportunidad de Negocio Internacional para la Harina de Plátano de ASOREPP mediante el Estudio de Tres Mercados Potenciales: España, Estados Unidos y Alemania</t>
  </si>
  <si>
    <t>JHORDAN JOSE BARROS PEÑA</t>
  </si>
  <si>
    <t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t>
  </si>
  <si>
    <t>RUTH SARAY PATERNINA PÉREZ</t>
  </si>
  <si>
    <t>GRUPO#6: Análisis de una oportunidad de negocio sostenible para la elaboración y comercialización de producto biodegradable de la empresa ecowipe referente a la limpieza de la piel, mediante el estudio de tres (3) mercados potenciales: Estados Unidos, Perú y Ecuador</t>
  </si>
  <si>
    <t>HECTOR FABIO PEREIRA PACHECO</t>
  </si>
  <si>
    <t>GRUPO#7: Identificación de la oportunidad de negocio internacional para la comercialización del tónico capilar natural de la marca BioRaíz a mercados potenciales de Estados Unidos, España y México.</t>
  </si>
  <si>
    <t>JUAN RICARDO SERRANO PALLARES</t>
  </si>
  <si>
    <t>GRUPO#8: Identificación de Oportunidad de Negocios para la exportación de Gel con Pigmento de la marca ADDA Gel-Styling en los mercados potenciales de Perú, Estados Unidos y Ecuador</t>
  </si>
  <si>
    <t>VALERIE SOFIA CERA TORRIENTE</t>
  </si>
  <si>
    <t xml:space="preserve">GRUPO#9: Identificación de oportunidades comerciales e internacionalización de PYMES agrícolas colombianas mediante una plataforma digital a México, Canadá y Países Bajos </t>
  </si>
  <si>
    <t>CRISTINA LUCIA ESTRADA SANTOYA</t>
  </si>
  <si>
    <t>GRUPO#10: FRUTÉA: Aprovechamiento de frutas colombianas para la elaboración y comercialización de mermeladas</t>
  </si>
  <si>
    <t>JIRETH PAOLA GARCIA COLON</t>
  </si>
  <si>
    <t>GRUPO#11: Identificación de una oportunidad de negocio para una barra energética funcional de café colombiano en los mercados de Estados Unidos, Alemania y Canadá</t>
  </si>
  <si>
    <t>LAURENT SOFIA IBARGUEN GULFO</t>
  </si>
  <si>
    <t>GRUPO#12</t>
  </si>
  <si>
    <t>EVELYN SANCHEZ GONZALEZ</t>
  </si>
  <si>
    <t>SANTIAGO JOSE BUELVAS CARRILLO</t>
  </si>
  <si>
    <t>VALERIA SOFIA VENENCIA SANES</t>
  </si>
  <si>
    <t>VALENTINA LUZ AVILEZ BERMUDEZ</t>
  </si>
  <si>
    <t>YANINE MILLET BERMUDEZ JIMENEZ</t>
  </si>
  <si>
    <t>YURLEINIS MAZA MORALES</t>
  </si>
  <si>
    <t>DAYANA LUCIA PALLARES MENDOZA</t>
  </si>
  <si>
    <t>KEILYS JHOANA DE ÁVILA FONTALVO</t>
  </si>
  <si>
    <t>DALIA MARIA DEL CARMEN CONDE RAMIREZ</t>
  </si>
  <si>
    <t>ANGEL MANUEL GONZALEZ ALVAREZ</t>
  </si>
  <si>
    <t>DAINY CAROLINA OLEA TORRES</t>
  </si>
  <si>
    <t>ANDRÉS ESTEBAN VÁSQUEZ GONZÁLEZ</t>
  </si>
  <si>
    <t>JOSE EDUARDO ARRIETA MEJIA</t>
  </si>
  <si>
    <t>VALENTINA BERRIO LOPEZ</t>
  </si>
  <si>
    <t>ESTEBAN DAVID DORIA LEÓN</t>
  </si>
  <si>
    <t>SANTIAGO BOHÓRQUEZ CANTERO</t>
  </si>
  <si>
    <t>NICOLE ANTHONELLA CAMPOS ABREU</t>
  </si>
  <si>
    <t>DELIA ROSA GARCIA DIAZ</t>
  </si>
  <si>
    <t>SAMUEL DAVID PÉREZ MUÑOZ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</si>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</sst>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vertical="center" wrapText="1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C41" zoomScale="95" zoomScaleNormal="95" workbookViewId="0">
      <selection activeCell="C59" sqref="C59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42" t="s">
        <v>0</v>
      </c>
      <c r="C2" s="143"/>
      <c r="D2" s="144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1792</v>
      </c>
      <c r="D6" s="134">
        <v>2259</v>
      </c>
      <c r="E6" s="134">
        <v>2271</v>
      </c>
      <c r="F6" s="134">
        <v>1433</v>
      </c>
      <c r="G6" s="134">
        <v>1347</v>
      </c>
      <c r="H6" s="134">
        <v>1470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45" t="s">
        <v>24</v>
      </c>
      <c r="F8" s="146"/>
      <c r="G8" s="147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48" t="s">
        <v>28</v>
      </c>
      <c r="F9" s="149"/>
      <c r="G9" s="150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51" t="s">
        <v>31</v>
      </c>
      <c r="F10" s="152"/>
      <c r="G10" s="153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48" t="s">
        <v>34</v>
      </c>
      <c r="F11" s="149"/>
      <c r="G11" s="150"/>
      <c r="H11" s="135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51" t="s">
        <v>37</v>
      </c>
      <c r="F12" s="152"/>
      <c r="G12" s="153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54" t="s">
        <v>39</v>
      </c>
      <c r="F13" s="155"/>
      <c r="G13" s="156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57"/>
      <c r="F14" s="158"/>
      <c r="G14" s="159"/>
      <c r="H14" s="136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66"/>
      <c r="F15" s="167"/>
      <c r="G15" s="168"/>
      <c r="H15" s="135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7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75"/>
      <c r="F17" s="175"/>
      <c r="G17" s="175"/>
      <c r="H17" s="175"/>
      <c r="I17" s="69" t="s">
        <v>48</v>
      </c>
    </row>
    <row r="18" spans="2:9" ht="15" customHeight="1" thickBot="1">
      <c r="B18" s="108">
        <v>10</v>
      </c>
      <c r="C18" s="111" t="s">
        <v>49</v>
      </c>
      <c r="E18" s="183" t="s">
        <v>50</v>
      </c>
      <c r="F18" s="184"/>
      <c r="G18" s="184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72" t="s">
        <v>53</v>
      </c>
      <c r="F19" s="173"/>
      <c r="G19" s="174"/>
      <c r="H19" s="138">
        <v>0.5</v>
      </c>
    </row>
    <row r="20" spans="2:9" ht="15" customHeight="1">
      <c r="B20" s="108">
        <v>12</v>
      </c>
      <c r="C20" s="111" t="s">
        <v>54</v>
      </c>
      <c r="E20" s="176" t="s">
        <v>55</v>
      </c>
      <c r="F20" s="177"/>
      <c r="G20" s="178"/>
      <c r="H20" s="139">
        <v>0.2</v>
      </c>
    </row>
    <row r="21" spans="2:9" ht="15" customHeight="1">
      <c r="B21" s="108">
        <v>13</v>
      </c>
      <c r="C21" s="111" t="s">
        <v>56</v>
      </c>
      <c r="E21" s="185" t="s">
        <v>57</v>
      </c>
      <c r="F21" s="186"/>
      <c r="G21" s="187"/>
      <c r="H21" s="140">
        <v>0.1</v>
      </c>
    </row>
    <row r="22" spans="2:9" ht="15" customHeight="1">
      <c r="B22" s="108">
        <v>14</v>
      </c>
      <c r="C22" s="111" t="s">
        <v>58</v>
      </c>
      <c r="E22" s="176" t="s">
        <v>59</v>
      </c>
      <c r="F22" s="158"/>
      <c r="G22" s="159"/>
      <c r="H22" s="139">
        <v>0.05</v>
      </c>
    </row>
    <row r="23" spans="2:9" ht="15" customHeight="1">
      <c r="B23" s="108">
        <v>15</v>
      </c>
      <c r="C23" s="111" t="s">
        <v>60</v>
      </c>
      <c r="E23" s="185" t="s">
        <v>61</v>
      </c>
      <c r="F23" s="186"/>
      <c r="G23" s="187"/>
      <c r="H23" s="141">
        <v>0.05</v>
      </c>
    </row>
    <row r="24" spans="2:9" ht="15" customHeight="1">
      <c r="B24" s="108">
        <v>16</v>
      </c>
      <c r="C24" s="111" t="s">
        <v>62</v>
      </c>
      <c r="E24" s="176" t="s">
        <v>63</v>
      </c>
      <c r="F24" s="177"/>
      <c r="G24" s="178"/>
      <c r="H24" s="139">
        <v>0.1</v>
      </c>
    </row>
    <row r="25" spans="2:9" ht="15" customHeight="1" thickBot="1">
      <c r="B25" s="108">
        <v>17</v>
      </c>
      <c r="C25" s="111" t="s">
        <v>64</v>
      </c>
      <c r="E25" s="169"/>
      <c r="F25" s="170"/>
      <c r="G25" s="171"/>
      <c r="H25" s="140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79" t="s">
        <v>68</v>
      </c>
      <c r="F28" s="180"/>
      <c r="G28" s="180"/>
      <c r="H28" s="181"/>
    </row>
    <row r="29" spans="2:9" ht="15" customHeight="1" thickBot="1">
      <c r="B29" s="108">
        <v>21</v>
      </c>
      <c r="C29" s="111" t="s">
        <v>69</v>
      </c>
      <c r="E29" s="182" t="s">
        <v>70</v>
      </c>
      <c r="F29" s="164"/>
      <c r="G29" s="164"/>
      <c r="H29" s="165"/>
    </row>
    <row r="30" spans="2:9" ht="15" customHeight="1" thickBot="1">
      <c r="B30" s="108">
        <v>22</v>
      </c>
      <c r="C30" s="111" t="s">
        <v>71</v>
      </c>
      <c r="E30" s="160" t="s">
        <v>72</v>
      </c>
      <c r="F30" s="161"/>
      <c r="G30" s="161"/>
      <c r="H30" s="162"/>
    </row>
    <row r="31" spans="2:9" ht="15" customHeight="1" thickBot="1">
      <c r="B31" s="108">
        <v>23</v>
      </c>
      <c r="C31" s="111" t="s">
        <v>73</v>
      </c>
      <c r="E31" s="163" t="s">
        <v>74</v>
      </c>
      <c r="F31" s="164"/>
      <c r="G31" s="164"/>
      <c r="H31" s="165"/>
    </row>
    <row r="32" spans="2:9" ht="15" customHeight="1" thickBot="1">
      <c r="B32" s="108">
        <v>24</v>
      </c>
      <c r="C32" s="111" t="s">
        <v>75</v>
      </c>
      <c r="E32" s="160" t="s">
        <v>76</v>
      </c>
      <c r="F32" s="161"/>
      <c r="G32" s="161"/>
      <c r="H32" s="162"/>
    </row>
    <row r="33" spans="2:8" ht="15" customHeight="1" thickBot="1">
      <c r="B33" s="108">
        <v>25</v>
      </c>
      <c r="C33" s="111" t="s">
        <v>77</v>
      </c>
      <c r="E33" s="163" t="s">
        <v>78</v>
      </c>
      <c r="F33" s="164"/>
      <c r="G33" s="164"/>
      <c r="H33" s="165"/>
    </row>
    <row r="34" spans="2:8" ht="15" customHeight="1" thickBot="1">
      <c r="B34" s="108">
        <v>26</v>
      </c>
      <c r="C34" s="111" t="s">
        <v>79</v>
      </c>
      <c r="E34" s="160" t="s">
        <v>80</v>
      </c>
      <c r="F34" s="161"/>
      <c r="G34" s="161"/>
      <c r="H34" s="162"/>
    </row>
    <row r="35" spans="2:8" ht="15" customHeight="1" thickBot="1">
      <c r="B35" s="108">
        <v>27</v>
      </c>
      <c r="C35" s="111" t="s">
        <v>81</v>
      </c>
      <c r="E35" s="163" t="s">
        <v>82</v>
      </c>
      <c r="F35" s="164"/>
      <c r="G35" s="164"/>
      <c r="H35" s="165"/>
    </row>
    <row r="36" spans="2:8" ht="15" customHeight="1" thickBot="1">
      <c r="B36" s="108">
        <v>28</v>
      </c>
      <c r="C36" s="111" t="s">
        <v>83</v>
      </c>
      <c r="E36" s="160" t="s">
        <v>84</v>
      </c>
      <c r="F36" s="161"/>
      <c r="G36" s="161"/>
      <c r="H36" s="162"/>
    </row>
    <row r="37" spans="2:8" ht="15" customHeight="1" thickBot="1">
      <c r="B37" s="108">
        <v>29</v>
      </c>
      <c r="C37" s="111" t="s">
        <v>85</v>
      </c>
      <c r="E37" s="163" t="s">
        <v>86</v>
      </c>
      <c r="F37" s="164"/>
      <c r="G37" s="164"/>
      <c r="H37" s="165"/>
    </row>
    <row r="38" spans="2:8" ht="15" customHeight="1" thickBot="1">
      <c r="B38" s="108">
        <v>30</v>
      </c>
      <c r="C38" s="111" t="s">
        <v>87</v>
      </c>
      <c r="E38" s="160" t="s">
        <v>88</v>
      </c>
      <c r="F38" s="161"/>
      <c r="G38" s="161"/>
      <c r="H38" s="162"/>
    </row>
    <row r="39" spans="2:8" ht="15" customHeight="1" thickBot="1">
      <c r="B39" s="108">
        <v>31</v>
      </c>
      <c r="C39" s="111" t="s">
        <v>89</v>
      </c>
      <c r="E39" s="163" t="s">
        <v>90</v>
      </c>
      <c r="F39" s="164"/>
      <c r="G39" s="164"/>
      <c r="H39" s="165"/>
    </row>
    <row r="40" spans="2:8" ht="15" customHeight="1" thickBot="1">
      <c r="B40" s="108">
        <v>32</v>
      </c>
      <c r="C40" s="111" t="s">
        <v>91</v>
      </c>
      <c r="E40" s="160" t="s">
        <v>92</v>
      </c>
      <c r="F40" s="161"/>
      <c r="G40" s="161"/>
      <c r="H40" s="162"/>
    </row>
    <row r="41" spans="2:8" ht="15" customHeight="1" thickBot="1">
      <c r="B41" s="108">
        <v>33</v>
      </c>
      <c r="C41" s="111" t="s">
        <v>93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94</v>
      </c>
      <c r="E42" s="115" t="str">
        <f>MID(E29,1,20)</f>
        <v>GRUPO#1: Identificac</v>
      </c>
      <c r="F42" s="116" t="str">
        <f>MID(E30,1,20)</f>
        <v>GRUPO#2: ANÁLISIS DE</v>
      </c>
      <c r="G42" s="116" t="str">
        <f>MID(E31,1,20)</f>
        <v>GRUPO#3: Identificac</v>
      </c>
      <c r="H42" s="117" t="str">
        <f>MID(E32,1,20)</f>
        <v>GRUPO#4: Identificac</v>
      </c>
    </row>
    <row r="43" spans="2:8" ht="15" customHeight="1">
      <c r="B43" s="108">
        <v>35</v>
      </c>
      <c r="C43" s="111" t="s">
        <v>95</v>
      </c>
      <c r="E43" s="118" t="s">
        <v>27</v>
      </c>
      <c r="F43" s="119" t="s">
        <v>60</v>
      </c>
      <c r="G43" s="119" t="s">
        <v>67</v>
      </c>
      <c r="H43" s="120" t="s">
        <v>77</v>
      </c>
    </row>
    <row r="44" spans="2:8" ht="15" customHeight="1">
      <c r="B44" s="108">
        <v>36</v>
      </c>
      <c r="C44" s="111" t="s">
        <v>96</v>
      </c>
      <c r="E44" s="121" t="s">
        <v>30</v>
      </c>
      <c r="F44" s="122" t="s">
        <v>62</v>
      </c>
      <c r="G44" s="122" t="s">
        <v>69</v>
      </c>
      <c r="H44" s="123" t="s">
        <v>79</v>
      </c>
    </row>
    <row r="45" spans="2:8" ht="15" customHeight="1">
      <c r="B45" s="108">
        <v>37</v>
      </c>
      <c r="C45" s="111" t="s">
        <v>97</v>
      </c>
      <c r="E45" s="124" t="s">
        <v>33</v>
      </c>
      <c r="F45" s="125" t="s">
        <v>64</v>
      </c>
      <c r="G45" s="125" t="s">
        <v>71</v>
      </c>
      <c r="H45" s="126" t="s">
        <v>81</v>
      </c>
    </row>
    <row r="46" spans="2:8" ht="15" customHeight="1">
      <c r="B46" s="108">
        <v>38</v>
      </c>
      <c r="C46" s="111" t="s">
        <v>98</v>
      </c>
      <c r="E46" s="121" t="s">
        <v>36</v>
      </c>
      <c r="F46" s="122" t="s">
        <v>65</v>
      </c>
      <c r="G46" s="122" t="s">
        <v>73</v>
      </c>
      <c r="H46" s="123" t="s">
        <v>83</v>
      </c>
    </row>
    <row r="47" spans="2:8" ht="15" customHeight="1">
      <c r="B47" s="108">
        <v>39</v>
      </c>
      <c r="C47" s="111" t="s">
        <v>99</v>
      </c>
      <c r="E47" s="124" t="s">
        <v>38</v>
      </c>
      <c r="F47" s="125" t="s">
        <v>66</v>
      </c>
      <c r="G47" s="125" t="s">
        <v>75</v>
      </c>
      <c r="H47" s="126" t="s">
        <v>100</v>
      </c>
    </row>
    <row r="48" spans="2:8" ht="15" customHeight="1" thickBot="1">
      <c r="B48" s="108">
        <v>40</v>
      </c>
      <c r="C48" s="111" t="s">
        <v>101</v>
      </c>
      <c r="E48" s="127"/>
      <c r="F48" s="128"/>
      <c r="G48" s="128"/>
      <c r="H48" s="129"/>
    </row>
    <row r="49" spans="2:8" ht="15" customHeight="1" thickBot="1">
      <c r="B49" s="108">
        <v>41</v>
      </c>
      <c r="C49" s="111" t="s">
        <v>102</v>
      </c>
      <c r="E49" s="114"/>
      <c r="F49" s="114"/>
      <c r="G49" s="114"/>
      <c r="H49" s="114"/>
    </row>
    <row r="50" spans="2:8" ht="15" customHeight="1" thickBot="1">
      <c r="B50" s="108">
        <v>42</v>
      </c>
      <c r="C50" s="111" t="s">
        <v>103</v>
      </c>
      <c r="E50" s="115" t="str">
        <f>MID(E33,1,20)</f>
        <v>GRUPO#5: Identificac</v>
      </c>
      <c r="F50" s="116" t="str">
        <f>MID(E34,1,20)</f>
        <v>GRUPO#6: Análisis de</v>
      </c>
      <c r="G50" s="116" t="str">
        <f>MID(E35,1,20)</f>
        <v>GRUPO#7: Identificac</v>
      </c>
      <c r="H50" s="117" t="str">
        <f>MID(E36,1,20)</f>
        <v>GRUPO#8: Identificac</v>
      </c>
    </row>
    <row r="51" spans="2:8" ht="15" customHeight="1">
      <c r="B51" s="108">
        <v>43</v>
      </c>
      <c r="C51" s="111" t="s">
        <v>104</v>
      </c>
      <c r="E51" s="118" t="s">
        <v>85</v>
      </c>
      <c r="F51" s="119" t="s">
        <v>94</v>
      </c>
      <c r="G51" s="119" t="s">
        <v>96</v>
      </c>
      <c r="H51" s="120" t="s">
        <v>101</v>
      </c>
    </row>
    <row r="52" spans="2:8" ht="15" customHeight="1">
      <c r="B52" s="108">
        <v>44</v>
      </c>
      <c r="C52" s="111" t="s">
        <v>105</v>
      </c>
      <c r="E52" s="121" t="s">
        <v>87</v>
      </c>
      <c r="F52" s="122" t="s">
        <v>95</v>
      </c>
      <c r="G52" s="122" t="s">
        <v>97</v>
      </c>
      <c r="H52" s="123" t="s">
        <v>102</v>
      </c>
    </row>
    <row r="53" spans="2:8" ht="15" customHeight="1">
      <c r="B53" s="108">
        <v>45</v>
      </c>
      <c r="C53" s="111" t="s">
        <v>106</v>
      </c>
      <c r="E53" s="124" t="s">
        <v>89</v>
      </c>
      <c r="F53" s="125" t="s">
        <v>107</v>
      </c>
      <c r="G53" s="125" t="s">
        <v>98</v>
      </c>
      <c r="H53" s="126" t="s">
        <v>103</v>
      </c>
    </row>
    <row r="54" spans="2:8" ht="15" customHeight="1">
      <c r="B54" s="108">
        <v>46</v>
      </c>
      <c r="C54" s="111" t="s">
        <v>108</v>
      </c>
      <c r="E54" s="121" t="s">
        <v>91</v>
      </c>
      <c r="F54" s="122"/>
      <c r="G54" s="122" t="s">
        <v>99</v>
      </c>
      <c r="H54" s="123" t="s">
        <v>104</v>
      </c>
    </row>
    <row r="55" spans="2:8" ht="15" customHeight="1">
      <c r="B55" s="108">
        <v>47</v>
      </c>
      <c r="C55" s="111" t="s">
        <v>109</v>
      </c>
      <c r="E55" s="124" t="s">
        <v>93</v>
      </c>
      <c r="F55" s="125"/>
      <c r="G55" s="125"/>
      <c r="H55" s="126"/>
    </row>
    <row r="56" spans="2:8" ht="15" customHeight="1" thickBot="1">
      <c r="B56" s="108">
        <v>48</v>
      </c>
      <c r="C56" s="111" t="s">
        <v>110</v>
      </c>
      <c r="E56" s="127"/>
      <c r="F56" s="128"/>
      <c r="G56" s="128"/>
      <c r="H56" s="129"/>
    </row>
    <row r="57" spans="2:8" ht="15" customHeight="1" thickBot="1">
      <c r="B57" s="108">
        <v>49</v>
      </c>
      <c r="C57" s="111" t="s">
        <v>111</v>
      </c>
      <c r="E57" s="114"/>
      <c r="F57" s="114"/>
      <c r="G57" s="114"/>
      <c r="H57" s="114"/>
    </row>
    <row r="58" spans="2:8" ht="15" customHeight="1" thickBot="1">
      <c r="B58" s="108">
        <v>50</v>
      </c>
      <c r="C58" s="111" t="s">
        <v>100</v>
      </c>
      <c r="E58" s="115" t="str">
        <f>MID(E37,1,20)</f>
        <v>GRUPO#9: Identificac</v>
      </c>
      <c r="F58" s="116" t="str">
        <f>MID(E38,1,20)</f>
        <v>GRUPO#10: FRUTÉA: Ap</v>
      </c>
      <c r="G58" s="116" t="str">
        <f>MID(E39,1,20)</f>
        <v>GRUPO#11: Identifica</v>
      </c>
      <c r="H58" s="117" t="str">
        <f>MID(E40,1,20)</f>
        <v>GRUPO#12</v>
      </c>
    </row>
    <row r="59" spans="2:8" ht="15" customHeight="1">
      <c r="B59" s="108">
        <v>51</v>
      </c>
      <c r="C59" s="111" t="s">
        <v>107</v>
      </c>
      <c r="E59" s="118" t="s">
        <v>105</v>
      </c>
      <c r="F59" s="119" t="s">
        <v>41</v>
      </c>
      <c r="G59" s="119" t="s">
        <v>52</v>
      </c>
      <c r="H59" s="120"/>
    </row>
    <row r="60" spans="2:8" ht="15" customHeight="1">
      <c r="E60" s="121" t="s">
        <v>106</v>
      </c>
      <c r="F60" s="122" t="s">
        <v>43</v>
      </c>
      <c r="G60" s="122" t="s">
        <v>54</v>
      </c>
      <c r="H60" s="123"/>
    </row>
    <row r="61" spans="2:8" ht="15" customHeight="1">
      <c r="E61" s="124" t="s">
        <v>108</v>
      </c>
      <c r="F61" s="125" t="s">
        <v>45</v>
      </c>
      <c r="G61" s="125" t="s">
        <v>56</v>
      </c>
      <c r="H61" s="126"/>
    </row>
    <row r="62" spans="2:8" ht="15" customHeight="1">
      <c r="E62" s="121" t="s">
        <v>109</v>
      </c>
      <c r="F62" s="122" t="s">
        <v>47</v>
      </c>
      <c r="G62" s="122" t="s">
        <v>58</v>
      </c>
      <c r="H62" s="123"/>
    </row>
    <row r="63" spans="2:8" ht="15" customHeight="1">
      <c r="E63" s="124" t="s">
        <v>110</v>
      </c>
      <c r="F63" s="125" t="s">
        <v>49</v>
      </c>
      <c r="G63" s="125"/>
      <c r="H63" s="126"/>
    </row>
    <row r="64" spans="2:8" ht="15" customHeight="1" thickBot="1">
      <c r="E64" s="127" t="s">
        <v>111</v>
      </c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+7iOJPBhtxGvUO9Uv+4MWP9ueqhAeZhib25aJ42oNMX2mlP9WAvvUyEvxos5AK4kHJ54Z6bMRB5ttoEDMTCttA==" saltValue="jKqplb9mDnh3xrplBzT8i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9:H64 E51:E56 G51:H56 F52:F56 F51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80" zoomScaleNormal="80" workbookViewId="0">
      <pane xSplit="5" ySplit="3" topLeftCell="F76" activePane="bottomRight" state="frozen"/>
      <selection pane="bottomRight" activeCell="J82" sqref="F82:L8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6"/>
      <c r="H1" s="19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ESTADÍSTICA</v>
      </c>
      <c r="C2" s="82"/>
      <c r="D2" s="3"/>
      <c r="F2" s="198" t="s">
        <v>112</v>
      </c>
      <c r="G2" s="199"/>
      <c r="H2" s="199"/>
      <c r="I2" s="199"/>
      <c r="J2" s="199"/>
      <c r="K2" s="199"/>
      <c r="L2" s="200"/>
    </row>
    <row r="3" spans="1:12" s="2" customFormat="1" ht="145.5" customHeight="1">
      <c r="B3" s="83" t="s">
        <v>113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1" t="str">
        <f>CONCATENATE(LIDER!C4," - ",LIDER!C6," - ",LIDER!C5)</f>
        <v>ESTADÍSTICA - 1792 - OSVALDO ALCIDE BLANQUICET LOZANO</v>
      </c>
      <c r="G4" s="201"/>
      <c r="H4" s="201"/>
      <c r="I4" s="201"/>
      <c r="J4" s="201"/>
      <c r="K4" s="201"/>
      <c r="L4" s="201"/>
    </row>
    <row r="5" spans="1:12" s="2" customFormat="1" ht="15.75" customHeight="1" thickBot="1">
      <c r="A5" s="8"/>
      <c r="B5" s="25" t="s">
        <v>114</v>
      </c>
      <c r="C5" s="88" t="s">
        <v>115</v>
      </c>
      <c r="D5" s="32" t="s">
        <v>116</v>
      </c>
      <c r="E5" s="89" t="s">
        <v>117</v>
      </c>
      <c r="F5" s="192" t="str">
        <f>LIDER!$E$29</f>
        <v>GRUPO#1: Identificación de una Oportunidad de Negocio Internacional para el Sistema de Riego Solar mediante el Estudio de Tres Mercados Potenciales: Chile, España y Estados Unidos</v>
      </c>
      <c r="G5" s="192"/>
      <c r="H5" s="192"/>
      <c r="I5" s="192"/>
      <c r="J5" s="192"/>
      <c r="K5" s="192"/>
      <c r="L5" s="192"/>
    </row>
    <row r="6" spans="1:12" s="2" customFormat="1" ht="12.75">
      <c r="A6" s="9">
        <v>1</v>
      </c>
      <c r="B6" s="10" t="str">
        <f>LIDER!E43</f>
        <v>MESHEL ARAGON AGUIRRE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4.1899999999999995</v>
      </c>
      <c r="F6" s="193">
        <v>4</v>
      </c>
      <c r="G6" s="190">
        <v>4</v>
      </c>
      <c r="H6" s="188">
        <v>4.3</v>
      </c>
      <c r="I6" s="190">
        <v>4</v>
      </c>
      <c r="J6" s="188">
        <v>5</v>
      </c>
      <c r="K6" s="190"/>
      <c r="L6" s="188"/>
    </row>
    <row r="7" spans="1:12" s="2" customFormat="1" ht="15" customHeight="1">
      <c r="A7" s="12">
        <v>2</v>
      </c>
      <c r="B7" s="10" t="str">
        <f>LIDER!E44</f>
        <v>VALENTINA CASTRO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4.1899999999999995</v>
      </c>
      <c r="F7" s="193"/>
      <c r="G7" s="190"/>
      <c r="H7" s="188"/>
      <c r="I7" s="190"/>
      <c r="J7" s="188"/>
      <c r="K7" s="190"/>
      <c r="L7" s="188"/>
    </row>
    <row r="8" spans="1:12" s="2" customFormat="1" ht="15" customHeight="1">
      <c r="A8" s="12">
        <v>3</v>
      </c>
      <c r="B8" s="10" t="str">
        <f>LIDER!E45</f>
        <v>JUAN DIEGO DEL RIO VEGA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4.1899999999999995</v>
      </c>
      <c r="F8" s="193"/>
      <c r="G8" s="190"/>
      <c r="H8" s="188"/>
      <c r="I8" s="190"/>
      <c r="J8" s="188"/>
      <c r="K8" s="190"/>
      <c r="L8" s="188"/>
    </row>
    <row r="9" spans="1:12" s="2" customFormat="1" ht="15" customHeight="1">
      <c r="A9" s="12">
        <v>4</v>
      </c>
      <c r="B9" s="10" t="str">
        <f>LIDER!E46</f>
        <v>MELANIE ISABEL MONSALVE GRANADOS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4.1899999999999995</v>
      </c>
      <c r="F9" s="193"/>
      <c r="G9" s="190"/>
      <c r="H9" s="188"/>
      <c r="I9" s="190"/>
      <c r="J9" s="188"/>
      <c r="K9" s="190"/>
      <c r="L9" s="188"/>
    </row>
    <row r="10" spans="1:12" s="2" customFormat="1" ht="15" customHeight="1">
      <c r="A10" s="12">
        <v>5</v>
      </c>
      <c r="B10" s="10" t="str">
        <f>LIDER!E47</f>
        <v>HANA SOFIA SANTANA GARCIA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4.1899999999999995</v>
      </c>
      <c r="F10" s="193"/>
      <c r="G10" s="190"/>
      <c r="H10" s="188"/>
      <c r="I10" s="190"/>
      <c r="J10" s="188"/>
      <c r="K10" s="190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3"/>
      <c r="G11" s="190"/>
      <c r="H11" s="188"/>
      <c r="I11" s="190"/>
      <c r="J11" s="188"/>
      <c r="K11" s="190"/>
      <c r="L11" s="188"/>
    </row>
    <row r="12" spans="1:12" s="2" customFormat="1" ht="15.75" customHeight="1" thickBot="1">
      <c r="A12" s="8"/>
      <c r="B12" s="25" t="s">
        <v>118</v>
      </c>
      <c r="C12" s="88" t="s">
        <v>119</v>
      </c>
      <c r="D12" s="32" t="str">
        <f>D5</f>
        <v>LIST</v>
      </c>
      <c r="E12" s="89" t="s">
        <v>117</v>
      </c>
      <c r="F12" s="192" t="str">
        <f>LIDER!$E$30</f>
        <v>GRUPO#2: ANÁLISIS DE UNA OPORTUNIDAD DE NEGOCIO PARA LA COMERCIALIZACIÓN DE PRODUCTOS CAPILARES DE LA EMPRESA ROMELIA S.A.S. EN LOS MERCADOS POTENCIALES DE MEXICO, ESTADOS UNIDOS Y ESPAÑA</v>
      </c>
      <c r="G12" s="192"/>
      <c r="H12" s="192"/>
      <c r="I12" s="192"/>
      <c r="J12" s="192"/>
      <c r="K12" s="192"/>
      <c r="L12" s="192"/>
    </row>
    <row r="13" spans="1:12" s="2" customFormat="1" ht="12.75">
      <c r="A13" s="9">
        <v>1</v>
      </c>
      <c r="B13" s="10" t="str">
        <f>LIDER!F43</f>
        <v>EYLANS ANDRES AHUMADA SALAZAR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4.1399999999999997</v>
      </c>
      <c r="F13" s="193">
        <v>4.2</v>
      </c>
      <c r="G13" s="190">
        <v>4</v>
      </c>
      <c r="H13" s="188">
        <v>4</v>
      </c>
      <c r="I13" s="190">
        <v>4</v>
      </c>
      <c r="J13" s="188">
        <v>5</v>
      </c>
      <c r="K13" s="190"/>
      <c r="L13" s="188"/>
    </row>
    <row r="14" spans="1:12" s="2" customFormat="1" ht="15" customHeight="1">
      <c r="A14" s="12">
        <v>2</v>
      </c>
      <c r="B14" s="10" t="str">
        <f>LIDER!F44</f>
        <v>KENDRY YIRETH LABIOSA VERGARA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4.1399999999999997</v>
      </c>
      <c r="F14" s="193"/>
      <c r="G14" s="190"/>
      <c r="H14" s="188"/>
      <c r="I14" s="190"/>
      <c r="J14" s="188"/>
      <c r="K14" s="190"/>
      <c r="L14" s="188"/>
    </row>
    <row r="15" spans="1:12" s="2" customFormat="1" ht="15" customHeight="1">
      <c r="A15" s="12">
        <v>3</v>
      </c>
      <c r="B15" s="10" t="str">
        <f>LIDER!F45</f>
        <v>VALERY PAOLA OSORIO VIDAL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4.1399999999999997</v>
      </c>
      <c r="F15" s="193"/>
      <c r="G15" s="190"/>
      <c r="H15" s="188"/>
      <c r="I15" s="190"/>
      <c r="J15" s="188"/>
      <c r="K15" s="190"/>
      <c r="L15" s="188"/>
    </row>
    <row r="16" spans="1:12" s="2" customFormat="1" ht="15" customHeight="1">
      <c r="A16" s="12">
        <v>4</v>
      </c>
      <c r="B16" s="10" t="str">
        <f>LIDER!F46</f>
        <v>YERLIS PAOLA RUIZ GARCIA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4.1399999999999997</v>
      </c>
      <c r="F16" s="193"/>
      <c r="G16" s="190"/>
      <c r="H16" s="188"/>
      <c r="I16" s="190"/>
      <c r="J16" s="188"/>
      <c r="K16" s="190"/>
      <c r="L16" s="188"/>
    </row>
    <row r="17" spans="1:12" s="2" customFormat="1" ht="15" customHeight="1">
      <c r="A17" s="12">
        <v>5</v>
      </c>
      <c r="B17" s="10" t="str">
        <f>LIDER!F47</f>
        <v>DANIEL ISAAC SIMANCA SANCHEZ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4.1399999999999997</v>
      </c>
      <c r="F17" s="193"/>
      <c r="G17" s="190"/>
      <c r="H17" s="188"/>
      <c r="I17" s="190"/>
      <c r="J17" s="188"/>
      <c r="K17" s="190"/>
      <c r="L17" s="18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3"/>
      <c r="G18" s="190"/>
      <c r="H18" s="188"/>
      <c r="I18" s="190"/>
      <c r="J18" s="188"/>
      <c r="K18" s="190"/>
      <c r="L18" s="188"/>
    </row>
    <row r="19" spans="1:12" s="2" customFormat="1" ht="15.75" customHeight="1">
      <c r="A19" s="14"/>
      <c r="B19" s="25" t="s">
        <v>120</v>
      </c>
      <c r="C19" s="88" t="s">
        <v>121</v>
      </c>
      <c r="D19" s="32" t="str">
        <f>D12</f>
        <v>LIST</v>
      </c>
      <c r="E19" s="89" t="s">
        <v>117</v>
      </c>
      <c r="F19" s="192" t="str">
        <f>LIDER!$E$31</f>
        <v xml:space="preserve">GRUPO#3: Identificación de una oportunidad de negocio para EcoCao S.A.S. mediante el estudio de Estados Unidos, Ecuador y Chile como mercados potenciales. </v>
      </c>
      <c r="G19" s="192"/>
      <c r="H19" s="192"/>
      <c r="I19" s="192"/>
      <c r="J19" s="192"/>
      <c r="K19" s="192"/>
      <c r="L19" s="192"/>
    </row>
    <row r="20" spans="1:12" s="2" customFormat="1" ht="12.75">
      <c r="A20" s="9">
        <v>1</v>
      </c>
      <c r="B20" s="10" t="str">
        <f>LIDER!G43</f>
        <v>DAVID ANDRES CASTILLA CARDENAS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4.2300000000000004</v>
      </c>
      <c r="F20" s="193">
        <v>4</v>
      </c>
      <c r="G20" s="190">
        <v>4.0999999999999996</v>
      </c>
      <c r="H20" s="188">
        <v>4.3</v>
      </c>
      <c r="I20" s="190">
        <v>4.0999999999999996</v>
      </c>
      <c r="J20" s="188">
        <v>5</v>
      </c>
      <c r="K20" s="190"/>
      <c r="L20" s="188"/>
    </row>
    <row r="21" spans="1:12" s="2" customFormat="1" ht="15" customHeight="1">
      <c r="A21" s="12">
        <v>2</v>
      </c>
      <c r="B21" s="10" t="str">
        <f>LIDER!G44</f>
        <v>MARIA FERNANDA DE HORTA GOMEZ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4.2300000000000004</v>
      </c>
      <c r="F21" s="193"/>
      <c r="G21" s="190"/>
      <c r="H21" s="188"/>
      <c r="I21" s="190"/>
      <c r="J21" s="188"/>
      <c r="K21" s="190"/>
      <c r="L21" s="188"/>
    </row>
    <row r="22" spans="1:12" s="2" customFormat="1" ht="15" customHeight="1">
      <c r="A22" s="12">
        <v>3</v>
      </c>
      <c r="B22" s="10" t="str">
        <f>LIDER!G45</f>
        <v>MARÍA ALEJANDRA LEMOS OCHOA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4.2300000000000004</v>
      </c>
      <c r="F22" s="193"/>
      <c r="G22" s="190"/>
      <c r="H22" s="188"/>
      <c r="I22" s="190"/>
      <c r="J22" s="188"/>
      <c r="K22" s="190"/>
      <c r="L22" s="188"/>
    </row>
    <row r="23" spans="1:12" s="2" customFormat="1" ht="15" customHeight="1">
      <c r="A23" s="12">
        <v>4</v>
      </c>
      <c r="B23" s="10" t="str">
        <f>LIDER!G46</f>
        <v>SHARON JULIANA MONTES FERNANDEZ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4.2300000000000004</v>
      </c>
      <c r="F23" s="193"/>
      <c r="G23" s="190"/>
      <c r="H23" s="188"/>
      <c r="I23" s="190"/>
      <c r="J23" s="188"/>
      <c r="K23" s="190"/>
      <c r="L23" s="188"/>
    </row>
    <row r="24" spans="1:12" s="2" customFormat="1" ht="15" customHeight="1">
      <c r="A24" s="12">
        <v>5</v>
      </c>
      <c r="B24" s="10" t="str">
        <f>LIDER!G47</f>
        <v>DAVID ALEJANDRO RHENALS LOPEZ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4.2300000000000004</v>
      </c>
      <c r="F24" s="193"/>
      <c r="G24" s="190"/>
      <c r="H24" s="188"/>
      <c r="I24" s="190"/>
      <c r="J24" s="188"/>
      <c r="K24" s="190"/>
      <c r="L24" s="18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3"/>
      <c r="G25" s="190"/>
      <c r="H25" s="188"/>
      <c r="I25" s="190"/>
      <c r="J25" s="188"/>
      <c r="K25" s="190"/>
      <c r="L25" s="188"/>
    </row>
    <row r="26" spans="1:12" s="2" customFormat="1" ht="15.75" customHeight="1">
      <c r="A26" s="14"/>
      <c r="B26" s="25" t="s">
        <v>122</v>
      </c>
      <c r="C26" s="88" t="s">
        <v>123</v>
      </c>
      <c r="D26" s="32" t="str">
        <f>D19</f>
        <v>LIST</v>
      </c>
      <c r="E26" s="89" t="s">
        <v>117</v>
      </c>
      <c r="F26" s="192" t="str">
        <f>LIDER!$E$32</f>
        <v>GRUPO#4: Identificación de una Oportunidad de Negocio Internacional para la Harina de Plátano de ASOREPP mediante el Estudio de Tres Mercados Potenciales: España, Estados Unidos y Alemania</v>
      </c>
      <c r="G26" s="192"/>
      <c r="H26" s="192"/>
      <c r="I26" s="192"/>
      <c r="J26" s="192"/>
      <c r="K26" s="192"/>
      <c r="L26" s="192"/>
    </row>
    <row r="27" spans="1:12" s="2" customFormat="1" ht="12.75">
      <c r="A27" s="9">
        <v>1</v>
      </c>
      <c r="B27" s="10" t="str">
        <f>LIDER!H43</f>
        <v>JHORDAN JOSE BARROS PEÑA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3.0700000000000003</v>
      </c>
      <c r="F27" s="193">
        <v>3.5</v>
      </c>
      <c r="G27" s="190">
        <v>2.5</v>
      </c>
      <c r="H27" s="188">
        <v>3.9</v>
      </c>
      <c r="I27" s="190">
        <v>2</v>
      </c>
      <c r="J27" s="188">
        <v>3</v>
      </c>
      <c r="K27" s="190"/>
      <c r="L27" s="188"/>
    </row>
    <row r="28" spans="1:12" s="2" customFormat="1" ht="15" customHeight="1">
      <c r="A28" s="12">
        <v>2</v>
      </c>
      <c r="B28" s="10" t="str">
        <f>LIDER!H44</f>
        <v>RUTH SARAY PATERNINA PÉREZ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3.0700000000000003</v>
      </c>
      <c r="F28" s="193"/>
      <c r="G28" s="190"/>
      <c r="H28" s="188"/>
      <c r="I28" s="190"/>
      <c r="J28" s="188"/>
      <c r="K28" s="190"/>
      <c r="L28" s="188"/>
    </row>
    <row r="29" spans="1:12" s="2" customFormat="1" ht="15" customHeight="1">
      <c r="A29" s="12">
        <v>3</v>
      </c>
      <c r="B29" s="10" t="str">
        <f>LIDER!H45</f>
        <v>HECTOR FABIO PEREIRA PACHECO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3.0700000000000003</v>
      </c>
      <c r="F29" s="193"/>
      <c r="G29" s="190"/>
      <c r="H29" s="188"/>
      <c r="I29" s="190"/>
      <c r="J29" s="188"/>
      <c r="K29" s="190"/>
      <c r="L29" s="188"/>
    </row>
    <row r="30" spans="1:12" s="2" customFormat="1" ht="15" customHeight="1">
      <c r="A30" s="12">
        <v>4</v>
      </c>
      <c r="B30" s="10" t="str">
        <f>LIDER!H46</f>
        <v>JUAN RICARDO SERRANO PALLARES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3.0700000000000003</v>
      </c>
      <c r="F30" s="193"/>
      <c r="G30" s="190"/>
      <c r="H30" s="188"/>
      <c r="I30" s="190"/>
      <c r="J30" s="188"/>
      <c r="K30" s="190"/>
      <c r="L30" s="188"/>
    </row>
    <row r="31" spans="1:12" s="2" customFormat="1" ht="15" customHeight="1">
      <c r="A31" s="12">
        <v>5</v>
      </c>
      <c r="B31" s="10" t="str">
        <f>LIDER!H47</f>
        <v>KEILYS JHOANA DE ÁVILA FONTALVO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3.0700000000000003</v>
      </c>
      <c r="F31" s="193"/>
      <c r="G31" s="190"/>
      <c r="H31" s="188"/>
      <c r="I31" s="190"/>
      <c r="J31" s="188"/>
      <c r="K31" s="190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3"/>
      <c r="G32" s="190"/>
      <c r="H32" s="188"/>
      <c r="I32" s="190"/>
      <c r="J32" s="188"/>
      <c r="K32" s="190"/>
      <c r="L32" s="188"/>
    </row>
    <row r="33" spans="1:12" s="2" customFormat="1" ht="15.75" customHeight="1">
      <c r="A33" s="14"/>
      <c r="B33" s="25" t="s">
        <v>124</v>
      </c>
      <c r="C33" s="88" t="s">
        <v>125</v>
      </c>
      <c r="D33" s="32" t="str">
        <f>D26</f>
        <v>LIST</v>
      </c>
      <c r="E33" s="89" t="s">
        <v>117</v>
      </c>
      <c r="F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G33" s="192"/>
      <c r="H33" s="192"/>
      <c r="I33" s="192"/>
      <c r="J33" s="192"/>
      <c r="K33" s="192"/>
      <c r="L33" s="192"/>
    </row>
    <row r="34" spans="1:12" s="2" customFormat="1" ht="12.75">
      <c r="A34" s="9">
        <v>1</v>
      </c>
      <c r="B34" s="10" t="str">
        <f>LIDER!E51</f>
        <v>VALERIE SOFIA CERA TORRIENTE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3.96</v>
      </c>
      <c r="F34" s="193">
        <v>4</v>
      </c>
      <c r="G34" s="190">
        <v>3.8</v>
      </c>
      <c r="H34" s="188">
        <v>4</v>
      </c>
      <c r="I34" s="190">
        <v>4.5</v>
      </c>
      <c r="J34" s="188">
        <v>3</v>
      </c>
      <c r="K34" s="190"/>
      <c r="L34" s="188"/>
    </row>
    <row r="35" spans="1:12" s="2" customFormat="1" ht="15" customHeight="1">
      <c r="A35" s="12">
        <v>2</v>
      </c>
      <c r="B35" s="10" t="str">
        <f>LIDER!E52</f>
        <v>CRISTINA LUCIA ESTRADA SANTOYA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3.96</v>
      </c>
      <c r="F35" s="193"/>
      <c r="G35" s="190"/>
      <c r="H35" s="188"/>
      <c r="I35" s="190"/>
      <c r="J35" s="188"/>
      <c r="K35" s="190"/>
      <c r="L35" s="188"/>
    </row>
    <row r="36" spans="1:12" s="2" customFormat="1" ht="15" customHeight="1">
      <c r="A36" s="12">
        <v>3</v>
      </c>
      <c r="B36" s="10" t="str">
        <f>LIDER!E53</f>
        <v>JIRETH PAOLA GARCIA COLON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3.96</v>
      </c>
      <c r="F36" s="193"/>
      <c r="G36" s="190"/>
      <c r="H36" s="188"/>
      <c r="I36" s="190"/>
      <c r="J36" s="188"/>
      <c r="K36" s="190"/>
      <c r="L36" s="188"/>
    </row>
    <row r="37" spans="1:12" s="2" customFormat="1" ht="15" customHeight="1">
      <c r="A37" s="12">
        <v>4</v>
      </c>
      <c r="B37" s="10" t="str">
        <f>LIDER!E54</f>
        <v>LAURENT SOFIA IBARGUEN GULFO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3.96</v>
      </c>
      <c r="F37" s="193"/>
      <c r="G37" s="190"/>
      <c r="H37" s="188"/>
      <c r="I37" s="190"/>
      <c r="J37" s="188"/>
      <c r="K37" s="190"/>
      <c r="L37" s="188"/>
    </row>
    <row r="38" spans="1:12" s="2" customFormat="1" ht="15" customHeight="1">
      <c r="A38" s="12">
        <v>5</v>
      </c>
      <c r="B38" s="10" t="str">
        <f>LIDER!E55</f>
        <v>EVELYN SANCHEZ GONZALEZ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3.96</v>
      </c>
      <c r="F38" s="193"/>
      <c r="G38" s="190"/>
      <c r="H38" s="188"/>
      <c r="I38" s="190"/>
      <c r="J38" s="188"/>
      <c r="K38" s="190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3"/>
      <c r="G39" s="190"/>
      <c r="H39" s="188"/>
      <c r="I39" s="190"/>
      <c r="J39" s="188"/>
      <c r="K39" s="190"/>
      <c r="L39" s="188"/>
    </row>
    <row r="40" spans="1:12" s="2" customFormat="1" ht="15.75" customHeight="1">
      <c r="A40" s="14"/>
      <c r="B40" s="25" t="s">
        <v>126</v>
      </c>
      <c r="C40" s="88" t="s">
        <v>127</v>
      </c>
      <c r="D40" s="32" t="str">
        <f>D33</f>
        <v>LIST</v>
      </c>
      <c r="E40" s="89" t="s">
        <v>117</v>
      </c>
      <c r="F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G40" s="192"/>
      <c r="H40" s="192"/>
      <c r="I40" s="192"/>
      <c r="J40" s="192"/>
      <c r="K40" s="192"/>
      <c r="L40" s="192"/>
    </row>
    <row r="41" spans="1:12" s="2" customFormat="1" ht="12.75">
      <c r="A41" s="9">
        <v>1</v>
      </c>
      <c r="B41" s="10" t="str">
        <f>LIDER!F51</f>
        <v>SANTIAGO JOSE BUELVAS CARRILLO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</v>
      </c>
      <c r="F41" s="193">
        <v>3.7</v>
      </c>
      <c r="G41" s="190">
        <v>3.9</v>
      </c>
      <c r="H41" s="188">
        <v>4</v>
      </c>
      <c r="I41" s="190">
        <v>3.9</v>
      </c>
      <c r="J41" s="188">
        <v>5</v>
      </c>
      <c r="K41" s="190"/>
      <c r="L41" s="188"/>
    </row>
    <row r="42" spans="1:12" s="2" customFormat="1" ht="15" customHeight="1">
      <c r="A42" s="12">
        <v>2</v>
      </c>
      <c r="B42" s="10" t="str">
        <f>LIDER!F52</f>
        <v>VALERIA SOFIA VENENCIA SANES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</v>
      </c>
      <c r="F42" s="193"/>
      <c r="G42" s="190"/>
      <c r="H42" s="188"/>
      <c r="I42" s="190"/>
      <c r="J42" s="188"/>
      <c r="K42" s="190"/>
      <c r="L42" s="188"/>
    </row>
    <row r="43" spans="1:12" s="2" customFormat="1" ht="15" customHeight="1">
      <c r="A43" s="12">
        <v>3</v>
      </c>
      <c r="B43" s="10" t="str">
        <f>LIDER!F53</f>
        <v>ESTEBAN DAVID DORIA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</v>
      </c>
      <c r="F43" s="193"/>
      <c r="G43" s="190"/>
      <c r="H43" s="188"/>
      <c r="I43" s="190"/>
      <c r="J43" s="188"/>
      <c r="K43" s="190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3"/>
      <c r="G44" s="190"/>
      <c r="H44" s="188"/>
      <c r="I44" s="190"/>
      <c r="J44" s="188"/>
      <c r="K44" s="190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3"/>
      <c r="G45" s="190"/>
      <c r="H45" s="188"/>
      <c r="I45" s="190"/>
      <c r="J45" s="188"/>
      <c r="K45" s="190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3"/>
      <c r="G46" s="190"/>
      <c r="H46" s="188"/>
      <c r="I46" s="190"/>
      <c r="J46" s="188"/>
      <c r="K46" s="190"/>
      <c r="L46" s="188"/>
    </row>
    <row r="47" spans="1:12" s="2" customFormat="1" ht="15.75" customHeight="1">
      <c r="A47" s="14"/>
      <c r="B47" s="25" t="s">
        <v>128</v>
      </c>
      <c r="C47" s="88" t="s">
        <v>129</v>
      </c>
      <c r="D47" s="32" t="str">
        <f>D40</f>
        <v>LIST</v>
      </c>
      <c r="E47" s="89" t="s">
        <v>117</v>
      </c>
      <c r="F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G47" s="192"/>
      <c r="H47" s="192"/>
      <c r="I47" s="192"/>
      <c r="J47" s="192"/>
      <c r="K47" s="192"/>
      <c r="L47" s="192"/>
    </row>
    <row r="48" spans="1:12" s="2" customFormat="1" ht="12.75">
      <c r="A48" s="9">
        <v>1</v>
      </c>
      <c r="B48" s="10" t="str">
        <f>LIDER!G51</f>
        <v>VALENTINA LUZ AVILEZ BERMUDEZ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3.07</v>
      </c>
      <c r="F48" s="193">
        <v>2.5</v>
      </c>
      <c r="G48" s="190">
        <v>3</v>
      </c>
      <c r="H48" s="188">
        <v>3.9</v>
      </c>
      <c r="I48" s="190">
        <v>2</v>
      </c>
      <c r="J48" s="188">
        <v>4</v>
      </c>
      <c r="K48" s="190"/>
      <c r="L48" s="188"/>
    </row>
    <row r="49" spans="1:12" s="2" customFormat="1" ht="15" customHeight="1">
      <c r="A49" s="12">
        <v>2</v>
      </c>
      <c r="B49" s="10" t="str">
        <f>LIDER!G52</f>
        <v>YANINE MILLET BERMUDEZ JIMENEZ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3.07</v>
      </c>
      <c r="F49" s="193"/>
      <c r="G49" s="190"/>
      <c r="H49" s="188"/>
      <c r="I49" s="190"/>
      <c r="J49" s="188"/>
      <c r="K49" s="190"/>
      <c r="L49" s="188"/>
    </row>
    <row r="50" spans="1:12" s="2" customFormat="1" ht="15" customHeight="1">
      <c r="A50" s="12">
        <v>3</v>
      </c>
      <c r="B50" s="10" t="str">
        <f>LIDER!G53</f>
        <v>YURLEINIS MAZA MORALES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3.07</v>
      </c>
      <c r="F50" s="193"/>
      <c r="G50" s="190"/>
      <c r="H50" s="188"/>
      <c r="I50" s="190"/>
      <c r="J50" s="188"/>
      <c r="K50" s="190"/>
      <c r="L50" s="188"/>
    </row>
    <row r="51" spans="1:12" s="2" customFormat="1" ht="15" customHeight="1">
      <c r="A51" s="12">
        <v>4</v>
      </c>
      <c r="B51" s="10" t="str">
        <f>LIDER!G54</f>
        <v>DAYANA LUCIA PALLARES MENDOZA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3.07</v>
      </c>
      <c r="F51" s="193"/>
      <c r="G51" s="190"/>
      <c r="H51" s="188"/>
      <c r="I51" s="190"/>
      <c r="J51" s="188"/>
      <c r="K51" s="190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3"/>
      <c r="G52" s="190"/>
      <c r="H52" s="188"/>
      <c r="I52" s="190"/>
      <c r="J52" s="188"/>
      <c r="K52" s="190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3"/>
      <c r="G53" s="190"/>
      <c r="H53" s="188"/>
      <c r="I53" s="190"/>
      <c r="J53" s="188"/>
      <c r="K53" s="190"/>
      <c r="L53" s="188"/>
    </row>
    <row r="54" spans="1:12" s="2" customFormat="1" ht="15.75" customHeight="1">
      <c r="A54" s="14"/>
      <c r="B54" s="25" t="s">
        <v>130</v>
      </c>
      <c r="C54" s="88" t="s">
        <v>131</v>
      </c>
      <c r="D54" s="32" t="str">
        <f>D47</f>
        <v>LIST</v>
      </c>
      <c r="E54" s="89" t="s">
        <v>117</v>
      </c>
      <c r="F54" s="192" t="str">
        <f>LIDER!$E$36</f>
        <v>GRUPO#8: Identificación de Oportunidad de Negocios para la exportación de Gel con Pigmento de la marca ADDA Gel-Styling en los mercados potenciales de Perú, Estados Unidos y Ecuador</v>
      </c>
      <c r="G54" s="192"/>
      <c r="H54" s="192"/>
      <c r="I54" s="192"/>
      <c r="J54" s="192"/>
      <c r="K54" s="192"/>
      <c r="L54" s="192"/>
    </row>
    <row r="55" spans="1:12" s="2" customFormat="1" ht="12.75">
      <c r="A55" s="9">
        <v>1</v>
      </c>
      <c r="B55" s="10" t="str">
        <f>LIDER!H51</f>
        <v>DALIA MARIA DEL CARMEN CONDE RAMIREZ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3.7</v>
      </c>
      <c r="F55" s="193">
        <v>3.5</v>
      </c>
      <c r="G55" s="190">
        <v>3</v>
      </c>
      <c r="H55" s="188">
        <v>4</v>
      </c>
      <c r="I55" s="190">
        <v>3.5</v>
      </c>
      <c r="J55" s="188">
        <v>5</v>
      </c>
      <c r="K55" s="190"/>
      <c r="L55" s="188"/>
    </row>
    <row r="56" spans="1:12" s="2" customFormat="1" ht="15" customHeight="1">
      <c r="A56" s="12">
        <v>2</v>
      </c>
      <c r="B56" s="10" t="str">
        <f>LIDER!H52</f>
        <v>ANGEL MANUEL GONZALEZ ALVAREZ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3.7</v>
      </c>
      <c r="F56" s="193"/>
      <c r="G56" s="190"/>
      <c r="H56" s="188"/>
      <c r="I56" s="190"/>
      <c r="J56" s="188"/>
      <c r="K56" s="190"/>
      <c r="L56" s="188"/>
    </row>
    <row r="57" spans="1:12" s="2" customFormat="1" ht="15" customHeight="1">
      <c r="A57" s="12">
        <v>3</v>
      </c>
      <c r="B57" s="10" t="str">
        <f>LIDER!H53</f>
        <v>DAINY CAROLINA OLEA TORRES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3.7</v>
      </c>
      <c r="F57" s="193"/>
      <c r="G57" s="190"/>
      <c r="H57" s="188"/>
      <c r="I57" s="190"/>
      <c r="J57" s="188"/>
      <c r="K57" s="190"/>
      <c r="L57" s="188"/>
    </row>
    <row r="58" spans="1:12" s="2" customFormat="1" ht="15" customHeight="1">
      <c r="A58" s="12">
        <v>4</v>
      </c>
      <c r="B58" s="10" t="str">
        <f>LIDER!H54</f>
        <v>ANDRÉS ESTEBAN VÁSQUEZ GONZÁLEZ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3.7</v>
      </c>
      <c r="F58" s="193"/>
      <c r="G58" s="190"/>
      <c r="H58" s="188"/>
      <c r="I58" s="190"/>
      <c r="J58" s="188"/>
      <c r="K58" s="190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3"/>
      <c r="G59" s="190"/>
      <c r="H59" s="188"/>
      <c r="I59" s="190"/>
      <c r="J59" s="188"/>
      <c r="K59" s="190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3"/>
      <c r="G60" s="190"/>
      <c r="H60" s="188"/>
      <c r="I60" s="190"/>
      <c r="J60" s="188"/>
      <c r="K60" s="190"/>
      <c r="L60" s="188"/>
    </row>
    <row r="61" spans="1:12" s="2" customFormat="1" ht="15.75" customHeight="1">
      <c r="A61" s="14"/>
      <c r="B61" s="25" t="s">
        <v>132</v>
      </c>
      <c r="C61" s="88" t="s">
        <v>133</v>
      </c>
      <c r="D61" s="32" t="str">
        <f>D54</f>
        <v>LIST</v>
      </c>
      <c r="E61" s="89" t="s">
        <v>117</v>
      </c>
      <c r="F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G61" s="192"/>
      <c r="H61" s="192"/>
      <c r="I61" s="192"/>
      <c r="J61" s="192"/>
      <c r="K61" s="192"/>
      <c r="L61" s="192"/>
    </row>
    <row r="62" spans="1:12" s="2" customFormat="1" ht="12.75">
      <c r="A62" s="9">
        <v>1</v>
      </c>
      <c r="B62" s="10" t="str">
        <f>LIDER!E59</f>
        <v>JOSE EDUARDO ARRIETA MEJIA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4.2300000000000004</v>
      </c>
      <c r="F62" s="193">
        <v>4</v>
      </c>
      <c r="G62" s="190">
        <v>4</v>
      </c>
      <c r="H62" s="188">
        <v>4.0999999999999996</v>
      </c>
      <c r="I62" s="190">
        <v>4.5</v>
      </c>
      <c r="J62" s="188">
        <v>5</v>
      </c>
      <c r="K62" s="190"/>
      <c r="L62" s="188"/>
    </row>
    <row r="63" spans="1:12" s="2" customFormat="1" ht="15" customHeight="1">
      <c r="A63" s="12">
        <v>2</v>
      </c>
      <c r="B63" s="10" t="str">
        <f>LIDER!E60</f>
        <v>VALENTINA BERRIO LOPEZ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4.2300000000000004</v>
      </c>
      <c r="F63" s="193"/>
      <c r="G63" s="190"/>
      <c r="H63" s="188"/>
      <c r="I63" s="190"/>
      <c r="J63" s="188"/>
      <c r="K63" s="190"/>
      <c r="L63" s="188"/>
    </row>
    <row r="64" spans="1:12" s="2" customFormat="1" ht="15" customHeight="1">
      <c r="A64" s="12">
        <v>3</v>
      </c>
      <c r="B64" s="10" t="str">
        <f>LIDER!E61</f>
        <v>SANTIAGO BOHÓRQUEZ CANTERO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4.2300000000000004</v>
      </c>
      <c r="F64" s="193"/>
      <c r="G64" s="190"/>
      <c r="H64" s="188"/>
      <c r="I64" s="190"/>
      <c r="J64" s="188"/>
      <c r="K64" s="190"/>
      <c r="L64" s="188"/>
    </row>
    <row r="65" spans="1:12" s="2" customFormat="1" ht="15" customHeight="1">
      <c r="A65" s="12">
        <v>4</v>
      </c>
      <c r="B65" s="10" t="str">
        <f>LIDER!E62</f>
        <v>NICOLE ANTHONELLA CAMPOS ABREU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4.2300000000000004</v>
      </c>
      <c r="F65" s="193"/>
      <c r="G65" s="190"/>
      <c r="H65" s="188"/>
      <c r="I65" s="190"/>
      <c r="J65" s="188"/>
      <c r="K65" s="190"/>
      <c r="L65" s="188"/>
    </row>
    <row r="66" spans="1:12" s="2" customFormat="1" ht="15" customHeight="1">
      <c r="A66" s="12">
        <v>5</v>
      </c>
      <c r="B66" s="10" t="str">
        <f>LIDER!E63</f>
        <v>DELIA ROSA GARCIA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4.2300000000000004</v>
      </c>
      <c r="F66" s="193"/>
      <c r="G66" s="190"/>
      <c r="H66" s="188"/>
      <c r="I66" s="190"/>
      <c r="J66" s="188"/>
      <c r="K66" s="190"/>
      <c r="L66" s="188"/>
    </row>
    <row r="67" spans="1:12" s="2" customFormat="1" ht="15.75" customHeight="1">
      <c r="A67" s="13">
        <v>6</v>
      </c>
      <c r="B67" s="91" t="str">
        <f>LIDER!E64</f>
        <v>SAMUEL DAVID PÉREZ MUÑOZ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4.2300000000000004</v>
      </c>
      <c r="F67" s="193"/>
      <c r="G67" s="190"/>
      <c r="H67" s="188"/>
      <c r="I67" s="190"/>
      <c r="J67" s="188"/>
      <c r="K67" s="190"/>
      <c r="L67" s="188"/>
    </row>
    <row r="68" spans="1:12" s="2" customFormat="1" ht="15.75" customHeight="1">
      <c r="A68" s="14"/>
      <c r="B68" s="25" t="s">
        <v>134</v>
      </c>
      <c r="C68" s="88" t="s">
        <v>135</v>
      </c>
      <c r="D68" s="32" t="str">
        <f>D61</f>
        <v>LIST</v>
      </c>
      <c r="E68" s="89" t="s">
        <v>117</v>
      </c>
      <c r="F68" s="192" t="str">
        <f>LIDER!$E$38</f>
        <v>GRUPO#10: FRUTÉA: Aprovechamiento de frutas colombianas para la elaboración y comercialización de mermeladas</v>
      </c>
      <c r="G68" s="192"/>
      <c r="H68" s="192"/>
      <c r="I68" s="192"/>
      <c r="J68" s="192"/>
      <c r="K68" s="192"/>
      <c r="L68" s="192"/>
    </row>
    <row r="69" spans="1:12" s="2" customFormat="1" ht="12.75">
      <c r="A69" s="9">
        <v>1</v>
      </c>
      <c r="B69" s="10" t="str">
        <f>LIDER!F59</f>
        <v>YUREIDYS ALVAREZ CASTELLANO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3.79</v>
      </c>
      <c r="F69" s="193">
        <v>4</v>
      </c>
      <c r="G69" s="190">
        <v>3.5</v>
      </c>
      <c r="H69" s="188">
        <v>3.8</v>
      </c>
      <c r="I69" s="190">
        <v>3.5</v>
      </c>
      <c r="J69" s="188">
        <v>4.5</v>
      </c>
      <c r="K69" s="190"/>
      <c r="L69" s="188"/>
    </row>
    <row r="70" spans="1:12" s="2" customFormat="1" ht="15" customHeight="1">
      <c r="A70" s="12">
        <v>2</v>
      </c>
      <c r="B70" s="10" t="str">
        <f>LIDER!F60</f>
        <v>EFRAÍN JOSÉ CEBALLOS SALGADO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3.79</v>
      </c>
      <c r="F70" s="193"/>
      <c r="G70" s="190"/>
      <c r="H70" s="188"/>
      <c r="I70" s="190"/>
      <c r="J70" s="188"/>
      <c r="K70" s="190"/>
      <c r="L70" s="188"/>
    </row>
    <row r="71" spans="1:12" s="2" customFormat="1" ht="15" customHeight="1">
      <c r="A71" s="12">
        <v>3</v>
      </c>
      <c r="B71" s="10" t="str">
        <f>LIDER!F61</f>
        <v>ANDRES FELIPE TORRES ARROYO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3.79</v>
      </c>
      <c r="F71" s="193"/>
      <c r="G71" s="190"/>
      <c r="H71" s="188"/>
      <c r="I71" s="190"/>
      <c r="J71" s="188"/>
      <c r="K71" s="190"/>
      <c r="L71" s="188"/>
    </row>
    <row r="72" spans="1:12" s="2" customFormat="1" ht="15" customHeight="1">
      <c r="A72" s="12">
        <v>4</v>
      </c>
      <c r="B72" s="10" t="str">
        <f>LIDER!F62</f>
        <v>YUSETH DAVID VILLEGAS ARTEAGA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3.79</v>
      </c>
      <c r="F72" s="193"/>
      <c r="G72" s="190"/>
      <c r="H72" s="188"/>
      <c r="I72" s="190"/>
      <c r="J72" s="188"/>
      <c r="K72" s="190"/>
      <c r="L72" s="188"/>
    </row>
    <row r="73" spans="1:12" s="2" customFormat="1" ht="15" customHeight="1">
      <c r="A73" s="12">
        <v>5</v>
      </c>
      <c r="B73" s="10" t="str">
        <f>LIDER!F63</f>
        <v>ISAAC JOSE ZAPATA ZAPATA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3.79</v>
      </c>
      <c r="F73" s="193"/>
      <c r="G73" s="190"/>
      <c r="H73" s="188"/>
      <c r="I73" s="190"/>
      <c r="J73" s="188"/>
      <c r="K73" s="190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3"/>
      <c r="G74" s="190"/>
      <c r="H74" s="188"/>
      <c r="I74" s="190"/>
      <c r="J74" s="188"/>
      <c r="K74" s="190"/>
      <c r="L74" s="188"/>
    </row>
    <row r="75" spans="1:12" s="2" customFormat="1" ht="15.75" customHeight="1">
      <c r="A75" s="14"/>
      <c r="B75" s="25" t="s">
        <v>136</v>
      </c>
      <c r="C75" s="88" t="s">
        <v>137</v>
      </c>
      <c r="D75" s="32" t="str">
        <f>D68</f>
        <v>LIST</v>
      </c>
      <c r="E75" s="89" t="s">
        <v>117</v>
      </c>
      <c r="F75" s="192" t="str">
        <f>LIDER!$E$39</f>
        <v>GRUPO#11: Identificación de una oportunidad de negocio para una barra energética funcional de café colombiano en los mercados de Estados Unidos, Alemania y Canadá</v>
      </c>
      <c r="G75" s="192"/>
      <c r="H75" s="192"/>
      <c r="I75" s="192"/>
      <c r="J75" s="192"/>
      <c r="K75" s="192"/>
      <c r="L75" s="192"/>
    </row>
    <row r="76" spans="1:12" s="2" customFormat="1" ht="12.75">
      <c r="A76" s="9">
        <v>1</v>
      </c>
      <c r="B76" s="10" t="str">
        <f>LIDER!G59</f>
        <v>ANDREA KAROLAY CARRILLO GOMEZ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4.25</v>
      </c>
      <c r="F76" s="193">
        <v>4.0999999999999996</v>
      </c>
      <c r="G76" s="190">
        <v>4.2</v>
      </c>
      <c r="H76" s="188">
        <v>4.3</v>
      </c>
      <c r="I76" s="190">
        <v>4.5</v>
      </c>
      <c r="J76" s="188">
        <v>4</v>
      </c>
      <c r="K76" s="190"/>
      <c r="L76" s="188"/>
    </row>
    <row r="77" spans="1:12" s="2" customFormat="1" ht="15" customHeight="1">
      <c r="A77" s="12">
        <v>2</v>
      </c>
      <c r="B77" s="10" t="str">
        <f>LIDER!G60</f>
        <v>MARIANA JIMENEZ DEVOZ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4.25</v>
      </c>
      <c r="F77" s="193"/>
      <c r="G77" s="190"/>
      <c r="H77" s="188"/>
      <c r="I77" s="190"/>
      <c r="J77" s="188"/>
      <c r="K77" s="190"/>
      <c r="L77" s="188"/>
    </row>
    <row r="78" spans="1:12" s="2" customFormat="1" ht="15" customHeight="1">
      <c r="A78" s="12">
        <v>3</v>
      </c>
      <c r="B78" s="10" t="str">
        <f>LIDER!G61</f>
        <v>WYLYS JUNIOR ORTIZ ZUÑIGA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4.25</v>
      </c>
      <c r="F78" s="193"/>
      <c r="G78" s="190"/>
      <c r="H78" s="188"/>
      <c r="I78" s="190"/>
      <c r="J78" s="188"/>
      <c r="K78" s="190"/>
      <c r="L78" s="188"/>
    </row>
    <row r="79" spans="1:12" s="2" customFormat="1" ht="15" customHeight="1">
      <c r="A79" s="12">
        <v>4</v>
      </c>
      <c r="B79" s="10" t="str">
        <f>LIDER!G62</f>
        <v>MELANI DESTERLYN RAMIREZ CUADRO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4.25</v>
      </c>
      <c r="F79" s="193"/>
      <c r="G79" s="190"/>
      <c r="H79" s="188"/>
      <c r="I79" s="190"/>
      <c r="J79" s="188"/>
      <c r="K79" s="190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3"/>
      <c r="G80" s="190"/>
      <c r="H80" s="188"/>
      <c r="I80" s="190"/>
      <c r="J80" s="188"/>
      <c r="K80" s="190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3"/>
      <c r="G81" s="190"/>
      <c r="H81" s="188"/>
      <c r="I81" s="190"/>
      <c r="J81" s="188"/>
      <c r="K81" s="190"/>
      <c r="L81" s="188"/>
    </row>
    <row r="82" spans="1:12" s="2" customFormat="1" ht="15.75" customHeight="1">
      <c r="A82" s="14"/>
      <c r="B82" s="25" t="s">
        <v>92</v>
      </c>
      <c r="C82" s="88" t="s">
        <v>138</v>
      </c>
      <c r="D82" s="32" t="str">
        <f>D75</f>
        <v>LIST</v>
      </c>
      <c r="E82" s="89" t="s">
        <v>117</v>
      </c>
      <c r="F82" s="192" t="str">
        <f>LIDER!$E$40</f>
        <v>GRUPO#12</v>
      </c>
      <c r="G82" s="192"/>
      <c r="H82" s="192"/>
      <c r="I82" s="192"/>
      <c r="J82" s="192"/>
      <c r="K82" s="192"/>
      <c r="L82" s="19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3"/>
      <c r="G83" s="190"/>
      <c r="H83" s="188"/>
      <c r="I83" s="190"/>
      <c r="J83" s="188"/>
      <c r="K83" s="190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3"/>
      <c r="G84" s="190"/>
      <c r="H84" s="188"/>
      <c r="I84" s="190"/>
      <c r="J84" s="188"/>
      <c r="K84" s="190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3"/>
      <c r="G85" s="190"/>
      <c r="H85" s="188"/>
      <c r="I85" s="190"/>
      <c r="J85" s="188"/>
      <c r="K85" s="190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3"/>
      <c r="G86" s="190"/>
      <c r="H86" s="188"/>
      <c r="I86" s="190"/>
      <c r="J86" s="188"/>
      <c r="K86" s="190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3"/>
      <c r="G87" s="190"/>
      <c r="H87" s="188"/>
      <c r="I87" s="190"/>
      <c r="J87" s="188"/>
      <c r="K87" s="190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4"/>
      <c r="G88" s="191"/>
      <c r="H88" s="189"/>
      <c r="I88" s="191"/>
      <c r="J88" s="189"/>
      <c r="K88" s="191"/>
      <c r="L88" s="18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zoomScale="80" zoomScaleNormal="80" workbookViewId="0">
      <pane xSplit="5" ySplit="3" topLeftCell="F38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6"/>
      <c r="H1" s="19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ETICA</v>
      </c>
      <c r="C2" s="82"/>
      <c r="D2" s="3"/>
      <c r="F2" s="198" t="s">
        <v>112</v>
      </c>
      <c r="G2" s="199"/>
      <c r="H2" s="199"/>
      <c r="I2" s="199"/>
      <c r="J2" s="199"/>
      <c r="K2" s="199"/>
      <c r="L2" s="200"/>
    </row>
    <row r="3" spans="1:12" s="2" customFormat="1" ht="145.5" customHeight="1">
      <c r="B3" s="83" t="s">
        <v>113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1" t="str">
        <f>CONCATENATE(LIDER!D4," - ",LIDER!D6," - ",LIDER!D5)</f>
        <v>ETICA - 2259 - LEIDY ENID QUINTERO SÁNCHEZ</v>
      </c>
      <c r="G4" s="201"/>
      <c r="H4" s="201"/>
      <c r="I4" s="201"/>
      <c r="J4" s="201"/>
      <c r="K4" s="201"/>
      <c r="L4" s="201"/>
    </row>
    <row r="5" spans="1:12" s="2" customFormat="1" ht="15.75" customHeight="1" thickBot="1">
      <c r="A5" s="8"/>
      <c r="B5" s="25" t="s">
        <v>114</v>
      </c>
      <c r="C5" s="88" t="s">
        <v>115</v>
      </c>
      <c r="D5" s="32" t="s">
        <v>116</v>
      </c>
      <c r="E5" s="89" t="s">
        <v>117</v>
      </c>
      <c r="F5" s="192" t="str">
        <f>LIDER!$E$29</f>
        <v>GRUPO#1: Identificación de una Oportunidad de Negocio Internacional para el Sistema de Riego Solar mediante el Estudio de Tres Mercados Potenciales: Chile, España y Estados Unidos</v>
      </c>
      <c r="G5" s="192"/>
      <c r="H5" s="192"/>
      <c r="I5" s="192"/>
      <c r="J5" s="192"/>
      <c r="K5" s="192"/>
      <c r="L5" s="192"/>
    </row>
    <row r="6" spans="1:12" s="2" customFormat="1" ht="12.75">
      <c r="A6" s="9">
        <v>1</v>
      </c>
      <c r="B6" s="10" t="str">
        <f>LIDER!E43</f>
        <v>MESHEL ARAGON AGUIRRE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3.6500000000000004</v>
      </c>
      <c r="F6" s="193">
        <v>3.5</v>
      </c>
      <c r="G6" s="190">
        <v>3.5</v>
      </c>
      <c r="H6" s="188">
        <v>3.5</v>
      </c>
      <c r="I6" s="190">
        <v>3.5</v>
      </c>
      <c r="J6" s="188">
        <v>5</v>
      </c>
      <c r="K6" s="190"/>
      <c r="L6" s="188"/>
    </row>
    <row r="7" spans="1:12" s="2" customFormat="1" ht="15" customHeight="1">
      <c r="A7" s="12">
        <v>2</v>
      </c>
      <c r="B7" s="10" t="str">
        <f>LIDER!E44</f>
        <v>VALENTINA CASTRO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3.6500000000000004</v>
      </c>
      <c r="F7" s="193"/>
      <c r="G7" s="190"/>
      <c r="H7" s="188"/>
      <c r="I7" s="190"/>
      <c r="J7" s="188"/>
      <c r="K7" s="190"/>
      <c r="L7" s="188"/>
    </row>
    <row r="8" spans="1:12" s="2" customFormat="1" ht="15" customHeight="1">
      <c r="A8" s="12">
        <v>3</v>
      </c>
      <c r="B8" s="10" t="str">
        <f>LIDER!E45</f>
        <v>JUAN DIEGO DEL RIO VEGA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3.6500000000000004</v>
      </c>
      <c r="F8" s="193"/>
      <c r="G8" s="190"/>
      <c r="H8" s="188"/>
      <c r="I8" s="190"/>
      <c r="J8" s="188"/>
      <c r="K8" s="190"/>
      <c r="L8" s="188"/>
    </row>
    <row r="9" spans="1:12" s="2" customFormat="1" ht="15" customHeight="1">
      <c r="A9" s="12">
        <v>4</v>
      </c>
      <c r="B9" s="10" t="str">
        <f>LIDER!E46</f>
        <v>MELANIE ISABEL MONSALVE GRANADOS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3.6500000000000004</v>
      </c>
      <c r="F9" s="193"/>
      <c r="G9" s="190"/>
      <c r="H9" s="188"/>
      <c r="I9" s="190"/>
      <c r="J9" s="188"/>
      <c r="K9" s="190"/>
      <c r="L9" s="188"/>
    </row>
    <row r="10" spans="1:12" s="2" customFormat="1" ht="15" customHeight="1">
      <c r="A10" s="12">
        <v>5</v>
      </c>
      <c r="B10" s="10" t="str">
        <f>LIDER!E47</f>
        <v>HANA SOFIA SANTANA GARCIA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3.6500000000000004</v>
      </c>
      <c r="F10" s="193"/>
      <c r="G10" s="190"/>
      <c r="H10" s="188"/>
      <c r="I10" s="190"/>
      <c r="J10" s="188"/>
      <c r="K10" s="190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3"/>
      <c r="G11" s="190"/>
      <c r="H11" s="188"/>
      <c r="I11" s="190"/>
      <c r="J11" s="188"/>
      <c r="K11" s="190"/>
      <c r="L11" s="188"/>
    </row>
    <row r="12" spans="1:12" s="2" customFormat="1" ht="15.75" customHeight="1" thickBot="1">
      <c r="A12" s="8"/>
      <c r="B12" s="25" t="s">
        <v>118</v>
      </c>
      <c r="C12" s="88" t="s">
        <v>119</v>
      </c>
      <c r="D12" s="32" t="str">
        <f>D5</f>
        <v>LIST</v>
      </c>
      <c r="E12" s="89" t="s">
        <v>117</v>
      </c>
      <c r="F12" s="192" t="str">
        <f>LIDER!$E$30</f>
        <v>GRUPO#2: ANÁLISIS DE UNA OPORTUNIDAD DE NEGOCIO PARA LA COMERCIALIZACIÓN DE PRODUCTOS CAPILARES DE LA EMPRESA ROMELIA S.A.S. EN LOS MERCADOS POTENCIALES DE MEXICO, ESTADOS UNIDOS Y ESPAÑA</v>
      </c>
      <c r="G12" s="192"/>
      <c r="H12" s="192"/>
      <c r="I12" s="192"/>
      <c r="J12" s="192"/>
      <c r="K12" s="192"/>
      <c r="L12" s="192"/>
    </row>
    <row r="13" spans="1:12" s="2" customFormat="1" ht="12.75">
      <c r="A13" s="9">
        <v>1</v>
      </c>
      <c r="B13" s="10" t="str">
        <f>LIDER!F43</f>
        <v>EYLANS ANDRES AHUMADA SALAZAR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3.3300000000000005</v>
      </c>
      <c r="F13" s="193">
        <v>3.2</v>
      </c>
      <c r="G13" s="190">
        <v>3.2</v>
      </c>
      <c r="H13" s="188">
        <v>3.2</v>
      </c>
      <c r="I13" s="190">
        <v>3.2</v>
      </c>
      <c r="J13" s="188">
        <v>4.5</v>
      </c>
      <c r="K13" s="190"/>
      <c r="L13" s="188"/>
    </row>
    <row r="14" spans="1:12" s="2" customFormat="1" ht="15" customHeight="1">
      <c r="A14" s="12">
        <v>2</v>
      </c>
      <c r="B14" s="10" t="str">
        <f>LIDER!F44</f>
        <v>KENDRY YIRETH LABIOSA VERGARA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3.3300000000000005</v>
      </c>
      <c r="F14" s="193"/>
      <c r="G14" s="190"/>
      <c r="H14" s="188"/>
      <c r="I14" s="190"/>
      <c r="J14" s="188"/>
      <c r="K14" s="190"/>
      <c r="L14" s="188"/>
    </row>
    <row r="15" spans="1:12" s="2" customFormat="1" ht="15" customHeight="1">
      <c r="A15" s="12">
        <v>3</v>
      </c>
      <c r="B15" s="10" t="str">
        <f>LIDER!F45</f>
        <v>VALERY PAOLA OSORIO VIDAL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3.3300000000000005</v>
      </c>
      <c r="F15" s="193"/>
      <c r="G15" s="190"/>
      <c r="H15" s="188"/>
      <c r="I15" s="190"/>
      <c r="J15" s="188"/>
      <c r="K15" s="190"/>
      <c r="L15" s="188"/>
    </row>
    <row r="16" spans="1:12" s="2" customFormat="1" ht="15" customHeight="1">
      <c r="A16" s="12">
        <v>4</v>
      </c>
      <c r="B16" s="10" t="str">
        <f>LIDER!F46</f>
        <v>YERLIS PAOLA RUIZ GARCIA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3.3300000000000005</v>
      </c>
      <c r="F16" s="193"/>
      <c r="G16" s="190"/>
      <c r="H16" s="188"/>
      <c r="I16" s="190"/>
      <c r="J16" s="188"/>
      <c r="K16" s="190"/>
      <c r="L16" s="188"/>
    </row>
    <row r="17" spans="1:12" s="2" customFormat="1" ht="15" customHeight="1">
      <c r="A17" s="12">
        <v>5</v>
      </c>
      <c r="B17" s="10" t="str">
        <f>LIDER!F47</f>
        <v>DANIEL ISAAC SIMANCA SANCHEZ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3.3300000000000005</v>
      </c>
      <c r="F17" s="193"/>
      <c r="G17" s="190"/>
      <c r="H17" s="188"/>
      <c r="I17" s="190"/>
      <c r="J17" s="188"/>
      <c r="K17" s="190"/>
      <c r="L17" s="18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3"/>
      <c r="G18" s="190"/>
      <c r="H18" s="188"/>
      <c r="I18" s="190"/>
      <c r="J18" s="188"/>
      <c r="K18" s="190"/>
      <c r="L18" s="188"/>
    </row>
    <row r="19" spans="1:12" s="2" customFormat="1" ht="15.75" customHeight="1">
      <c r="A19" s="14"/>
      <c r="B19" s="25" t="s">
        <v>120</v>
      </c>
      <c r="C19" s="88" t="s">
        <v>121</v>
      </c>
      <c r="D19" s="32" t="str">
        <f>D12</f>
        <v>LIST</v>
      </c>
      <c r="E19" s="89" t="s">
        <v>117</v>
      </c>
      <c r="F19" s="192" t="str">
        <f>LIDER!$E$31</f>
        <v xml:space="preserve">GRUPO#3: Identificación de una oportunidad de negocio para EcoCao S.A.S. mediante el estudio de Estados Unidos, Ecuador y Chile como mercados potenciales. </v>
      </c>
      <c r="G19" s="192"/>
      <c r="H19" s="192"/>
      <c r="I19" s="192"/>
      <c r="J19" s="192"/>
      <c r="K19" s="192"/>
      <c r="L19" s="192"/>
    </row>
    <row r="20" spans="1:12" s="2" customFormat="1" ht="12.75">
      <c r="A20" s="9">
        <v>1</v>
      </c>
      <c r="B20" s="10" t="str">
        <f>LIDER!G43</f>
        <v>DAVID ANDRES CASTILLA CARDENAS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3.6500000000000004</v>
      </c>
      <c r="F20" s="193">
        <v>3.5</v>
      </c>
      <c r="G20" s="190">
        <v>3.5</v>
      </c>
      <c r="H20" s="188">
        <v>3.5</v>
      </c>
      <c r="I20" s="190">
        <v>3.5</v>
      </c>
      <c r="J20" s="188">
        <v>5</v>
      </c>
      <c r="K20" s="190"/>
      <c r="L20" s="188"/>
    </row>
    <row r="21" spans="1:12" s="2" customFormat="1" ht="15" customHeight="1">
      <c r="A21" s="12">
        <v>2</v>
      </c>
      <c r="B21" s="10" t="str">
        <f>LIDER!G44</f>
        <v>MARIA FERNANDA DE HORTA GOMEZ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3.6500000000000004</v>
      </c>
      <c r="F21" s="193"/>
      <c r="G21" s="190"/>
      <c r="H21" s="188"/>
      <c r="I21" s="190"/>
      <c r="J21" s="188"/>
      <c r="K21" s="190"/>
      <c r="L21" s="188"/>
    </row>
    <row r="22" spans="1:12" s="2" customFormat="1" ht="15" customHeight="1">
      <c r="A22" s="12">
        <v>3</v>
      </c>
      <c r="B22" s="10" t="str">
        <f>LIDER!G45</f>
        <v>MARÍA ALEJANDRA LEMOS OCHOA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3.6500000000000004</v>
      </c>
      <c r="F22" s="193"/>
      <c r="G22" s="190"/>
      <c r="H22" s="188"/>
      <c r="I22" s="190"/>
      <c r="J22" s="188"/>
      <c r="K22" s="190"/>
      <c r="L22" s="188"/>
    </row>
    <row r="23" spans="1:12" s="2" customFormat="1" ht="15" customHeight="1">
      <c r="A23" s="12">
        <v>4</v>
      </c>
      <c r="B23" s="10" t="str">
        <f>LIDER!G46</f>
        <v>SHARON JULIANA MONTES FERNANDEZ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3.6500000000000004</v>
      </c>
      <c r="F23" s="193"/>
      <c r="G23" s="190"/>
      <c r="H23" s="188"/>
      <c r="I23" s="190"/>
      <c r="J23" s="188"/>
      <c r="K23" s="190"/>
      <c r="L23" s="188"/>
    </row>
    <row r="24" spans="1:12" s="2" customFormat="1" ht="15" customHeight="1">
      <c r="A24" s="12">
        <v>5</v>
      </c>
      <c r="B24" s="10" t="str">
        <f>LIDER!G47</f>
        <v>DAVID ALEJANDRO RHENALS LOPEZ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3.6500000000000004</v>
      </c>
      <c r="F24" s="193"/>
      <c r="G24" s="190"/>
      <c r="H24" s="188"/>
      <c r="I24" s="190"/>
      <c r="J24" s="188"/>
      <c r="K24" s="190"/>
      <c r="L24" s="18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3"/>
      <c r="G25" s="190"/>
      <c r="H25" s="188"/>
      <c r="I25" s="190"/>
      <c r="J25" s="188"/>
      <c r="K25" s="190"/>
      <c r="L25" s="188"/>
    </row>
    <row r="26" spans="1:12" s="2" customFormat="1" ht="15.75" customHeight="1">
      <c r="A26" s="14"/>
      <c r="B26" s="25" t="s">
        <v>122</v>
      </c>
      <c r="C26" s="88" t="s">
        <v>123</v>
      </c>
      <c r="D26" s="32" t="str">
        <f>D19</f>
        <v>LIST</v>
      </c>
      <c r="E26" s="89" t="s">
        <v>117</v>
      </c>
      <c r="F26" s="192" t="str">
        <f>LIDER!$E$32</f>
        <v>GRUPO#4: Identificación de una Oportunidad de Negocio Internacional para la Harina de Plátano de ASOREPP mediante el Estudio de Tres Mercados Potenciales: España, Estados Unidos y Alemania</v>
      </c>
      <c r="G26" s="192"/>
      <c r="H26" s="192"/>
      <c r="I26" s="192"/>
      <c r="J26" s="192"/>
      <c r="K26" s="192"/>
      <c r="L26" s="192"/>
    </row>
    <row r="27" spans="1:12" s="2" customFormat="1" ht="12.75">
      <c r="A27" s="9">
        <v>1</v>
      </c>
      <c r="B27" s="10" t="str">
        <f>LIDER!H43</f>
        <v>JHORDAN JOSE BARROS PEÑA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2.8</v>
      </c>
      <c r="F27" s="193">
        <v>3</v>
      </c>
      <c r="G27" s="190">
        <v>3</v>
      </c>
      <c r="H27" s="188">
        <v>3</v>
      </c>
      <c r="I27" s="190">
        <v>2</v>
      </c>
      <c r="J27" s="188">
        <v>3</v>
      </c>
      <c r="K27" s="190"/>
      <c r="L27" s="188"/>
    </row>
    <row r="28" spans="1:12" s="2" customFormat="1" ht="15" customHeight="1">
      <c r="A28" s="12">
        <v>2</v>
      </c>
      <c r="B28" s="10" t="str">
        <f>LIDER!H44</f>
        <v>RUTH SARAY PATERNINA PÉREZ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2.8</v>
      </c>
      <c r="F28" s="193"/>
      <c r="G28" s="190"/>
      <c r="H28" s="188"/>
      <c r="I28" s="190"/>
      <c r="J28" s="188"/>
      <c r="K28" s="190"/>
      <c r="L28" s="188"/>
    </row>
    <row r="29" spans="1:12" s="2" customFormat="1" ht="15" customHeight="1">
      <c r="A29" s="12">
        <v>3</v>
      </c>
      <c r="B29" s="10" t="str">
        <f>LIDER!H45</f>
        <v>HECTOR FABIO PEREIRA PACHECO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2.8</v>
      </c>
      <c r="F29" s="193"/>
      <c r="G29" s="190"/>
      <c r="H29" s="188"/>
      <c r="I29" s="190"/>
      <c r="J29" s="188"/>
      <c r="K29" s="190"/>
      <c r="L29" s="188"/>
    </row>
    <row r="30" spans="1:12" s="2" customFormat="1" ht="15" customHeight="1">
      <c r="A30" s="12">
        <v>4</v>
      </c>
      <c r="B30" s="10" t="str">
        <f>LIDER!H46</f>
        <v>JUAN RICARDO SERRANO PALLARES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2.8</v>
      </c>
      <c r="F30" s="193"/>
      <c r="G30" s="190"/>
      <c r="H30" s="188"/>
      <c r="I30" s="190"/>
      <c r="J30" s="188"/>
      <c r="K30" s="190"/>
      <c r="L30" s="188"/>
    </row>
    <row r="31" spans="1:12" s="2" customFormat="1" ht="15" customHeight="1">
      <c r="A31" s="12">
        <v>5</v>
      </c>
      <c r="B31" s="10" t="str">
        <f>LIDER!H47</f>
        <v>KEILYS JHOANA DE ÁVILA FONTALVO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2.8</v>
      </c>
      <c r="F31" s="193"/>
      <c r="G31" s="190"/>
      <c r="H31" s="188"/>
      <c r="I31" s="190"/>
      <c r="J31" s="188"/>
      <c r="K31" s="190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3"/>
      <c r="G32" s="190"/>
      <c r="H32" s="188"/>
      <c r="I32" s="190"/>
      <c r="J32" s="188"/>
      <c r="K32" s="190"/>
      <c r="L32" s="188"/>
    </row>
    <row r="33" spans="1:12" s="2" customFormat="1" ht="15.75" customHeight="1">
      <c r="A33" s="14"/>
      <c r="B33" s="25" t="s">
        <v>124</v>
      </c>
      <c r="C33" s="88" t="s">
        <v>125</v>
      </c>
      <c r="D33" s="32" t="str">
        <f>D26</f>
        <v>LIST</v>
      </c>
      <c r="E33" s="89" t="s">
        <v>117</v>
      </c>
      <c r="F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G33" s="192"/>
      <c r="H33" s="192"/>
      <c r="I33" s="192"/>
      <c r="J33" s="192"/>
      <c r="K33" s="192"/>
      <c r="L33" s="192"/>
    </row>
    <row r="34" spans="1:12" s="2" customFormat="1" ht="12.75">
      <c r="A34" s="9">
        <v>1</v>
      </c>
      <c r="B34" s="10" t="str">
        <f>LIDER!E51</f>
        <v>VALERIE SOFIA CERA TORRIENTE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3.75</v>
      </c>
      <c r="F34" s="193">
        <v>3.5</v>
      </c>
      <c r="G34" s="190">
        <v>3.8</v>
      </c>
      <c r="H34" s="188">
        <v>3.8</v>
      </c>
      <c r="I34" s="190">
        <v>3.5</v>
      </c>
      <c r="J34" s="188">
        <v>4.5</v>
      </c>
      <c r="K34" s="190"/>
      <c r="L34" s="188"/>
    </row>
    <row r="35" spans="1:12" s="2" customFormat="1" ht="15" customHeight="1">
      <c r="A35" s="12">
        <v>2</v>
      </c>
      <c r="B35" s="10" t="str">
        <f>LIDER!E52</f>
        <v>CRISTINA LUCIA ESTRADA SANTOYA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3.75</v>
      </c>
      <c r="F35" s="193"/>
      <c r="G35" s="190"/>
      <c r="H35" s="188"/>
      <c r="I35" s="190"/>
      <c r="J35" s="188"/>
      <c r="K35" s="190"/>
      <c r="L35" s="188"/>
    </row>
    <row r="36" spans="1:12" s="2" customFormat="1" ht="15" customHeight="1">
      <c r="A36" s="12">
        <v>3</v>
      </c>
      <c r="B36" s="10" t="str">
        <f>LIDER!E53</f>
        <v>JIRETH PAOLA GARCIA COLON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3.75</v>
      </c>
      <c r="F36" s="193"/>
      <c r="G36" s="190"/>
      <c r="H36" s="188"/>
      <c r="I36" s="190"/>
      <c r="J36" s="188"/>
      <c r="K36" s="190"/>
      <c r="L36" s="188"/>
    </row>
    <row r="37" spans="1:12" s="2" customFormat="1" ht="15" customHeight="1">
      <c r="A37" s="12">
        <v>4</v>
      </c>
      <c r="B37" s="10" t="str">
        <f>LIDER!E54</f>
        <v>LAURENT SOFIA IBARGUEN GULFO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3.75</v>
      </c>
      <c r="F37" s="193"/>
      <c r="G37" s="190"/>
      <c r="H37" s="188"/>
      <c r="I37" s="190"/>
      <c r="J37" s="188"/>
      <c r="K37" s="190"/>
      <c r="L37" s="188"/>
    </row>
    <row r="38" spans="1:12" s="2" customFormat="1" ht="15" customHeight="1">
      <c r="A38" s="12">
        <v>5</v>
      </c>
      <c r="B38" s="10" t="str">
        <f>LIDER!E55</f>
        <v>EVELYN SANCHEZ GONZALEZ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3.75</v>
      </c>
      <c r="F38" s="193"/>
      <c r="G38" s="190"/>
      <c r="H38" s="188"/>
      <c r="I38" s="190"/>
      <c r="J38" s="188"/>
      <c r="K38" s="190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3"/>
      <c r="G39" s="190"/>
      <c r="H39" s="188"/>
      <c r="I39" s="190"/>
      <c r="J39" s="188"/>
      <c r="K39" s="190"/>
      <c r="L39" s="188"/>
    </row>
    <row r="40" spans="1:12" s="2" customFormat="1" ht="15.75" customHeight="1">
      <c r="A40" s="14"/>
      <c r="B40" s="25" t="s">
        <v>126</v>
      </c>
      <c r="C40" s="88" t="s">
        <v>127</v>
      </c>
      <c r="D40" s="32" t="str">
        <f>D33</f>
        <v>LIST</v>
      </c>
      <c r="E40" s="89" t="s">
        <v>117</v>
      </c>
      <c r="F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G40" s="192"/>
      <c r="H40" s="192"/>
      <c r="I40" s="192"/>
      <c r="J40" s="192"/>
      <c r="K40" s="192"/>
      <c r="L40" s="192"/>
    </row>
    <row r="41" spans="1:12" s="2" customFormat="1" ht="12.75">
      <c r="A41" s="9">
        <v>1</v>
      </c>
      <c r="B41" s="10" t="str">
        <f>LIDER!F51</f>
        <v>SANTIAGO JOSE BUELVAS CARRILLO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3.25</v>
      </c>
      <c r="F41" s="193">
        <v>3.5</v>
      </c>
      <c r="G41" s="190">
        <v>3.5</v>
      </c>
      <c r="H41" s="188">
        <v>3.5</v>
      </c>
      <c r="I41" s="190">
        <v>2</v>
      </c>
      <c r="J41" s="188">
        <v>4</v>
      </c>
      <c r="K41" s="190"/>
      <c r="L41" s="188"/>
    </row>
    <row r="42" spans="1:12" s="2" customFormat="1" ht="15" customHeight="1">
      <c r="A42" s="12">
        <v>2</v>
      </c>
      <c r="B42" s="10" t="str">
        <f>LIDER!F52</f>
        <v>VALERIA SOFIA VENENCIA SANES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3.25</v>
      </c>
      <c r="F42" s="193"/>
      <c r="G42" s="190"/>
      <c r="H42" s="188"/>
      <c r="I42" s="190"/>
      <c r="J42" s="188"/>
      <c r="K42" s="190"/>
      <c r="L42" s="188"/>
    </row>
    <row r="43" spans="1:12" s="2" customFormat="1" ht="15" customHeight="1">
      <c r="A43" s="12">
        <v>3</v>
      </c>
      <c r="B43" s="10" t="str">
        <f>LIDER!F53</f>
        <v>ESTEBAN DAVID DORIA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3.25</v>
      </c>
      <c r="F43" s="193"/>
      <c r="G43" s="190"/>
      <c r="H43" s="188"/>
      <c r="I43" s="190"/>
      <c r="J43" s="188"/>
      <c r="K43" s="190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3"/>
      <c r="G44" s="190"/>
      <c r="H44" s="188"/>
      <c r="I44" s="190"/>
      <c r="J44" s="188"/>
      <c r="K44" s="190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3"/>
      <c r="G45" s="190"/>
      <c r="H45" s="188"/>
      <c r="I45" s="190"/>
      <c r="J45" s="188"/>
      <c r="K45" s="190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3"/>
      <c r="G46" s="190"/>
      <c r="H46" s="188"/>
      <c r="I46" s="190"/>
      <c r="J46" s="188"/>
      <c r="K46" s="190"/>
      <c r="L46" s="188"/>
    </row>
    <row r="47" spans="1:12" s="2" customFormat="1" ht="15.75" customHeight="1">
      <c r="A47" s="14"/>
      <c r="B47" s="25" t="s">
        <v>128</v>
      </c>
      <c r="C47" s="88" t="s">
        <v>129</v>
      </c>
      <c r="D47" s="32" t="str">
        <f>D40</f>
        <v>LIST</v>
      </c>
      <c r="E47" s="89" t="s">
        <v>117</v>
      </c>
      <c r="F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G47" s="192"/>
      <c r="H47" s="192"/>
      <c r="I47" s="192"/>
      <c r="J47" s="192"/>
      <c r="K47" s="192"/>
      <c r="L47" s="192"/>
    </row>
    <row r="48" spans="1:12" s="2" customFormat="1" ht="12.75">
      <c r="A48" s="9">
        <v>1</v>
      </c>
      <c r="B48" s="10" t="str">
        <f>LIDER!G51</f>
        <v>VALENTINA LUZ AVILEZ BERMUDEZ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2.5</v>
      </c>
      <c r="F48" s="193">
        <v>2</v>
      </c>
      <c r="G48" s="190">
        <v>3</v>
      </c>
      <c r="H48" s="188">
        <v>3</v>
      </c>
      <c r="I48" s="190">
        <v>1</v>
      </c>
      <c r="J48" s="188">
        <v>4</v>
      </c>
      <c r="K48" s="190"/>
      <c r="L48" s="188"/>
    </row>
    <row r="49" spans="1:12" s="2" customFormat="1" ht="15" customHeight="1">
      <c r="A49" s="12">
        <v>2</v>
      </c>
      <c r="B49" s="10" t="str">
        <f>LIDER!G52</f>
        <v>YANINE MILLET BERMUDEZ JIMENEZ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2.5</v>
      </c>
      <c r="F49" s="193"/>
      <c r="G49" s="190"/>
      <c r="H49" s="188"/>
      <c r="I49" s="190"/>
      <c r="J49" s="188"/>
      <c r="K49" s="190"/>
      <c r="L49" s="188"/>
    </row>
    <row r="50" spans="1:12" s="2" customFormat="1" ht="15" customHeight="1">
      <c r="A50" s="12">
        <v>3</v>
      </c>
      <c r="B50" s="10" t="str">
        <f>LIDER!G53</f>
        <v>YURLEINIS MAZA MORALES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2.5</v>
      </c>
      <c r="F50" s="193"/>
      <c r="G50" s="190"/>
      <c r="H50" s="188"/>
      <c r="I50" s="190"/>
      <c r="J50" s="188"/>
      <c r="K50" s="190"/>
      <c r="L50" s="188"/>
    </row>
    <row r="51" spans="1:12" s="2" customFormat="1" ht="15" customHeight="1">
      <c r="A51" s="12">
        <v>4</v>
      </c>
      <c r="B51" s="10" t="str">
        <f>LIDER!G54</f>
        <v>DAYANA LUCIA PALLARES MENDOZA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2.5</v>
      </c>
      <c r="F51" s="193"/>
      <c r="G51" s="190"/>
      <c r="H51" s="188"/>
      <c r="I51" s="190"/>
      <c r="J51" s="188"/>
      <c r="K51" s="190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3"/>
      <c r="G52" s="190"/>
      <c r="H52" s="188"/>
      <c r="I52" s="190"/>
      <c r="J52" s="188"/>
      <c r="K52" s="190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3"/>
      <c r="G53" s="190"/>
      <c r="H53" s="188"/>
      <c r="I53" s="190"/>
      <c r="J53" s="188"/>
      <c r="K53" s="190"/>
      <c r="L53" s="188"/>
    </row>
    <row r="54" spans="1:12" s="2" customFormat="1" ht="15.75" customHeight="1">
      <c r="A54" s="14"/>
      <c r="B54" s="25" t="s">
        <v>130</v>
      </c>
      <c r="C54" s="88" t="s">
        <v>131</v>
      </c>
      <c r="D54" s="32" t="str">
        <f>D47</f>
        <v>LIST</v>
      </c>
      <c r="E54" s="89" t="s">
        <v>117</v>
      </c>
      <c r="F54" s="192" t="str">
        <f>LIDER!$E$36</f>
        <v>GRUPO#8: Identificación de Oportunidad de Negocios para la exportación de Gel con Pigmento de la marca ADDA Gel-Styling en los mercados potenciales de Perú, Estados Unidos y Ecuador</v>
      </c>
      <c r="G54" s="192"/>
      <c r="H54" s="192"/>
      <c r="I54" s="192"/>
      <c r="J54" s="192"/>
      <c r="K54" s="192"/>
      <c r="L54" s="192"/>
    </row>
    <row r="55" spans="1:12" s="2" customFormat="1" ht="12.75">
      <c r="A55" s="9">
        <v>1</v>
      </c>
      <c r="B55" s="10" t="str">
        <f>LIDER!H51</f>
        <v>DALIA MARIA DEL CARMEN CONDE RAMIREZ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2.5</v>
      </c>
      <c r="F55" s="193">
        <v>2</v>
      </c>
      <c r="G55" s="190">
        <v>3</v>
      </c>
      <c r="H55" s="188">
        <v>3</v>
      </c>
      <c r="I55" s="190">
        <v>1</v>
      </c>
      <c r="J55" s="188">
        <v>4</v>
      </c>
      <c r="K55" s="190"/>
      <c r="L55" s="188"/>
    </row>
    <row r="56" spans="1:12" s="2" customFormat="1" ht="15" customHeight="1">
      <c r="A56" s="12">
        <v>2</v>
      </c>
      <c r="B56" s="10" t="str">
        <f>LIDER!H52</f>
        <v>ANGEL MANUEL GONZALEZ ALVAREZ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2.5</v>
      </c>
      <c r="F56" s="193"/>
      <c r="G56" s="190"/>
      <c r="H56" s="188"/>
      <c r="I56" s="190"/>
      <c r="J56" s="188"/>
      <c r="K56" s="190"/>
      <c r="L56" s="188"/>
    </row>
    <row r="57" spans="1:12" s="2" customFormat="1" ht="15" customHeight="1">
      <c r="A57" s="12">
        <v>3</v>
      </c>
      <c r="B57" s="10" t="str">
        <f>LIDER!H53</f>
        <v>DAINY CAROLINA OLEA TORRES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2.5</v>
      </c>
      <c r="F57" s="193"/>
      <c r="G57" s="190"/>
      <c r="H57" s="188"/>
      <c r="I57" s="190"/>
      <c r="J57" s="188"/>
      <c r="K57" s="190"/>
      <c r="L57" s="188"/>
    </row>
    <row r="58" spans="1:12" s="2" customFormat="1" ht="15" customHeight="1">
      <c r="A58" s="12">
        <v>4</v>
      </c>
      <c r="B58" s="10" t="str">
        <f>LIDER!H54</f>
        <v>ANDRÉS ESTEBAN VÁSQUEZ GONZÁLEZ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2.5</v>
      </c>
      <c r="F58" s="193"/>
      <c r="G58" s="190"/>
      <c r="H58" s="188"/>
      <c r="I58" s="190"/>
      <c r="J58" s="188"/>
      <c r="K58" s="190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3"/>
      <c r="G59" s="190"/>
      <c r="H59" s="188"/>
      <c r="I59" s="190"/>
      <c r="J59" s="188"/>
      <c r="K59" s="190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3"/>
      <c r="G60" s="190"/>
      <c r="H60" s="188"/>
      <c r="I60" s="190"/>
      <c r="J60" s="188"/>
      <c r="K60" s="190"/>
      <c r="L60" s="188"/>
    </row>
    <row r="61" spans="1:12" s="2" customFormat="1" ht="15.75" customHeight="1">
      <c r="A61" s="14"/>
      <c r="B61" s="25" t="s">
        <v>132</v>
      </c>
      <c r="C61" s="88" t="s">
        <v>133</v>
      </c>
      <c r="D61" s="32" t="str">
        <f>D54</f>
        <v>LIST</v>
      </c>
      <c r="E61" s="89" t="s">
        <v>117</v>
      </c>
      <c r="F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G61" s="192"/>
      <c r="H61" s="192"/>
      <c r="I61" s="192"/>
      <c r="J61" s="192"/>
      <c r="K61" s="192"/>
      <c r="L61" s="192"/>
    </row>
    <row r="62" spans="1:12" s="2" customFormat="1" ht="12.75">
      <c r="A62" s="9">
        <v>1</v>
      </c>
      <c r="B62" s="10" t="str">
        <f>LIDER!E59</f>
        <v>JOSE EDUARDO ARRIETA MEJIA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3.5000000000000009</v>
      </c>
      <c r="F62" s="193">
        <v>3</v>
      </c>
      <c r="G62" s="190">
        <v>3.5</v>
      </c>
      <c r="H62" s="188">
        <v>3.5</v>
      </c>
      <c r="I62" s="190">
        <v>3.5</v>
      </c>
      <c r="J62" s="188">
        <v>4.5</v>
      </c>
      <c r="K62" s="190"/>
      <c r="L62" s="188"/>
    </row>
    <row r="63" spans="1:12" s="2" customFormat="1" ht="15" customHeight="1">
      <c r="A63" s="12">
        <v>2</v>
      </c>
      <c r="B63" s="10" t="str">
        <f>LIDER!E60</f>
        <v>VALENTINA BERRIO LOPEZ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3.5000000000000009</v>
      </c>
      <c r="F63" s="193"/>
      <c r="G63" s="190"/>
      <c r="H63" s="188"/>
      <c r="I63" s="190"/>
      <c r="J63" s="188"/>
      <c r="K63" s="190"/>
      <c r="L63" s="188"/>
    </row>
    <row r="64" spans="1:12" s="2" customFormat="1" ht="15" customHeight="1">
      <c r="A64" s="12">
        <v>3</v>
      </c>
      <c r="B64" s="10" t="str">
        <f>LIDER!E61</f>
        <v>SANTIAGO BOHÓRQUEZ CANTERO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3.5000000000000009</v>
      </c>
      <c r="F64" s="193"/>
      <c r="G64" s="190"/>
      <c r="H64" s="188"/>
      <c r="I64" s="190"/>
      <c r="J64" s="188"/>
      <c r="K64" s="190"/>
      <c r="L64" s="188"/>
    </row>
    <row r="65" spans="1:12" s="2" customFormat="1" ht="15" customHeight="1">
      <c r="A65" s="12">
        <v>4</v>
      </c>
      <c r="B65" s="10" t="str">
        <f>LIDER!E62</f>
        <v>NICOLE ANTHONELLA CAMPOS ABREU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3.5000000000000009</v>
      </c>
      <c r="F65" s="193"/>
      <c r="G65" s="190"/>
      <c r="H65" s="188"/>
      <c r="I65" s="190"/>
      <c r="J65" s="188"/>
      <c r="K65" s="190"/>
      <c r="L65" s="188"/>
    </row>
    <row r="66" spans="1:12" s="2" customFormat="1" ht="15" customHeight="1">
      <c r="A66" s="12">
        <v>5</v>
      </c>
      <c r="B66" s="10" t="str">
        <f>LIDER!E63</f>
        <v>DELIA ROSA GARCIA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3.5000000000000009</v>
      </c>
      <c r="F66" s="193"/>
      <c r="G66" s="190"/>
      <c r="H66" s="188"/>
      <c r="I66" s="190"/>
      <c r="J66" s="188"/>
      <c r="K66" s="190"/>
      <c r="L66" s="188"/>
    </row>
    <row r="67" spans="1:12" s="2" customFormat="1" ht="15.75" customHeight="1">
      <c r="A67" s="13">
        <v>6</v>
      </c>
      <c r="B67" s="91" t="str">
        <f>LIDER!E64</f>
        <v>SAMUEL DAVID PÉREZ MUÑOZ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3.5000000000000009</v>
      </c>
      <c r="F67" s="193"/>
      <c r="G67" s="190"/>
      <c r="H67" s="188"/>
      <c r="I67" s="190"/>
      <c r="J67" s="188"/>
      <c r="K67" s="190"/>
      <c r="L67" s="188"/>
    </row>
    <row r="68" spans="1:12" s="2" customFormat="1" ht="15.75" customHeight="1">
      <c r="A68" s="14"/>
      <c r="B68" s="25" t="s">
        <v>134</v>
      </c>
      <c r="C68" s="88" t="s">
        <v>135</v>
      </c>
      <c r="D68" s="32" t="str">
        <f>D61</f>
        <v>LIST</v>
      </c>
      <c r="E68" s="89" t="s">
        <v>117</v>
      </c>
      <c r="F68" s="192" t="str">
        <f>LIDER!$E$38</f>
        <v>GRUPO#10: FRUTÉA: Aprovechamiento de frutas colombianas para la elaboración y comercialización de mermeladas</v>
      </c>
      <c r="G68" s="192"/>
      <c r="H68" s="192"/>
      <c r="I68" s="192"/>
      <c r="J68" s="192"/>
      <c r="K68" s="192"/>
      <c r="L68" s="192"/>
    </row>
    <row r="69" spans="1:12" s="2" customFormat="1" ht="12.75">
      <c r="A69" s="9">
        <v>1</v>
      </c>
      <c r="B69" s="10" t="str">
        <f>LIDER!F59</f>
        <v>YUREIDYS ALVAREZ CASTELLANO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2.9</v>
      </c>
      <c r="F69" s="193">
        <v>3</v>
      </c>
      <c r="G69" s="190">
        <v>3</v>
      </c>
      <c r="H69" s="188">
        <v>3</v>
      </c>
      <c r="I69" s="190">
        <v>2</v>
      </c>
      <c r="J69" s="188">
        <v>4</v>
      </c>
      <c r="K69" s="190"/>
      <c r="L69" s="188"/>
    </row>
    <row r="70" spans="1:12" s="2" customFormat="1" ht="15" customHeight="1">
      <c r="A70" s="12">
        <v>2</v>
      </c>
      <c r="B70" s="10" t="str">
        <f>LIDER!F60</f>
        <v>EFRAÍN JOSÉ CEBALLOS SALGADO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2.9</v>
      </c>
      <c r="F70" s="193"/>
      <c r="G70" s="190"/>
      <c r="H70" s="188"/>
      <c r="I70" s="190"/>
      <c r="J70" s="188"/>
      <c r="K70" s="190"/>
      <c r="L70" s="188"/>
    </row>
    <row r="71" spans="1:12" s="2" customFormat="1" ht="15" customHeight="1">
      <c r="A71" s="12">
        <v>3</v>
      </c>
      <c r="B71" s="10" t="str">
        <f>LIDER!F61</f>
        <v>ANDRES FELIPE TORRES ARROYO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2.9</v>
      </c>
      <c r="F71" s="193"/>
      <c r="G71" s="190"/>
      <c r="H71" s="188"/>
      <c r="I71" s="190"/>
      <c r="J71" s="188"/>
      <c r="K71" s="190"/>
      <c r="L71" s="188"/>
    </row>
    <row r="72" spans="1:12" s="2" customFormat="1" ht="15" customHeight="1">
      <c r="A72" s="12">
        <v>4</v>
      </c>
      <c r="B72" s="10" t="str">
        <f>LIDER!F62</f>
        <v>YUSETH DAVID VILLEGAS ARTEAGA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2.9</v>
      </c>
      <c r="F72" s="193"/>
      <c r="G72" s="190"/>
      <c r="H72" s="188"/>
      <c r="I72" s="190"/>
      <c r="J72" s="188"/>
      <c r="K72" s="190"/>
      <c r="L72" s="188"/>
    </row>
    <row r="73" spans="1:12" s="2" customFormat="1" ht="15" customHeight="1">
      <c r="A73" s="12">
        <v>5</v>
      </c>
      <c r="B73" s="10" t="str">
        <f>LIDER!F63</f>
        <v>ISAAC JOSE ZAPATA ZAPATA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2.9</v>
      </c>
      <c r="F73" s="193"/>
      <c r="G73" s="190"/>
      <c r="H73" s="188"/>
      <c r="I73" s="190"/>
      <c r="J73" s="188"/>
      <c r="K73" s="190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3"/>
      <c r="G74" s="190"/>
      <c r="H74" s="188"/>
      <c r="I74" s="190"/>
      <c r="J74" s="188"/>
      <c r="K74" s="190"/>
      <c r="L74" s="188"/>
    </row>
    <row r="75" spans="1:12" s="2" customFormat="1" ht="15.75" customHeight="1">
      <c r="A75" s="14"/>
      <c r="B75" s="25" t="s">
        <v>136</v>
      </c>
      <c r="C75" s="88" t="s">
        <v>137</v>
      </c>
      <c r="D75" s="32" t="str">
        <f>D68</f>
        <v>LIST</v>
      </c>
      <c r="E75" s="89" t="s">
        <v>117</v>
      </c>
      <c r="F75" s="192" t="str">
        <f>LIDER!$E$39</f>
        <v>GRUPO#11: Identificación de una oportunidad de negocio para una barra energética funcional de café colombiano en los mercados de Estados Unidos, Alemania y Canadá</v>
      </c>
      <c r="G75" s="192"/>
      <c r="H75" s="192"/>
      <c r="I75" s="192"/>
      <c r="J75" s="192"/>
      <c r="K75" s="192"/>
      <c r="L75" s="192"/>
    </row>
    <row r="76" spans="1:12" s="2" customFormat="1" ht="12.75">
      <c r="A76" s="9">
        <v>1</v>
      </c>
      <c r="B76" s="10" t="str">
        <f>LIDER!G59</f>
        <v>ANDREA KAROLAY CARRILLO GOMEZ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3"/>
      <c r="G76" s="190"/>
      <c r="H76" s="188"/>
      <c r="I76" s="190"/>
      <c r="J76" s="188"/>
      <c r="K76" s="190"/>
      <c r="L76" s="188"/>
    </row>
    <row r="77" spans="1:12" s="2" customFormat="1" ht="15" customHeight="1">
      <c r="A77" s="12">
        <v>2</v>
      </c>
      <c r="B77" s="10" t="str">
        <f>LIDER!G60</f>
        <v>MARIANA JIMENEZ DEVOZ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3"/>
      <c r="G77" s="190"/>
      <c r="H77" s="188"/>
      <c r="I77" s="190"/>
      <c r="J77" s="188"/>
      <c r="K77" s="190"/>
      <c r="L77" s="188"/>
    </row>
    <row r="78" spans="1:12" s="2" customFormat="1" ht="15" customHeight="1">
      <c r="A78" s="12">
        <v>3</v>
      </c>
      <c r="B78" s="10" t="str">
        <f>LIDER!G61</f>
        <v>WYLYS JUNIOR ORTIZ ZUÑIGA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3"/>
      <c r="G78" s="190"/>
      <c r="H78" s="188"/>
      <c r="I78" s="190"/>
      <c r="J78" s="188"/>
      <c r="K78" s="190"/>
      <c r="L78" s="188"/>
    </row>
    <row r="79" spans="1:12" s="2" customFormat="1" ht="15" customHeight="1">
      <c r="A79" s="12">
        <v>4</v>
      </c>
      <c r="B79" s="10" t="str">
        <f>LIDER!G62</f>
        <v>MELANI DESTERLYN RAMIREZ CUADRO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3"/>
      <c r="G79" s="190"/>
      <c r="H79" s="188"/>
      <c r="I79" s="190"/>
      <c r="J79" s="188"/>
      <c r="K79" s="190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3"/>
      <c r="G80" s="190"/>
      <c r="H80" s="188"/>
      <c r="I80" s="190"/>
      <c r="J80" s="188"/>
      <c r="K80" s="190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3"/>
      <c r="G81" s="190"/>
      <c r="H81" s="188"/>
      <c r="I81" s="190"/>
      <c r="J81" s="188"/>
      <c r="K81" s="190"/>
      <c r="L81" s="188"/>
    </row>
    <row r="82" spans="1:12" s="2" customFormat="1" ht="15.75" customHeight="1">
      <c r="A82" s="14"/>
      <c r="B82" s="25" t="s">
        <v>92</v>
      </c>
      <c r="C82" s="88" t="s">
        <v>138</v>
      </c>
      <c r="D82" s="32" t="str">
        <f>D75</f>
        <v>LIST</v>
      </c>
      <c r="E82" s="89" t="s">
        <v>117</v>
      </c>
      <c r="F82" s="192" t="str">
        <f>LIDER!$E$40</f>
        <v>GRUPO#12</v>
      </c>
      <c r="G82" s="192"/>
      <c r="H82" s="192"/>
      <c r="I82" s="192"/>
      <c r="J82" s="192"/>
      <c r="K82" s="192"/>
      <c r="L82" s="19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3"/>
      <c r="G83" s="190"/>
      <c r="H83" s="188"/>
      <c r="I83" s="190"/>
      <c r="J83" s="188"/>
      <c r="K83" s="190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3"/>
      <c r="G84" s="190"/>
      <c r="H84" s="188"/>
      <c r="I84" s="190"/>
      <c r="J84" s="188"/>
      <c r="K84" s="190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3"/>
      <c r="G85" s="190"/>
      <c r="H85" s="188"/>
      <c r="I85" s="190"/>
      <c r="J85" s="188"/>
      <c r="K85" s="190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3"/>
      <c r="G86" s="190"/>
      <c r="H86" s="188"/>
      <c r="I86" s="190"/>
      <c r="J86" s="188"/>
      <c r="K86" s="190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3"/>
      <c r="G87" s="190"/>
      <c r="H87" s="188"/>
      <c r="I87" s="190"/>
      <c r="J87" s="188"/>
      <c r="K87" s="190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4"/>
      <c r="G88" s="191"/>
      <c r="H88" s="189"/>
      <c r="I88" s="191"/>
      <c r="J88" s="189"/>
      <c r="K88" s="191"/>
      <c r="L88" s="189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0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6"/>
      <c r="H1" s="19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ELECTIVA DE PROFUNDIZACION I</v>
      </c>
      <c r="C2" s="82"/>
      <c r="D2" s="3"/>
      <c r="F2" s="198" t="s">
        <v>112</v>
      </c>
      <c r="G2" s="199"/>
      <c r="H2" s="199"/>
      <c r="I2" s="199"/>
      <c r="J2" s="199"/>
      <c r="K2" s="199"/>
      <c r="L2" s="200"/>
    </row>
    <row r="3" spans="1:12" s="2" customFormat="1" ht="145.5" customHeight="1">
      <c r="B3" s="83" t="s">
        <v>113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1" t="str">
        <f>CONCATENATE(LIDER!E4," - ",LIDER!E6," - ",LIDER!E5)</f>
        <v>ELECTIVA DE PROFUNDIZACION I - 2271 - HUMBERTO MARQUEZ PEÑALOZA</v>
      </c>
      <c r="G4" s="201"/>
      <c r="H4" s="201"/>
      <c r="I4" s="201"/>
      <c r="J4" s="201"/>
      <c r="K4" s="201"/>
      <c r="L4" s="201"/>
    </row>
    <row r="5" spans="1:12" s="2" customFormat="1" ht="15.75" customHeight="1" thickBot="1">
      <c r="A5" s="8"/>
      <c r="B5" s="25" t="s">
        <v>114</v>
      </c>
      <c r="C5" s="88" t="s">
        <v>115</v>
      </c>
      <c r="D5" s="32" t="s">
        <v>116</v>
      </c>
      <c r="E5" s="89" t="s">
        <v>117</v>
      </c>
      <c r="F5" s="192" t="str">
        <f>LIDER!$E$29</f>
        <v>GRUPO#1: Identificación de una Oportunidad de Negocio Internacional para el Sistema de Riego Solar mediante el Estudio de Tres Mercados Potenciales: Chile, España y Estados Unidos</v>
      </c>
      <c r="G5" s="192"/>
      <c r="H5" s="192"/>
      <c r="I5" s="192"/>
      <c r="J5" s="192"/>
      <c r="K5" s="192"/>
      <c r="L5" s="192"/>
    </row>
    <row r="6" spans="1:12" s="2" customFormat="1" ht="12.75">
      <c r="A6" s="9">
        <v>1</v>
      </c>
      <c r="B6" s="10" t="str">
        <f>LIDER!E43</f>
        <v>MESHEL ARAGON AGUIRRE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193">
        <v>3.5</v>
      </c>
      <c r="G6" s="190">
        <v>4</v>
      </c>
      <c r="H6" s="188">
        <v>4</v>
      </c>
      <c r="I6" s="190">
        <v>4.5</v>
      </c>
      <c r="J6" s="188">
        <v>5</v>
      </c>
      <c r="K6" s="190"/>
      <c r="L6" s="188"/>
    </row>
    <row r="7" spans="1:12" s="2" customFormat="1" ht="15" customHeight="1">
      <c r="A7" s="12">
        <v>2</v>
      </c>
      <c r="B7" s="10" t="str">
        <f>LIDER!E44</f>
        <v>VALENTINA CASTRO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193"/>
      <c r="G7" s="190"/>
      <c r="H7" s="188"/>
      <c r="I7" s="190"/>
      <c r="J7" s="188"/>
      <c r="K7" s="190"/>
      <c r="L7" s="188"/>
    </row>
    <row r="8" spans="1:12" s="2" customFormat="1" ht="15" customHeight="1">
      <c r="A8" s="12">
        <v>3</v>
      </c>
      <c r="B8" s="10" t="str">
        <f>LIDER!E45</f>
        <v>JUAN DIEGO DEL RIO VEGA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193"/>
      <c r="G8" s="190"/>
      <c r="H8" s="188"/>
      <c r="I8" s="190"/>
      <c r="J8" s="188"/>
      <c r="K8" s="190"/>
      <c r="L8" s="188"/>
    </row>
    <row r="9" spans="1:12" s="2" customFormat="1" ht="15" customHeight="1">
      <c r="A9" s="12">
        <v>4</v>
      </c>
      <c r="B9" s="10" t="str">
        <f>LIDER!E46</f>
        <v>MELANIE ISABEL MONSALVE GRANADOS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193"/>
      <c r="G9" s="190"/>
      <c r="H9" s="188"/>
      <c r="I9" s="190"/>
      <c r="J9" s="188"/>
      <c r="K9" s="190"/>
      <c r="L9" s="188"/>
    </row>
    <row r="10" spans="1:12" s="2" customFormat="1" ht="15" customHeight="1">
      <c r="A10" s="12">
        <v>5</v>
      </c>
      <c r="B10" s="10" t="str">
        <f>LIDER!E47</f>
        <v>HANA SOFIA SANTANA GARCIA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193"/>
      <c r="G10" s="190"/>
      <c r="H10" s="188"/>
      <c r="I10" s="190"/>
      <c r="J10" s="188"/>
      <c r="K10" s="190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3"/>
      <c r="G11" s="190"/>
      <c r="H11" s="188"/>
      <c r="I11" s="190"/>
      <c r="J11" s="188"/>
      <c r="K11" s="190"/>
      <c r="L11" s="188"/>
    </row>
    <row r="12" spans="1:12" s="2" customFormat="1" ht="15.75" customHeight="1" thickBot="1">
      <c r="A12" s="8"/>
      <c r="B12" s="25" t="s">
        <v>118</v>
      </c>
      <c r="C12" s="88" t="s">
        <v>119</v>
      </c>
      <c r="D12" s="32" t="str">
        <f>D5</f>
        <v>LIST</v>
      </c>
      <c r="E12" s="89" t="s">
        <v>117</v>
      </c>
      <c r="F12" s="192" t="str">
        <f>LIDER!$E$30</f>
        <v>GRUPO#2: ANÁLISIS DE UNA OPORTUNIDAD DE NEGOCIO PARA LA COMERCIALIZACIÓN DE PRODUCTOS CAPILARES DE LA EMPRESA ROMELIA S.A.S. EN LOS MERCADOS POTENCIALES DE MEXICO, ESTADOS UNIDOS Y ESPAÑA</v>
      </c>
      <c r="G12" s="192"/>
      <c r="H12" s="192"/>
      <c r="I12" s="192"/>
      <c r="J12" s="192"/>
      <c r="K12" s="192"/>
      <c r="L12" s="192"/>
    </row>
    <row r="13" spans="1:12" s="2" customFormat="1" ht="12.75">
      <c r="A13" s="9">
        <v>1</v>
      </c>
      <c r="B13" s="10" t="str">
        <f>LIDER!F43</f>
        <v>EYLANS ANDRES AHUMADA SALAZAR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4.3100000000000005</v>
      </c>
      <c r="F13" s="193">
        <v>3.5</v>
      </c>
      <c r="G13" s="190">
        <v>4.3</v>
      </c>
      <c r="H13" s="188">
        <v>4.5</v>
      </c>
      <c r="I13" s="190">
        <v>4.5</v>
      </c>
      <c r="J13" s="188">
        <v>5</v>
      </c>
      <c r="K13" s="190"/>
      <c r="L13" s="188"/>
    </row>
    <row r="14" spans="1:12" s="2" customFormat="1" ht="15" customHeight="1">
      <c r="A14" s="12">
        <v>2</v>
      </c>
      <c r="B14" s="10" t="str">
        <f>LIDER!F44</f>
        <v>KENDRY YIRETH LABIOSA VERGARA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4.3100000000000005</v>
      </c>
      <c r="F14" s="193"/>
      <c r="G14" s="190"/>
      <c r="H14" s="188"/>
      <c r="I14" s="190"/>
      <c r="J14" s="188"/>
      <c r="K14" s="190"/>
      <c r="L14" s="188"/>
    </row>
    <row r="15" spans="1:12" s="2" customFormat="1" ht="15" customHeight="1">
      <c r="A15" s="12">
        <v>3</v>
      </c>
      <c r="B15" s="10" t="str">
        <f>LIDER!F45</f>
        <v>VALERY PAOLA OSORIO VIDAL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4.3100000000000005</v>
      </c>
      <c r="F15" s="193"/>
      <c r="G15" s="190"/>
      <c r="H15" s="188"/>
      <c r="I15" s="190"/>
      <c r="J15" s="188"/>
      <c r="K15" s="190"/>
      <c r="L15" s="188"/>
    </row>
    <row r="16" spans="1:12" s="2" customFormat="1" ht="15" customHeight="1">
      <c r="A16" s="12">
        <v>4</v>
      </c>
      <c r="B16" s="10" t="str">
        <f>LIDER!F46</f>
        <v>YERLIS PAOLA RUIZ GARCIA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4.3100000000000005</v>
      </c>
      <c r="F16" s="193"/>
      <c r="G16" s="190"/>
      <c r="H16" s="188"/>
      <c r="I16" s="190"/>
      <c r="J16" s="188"/>
      <c r="K16" s="190"/>
      <c r="L16" s="188"/>
    </row>
    <row r="17" spans="1:12" s="2" customFormat="1" ht="15" customHeight="1">
      <c r="A17" s="12">
        <v>5</v>
      </c>
      <c r="B17" s="10" t="str">
        <f>LIDER!F47</f>
        <v>DANIEL ISAAC SIMANCA SANCHEZ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4.3100000000000005</v>
      </c>
      <c r="F17" s="193"/>
      <c r="G17" s="190"/>
      <c r="H17" s="188"/>
      <c r="I17" s="190"/>
      <c r="J17" s="188"/>
      <c r="K17" s="190"/>
      <c r="L17" s="18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3"/>
      <c r="G18" s="190"/>
      <c r="H18" s="188"/>
      <c r="I18" s="190"/>
      <c r="J18" s="188"/>
      <c r="K18" s="190"/>
      <c r="L18" s="188"/>
    </row>
    <row r="19" spans="1:12" s="2" customFormat="1" ht="15.75" customHeight="1">
      <c r="A19" s="14"/>
      <c r="B19" s="25" t="s">
        <v>120</v>
      </c>
      <c r="C19" s="88" t="s">
        <v>121</v>
      </c>
      <c r="D19" s="32" t="str">
        <f>D12</f>
        <v>LIST</v>
      </c>
      <c r="E19" s="89" t="s">
        <v>117</v>
      </c>
      <c r="F19" s="192" t="str">
        <f>LIDER!$E$31</f>
        <v xml:space="preserve">GRUPO#3: Identificación de una oportunidad de negocio para EcoCao S.A.S. mediante el estudio de Estados Unidos, Ecuador y Chile como mercados potenciales. </v>
      </c>
      <c r="G19" s="192"/>
      <c r="H19" s="192"/>
      <c r="I19" s="192"/>
      <c r="J19" s="192"/>
      <c r="K19" s="192"/>
      <c r="L19" s="192"/>
    </row>
    <row r="20" spans="1:12" s="2" customFormat="1" ht="12.75">
      <c r="A20" s="9">
        <v>1</v>
      </c>
      <c r="B20" s="10" t="str">
        <f>LIDER!G43</f>
        <v>DAVID ANDRES CASTILLA CARDENAS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</v>
      </c>
      <c r="F20" s="193">
        <v>3.5</v>
      </c>
      <c r="G20" s="190">
        <v>4.5</v>
      </c>
      <c r="H20" s="188">
        <v>4</v>
      </c>
      <c r="I20" s="190">
        <v>3.5</v>
      </c>
      <c r="J20" s="188">
        <v>5</v>
      </c>
      <c r="K20" s="190"/>
      <c r="L20" s="188"/>
    </row>
    <row r="21" spans="1:12" s="2" customFormat="1" ht="15" customHeight="1">
      <c r="A21" s="12">
        <v>2</v>
      </c>
      <c r="B21" s="10" t="str">
        <f>LIDER!G44</f>
        <v>MARIA FERNANDA DE HORTA GOMEZ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</v>
      </c>
      <c r="F21" s="193"/>
      <c r="G21" s="190"/>
      <c r="H21" s="188"/>
      <c r="I21" s="190"/>
      <c r="J21" s="188"/>
      <c r="K21" s="190"/>
      <c r="L21" s="188"/>
    </row>
    <row r="22" spans="1:12" s="2" customFormat="1" ht="15" customHeight="1">
      <c r="A22" s="12">
        <v>3</v>
      </c>
      <c r="B22" s="10" t="str">
        <f>LIDER!G45</f>
        <v>MARÍA ALEJANDRA LEMOS OCHOA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</v>
      </c>
      <c r="F22" s="193"/>
      <c r="G22" s="190"/>
      <c r="H22" s="188"/>
      <c r="I22" s="190"/>
      <c r="J22" s="188"/>
      <c r="K22" s="190"/>
      <c r="L22" s="188"/>
    </row>
    <row r="23" spans="1:12" s="2" customFormat="1" ht="15" customHeight="1">
      <c r="A23" s="12">
        <v>4</v>
      </c>
      <c r="B23" s="10" t="str">
        <f>LIDER!G46</f>
        <v>SHARON JULIANA MONTES FERNANDEZ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</v>
      </c>
      <c r="F23" s="193"/>
      <c r="G23" s="190"/>
      <c r="H23" s="188"/>
      <c r="I23" s="190"/>
      <c r="J23" s="188"/>
      <c r="K23" s="190"/>
      <c r="L23" s="188"/>
    </row>
    <row r="24" spans="1:12" s="2" customFormat="1" ht="15" customHeight="1">
      <c r="A24" s="12">
        <v>5</v>
      </c>
      <c r="B24" s="10" t="str">
        <f>LIDER!G47</f>
        <v>DAVID ALEJANDRO RHENALS LOPEZ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</v>
      </c>
      <c r="F24" s="193"/>
      <c r="G24" s="190"/>
      <c r="H24" s="188"/>
      <c r="I24" s="190"/>
      <c r="J24" s="188"/>
      <c r="K24" s="190"/>
      <c r="L24" s="18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3"/>
      <c r="G25" s="190"/>
      <c r="H25" s="188"/>
      <c r="I25" s="190"/>
      <c r="J25" s="188"/>
      <c r="K25" s="190"/>
      <c r="L25" s="188"/>
    </row>
    <row r="26" spans="1:12" s="2" customFormat="1" ht="15.75" customHeight="1">
      <c r="A26" s="14"/>
      <c r="B26" s="25" t="s">
        <v>122</v>
      </c>
      <c r="C26" s="88" t="s">
        <v>123</v>
      </c>
      <c r="D26" s="32" t="str">
        <f>D19</f>
        <v>LIST</v>
      </c>
      <c r="E26" s="89" t="s">
        <v>117</v>
      </c>
      <c r="F26" s="192" t="str">
        <f>LIDER!$E$32</f>
        <v>GRUPO#4: Identificación de una Oportunidad de Negocio Internacional para la Harina de Plátano de ASOREPP mediante el Estudio de Tres Mercados Potenciales: España, Estados Unidos y Alemania</v>
      </c>
      <c r="G26" s="192"/>
      <c r="H26" s="192"/>
      <c r="I26" s="192"/>
      <c r="J26" s="192"/>
      <c r="K26" s="192"/>
      <c r="L26" s="192"/>
    </row>
    <row r="27" spans="1:12" s="2" customFormat="1" ht="12.75">
      <c r="A27" s="9">
        <v>1</v>
      </c>
      <c r="B27" s="10" t="str">
        <f>LIDER!H43</f>
        <v>JHORDAN JOSE BARROS PEÑA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3.4500000000000006</v>
      </c>
      <c r="F27" s="193">
        <v>3</v>
      </c>
      <c r="G27" s="190">
        <v>3.5</v>
      </c>
      <c r="H27" s="188">
        <v>3.5</v>
      </c>
      <c r="I27" s="190">
        <v>3</v>
      </c>
      <c r="J27" s="188">
        <v>5</v>
      </c>
      <c r="K27" s="190"/>
      <c r="L27" s="188"/>
    </row>
    <row r="28" spans="1:12" s="2" customFormat="1" ht="15" customHeight="1">
      <c r="A28" s="12">
        <v>2</v>
      </c>
      <c r="B28" s="10" t="str">
        <f>LIDER!H44</f>
        <v>RUTH SARAY PATERNINA PÉREZ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3.4500000000000006</v>
      </c>
      <c r="F28" s="193"/>
      <c r="G28" s="190"/>
      <c r="H28" s="188"/>
      <c r="I28" s="190"/>
      <c r="J28" s="188"/>
      <c r="K28" s="190"/>
      <c r="L28" s="188"/>
    </row>
    <row r="29" spans="1:12" s="2" customFormat="1" ht="15" customHeight="1">
      <c r="A29" s="12">
        <v>3</v>
      </c>
      <c r="B29" s="10" t="str">
        <f>LIDER!H45</f>
        <v>HECTOR FABIO PEREIRA PACHECO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3.4500000000000006</v>
      </c>
      <c r="F29" s="193"/>
      <c r="G29" s="190"/>
      <c r="H29" s="188"/>
      <c r="I29" s="190"/>
      <c r="J29" s="188"/>
      <c r="K29" s="190"/>
      <c r="L29" s="188"/>
    </row>
    <row r="30" spans="1:12" s="2" customFormat="1" ht="15" customHeight="1">
      <c r="A30" s="12">
        <v>4</v>
      </c>
      <c r="B30" s="10" t="str">
        <f>LIDER!H46</f>
        <v>JUAN RICARDO SERRANO PALLARES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3.4500000000000006</v>
      </c>
      <c r="F30" s="193"/>
      <c r="G30" s="190"/>
      <c r="H30" s="188"/>
      <c r="I30" s="190"/>
      <c r="J30" s="188"/>
      <c r="K30" s="190"/>
      <c r="L30" s="188"/>
    </row>
    <row r="31" spans="1:12" s="2" customFormat="1" ht="15" customHeight="1">
      <c r="A31" s="12">
        <v>5</v>
      </c>
      <c r="B31" s="10" t="str">
        <f>LIDER!H47</f>
        <v>KEILYS JHOANA DE ÁVILA FONTALVO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3.4500000000000006</v>
      </c>
      <c r="F31" s="193"/>
      <c r="G31" s="190"/>
      <c r="H31" s="188"/>
      <c r="I31" s="190"/>
      <c r="J31" s="188"/>
      <c r="K31" s="190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3"/>
      <c r="G32" s="190"/>
      <c r="H32" s="188"/>
      <c r="I32" s="190"/>
      <c r="J32" s="188"/>
      <c r="K32" s="190"/>
      <c r="L32" s="188"/>
    </row>
    <row r="33" spans="1:12" s="2" customFormat="1" ht="15.75" customHeight="1">
      <c r="A33" s="14"/>
      <c r="B33" s="25" t="s">
        <v>124</v>
      </c>
      <c r="C33" s="88" t="s">
        <v>125</v>
      </c>
      <c r="D33" s="32" t="str">
        <f>D26</f>
        <v>LIST</v>
      </c>
      <c r="E33" s="89" t="s">
        <v>117</v>
      </c>
      <c r="F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G33" s="192"/>
      <c r="H33" s="192"/>
      <c r="I33" s="192"/>
      <c r="J33" s="192"/>
      <c r="K33" s="192"/>
      <c r="L33" s="192"/>
    </row>
    <row r="34" spans="1:12" s="2" customFormat="1" ht="12.75">
      <c r="A34" s="9">
        <v>1</v>
      </c>
      <c r="B34" s="10" t="str">
        <f>LIDER!E51</f>
        <v>VALERIE SOFIA CERA TORRIENTE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4.42</v>
      </c>
      <c r="F34" s="193">
        <v>4</v>
      </c>
      <c r="G34" s="190">
        <v>4.8</v>
      </c>
      <c r="H34" s="188">
        <v>4.7</v>
      </c>
      <c r="I34" s="190">
        <v>4.5</v>
      </c>
      <c r="J34" s="188">
        <v>3.5</v>
      </c>
      <c r="K34" s="190"/>
      <c r="L34" s="188"/>
    </row>
    <row r="35" spans="1:12" s="2" customFormat="1" ht="15" customHeight="1">
      <c r="A35" s="12">
        <v>2</v>
      </c>
      <c r="B35" s="10" t="str">
        <f>LIDER!E52</f>
        <v>CRISTINA LUCIA ESTRADA SANTOYA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4.42</v>
      </c>
      <c r="F35" s="193"/>
      <c r="G35" s="190"/>
      <c r="H35" s="188"/>
      <c r="I35" s="190"/>
      <c r="J35" s="188"/>
      <c r="K35" s="190"/>
      <c r="L35" s="188"/>
    </row>
    <row r="36" spans="1:12" s="2" customFormat="1" ht="15" customHeight="1">
      <c r="A36" s="12">
        <v>3</v>
      </c>
      <c r="B36" s="10" t="str">
        <f>LIDER!E53</f>
        <v>JIRETH PAOLA GARCIA COLON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4.42</v>
      </c>
      <c r="F36" s="193"/>
      <c r="G36" s="190"/>
      <c r="H36" s="188"/>
      <c r="I36" s="190"/>
      <c r="J36" s="188"/>
      <c r="K36" s="190"/>
      <c r="L36" s="188"/>
    </row>
    <row r="37" spans="1:12" s="2" customFormat="1" ht="15" customHeight="1">
      <c r="A37" s="12">
        <v>4</v>
      </c>
      <c r="B37" s="10" t="str">
        <f>LIDER!E54</f>
        <v>LAURENT SOFIA IBARGUEN GULFO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4.42</v>
      </c>
      <c r="F37" s="193"/>
      <c r="G37" s="190"/>
      <c r="H37" s="188"/>
      <c r="I37" s="190"/>
      <c r="J37" s="188"/>
      <c r="K37" s="190"/>
      <c r="L37" s="188"/>
    </row>
    <row r="38" spans="1:12" s="2" customFormat="1" ht="15" customHeight="1">
      <c r="A38" s="12">
        <v>5</v>
      </c>
      <c r="B38" s="10" t="str">
        <f>LIDER!E55</f>
        <v>EVELYN SANCHEZ GONZALEZ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4.42</v>
      </c>
      <c r="F38" s="193"/>
      <c r="G38" s="190"/>
      <c r="H38" s="188"/>
      <c r="I38" s="190"/>
      <c r="J38" s="188"/>
      <c r="K38" s="190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3"/>
      <c r="G39" s="190"/>
      <c r="H39" s="188"/>
      <c r="I39" s="190"/>
      <c r="J39" s="188"/>
      <c r="K39" s="190"/>
      <c r="L39" s="188"/>
    </row>
    <row r="40" spans="1:12" s="2" customFormat="1" ht="15.75" customHeight="1">
      <c r="A40" s="14"/>
      <c r="B40" s="25" t="s">
        <v>126</v>
      </c>
      <c r="C40" s="88" t="s">
        <v>127</v>
      </c>
      <c r="D40" s="32" t="str">
        <f>D33</f>
        <v>LIST</v>
      </c>
      <c r="E40" s="89" t="s">
        <v>117</v>
      </c>
      <c r="F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G40" s="192"/>
      <c r="H40" s="192"/>
      <c r="I40" s="192"/>
      <c r="J40" s="192"/>
      <c r="K40" s="192"/>
      <c r="L40" s="192"/>
    </row>
    <row r="41" spans="1:12" s="2" customFormat="1" ht="12.75">
      <c r="A41" s="9">
        <v>1</v>
      </c>
      <c r="B41" s="10" t="str">
        <f>LIDER!F51</f>
        <v>SANTIAGO JOSE BUELVAS CARRILLO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3.9000000000000004</v>
      </c>
      <c r="F41" s="193">
        <v>3.5</v>
      </c>
      <c r="G41" s="190">
        <v>4</v>
      </c>
      <c r="H41" s="188">
        <v>4</v>
      </c>
      <c r="I41" s="190">
        <v>3.5</v>
      </c>
      <c r="J41" s="188">
        <v>5</v>
      </c>
      <c r="K41" s="190"/>
      <c r="L41" s="188"/>
    </row>
    <row r="42" spans="1:12" s="2" customFormat="1" ht="15" customHeight="1">
      <c r="A42" s="12">
        <v>2</v>
      </c>
      <c r="B42" s="10" t="str">
        <f>LIDER!F52</f>
        <v>VALERIA SOFIA VENENCIA SANES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3.9000000000000004</v>
      </c>
      <c r="F42" s="193"/>
      <c r="G42" s="190"/>
      <c r="H42" s="188"/>
      <c r="I42" s="190"/>
      <c r="J42" s="188"/>
      <c r="K42" s="190"/>
      <c r="L42" s="188"/>
    </row>
    <row r="43" spans="1:12" s="2" customFormat="1" ht="15" customHeight="1">
      <c r="A43" s="12">
        <v>3</v>
      </c>
      <c r="B43" s="10" t="str">
        <f>LIDER!F53</f>
        <v>ESTEBAN DAVID DORIA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3.9000000000000004</v>
      </c>
      <c r="F43" s="193"/>
      <c r="G43" s="190"/>
      <c r="H43" s="188"/>
      <c r="I43" s="190"/>
      <c r="J43" s="188"/>
      <c r="K43" s="190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3"/>
      <c r="G44" s="190"/>
      <c r="H44" s="188"/>
      <c r="I44" s="190"/>
      <c r="J44" s="188"/>
      <c r="K44" s="190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3"/>
      <c r="G45" s="190"/>
      <c r="H45" s="188"/>
      <c r="I45" s="190"/>
      <c r="J45" s="188"/>
      <c r="K45" s="190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3"/>
      <c r="G46" s="190"/>
      <c r="H46" s="188"/>
      <c r="I46" s="190"/>
      <c r="J46" s="188"/>
      <c r="K46" s="190"/>
      <c r="L46" s="188"/>
    </row>
    <row r="47" spans="1:12" s="2" customFormat="1" ht="15.75" customHeight="1">
      <c r="A47" s="14"/>
      <c r="B47" s="25" t="s">
        <v>128</v>
      </c>
      <c r="C47" s="88" t="s">
        <v>129</v>
      </c>
      <c r="D47" s="32" t="str">
        <f>D40</f>
        <v>LIST</v>
      </c>
      <c r="E47" s="89" t="s">
        <v>117</v>
      </c>
      <c r="F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G47" s="192"/>
      <c r="H47" s="192"/>
      <c r="I47" s="192"/>
      <c r="J47" s="192"/>
      <c r="K47" s="192"/>
      <c r="L47" s="192"/>
    </row>
    <row r="48" spans="1:12" s="2" customFormat="1" ht="12.75">
      <c r="A48" s="9">
        <v>1</v>
      </c>
      <c r="B48" s="10" t="str">
        <f>LIDER!G51</f>
        <v>VALENTINA LUZ AVILEZ BERMUDEZ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3.31</v>
      </c>
      <c r="F48" s="193">
        <v>2.8</v>
      </c>
      <c r="G48" s="190">
        <v>3.5</v>
      </c>
      <c r="H48" s="188">
        <v>3.5</v>
      </c>
      <c r="I48" s="190">
        <v>2.5</v>
      </c>
      <c r="J48" s="188">
        <v>5</v>
      </c>
      <c r="K48" s="190"/>
      <c r="L48" s="188"/>
    </row>
    <row r="49" spans="1:12" s="2" customFormat="1" ht="15" customHeight="1">
      <c r="A49" s="12">
        <v>2</v>
      </c>
      <c r="B49" s="10" t="str">
        <f>LIDER!G52</f>
        <v>YANINE MILLET BERMUDEZ JIMENEZ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3.31</v>
      </c>
      <c r="F49" s="193"/>
      <c r="G49" s="190"/>
      <c r="H49" s="188"/>
      <c r="I49" s="190"/>
      <c r="J49" s="188"/>
      <c r="K49" s="190"/>
      <c r="L49" s="188"/>
    </row>
    <row r="50" spans="1:12" s="2" customFormat="1" ht="15" customHeight="1">
      <c r="A50" s="12">
        <v>3</v>
      </c>
      <c r="B50" s="10" t="str">
        <f>LIDER!G53</f>
        <v>YURLEINIS MAZA MORALES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3.31</v>
      </c>
      <c r="F50" s="193"/>
      <c r="G50" s="190"/>
      <c r="H50" s="188"/>
      <c r="I50" s="190"/>
      <c r="J50" s="188"/>
      <c r="K50" s="190"/>
      <c r="L50" s="188"/>
    </row>
    <row r="51" spans="1:12" s="2" customFormat="1" ht="15" customHeight="1">
      <c r="A51" s="12">
        <v>4</v>
      </c>
      <c r="B51" s="10" t="str">
        <f>LIDER!G54</f>
        <v>DAYANA LUCIA PALLARES MENDOZA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3.31</v>
      </c>
      <c r="F51" s="193"/>
      <c r="G51" s="190"/>
      <c r="H51" s="188"/>
      <c r="I51" s="190"/>
      <c r="J51" s="188"/>
      <c r="K51" s="190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3"/>
      <c r="G52" s="190"/>
      <c r="H52" s="188"/>
      <c r="I52" s="190"/>
      <c r="J52" s="188"/>
      <c r="K52" s="190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3"/>
      <c r="G53" s="190"/>
      <c r="H53" s="188"/>
      <c r="I53" s="190"/>
      <c r="J53" s="188"/>
      <c r="K53" s="190"/>
      <c r="L53" s="188"/>
    </row>
    <row r="54" spans="1:12" s="2" customFormat="1" ht="15.75" customHeight="1">
      <c r="A54" s="14"/>
      <c r="B54" s="25" t="s">
        <v>130</v>
      </c>
      <c r="C54" s="88" t="s">
        <v>131</v>
      </c>
      <c r="D54" s="32" t="str">
        <f>D47</f>
        <v>LIST</v>
      </c>
      <c r="E54" s="89" t="s">
        <v>117</v>
      </c>
      <c r="F54" s="192" t="str">
        <f>LIDER!$E$36</f>
        <v>GRUPO#8: Identificación de Oportunidad de Negocios para la exportación de Gel con Pigmento de la marca ADDA Gel-Styling en los mercados potenciales de Perú, Estados Unidos y Ecuador</v>
      </c>
      <c r="G54" s="192"/>
      <c r="H54" s="192"/>
      <c r="I54" s="192"/>
      <c r="J54" s="192"/>
      <c r="K54" s="192"/>
      <c r="L54" s="192"/>
    </row>
    <row r="55" spans="1:12" s="2" customFormat="1" ht="12.75">
      <c r="A55" s="9">
        <v>1</v>
      </c>
      <c r="B55" s="10" t="str">
        <f>LIDER!H51</f>
        <v>DALIA MARIA DEL CARMEN CONDE RAMIREZ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3.5500000000000003</v>
      </c>
      <c r="F55" s="193">
        <v>3</v>
      </c>
      <c r="G55" s="190">
        <v>4</v>
      </c>
      <c r="H55" s="188">
        <v>3.5</v>
      </c>
      <c r="I55" s="190">
        <v>3</v>
      </c>
      <c r="J55" s="188">
        <v>5</v>
      </c>
      <c r="K55" s="190"/>
      <c r="L55" s="188"/>
    </row>
    <row r="56" spans="1:12" s="2" customFormat="1" ht="15" customHeight="1">
      <c r="A56" s="12">
        <v>2</v>
      </c>
      <c r="B56" s="10" t="str">
        <f>LIDER!H52</f>
        <v>ANGEL MANUEL GONZALEZ ALVAREZ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3.5500000000000003</v>
      </c>
      <c r="F56" s="193"/>
      <c r="G56" s="190"/>
      <c r="H56" s="188"/>
      <c r="I56" s="190"/>
      <c r="J56" s="188"/>
      <c r="K56" s="190"/>
      <c r="L56" s="188"/>
    </row>
    <row r="57" spans="1:12" s="2" customFormat="1" ht="15" customHeight="1">
      <c r="A57" s="12">
        <v>3</v>
      </c>
      <c r="B57" s="10" t="str">
        <f>LIDER!H53</f>
        <v>DAINY CAROLINA OLEA TORRES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3.5500000000000003</v>
      </c>
      <c r="F57" s="193"/>
      <c r="G57" s="190"/>
      <c r="H57" s="188"/>
      <c r="I57" s="190"/>
      <c r="J57" s="188"/>
      <c r="K57" s="190"/>
      <c r="L57" s="188"/>
    </row>
    <row r="58" spans="1:12" s="2" customFormat="1" ht="15" customHeight="1">
      <c r="A58" s="12">
        <v>4</v>
      </c>
      <c r="B58" s="10" t="str">
        <f>LIDER!H54</f>
        <v>ANDRÉS ESTEBAN VÁSQUEZ GONZÁLEZ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3.5500000000000003</v>
      </c>
      <c r="F58" s="193"/>
      <c r="G58" s="190"/>
      <c r="H58" s="188"/>
      <c r="I58" s="190"/>
      <c r="J58" s="188"/>
      <c r="K58" s="190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3"/>
      <c r="G59" s="190"/>
      <c r="H59" s="188"/>
      <c r="I59" s="190"/>
      <c r="J59" s="188"/>
      <c r="K59" s="190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3"/>
      <c r="G60" s="190"/>
      <c r="H60" s="188"/>
      <c r="I60" s="190"/>
      <c r="J60" s="188"/>
      <c r="K60" s="190"/>
      <c r="L60" s="188"/>
    </row>
    <row r="61" spans="1:12" s="2" customFormat="1" ht="15.75" customHeight="1">
      <c r="A61" s="14"/>
      <c r="B61" s="25" t="s">
        <v>132</v>
      </c>
      <c r="C61" s="88" t="s">
        <v>133</v>
      </c>
      <c r="D61" s="32" t="str">
        <f>D54</f>
        <v>LIST</v>
      </c>
      <c r="E61" s="89" t="s">
        <v>117</v>
      </c>
      <c r="F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G61" s="192"/>
      <c r="H61" s="192"/>
      <c r="I61" s="192"/>
      <c r="J61" s="192"/>
      <c r="K61" s="192"/>
      <c r="L61" s="192"/>
    </row>
    <row r="62" spans="1:12" s="2" customFormat="1" ht="12.75">
      <c r="A62" s="9">
        <v>1</v>
      </c>
      <c r="B62" s="10" t="str">
        <f>LIDER!E59</f>
        <v>JOSE EDUARDO ARRIETA MEJIA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3.9000000000000004</v>
      </c>
      <c r="F62" s="193">
        <v>3.5</v>
      </c>
      <c r="G62" s="190">
        <v>4</v>
      </c>
      <c r="H62" s="188">
        <v>4</v>
      </c>
      <c r="I62" s="190">
        <v>3.5</v>
      </c>
      <c r="J62" s="188">
        <v>5</v>
      </c>
      <c r="K62" s="190"/>
      <c r="L62" s="188"/>
    </row>
    <row r="63" spans="1:12" s="2" customFormat="1" ht="15" customHeight="1">
      <c r="A63" s="12">
        <v>2</v>
      </c>
      <c r="B63" s="10" t="str">
        <f>LIDER!E60</f>
        <v>VALENTINA BERRIO LOPEZ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3.9000000000000004</v>
      </c>
      <c r="F63" s="193"/>
      <c r="G63" s="190"/>
      <c r="H63" s="188"/>
      <c r="I63" s="190"/>
      <c r="J63" s="188"/>
      <c r="K63" s="190"/>
      <c r="L63" s="188"/>
    </row>
    <row r="64" spans="1:12" s="2" customFormat="1" ht="15" customHeight="1">
      <c r="A64" s="12">
        <v>3</v>
      </c>
      <c r="B64" s="10" t="str">
        <f>LIDER!E61</f>
        <v>SANTIAGO BOHÓRQUEZ CANTERO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3.9000000000000004</v>
      </c>
      <c r="F64" s="193"/>
      <c r="G64" s="190"/>
      <c r="H64" s="188"/>
      <c r="I64" s="190"/>
      <c r="J64" s="188"/>
      <c r="K64" s="190"/>
      <c r="L64" s="188"/>
    </row>
    <row r="65" spans="1:12" s="2" customFormat="1" ht="15" customHeight="1">
      <c r="A65" s="12">
        <v>4</v>
      </c>
      <c r="B65" s="10" t="str">
        <f>LIDER!E62</f>
        <v>NICOLE ANTHONELLA CAMPOS ABREU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3.9000000000000004</v>
      </c>
      <c r="F65" s="193"/>
      <c r="G65" s="190"/>
      <c r="H65" s="188"/>
      <c r="I65" s="190"/>
      <c r="J65" s="188"/>
      <c r="K65" s="190"/>
      <c r="L65" s="188"/>
    </row>
    <row r="66" spans="1:12" s="2" customFormat="1" ht="15" customHeight="1">
      <c r="A66" s="12">
        <v>5</v>
      </c>
      <c r="B66" s="10" t="str">
        <f>LIDER!E63</f>
        <v>DELIA ROSA GARCIA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3.9000000000000004</v>
      </c>
      <c r="F66" s="193"/>
      <c r="G66" s="190"/>
      <c r="H66" s="188"/>
      <c r="I66" s="190"/>
      <c r="J66" s="188"/>
      <c r="K66" s="190"/>
      <c r="L66" s="188"/>
    </row>
    <row r="67" spans="1:12" s="2" customFormat="1" ht="15.75" customHeight="1">
      <c r="A67" s="13">
        <v>6</v>
      </c>
      <c r="B67" s="91" t="str">
        <f>LIDER!E64</f>
        <v>SAMUEL DAVID PÉREZ MUÑOZ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3.9000000000000004</v>
      </c>
      <c r="F67" s="193"/>
      <c r="G67" s="190"/>
      <c r="H67" s="188"/>
      <c r="I67" s="190"/>
      <c r="J67" s="188"/>
      <c r="K67" s="190"/>
      <c r="L67" s="188"/>
    </row>
    <row r="68" spans="1:12" s="2" customFormat="1" ht="15.75" customHeight="1">
      <c r="A68" s="14"/>
      <c r="B68" s="25" t="s">
        <v>134</v>
      </c>
      <c r="C68" s="88" t="s">
        <v>135</v>
      </c>
      <c r="D68" s="32" t="str">
        <f>D61</f>
        <v>LIST</v>
      </c>
      <c r="E68" s="89" t="s">
        <v>117</v>
      </c>
      <c r="F68" s="192" t="str">
        <f>LIDER!$E$38</f>
        <v>GRUPO#10: FRUTÉA: Aprovechamiento de frutas colombianas para la elaboración y comercialización de mermeladas</v>
      </c>
      <c r="G68" s="192"/>
      <c r="H68" s="192"/>
      <c r="I68" s="192"/>
      <c r="J68" s="192"/>
      <c r="K68" s="192"/>
      <c r="L68" s="192"/>
    </row>
    <row r="69" spans="1:12" s="2" customFormat="1" ht="12.75">
      <c r="A69" s="9">
        <v>1</v>
      </c>
      <c r="B69" s="10" t="str">
        <f>LIDER!F59</f>
        <v>YUREIDYS ALVAREZ CASTELLANO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3.8000000000000003</v>
      </c>
      <c r="F69" s="193">
        <v>3.5</v>
      </c>
      <c r="G69" s="190">
        <v>4</v>
      </c>
      <c r="H69" s="188">
        <v>4</v>
      </c>
      <c r="I69" s="190">
        <v>3</v>
      </c>
      <c r="J69" s="188">
        <v>5</v>
      </c>
      <c r="K69" s="190"/>
      <c r="L69" s="188"/>
    </row>
    <row r="70" spans="1:12" s="2" customFormat="1" ht="15" customHeight="1">
      <c r="A70" s="12">
        <v>2</v>
      </c>
      <c r="B70" s="10" t="str">
        <f>LIDER!F60</f>
        <v>EFRAÍN JOSÉ CEBALLOS SALGADO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3.8000000000000003</v>
      </c>
      <c r="F70" s="193"/>
      <c r="G70" s="190"/>
      <c r="H70" s="188"/>
      <c r="I70" s="190"/>
      <c r="J70" s="188"/>
      <c r="K70" s="190"/>
      <c r="L70" s="188"/>
    </row>
    <row r="71" spans="1:12" s="2" customFormat="1" ht="15" customHeight="1">
      <c r="A71" s="12">
        <v>3</v>
      </c>
      <c r="B71" s="10" t="str">
        <f>LIDER!F61</f>
        <v>ANDRES FELIPE TORRES ARROYO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3.8000000000000003</v>
      </c>
      <c r="F71" s="193"/>
      <c r="G71" s="190"/>
      <c r="H71" s="188"/>
      <c r="I71" s="190"/>
      <c r="J71" s="188"/>
      <c r="K71" s="190"/>
      <c r="L71" s="188"/>
    </row>
    <row r="72" spans="1:12" s="2" customFormat="1" ht="15" customHeight="1">
      <c r="A72" s="12">
        <v>4</v>
      </c>
      <c r="B72" s="10" t="str">
        <f>LIDER!F62</f>
        <v>YUSETH DAVID VILLEGAS ARTEAGA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3.8000000000000003</v>
      </c>
      <c r="F72" s="193"/>
      <c r="G72" s="190"/>
      <c r="H72" s="188"/>
      <c r="I72" s="190"/>
      <c r="J72" s="188"/>
      <c r="K72" s="190"/>
      <c r="L72" s="188"/>
    </row>
    <row r="73" spans="1:12" s="2" customFormat="1" ht="15" customHeight="1">
      <c r="A73" s="12">
        <v>5</v>
      </c>
      <c r="B73" s="10" t="str">
        <f>LIDER!F63</f>
        <v>ISAAC JOSE ZAPATA ZAPATA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3.8000000000000003</v>
      </c>
      <c r="F73" s="193"/>
      <c r="G73" s="190"/>
      <c r="H73" s="188"/>
      <c r="I73" s="190"/>
      <c r="J73" s="188"/>
      <c r="K73" s="190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3"/>
      <c r="G74" s="190"/>
      <c r="H74" s="188"/>
      <c r="I74" s="190"/>
      <c r="J74" s="188"/>
      <c r="K74" s="190"/>
      <c r="L74" s="188"/>
    </row>
    <row r="75" spans="1:12" s="2" customFormat="1" ht="15.75" customHeight="1">
      <c r="A75" s="14"/>
      <c r="B75" s="25" t="s">
        <v>136</v>
      </c>
      <c r="C75" s="88" t="s">
        <v>137</v>
      </c>
      <c r="D75" s="32" t="str">
        <f>D68</f>
        <v>LIST</v>
      </c>
      <c r="E75" s="89" t="s">
        <v>117</v>
      </c>
      <c r="F75" s="192" t="str">
        <f>LIDER!$E$39</f>
        <v>GRUPO#11: Identificación de una oportunidad de negocio para una barra energética funcional de café colombiano en los mercados de Estados Unidos, Alemania y Canadá</v>
      </c>
      <c r="G75" s="192"/>
      <c r="H75" s="192"/>
      <c r="I75" s="192"/>
      <c r="J75" s="192"/>
      <c r="K75" s="192"/>
      <c r="L75" s="192"/>
    </row>
    <row r="76" spans="1:12" s="2" customFormat="1" ht="12.75">
      <c r="A76" s="9">
        <v>1</v>
      </c>
      <c r="B76" s="10" t="str">
        <f>LIDER!G59</f>
        <v>ANDREA KAROLAY CARRILLO GOMEZ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4.09</v>
      </c>
      <c r="F76" s="193">
        <v>3.5</v>
      </c>
      <c r="G76" s="190">
        <v>4</v>
      </c>
      <c r="H76" s="188">
        <v>4.3</v>
      </c>
      <c r="I76" s="190">
        <v>4.5</v>
      </c>
      <c r="J76" s="188">
        <v>4</v>
      </c>
      <c r="K76" s="190"/>
      <c r="L76" s="188"/>
    </row>
    <row r="77" spans="1:12" s="2" customFormat="1" ht="15" customHeight="1">
      <c r="A77" s="12">
        <v>2</v>
      </c>
      <c r="B77" s="10" t="str">
        <f>LIDER!G60</f>
        <v>MARIANA JIMENEZ DEVOZ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4.09</v>
      </c>
      <c r="F77" s="193"/>
      <c r="G77" s="190"/>
      <c r="H77" s="188"/>
      <c r="I77" s="190"/>
      <c r="J77" s="188"/>
      <c r="K77" s="190"/>
      <c r="L77" s="188"/>
    </row>
    <row r="78" spans="1:12" s="2" customFormat="1" ht="15" customHeight="1">
      <c r="A78" s="12">
        <v>3</v>
      </c>
      <c r="B78" s="10" t="str">
        <f>LIDER!G61</f>
        <v>WYLYS JUNIOR ORTIZ ZUÑIGA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4.09</v>
      </c>
      <c r="F78" s="193"/>
      <c r="G78" s="190"/>
      <c r="H78" s="188"/>
      <c r="I78" s="190"/>
      <c r="J78" s="188"/>
      <c r="K78" s="190"/>
      <c r="L78" s="188"/>
    </row>
    <row r="79" spans="1:12" s="2" customFormat="1" ht="15" customHeight="1">
      <c r="A79" s="12">
        <v>4</v>
      </c>
      <c r="B79" s="10" t="str">
        <f>LIDER!G62</f>
        <v>MELANI DESTERLYN RAMIREZ CUADRO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4.09</v>
      </c>
      <c r="F79" s="193"/>
      <c r="G79" s="190"/>
      <c r="H79" s="188"/>
      <c r="I79" s="190"/>
      <c r="J79" s="188"/>
      <c r="K79" s="190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3"/>
      <c r="G80" s="190"/>
      <c r="H80" s="188"/>
      <c r="I80" s="190"/>
      <c r="J80" s="188"/>
      <c r="K80" s="190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3"/>
      <c r="G81" s="190"/>
      <c r="H81" s="188"/>
      <c r="I81" s="190"/>
      <c r="J81" s="188"/>
      <c r="K81" s="190"/>
      <c r="L81" s="188"/>
    </row>
    <row r="82" spans="1:12" s="2" customFormat="1" ht="15.75" customHeight="1">
      <c r="A82" s="14"/>
      <c r="B82" s="25" t="s">
        <v>92</v>
      </c>
      <c r="C82" s="88" t="s">
        <v>138</v>
      </c>
      <c r="D82" s="32" t="str">
        <f>D75</f>
        <v>LIST</v>
      </c>
      <c r="E82" s="89" t="s">
        <v>117</v>
      </c>
      <c r="F82" s="192" t="str">
        <f>LIDER!$E$40</f>
        <v>GRUPO#12</v>
      </c>
      <c r="G82" s="192"/>
      <c r="H82" s="192"/>
      <c r="I82" s="192"/>
      <c r="J82" s="192"/>
      <c r="K82" s="192"/>
      <c r="L82" s="19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3"/>
      <c r="G83" s="190"/>
      <c r="H83" s="188"/>
      <c r="I83" s="190"/>
      <c r="J83" s="188"/>
      <c r="K83" s="190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3"/>
      <c r="G84" s="190"/>
      <c r="H84" s="188"/>
      <c r="I84" s="190"/>
      <c r="J84" s="188"/>
      <c r="K84" s="190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3"/>
      <c r="G85" s="190"/>
      <c r="H85" s="188"/>
      <c r="I85" s="190"/>
      <c r="J85" s="188"/>
      <c r="K85" s="190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3"/>
      <c r="G86" s="190"/>
      <c r="H86" s="188"/>
      <c r="I86" s="190"/>
      <c r="J86" s="188"/>
      <c r="K86" s="190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3"/>
      <c r="G87" s="190"/>
      <c r="H87" s="188"/>
      <c r="I87" s="190"/>
      <c r="J87" s="188"/>
      <c r="K87" s="190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4"/>
      <c r="G88" s="191"/>
      <c r="H88" s="189"/>
      <c r="I88" s="191"/>
      <c r="J88" s="189"/>
      <c r="K88" s="191"/>
      <c r="L88" s="18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38" activePane="bottomRight" state="frozen"/>
      <selection pane="bottomRight" activeCell="F6" sqref="F6:J1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6"/>
      <c r="H1" s="19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IMPORTACIONES Y EXPORTACIONES</v>
      </c>
      <c r="C2" s="82"/>
      <c r="D2" s="3"/>
      <c r="F2" s="198" t="s">
        <v>112</v>
      </c>
      <c r="G2" s="199"/>
      <c r="H2" s="199"/>
      <c r="I2" s="199"/>
      <c r="J2" s="199"/>
      <c r="K2" s="199"/>
      <c r="L2" s="200"/>
    </row>
    <row r="3" spans="1:12" s="2" customFormat="1" ht="145.5" customHeight="1">
      <c r="B3" s="83" t="s">
        <v>113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1" t="str">
        <f>CONCATENATE(LIDER!F4," - ",LIDER!F6," - ",LIDER!F5)</f>
        <v>IMPORTACIONES Y EXPORTACIONES - 1433 - REYNALDO ARTURO ROJAS TRILLOS</v>
      </c>
      <c r="G4" s="201"/>
      <c r="H4" s="201"/>
      <c r="I4" s="201"/>
      <c r="J4" s="201"/>
      <c r="K4" s="201"/>
      <c r="L4" s="201"/>
    </row>
    <row r="5" spans="1:12" s="2" customFormat="1" ht="15.75" customHeight="1" thickBot="1">
      <c r="A5" s="8"/>
      <c r="B5" s="25" t="s">
        <v>114</v>
      </c>
      <c r="C5" s="88" t="s">
        <v>115</v>
      </c>
      <c r="D5" s="32" t="s">
        <v>116</v>
      </c>
      <c r="E5" s="89" t="s">
        <v>117</v>
      </c>
      <c r="F5" s="192" t="str">
        <f>LIDER!$E$29</f>
        <v>GRUPO#1: Identificación de una Oportunidad de Negocio Internacional para el Sistema de Riego Solar mediante el Estudio de Tres Mercados Potenciales: Chile, España y Estados Unidos</v>
      </c>
      <c r="G5" s="192"/>
      <c r="H5" s="192"/>
      <c r="I5" s="192"/>
      <c r="J5" s="192"/>
      <c r="K5" s="192"/>
      <c r="L5" s="192"/>
    </row>
    <row r="6" spans="1:12" s="2" customFormat="1" ht="12.75">
      <c r="A6" s="9">
        <v>1</v>
      </c>
      <c r="B6" s="10" t="str">
        <f>LIDER!E43</f>
        <v>MESHEL ARAGON AGUIRRE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3.9400000000000004</v>
      </c>
      <c r="F6" s="193">
        <v>3.8</v>
      </c>
      <c r="G6" s="190">
        <v>3.8</v>
      </c>
      <c r="H6" s="188">
        <v>3.9</v>
      </c>
      <c r="I6" s="190">
        <v>4</v>
      </c>
      <c r="J6" s="188">
        <v>4.5</v>
      </c>
      <c r="K6" s="190"/>
      <c r="L6" s="188"/>
    </row>
    <row r="7" spans="1:12" s="2" customFormat="1" ht="15" customHeight="1">
      <c r="A7" s="12">
        <v>2</v>
      </c>
      <c r="B7" s="10" t="str">
        <f>LIDER!E44</f>
        <v>VALENTINA CASTRO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3.9400000000000004</v>
      </c>
      <c r="F7" s="193"/>
      <c r="G7" s="190"/>
      <c r="H7" s="188"/>
      <c r="I7" s="190"/>
      <c r="J7" s="188"/>
      <c r="K7" s="190"/>
      <c r="L7" s="188"/>
    </row>
    <row r="8" spans="1:12" s="2" customFormat="1" ht="15" customHeight="1">
      <c r="A8" s="12">
        <v>3</v>
      </c>
      <c r="B8" s="10" t="str">
        <f>LIDER!E45</f>
        <v>JUAN DIEGO DEL RIO VEGA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3.9400000000000004</v>
      </c>
      <c r="F8" s="193"/>
      <c r="G8" s="190"/>
      <c r="H8" s="188"/>
      <c r="I8" s="190"/>
      <c r="J8" s="188"/>
      <c r="K8" s="190"/>
      <c r="L8" s="188"/>
    </row>
    <row r="9" spans="1:12" s="2" customFormat="1" ht="15" customHeight="1">
      <c r="A9" s="12">
        <v>4</v>
      </c>
      <c r="B9" s="10" t="str">
        <f>LIDER!E46</f>
        <v>MELANIE ISABEL MONSALVE GRANADOS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3.9400000000000004</v>
      </c>
      <c r="F9" s="193"/>
      <c r="G9" s="190"/>
      <c r="H9" s="188"/>
      <c r="I9" s="190"/>
      <c r="J9" s="188"/>
      <c r="K9" s="190"/>
      <c r="L9" s="188"/>
    </row>
    <row r="10" spans="1:12" s="2" customFormat="1" ht="15" customHeight="1">
      <c r="A10" s="12">
        <v>5</v>
      </c>
      <c r="B10" s="10" t="str">
        <f>LIDER!E47</f>
        <v>HANA SOFIA SANTANA GARCIA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3.9400000000000004</v>
      </c>
      <c r="F10" s="193"/>
      <c r="G10" s="190"/>
      <c r="H10" s="188"/>
      <c r="I10" s="190"/>
      <c r="J10" s="188"/>
      <c r="K10" s="190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3"/>
      <c r="G11" s="190"/>
      <c r="H11" s="188"/>
      <c r="I11" s="190"/>
      <c r="J11" s="188"/>
      <c r="K11" s="190"/>
      <c r="L11" s="188"/>
    </row>
    <row r="12" spans="1:12" s="2" customFormat="1" ht="15.75" customHeight="1" thickBot="1">
      <c r="A12" s="8"/>
      <c r="B12" s="25" t="s">
        <v>118</v>
      </c>
      <c r="C12" s="88" t="s">
        <v>119</v>
      </c>
      <c r="D12" s="32" t="str">
        <f>D5</f>
        <v>LIST</v>
      </c>
      <c r="E12" s="89" t="s">
        <v>117</v>
      </c>
      <c r="F12" s="192" t="str">
        <f>LIDER!$E$30</f>
        <v>GRUPO#2: ANÁLISIS DE UNA OPORTUNIDAD DE NEGOCIO PARA LA COMERCIALIZACIÓN DE PRODUCTOS CAPILARES DE LA EMPRESA ROMELIA S.A.S. EN LOS MERCADOS POTENCIALES DE MEXICO, ESTADOS UNIDOS Y ESPAÑA</v>
      </c>
      <c r="G12" s="192"/>
      <c r="H12" s="192"/>
      <c r="I12" s="192"/>
      <c r="J12" s="192"/>
      <c r="K12" s="192"/>
      <c r="L12" s="192"/>
    </row>
    <row r="13" spans="1:12" s="2" customFormat="1" ht="12.75">
      <c r="A13" s="9">
        <v>1</v>
      </c>
      <c r="B13" s="10" t="str">
        <f>LIDER!F43</f>
        <v>EYLANS ANDRES AHUMADA SALAZAR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</v>
      </c>
      <c r="F13" s="193">
        <v>3.3</v>
      </c>
      <c r="G13" s="190">
        <v>3.5</v>
      </c>
      <c r="H13" s="188">
        <v>3.8</v>
      </c>
      <c r="I13" s="190">
        <v>4.5</v>
      </c>
      <c r="J13" s="188">
        <v>5</v>
      </c>
      <c r="K13" s="190"/>
      <c r="L13" s="188"/>
    </row>
    <row r="14" spans="1:12" s="2" customFormat="1" ht="15" customHeight="1">
      <c r="A14" s="12">
        <v>2</v>
      </c>
      <c r="B14" s="10" t="str">
        <f>LIDER!F44</f>
        <v>KENDRY YIRETH LABIOSA VERGARA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</v>
      </c>
      <c r="F14" s="193"/>
      <c r="G14" s="190"/>
      <c r="H14" s="188"/>
      <c r="I14" s="190"/>
      <c r="J14" s="188"/>
      <c r="K14" s="190"/>
      <c r="L14" s="188"/>
    </row>
    <row r="15" spans="1:12" s="2" customFormat="1" ht="15" customHeight="1">
      <c r="A15" s="12">
        <v>3</v>
      </c>
      <c r="B15" s="10" t="str">
        <f>LIDER!F45</f>
        <v>VALERY PAOLA OSORIO VIDAL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</v>
      </c>
      <c r="F15" s="193"/>
      <c r="G15" s="190"/>
      <c r="H15" s="188"/>
      <c r="I15" s="190"/>
      <c r="J15" s="188"/>
      <c r="K15" s="190"/>
      <c r="L15" s="188"/>
    </row>
    <row r="16" spans="1:12" s="2" customFormat="1" ht="15" customHeight="1">
      <c r="A16" s="12">
        <v>4</v>
      </c>
      <c r="B16" s="10" t="str">
        <f>LIDER!F46</f>
        <v>YERLIS PAOLA RUIZ GARCIA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</v>
      </c>
      <c r="F16" s="193"/>
      <c r="G16" s="190"/>
      <c r="H16" s="188"/>
      <c r="I16" s="190"/>
      <c r="J16" s="188"/>
      <c r="K16" s="190"/>
      <c r="L16" s="188"/>
    </row>
    <row r="17" spans="1:12" s="2" customFormat="1" ht="15" customHeight="1">
      <c r="A17" s="12">
        <v>5</v>
      </c>
      <c r="B17" s="10" t="str">
        <f>LIDER!F47</f>
        <v>DANIEL ISAAC SIMANCA SANCHEZ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</v>
      </c>
      <c r="F17" s="193"/>
      <c r="G17" s="190"/>
      <c r="H17" s="188"/>
      <c r="I17" s="190"/>
      <c r="J17" s="188"/>
      <c r="K17" s="190"/>
      <c r="L17" s="18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3"/>
      <c r="G18" s="190"/>
      <c r="H18" s="188"/>
      <c r="I18" s="190"/>
      <c r="J18" s="188"/>
      <c r="K18" s="190"/>
      <c r="L18" s="188"/>
    </row>
    <row r="19" spans="1:12" s="2" customFormat="1" ht="15.75" customHeight="1">
      <c r="A19" s="14"/>
      <c r="B19" s="25" t="s">
        <v>120</v>
      </c>
      <c r="C19" s="88" t="s">
        <v>121</v>
      </c>
      <c r="D19" s="32" t="str">
        <f>D12</f>
        <v>LIST</v>
      </c>
      <c r="E19" s="89" t="s">
        <v>117</v>
      </c>
      <c r="F19" s="192" t="str">
        <f>LIDER!$E$31</f>
        <v xml:space="preserve">GRUPO#3: Identificación de una oportunidad de negocio para EcoCao S.A.S. mediante el estudio de Estados Unidos, Ecuador y Chile como mercados potenciales. </v>
      </c>
      <c r="G19" s="192"/>
      <c r="H19" s="192"/>
      <c r="I19" s="192"/>
      <c r="J19" s="192"/>
      <c r="K19" s="192"/>
      <c r="L19" s="192"/>
    </row>
    <row r="20" spans="1:12" s="2" customFormat="1" ht="12.75">
      <c r="A20" s="9">
        <v>1</v>
      </c>
      <c r="B20" s="10" t="str">
        <f>LIDER!G43</f>
        <v>DAVID ANDRES CASTILLA CARDENAS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3.4600000000000004</v>
      </c>
      <c r="F20" s="193">
        <v>3.2</v>
      </c>
      <c r="G20" s="190">
        <v>3.2</v>
      </c>
      <c r="H20" s="188">
        <v>3.6</v>
      </c>
      <c r="I20" s="190">
        <v>3</v>
      </c>
      <c r="J20" s="188">
        <v>5</v>
      </c>
      <c r="K20" s="190"/>
      <c r="L20" s="188"/>
    </row>
    <row r="21" spans="1:12" s="2" customFormat="1" ht="15" customHeight="1">
      <c r="A21" s="12">
        <v>2</v>
      </c>
      <c r="B21" s="10" t="str">
        <f>LIDER!G44</f>
        <v>MARIA FERNANDA DE HORTA GOMEZ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3.4600000000000004</v>
      </c>
      <c r="F21" s="193"/>
      <c r="G21" s="190"/>
      <c r="H21" s="188"/>
      <c r="I21" s="190"/>
      <c r="J21" s="188"/>
      <c r="K21" s="190"/>
      <c r="L21" s="188"/>
    </row>
    <row r="22" spans="1:12" s="2" customFormat="1" ht="15" customHeight="1">
      <c r="A22" s="12">
        <v>3</v>
      </c>
      <c r="B22" s="10" t="str">
        <f>LIDER!G45</f>
        <v>MARÍA ALEJANDRA LEMOS OCHOA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3.4600000000000004</v>
      </c>
      <c r="F22" s="193"/>
      <c r="G22" s="190"/>
      <c r="H22" s="188"/>
      <c r="I22" s="190"/>
      <c r="J22" s="188"/>
      <c r="K22" s="190"/>
      <c r="L22" s="188"/>
    </row>
    <row r="23" spans="1:12" s="2" customFormat="1" ht="15" customHeight="1">
      <c r="A23" s="12">
        <v>4</v>
      </c>
      <c r="B23" s="10" t="str">
        <f>LIDER!G46</f>
        <v>SHARON JULIANA MONTES FERNANDEZ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3.4600000000000004</v>
      </c>
      <c r="F23" s="193"/>
      <c r="G23" s="190"/>
      <c r="H23" s="188"/>
      <c r="I23" s="190"/>
      <c r="J23" s="188"/>
      <c r="K23" s="190"/>
      <c r="L23" s="188"/>
    </row>
    <row r="24" spans="1:12" s="2" customFormat="1" ht="15" customHeight="1">
      <c r="A24" s="12">
        <v>5</v>
      </c>
      <c r="B24" s="10" t="str">
        <f>LIDER!G47</f>
        <v>DAVID ALEJANDRO RHENALS LOPEZ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3.4600000000000004</v>
      </c>
      <c r="F24" s="193"/>
      <c r="G24" s="190"/>
      <c r="H24" s="188"/>
      <c r="I24" s="190"/>
      <c r="J24" s="188"/>
      <c r="K24" s="190"/>
      <c r="L24" s="18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3"/>
      <c r="G25" s="190"/>
      <c r="H25" s="188"/>
      <c r="I25" s="190"/>
      <c r="J25" s="188"/>
      <c r="K25" s="190"/>
      <c r="L25" s="188"/>
    </row>
    <row r="26" spans="1:12" s="2" customFormat="1" ht="15.75" customHeight="1">
      <c r="A26" s="14"/>
      <c r="B26" s="25" t="s">
        <v>122</v>
      </c>
      <c r="C26" s="88" t="s">
        <v>123</v>
      </c>
      <c r="D26" s="32" t="str">
        <f>D19</f>
        <v>LIST</v>
      </c>
      <c r="E26" s="89" t="s">
        <v>117</v>
      </c>
      <c r="F26" s="192" t="str">
        <f>LIDER!$E$32</f>
        <v>GRUPO#4: Identificación de una Oportunidad de Negocio Internacional para la Harina de Plátano de ASOREPP mediante el Estudio de Tres Mercados Potenciales: España, Estados Unidos y Alemania</v>
      </c>
      <c r="G26" s="192"/>
      <c r="H26" s="192"/>
      <c r="I26" s="192"/>
      <c r="J26" s="192"/>
      <c r="K26" s="192"/>
      <c r="L26" s="192"/>
    </row>
    <row r="27" spans="1:12" s="2" customFormat="1" ht="12.75">
      <c r="A27" s="9">
        <v>1</v>
      </c>
      <c r="B27" s="10" t="str">
        <f>LIDER!H43</f>
        <v>JHORDAN JOSE BARROS PEÑA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3.3000000000000007</v>
      </c>
      <c r="F27" s="193">
        <v>3</v>
      </c>
      <c r="G27" s="190">
        <v>3.1</v>
      </c>
      <c r="H27" s="188">
        <v>3.5</v>
      </c>
      <c r="I27" s="190">
        <v>2.9</v>
      </c>
      <c r="J27" s="188">
        <v>4.5</v>
      </c>
      <c r="K27" s="190"/>
      <c r="L27" s="188"/>
    </row>
    <row r="28" spans="1:12" s="2" customFormat="1" ht="15" customHeight="1">
      <c r="A28" s="12">
        <v>2</v>
      </c>
      <c r="B28" s="10" t="str">
        <f>LIDER!H44</f>
        <v>RUTH SARAY PATERNINA PÉREZ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3.3000000000000007</v>
      </c>
      <c r="F28" s="193"/>
      <c r="G28" s="190"/>
      <c r="H28" s="188"/>
      <c r="I28" s="190"/>
      <c r="J28" s="188"/>
      <c r="K28" s="190"/>
      <c r="L28" s="188"/>
    </row>
    <row r="29" spans="1:12" s="2" customFormat="1" ht="15" customHeight="1">
      <c r="A29" s="12">
        <v>3</v>
      </c>
      <c r="B29" s="10" t="str">
        <f>LIDER!H45</f>
        <v>HECTOR FABIO PEREIRA PACHECO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3.3000000000000007</v>
      </c>
      <c r="F29" s="193"/>
      <c r="G29" s="190"/>
      <c r="H29" s="188"/>
      <c r="I29" s="190"/>
      <c r="J29" s="188"/>
      <c r="K29" s="190"/>
      <c r="L29" s="188"/>
    </row>
    <row r="30" spans="1:12" s="2" customFormat="1" ht="15" customHeight="1">
      <c r="A30" s="12">
        <v>4</v>
      </c>
      <c r="B30" s="10" t="str">
        <f>LIDER!H46</f>
        <v>JUAN RICARDO SERRANO PALLARES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3.3000000000000007</v>
      </c>
      <c r="F30" s="193"/>
      <c r="G30" s="190"/>
      <c r="H30" s="188"/>
      <c r="I30" s="190"/>
      <c r="J30" s="188"/>
      <c r="K30" s="190"/>
      <c r="L30" s="188"/>
    </row>
    <row r="31" spans="1:12" s="2" customFormat="1" ht="15" customHeight="1">
      <c r="A31" s="12">
        <v>5</v>
      </c>
      <c r="B31" s="10" t="str">
        <f>LIDER!H47</f>
        <v>KEILYS JHOANA DE ÁVILA FONTALVO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3.3000000000000007</v>
      </c>
      <c r="F31" s="193"/>
      <c r="G31" s="190"/>
      <c r="H31" s="188"/>
      <c r="I31" s="190"/>
      <c r="J31" s="188"/>
      <c r="K31" s="190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3"/>
      <c r="G32" s="190"/>
      <c r="H32" s="188"/>
      <c r="I32" s="190"/>
      <c r="J32" s="188"/>
      <c r="K32" s="190"/>
      <c r="L32" s="188"/>
    </row>
    <row r="33" spans="1:12" s="2" customFormat="1" ht="15.75" customHeight="1">
      <c r="A33" s="14"/>
      <c r="B33" s="25" t="s">
        <v>124</v>
      </c>
      <c r="C33" s="88" t="s">
        <v>125</v>
      </c>
      <c r="D33" s="32" t="str">
        <f>D26</f>
        <v>LIST</v>
      </c>
      <c r="E33" s="89" t="s">
        <v>117</v>
      </c>
      <c r="F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G33" s="192"/>
      <c r="H33" s="192"/>
      <c r="I33" s="192"/>
      <c r="J33" s="192"/>
      <c r="K33" s="192"/>
      <c r="L33" s="192"/>
    </row>
    <row r="34" spans="1:12" s="2" customFormat="1" ht="12.75">
      <c r="A34" s="9">
        <v>1</v>
      </c>
      <c r="B34" s="10" t="str">
        <f>LIDER!E51</f>
        <v>VALERIE SOFIA CERA TORRIENTE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3.8899999999999997</v>
      </c>
      <c r="F34" s="193">
        <v>3.5</v>
      </c>
      <c r="G34" s="190">
        <v>3.8</v>
      </c>
      <c r="H34" s="188">
        <v>3.8</v>
      </c>
      <c r="I34" s="190">
        <v>4.2</v>
      </c>
      <c r="J34" s="188">
        <v>4.5</v>
      </c>
      <c r="K34" s="190"/>
      <c r="L34" s="188"/>
    </row>
    <row r="35" spans="1:12" s="2" customFormat="1" ht="15" customHeight="1">
      <c r="A35" s="12">
        <v>2</v>
      </c>
      <c r="B35" s="10" t="str">
        <f>LIDER!E52</f>
        <v>CRISTINA LUCIA ESTRADA SANTOYA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3.8899999999999997</v>
      </c>
      <c r="F35" s="193"/>
      <c r="G35" s="190"/>
      <c r="H35" s="188"/>
      <c r="I35" s="190"/>
      <c r="J35" s="188"/>
      <c r="K35" s="190"/>
      <c r="L35" s="188"/>
    </row>
    <row r="36" spans="1:12" s="2" customFormat="1" ht="15" customHeight="1">
      <c r="A36" s="12">
        <v>3</v>
      </c>
      <c r="B36" s="10" t="str">
        <f>LIDER!E53</f>
        <v>JIRETH PAOLA GARCIA COLON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3.8899999999999997</v>
      </c>
      <c r="F36" s="193"/>
      <c r="G36" s="190"/>
      <c r="H36" s="188"/>
      <c r="I36" s="190"/>
      <c r="J36" s="188"/>
      <c r="K36" s="190"/>
      <c r="L36" s="188"/>
    </row>
    <row r="37" spans="1:12" s="2" customFormat="1" ht="15" customHeight="1">
      <c r="A37" s="12">
        <v>4</v>
      </c>
      <c r="B37" s="10" t="str">
        <f>LIDER!E54</f>
        <v>LAURENT SOFIA IBARGUEN GULFO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3.8899999999999997</v>
      </c>
      <c r="F37" s="193"/>
      <c r="G37" s="190"/>
      <c r="H37" s="188"/>
      <c r="I37" s="190"/>
      <c r="J37" s="188"/>
      <c r="K37" s="190"/>
      <c r="L37" s="188"/>
    </row>
    <row r="38" spans="1:12" s="2" customFormat="1" ht="15" customHeight="1">
      <c r="A38" s="12">
        <v>5</v>
      </c>
      <c r="B38" s="10" t="str">
        <f>LIDER!E55</f>
        <v>EVELYN SANCHEZ GONZALEZ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3.8899999999999997</v>
      </c>
      <c r="F38" s="193"/>
      <c r="G38" s="190"/>
      <c r="H38" s="188"/>
      <c r="I38" s="190"/>
      <c r="J38" s="188"/>
      <c r="K38" s="190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3"/>
      <c r="G39" s="190"/>
      <c r="H39" s="188"/>
      <c r="I39" s="190"/>
      <c r="J39" s="188"/>
      <c r="K39" s="190"/>
      <c r="L39" s="188"/>
    </row>
    <row r="40" spans="1:12" s="2" customFormat="1" ht="15.75" customHeight="1">
      <c r="A40" s="14"/>
      <c r="B40" s="25" t="s">
        <v>126</v>
      </c>
      <c r="C40" s="88" t="s">
        <v>127</v>
      </c>
      <c r="D40" s="32" t="str">
        <f>D33</f>
        <v>LIST</v>
      </c>
      <c r="E40" s="89" t="s">
        <v>117</v>
      </c>
      <c r="F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G40" s="192"/>
      <c r="H40" s="192"/>
      <c r="I40" s="192"/>
      <c r="J40" s="192"/>
      <c r="K40" s="192"/>
      <c r="L40" s="192"/>
    </row>
    <row r="41" spans="1:12" s="2" customFormat="1" ht="12.75">
      <c r="A41" s="9">
        <v>1</v>
      </c>
      <c r="B41" s="10" t="str">
        <f>LIDER!F51</f>
        <v>SANTIAGO JOSE BUELVAS CARRILLO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3.4499999999999997</v>
      </c>
      <c r="F41" s="193">
        <v>3.9</v>
      </c>
      <c r="G41" s="190">
        <v>3.4</v>
      </c>
      <c r="H41" s="188">
        <v>3.8</v>
      </c>
      <c r="I41" s="190">
        <v>2</v>
      </c>
      <c r="J41" s="188">
        <v>4.5</v>
      </c>
      <c r="K41" s="190"/>
      <c r="L41" s="188"/>
    </row>
    <row r="42" spans="1:12" s="2" customFormat="1" ht="15" customHeight="1">
      <c r="A42" s="12">
        <v>2</v>
      </c>
      <c r="B42" s="10" t="str">
        <f>LIDER!F52</f>
        <v>VALERIA SOFIA VENENCIA SANES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3.4499999999999997</v>
      </c>
      <c r="F42" s="193"/>
      <c r="G42" s="190"/>
      <c r="H42" s="188"/>
      <c r="I42" s="190"/>
      <c r="J42" s="188"/>
      <c r="K42" s="190"/>
      <c r="L42" s="188"/>
    </row>
    <row r="43" spans="1:12" s="2" customFormat="1" ht="15" customHeight="1">
      <c r="A43" s="12">
        <v>3</v>
      </c>
      <c r="B43" s="10" t="str">
        <f>LIDER!F53</f>
        <v>ESTEBAN DAVID DORIA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3.4499999999999997</v>
      </c>
      <c r="F43" s="193"/>
      <c r="G43" s="190"/>
      <c r="H43" s="188"/>
      <c r="I43" s="190"/>
      <c r="J43" s="188"/>
      <c r="K43" s="190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3"/>
      <c r="G44" s="190"/>
      <c r="H44" s="188"/>
      <c r="I44" s="190"/>
      <c r="J44" s="188"/>
      <c r="K44" s="190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3"/>
      <c r="G45" s="190"/>
      <c r="H45" s="188"/>
      <c r="I45" s="190"/>
      <c r="J45" s="188"/>
      <c r="K45" s="190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3"/>
      <c r="G46" s="190"/>
      <c r="H46" s="188"/>
      <c r="I46" s="190"/>
      <c r="J46" s="188"/>
      <c r="K46" s="190"/>
      <c r="L46" s="188"/>
    </row>
    <row r="47" spans="1:12" s="2" customFormat="1" ht="15.75" customHeight="1">
      <c r="A47" s="14"/>
      <c r="B47" s="25" t="s">
        <v>128</v>
      </c>
      <c r="C47" s="88" t="s">
        <v>129</v>
      </c>
      <c r="D47" s="32" t="str">
        <f>D40</f>
        <v>LIST</v>
      </c>
      <c r="E47" s="89" t="s">
        <v>117</v>
      </c>
      <c r="F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G47" s="192"/>
      <c r="H47" s="192"/>
      <c r="I47" s="192"/>
      <c r="J47" s="192"/>
      <c r="K47" s="192"/>
      <c r="L47" s="192"/>
    </row>
    <row r="48" spans="1:12" s="2" customFormat="1" ht="12.75">
      <c r="A48" s="9">
        <v>1</v>
      </c>
      <c r="B48" s="10" t="str">
        <f>LIDER!G51</f>
        <v>VALENTINA LUZ AVILEZ BERMUDEZ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3.1100000000000003</v>
      </c>
      <c r="F48" s="193">
        <v>3</v>
      </c>
      <c r="G48" s="190">
        <v>3.2</v>
      </c>
      <c r="H48" s="188">
        <v>3.4</v>
      </c>
      <c r="I48" s="190">
        <v>2</v>
      </c>
      <c r="J48" s="188">
        <v>4.5</v>
      </c>
      <c r="K48" s="190"/>
      <c r="L48" s="188"/>
    </row>
    <row r="49" spans="1:12" s="2" customFormat="1" ht="15" customHeight="1">
      <c r="A49" s="12">
        <v>2</v>
      </c>
      <c r="B49" s="10" t="str">
        <f>LIDER!G52</f>
        <v>YANINE MILLET BERMUDEZ JIMENEZ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3.1100000000000003</v>
      </c>
      <c r="F49" s="193"/>
      <c r="G49" s="190"/>
      <c r="H49" s="188"/>
      <c r="I49" s="190"/>
      <c r="J49" s="188"/>
      <c r="K49" s="190"/>
      <c r="L49" s="188"/>
    </row>
    <row r="50" spans="1:12" s="2" customFormat="1" ht="15" customHeight="1">
      <c r="A50" s="12">
        <v>3</v>
      </c>
      <c r="B50" s="10" t="str">
        <f>LIDER!G53</f>
        <v>YURLEINIS MAZA MORALES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3.1100000000000003</v>
      </c>
      <c r="F50" s="193"/>
      <c r="G50" s="190"/>
      <c r="H50" s="188"/>
      <c r="I50" s="190"/>
      <c r="J50" s="188"/>
      <c r="K50" s="190"/>
      <c r="L50" s="188"/>
    </row>
    <row r="51" spans="1:12" s="2" customFormat="1" ht="15" customHeight="1">
      <c r="A51" s="12">
        <v>4</v>
      </c>
      <c r="B51" s="10" t="str">
        <f>LIDER!G54</f>
        <v>DAYANA LUCIA PALLARES MENDOZA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3.1100000000000003</v>
      </c>
      <c r="F51" s="193"/>
      <c r="G51" s="190"/>
      <c r="H51" s="188"/>
      <c r="I51" s="190"/>
      <c r="J51" s="188"/>
      <c r="K51" s="190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3"/>
      <c r="G52" s="190"/>
      <c r="H52" s="188"/>
      <c r="I52" s="190"/>
      <c r="J52" s="188"/>
      <c r="K52" s="190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3"/>
      <c r="G53" s="190"/>
      <c r="H53" s="188"/>
      <c r="I53" s="190"/>
      <c r="J53" s="188"/>
      <c r="K53" s="190"/>
      <c r="L53" s="188"/>
    </row>
    <row r="54" spans="1:12" s="2" customFormat="1" ht="15.75" customHeight="1">
      <c r="A54" s="14"/>
      <c r="B54" s="25" t="s">
        <v>130</v>
      </c>
      <c r="C54" s="88" t="s">
        <v>131</v>
      </c>
      <c r="D54" s="32" t="str">
        <f>D47</f>
        <v>LIST</v>
      </c>
      <c r="E54" s="89" t="s">
        <v>117</v>
      </c>
      <c r="F54" s="192" t="str">
        <f>LIDER!$E$36</f>
        <v>GRUPO#8: Identificación de Oportunidad de Negocios para la exportación de Gel con Pigmento de la marca ADDA Gel-Styling en los mercados potenciales de Perú, Estados Unidos y Ecuador</v>
      </c>
      <c r="G54" s="192"/>
      <c r="H54" s="192"/>
      <c r="I54" s="192"/>
      <c r="J54" s="192"/>
      <c r="K54" s="192"/>
      <c r="L54" s="192"/>
    </row>
    <row r="55" spans="1:12" s="2" customFormat="1" ht="12.75">
      <c r="A55" s="9">
        <v>1</v>
      </c>
      <c r="B55" s="10" t="str">
        <f>LIDER!H51</f>
        <v>DALIA MARIA DEL CARMEN CONDE RAMIREZ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3.2500000000000004</v>
      </c>
      <c r="F55" s="193">
        <v>2.9</v>
      </c>
      <c r="G55" s="190">
        <v>3</v>
      </c>
      <c r="H55" s="188">
        <v>3.1</v>
      </c>
      <c r="I55" s="190">
        <v>3.2</v>
      </c>
      <c r="J55" s="188">
        <v>5</v>
      </c>
      <c r="K55" s="190"/>
      <c r="L55" s="188"/>
    </row>
    <row r="56" spans="1:12" s="2" customFormat="1" ht="15" customHeight="1">
      <c r="A56" s="12">
        <v>2</v>
      </c>
      <c r="B56" s="10" t="str">
        <f>LIDER!H52</f>
        <v>ANGEL MANUEL GONZALEZ ALVAREZ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3.2500000000000004</v>
      </c>
      <c r="F56" s="193"/>
      <c r="G56" s="190"/>
      <c r="H56" s="188"/>
      <c r="I56" s="190"/>
      <c r="J56" s="188"/>
      <c r="K56" s="190"/>
      <c r="L56" s="188"/>
    </row>
    <row r="57" spans="1:12" s="2" customFormat="1" ht="15" customHeight="1">
      <c r="A57" s="12">
        <v>3</v>
      </c>
      <c r="B57" s="10" t="str">
        <f>LIDER!H53</f>
        <v>DAINY CAROLINA OLEA TORRES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3.2500000000000004</v>
      </c>
      <c r="F57" s="193"/>
      <c r="G57" s="190"/>
      <c r="H57" s="188"/>
      <c r="I57" s="190"/>
      <c r="J57" s="188"/>
      <c r="K57" s="190"/>
      <c r="L57" s="188"/>
    </row>
    <row r="58" spans="1:12" s="2" customFormat="1" ht="15" customHeight="1">
      <c r="A58" s="12">
        <v>4</v>
      </c>
      <c r="B58" s="10" t="str">
        <f>LIDER!H54</f>
        <v>ANDRÉS ESTEBAN VÁSQUEZ GONZÁLEZ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3.2500000000000004</v>
      </c>
      <c r="F58" s="193"/>
      <c r="G58" s="190"/>
      <c r="H58" s="188"/>
      <c r="I58" s="190"/>
      <c r="J58" s="188"/>
      <c r="K58" s="190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3"/>
      <c r="G59" s="190"/>
      <c r="H59" s="188"/>
      <c r="I59" s="190"/>
      <c r="J59" s="188"/>
      <c r="K59" s="190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3"/>
      <c r="G60" s="190"/>
      <c r="H60" s="188"/>
      <c r="I60" s="190"/>
      <c r="J60" s="188"/>
      <c r="K60" s="190"/>
      <c r="L60" s="188"/>
    </row>
    <row r="61" spans="1:12" s="2" customFormat="1" ht="15.75" customHeight="1">
      <c r="A61" s="14"/>
      <c r="B61" s="25" t="s">
        <v>132</v>
      </c>
      <c r="C61" s="88" t="s">
        <v>133</v>
      </c>
      <c r="D61" s="32" t="str">
        <f>D54</f>
        <v>LIST</v>
      </c>
      <c r="E61" s="89" t="s">
        <v>117</v>
      </c>
      <c r="F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G61" s="192"/>
      <c r="H61" s="192"/>
      <c r="I61" s="192"/>
      <c r="J61" s="192"/>
      <c r="K61" s="192"/>
      <c r="L61" s="192"/>
    </row>
    <row r="62" spans="1:12" s="2" customFormat="1" ht="12.75">
      <c r="A62" s="9">
        <v>1</v>
      </c>
      <c r="B62" s="10" t="str">
        <f>LIDER!E59</f>
        <v>JOSE EDUARDO ARRIETA MEJIA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3.67</v>
      </c>
      <c r="F62" s="193">
        <v>3.5</v>
      </c>
      <c r="G62" s="190">
        <v>3.5</v>
      </c>
      <c r="H62" s="188">
        <v>3.3</v>
      </c>
      <c r="I62" s="190">
        <v>3.9</v>
      </c>
      <c r="J62" s="188">
        <v>5</v>
      </c>
      <c r="K62" s="190"/>
      <c r="L62" s="188"/>
    </row>
    <row r="63" spans="1:12" s="2" customFormat="1" ht="15" customHeight="1">
      <c r="A63" s="12">
        <v>2</v>
      </c>
      <c r="B63" s="10" t="str">
        <f>LIDER!E60</f>
        <v>VALENTINA BERRIO LOPEZ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3.67</v>
      </c>
      <c r="F63" s="193"/>
      <c r="G63" s="190"/>
      <c r="H63" s="188"/>
      <c r="I63" s="190"/>
      <c r="J63" s="188"/>
      <c r="K63" s="190"/>
      <c r="L63" s="188"/>
    </row>
    <row r="64" spans="1:12" s="2" customFormat="1" ht="15" customHeight="1">
      <c r="A64" s="12">
        <v>3</v>
      </c>
      <c r="B64" s="10" t="str">
        <f>LIDER!E61</f>
        <v>SANTIAGO BOHÓRQUEZ CANTERO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3.67</v>
      </c>
      <c r="F64" s="193"/>
      <c r="G64" s="190"/>
      <c r="H64" s="188"/>
      <c r="I64" s="190"/>
      <c r="J64" s="188"/>
      <c r="K64" s="190"/>
      <c r="L64" s="188"/>
    </row>
    <row r="65" spans="1:12" s="2" customFormat="1" ht="15" customHeight="1">
      <c r="A65" s="12">
        <v>4</v>
      </c>
      <c r="B65" s="10" t="str">
        <f>LIDER!E62</f>
        <v>NICOLE ANTHONELLA CAMPOS ABREU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3.67</v>
      </c>
      <c r="F65" s="193"/>
      <c r="G65" s="190"/>
      <c r="H65" s="188"/>
      <c r="I65" s="190"/>
      <c r="J65" s="188"/>
      <c r="K65" s="190"/>
      <c r="L65" s="188"/>
    </row>
    <row r="66" spans="1:12" s="2" customFormat="1" ht="15" customHeight="1">
      <c r="A66" s="12">
        <v>5</v>
      </c>
      <c r="B66" s="10" t="str">
        <f>LIDER!E63</f>
        <v>DELIA ROSA GARCIA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3.67</v>
      </c>
      <c r="F66" s="193"/>
      <c r="G66" s="190"/>
      <c r="H66" s="188"/>
      <c r="I66" s="190"/>
      <c r="J66" s="188"/>
      <c r="K66" s="190"/>
      <c r="L66" s="188"/>
    </row>
    <row r="67" spans="1:12" s="2" customFormat="1" ht="15.75" customHeight="1">
      <c r="A67" s="13">
        <v>6</v>
      </c>
      <c r="B67" s="91" t="str">
        <f>LIDER!E64</f>
        <v>SAMUEL DAVID PÉREZ MUÑOZ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3.67</v>
      </c>
      <c r="F67" s="193"/>
      <c r="G67" s="190"/>
      <c r="H67" s="188"/>
      <c r="I67" s="190"/>
      <c r="J67" s="188"/>
      <c r="K67" s="190"/>
      <c r="L67" s="188"/>
    </row>
    <row r="68" spans="1:12" s="2" customFormat="1" ht="15.75" customHeight="1">
      <c r="A68" s="14"/>
      <c r="B68" s="25" t="s">
        <v>134</v>
      </c>
      <c r="C68" s="88" t="s">
        <v>135</v>
      </c>
      <c r="D68" s="32" t="str">
        <f>D61</f>
        <v>LIST</v>
      </c>
      <c r="E68" s="89" t="s">
        <v>117</v>
      </c>
      <c r="F68" s="192" t="str">
        <f>LIDER!$E$38</f>
        <v>GRUPO#10: FRUTÉA: Aprovechamiento de frutas colombianas para la elaboración y comercialización de mermeladas</v>
      </c>
      <c r="G68" s="192"/>
      <c r="H68" s="192"/>
      <c r="I68" s="192"/>
      <c r="J68" s="192"/>
      <c r="K68" s="192"/>
      <c r="L68" s="192"/>
    </row>
    <row r="69" spans="1:12" s="2" customFormat="1" ht="12.75">
      <c r="A69" s="9">
        <v>1</v>
      </c>
      <c r="B69" s="10" t="str">
        <f>LIDER!F59</f>
        <v>YUREIDYS ALVAREZ CASTELLANO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3.5600000000000005</v>
      </c>
      <c r="F69" s="193">
        <v>3.5</v>
      </c>
      <c r="G69" s="190">
        <v>3.2</v>
      </c>
      <c r="H69" s="188">
        <v>3.4</v>
      </c>
      <c r="I69" s="190">
        <v>3.5</v>
      </c>
      <c r="J69" s="188">
        <v>5</v>
      </c>
      <c r="K69" s="190"/>
      <c r="L69" s="188"/>
    </row>
    <row r="70" spans="1:12" s="2" customFormat="1" ht="15" customHeight="1">
      <c r="A70" s="12">
        <v>2</v>
      </c>
      <c r="B70" s="10" t="str">
        <f>LIDER!F60</f>
        <v>EFRAÍN JOSÉ CEBALLOS SALGADO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3.5600000000000005</v>
      </c>
      <c r="F70" s="193"/>
      <c r="G70" s="190"/>
      <c r="H70" s="188"/>
      <c r="I70" s="190"/>
      <c r="J70" s="188"/>
      <c r="K70" s="190"/>
      <c r="L70" s="188"/>
    </row>
    <row r="71" spans="1:12" s="2" customFormat="1" ht="15" customHeight="1">
      <c r="A71" s="12">
        <v>3</v>
      </c>
      <c r="B71" s="10" t="str">
        <f>LIDER!F61</f>
        <v>ANDRES FELIPE TORRES ARROYO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3.5600000000000005</v>
      </c>
      <c r="F71" s="193"/>
      <c r="G71" s="190"/>
      <c r="H71" s="188"/>
      <c r="I71" s="190"/>
      <c r="J71" s="188"/>
      <c r="K71" s="190"/>
      <c r="L71" s="188"/>
    </row>
    <row r="72" spans="1:12" s="2" customFormat="1" ht="15" customHeight="1">
      <c r="A72" s="12">
        <v>4</v>
      </c>
      <c r="B72" s="10" t="str">
        <f>LIDER!F62</f>
        <v>YUSETH DAVID VILLEGAS ARTEAGA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3.5600000000000005</v>
      </c>
      <c r="F72" s="193"/>
      <c r="G72" s="190"/>
      <c r="H72" s="188"/>
      <c r="I72" s="190"/>
      <c r="J72" s="188"/>
      <c r="K72" s="190"/>
      <c r="L72" s="188"/>
    </row>
    <row r="73" spans="1:12" s="2" customFormat="1" ht="15" customHeight="1">
      <c r="A73" s="12">
        <v>5</v>
      </c>
      <c r="B73" s="10" t="str">
        <f>LIDER!F63</f>
        <v>ISAAC JOSE ZAPATA ZAPATA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3.5600000000000005</v>
      </c>
      <c r="F73" s="193"/>
      <c r="G73" s="190"/>
      <c r="H73" s="188"/>
      <c r="I73" s="190"/>
      <c r="J73" s="188"/>
      <c r="K73" s="190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3"/>
      <c r="G74" s="190"/>
      <c r="H74" s="188"/>
      <c r="I74" s="190"/>
      <c r="J74" s="188"/>
      <c r="K74" s="190"/>
      <c r="L74" s="188"/>
    </row>
    <row r="75" spans="1:12" s="2" customFormat="1" ht="15.75" customHeight="1">
      <c r="A75" s="14"/>
      <c r="B75" s="25" t="s">
        <v>136</v>
      </c>
      <c r="C75" s="88" t="s">
        <v>137</v>
      </c>
      <c r="D75" s="32" t="str">
        <f>D68</f>
        <v>LIST</v>
      </c>
      <c r="E75" s="89" t="s">
        <v>117</v>
      </c>
      <c r="F75" s="192" t="str">
        <f>LIDER!$E$39</f>
        <v>GRUPO#11: Identificación de una oportunidad de negocio para una barra energética funcional de café colombiano en los mercados de Estados Unidos, Alemania y Canadá</v>
      </c>
      <c r="G75" s="192"/>
      <c r="H75" s="192"/>
      <c r="I75" s="192"/>
      <c r="J75" s="192"/>
      <c r="K75" s="192"/>
      <c r="L75" s="192"/>
    </row>
    <row r="76" spans="1:12" s="2" customFormat="1" ht="12.75">
      <c r="A76" s="9">
        <v>1</v>
      </c>
      <c r="B76" s="10" t="str">
        <f>LIDER!G59</f>
        <v>ANDREA KAROLAY CARRILLO GOMEZ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3.7199999999999998</v>
      </c>
      <c r="F76" s="193">
        <v>3.5</v>
      </c>
      <c r="G76" s="190">
        <v>3.5</v>
      </c>
      <c r="H76" s="188">
        <v>3.8</v>
      </c>
      <c r="I76" s="190">
        <v>4</v>
      </c>
      <c r="J76" s="188">
        <v>3.8</v>
      </c>
      <c r="K76" s="190"/>
      <c r="L76" s="188"/>
    </row>
    <row r="77" spans="1:12" s="2" customFormat="1" ht="15" customHeight="1">
      <c r="A77" s="12">
        <v>2</v>
      </c>
      <c r="B77" s="10" t="str">
        <f>LIDER!G60</f>
        <v>MARIANA JIMENEZ DEVOZ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3.7199999999999998</v>
      </c>
      <c r="F77" s="193"/>
      <c r="G77" s="190"/>
      <c r="H77" s="188"/>
      <c r="I77" s="190"/>
      <c r="J77" s="188"/>
      <c r="K77" s="190"/>
      <c r="L77" s="188"/>
    </row>
    <row r="78" spans="1:12" s="2" customFormat="1" ht="15" customHeight="1">
      <c r="A78" s="12">
        <v>3</v>
      </c>
      <c r="B78" s="10" t="str">
        <f>LIDER!G61</f>
        <v>WYLYS JUNIOR ORTIZ ZUÑIGA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3.7199999999999998</v>
      </c>
      <c r="F78" s="193"/>
      <c r="G78" s="190"/>
      <c r="H78" s="188"/>
      <c r="I78" s="190"/>
      <c r="J78" s="188"/>
      <c r="K78" s="190"/>
      <c r="L78" s="188"/>
    </row>
    <row r="79" spans="1:12" s="2" customFormat="1" ht="15" customHeight="1">
      <c r="A79" s="12">
        <v>4</v>
      </c>
      <c r="B79" s="10" t="str">
        <f>LIDER!G62</f>
        <v>MELANI DESTERLYN RAMIREZ CUADRO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3.7199999999999998</v>
      </c>
      <c r="F79" s="193"/>
      <c r="G79" s="190"/>
      <c r="H79" s="188"/>
      <c r="I79" s="190"/>
      <c r="J79" s="188"/>
      <c r="K79" s="190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3"/>
      <c r="G80" s="190"/>
      <c r="H80" s="188"/>
      <c r="I80" s="190"/>
      <c r="J80" s="188"/>
      <c r="K80" s="190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3"/>
      <c r="G81" s="190"/>
      <c r="H81" s="188"/>
      <c r="I81" s="190"/>
      <c r="J81" s="188"/>
      <c r="K81" s="190"/>
      <c r="L81" s="188"/>
    </row>
    <row r="82" spans="1:12" s="2" customFormat="1" ht="15.75" customHeight="1">
      <c r="A82" s="14"/>
      <c r="B82" s="25" t="s">
        <v>92</v>
      </c>
      <c r="C82" s="88" t="s">
        <v>138</v>
      </c>
      <c r="D82" s="32" t="str">
        <f>D75</f>
        <v>LIST</v>
      </c>
      <c r="E82" s="89" t="s">
        <v>117</v>
      </c>
      <c r="F82" s="192" t="str">
        <f>LIDER!$E$40</f>
        <v>GRUPO#12</v>
      </c>
      <c r="G82" s="192"/>
      <c r="H82" s="192"/>
      <c r="I82" s="192"/>
      <c r="J82" s="192"/>
      <c r="K82" s="192"/>
      <c r="L82" s="19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3"/>
      <c r="G83" s="190"/>
      <c r="H83" s="188"/>
      <c r="I83" s="190"/>
      <c r="J83" s="188"/>
      <c r="K83" s="190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3"/>
      <c r="G84" s="190"/>
      <c r="H84" s="188"/>
      <c r="I84" s="190"/>
      <c r="J84" s="188"/>
      <c r="K84" s="190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3"/>
      <c r="G85" s="190"/>
      <c r="H85" s="188"/>
      <c r="I85" s="190"/>
      <c r="J85" s="188"/>
      <c r="K85" s="190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3"/>
      <c r="G86" s="190"/>
      <c r="H86" s="188"/>
      <c r="I86" s="190"/>
      <c r="J86" s="188"/>
      <c r="K86" s="190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3"/>
      <c r="G87" s="190"/>
      <c r="H87" s="188"/>
      <c r="I87" s="190"/>
      <c r="J87" s="188"/>
      <c r="K87" s="190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4"/>
      <c r="G88" s="191"/>
      <c r="H88" s="189"/>
      <c r="I88" s="191"/>
      <c r="J88" s="189"/>
      <c r="K88" s="191"/>
      <c r="L88" s="18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38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6"/>
      <c r="H1" s="19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FUNDAMENTOS DE MERCADEO</v>
      </c>
      <c r="C2" s="82"/>
      <c r="D2" s="3"/>
      <c r="F2" s="198" t="s">
        <v>112</v>
      </c>
      <c r="G2" s="199"/>
      <c r="H2" s="199"/>
      <c r="I2" s="199"/>
      <c r="J2" s="199"/>
      <c r="K2" s="199"/>
      <c r="L2" s="200"/>
    </row>
    <row r="3" spans="1:12" s="2" customFormat="1" ht="145.5" customHeight="1">
      <c r="B3" s="83" t="s">
        <v>113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1" t="str">
        <f>CONCATENATE(LIDER!G4," - ",LIDER!G6," - ",LIDER!G5)</f>
        <v>FUNDAMENTOS DE MERCADEO - 1347 - GABRIEL EDUARDO CARDONA TUÑON</v>
      </c>
      <c r="G4" s="201"/>
      <c r="H4" s="201"/>
      <c r="I4" s="201"/>
      <c r="J4" s="201"/>
      <c r="K4" s="201"/>
      <c r="L4" s="201"/>
    </row>
    <row r="5" spans="1:12" s="2" customFormat="1" ht="15.75" customHeight="1" thickBot="1">
      <c r="A5" s="8"/>
      <c r="B5" s="25" t="s">
        <v>114</v>
      </c>
      <c r="C5" s="88" t="s">
        <v>115</v>
      </c>
      <c r="D5" s="32" t="s">
        <v>116</v>
      </c>
      <c r="E5" s="89" t="s">
        <v>117</v>
      </c>
      <c r="F5" s="192" t="str">
        <f>LIDER!$E$29</f>
        <v>GRUPO#1: Identificación de una Oportunidad de Negocio Internacional para el Sistema de Riego Solar mediante el Estudio de Tres Mercados Potenciales: Chile, España y Estados Unidos</v>
      </c>
      <c r="G5" s="192"/>
      <c r="H5" s="192"/>
      <c r="I5" s="192"/>
      <c r="J5" s="192"/>
      <c r="K5" s="192"/>
      <c r="L5" s="192"/>
    </row>
    <row r="6" spans="1:12" s="2" customFormat="1" ht="12.75">
      <c r="A6" s="9">
        <v>1</v>
      </c>
      <c r="B6" s="10" t="str">
        <f>LIDER!E43</f>
        <v>MESHEL ARAGON AGUIRRE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3.7000000000000006</v>
      </c>
      <c r="F6" s="193">
        <v>3.7</v>
      </c>
      <c r="G6" s="190">
        <v>3.7</v>
      </c>
      <c r="H6" s="188">
        <v>3.7</v>
      </c>
      <c r="I6" s="190">
        <v>3.7</v>
      </c>
      <c r="J6" s="188">
        <v>3.7</v>
      </c>
      <c r="K6" s="190"/>
      <c r="L6" s="188"/>
    </row>
    <row r="7" spans="1:12" s="2" customFormat="1" ht="15" customHeight="1">
      <c r="A7" s="12">
        <v>2</v>
      </c>
      <c r="B7" s="10" t="str">
        <f>LIDER!E44</f>
        <v>VALENTINA CASTRO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3.7000000000000006</v>
      </c>
      <c r="F7" s="193"/>
      <c r="G7" s="190"/>
      <c r="H7" s="188"/>
      <c r="I7" s="190"/>
      <c r="J7" s="188"/>
      <c r="K7" s="190"/>
      <c r="L7" s="188"/>
    </row>
    <row r="8" spans="1:12" s="2" customFormat="1" ht="15" customHeight="1">
      <c r="A8" s="12">
        <v>3</v>
      </c>
      <c r="B8" s="10" t="str">
        <f>LIDER!E45</f>
        <v>JUAN DIEGO DEL RIO VEGA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3.7000000000000006</v>
      </c>
      <c r="F8" s="193"/>
      <c r="G8" s="190"/>
      <c r="H8" s="188"/>
      <c r="I8" s="190"/>
      <c r="J8" s="188"/>
      <c r="K8" s="190"/>
      <c r="L8" s="188"/>
    </row>
    <row r="9" spans="1:12" s="2" customFormat="1" ht="15" customHeight="1">
      <c r="A9" s="12">
        <v>4</v>
      </c>
      <c r="B9" s="10" t="str">
        <f>LIDER!E46</f>
        <v>MELANIE ISABEL MONSALVE GRANADOS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3.7000000000000006</v>
      </c>
      <c r="F9" s="193"/>
      <c r="G9" s="190"/>
      <c r="H9" s="188"/>
      <c r="I9" s="190"/>
      <c r="J9" s="188"/>
      <c r="K9" s="190"/>
      <c r="L9" s="188"/>
    </row>
    <row r="10" spans="1:12" s="2" customFormat="1" ht="15" customHeight="1">
      <c r="A10" s="12">
        <v>5</v>
      </c>
      <c r="B10" s="10" t="str">
        <f>LIDER!E47</f>
        <v>HANA SOFIA SANTANA GARCIA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3.7000000000000006</v>
      </c>
      <c r="F10" s="193"/>
      <c r="G10" s="190"/>
      <c r="H10" s="188"/>
      <c r="I10" s="190"/>
      <c r="J10" s="188"/>
      <c r="K10" s="190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3"/>
      <c r="G11" s="190"/>
      <c r="H11" s="188"/>
      <c r="I11" s="190"/>
      <c r="J11" s="188"/>
      <c r="K11" s="190"/>
      <c r="L11" s="188"/>
    </row>
    <row r="12" spans="1:12" s="2" customFormat="1" ht="15.75" customHeight="1" thickBot="1">
      <c r="A12" s="8"/>
      <c r="B12" s="25" t="s">
        <v>118</v>
      </c>
      <c r="C12" s="88" t="s">
        <v>119</v>
      </c>
      <c r="D12" s="32" t="str">
        <f>D5</f>
        <v>LIST</v>
      </c>
      <c r="E12" s="89" t="s">
        <v>117</v>
      </c>
      <c r="F12" s="192" t="str">
        <f>LIDER!$E$30</f>
        <v>GRUPO#2: ANÁLISIS DE UNA OPORTUNIDAD DE NEGOCIO PARA LA COMERCIALIZACIÓN DE PRODUCTOS CAPILARES DE LA EMPRESA ROMELIA S.A.S. EN LOS MERCADOS POTENCIALES DE MEXICO, ESTADOS UNIDOS Y ESPAÑA</v>
      </c>
      <c r="G12" s="192"/>
      <c r="H12" s="192"/>
      <c r="I12" s="192"/>
      <c r="J12" s="192"/>
      <c r="K12" s="192"/>
      <c r="L12" s="192"/>
    </row>
    <row r="13" spans="1:12" s="2" customFormat="1" ht="12.75">
      <c r="A13" s="9">
        <v>1</v>
      </c>
      <c r="B13" s="10" t="str">
        <f>LIDER!F43</f>
        <v>EYLANS ANDRES AHUMADA SALAZAR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3.5000000000000004</v>
      </c>
      <c r="F13" s="193">
        <v>3.5</v>
      </c>
      <c r="G13" s="190">
        <v>3.5</v>
      </c>
      <c r="H13" s="188">
        <v>3.5</v>
      </c>
      <c r="I13" s="190">
        <v>3.5</v>
      </c>
      <c r="J13" s="188">
        <v>3.5</v>
      </c>
      <c r="K13" s="190"/>
      <c r="L13" s="188"/>
    </row>
    <row r="14" spans="1:12" s="2" customFormat="1" ht="15" customHeight="1">
      <c r="A14" s="12">
        <v>2</v>
      </c>
      <c r="B14" s="10" t="str">
        <f>LIDER!F44</f>
        <v>KENDRY YIRETH LABIOSA VERGARA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3.5000000000000004</v>
      </c>
      <c r="F14" s="193"/>
      <c r="G14" s="190"/>
      <c r="H14" s="188"/>
      <c r="I14" s="190"/>
      <c r="J14" s="188"/>
      <c r="K14" s="190"/>
      <c r="L14" s="188"/>
    </row>
    <row r="15" spans="1:12" s="2" customFormat="1" ht="15" customHeight="1">
      <c r="A15" s="12">
        <v>3</v>
      </c>
      <c r="B15" s="10" t="str">
        <f>LIDER!F45</f>
        <v>VALERY PAOLA OSORIO VIDAL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3.5000000000000004</v>
      </c>
      <c r="F15" s="193"/>
      <c r="G15" s="190"/>
      <c r="H15" s="188"/>
      <c r="I15" s="190"/>
      <c r="J15" s="188"/>
      <c r="K15" s="190"/>
      <c r="L15" s="188"/>
    </row>
    <row r="16" spans="1:12" s="2" customFormat="1" ht="15" customHeight="1">
      <c r="A16" s="12">
        <v>4</v>
      </c>
      <c r="B16" s="10" t="str">
        <f>LIDER!F46</f>
        <v>YERLIS PAOLA RUIZ GARCIA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3.5000000000000004</v>
      </c>
      <c r="F16" s="193"/>
      <c r="G16" s="190"/>
      <c r="H16" s="188"/>
      <c r="I16" s="190"/>
      <c r="J16" s="188"/>
      <c r="K16" s="190"/>
      <c r="L16" s="188"/>
    </row>
    <row r="17" spans="1:12" s="2" customFormat="1" ht="15" customHeight="1">
      <c r="A17" s="12">
        <v>5</v>
      </c>
      <c r="B17" s="10" t="str">
        <f>LIDER!F47</f>
        <v>DANIEL ISAAC SIMANCA SANCHEZ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3.5000000000000004</v>
      </c>
      <c r="F17" s="193"/>
      <c r="G17" s="190"/>
      <c r="H17" s="188"/>
      <c r="I17" s="190"/>
      <c r="J17" s="188"/>
      <c r="K17" s="190"/>
      <c r="L17" s="18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3"/>
      <c r="G18" s="190"/>
      <c r="H18" s="188"/>
      <c r="I18" s="190"/>
      <c r="J18" s="188"/>
      <c r="K18" s="190"/>
      <c r="L18" s="188"/>
    </row>
    <row r="19" spans="1:12" s="2" customFormat="1" ht="15.75" customHeight="1">
      <c r="A19" s="14"/>
      <c r="B19" s="25" t="s">
        <v>120</v>
      </c>
      <c r="C19" s="88" t="s">
        <v>121</v>
      </c>
      <c r="D19" s="32" t="str">
        <f>D12</f>
        <v>LIST</v>
      </c>
      <c r="E19" s="89" t="s">
        <v>117</v>
      </c>
      <c r="F19" s="192" t="str">
        <f>LIDER!$E$31</f>
        <v xml:space="preserve">GRUPO#3: Identificación de una oportunidad de negocio para EcoCao S.A.S. mediante el estudio de Estados Unidos, Ecuador y Chile como mercados potenciales. </v>
      </c>
      <c r="G19" s="192"/>
      <c r="H19" s="192"/>
      <c r="I19" s="192"/>
      <c r="J19" s="192"/>
      <c r="K19" s="192"/>
      <c r="L19" s="192"/>
    </row>
    <row r="20" spans="1:12" s="2" customFormat="1" ht="12.75">
      <c r="A20" s="9">
        <v>1</v>
      </c>
      <c r="B20" s="10" t="str">
        <f>LIDER!G43</f>
        <v>DAVID ANDRES CASTILLA CARDENAS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3.3400000000000003</v>
      </c>
      <c r="F20" s="193">
        <v>3.5</v>
      </c>
      <c r="G20" s="190">
        <v>3.3</v>
      </c>
      <c r="H20" s="188">
        <v>3.3</v>
      </c>
      <c r="I20" s="190">
        <v>3.3</v>
      </c>
      <c r="J20" s="188">
        <v>3.3</v>
      </c>
      <c r="K20" s="190"/>
      <c r="L20" s="188"/>
    </row>
    <row r="21" spans="1:12" s="2" customFormat="1" ht="15" customHeight="1">
      <c r="A21" s="12">
        <v>2</v>
      </c>
      <c r="B21" s="10" t="str">
        <f>LIDER!G44</f>
        <v>MARIA FERNANDA DE HORTA GOMEZ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3.3400000000000003</v>
      </c>
      <c r="F21" s="193"/>
      <c r="G21" s="190"/>
      <c r="H21" s="188"/>
      <c r="I21" s="190"/>
      <c r="J21" s="188"/>
      <c r="K21" s="190"/>
      <c r="L21" s="188"/>
    </row>
    <row r="22" spans="1:12" s="2" customFormat="1" ht="15" customHeight="1">
      <c r="A22" s="12">
        <v>3</v>
      </c>
      <c r="B22" s="10" t="str">
        <f>LIDER!G45</f>
        <v>MARÍA ALEJANDRA LEMOS OCHOA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3.3400000000000003</v>
      </c>
      <c r="F22" s="193"/>
      <c r="G22" s="190"/>
      <c r="H22" s="188"/>
      <c r="I22" s="190"/>
      <c r="J22" s="188"/>
      <c r="K22" s="190"/>
      <c r="L22" s="188"/>
    </row>
    <row r="23" spans="1:12" s="2" customFormat="1" ht="15" customHeight="1">
      <c r="A23" s="12">
        <v>4</v>
      </c>
      <c r="B23" s="10" t="str">
        <f>LIDER!G46</f>
        <v>SHARON JULIANA MONTES FERNANDEZ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3.3400000000000003</v>
      </c>
      <c r="F23" s="193"/>
      <c r="G23" s="190"/>
      <c r="H23" s="188"/>
      <c r="I23" s="190"/>
      <c r="J23" s="188"/>
      <c r="K23" s="190"/>
      <c r="L23" s="188"/>
    </row>
    <row r="24" spans="1:12" s="2" customFormat="1" ht="15" customHeight="1">
      <c r="A24" s="12">
        <v>5</v>
      </c>
      <c r="B24" s="10" t="str">
        <f>LIDER!G47</f>
        <v>DAVID ALEJANDRO RHENALS LOPEZ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3.3400000000000003</v>
      </c>
      <c r="F24" s="193"/>
      <c r="G24" s="190"/>
      <c r="H24" s="188"/>
      <c r="I24" s="190"/>
      <c r="J24" s="188"/>
      <c r="K24" s="190"/>
      <c r="L24" s="18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3"/>
      <c r="G25" s="190"/>
      <c r="H25" s="188"/>
      <c r="I25" s="190"/>
      <c r="J25" s="188"/>
      <c r="K25" s="190"/>
      <c r="L25" s="188"/>
    </row>
    <row r="26" spans="1:12" s="2" customFormat="1" ht="15.75" customHeight="1">
      <c r="A26" s="14"/>
      <c r="B26" s="25" t="s">
        <v>122</v>
      </c>
      <c r="C26" s="88" t="s">
        <v>123</v>
      </c>
      <c r="D26" s="32" t="str">
        <f>D19</f>
        <v>LIST</v>
      </c>
      <c r="E26" s="89" t="s">
        <v>117</v>
      </c>
      <c r="F26" s="192" t="str">
        <f>LIDER!$E$32</f>
        <v>GRUPO#4: Identificación de una Oportunidad de Negocio Internacional para la Harina de Plátano de ASOREPP mediante el Estudio de Tres Mercados Potenciales: España, Estados Unidos y Alemania</v>
      </c>
      <c r="G26" s="192"/>
      <c r="H26" s="192"/>
      <c r="I26" s="192"/>
      <c r="J26" s="192"/>
      <c r="K26" s="192"/>
      <c r="L26" s="192"/>
    </row>
    <row r="27" spans="1:12" s="2" customFormat="1" ht="12.75">
      <c r="A27" s="9">
        <v>1</v>
      </c>
      <c r="B27" s="10" t="str">
        <f>LIDER!H43</f>
        <v>JHORDAN JOSE BARROS PEÑA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3.6000000000000005</v>
      </c>
      <c r="F27" s="193">
        <v>3.6</v>
      </c>
      <c r="G27" s="190">
        <v>3.6</v>
      </c>
      <c r="H27" s="188">
        <v>3.6</v>
      </c>
      <c r="I27" s="190">
        <v>3.6</v>
      </c>
      <c r="J27" s="188">
        <v>3.6</v>
      </c>
      <c r="K27" s="190"/>
      <c r="L27" s="188"/>
    </row>
    <row r="28" spans="1:12" s="2" customFormat="1" ht="15" customHeight="1">
      <c r="A28" s="12">
        <v>2</v>
      </c>
      <c r="B28" s="10" t="str">
        <f>LIDER!H44</f>
        <v>RUTH SARAY PATERNINA PÉREZ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3.6000000000000005</v>
      </c>
      <c r="F28" s="193"/>
      <c r="G28" s="190"/>
      <c r="H28" s="188"/>
      <c r="I28" s="190"/>
      <c r="J28" s="188"/>
      <c r="K28" s="190"/>
      <c r="L28" s="188"/>
    </row>
    <row r="29" spans="1:12" s="2" customFormat="1" ht="15" customHeight="1">
      <c r="A29" s="12">
        <v>3</v>
      </c>
      <c r="B29" s="10" t="str">
        <f>LIDER!H45</f>
        <v>HECTOR FABIO PEREIRA PACHECO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3.6000000000000005</v>
      </c>
      <c r="F29" s="193"/>
      <c r="G29" s="190"/>
      <c r="H29" s="188"/>
      <c r="I29" s="190"/>
      <c r="J29" s="188"/>
      <c r="K29" s="190"/>
      <c r="L29" s="188"/>
    </row>
    <row r="30" spans="1:12" s="2" customFormat="1" ht="15" customHeight="1">
      <c r="A30" s="12">
        <v>4</v>
      </c>
      <c r="B30" s="10" t="str">
        <f>LIDER!H46</f>
        <v>JUAN RICARDO SERRANO PALLARES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3.6000000000000005</v>
      </c>
      <c r="F30" s="193"/>
      <c r="G30" s="190"/>
      <c r="H30" s="188"/>
      <c r="I30" s="190"/>
      <c r="J30" s="188"/>
      <c r="K30" s="190"/>
      <c r="L30" s="188"/>
    </row>
    <row r="31" spans="1:12" s="2" customFormat="1" ht="15" customHeight="1">
      <c r="A31" s="12">
        <v>5</v>
      </c>
      <c r="B31" s="10" t="str">
        <f>LIDER!H47</f>
        <v>KEILYS JHOANA DE ÁVILA FONTALVO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3.6000000000000005</v>
      </c>
      <c r="F31" s="193"/>
      <c r="G31" s="190"/>
      <c r="H31" s="188"/>
      <c r="I31" s="190"/>
      <c r="J31" s="188"/>
      <c r="K31" s="190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3"/>
      <c r="G32" s="190"/>
      <c r="H32" s="188"/>
      <c r="I32" s="190"/>
      <c r="J32" s="188"/>
      <c r="K32" s="190"/>
      <c r="L32" s="188"/>
    </row>
    <row r="33" spans="1:12" s="2" customFormat="1" ht="15.75" customHeight="1">
      <c r="A33" s="14"/>
      <c r="B33" s="25" t="s">
        <v>124</v>
      </c>
      <c r="C33" s="88" t="s">
        <v>125</v>
      </c>
      <c r="D33" s="32" t="str">
        <f>D26</f>
        <v>LIST</v>
      </c>
      <c r="E33" s="89" t="s">
        <v>117</v>
      </c>
      <c r="F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G33" s="192"/>
      <c r="H33" s="192"/>
      <c r="I33" s="192"/>
      <c r="J33" s="192"/>
      <c r="K33" s="192"/>
      <c r="L33" s="192"/>
    </row>
    <row r="34" spans="1:12" s="2" customFormat="1" ht="12.75">
      <c r="A34" s="9">
        <v>1</v>
      </c>
      <c r="B34" s="10" t="str">
        <f>LIDER!E51</f>
        <v>VALERIE SOFIA CERA TORRIENTE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3.6000000000000005</v>
      </c>
      <c r="F34" s="193">
        <v>3.6</v>
      </c>
      <c r="G34" s="190">
        <v>3.6</v>
      </c>
      <c r="H34" s="188">
        <v>3.6</v>
      </c>
      <c r="I34" s="190">
        <v>3.6</v>
      </c>
      <c r="J34" s="188">
        <v>3.6</v>
      </c>
      <c r="K34" s="190"/>
      <c r="L34" s="188"/>
    </row>
    <row r="35" spans="1:12" s="2" customFormat="1" ht="15" customHeight="1">
      <c r="A35" s="12">
        <v>2</v>
      </c>
      <c r="B35" s="10" t="str">
        <f>LIDER!E52</f>
        <v>CRISTINA LUCIA ESTRADA SANTOYA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3.6000000000000005</v>
      </c>
      <c r="F35" s="193"/>
      <c r="G35" s="190"/>
      <c r="H35" s="188"/>
      <c r="I35" s="190"/>
      <c r="J35" s="188"/>
      <c r="K35" s="190"/>
      <c r="L35" s="188"/>
    </row>
    <row r="36" spans="1:12" s="2" customFormat="1" ht="15" customHeight="1">
      <c r="A36" s="12">
        <v>3</v>
      </c>
      <c r="B36" s="10" t="str">
        <f>LIDER!E53</f>
        <v>JIRETH PAOLA GARCIA COLON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3.6000000000000005</v>
      </c>
      <c r="F36" s="193"/>
      <c r="G36" s="190"/>
      <c r="H36" s="188"/>
      <c r="I36" s="190"/>
      <c r="J36" s="188"/>
      <c r="K36" s="190"/>
      <c r="L36" s="188"/>
    </row>
    <row r="37" spans="1:12" s="2" customFormat="1" ht="15" customHeight="1">
      <c r="A37" s="12">
        <v>4</v>
      </c>
      <c r="B37" s="10" t="str">
        <f>LIDER!E54</f>
        <v>LAURENT SOFIA IBARGUEN GULFO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3.6000000000000005</v>
      </c>
      <c r="F37" s="193"/>
      <c r="G37" s="190"/>
      <c r="H37" s="188"/>
      <c r="I37" s="190"/>
      <c r="J37" s="188"/>
      <c r="K37" s="190"/>
      <c r="L37" s="188"/>
    </row>
    <row r="38" spans="1:12" s="2" customFormat="1" ht="15" customHeight="1">
      <c r="A38" s="12">
        <v>5</v>
      </c>
      <c r="B38" s="10" t="str">
        <f>LIDER!E55</f>
        <v>EVELYN SANCHEZ GONZALEZ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3.6000000000000005</v>
      </c>
      <c r="F38" s="193"/>
      <c r="G38" s="190"/>
      <c r="H38" s="188"/>
      <c r="I38" s="190"/>
      <c r="J38" s="188"/>
      <c r="K38" s="190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3"/>
      <c r="G39" s="190"/>
      <c r="H39" s="188"/>
      <c r="I39" s="190"/>
      <c r="J39" s="188"/>
      <c r="K39" s="190"/>
      <c r="L39" s="188"/>
    </row>
    <row r="40" spans="1:12" s="2" customFormat="1" ht="15.75" customHeight="1">
      <c r="A40" s="14"/>
      <c r="B40" s="25" t="s">
        <v>126</v>
      </c>
      <c r="C40" s="88" t="s">
        <v>127</v>
      </c>
      <c r="D40" s="32" t="str">
        <f>D33</f>
        <v>LIST</v>
      </c>
      <c r="E40" s="89" t="s">
        <v>117</v>
      </c>
      <c r="F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G40" s="192"/>
      <c r="H40" s="192"/>
      <c r="I40" s="192"/>
      <c r="J40" s="192"/>
      <c r="K40" s="192"/>
      <c r="L40" s="192"/>
    </row>
    <row r="41" spans="1:12" s="2" customFormat="1" ht="12.75">
      <c r="A41" s="9">
        <v>1</v>
      </c>
      <c r="B41" s="10" t="str">
        <f>LIDER!F51</f>
        <v>SANTIAGO JOSE BUELVAS CARRILLO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3.3400000000000003</v>
      </c>
      <c r="F41" s="193">
        <v>3.5</v>
      </c>
      <c r="G41" s="190">
        <v>3.3</v>
      </c>
      <c r="H41" s="188">
        <v>3.3</v>
      </c>
      <c r="I41" s="190">
        <v>3.3</v>
      </c>
      <c r="J41" s="188">
        <v>3.3</v>
      </c>
      <c r="K41" s="190"/>
      <c r="L41" s="188"/>
    </row>
    <row r="42" spans="1:12" s="2" customFormat="1" ht="15" customHeight="1">
      <c r="A42" s="12">
        <v>2</v>
      </c>
      <c r="B42" s="10" t="str">
        <f>LIDER!F52</f>
        <v>VALERIA SOFIA VENENCIA SANES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3.3400000000000003</v>
      </c>
      <c r="F42" s="193"/>
      <c r="G42" s="190"/>
      <c r="H42" s="188"/>
      <c r="I42" s="190"/>
      <c r="J42" s="188"/>
      <c r="K42" s="190"/>
      <c r="L42" s="188"/>
    </row>
    <row r="43" spans="1:12" s="2" customFormat="1" ht="15" customHeight="1">
      <c r="A43" s="12">
        <v>3</v>
      </c>
      <c r="B43" s="10" t="str">
        <f>LIDER!F53</f>
        <v>ESTEBAN DAVID DORIA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3.3400000000000003</v>
      </c>
      <c r="F43" s="193"/>
      <c r="G43" s="190"/>
      <c r="H43" s="188"/>
      <c r="I43" s="190"/>
      <c r="J43" s="188"/>
      <c r="K43" s="190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3"/>
      <c r="G44" s="190"/>
      <c r="H44" s="188"/>
      <c r="I44" s="190"/>
      <c r="J44" s="188"/>
      <c r="K44" s="190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3"/>
      <c r="G45" s="190"/>
      <c r="H45" s="188"/>
      <c r="I45" s="190"/>
      <c r="J45" s="188"/>
      <c r="K45" s="190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3"/>
      <c r="G46" s="190"/>
      <c r="H46" s="188"/>
      <c r="I46" s="190"/>
      <c r="J46" s="188"/>
      <c r="K46" s="190"/>
      <c r="L46" s="188"/>
    </row>
    <row r="47" spans="1:12" s="2" customFormat="1" ht="15.75" customHeight="1">
      <c r="A47" s="14"/>
      <c r="B47" s="25" t="s">
        <v>128</v>
      </c>
      <c r="C47" s="88" t="s">
        <v>129</v>
      </c>
      <c r="D47" s="32" t="str">
        <f>D40</f>
        <v>LIST</v>
      </c>
      <c r="E47" s="89" t="s">
        <v>117</v>
      </c>
      <c r="F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G47" s="192"/>
      <c r="H47" s="192"/>
      <c r="I47" s="192"/>
      <c r="J47" s="192"/>
      <c r="K47" s="192"/>
      <c r="L47" s="192"/>
    </row>
    <row r="48" spans="1:12" s="2" customFormat="1" ht="12.75">
      <c r="A48" s="9">
        <v>1</v>
      </c>
      <c r="B48" s="10" t="str">
        <f>LIDER!G51</f>
        <v>VALENTINA LUZ AVILEZ BERMUDEZ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3.6000000000000005</v>
      </c>
      <c r="F48" s="193">
        <v>3.6</v>
      </c>
      <c r="G48" s="190">
        <v>3.6</v>
      </c>
      <c r="H48" s="188">
        <v>3.6</v>
      </c>
      <c r="I48" s="190">
        <v>3.6</v>
      </c>
      <c r="J48" s="188">
        <v>3.6</v>
      </c>
      <c r="K48" s="190"/>
      <c r="L48" s="188"/>
    </row>
    <row r="49" spans="1:12" s="2" customFormat="1" ht="15" customHeight="1">
      <c r="A49" s="12">
        <v>2</v>
      </c>
      <c r="B49" s="10" t="str">
        <f>LIDER!G52</f>
        <v>YANINE MILLET BERMUDEZ JIMENEZ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3.6000000000000005</v>
      </c>
      <c r="F49" s="193"/>
      <c r="G49" s="190"/>
      <c r="H49" s="188"/>
      <c r="I49" s="190"/>
      <c r="J49" s="188"/>
      <c r="K49" s="190"/>
      <c r="L49" s="188"/>
    </row>
    <row r="50" spans="1:12" s="2" customFormat="1" ht="15" customHeight="1">
      <c r="A50" s="12">
        <v>3</v>
      </c>
      <c r="B50" s="10" t="str">
        <f>LIDER!G53</f>
        <v>YURLEINIS MAZA MORALES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3.6000000000000005</v>
      </c>
      <c r="F50" s="193"/>
      <c r="G50" s="190"/>
      <c r="H50" s="188"/>
      <c r="I50" s="190"/>
      <c r="J50" s="188"/>
      <c r="K50" s="190"/>
      <c r="L50" s="188"/>
    </row>
    <row r="51" spans="1:12" s="2" customFormat="1" ht="15" customHeight="1">
      <c r="A51" s="12">
        <v>4</v>
      </c>
      <c r="B51" s="10" t="str">
        <f>LIDER!G54</f>
        <v>DAYANA LUCIA PALLARES MENDOZA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3.6000000000000005</v>
      </c>
      <c r="F51" s="193"/>
      <c r="G51" s="190"/>
      <c r="H51" s="188"/>
      <c r="I51" s="190"/>
      <c r="J51" s="188"/>
      <c r="K51" s="190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3"/>
      <c r="G52" s="190"/>
      <c r="H52" s="188"/>
      <c r="I52" s="190"/>
      <c r="J52" s="188"/>
      <c r="K52" s="190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3"/>
      <c r="G53" s="190"/>
      <c r="H53" s="188"/>
      <c r="I53" s="190"/>
      <c r="J53" s="188"/>
      <c r="K53" s="190"/>
      <c r="L53" s="188"/>
    </row>
    <row r="54" spans="1:12" s="2" customFormat="1" ht="15.75" customHeight="1">
      <c r="A54" s="14"/>
      <c r="B54" s="25" t="s">
        <v>130</v>
      </c>
      <c r="C54" s="88" t="s">
        <v>131</v>
      </c>
      <c r="D54" s="32" t="str">
        <f>D47</f>
        <v>LIST</v>
      </c>
      <c r="E54" s="89" t="s">
        <v>117</v>
      </c>
      <c r="F54" s="192" t="str">
        <f>LIDER!$E$36</f>
        <v>GRUPO#8: Identificación de Oportunidad de Negocios para la exportación de Gel con Pigmento de la marca ADDA Gel-Styling en los mercados potenciales de Perú, Estados Unidos y Ecuador</v>
      </c>
      <c r="G54" s="192"/>
      <c r="H54" s="192"/>
      <c r="I54" s="192"/>
      <c r="J54" s="192"/>
      <c r="K54" s="192"/>
      <c r="L54" s="192"/>
    </row>
    <row r="55" spans="1:12" s="2" customFormat="1" ht="12.75">
      <c r="A55" s="9">
        <v>1</v>
      </c>
      <c r="B55" s="10" t="str">
        <f>LIDER!H51</f>
        <v>DALIA MARIA DEL CARMEN CONDE RAMIREZ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3.5000000000000004</v>
      </c>
      <c r="F55" s="193">
        <v>3.5</v>
      </c>
      <c r="G55" s="190">
        <v>3.5</v>
      </c>
      <c r="H55" s="188">
        <v>3.5</v>
      </c>
      <c r="I55" s="190">
        <v>3.5</v>
      </c>
      <c r="J55" s="188">
        <v>3.5</v>
      </c>
      <c r="K55" s="190"/>
      <c r="L55" s="188"/>
    </row>
    <row r="56" spans="1:12" s="2" customFormat="1" ht="15" customHeight="1">
      <c r="A56" s="12">
        <v>2</v>
      </c>
      <c r="B56" s="10" t="str">
        <f>LIDER!H52</f>
        <v>ANGEL MANUEL GONZALEZ ALVAREZ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3.5000000000000004</v>
      </c>
      <c r="F56" s="193"/>
      <c r="G56" s="190"/>
      <c r="H56" s="188"/>
      <c r="I56" s="190"/>
      <c r="J56" s="188"/>
      <c r="K56" s="190"/>
      <c r="L56" s="188"/>
    </row>
    <row r="57" spans="1:12" s="2" customFormat="1" ht="15" customHeight="1">
      <c r="A57" s="12">
        <v>3</v>
      </c>
      <c r="B57" s="10" t="str">
        <f>LIDER!H53</f>
        <v>DAINY CAROLINA OLEA TORRES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3.5000000000000004</v>
      </c>
      <c r="F57" s="193"/>
      <c r="G57" s="190"/>
      <c r="H57" s="188"/>
      <c r="I57" s="190"/>
      <c r="J57" s="188"/>
      <c r="K57" s="190"/>
      <c r="L57" s="188"/>
    </row>
    <row r="58" spans="1:12" s="2" customFormat="1" ht="15" customHeight="1">
      <c r="A58" s="12">
        <v>4</v>
      </c>
      <c r="B58" s="10" t="str">
        <f>LIDER!H54</f>
        <v>ANDRÉS ESTEBAN VÁSQUEZ GONZÁLEZ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3.5000000000000004</v>
      </c>
      <c r="F58" s="193"/>
      <c r="G58" s="190"/>
      <c r="H58" s="188"/>
      <c r="I58" s="190"/>
      <c r="J58" s="188"/>
      <c r="K58" s="190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3"/>
      <c r="G59" s="190"/>
      <c r="H59" s="188"/>
      <c r="I59" s="190"/>
      <c r="J59" s="188"/>
      <c r="K59" s="190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3"/>
      <c r="G60" s="190"/>
      <c r="H60" s="188"/>
      <c r="I60" s="190"/>
      <c r="J60" s="188"/>
      <c r="K60" s="190"/>
      <c r="L60" s="188"/>
    </row>
    <row r="61" spans="1:12" s="2" customFormat="1" ht="15.75" customHeight="1">
      <c r="A61" s="14"/>
      <c r="B61" s="25" t="s">
        <v>132</v>
      </c>
      <c r="C61" s="88" t="s">
        <v>133</v>
      </c>
      <c r="D61" s="32" t="str">
        <f>D54</f>
        <v>LIST</v>
      </c>
      <c r="E61" s="89" t="s">
        <v>117</v>
      </c>
      <c r="F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G61" s="192"/>
      <c r="H61" s="192"/>
      <c r="I61" s="192"/>
      <c r="J61" s="192"/>
      <c r="K61" s="192"/>
      <c r="L61" s="192"/>
    </row>
    <row r="62" spans="1:12" s="2" customFormat="1" ht="12.75">
      <c r="A62" s="9">
        <v>1</v>
      </c>
      <c r="B62" s="10" t="str">
        <f>LIDER!E59</f>
        <v>JOSE EDUARDO ARRIETA MEJIA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3.6000000000000005</v>
      </c>
      <c r="F62" s="193">
        <v>3.6</v>
      </c>
      <c r="G62" s="190">
        <v>3.6</v>
      </c>
      <c r="H62" s="188">
        <v>3.6</v>
      </c>
      <c r="I62" s="190">
        <v>3.6</v>
      </c>
      <c r="J62" s="188">
        <v>3.6</v>
      </c>
      <c r="K62" s="190"/>
      <c r="L62" s="188"/>
    </row>
    <row r="63" spans="1:12" s="2" customFormat="1" ht="15" customHeight="1">
      <c r="A63" s="12">
        <v>2</v>
      </c>
      <c r="B63" s="10" t="str">
        <f>LIDER!E60</f>
        <v>VALENTINA BERRIO LOPEZ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3.6000000000000005</v>
      </c>
      <c r="F63" s="193"/>
      <c r="G63" s="190"/>
      <c r="H63" s="188"/>
      <c r="I63" s="190"/>
      <c r="J63" s="188"/>
      <c r="K63" s="190"/>
      <c r="L63" s="188"/>
    </row>
    <row r="64" spans="1:12" s="2" customFormat="1" ht="15" customHeight="1">
      <c r="A64" s="12">
        <v>3</v>
      </c>
      <c r="B64" s="10" t="str">
        <f>LIDER!E61</f>
        <v>SANTIAGO BOHÓRQUEZ CANTERO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3.6000000000000005</v>
      </c>
      <c r="F64" s="193"/>
      <c r="G64" s="190"/>
      <c r="H64" s="188"/>
      <c r="I64" s="190"/>
      <c r="J64" s="188"/>
      <c r="K64" s="190"/>
      <c r="L64" s="188"/>
    </row>
    <row r="65" spans="1:12" s="2" customFormat="1" ht="15" customHeight="1">
      <c r="A65" s="12">
        <v>4</v>
      </c>
      <c r="B65" s="10" t="str">
        <f>LIDER!E62</f>
        <v>NICOLE ANTHONELLA CAMPOS ABREU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3.6000000000000005</v>
      </c>
      <c r="F65" s="193"/>
      <c r="G65" s="190"/>
      <c r="H65" s="188"/>
      <c r="I65" s="190"/>
      <c r="J65" s="188"/>
      <c r="K65" s="190"/>
      <c r="L65" s="188"/>
    </row>
    <row r="66" spans="1:12" s="2" customFormat="1" ht="15" customHeight="1">
      <c r="A66" s="12">
        <v>5</v>
      </c>
      <c r="B66" s="10" t="str">
        <f>LIDER!E63</f>
        <v>DELIA ROSA GARCIA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3.6000000000000005</v>
      </c>
      <c r="F66" s="193"/>
      <c r="G66" s="190"/>
      <c r="H66" s="188"/>
      <c r="I66" s="190"/>
      <c r="J66" s="188"/>
      <c r="K66" s="190"/>
      <c r="L66" s="188"/>
    </row>
    <row r="67" spans="1:12" s="2" customFormat="1" ht="15.75" customHeight="1">
      <c r="A67" s="13">
        <v>6</v>
      </c>
      <c r="B67" s="91" t="str">
        <f>LIDER!E64</f>
        <v>SAMUEL DAVID PÉREZ MUÑOZ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3.6000000000000005</v>
      </c>
      <c r="F67" s="193"/>
      <c r="G67" s="190"/>
      <c r="H67" s="188"/>
      <c r="I67" s="190"/>
      <c r="J67" s="188"/>
      <c r="K67" s="190"/>
      <c r="L67" s="188"/>
    </row>
    <row r="68" spans="1:12" s="2" customFormat="1" ht="15.75" customHeight="1">
      <c r="A68" s="14"/>
      <c r="B68" s="25" t="s">
        <v>134</v>
      </c>
      <c r="C68" s="88" t="s">
        <v>135</v>
      </c>
      <c r="D68" s="32" t="str">
        <f>D61</f>
        <v>LIST</v>
      </c>
      <c r="E68" s="89" t="s">
        <v>117</v>
      </c>
      <c r="F68" s="192" t="str">
        <f>LIDER!$E$38</f>
        <v>GRUPO#10: FRUTÉA: Aprovechamiento de frutas colombianas para la elaboración y comercialización de mermeladas</v>
      </c>
      <c r="G68" s="192"/>
      <c r="H68" s="192"/>
      <c r="I68" s="192"/>
      <c r="J68" s="192"/>
      <c r="K68" s="192"/>
      <c r="L68" s="192"/>
    </row>
    <row r="69" spans="1:12" s="2" customFormat="1" ht="12.75">
      <c r="A69" s="9">
        <v>1</v>
      </c>
      <c r="B69" s="10" t="str">
        <f>LIDER!F59</f>
        <v>YUREIDYS ALVAREZ CASTELLANO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3.64</v>
      </c>
      <c r="F69" s="193">
        <v>3.8</v>
      </c>
      <c r="G69" s="190">
        <v>3.6</v>
      </c>
      <c r="H69" s="188">
        <v>3.6</v>
      </c>
      <c r="I69" s="190">
        <v>3.6</v>
      </c>
      <c r="J69" s="188">
        <v>3.6</v>
      </c>
      <c r="K69" s="190"/>
      <c r="L69" s="188"/>
    </row>
    <row r="70" spans="1:12" s="2" customFormat="1" ht="15" customHeight="1">
      <c r="A70" s="12">
        <v>2</v>
      </c>
      <c r="B70" s="10" t="str">
        <f>LIDER!F60</f>
        <v>EFRAÍN JOSÉ CEBALLOS SALGADO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3.64</v>
      </c>
      <c r="F70" s="193"/>
      <c r="G70" s="190"/>
      <c r="H70" s="188"/>
      <c r="I70" s="190"/>
      <c r="J70" s="188"/>
      <c r="K70" s="190"/>
      <c r="L70" s="188"/>
    </row>
    <row r="71" spans="1:12" s="2" customFormat="1" ht="15" customHeight="1">
      <c r="A71" s="12">
        <v>3</v>
      </c>
      <c r="B71" s="10" t="str">
        <f>LIDER!F61</f>
        <v>ANDRES FELIPE TORRES ARROYO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3.64</v>
      </c>
      <c r="F71" s="193"/>
      <c r="G71" s="190"/>
      <c r="H71" s="188"/>
      <c r="I71" s="190"/>
      <c r="J71" s="188"/>
      <c r="K71" s="190"/>
      <c r="L71" s="188"/>
    </row>
    <row r="72" spans="1:12" s="2" customFormat="1" ht="15" customHeight="1">
      <c r="A72" s="12">
        <v>4</v>
      </c>
      <c r="B72" s="10" t="str">
        <f>LIDER!F62</f>
        <v>YUSETH DAVID VILLEGAS ARTEAGA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3.64</v>
      </c>
      <c r="F72" s="193"/>
      <c r="G72" s="190"/>
      <c r="H72" s="188"/>
      <c r="I72" s="190"/>
      <c r="J72" s="188"/>
      <c r="K72" s="190"/>
      <c r="L72" s="188"/>
    </row>
    <row r="73" spans="1:12" s="2" customFormat="1" ht="15" customHeight="1">
      <c r="A73" s="12">
        <v>5</v>
      </c>
      <c r="B73" s="10" t="str">
        <f>LIDER!F63</f>
        <v>ISAAC JOSE ZAPATA ZAPATA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3.64</v>
      </c>
      <c r="F73" s="193"/>
      <c r="G73" s="190"/>
      <c r="H73" s="188"/>
      <c r="I73" s="190"/>
      <c r="J73" s="188"/>
      <c r="K73" s="190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3"/>
      <c r="G74" s="190"/>
      <c r="H74" s="188"/>
      <c r="I74" s="190"/>
      <c r="J74" s="188"/>
      <c r="K74" s="190"/>
      <c r="L74" s="188"/>
    </row>
    <row r="75" spans="1:12" s="2" customFormat="1" ht="15.75" customHeight="1">
      <c r="A75" s="14"/>
      <c r="B75" s="25" t="s">
        <v>136</v>
      </c>
      <c r="C75" s="88" t="s">
        <v>137</v>
      </c>
      <c r="D75" s="32" t="str">
        <f>D68</f>
        <v>LIST</v>
      </c>
      <c r="E75" s="89" t="s">
        <v>117</v>
      </c>
      <c r="F75" s="192" t="str">
        <f>LIDER!$E$39</f>
        <v>GRUPO#11: Identificación de una oportunidad de negocio para una barra energética funcional de café colombiano en los mercados de Estados Unidos, Alemania y Canadá</v>
      </c>
      <c r="G75" s="192"/>
      <c r="H75" s="192"/>
      <c r="I75" s="192"/>
      <c r="J75" s="192"/>
      <c r="K75" s="192"/>
      <c r="L75" s="192"/>
    </row>
    <row r="76" spans="1:12" s="2" customFormat="1" ht="12.75">
      <c r="A76" s="9">
        <v>1</v>
      </c>
      <c r="B76" s="10" t="str">
        <f>LIDER!G59</f>
        <v>ANDREA KAROLAY CARRILLO GOMEZ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3.5000000000000004</v>
      </c>
      <c r="F76" s="193">
        <v>3.5</v>
      </c>
      <c r="G76" s="190">
        <v>3.5</v>
      </c>
      <c r="H76" s="188">
        <v>3.5</v>
      </c>
      <c r="I76" s="190">
        <v>3.5</v>
      </c>
      <c r="J76" s="188">
        <v>3.5</v>
      </c>
      <c r="K76" s="190"/>
      <c r="L76" s="188"/>
    </row>
    <row r="77" spans="1:12" s="2" customFormat="1" ht="15" customHeight="1">
      <c r="A77" s="12">
        <v>2</v>
      </c>
      <c r="B77" s="10" t="str">
        <f>LIDER!G60</f>
        <v>MARIANA JIMENEZ DEVOZ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3.5000000000000004</v>
      </c>
      <c r="F77" s="193"/>
      <c r="G77" s="190"/>
      <c r="H77" s="188"/>
      <c r="I77" s="190"/>
      <c r="J77" s="188"/>
      <c r="K77" s="190"/>
      <c r="L77" s="188"/>
    </row>
    <row r="78" spans="1:12" s="2" customFormat="1" ht="15" customHeight="1">
      <c r="A78" s="12">
        <v>3</v>
      </c>
      <c r="B78" s="10" t="str">
        <f>LIDER!G61</f>
        <v>WYLYS JUNIOR ORTIZ ZUÑIGA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3.5000000000000004</v>
      </c>
      <c r="F78" s="193"/>
      <c r="G78" s="190"/>
      <c r="H78" s="188"/>
      <c r="I78" s="190"/>
      <c r="J78" s="188"/>
      <c r="K78" s="190"/>
      <c r="L78" s="188"/>
    </row>
    <row r="79" spans="1:12" s="2" customFormat="1" ht="15" customHeight="1">
      <c r="A79" s="12">
        <v>4</v>
      </c>
      <c r="B79" s="10" t="str">
        <f>LIDER!G62</f>
        <v>MELANI DESTERLYN RAMIREZ CUADRO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3.5000000000000004</v>
      </c>
      <c r="F79" s="193"/>
      <c r="G79" s="190"/>
      <c r="H79" s="188"/>
      <c r="I79" s="190"/>
      <c r="J79" s="188"/>
      <c r="K79" s="190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3"/>
      <c r="G80" s="190"/>
      <c r="H80" s="188"/>
      <c r="I80" s="190"/>
      <c r="J80" s="188"/>
      <c r="K80" s="190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3"/>
      <c r="G81" s="190"/>
      <c r="H81" s="188"/>
      <c r="I81" s="190"/>
      <c r="J81" s="188"/>
      <c r="K81" s="190"/>
      <c r="L81" s="188"/>
    </row>
    <row r="82" spans="1:12" s="2" customFormat="1" ht="15.75" customHeight="1">
      <c r="A82" s="14"/>
      <c r="B82" s="25" t="s">
        <v>92</v>
      </c>
      <c r="C82" s="88" t="s">
        <v>138</v>
      </c>
      <c r="D82" s="32" t="str">
        <f>D75</f>
        <v>LIST</v>
      </c>
      <c r="E82" s="89" t="s">
        <v>117</v>
      </c>
      <c r="F82" s="192" t="str">
        <f>LIDER!$E$40</f>
        <v>GRUPO#12</v>
      </c>
      <c r="G82" s="192"/>
      <c r="H82" s="192"/>
      <c r="I82" s="192"/>
      <c r="J82" s="192"/>
      <c r="K82" s="192"/>
      <c r="L82" s="19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3"/>
      <c r="G83" s="190"/>
      <c r="H83" s="188"/>
      <c r="I83" s="190"/>
      <c r="J83" s="188"/>
      <c r="K83" s="190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3"/>
      <c r="G84" s="190"/>
      <c r="H84" s="188"/>
      <c r="I84" s="190"/>
      <c r="J84" s="188"/>
      <c r="K84" s="190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3"/>
      <c r="G85" s="190"/>
      <c r="H85" s="188"/>
      <c r="I85" s="190"/>
      <c r="J85" s="188"/>
      <c r="K85" s="190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3"/>
      <c r="G86" s="190"/>
      <c r="H86" s="188"/>
      <c r="I86" s="190"/>
      <c r="J86" s="188"/>
      <c r="K86" s="190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3"/>
      <c r="G87" s="190"/>
      <c r="H87" s="188"/>
      <c r="I87" s="190"/>
      <c r="J87" s="188"/>
      <c r="K87" s="190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4"/>
      <c r="G88" s="191"/>
      <c r="H88" s="189"/>
      <c r="I88" s="191"/>
      <c r="J88" s="189"/>
      <c r="K88" s="191"/>
      <c r="L88" s="18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0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6"/>
      <c r="H1" s="19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FUNDAMENTOS DE FINANZAS</v>
      </c>
      <c r="C2" s="82"/>
      <c r="D2" s="3"/>
      <c r="F2" s="198" t="s">
        <v>112</v>
      </c>
      <c r="G2" s="199"/>
      <c r="H2" s="199"/>
      <c r="I2" s="199"/>
      <c r="J2" s="199"/>
      <c r="K2" s="199"/>
      <c r="L2" s="200"/>
    </row>
    <row r="3" spans="1:12" s="2" customFormat="1" ht="145.5" customHeight="1">
      <c r="B3" s="83" t="s">
        <v>113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1" t="str">
        <f>CONCATENATE(LIDER!H4," - ",LIDER!H6," - ",LIDER!H5)</f>
        <v>FUNDAMENTOS DE FINANZAS - 1470 - LEONARDO CARLOS DE ORO BARRIOS</v>
      </c>
      <c r="G4" s="201"/>
      <c r="H4" s="201"/>
      <c r="I4" s="201"/>
      <c r="J4" s="201"/>
      <c r="K4" s="201"/>
      <c r="L4" s="201"/>
    </row>
    <row r="5" spans="1:12" s="2" customFormat="1" ht="15.75" customHeight="1" thickBot="1">
      <c r="A5" s="8"/>
      <c r="B5" s="25" t="s">
        <v>114</v>
      </c>
      <c r="C5" s="88" t="s">
        <v>115</v>
      </c>
      <c r="D5" s="32" t="s">
        <v>116</v>
      </c>
      <c r="E5" s="89" t="s">
        <v>117</v>
      </c>
      <c r="F5" s="192" t="str">
        <f>LIDER!$E$29</f>
        <v>GRUPO#1: Identificación de una Oportunidad de Negocio Internacional para el Sistema de Riego Solar mediante el Estudio de Tres Mercados Potenciales: Chile, España y Estados Unidos</v>
      </c>
      <c r="G5" s="192"/>
      <c r="H5" s="192"/>
      <c r="I5" s="192"/>
      <c r="J5" s="192"/>
      <c r="K5" s="192"/>
      <c r="L5" s="192"/>
    </row>
    <row r="6" spans="1:12" s="2" customFormat="1" ht="12.75">
      <c r="A6" s="9">
        <v>1</v>
      </c>
      <c r="B6" s="10" t="str">
        <f>LIDER!E43</f>
        <v>MESHEL ARAGON AGUIRRE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3.6100000000000003</v>
      </c>
      <c r="F6" s="193">
        <v>3.3</v>
      </c>
      <c r="G6" s="190">
        <v>3.5</v>
      </c>
      <c r="H6" s="188">
        <v>3.5</v>
      </c>
      <c r="I6" s="190">
        <v>3.5</v>
      </c>
      <c r="J6" s="188">
        <v>5</v>
      </c>
      <c r="K6" s="190"/>
      <c r="L6" s="188"/>
    </row>
    <row r="7" spans="1:12" s="2" customFormat="1" ht="15" customHeight="1">
      <c r="A7" s="12">
        <v>2</v>
      </c>
      <c r="B7" s="10" t="str">
        <f>LIDER!E44</f>
        <v>VALENTINA CASTRO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3.6100000000000003</v>
      </c>
      <c r="F7" s="193"/>
      <c r="G7" s="190"/>
      <c r="H7" s="188"/>
      <c r="I7" s="190"/>
      <c r="J7" s="188"/>
      <c r="K7" s="190"/>
      <c r="L7" s="188"/>
    </row>
    <row r="8" spans="1:12" s="2" customFormat="1" ht="15" customHeight="1">
      <c r="A8" s="12">
        <v>3</v>
      </c>
      <c r="B8" s="10" t="str">
        <f>LIDER!E45</f>
        <v>JUAN DIEGO DEL RIO VEGA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3.6100000000000003</v>
      </c>
      <c r="F8" s="193"/>
      <c r="G8" s="190"/>
      <c r="H8" s="188"/>
      <c r="I8" s="190"/>
      <c r="J8" s="188"/>
      <c r="K8" s="190"/>
      <c r="L8" s="188"/>
    </row>
    <row r="9" spans="1:12" s="2" customFormat="1" ht="15" customHeight="1">
      <c r="A9" s="12">
        <v>4</v>
      </c>
      <c r="B9" s="10" t="str">
        <f>LIDER!E46</f>
        <v>MELANIE ISABEL MONSALVE GRANADOS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3.6100000000000003</v>
      </c>
      <c r="F9" s="193"/>
      <c r="G9" s="190"/>
      <c r="H9" s="188"/>
      <c r="I9" s="190"/>
      <c r="J9" s="188"/>
      <c r="K9" s="190"/>
      <c r="L9" s="188"/>
    </row>
    <row r="10" spans="1:12" s="2" customFormat="1" ht="15" customHeight="1">
      <c r="A10" s="12">
        <v>5</v>
      </c>
      <c r="B10" s="10" t="str">
        <f>LIDER!E47</f>
        <v>HANA SOFIA SANTANA GARCIA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3.6100000000000003</v>
      </c>
      <c r="F10" s="193"/>
      <c r="G10" s="190"/>
      <c r="H10" s="188"/>
      <c r="I10" s="190"/>
      <c r="J10" s="188"/>
      <c r="K10" s="190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3"/>
      <c r="G11" s="190"/>
      <c r="H11" s="188"/>
      <c r="I11" s="190"/>
      <c r="J11" s="188"/>
      <c r="K11" s="190"/>
      <c r="L11" s="188"/>
    </row>
    <row r="12" spans="1:12" s="2" customFormat="1" ht="15.75" customHeight="1" thickBot="1">
      <c r="A12" s="8"/>
      <c r="B12" s="25" t="s">
        <v>118</v>
      </c>
      <c r="C12" s="88" t="s">
        <v>119</v>
      </c>
      <c r="D12" s="32" t="str">
        <f>D5</f>
        <v>LIST</v>
      </c>
      <c r="E12" s="89" t="s">
        <v>117</v>
      </c>
      <c r="F12" s="192" t="str">
        <f>LIDER!$E$30</f>
        <v>GRUPO#2: ANÁLISIS DE UNA OPORTUNIDAD DE NEGOCIO PARA LA COMERCIALIZACIÓN DE PRODUCTOS CAPILARES DE LA EMPRESA ROMELIA S.A.S. EN LOS MERCADOS POTENCIALES DE MEXICO, ESTADOS UNIDOS Y ESPAÑA</v>
      </c>
      <c r="G12" s="192"/>
      <c r="H12" s="192"/>
      <c r="I12" s="192"/>
      <c r="J12" s="192"/>
      <c r="K12" s="192"/>
      <c r="L12" s="192"/>
    </row>
    <row r="13" spans="1:12" s="2" customFormat="1" ht="12.75">
      <c r="A13" s="9">
        <v>1</v>
      </c>
      <c r="B13" s="10" t="str">
        <f>LIDER!F43</f>
        <v>EYLANS ANDRES AHUMADA SALAZAR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3.5700000000000003</v>
      </c>
      <c r="F13" s="193">
        <v>3.3</v>
      </c>
      <c r="G13" s="190">
        <v>3.5</v>
      </c>
      <c r="H13" s="188">
        <v>3.5</v>
      </c>
      <c r="I13" s="190">
        <v>3.3</v>
      </c>
      <c r="J13" s="188">
        <v>5</v>
      </c>
      <c r="K13" s="190"/>
      <c r="L13" s="188"/>
    </row>
    <row r="14" spans="1:12" s="2" customFormat="1" ht="15" customHeight="1">
      <c r="A14" s="12">
        <v>2</v>
      </c>
      <c r="B14" s="10" t="str">
        <f>LIDER!F44</f>
        <v>KENDRY YIRETH LABIOSA VERGARA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3.5700000000000003</v>
      </c>
      <c r="F14" s="193"/>
      <c r="G14" s="190"/>
      <c r="H14" s="188"/>
      <c r="I14" s="190"/>
      <c r="J14" s="188"/>
      <c r="K14" s="190"/>
      <c r="L14" s="188"/>
    </row>
    <row r="15" spans="1:12" s="2" customFormat="1" ht="15" customHeight="1">
      <c r="A15" s="12">
        <v>3</v>
      </c>
      <c r="B15" s="10" t="str">
        <f>LIDER!F45</f>
        <v>VALERY PAOLA OSORIO VIDAL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3.5700000000000003</v>
      </c>
      <c r="F15" s="193"/>
      <c r="G15" s="190"/>
      <c r="H15" s="188"/>
      <c r="I15" s="190"/>
      <c r="J15" s="188"/>
      <c r="K15" s="190"/>
      <c r="L15" s="188"/>
    </row>
    <row r="16" spans="1:12" s="2" customFormat="1" ht="15" customHeight="1">
      <c r="A16" s="12">
        <v>4</v>
      </c>
      <c r="B16" s="10" t="str">
        <f>LIDER!F46</f>
        <v>YERLIS PAOLA RUIZ GARCIA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3.5700000000000003</v>
      </c>
      <c r="F16" s="193"/>
      <c r="G16" s="190"/>
      <c r="H16" s="188"/>
      <c r="I16" s="190"/>
      <c r="J16" s="188"/>
      <c r="K16" s="190"/>
      <c r="L16" s="188"/>
    </row>
    <row r="17" spans="1:12" s="2" customFormat="1" ht="15" customHeight="1">
      <c r="A17" s="12">
        <v>5</v>
      </c>
      <c r="B17" s="10" t="str">
        <f>LIDER!F47</f>
        <v>DANIEL ISAAC SIMANCA SANCHEZ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3.5700000000000003</v>
      </c>
      <c r="F17" s="193"/>
      <c r="G17" s="190"/>
      <c r="H17" s="188"/>
      <c r="I17" s="190"/>
      <c r="J17" s="188"/>
      <c r="K17" s="190"/>
      <c r="L17" s="18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3"/>
      <c r="G18" s="190"/>
      <c r="H18" s="188"/>
      <c r="I18" s="190"/>
      <c r="J18" s="188"/>
      <c r="K18" s="190"/>
      <c r="L18" s="188"/>
    </row>
    <row r="19" spans="1:12" s="2" customFormat="1" ht="15.75" customHeight="1">
      <c r="A19" s="14"/>
      <c r="B19" s="25" t="s">
        <v>120</v>
      </c>
      <c r="C19" s="88" t="s">
        <v>121</v>
      </c>
      <c r="D19" s="32" t="str">
        <f>D12</f>
        <v>LIST</v>
      </c>
      <c r="E19" s="89" t="s">
        <v>117</v>
      </c>
      <c r="F19" s="192" t="str">
        <f>LIDER!$E$31</f>
        <v xml:space="preserve">GRUPO#3: Identificación de una oportunidad de negocio para EcoCao S.A.S. mediante el estudio de Estados Unidos, Ecuador y Chile como mercados potenciales. </v>
      </c>
      <c r="G19" s="192"/>
      <c r="H19" s="192"/>
      <c r="I19" s="192"/>
      <c r="J19" s="192"/>
      <c r="K19" s="192"/>
      <c r="L19" s="192"/>
    </row>
    <row r="20" spans="1:12" s="2" customFormat="1" ht="12.75">
      <c r="A20" s="9">
        <v>1</v>
      </c>
      <c r="B20" s="10" t="str">
        <f>LIDER!G43</f>
        <v>DAVID ANDRES CASTILLA CARDENAS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3.8800000000000003</v>
      </c>
      <c r="F20" s="193">
        <v>3.5</v>
      </c>
      <c r="G20" s="190">
        <v>3.7</v>
      </c>
      <c r="H20" s="188">
        <v>4</v>
      </c>
      <c r="I20" s="190">
        <v>3.7</v>
      </c>
      <c r="J20" s="188">
        <v>5</v>
      </c>
      <c r="K20" s="190"/>
      <c r="L20" s="188"/>
    </row>
    <row r="21" spans="1:12" s="2" customFormat="1" ht="15" customHeight="1">
      <c r="A21" s="12">
        <v>2</v>
      </c>
      <c r="B21" s="10" t="str">
        <f>LIDER!G44</f>
        <v>MARIA FERNANDA DE HORTA GOMEZ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3.8800000000000003</v>
      </c>
      <c r="F21" s="193"/>
      <c r="G21" s="190"/>
      <c r="H21" s="188"/>
      <c r="I21" s="190"/>
      <c r="J21" s="188"/>
      <c r="K21" s="190"/>
      <c r="L21" s="188"/>
    </row>
    <row r="22" spans="1:12" s="2" customFormat="1" ht="15" customHeight="1">
      <c r="A22" s="12">
        <v>3</v>
      </c>
      <c r="B22" s="10" t="str">
        <f>LIDER!G45</f>
        <v>MARÍA ALEJANDRA LEMOS OCHOA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3.8800000000000003</v>
      </c>
      <c r="F22" s="193"/>
      <c r="G22" s="190"/>
      <c r="H22" s="188"/>
      <c r="I22" s="190"/>
      <c r="J22" s="188"/>
      <c r="K22" s="190"/>
      <c r="L22" s="188"/>
    </row>
    <row r="23" spans="1:12" s="2" customFormat="1" ht="15" customHeight="1">
      <c r="A23" s="12">
        <v>4</v>
      </c>
      <c r="B23" s="10" t="str">
        <f>LIDER!G46</f>
        <v>SHARON JULIANA MONTES FERNANDEZ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3.8800000000000003</v>
      </c>
      <c r="F23" s="193"/>
      <c r="G23" s="190"/>
      <c r="H23" s="188"/>
      <c r="I23" s="190"/>
      <c r="J23" s="188"/>
      <c r="K23" s="190"/>
      <c r="L23" s="188"/>
    </row>
    <row r="24" spans="1:12" s="2" customFormat="1" ht="15" customHeight="1">
      <c r="A24" s="12">
        <v>5</v>
      </c>
      <c r="B24" s="10" t="str">
        <f>LIDER!G47</f>
        <v>DAVID ALEJANDRO RHENALS LOPEZ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3.8800000000000003</v>
      </c>
      <c r="F24" s="193"/>
      <c r="G24" s="190"/>
      <c r="H24" s="188"/>
      <c r="I24" s="190"/>
      <c r="J24" s="188"/>
      <c r="K24" s="190"/>
      <c r="L24" s="18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3"/>
      <c r="G25" s="190"/>
      <c r="H25" s="188"/>
      <c r="I25" s="190"/>
      <c r="J25" s="188"/>
      <c r="K25" s="190"/>
      <c r="L25" s="188"/>
    </row>
    <row r="26" spans="1:12" s="2" customFormat="1" ht="15.75" customHeight="1">
      <c r="A26" s="14"/>
      <c r="B26" s="25" t="s">
        <v>122</v>
      </c>
      <c r="C26" s="88" t="s">
        <v>123</v>
      </c>
      <c r="D26" s="32" t="str">
        <f>D19</f>
        <v>LIST</v>
      </c>
      <c r="E26" s="89" t="s">
        <v>117</v>
      </c>
      <c r="F26" s="192" t="str">
        <f>LIDER!$E$32</f>
        <v>GRUPO#4: Identificación de una Oportunidad de Negocio Internacional para la Harina de Plátano de ASOREPP mediante el Estudio de Tres Mercados Potenciales: España, Estados Unidos y Alemania</v>
      </c>
      <c r="G26" s="192"/>
      <c r="H26" s="192"/>
      <c r="I26" s="192"/>
      <c r="J26" s="192"/>
      <c r="K26" s="192"/>
      <c r="L26" s="192"/>
    </row>
    <row r="27" spans="1:12" s="2" customFormat="1" ht="12.75">
      <c r="A27" s="9">
        <v>1</v>
      </c>
      <c r="B27" s="10" t="str">
        <f>LIDER!H43</f>
        <v>JHORDAN JOSE BARROS PEÑA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3.25</v>
      </c>
      <c r="F27" s="193">
        <v>3</v>
      </c>
      <c r="G27" s="190">
        <v>3</v>
      </c>
      <c r="H27" s="188">
        <v>3.5</v>
      </c>
      <c r="I27" s="190">
        <v>3</v>
      </c>
      <c r="J27" s="188">
        <v>4</v>
      </c>
      <c r="K27" s="190"/>
      <c r="L27" s="188"/>
    </row>
    <row r="28" spans="1:12" s="2" customFormat="1" ht="15" customHeight="1">
      <c r="A28" s="12">
        <v>2</v>
      </c>
      <c r="B28" s="10" t="str">
        <f>LIDER!H44</f>
        <v>RUTH SARAY PATERNINA PÉREZ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3.25</v>
      </c>
      <c r="F28" s="193"/>
      <c r="G28" s="190"/>
      <c r="H28" s="188"/>
      <c r="I28" s="190"/>
      <c r="J28" s="188"/>
      <c r="K28" s="190"/>
      <c r="L28" s="188"/>
    </row>
    <row r="29" spans="1:12" s="2" customFormat="1" ht="15" customHeight="1">
      <c r="A29" s="12">
        <v>3</v>
      </c>
      <c r="B29" s="10" t="str">
        <f>LIDER!H45</f>
        <v>HECTOR FABIO PEREIRA PACHECO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3.25</v>
      </c>
      <c r="F29" s="193"/>
      <c r="G29" s="190"/>
      <c r="H29" s="188"/>
      <c r="I29" s="190"/>
      <c r="J29" s="188"/>
      <c r="K29" s="190"/>
      <c r="L29" s="188"/>
    </row>
    <row r="30" spans="1:12" s="2" customFormat="1" ht="15" customHeight="1">
      <c r="A30" s="12">
        <v>4</v>
      </c>
      <c r="B30" s="10" t="str">
        <f>LIDER!H46</f>
        <v>JUAN RICARDO SERRANO PALLARES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3.25</v>
      </c>
      <c r="F30" s="193"/>
      <c r="G30" s="190"/>
      <c r="H30" s="188"/>
      <c r="I30" s="190"/>
      <c r="J30" s="188"/>
      <c r="K30" s="190"/>
      <c r="L30" s="188"/>
    </row>
    <row r="31" spans="1:12" s="2" customFormat="1" ht="15" customHeight="1">
      <c r="A31" s="12">
        <v>5</v>
      </c>
      <c r="B31" s="10" t="str">
        <f>LIDER!H47</f>
        <v>KEILYS JHOANA DE ÁVILA FONTALVO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3.25</v>
      </c>
      <c r="F31" s="193"/>
      <c r="G31" s="190"/>
      <c r="H31" s="188"/>
      <c r="I31" s="190"/>
      <c r="J31" s="188"/>
      <c r="K31" s="190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3"/>
      <c r="G32" s="190"/>
      <c r="H32" s="188"/>
      <c r="I32" s="190"/>
      <c r="J32" s="188"/>
      <c r="K32" s="190"/>
      <c r="L32" s="188"/>
    </row>
    <row r="33" spans="1:12" s="2" customFormat="1" ht="15.75" customHeight="1">
      <c r="A33" s="14"/>
      <c r="B33" s="25" t="s">
        <v>124</v>
      </c>
      <c r="C33" s="88" t="s">
        <v>125</v>
      </c>
      <c r="D33" s="32" t="str">
        <f>D26</f>
        <v>LIST</v>
      </c>
      <c r="E33" s="89" t="s">
        <v>117</v>
      </c>
      <c r="F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G33" s="192"/>
      <c r="H33" s="192"/>
      <c r="I33" s="192"/>
      <c r="J33" s="192"/>
      <c r="K33" s="192"/>
      <c r="L33" s="192"/>
    </row>
    <row r="34" spans="1:12" s="2" customFormat="1" ht="12.75">
      <c r="A34" s="9">
        <v>1</v>
      </c>
      <c r="B34" s="10" t="str">
        <f>LIDER!E51</f>
        <v>VALERIE SOFIA CERA TORRIENTE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3.8100000000000005</v>
      </c>
      <c r="F34" s="193">
        <v>3.3</v>
      </c>
      <c r="G34" s="190">
        <v>4</v>
      </c>
      <c r="H34" s="188">
        <v>4</v>
      </c>
      <c r="I34" s="190">
        <v>3.5</v>
      </c>
      <c r="J34" s="188">
        <v>4.5</v>
      </c>
      <c r="K34" s="190"/>
      <c r="L34" s="188"/>
    </row>
    <row r="35" spans="1:12" s="2" customFormat="1" ht="15" customHeight="1">
      <c r="A35" s="12">
        <v>2</v>
      </c>
      <c r="B35" s="10" t="str">
        <f>LIDER!E52</f>
        <v>CRISTINA LUCIA ESTRADA SANTOYA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3.8100000000000005</v>
      </c>
      <c r="F35" s="193"/>
      <c r="G35" s="190"/>
      <c r="H35" s="188"/>
      <c r="I35" s="190"/>
      <c r="J35" s="188"/>
      <c r="K35" s="190"/>
      <c r="L35" s="188"/>
    </row>
    <row r="36" spans="1:12" s="2" customFormat="1" ht="15" customHeight="1">
      <c r="A36" s="12">
        <v>3</v>
      </c>
      <c r="B36" s="10" t="str">
        <f>LIDER!E53</f>
        <v>JIRETH PAOLA GARCIA COLON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3.8100000000000005</v>
      </c>
      <c r="F36" s="193"/>
      <c r="G36" s="190"/>
      <c r="H36" s="188"/>
      <c r="I36" s="190"/>
      <c r="J36" s="188"/>
      <c r="K36" s="190"/>
      <c r="L36" s="188"/>
    </row>
    <row r="37" spans="1:12" s="2" customFormat="1" ht="15" customHeight="1">
      <c r="A37" s="12">
        <v>4</v>
      </c>
      <c r="B37" s="10" t="str">
        <f>LIDER!E54</f>
        <v>LAURENT SOFIA IBARGUEN GULFO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3.8100000000000005</v>
      </c>
      <c r="F37" s="193"/>
      <c r="G37" s="190"/>
      <c r="H37" s="188"/>
      <c r="I37" s="190"/>
      <c r="J37" s="188"/>
      <c r="K37" s="190"/>
      <c r="L37" s="188"/>
    </row>
    <row r="38" spans="1:12" s="2" customFormat="1" ht="15" customHeight="1">
      <c r="A38" s="12">
        <v>5</v>
      </c>
      <c r="B38" s="10" t="str">
        <f>LIDER!E55</f>
        <v>EVELYN SANCHEZ GONZALEZ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3.8100000000000005</v>
      </c>
      <c r="F38" s="193"/>
      <c r="G38" s="190"/>
      <c r="H38" s="188"/>
      <c r="I38" s="190"/>
      <c r="J38" s="188"/>
      <c r="K38" s="190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3"/>
      <c r="G39" s="190"/>
      <c r="H39" s="188"/>
      <c r="I39" s="190"/>
      <c r="J39" s="188"/>
      <c r="K39" s="190"/>
      <c r="L39" s="188"/>
    </row>
    <row r="40" spans="1:12" s="2" customFormat="1" ht="15.75" customHeight="1">
      <c r="A40" s="14"/>
      <c r="B40" s="25" t="s">
        <v>126</v>
      </c>
      <c r="C40" s="88" t="s">
        <v>127</v>
      </c>
      <c r="D40" s="32" t="str">
        <f>D33</f>
        <v>LIST</v>
      </c>
      <c r="E40" s="89" t="s">
        <v>117</v>
      </c>
      <c r="F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G40" s="192"/>
      <c r="H40" s="192"/>
      <c r="I40" s="192"/>
      <c r="J40" s="192"/>
      <c r="K40" s="192"/>
      <c r="L40" s="192"/>
    </row>
    <row r="41" spans="1:12" s="2" customFormat="1" ht="12.75">
      <c r="A41" s="9">
        <v>1</v>
      </c>
      <c r="B41" s="10" t="str">
        <f>LIDER!F51</f>
        <v>SANTIAGO JOSE BUELVAS CARRILLO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3.4</v>
      </c>
      <c r="F41" s="193">
        <v>3.5</v>
      </c>
      <c r="G41" s="190">
        <v>3.5</v>
      </c>
      <c r="H41" s="188">
        <v>4</v>
      </c>
      <c r="I41" s="190">
        <v>2</v>
      </c>
      <c r="J41" s="188">
        <v>4</v>
      </c>
      <c r="K41" s="190"/>
      <c r="L41" s="188"/>
    </row>
    <row r="42" spans="1:12" s="2" customFormat="1" ht="15" customHeight="1">
      <c r="A42" s="12">
        <v>2</v>
      </c>
      <c r="B42" s="10" t="str">
        <f>LIDER!F52</f>
        <v>VALERIA SOFIA VENENCIA SANES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3.4</v>
      </c>
      <c r="F42" s="193"/>
      <c r="G42" s="190"/>
      <c r="H42" s="188"/>
      <c r="I42" s="190"/>
      <c r="J42" s="188"/>
      <c r="K42" s="190"/>
      <c r="L42" s="188"/>
    </row>
    <row r="43" spans="1:12" s="2" customFormat="1" ht="15" customHeight="1">
      <c r="A43" s="12">
        <v>3</v>
      </c>
      <c r="B43" s="10" t="str">
        <f>LIDER!F53</f>
        <v>ESTEBAN DAVID DORIA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3.4</v>
      </c>
      <c r="F43" s="193"/>
      <c r="G43" s="190"/>
      <c r="H43" s="188"/>
      <c r="I43" s="190"/>
      <c r="J43" s="188"/>
      <c r="K43" s="190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3"/>
      <c r="G44" s="190"/>
      <c r="H44" s="188"/>
      <c r="I44" s="190"/>
      <c r="J44" s="188"/>
      <c r="K44" s="190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3"/>
      <c r="G45" s="190"/>
      <c r="H45" s="188"/>
      <c r="I45" s="190"/>
      <c r="J45" s="188"/>
      <c r="K45" s="190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3"/>
      <c r="G46" s="190"/>
      <c r="H46" s="188"/>
      <c r="I46" s="190"/>
      <c r="J46" s="188"/>
      <c r="K46" s="190"/>
      <c r="L46" s="188"/>
    </row>
    <row r="47" spans="1:12" s="2" customFormat="1" ht="15.75" customHeight="1">
      <c r="A47" s="14"/>
      <c r="B47" s="25" t="s">
        <v>128</v>
      </c>
      <c r="C47" s="88" t="s">
        <v>129</v>
      </c>
      <c r="D47" s="32" t="str">
        <f>D40</f>
        <v>LIST</v>
      </c>
      <c r="E47" s="89" t="s">
        <v>117</v>
      </c>
      <c r="F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G47" s="192"/>
      <c r="H47" s="192"/>
      <c r="I47" s="192"/>
      <c r="J47" s="192"/>
      <c r="K47" s="192"/>
      <c r="L47" s="192"/>
    </row>
    <row r="48" spans="1:12" s="2" customFormat="1" ht="12.75">
      <c r="A48" s="9">
        <v>1</v>
      </c>
      <c r="B48" s="10" t="str">
        <f>LIDER!G51</f>
        <v>VALENTINA LUZ AVILEZ BERMUDEZ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2.8800000000000003</v>
      </c>
      <c r="F48" s="193">
        <v>2</v>
      </c>
      <c r="G48" s="190">
        <v>3.4</v>
      </c>
      <c r="H48" s="188">
        <v>4</v>
      </c>
      <c r="I48" s="190">
        <v>1</v>
      </c>
      <c r="J48" s="188">
        <v>4</v>
      </c>
      <c r="K48" s="190"/>
      <c r="L48" s="188"/>
    </row>
    <row r="49" spans="1:12" s="2" customFormat="1" ht="15" customHeight="1">
      <c r="A49" s="12">
        <v>2</v>
      </c>
      <c r="B49" s="10" t="str">
        <f>LIDER!G52</f>
        <v>YANINE MILLET BERMUDEZ JIMENEZ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2.8800000000000003</v>
      </c>
      <c r="F49" s="193"/>
      <c r="G49" s="190"/>
      <c r="H49" s="188"/>
      <c r="I49" s="190"/>
      <c r="J49" s="188"/>
      <c r="K49" s="190"/>
      <c r="L49" s="188"/>
    </row>
    <row r="50" spans="1:12" s="2" customFormat="1" ht="15" customHeight="1">
      <c r="A50" s="12">
        <v>3</v>
      </c>
      <c r="B50" s="10" t="str">
        <f>LIDER!G53</f>
        <v>YURLEINIS MAZA MORALES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2.8800000000000003</v>
      </c>
      <c r="F50" s="193"/>
      <c r="G50" s="190"/>
      <c r="H50" s="188"/>
      <c r="I50" s="190"/>
      <c r="J50" s="188"/>
      <c r="K50" s="190"/>
      <c r="L50" s="188"/>
    </row>
    <row r="51" spans="1:12" s="2" customFormat="1" ht="15" customHeight="1">
      <c r="A51" s="12">
        <v>4</v>
      </c>
      <c r="B51" s="10" t="str">
        <f>LIDER!G54</f>
        <v>DAYANA LUCIA PALLARES MENDOZA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2.8800000000000003</v>
      </c>
      <c r="F51" s="193"/>
      <c r="G51" s="190"/>
      <c r="H51" s="188"/>
      <c r="I51" s="190"/>
      <c r="J51" s="188"/>
      <c r="K51" s="190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3"/>
      <c r="G52" s="190"/>
      <c r="H52" s="188"/>
      <c r="I52" s="190"/>
      <c r="J52" s="188"/>
      <c r="K52" s="190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3"/>
      <c r="G53" s="190"/>
      <c r="H53" s="188"/>
      <c r="I53" s="190"/>
      <c r="J53" s="188"/>
      <c r="K53" s="190"/>
      <c r="L53" s="188"/>
    </row>
    <row r="54" spans="1:12" s="2" customFormat="1" ht="15.75" customHeight="1">
      <c r="A54" s="14"/>
      <c r="B54" s="25" t="s">
        <v>130</v>
      </c>
      <c r="C54" s="88" t="s">
        <v>131</v>
      </c>
      <c r="D54" s="32" t="str">
        <f>D47</f>
        <v>LIST</v>
      </c>
      <c r="E54" s="89" t="s">
        <v>117</v>
      </c>
      <c r="F54" s="192" t="str">
        <f>LIDER!$E$36</f>
        <v>GRUPO#8: Identificación de Oportunidad de Negocios para la exportación de Gel con Pigmento de la marca ADDA Gel-Styling en los mercados potenciales de Perú, Estados Unidos y Ecuador</v>
      </c>
      <c r="G54" s="192"/>
      <c r="H54" s="192"/>
      <c r="I54" s="192"/>
      <c r="J54" s="192"/>
      <c r="K54" s="192"/>
      <c r="L54" s="192"/>
    </row>
    <row r="55" spans="1:12" s="2" customFormat="1" ht="12.75">
      <c r="A55" s="9">
        <v>1</v>
      </c>
      <c r="B55" s="10" t="str">
        <f>LIDER!H51</f>
        <v>DALIA MARIA DEL CARMEN CONDE RAMIREZ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2.8800000000000003</v>
      </c>
      <c r="F55" s="193">
        <v>2</v>
      </c>
      <c r="G55" s="190">
        <v>3.4</v>
      </c>
      <c r="H55" s="188">
        <v>4</v>
      </c>
      <c r="I55" s="190">
        <v>1</v>
      </c>
      <c r="J55" s="188">
        <v>4</v>
      </c>
      <c r="K55" s="190"/>
      <c r="L55" s="188"/>
    </row>
    <row r="56" spans="1:12" s="2" customFormat="1" ht="15" customHeight="1">
      <c r="A56" s="12">
        <v>2</v>
      </c>
      <c r="B56" s="10" t="str">
        <f>LIDER!H52</f>
        <v>ANGEL MANUEL GONZALEZ ALVAREZ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2.8800000000000003</v>
      </c>
      <c r="F56" s="193"/>
      <c r="G56" s="190"/>
      <c r="H56" s="188"/>
      <c r="I56" s="190"/>
      <c r="J56" s="188"/>
      <c r="K56" s="190"/>
      <c r="L56" s="188"/>
    </row>
    <row r="57" spans="1:12" s="2" customFormat="1" ht="15" customHeight="1">
      <c r="A57" s="12">
        <v>3</v>
      </c>
      <c r="B57" s="10" t="str">
        <f>LIDER!H53</f>
        <v>DAINY CAROLINA OLEA TORRES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2.8800000000000003</v>
      </c>
      <c r="F57" s="193"/>
      <c r="G57" s="190"/>
      <c r="H57" s="188"/>
      <c r="I57" s="190"/>
      <c r="J57" s="188"/>
      <c r="K57" s="190"/>
      <c r="L57" s="188"/>
    </row>
    <row r="58" spans="1:12" s="2" customFormat="1" ht="15" customHeight="1">
      <c r="A58" s="12">
        <v>4</v>
      </c>
      <c r="B58" s="10" t="str">
        <f>LIDER!H54</f>
        <v>ANDRÉS ESTEBAN VÁSQUEZ GONZÁLEZ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2.8800000000000003</v>
      </c>
      <c r="F58" s="193"/>
      <c r="G58" s="190"/>
      <c r="H58" s="188"/>
      <c r="I58" s="190"/>
      <c r="J58" s="188"/>
      <c r="K58" s="190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3"/>
      <c r="G59" s="190"/>
      <c r="H59" s="188"/>
      <c r="I59" s="190"/>
      <c r="J59" s="188"/>
      <c r="K59" s="190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3"/>
      <c r="G60" s="190"/>
      <c r="H60" s="188"/>
      <c r="I60" s="190"/>
      <c r="J60" s="188"/>
      <c r="K60" s="190"/>
      <c r="L60" s="188"/>
    </row>
    <row r="61" spans="1:12" s="2" customFormat="1" ht="15.75" customHeight="1">
      <c r="A61" s="14"/>
      <c r="B61" s="25" t="s">
        <v>132</v>
      </c>
      <c r="C61" s="88" t="s">
        <v>133</v>
      </c>
      <c r="D61" s="32" t="str">
        <f>D54</f>
        <v>LIST</v>
      </c>
      <c r="E61" s="89" t="s">
        <v>117</v>
      </c>
      <c r="F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G61" s="192"/>
      <c r="H61" s="192"/>
      <c r="I61" s="192"/>
      <c r="J61" s="192"/>
      <c r="K61" s="192"/>
      <c r="L61" s="192"/>
    </row>
    <row r="62" spans="1:12" s="2" customFormat="1" ht="12.75">
      <c r="A62" s="9">
        <v>1</v>
      </c>
      <c r="B62" s="10" t="str">
        <f>LIDER!E59</f>
        <v>JOSE EDUARDO ARRIETA MEJIA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</v>
      </c>
      <c r="F62" s="193">
        <v>3.5</v>
      </c>
      <c r="G62" s="190">
        <v>4</v>
      </c>
      <c r="H62" s="188">
        <v>4</v>
      </c>
      <c r="I62" s="190">
        <v>4</v>
      </c>
      <c r="J62" s="188">
        <v>5</v>
      </c>
      <c r="K62" s="190"/>
      <c r="L62" s="188"/>
    </row>
    <row r="63" spans="1:12" s="2" customFormat="1" ht="15" customHeight="1">
      <c r="A63" s="12">
        <v>2</v>
      </c>
      <c r="B63" s="10" t="str">
        <f>LIDER!E60</f>
        <v>VALENTINA BERRIO LOPEZ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</v>
      </c>
      <c r="F63" s="193"/>
      <c r="G63" s="190"/>
      <c r="H63" s="188"/>
      <c r="I63" s="190"/>
      <c r="J63" s="188"/>
      <c r="K63" s="190"/>
      <c r="L63" s="188"/>
    </row>
    <row r="64" spans="1:12" s="2" customFormat="1" ht="15" customHeight="1">
      <c r="A64" s="12">
        <v>3</v>
      </c>
      <c r="B64" s="10" t="str">
        <f>LIDER!E61</f>
        <v>SANTIAGO BOHÓRQUEZ CANTERO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</v>
      </c>
      <c r="F64" s="193"/>
      <c r="G64" s="190"/>
      <c r="H64" s="188"/>
      <c r="I64" s="190"/>
      <c r="J64" s="188"/>
      <c r="K64" s="190"/>
      <c r="L64" s="188"/>
    </row>
    <row r="65" spans="1:12" s="2" customFormat="1" ht="15" customHeight="1">
      <c r="A65" s="12">
        <v>4</v>
      </c>
      <c r="B65" s="10" t="str">
        <f>LIDER!E62</f>
        <v>NICOLE ANTHONELLA CAMPOS ABREU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</v>
      </c>
      <c r="F65" s="193"/>
      <c r="G65" s="190"/>
      <c r="H65" s="188"/>
      <c r="I65" s="190"/>
      <c r="J65" s="188"/>
      <c r="K65" s="190"/>
      <c r="L65" s="188"/>
    </row>
    <row r="66" spans="1:12" s="2" customFormat="1" ht="15" customHeight="1">
      <c r="A66" s="12">
        <v>5</v>
      </c>
      <c r="B66" s="10" t="str">
        <f>LIDER!E63</f>
        <v>DELIA ROSA GARCIA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</v>
      </c>
      <c r="F66" s="193"/>
      <c r="G66" s="190"/>
      <c r="H66" s="188"/>
      <c r="I66" s="190"/>
      <c r="J66" s="188"/>
      <c r="K66" s="190"/>
      <c r="L66" s="188"/>
    </row>
    <row r="67" spans="1:12" s="2" customFormat="1" ht="15.75" customHeight="1">
      <c r="A67" s="13">
        <v>6</v>
      </c>
      <c r="B67" s="91" t="str">
        <f>LIDER!E64</f>
        <v>SAMUEL DAVID PÉREZ MUÑOZ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4</v>
      </c>
      <c r="F67" s="193"/>
      <c r="G67" s="190"/>
      <c r="H67" s="188"/>
      <c r="I67" s="190"/>
      <c r="J67" s="188"/>
      <c r="K67" s="190"/>
      <c r="L67" s="188"/>
    </row>
    <row r="68" spans="1:12" s="2" customFormat="1" ht="15.75" customHeight="1">
      <c r="A68" s="14"/>
      <c r="B68" s="25" t="s">
        <v>134</v>
      </c>
      <c r="C68" s="88" t="s">
        <v>135</v>
      </c>
      <c r="D68" s="32" t="str">
        <f>D61</f>
        <v>LIST</v>
      </c>
      <c r="E68" s="89" t="s">
        <v>117</v>
      </c>
      <c r="F68" s="192" t="str">
        <f>LIDER!$E$38</f>
        <v>GRUPO#10: FRUTÉA: Aprovechamiento de frutas colombianas para la elaboración y comercialización de mermeladas</v>
      </c>
      <c r="G68" s="192"/>
      <c r="H68" s="192"/>
      <c r="I68" s="192"/>
      <c r="J68" s="192"/>
      <c r="K68" s="192"/>
      <c r="L68" s="192"/>
    </row>
    <row r="69" spans="1:12" s="2" customFormat="1" ht="12.75">
      <c r="A69" s="9">
        <v>1</v>
      </c>
      <c r="B69" s="10" t="str">
        <f>LIDER!F59</f>
        <v>YUREIDYS ALVAREZ CASTELLANO</v>
      </c>
      <c r="C69" s="90" t="str">
        <f>C68</f>
        <v>G10</v>
      </c>
      <c r="D69" s="95" t="s">
        <v>139</v>
      </c>
      <c r="E69" s="11" t="str">
        <f>IF(B69=0,0,IF(D69="",$F$69*LIDER!$H$9+$G$69*LIDER!$H$10+$H$69*LIDER!$H$11+$I$69*LIDER!$H$12+$J$69*LIDER!$H$13+$K$69*LIDER!$H$14+$L$69*LIDER!$H$15,"N"))</f>
        <v>N</v>
      </c>
      <c r="F69" s="193">
        <v>3</v>
      </c>
      <c r="G69" s="190">
        <v>3</v>
      </c>
      <c r="H69" s="188">
        <v>3.3</v>
      </c>
      <c r="I69" s="190">
        <v>2</v>
      </c>
      <c r="J69" s="188">
        <v>4</v>
      </c>
      <c r="K69" s="190"/>
      <c r="L69" s="188"/>
    </row>
    <row r="70" spans="1:12" s="2" customFormat="1" ht="15" customHeight="1">
      <c r="A70" s="12">
        <v>2</v>
      </c>
      <c r="B70" s="10" t="str">
        <f>LIDER!F60</f>
        <v>EFRAÍN JOSÉ CEBALLOS SALGADO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2.9899999999999998</v>
      </c>
      <c r="F70" s="193"/>
      <c r="G70" s="190"/>
      <c r="H70" s="188"/>
      <c r="I70" s="190"/>
      <c r="J70" s="188"/>
      <c r="K70" s="190"/>
      <c r="L70" s="188"/>
    </row>
    <row r="71" spans="1:12" s="2" customFormat="1" ht="15" customHeight="1">
      <c r="A71" s="12">
        <v>3</v>
      </c>
      <c r="B71" s="10" t="str">
        <f>LIDER!F61</f>
        <v>ANDRES FELIPE TORRES ARROYO</v>
      </c>
      <c r="C71" s="90" t="str">
        <f t="shared" si="9"/>
        <v>G10</v>
      </c>
      <c r="D71" s="96" t="s">
        <v>139</v>
      </c>
      <c r="E71" s="11" t="str">
        <f>IF(B71=0,0,IF(D71="",$F$69*LIDER!$H$9+$G$69*LIDER!$H$10+$H$69*LIDER!$H$11+$I$69*LIDER!$H$12+$J$69*LIDER!$H$13+$K$69*LIDER!$H$14+$L$69*LIDER!$H$15,"N"))</f>
        <v>N</v>
      </c>
      <c r="F71" s="193"/>
      <c r="G71" s="190"/>
      <c r="H71" s="188"/>
      <c r="I71" s="190"/>
      <c r="J71" s="188"/>
      <c r="K71" s="190"/>
      <c r="L71" s="188"/>
    </row>
    <row r="72" spans="1:12" s="2" customFormat="1" ht="15" customHeight="1">
      <c r="A72" s="12">
        <v>4</v>
      </c>
      <c r="B72" s="10" t="str">
        <f>LIDER!F62</f>
        <v>YUSETH DAVID VILLEGAS ARTEAGA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2.9899999999999998</v>
      </c>
      <c r="F72" s="193"/>
      <c r="G72" s="190"/>
      <c r="H72" s="188"/>
      <c r="I72" s="190"/>
      <c r="J72" s="188"/>
      <c r="K72" s="190"/>
      <c r="L72" s="188"/>
    </row>
    <row r="73" spans="1:12" s="2" customFormat="1" ht="15" customHeight="1">
      <c r="A73" s="12">
        <v>5</v>
      </c>
      <c r="B73" s="10" t="str">
        <f>LIDER!F63</f>
        <v>ISAAC JOSE ZAPATA ZAPATA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2.9899999999999998</v>
      </c>
      <c r="F73" s="193"/>
      <c r="G73" s="190"/>
      <c r="H73" s="188"/>
      <c r="I73" s="190"/>
      <c r="J73" s="188"/>
      <c r="K73" s="190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3"/>
      <c r="G74" s="190"/>
      <c r="H74" s="188"/>
      <c r="I74" s="190"/>
      <c r="J74" s="188"/>
      <c r="K74" s="190"/>
      <c r="L74" s="188"/>
    </row>
    <row r="75" spans="1:12" s="2" customFormat="1" ht="15.75" customHeight="1">
      <c r="A75" s="14"/>
      <c r="B75" s="25" t="s">
        <v>136</v>
      </c>
      <c r="C75" s="88" t="s">
        <v>137</v>
      </c>
      <c r="D75" s="32" t="str">
        <f>D68</f>
        <v>LIST</v>
      </c>
      <c r="E75" s="89" t="s">
        <v>117</v>
      </c>
      <c r="F75" s="192" t="str">
        <f>LIDER!$E$39</f>
        <v>GRUPO#11: Identificación de una oportunidad de negocio para una barra energética funcional de café colombiano en los mercados de Estados Unidos, Alemania y Canadá</v>
      </c>
      <c r="G75" s="192"/>
      <c r="H75" s="192"/>
      <c r="I75" s="192"/>
      <c r="J75" s="192"/>
      <c r="K75" s="192"/>
      <c r="L75" s="192"/>
    </row>
    <row r="76" spans="1:12" s="2" customFormat="1" ht="12.75">
      <c r="A76" s="9">
        <v>1</v>
      </c>
      <c r="B76" s="10" t="str">
        <f>LIDER!G59</f>
        <v>ANDREA KAROLAY CARRILLO GOMEZ</v>
      </c>
      <c r="C76" s="90" t="str">
        <f>C75</f>
        <v>G11</v>
      </c>
      <c r="D76" s="95" t="s">
        <v>139</v>
      </c>
      <c r="E76" s="11" t="str">
        <f>IF(B76=0,0,IF(D76="",$F$76*LIDER!$H$9+$G$76*LIDER!$H$10+$H$76*LIDER!$H$11+$I$76*LIDER!$H$12+$J$76*LIDER!$H$13+$K$76*LIDER!$H$14+$L$76*LIDER!$H$15,"N"))</f>
        <v>N</v>
      </c>
      <c r="F76" s="193">
        <v>3.5</v>
      </c>
      <c r="G76" s="190">
        <v>3</v>
      </c>
      <c r="H76" s="188">
        <v>3.5</v>
      </c>
      <c r="I76" s="190">
        <v>3.5</v>
      </c>
      <c r="J76" s="188">
        <v>4</v>
      </c>
      <c r="K76" s="190"/>
      <c r="L76" s="188"/>
    </row>
    <row r="77" spans="1:12" s="2" customFormat="1" ht="15" customHeight="1">
      <c r="A77" s="12">
        <v>2</v>
      </c>
      <c r="B77" s="10" t="str">
        <f>LIDER!G60</f>
        <v>MARIANA JIMENEZ DEVOZ</v>
      </c>
      <c r="C77" s="90" t="str">
        <f t="shared" ref="C77:C81" si="10">C76</f>
        <v>G11</v>
      </c>
      <c r="D77" s="96" t="s">
        <v>139</v>
      </c>
      <c r="E77" s="11" t="str">
        <f>IF(B77=0,0,IF(D77="",$F$76*LIDER!$H$9+$G$76*LIDER!$H$10+$H$76*LIDER!$H$11+$I$76*LIDER!$H$12+$J$76*LIDER!$H$13+$K$76*LIDER!$H$14+$L$76*LIDER!$H$15,"N"))</f>
        <v>N</v>
      </c>
      <c r="F77" s="193"/>
      <c r="G77" s="190"/>
      <c r="H77" s="188"/>
      <c r="I77" s="190"/>
      <c r="J77" s="188"/>
      <c r="K77" s="190"/>
      <c r="L77" s="188"/>
    </row>
    <row r="78" spans="1:12" s="2" customFormat="1" ht="15" customHeight="1">
      <c r="A78" s="12">
        <v>3</v>
      </c>
      <c r="B78" s="10" t="str">
        <f>LIDER!G61</f>
        <v>WYLYS JUNIOR ORTIZ ZUÑIGA</v>
      </c>
      <c r="C78" s="90" t="str">
        <f t="shared" si="10"/>
        <v>G11</v>
      </c>
      <c r="D78" s="96" t="s">
        <v>139</v>
      </c>
      <c r="E78" s="11" t="str">
        <f>IF(B78=0,0,IF(D78="",$F$76*LIDER!$H$9+$G$76*LIDER!$H$10+$H$76*LIDER!$H$11+$I$76*LIDER!$H$12+$J$76*LIDER!$H$13+$K$76*LIDER!$H$14+$L$76*LIDER!$H$15,"N"))</f>
        <v>N</v>
      </c>
      <c r="F78" s="193"/>
      <c r="G78" s="190"/>
      <c r="H78" s="188"/>
      <c r="I78" s="190"/>
      <c r="J78" s="188"/>
      <c r="K78" s="190"/>
      <c r="L78" s="188"/>
    </row>
    <row r="79" spans="1:12" s="2" customFormat="1" ht="15" customHeight="1">
      <c r="A79" s="12">
        <v>4</v>
      </c>
      <c r="B79" s="10" t="str">
        <f>LIDER!G62</f>
        <v>MELANI DESTERLYN RAMIREZ CUADRO</v>
      </c>
      <c r="C79" s="90" t="str">
        <f t="shared" si="10"/>
        <v>G11</v>
      </c>
      <c r="D79" s="96" t="s">
        <v>139</v>
      </c>
      <c r="E79" s="11" t="str">
        <f>IF(B79=0,0,IF(D79="",$F$76*LIDER!$H$9+$G$76*LIDER!$H$10+$H$76*LIDER!$H$11+$I$76*LIDER!$H$12+$J$76*LIDER!$H$13+$K$76*LIDER!$H$14+$L$76*LIDER!$H$15,"N"))</f>
        <v>N</v>
      </c>
      <c r="F79" s="193"/>
      <c r="G79" s="190"/>
      <c r="H79" s="188"/>
      <c r="I79" s="190"/>
      <c r="J79" s="188"/>
      <c r="K79" s="190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3"/>
      <c r="G80" s="190"/>
      <c r="H80" s="188"/>
      <c r="I80" s="190"/>
      <c r="J80" s="188"/>
      <c r="K80" s="190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3"/>
      <c r="G81" s="190"/>
      <c r="H81" s="188"/>
      <c r="I81" s="190"/>
      <c r="J81" s="188"/>
      <c r="K81" s="190"/>
      <c r="L81" s="188"/>
    </row>
    <row r="82" spans="1:12" s="2" customFormat="1" ht="15.75" customHeight="1">
      <c r="A82" s="14"/>
      <c r="B82" s="25" t="s">
        <v>92</v>
      </c>
      <c r="C82" s="88" t="s">
        <v>138</v>
      </c>
      <c r="D82" s="32" t="str">
        <f>D75</f>
        <v>LIST</v>
      </c>
      <c r="E82" s="89" t="s">
        <v>117</v>
      </c>
      <c r="F82" s="192" t="str">
        <f>LIDER!$E$40</f>
        <v>GRUPO#12</v>
      </c>
      <c r="G82" s="192"/>
      <c r="H82" s="192"/>
      <c r="I82" s="192"/>
      <c r="J82" s="192"/>
      <c r="K82" s="192"/>
      <c r="L82" s="19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3"/>
      <c r="G83" s="190"/>
      <c r="H83" s="188"/>
      <c r="I83" s="190"/>
      <c r="J83" s="188"/>
      <c r="K83" s="190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3"/>
      <c r="G84" s="190"/>
      <c r="H84" s="188"/>
      <c r="I84" s="190"/>
      <c r="J84" s="188"/>
      <c r="K84" s="190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3"/>
      <c r="G85" s="190"/>
      <c r="H85" s="188"/>
      <c r="I85" s="190"/>
      <c r="J85" s="188"/>
      <c r="K85" s="190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3"/>
      <c r="G86" s="190"/>
      <c r="H86" s="188"/>
      <c r="I86" s="190"/>
      <c r="J86" s="188"/>
      <c r="K86" s="190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3"/>
      <c r="G87" s="190"/>
      <c r="H87" s="188"/>
      <c r="I87" s="190"/>
      <c r="J87" s="188"/>
      <c r="K87" s="190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4"/>
      <c r="G88" s="191"/>
      <c r="H88" s="189"/>
      <c r="I88" s="191"/>
      <c r="J88" s="189"/>
      <c r="K88" s="191"/>
      <c r="L88" s="18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0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6"/>
      <c r="H1" s="19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198" t="s">
        <v>112</v>
      </c>
      <c r="G2" s="199"/>
      <c r="H2" s="199"/>
      <c r="I2" s="199"/>
      <c r="J2" s="199"/>
      <c r="K2" s="199"/>
      <c r="L2" s="200"/>
    </row>
    <row r="3" spans="1:12" s="2" customFormat="1" ht="145.5" customHeight="1">
      <c r="B3" s="83" t="s">
        <v>113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1" t="str">
        <f>CONCATENATE(LIDER!I4," - ",LIDER!I6," - ",LIDER!I5)</f>
        <v xml:space="preserve"> -  - </v>
      </c>
      <c r="G4" s="201"/>
      <c r="H4" s="201"/>
      <c r="I4" s="201"/>
      <c r="J4" s="201"/>
      <c r="K4" s="201"/>
      <c r="L4" s="201"/>
    </row>
    <row r="5" spans="1:12" s="2" customFormat="1" ht="15.75" customHeight="1" thickBot="1">
      <c r="A5" s="8"/>
      <c r="B5" s="25" t="s">
        <v>114</v>
      </c>
      <c r="C5" s="88" t="s">
        <v>115</v>
      </c>
      <c r="D5" s="32" t="s">
        <v>116</v>
      </c>
      <c r="E5" s="89" t="s">
        <v>117</v>
      </c>
      <c r="F5" s="192" t="str">
        <f>LIDER!$E$29</f>
        <v>GRUPO#1: Identificación de una Oportunidad de Negocio Internacional para el Sistema de Riego Solar mediante el Estudio de Tres Mercados Potenciales: Chile, España y Estados Unidos</v>
      </c>
      <c r="G5" s="192"/>
      <c r="H5" s="192"/>
      <c r="I5" s="192"/>
      <c r="J5" s="192"/>
      <c r="K5" s="192"/>
      <c r="L5" s="192"/>
    </row>
    <row r="6" spans="1:12" s="2" customFormat="1" ht="12.75">
      <c r="A6" s="9">
        <v>1</v>
      </c>
      <c r="B6" s="10" t="str">
        <f>LIDER!E43</f>
        <v>MESHEL ARAGON AGUIRRE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3"/>
      <c r="G6" s="190"/>
      <c r="H6" s="188"/>
      <c r="I6" s="190"/>
      <c r="J6" s="188"/>
      <c r="K6" s="190"/>
      <c r="L6" s="188"/>
    </row>
    <row r="7" spans="1:12" s="2" customFormat="1" ht="15" customHeight="1">
      <c r="A7" s="12">
        <v>2</v>
      </c>
      <c r="B7" s="10" t="str">
        <f>LIDER!E44</f>
        <v>VALENTINA CASTRO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3"/>
      <c r="G7" s="190"/>
      <c r="H7" s="188"/>
      <c r="I7" s="190"/>
      <c r="J7" s="188"/>
      <c r="K7" s="190"/>
      <c r="L7" s="188"/>
    </row>
    <row r="8" spans="1:12" s="2" customFormat="1" ht="15" customHeight="1">
      <c r="A8" s="12">
        <v>3</v>
      </c>
      <c r="B8" s="10" t="str">
        <f>LIDER!E45</f>
        <v>JUAN DIEGO DEL RIO VEGA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3"/>
      <c r="G8" s="190"/>
      <c r="H8" s="188"/>
      <c r="I8" s="190"/>
      <c r="J8" s="188"/>
      <c r="K8" s="190"/>
      <c r="L8" s="188"/>
    </row>
    <row r="9" spans="1:12" s="2" customFormat="1" ht="15" customHeight="1">
      <c r="A9" s="12">
        <v>4</v>
      </c>
      <c r="B9" s="10" t="str">
        <f>LIDER!E46</f>
        <v>MELANIE ISABEL MONSALVE GRANADOS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3"/>
      <c r="G9" s="190"/>
      <c r="H9" s="188"/>
      <c r="I9" s="190"/>
      <c r="J9" s="188"/>
      <c r="K9" s="190"/>
      <c r="L9" s="188"/>
    </row>
    <row r="10" spans="1:12" s="2" customFormat="1" ht="15" customHeight="1">
      <c r="A10" s="12">
        <v>5</v>
      </c>
      <c r="B10" s="10" t="str">
        <f>LIDER!E47</f>
        <v>HANA SOFIA SANTANA GARCIA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3"/>
      <c r="G10" s="190"/>
      <c r="H10" s="188"/>
      <c r="I10" s="190"/>
      <c r="J10" s="188"/>
      <c r="K10" s="190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3"/>
      <c r="G11" s="190"/>
      <c r="H11" s="188"/>
      <c r="I11" s="190"/>
      <c r="J11" s="188"/>
      <c r="K11" s="190"/>
      <c r="L11" s="188"/>
    </row>
    <row r="12" spans="1:12" s="2" customFormat="1" ht="15.75" customHeight="1" thickBot="1">
      <c r="A12" s="8"/>
      <c r="B12" s="25" t="s">
        <v>118</v>
      </c>
      <c r="C12" s="88" t="s">
        <v>119</v>
      </c>
      <c r="D12" s="32" t="str">
        <f>D5</f>
        <v>LIST</v>
      </c>
      <c r="E12" s="89" t="s">
        <v>117</v>
      </c>
      <c r="F12" s="192" t="str">
        <f>LIDER!$E$30</f>
        <v>GRUPO#2: ANÁLISIS DE UNA OPORTUNIDAD DE NEGOCIO PARA LA COMERCIALIZACIÓN DE PRODUCTOS CAPILARES DE LA EMPRESA ROMELIA S.A.S. EN LOS MERCADOS POTENCIALES DE MEXICO, ESTADOS UNIDOS Y ESPAÑA</v>
      </c>
      <c r="G12" s="192"/>
      <c r="H12" s="192"/>
      <c r="I12" s="192"/>
      <c r="J12" s="192"/>
      <c r="K12" s="192"/>
      <c r="L12" s="192"/>
    </row>
    <row r="13" spans="1:12" s="2" customFormat="1" ht="12.75">
      <c r="A13" s="9">
        <v>1</v>
      </c>
      <c r="B13" s="10" t="str">
        <f>LIDER!F43</f>
        <v>EYLANS ANDRES AHUMADA SALAZAR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3"/>
      <c r="G13" s="190"/>
      <c r="H13" s="188"/>
      <c r="I13" s="190"/>
      <c r="J13" s="188"/>
      <c r="K13" s="190"/>
      <c r="L13" s="188"/>
    </row>
    <row r="14" spans="1:12" s="2" customFormat="1" ht="15" customHeight="1">
      <c r="A14" s="12">
        <v>2</v>
      </c>
      <c r="B14" s="10" t="str">
        <f>LIDER!F44</f>
        <v>KENDRY YIRETH LABIOSA VERGARA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3"/>
      <c r="G14" s="190"/>
      <c r="H14" s="188"/>
      <c r="I14" s="190"/>
      <c r="J14" s="188"/>
      <c r="K14" s="190"/>
      <c r="L14" s="188"/>
    </row>
    <row r="15" spans="1:12" s="2" customFormat="1" ht="15" customHeight="1">
      <c r="A15" s="12">
        <v>3</v>
      </c>
      <c r="B15" s="10" t="str">
        <f>LIDER!F45</f>
        <v>VALERY PAOLA OSORIO VIDAL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3"/>
      <c r="G15" s="190"/>
      <c r="H15" s="188"/>
      <c r="I15" s="190"/>
      <c r="J15" s="188"/>
      <c r="K15" s="190"/>
      <c r="L15" s="188"/>
    </row>
    <row r="16" spans="1:12" s="2" customFormat="1" ht="15" customHeight="1">
      <c r="A16" s="12">
        <v>4</v>
      </c>
      <c r="B16" s="10" t="str">
        <f>LIDER!F46</f>
        <v>YERLIS PAOLA RUIZ GARCIA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3"/>
      <c r="G16" s="190"/>
      <c r="H16" s="188"/>
      <c r="I16" s="190"/>
      <c r="J16" s="188"/>
      <c r="K16" s="190"/>
      <c r="L16" s="188"/>
    </row>
    <row r="17" spans="1:12" s="2" customFormat="1" ht="15" customHeight="1">
      <c r="A17" s="12">
        <v>5</v>
      </c>
      <c r="B17" s="10" t="str">
        <f>LIDER!F47</f>
        <v>DANIEL ISAAC SIMANCA SANCHEZ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3"/>
      <c r="G17" s="190"/>
      <c r="H17" s="188"/>
      <c r="I17" s="190"/>
      <c r="J17" s="188"/>
      <c r="K17" s="190"/>
      <c r="L17" s="18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3"/>
      <c r="G18" s="190"/>
      <c r="H18" s="188"/>
      <c r="I18" s="190"/>
      <c r="J18" s="188"/>
      <c r="K18" s="190"/>
      <c r="L18" s="188"/>
    </row>
    <row r="19" spans="1:12" s="2" customFormat="1" ht="15.75" customHeight="1">
      <c r="A19" s="14"/>
      <c r="B19" s="25" t="s">
        <v>120</v>
      </c>
      <c r="C19" s="88" t="s">
        <v>121</v>
      </c>
      <c r="D19" s="32" t="str">
        <f>D12</f>
        <v>LIST</v>
      </c>
      <c r="E19" s="89" t="s">
        <v>117</v>
      </c>
      <c r="F19" s="192" t="str">
        <f>LIDER!$E$31</f>
        <v xml:space="preserve">GRUPO#3: Identificación de una oportunidad de negocio para EcoCao S.A.S. mediante el estudio de Estados Unidos, Ecuador y Chile como mercados potenciales. </v>
      </c>
      <c r="G19" s="192"/>
      <c r="H19" s="192"/>
      <c r="I19" s="192"/>
      <c r="J19" s="192"/>
      <c r="K19" s="192"/>
      <c r="L19" s="192"/>
    </row>
    <row r="20" spans="1:12" s="2" customFormat="1" ht="12.75">
      <c r="A20" s="9">
        <v>1</v>
      </c>
      <c r="B20" s="10" t="str">
        <f>LIDER!G43</f>
        <v>DAVID ANDRES CASTILLA CARDENAS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3"/>
      <c r="G20" s="190"/>
      <c r="H20" s="188"/>
      <c r="I20" s="190"/>
      <c r="J20" s="188"/>
      <c r="K20" s="190"/>
      <c r="L20" s="188"/>
    </row>
    <row r="21" spans="1:12" s="2" customFormat="1" ht="15" customHeight="1">
      <c r="A21" s="12">
        <v>2</v>
      </c>
      <c r="B21" s="10" t="str">
        <f>LIDER!G44</f>
        <v>MARIA FERNANDA DE HORTA GOMEZ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3"/>
      <c r="G21" s="190"/>
      <c r="H21" s="188"/>
      <c r="I21" s="190"/>
      <c r="J21" s="188"/>
      <c r="K21" s="190"/>
      <c r="L21" s="188"/>
    </row>
    <row r="22" spans="1:12" s="2" customFormat="1" ht="15" customHeight="1">
      <c r="A22" s="12">
        <v>3</v>
      </c>
      <c r="B22" s="10" t="str">
        <f>LIDER!G45</f>
        <v>MARÍA ALEJANDRA LEMOS OCHOA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3"/>
      <c r="G22" s="190"/>
      <c r="H22" s="188"/>
      <c r="I22" s="190"/>
      <c r="J22" s="188"/>
      <c r="K22" s="190"/>
      <c r="L22" s="188"/>
    </row>
    <row r="23" spans="1:12" s="2" customFormat="1" ht="15" customHeight="1">
      <c r="A23" s="12">
        <v>4</v>
      </c>
      <c r="B23" s="10" t="str">
        <f>LIDER!G46</f>
        <v>SHARON JULIANA MONTES FERNANDEZ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3"/>
      <c r="G23" s="190"/>
      <c r="H23" s="188"/>
      <c r="I23" s="190"/>
      <c r="J23" s="188"/>
      <c r="K23" s="190"/>
      <c r="L23" s="188"/>
    </row>
    <row r="24" spans="1:12" s="2" customFormat="1" ht="15" customHeight="1">
      <c r="A24" s="12">
        <v>5</v>
      </c>
      <c r="B24" s="10" t="str">
        <f>LIDER!G47</f>
        <v>DAVID ALEJANDRO RHENALS LOPEZ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3"/>
      <c r="G24" s="190"/>
      <c r="H24" s="188"/>
      <c r="I24" s="190"/>
      <c r="J24" s="188"/>
      <c r="K24" s="190"/>
      <c r="L24" s="18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3"/>
      <c r="G25" s="190"/>
      <c r="H25" s="188"/>
      <c r="I25" s="190"/>
      <c r="J25" s="188"/>
      <c r="K25" s="190"/>
      <c r="L25" s="188"/>
    </row>
    <row r="26" spans="1:12" s="2" customFormat="1" ht="15.75" customHeight="1">
      <c r="A26" s="14"/>
      <c r="B26" s="25" t="s">
        <v>122</v>
      </c>
      <c r="C26" s="88" t="s">
        <v>123</v>
      </c>
      <c r="D26" s="32" t="str">
        <f>D19</f>
        <v>LIST</v>
      </c>
      <c r="E26" s="89" t="s">
        <v>117</v>
      </c>
      <c r="F26" s="192" t="str">
        <f>LIDER!$E$32</f>
        <v>GRUPO#4: Identificación de una Oportunidad de Negocio Internacional para la Harina de Plátano de ASOREPP mediante el Estudio de Tres Mercados Potenciales: España, Estados Unidos y Alemania</v>
      </c>
      <c r="G26" s="192"/>
      <c r="H26" s="192"/>
      <c r="I26" s="192"/>
      <c r="J26" s="192"/>
      <c r="K26" s="192"/>
      <c r="L26" s="192"/>
    </row>
    <row r="27" spans="1:12" s="2" customFormat="1" ht="12.75">
      <c r="A27" s="9">
        <v>1</v>
      </c>
      <c r="B27" s="10" t="str">
        <f>LIDER!H43</f>
        <v>JHORDAN JOSE BARROS PEÑA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3"/>
      <c r="G27" s="190"/>
      <c r="H27" s="188"/>
      <c r="I27" s="190"/>
      <c r="J27" s="188"/>
      <c r="K27" s="190"/>
      <c r="L27" s="188"/>
    </row>
    <row r="28" spans="1:12" s="2" customFormat="1" ht="15" customHeight="1">
      <c r="A28" s="12">
        <v>2</v>
      </c>
      <c r="B28" s="10" t="str">
        <f>LIDER!H44</f>
        <v>RUTH SARAY PATERNINA PÉREZ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3"/>
      <c r="G28" s="190"/>
      <c r="H28" s="188"/>
      <c r="I28" s="190"/>
      <c r="J28" s="188"/>
      <c r="K28" s="190"/>
      <c r="L28" s="188"/>
    </row>
    <row r="29" spans="1:12" s="2" customFormat="1" ht="15" customHeight="1">
      <c r="A29" s="12">
        <v>3</v>
      </c>
      <c r="B29" s="10" t="str">
        <f>LIDER!H45</f>
        <v>HECTOR FABIO PEREIRA PACHECO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3"/>
      <c r="G29" s="190"/>
      <c r="H29" s="188"/>
      <c r="I29" s="190"/>
      <c r="J29" s="188"/>
      <c r="K29" s="190"/>
      <c r="L29" s="188"/>
    </row>
    <row r="30" spans="1:12" s="2" customFormat="1" ht="15" customHeight="1">
      <c r="A30" s="12">
        <v>4</v>
      </c>
      <c r="B30" s="10" t="str">
        <f>LIDER!H46</f>
        <v>JUAN RICARDO SERRANO PALLARES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3"/>
      <c r="G30" s="190"/>
      <c r="H30" s="188"/>
      <c r="I30" s="190"/>
      <c r="J30" s="188"/>
      <c r="K30" s="190"/>
      <c r="L30" s="188"/>
    </row>
    <row r="31" spans="1:12" s="2" customFormat="1" ht="15" customHeight="1">
      <c r="A31" s="12">
        <v>5</v>
      </c>
      <c r="B31" s="10" t="str">
        <f>LIDER!H47</f>
        <v>KEILYS JHOANA DE ÁVILA FONTALVO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3"/>
      <c r="G31" s="190"/>
      <c r="H31" s="188"/>
      <c r="I31" s="190"/>
      <c r="J31" s="188"/>
      <c r="K31" s="190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3"/>
      <c r="G32" s="190"/>
      <c r="H32" s="188"/>
      <c r="I32" s="190"/>
      <c r="J32" s="188"/>
      <c r="K32" s="190"/>
      <c r="L32" s="188"/>
    </row>
    <row r="33" spans="1:12" s="2" customFormat="1" ht="15.75" customHeight="1">
      <c r="A33" s="14"/>
      <c r="B33" s="25" t="s">
        <v>124</v>
      </c>
      <c r="C33" s="88" t="s">
        <v>125</v>
      </c>
      <c r="D33" s="32" t="str">
        <f>D26</f>
        <v>LIST</v>
      </c>
      <c r="E33" s="89" t="s">
        <v>117</v>
      </c>
      <c r="F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G33" s="192"/>
      <c r="H33" s="192"/>
      <c r="I33" s="192"/>
      <c r="J33" s="192"/>
      <c r="K33" s="192"/>
      <c r="L33" s="192"/>
    </row>
    <row r="34" spans="1:12" s="2" customFormat="1" ht="12.75">
      <c r="A34" s="9">
        <v>1</v>
      </c>
      <c r="B34" s="10" t="str">
        <f>LIDER!E51</f>
        <v>VALERIE SOFIA CERA TORRIENTE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3"/>
      <c r="G34" s="190"/>
      <c r="H34" s="188"/>
      <c r="I34" s="190"/>
      <c r="J34" s="188"/>
      <c r="K34" s="190"/>
      <c r="L34" s="188"/>
    </row>
    <row r="35" spans="1:12" s="2" customFormat="1" ht="15" customHeight="1">
      <c r="A35" s="12">
        <v>2</v>
      </c>
      <c r="B35" s="10" t="str">
        <f>LIDER!E52</f>
        <v>CRISTINA LUCIA ESTRADA SANTOYA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3"/>
      <c r="G35" s="190"/>
      <c r="H35" s="188"/>
      <c r="I35" s="190"/>
      <c r="J35" s="188"/>
      <c r="K35" s="190"/>
      <c r="L35" s="188"/>
    </row>
    <row r="36" spans="1:12" s="2" customFormat="1" ht="15" customHeight="1">
      <c r="A36" s="12">
        <v>3</v>
      </c>
      <c r="B36" s="10" t="str">
        <f>LIDER!E53</f>
        <v>JIRETH PAOLA GARCIA COLON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3"/>
      <c r="G36" s="190"/>
      <c r="H36" s="188"/>
      <c r="I36" s="190"/>
      <c r="J36" s="188"/>
      <c r="K36" s="190"/>
      <c r="L36" s="188"/>
    </row>
    <row r="37" spans="1:12" s="2" customFormat="1" ht="15" customHeight="1">
      <c r="A37" s="12">
        <v>4</v>
      </c>
      <c r="B37" s="10" t="str">
        <f>LIDER!E54</f>
        <v>LAURENT SOFIA IBARGUEN GULFO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3"/>
      <c r="G37" s="190"/>
      <c r="H37" s="188"/>
      <c r="I37" s="190"/>
      <c r="J37" s="188"/>
      <c r="K37" s="190"/>
      <c r="L37" s="188"/>
    </row>
    <row r="38" spans="1:12" s="2" customFormat="1" ht="15" customHeight="1">
      <c r="A38" s="12">
        <v>5</v>
      </c>
      <c r="B38" s="10" t="str">
        <f>LIDER!E55</f>
        <v>EVELYN SANCHEZ GONZALEZ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3"/>
      <c r="G38" s="190"/>
      <c r="H38" s="188"/>
      <c r="I38" s="190"/>
      <c r="J38" s="188"/>
      <c r="K38" s="190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3"/>
      <c r="G39" s="190"/>
      <c r="H39" s="188"/>
      <c r="I39" s="190"/>
      <c r="J39" s="188"/>
      <c r="K39" s="190"/>
      <c r="L39" s="188"/>
    </row>
    <row r="40" spans="1:12" s="2" customFormat="1" ht="15.75" customHeight="1">
      <c r="A40" s="14"/>
      <c r="B40" s="25" t="s">
        <v>126</v>
      </c>
      <c r="C40" s="88" t="s">
        <v>127</v>
      </c>
      <c r="D40" s="32" t="str">
        <f>D33</f>
        <v>LIST</v>
      </c>
      <c r="E40" s="89" t="s">
        <v>117</v>
      </c>
      <c r="F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G40" s="192"/>
      <c r="H40" s="192"/>
      <c r="I40" s="192"/>
      <c r="J40" s="192"/>
      <c r="K40" s="192"/>
      <c r="L40" s="192"/>
    </row>
    <row r="41" spans="1:12" s="2" customFormat="1" ht="12.75">
      <c r="A41" s="9">
        <v>1</v>
      </c>
      <c r="B41" s="10" t="str">
        <f>LIDER!F51</f>
        <v>SANTIAGO JOSE BUELVAS CARRILLO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3"/>
      <c r="G41" s="190"/>
      <c r="H41" s="188"/>
      <c r="I41" s="190"/>
      <c r="J41" s="188"/>
      <c r="K41" s="190"/>
      <c r="L41" s="188"/>
    </row>
    <row r="42" spans="1:12" s="2" customFormat="1" ht="15" customHeight="1">
      <c r="A42" s="12">
        <v>2</v>
      </c>
      <c r="B42" s="10" t="str">
        <f>LIDER!F52</f>
        <v>VALERIA SOFIA VENENCIA SANES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3"/>
      <c r="G42" s="190"/>
      <c r="H42" s="188"/>
      <c r="I42" s="190"/>
      <c r="J42" s="188"/>
      <c r="K42" s="190"/>
      <c r="L42" s="188"/>
    </row>
    <row r="43" spans="1:12" s="2" customFormat="1" ht="15" customHeight="1">
      <c r="A43" s="12">
        <v>3</v>
      </c>
      <c r="B43" s="10" t="str">
        <f>LIDER!F53</f>
        <v>ESTEBAN DAVID DORIA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3"/>
      <c r="G43" s="190"/>
      <c r="H43" s="188"/>
      <c r="I43" s="190"/>
      <c r="J43" s="188"/>
      <c r="K43" s="190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3"/>
      <c r="G44" s="190"/>
      <c r="H44" s="188"/>
      <c r="I44" s="190"/>
      <c r="J44" s="188"/>
      <c r="K44" s="190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3"/>
      <c r="G45" s="190"/>
      <c r="H45" s="188"/>
      <c r="I45" s="190"/>
      <c r="J45" s="188"/>
      <c r="K45" s="190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3"/>
      <c r="G46" s="190"/>
      <c r="H46" s="188"/>
      <c r="I46" s="190"/>
      <c r="J46" s="188"/>
      <c r="K46" s="190"/>
      <c r="L46" s="188"/>
    </row>
    <row r="47" spans="1:12" s="2" customFormat="1" ht="15.75" customHeight="1">
      <c r="A47" s="14"/>
      <c r="B47" s="25" t="s">
        <v>128</v>
      </c>
      <c r="C47" s="88" t="s">
        <v>129</v>
      </c>
      <c r="D47" s="32" t="str">
        <f>D40</f>
        <v>LIST</v>
      </c>
      <c r="E47" s="89" t="s">
        <v>117</v>
      </c>
      <c r="F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G47" s="192"/>
      <c r="H47" s="192"/>
      <c r="I47" s="192"/>
      <c r="J47" s="192"/>
      <c r="K47" s="192"/>
      <c r="L47" s="192"/>
    </row>
    <row r="48" spans="1:12" s="2" customFormat="1" ht="12.75">
      <c r="A48" s="9">
        <v>1</v>
      </c>
      <c r="B48" s="10" t="str">
        <f>LIDER!G51</f>
        <v>VALENTINA LUZ AVILEZ BERMUDEZ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3"/>
      <c r="G48" s="190"/>
      <c r="H48" s="188"/>
      <c r="I48" s="190"/>
      <c r="J48" s="188"/>
      <c r="K48" s="190"/>
      <c r="L48" s="188"/>
    </row>
    <row r="49" spans="1:12" s="2" customFormat="1" ht="15" customHeight="1">
      <c r="A49" s="12">
        <v>2</v>
      </c>
      <c r="B49" s="10" t="str">
        <f>LIDER!G52</f>
        <v>YANINE MILLET BERMUDEZ JIMENEZ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3"/>
      <c r="G49" s="190"/>
      <c r="H49" s="188"/>
      <c r="I49" s="190"/>
      <c r="J49" s="188"/>
      <c r="K49" s="190"/>
      <c r="L49" s="188"/>
    </row>
    <row r="50" spans="1:12" s="2" customFormat="1" ht="15" customHeight="1">
      <c r="A50" s="12">
        <v>3</v>
      </c>
      <c r="B50" s="10" t="str">
        <f>LIDER!G53</f>
        <v>YURLEINIS MAZA MORALES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3"/>
      <c r="G50" s="190"/>
      <c r="H50" s="188"/>
      <c r="I50" s="190"/>
      <c r="J50" s="188"/>
      <c r="K50" s="190"/>
      <c r="L50" s="188"/>
    </row>
    <row r="51" spans="1:12" s="2" customFormat="1" ht="15" customHeight="1">
      <c r="A51" s="12">
        <v>4</v>
      </c>
      <c r="B51" s="10" t="str">
        <f>LIDER!G54</f>
        <v>DAYANA LUCIA PALLARES MENDOZA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3"/>
      <c r="G51" s="190"/>
      <c r="H51" s="188"/>
      <c r="I51" s="190"/>
      <c r="J51" s="188"/>
      <c r="K51" s="190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3"/>
      <c r="G52" s="190"/>
      <c r="H52" s="188"/>
      <c r="I52" s="190"/>
      <c r="J52" s="188"/>
      <c r="K52" s="190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3"/>
      <c r="G53" s="190"/>
      <c r="H53" s="188"/>
      <c r="I53" s="190"/>
      <c r="J53" s="188"/>
      <c r="K53" s="190"/>
      <c r="L53" s="188"/>
    </row>
    <row r="54" spans="1:12" s="2" customFormat="1" ht="15.75" customHeight="1">
      <c r="A54" s="14"/>
      <c r="B54" s="25" t="s">
        <v>130</v>
      </c>
      <c r="C54" s="88" t="s">
        <v>131</v>
      </c>
      <c r="D54" s="32" t="str">
        <f>D47</f>
        <v>LIST</v>
      </c>
      <c r="E54" s="89" t="s">
        <v>117</v>
      </c>
      <c r="F54" s="192" t="str">
        <f>LIDER!$E$36</f>
        <v>GRUPO#8: Identificación de Oportunidad de Negocios para la exportación de Gel con Pigmento de la marca ADDA Gel-Styling en los mercados potenciales de Perú, Estados Unidos y Ecuador</v>
      </c>
      <c r="G54" s="192"/>
      <c r="H54" s="192"/>
      <c r="I54" s="192"/>
      <c r="J54" s="192"/>
      <c r="K54" s="192"/>
      <c r="L54" s="192"/>
    </row>
    <row r="55" spans="1:12" s="2" customFormat="1" ht="12.75">
      <c r="A55" s="9">
        <v>1</v>
      </c>
      <c r="B55" s="10" t="str">
        <f>LIDER!H51</f>
        <v>DALIA MARIA DEL CARMEN CONDE RAMIREZ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3"/>
      <c r="G55" s="190"/>
      <c r="H55" s="188"/>
      <c r="I55" s="190"/>
      <c r="J55" s="188"/>
      <c r="K55" s="190"/>
      <c r="L55" s="188"/>
    </row>
    <row r="56" spans="1:12" s="2" customFormat="1" ht="15" customHeight="1">
      <c r="A56" s="12">
        <v>2</v>
      </c>
      <c r="B56" s="10" t="str">
        <f>LIDER!H52</f>
        <v>ANGEL MANUEL GONZALEZ ALVAREZ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3"/>
      <c r="G56" s="190"/>
      <c r="H56" s="188"/>
      <c r="I56" s="190"/>
      <c r="J56" s="188"/>
      <c r="K56" s="190"/>
      <c r="L56" s="188"/>
    </row>
    <row r="57" spans="1:12" s="2" customFormat="1" ht="15" customHeight="1">
      <c r="A57" s="12">
        <v>3</v>
      </c>
      <c r="B57" s="10" t="str">
        <f>LIDER!H53</f>
        <v>DAINY CAROLINA OLEA TORRES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3"/>
      <c r="G57" s="190"/>
      <c r="H57" s="188"/>
      <c r="I57" s="190"/>
      <c r="J57" s="188"/>
      <c r="K57" s="190"/>
      <c r="L57" s="188"/>
    </row>
    <row r="58" spans="1:12" s="2" customFormat="1" ht="15" customHeight="1">
      <c r="A58" s="12">
        <v>4</v>
      </c>
      <c r="B58" s="10" t="str">
        <f>LIDER!H54</f>
        <v>ANDRÉS ESTEBAN VÁSQUEZ GONZÁLEZ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3"/>
      <c r="G58" s="190"/>
      <c r="H58" s="188"/>
      <c r="I58" s="190"/>
      <c r="J58" s="188"/>
      <c r="K58" s="190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3"/>
      <c r="G59" s="190"/>
      <c r="H59" s="188"/>
      <c r="I59" s="190"/>
      <c r="J59" s="188"/>
      <c r="K59" s="190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3"/>
      <c r="G60" s="190"/>
      <c r="H60" s="188"/>
      <c r="I60" s="190"/>
      <c r="J60" s="188"/>
      <c r="K60" s="190"/>
      <c r="L60" s="188"/>
    </row>
    <row r="61" spans="1:12" s="2" customFormat="1" ht="15.75" customHeight="1">
      <c r="A61" s="14"/>
      <c r="B61" s="25" t="s">
        <v>132</v>
      </c>
      <c r="C61" s="88" t="s">
        <v>133</v>
      </c>
      <c r="D61" s="32" t="str">
        <f>D54</f>
        <v>LIST</v>
      </c>
      <c r="E61" s="89" t="s">
        <v>117</v>
      </c>
      <c r="F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G61" s="192"/>
      <c r="H61" s="192"/>
      <c r="I61" s="192"/>
      <c r="J61" s="192"/>
      <c r="K61" s="192"/>
      <c r="L61" s="192"/>
    </row>
    <row r="62" spans="1:12" s="2" customFormat="1" ht="12.75">
      <c r="A62" s="9">
        <v>1</v>
      </c>
      <c r="B62" s="10" t="str">
        <f>LIDER!E59</f>
        <v>JOSE EDUARDO ARRIETA MEJIA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3"/>
      <c r="G62" s="190"/>
      <c r="H62" s="188"/>
      <c r="I62" s="190"/>
      <c r="J62" s="188"/>
      <c r="K62" s="190"/>
      <c r="L62" s="188"/>
    </row>
    <row r="63" spans="1:12" s="2" customFormat="1" ht="15" customHeight="1">
      <c r="A63" s="12">
        <v>2</v>
      </c>
      <c r="B63" s="10" t="str">
        <f>LIDER!E60</f>
        <v>VALENTINA BERRIO LOPEZ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3"/>
      <c r="G63" s="190"/>
      <c r="H63" s="188"/>
      <c r="I63" s="190"/>
      <c r="J63" s="188"/>
      <c r="K63" s="190"/>
      <c r="L63" s="188"/>
    </row>
    <row r="64" spans="1:12" s="2" customFormat="1" ht="15" customHeight="1">
      <c r="A64" s="12">
        <v>3</v>
      </c>
      <c r="B64" s="10" t="str">
        <f>LIDER!E61</f>
        <v>SANTIAGO BOHÓRQUEZ CANTERO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3"/>
      <c r="G64" s="190"/>
      <c r="H64" s="188"/>
      <c r="I64" s="190"/>
      <c r="J64" s="188"/>
      <c r="K64" s="190"/>
      <c r="L64" s="188"/>
    </row>
    <row r="65" spans="1:12" s="2" customFormat="1" ht="15" customHeight="1">
      <c r="A65" s="12">
        <v>4</v>
      </c>
      <c r="B65" s="10" t="str">
        <f>LIDER!E62</f>
        <v>NICOLE ANTHONELLA CAMPOS ABREU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3"/>
      <c r="G65" s="190"/>
      <c r="H65" s="188"/>
      <c r="I65" s="190"/>
      <c r="J65" s="188"/>
      <c r="K65" s="190"/>
      <c r="L65" s="188"/>
    </row>
    <row r="66" spans="1:12" s="2" customFormat="1" ht="15" customHeight="1">
      <c r="A66" s="12">
        <v>5</v>
      </c>
      <c r="B66" s="10" t="str">
        <f>LIDER!E63</f>
        <v>DELIA ROSA GARCIA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3"/>
      <c r="G66" s="190"/>
      <c r="H66" s="188"/>
      <c r="I66" s="190"/>
      <c r="J66" s="188"/>
      <c r="K66" s="190"/>
      <c r="L66" s="188"/>
    </row>
    <row r="67" spans="1:12" s="2" customFormat="1" ht="15.75" customHeight="1">
      <c r="A67" s="13">
        <v>6</v>
      </c>
      <c r="B67" s="91" t="str">
        <f>LIDER!E64</f>
        <v>SAMUEL DAVID PÉREZ MUÑOZ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3"/>
      <c r="G67" s="190"/>
      <c r="H67" s="188"/>
      <c r="I67" s="190"/>
      <c r="J67" s="188"/>
      <c r="K67" s="190"/>
      <c r="L67" s="188"/>
    </row>
    <row r="68" spans="1:12" s="2" customFormat="1" ht="15.75" customHeight="1">
      <c r="A68" s="14"/>
      <c r="B68" s="25" t="s">
        <v>134</v>
      </c>
      <c r="C68" s="88" t="s">
        <v>135</v>
      </c>
      <c r="D68" s="32" t="str">
        <f>D61</f>
        <v>LIST</v>
      </c>
      <c r="E68" s="89" t="s">
        <v>117</v>
      </c>
      <c r="F68" s="192" t="str">
        <f>LIDER!$E$38</f>
        <v>GRUPO#10: FRUTÉA: Aprovechamiento de frutas colombianas para la elaboración y comercialización de mermeladas</v>
      </c>
      <c r="G68" s="192"/>
      <c r="H68" s="192"/>
      <c r="I68" s="192"/>
      <c r="J68" s="192"/>
      <c r="K68" s="192"/>
      <c r="L68" s="192"/>
    </row>
    <row r="69" spans="1:12" s="2" customFormat="1" ht="12.75">
      <c r="A69" s="9">
        <v>1</v>
      </c>
      <c r="B69" s="10" t="str">
        <f>LIDER!F59</f>
        <v>YUREIDYS ALVAREZ CASTELLANO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3"/>
      <c r="G69" s="190"/>
      <c r="H69" s="188"/>
      <c r="I69" s="190"/>
      <c r="J69" s="188"/>
      <c r="K69" s="190"/>
      <c r="L69" s="188"/>
    </row>
    <row r="70" spans="1:12" s="2" customFormat="1" ht="15" customHeight="1">
      <c r="A70" s="12">
        <v>2</v>
      </c>
      <c r="B70" s="10" t="str">
        <f>LIDER!F60</f>
        <v>EFRAÍN JOSÉ CEBALLOS SALGADO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3"/>
      <c r="G70" s="190"/>
      <c r="H70" s="188"/>
      <c r="I70" s="190"/>
      <c r="J70" s="188"/>
      <c r="K70" s="190"/>
      <c r="L70" s="188"/>
    </row>
    <row r="71" spans="1:12" s="2" customFormat="1" ht="15" customHeight="1">
      <c r="A71" s="12">
        <v>3</v>
      </c>
      <c r="B71" s="10" t="str">
        <f>LIDER!F61</f>
        <v>ANDRES FELIPE TORRES ARROYO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3"/>
      <c r="G71" s="190"/>
      <c r="H71" s="188"/>
      <c r="I71" s="190"/>
      <c r="J71" s="188"/>
      <c r="K71" s="190"/>
      <c r="L71" s="188"/>
    </row>
    <row r="72" spans="1:12" s="2" customFormat="1" ht="15" customHeight="1">
      <c r="A72" s="12">
        <v>4</v>
      </c>
      <c r="B72" s="10" t="str">
        <f>LIDER!F62</f>
        <v>YUSETH DAVID VILLEGAS ARTEAGA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3"/>
      <c r="G72" s="190"/>
      <c r="H72" s="188"/>
      <c r="I72" s="190"/>
      <c r="J72" s="188"/>
      <c r="K72" s="190"/>
      <c r="L72" s="188"/>
    </row>
    <row r="73" spans="1:12" s="2" customFormat="1" ht="15" customHeight="1">
      <c r="A73" s="12">
        <v>5</v>
      </c>
      <c r="B73" s="10" t="str">
        <f>LIDER!F63</f>
        <v>ISAAC JOSE ZAPATA ZAPATA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3"/>
      <c r="G73" s="190"/>
      <c r="H73" s="188"/>
      <c r="I73" s="190"/>
      <c r="J73" s="188"/>
      <c r="K73" s="190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3"/>
      <c r="G74" s="190"/>
      <c r="H74" s="188"/>
      <c r="I74" s="190"/>
      <c r="J74" s="188"/>
      <c r="K74" s="190"/>
      <c r="L74" s="188"/>
    </row>
    <row r="75" spans="1:12" s="2" customFormat="1" ht="15.75" customHeight="1">
      <c r="A75" s="14"/>
      <c r="B75" s="25" t="s">
        <v>136</v>
      </c>
      <c r="C75" s="88" t="s">
        <v>137</v>
      </c>
      <c r="D75" s="32" t="str">
        <f>D68</f>
        <v>LIST</v>
      </c>
      <c r="E75" s="89" t="s">
        <v>117</v>
      </c>
      <c r="F75" s="192" t="str">
        <f>LIDER!$E$39</f>
        <v>GRUPO#11: Identificación de una oportunidad de negocio para una barra energética funcional de café colombiano en los mercados de Estados Unidos, Alemania y Canadá</v>
      </c>
      <c r="G75" s="192"/>
      <c r="H75" s="192"/>
      <c r="I75" s="192"/>
      <c r="J75" s="192"/>
      <c r="K75" s="192"/>
      <c r="L75" s="192"/>
    </row>
    <row r="76" spans="1:12" s="2" customFormat="1" ht="12.75">
      <c r="A76" s="9">
        <v>1</v>
      </c>
      <c r="B76" s="10" t="str">
        <f>LIDER!G59</f>
        <v>ANDREA KAROLAY CARRILLO GOMEZ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3"/>
      <c r="G76" s="190"/>
      <c r="H76" s="188"/>
      <c r="I76" s="190"/>
      <c r="J76" s="188"/>
      <c r="K76" s="190"/>
      <c r="L76" s="188"/>
    </row>
    <row r="77" spans="1:12" s="2" customFormat="1" ht="15" customHeight="1">
      <c r="A77" s="12">
        <v>2</v>
      </c>
      <c r="B77" s="10" t="str">
        <f>LIDER!G60</f>
        <v>MARIANA JIMENEZ DEVOZ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3"/>
      <c r="G77" s="190"/>
      <c r="H77" s="188"/>
      <c r="I77" s="190"/>
      <c r="J77" s="188"/>
      <c r="K77" s="190"/>
      <c r="L77" s="188"/>
    </row>
    <row r="78" spans="1:12" s="2" customFormat="1" ht="15" customHeight="1">
      <c r="A78" s="12">
        <v>3</v>
      </c>
      <c r="B78" s="10" t="str">
        <f>LIDER!G61</f>
        <v>WYLYS JUNIOR ORTIZ ZUÑIGA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3"/>
      <c r="G78" s="190"/>
      <c r="H78" s="188"/>
      <c r="I78" s="190"/>
      <c r="J78" s="188"/>
      <c r="K78" s="190"/>
      <c r="L78" s="188"/>
    </row>
    <row r="79" spans="1:12" s="2" customFormat="1" ht="15" customHeight="1">
      <c r="A79" s="12">
        <v>4</v>
      </c>
      <c r="B79" s="10" t="str">
        <f>LIDER!G62</f>
        <v>MELANI DESTERLYN RAMIREZ CUADRO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3"/>
      <c r="G79" s="190"/>
      <c r="H79" s="188"/>
      <c r="I79" s="190"/>
      <c r="J79" s="188"/>
      <c r="K79" s="190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3"/>
      <c r="G80" s="190"/>
      <c r="H80" s="188"/>
      <c r="I80" s="190"/>
      <c r="J80" s="188"/>
      <c r="K80" s="190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3"/>
      <c r="G81" s="190"/>
      <c r="H81" s="188"/>
      <c r="I81" s="190"/>
      <c r="J81" s="188"/>
      <c r="K81" s="190"/>
      <c r="L81" s="188"/>
    </row>
    <row r="82" spans="1:12" s="2" customFormat="1" ht="15.75" customHeight="1">
      <c r="A82" s="14"/>
      <c r="B82" s="25" t="s">
        <v>92</v>
      </c>
      <c r="C82" s="88" t="s">
        <v>138</v>
      </c>
      <c r="D82" s="32" t="str">
        <f>D75</f>
        <v>LIST</v>
      </c>
      <c r="E82" s="89" t="s">
        <v>117</v>
      </c>
      <c r="F82" s="192" t="str">
        <f>LIDER!$E$40</f>
        <v>GRUPO#12</v>
      </c>
      <c r="G82" s="192"/>
      <c r="H82" s="192"/>
      <c r="I82" s="192"/>
      <c r="J82" s="192"/>
      <c r="K82" s="192"/>
      <c r="L82" s="19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3"/>
      <c r="G83" s="190"/>
      <c r="H83" s="188"/>
      <c r="I83" s="190"/>
      <c r="J83" s="188"/>
      <c r="K83" s="190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3"/>
      <c r="G84" s="190"/>
      <c r="H84" s="188"/>
      <c r="I84" s="190"/>
      <c r="J84" s="188"/>
      <c r="K84" s="190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3"/>
      <c r="G85" s="190"/>
      <c r="H85" s="188"/>
      <c r="I85" s="190"/>
      <c r="J85" s="188"/>
      <c r="K85" s="190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3"/>
      <c r="G86" s="190"/>
      <c r="H86" s="188"/>
      <c r="I86" s="190"/>
      <c r="J86" s="188"/>
      <c r="K86" s="190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3"/>
      <c r="G87" s="190"/>
      <c r="H87" s="188"/>
      <c r="I87" s="190"/>
      <c r="J87" s="188"/>
      <c r="K87" s="190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4"/>
      <c r="G88" s="191"/>
      <c r="H88" s="189"/>
      <c r="I88" s="191"/>
      <c r="J88" s="189"/>
      <c r="K88" s="191"/>
      <c r="L88" s="18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0" zoomScaleNormal="70" workbookViewId="0">
      <pane xSplit="4" ySplit="3" topLeftCell="E69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ESTADÍSTICA</v>
      </c>
      <c r="C2" s="3"/>
      <c r="E2" s="203" t="s">
        <v>112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113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CONCATENATE(LIDER!C4," - ",LIDER!C6," - ",LIDER!C5)</f>
        <v>ESTADÍSTICA - 1792 - OSVALDO ALCIDE BLANQUICET LOZANO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114</v>
      </c>
      <c r="C5" s="32" t="str">
        <f>IF('S-ASIG-01'!D5="","",'S-ASIG-01'!D5)</f>
        <v>LIST</v>
      </c>
      <c r="D5" s="35" t="s">
        <v>117</v>
      </c>
      <c r="E5" s="206" t="str">
        <f>LIDER!$E$29</f>
        <v>GRUPO#1: Identificación de una Oportunidad de Negocio Internacional para el Sistema de Riego Solar mediante el Estudio de Tres Mercados Potenciales: Chile, España y Estados Unidos</v>
      </c>
      <c r="F5" s="192"/>
      <c r="G5" s="192"/>
      <c r="H5" s="192"/>
      <c r="I5" s="192"/>
      <c r="J5" s="192"/>
      <c r="K5" s="192"/>
    </row>
    <row r="6" spans="1:11" s="2" customFormat="1" ht="12.75">
      <c r="A6" s="9">
        <v>1</v>
      </c>
      <c r="B6" s="28" t="str">
        <f>LIDER!E43</f>
        <v>MESHEL ARAGON AGUIRRE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PEREZ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DIEGO DEL RIO VEGA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MELANIE ISABEL MONSALVE GRANADOS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HANA SOFIA SANTANA GARCIA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118</v>
      </c>
      <c r="C12" s="32" t="str">
        <f>IF('S-ASIG-01'!D12="","",'S-ASIG-01'!D12)</f>
        <v>LIST</v>
      </c>
      <c r="D12" s="35" t="s">
        <v>117</v>
      </c>
      <c r="E12" s="206" t="str">
        <f>LIDER!$E$30</f>
        <v>GRUPO#2: ANÁLISIS DE UNA OPORTUNIDAD DE NEGOCIO PARA LA COMERCIALIZACIÓN DE PRODUCTOS CAPILARES DE LA EMPRESA ROMELIA S.A.S. EN LOS MERCADOS POTENCIALES DE MEXICO, ESTADOS UNIDOS Y ESPAÑA</v>
      </c>
      <c r="F12" s="192"/>
      <c r="G12" s="192"/>
      <c r="H12" s="192"/>
      <c r="I12" s="192"/>
      <c r="J12" s="192"/>
      <c r="K12" s="192"/>
    </row>
    <row r="13" spans="1:11" s="2" customFormat="1" ht="12.75">
      <c r="A13" s="9">
        <v>1</v>
      </c>
      <c r="B13" s="28" t="str">
        <f>LIDER!F43</f>
        <v>EYLANS ANDRES AHUMADA SALAZAR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KENDRY YIRETH LABIOSA VERGARA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VALERY PAOLA OSORIO VIDAL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YERLIS PAOLA RUIZ GARCIA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ISAAC SIMANCA SANCHEZ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120</v>
      </c>
      <c r="C19" s="32" t="str">
        <f>IF('S-ASIG-01'!D19="","",'S-ASIG-01'!D19)</f>
        <v>LIST</v>
      </c>
      <c r="D19" s="35" t="s">
        <v>117</v>
      </c>
      <c r="E19" s="206" t="str">
        <f>LIDER!$E$31</f>
        <v xml:space="preserve">GRUPO#3: Identificación de una oportunidad de negocio para EcoCao S.A.S. mediante el estudio de Estados Unidos, Ecuador y Chile como mercados potenciales. </v>
      </c>
      <c r="F19" s="192"/>
      <c r="G19" s="192"/>
      <c r="H19" s="192"/>
      <c r="I19" s="192"/>
      <c r="J19" s="192"/>
      <c r="K19" s="192"/>
    </row>
    <row r="20" spans="1:11" s="2" customFormat="1" ht="12.75">
      <c r="A20" s="9">
        <v>1</v>
      </c>
      <c r="B20" s="28" t="str">
        <f>LIDER!G43</f>
        <v>DAVID ANDRES CASTILLA CARDENAS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MARIA FERNANDA DE HORTA GOMEZ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MARÍA ALEJANDRA LEMOS OCHOA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MONTES FERNANDEZ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DAVID ALEJANDRO RHENALS LOPEZ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122</v>
      </c>
      <c r="C26" s="32" t="str">
        <f>IF('S-ASIG-01'!D26="","",'S-ASIG-01'!D26)</f>
        <v>LIST</v>
      </c>
      <c r="D26" s="35" t="s">
        <v>117</v>
      </c>
      <c r="E26" s="206" t="str">
        <f>LIDER!$E$32</f>
        <v>GRUPO#4: Identificación de una Oportunidad de Negocio Internacional para la Harina de Plátano de ASOREPP mediante el Estudio de Tres Mercados Potenciales: España, Estados Unidos y Alemania</v>
      </c>
      <c r="F26" s="192"/>
      <c r="G26" s="192"/>
      <c r="H26" s="192"/>
      <c r="I26" s="192"/>
      <c r="J26" s="192"/>
      <c r="K26" s="192"/>
    </row>
    <row r="27" spans="1:11" s="2" customFormat="1" ht="12.75">
      <c r="A27" s="9">
        <v>1</v>
      </c>
      <c r="B27" s="28" t="str">
        <f>LIDER!H43</f>
        <v>JHORDAN JOSE BARROS PEÑA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RUTH SARAY PATERNINA PÉREZ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HECTOR FABIO PEREIRA PACHECO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RICARDO SERRANO PALLARES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KEILYS JHOANA DE ÁVILA FONTALVO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124</v>
      </c>
      <c r="C33" s="32" t="str">
        <f>IF('S-ASIG-01'!D33="","",'S-ASIG-01'!D33)</f>
        <v>LIST</v>
      </c>
      <c r="D33" s="35" t="s">
        <v>117</v>
      </c>
      <c r="E33" s="206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F33" s="192"/>
      <c r="G33" s="192"/>
      <c r="H33" s="192"/>
      <c r="I33" s="192"/>
      <c r="J33" s="192"/>
      <c r="K33" s="192"/>
    </row>
    <row r="34" spans="1:11" s="2" customFormat="1" ht="12.75">
      <c r="A34" s="9">
        <v>1</v>
      </c>
      <c r="B34" s="28" t="str">
        <f>LIDER!E51</f>
        <v>VALERIE SOFIA CERA TORRIENTE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CRISTINA LUCIA ESTRADA SANTOYA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JIRETH PAOLA GARCIA COLON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LAURENT SOFIA IBARGUEN GULFO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EVELYN SANCHEZ GONZALEZ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126</v>
      </c>
      <c r="C40" s="32" t="str">
        <f>IF('S-ASIG-01'!D40="","",'S-ASIG-01'!D40)</f>
        <v>LIST</v>
      </c>
      <c r="D40" s="35" t="s">
        <v>117</v>
      </c>
      <c r="E40" s="206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F40" s="192"/>
      <c r="G40" s="192"/>
      <c r="H40" s="192"/>
      <c r="I40" s="192"/>
      <c r="J40" s="192"/>
      <c r="K40" s="192"/>
    </row>
    <row r="41" spans="1:11" s="2" customFormat="1" ht="12.75">
      <c r="A41" s="9">
        <v>1</v>
      </c>
      <c r="B41" s="28" t="str">
        <f>LIDER!F51</f>
        <v>SANTIAGO JOSE BUELVAS CARRILLO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VALERIA SOFIA VENENCIA SANES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ESTEBAN DAVID DORIA LEÓN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128</v>
      </c>
      <c r="C47" s="32" t="str">
        <f>IF('S-ASIG-01'!D47="","",'S-ASIG-01'!D47)</f>
        <v>LIST</v>
      </c>
      <c r="D47" s="35" t="s">
        <v>117</v>
      </c>
      <c r="E47" s="206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F47" s="192"/>
      <c r="G47" s="192"/>
      <c r="H47" s="192"/>
      <c r="I47" s="192"/>
      <c r="J47" s="192"/>
      <c r="K47" s="192"/>
    </row>
    <row r="48" spans="1:11" s="2" customFormat="1" ht="12.75">
      <c r="A48" s="9">
        <v>1</v>
      </c>
      <c r="B48" s="28" t="str">
        <f>LIDER!G51</f>
        <v>VALENTINA LUZ AVILEZ BERMUDEZ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YANINE MILLET BERMUDEZ JIMENEZ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YURLEINIS MAZA MORALES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DAYANA LUCIA PALLARES MENDOZA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0</v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130</v>
      </c>
      <c r="C54" s="32" t="str">
        <f>IF('S-ASIG-01'!D54="","",'S-ASIG-01'!D54)</f>
        <v>LIST</v>
      </c>
      <c r="D54" s="35" t="s">
        <v>117</v>
      </c>
      <c r="E54" s="206" t="str">
        <f>LIDER!$E$36</f>
        <v>GRUPO#8: Identificación de Oportunidad de Negocios para la exportación de Gel con Pigmento de la marca ADDA Gel-Styling en los mercados potenciales de Perú, Estados Unidos y Ecuador</v>
      </c>
      <c r="F54" s="192"/>
      <c r="G54" s="192"/>
      <c r="H54" s="192"/>
      <c r="I54" s="192"/>
      <c r="J54" s="192"/>
      <c r="K54" s="192"/>
    </row>
    <row r="55" spans="1:11" s="2" customFormat="1" ht="12.75">
      <c r="A55" s="9">
        <v>1</v>
      </c>
      <c r="B55" s="28" t="str">
        <f>LIDER!H51</f>
        <v>DALIA MARIA DEL CARMEN CONDE RAMIREZ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0</v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ANGEL MANUEL GONZALEZ ALVAREZ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0</v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DAINY CAROLINA OLEA TORRES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0</v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ANDRÉS ESTEBAN VÁSQUEZ GONZÁLEZ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0</v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132</v>
      </c>
      <c r="C61" s="32" t="str">
        <f>IF('S-ASIG-01'!D61="","",'S-ASIG-01'!D61)</f>
        <v>LIST</v>
      </c>
      <c r="D61" s="35" t="s">
        <v>117</v>
      </c>
      <c r="E61" s="206" t="str">
        <f>LIDER!$E$37</f>
        <v xml:space="preserve">GRUPO#9: Identificación de oportunidades comerciales e internacionalización de PYMES agrícolas colombianas mediante una plataforma digital a México, Canadá y Países Bajos </v>
      </c>
      <c r="F61" s="192"/>
      <c r="G61" s="192"/>
      <c r="H61" s="192"/>
      <c r="I61" s="192"/>
      <c r="J61" s="192"/>
      <c r="K61" s="192"/>
    </row>
    <row r="62" spans="1:11" s="2" customFormat="1" ht="12.75">
      <c r="A62" s="9">
        <v>1</v>
      </c>
      <c r="B62" s="28" t="str">
        <f>LIDER!E59</f>
        <v>JOSE EDUARDO ARRIETA MEJIA</v>
      </c>
      <c r="C62" s="33" t="str">
        <f>IF('S-ASIG-01'!D62="","",'S-ASIG-01'!D62)</f>
        <v/>
      </c>
      <c r="D62" s="30">
        <f>IF(B62=0,"",IF(C62="",$E$62*LIDER!$H$19+F62*LIDER!$H$20+G62*LIDER!$H$21+H62*LIDER!$H$22+I62*LIDER!$H$23+J62*LIDER!$H$24+K62*LIDER!$H$25,"N"))</f>
        <v>0</v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VALENTINA BERRIO LOPEZ</v>
      </c>
      <c r="C63" s="33" t="str">
        <f>IF('S-ASIG-01'!D63="","",'S-ASIG-01'!D63)</f>
        <v/>
      </c>
      <c r="D63" s="30">
        <f>IF(B63=0,"",IF(C63="",$E$62*LIDER!$H$19+F63*LIDER!$H$20+G63*LIDER!$H$21+H63*LIDER!$H$22+I63*LIDER!$H$23+J63*LIDER!$H$24+K63*LIDER!$H$25,"N"))</f>
        <v>0</v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SANTIAGO BOHÓRQUEZ CANTERO</v>
      </c>
      <c r="C64" s="33" t="str">
        <f>IF('S-ASIG-01'!D64="","",'S-ASIG-01'!D64)</f>
        <v/>
      </c>
      <c r="D64" s="30">
        <f>IF(B64=0,"",IF(C64="",$E$62*LIDER!$H$19+F64*LIDER!$H$20+G64*LIDER!$H$21+H64*LIDER!$H$22+I64*LIDER!$H$23+J64*LIDER!$H$24+K64*LIDER!$H$25,"N"))</f>
        <v>0</v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NICOLE ANTHONELLA CAMPOS ABREU</v>
      </c>
      <c r="C65" s="33" t="str">
        <f>IF('S-ASIG-01'!D65="","",'S-ASIG-01'!D65)</f>
        <v/>
      </c>
      <c r="D65" s="30">
        <f>IF(B65=0,"",IF(C65="",$E$62*LIDER!$H$19+F65*LIDER!$H$20+G65*LIDER!$H$21+H65*LIDER!$H$22+I65*LIDER!$H$23+J65*LIDER!$H$24+K65*LIDER!$H$25,"N"))</f>
        <v>0</v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DELIA ROSA GARCIA DIAZ</v>
      </c>
      <c r="C66" s="33" t="str">
        <f>IF('S-ASIG-01'!D66="","",'S-ASIG-01'!D66)</f>
        <v/>
      </c>
      <c r="D66" s="30">
        <f>IF(B66=0,"",IF(C66="",$E$62*LIDER!$H$19+F66*LIDER!$H$20+G66*LIDER!$H$21+H66*LIDER!$H$22+I66*LIDER!$H$23+J66*LIDER!$H$24+K66*LIDER!$H$25,"N"))</f>
        <v>0</v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 t="str">
        <f>LIDER!E64</f>
        <v>SAMUEL DAVID PÉREZ MUÑOZ</v>
      </c>
      <c r="C67" s="33" t="str">
        <f>IF('S-ASIG-01'!D67="","",'S-ASIG-01'!D67)</f>
        <v/>
      </c>
      <c r="D67" s="30">
        <f>IF(B67=0,"",IF(C67="",$E$62*LIDER!$H$19+F67*LIDER!$H$20+G67*LIDER!$H$21+H67*LIDER!$H$22+I67*LIDER!$H$23+J67*LIDER!$H$24+K67*LIDER!$H$25,"N"))</f>
        <v>0</v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134</v>
      </c>
      <c r="C68" s="32" t="str">
        <f>IF('S-ASIG-01'!D68="","",'S-ASIG-01'!D68)</f>
        <v>LIST</v>
      </c>
      <c r="D68" s="35" t="s">
        <v>117</v>
      </c>
      <c r="E68" s="206" t="str">
        <f>LIDER!$E$38</f>
        <v>GRUPO#10: FRUTÉA: Aprovechamiento de frutas colombianas para la elaboración y comercialización de mermeladas</v>
      </c>
      <c r="F68" s="192"/>
      <c r="G68" s="192"/>
      <c r="H68" s="192"/>
      <c r="I68" s="192"/>
      <c r="J68" s="192"/>
      <c r="K68" s="192"/>
    </row>
    <row r="69" spans="1:11" s="2" customFormat="1" ht="12.75">
      <c r="A69" s="9">
        <v>1</v>
      </c>
      <c r="B69" s="28" t="str">
        <f>LIDER!F59</f>
        <v>YUREIDYS ALVAREZ CASTELLANO</v>
      </c>
      <c r="C69" s="33" t="str">
        <f>IF('S-ASIG-01'!D69="","",'S-ASIG-01'!D69)</f>
        <v/>
      </c>
      <c r="D69" s="30">
        <f>IF(B69=0,"",IF(C69="",$E$69*LIDER!$H$19+F69*LIDER!$H$20+G69*LIDER!$H$21+H69*LIDER!$H$22+I69*LIDER!$H$23+J69*LIDER!$H$24+K69*LIDER!$H$25,"N"))</f>
        <v>0</v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 t="str">
        <f>LIDER!F60</f>
        <v>EFRAÍN JOSÉ CEBALLOS SALGADO</v>
      </c>
      <c r="C70" s="33" t="str">
        <f>IF('S-ASIG-01'!D70="","",'S-ASIG-01'!D70)</f>
        <v/>
      </c>
      <c r="D70" s="30">
        <f>IF(B70=0,"",IF(C70="",$E$69*LIDER!$H$19+F70*LIDER!$H$20+G70*LIDER!$H$21+H70*LIDER!$H$22+I70*LIDER!$H$23+J70*LIDER!$H$24+K70*LIDER!$H$25,"N"))</f>
        <v>0</v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 t="str">
        <f>LIDER!F61</f>
        <v>ANDRES FELIPE TORRES ARROYO</v>
      </c>
      <c r="C71" s="33" t="str">
        <f>IF('S-ASIG-01'!D71="","",'S-ASIG-01'!D71)</f>
        <v/>
      </c>
      <c r="D71" s="30">
        <f>IF(B71=0,"",IF(C71="",$E$69*LIDER!$H$19+F71*LIDER!$H$20+G71*LIDER!$H$21+H71*LIDER!$H$22+I71*LIDER!$H$23+J71*LIDER!$H$24+K71*LIDER!$H$25,"N"))</f>
        <v>0</v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 t="str">
        <f>LIDER!F62</f>
        <v>YUSETH DAVID VILLEGAS ARTEAGA</v>
      </c>
      <c r="C72" s="33" t="str">
        <f>IF('S-ASIG-01'!D72="","",'S-ASIG-01'!D72)</f>
        <v/>
      </c>
      <c r="D72" s="30">
        <f>IF(B72=0,"",IF(C72="",$E$69*LIDER!$H$19+F72*LIDER!$H$20+G72*LIDER!$H$21+H72*LIDER!$H$22+I72*LIDER!$H$23+J72*LIDER!$H$24+K72*LIDER!$H$25,"N"))</f>
        <v>0</v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 t="str">
        <f>LIDER!F63</f>
        <v>ISAAC JOSE ZAPATA ZAPATA</v>
      </c>
      <c r="C73" s="33" t="str">
        <f>IF('S-ASIG-01'!D73="","",'S-ASIG-01'!D73)</f>
        <v/>
      </c>
      <c r="D73" s="30">
        <f>IF(B73=0,"",IF(C73="",$E$69*LIDER!$H$19+F73*LIDER!$H$20+G73*LIDER!$H$21+H73*LIDER!$H$22+I73*LIDER!$H$23+J73*LIDER!$H$24+K73*LIDER!$H$25,"N"))</f>
        <v>0</v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136</v>
      </c>
      <c r="C75" s="32" t="str">
        <f>IF('S-ASIG-01'!D75="","",'S-ASIG-01'!D75)</f>
        <v>LIST</v>
      </c>
      <c r="D75" s="35" t="s">
        <v>117</v>
      </c>
      <c r="E75" s="206" t="str">
        <f>LIDER!$E$39</f>
        <v>GRUPO#11: Identificación de una oportunidad de negocio para una barra energética funcional de café colombiano en los mercados de Estados Unidos, Alemania y Canadá</v>
      </c>
      <c r="F75" s="192"/>
      <c r="G75" s="192"/>
      <c r="H75" s="192"/>
      <c r="I75" s="192"/>
      <c r="J75" s="192"/>
      <c r="K75" s="192"/>
    </row>
    <row r="76" spans="1:11" s="2" customFormat="1" ht="12.75">
      <c r="A76" s="9">
        <v>1</v>
      </c>
      <c r="B76" s="28" t="str">
        <f>LIDER!G59</f>
        <v>ANDREA KAROLAY CARRILLO GOMEZ</v>
      </c>
      <c r="C76" s="33" t="str">
        <f>IF('S-ASIG-01'!D76="","",'S-ASIG-01'!D76)</f>
        <v/>
      </c>
      <c r="D76" s="30">
        <f>IF(B76=0,"",IF(C76="",E76*LIDER!$H$19+F76*LIDER!$H$20+G76*LIDER!$H$21+H76*LIDER!$H$22+I76*LIDER!$H$23+J76*LIDER!$H$24+K76*LIDER!$H$25,"N"))</f>
        <v>0</v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 t="str">
        <f>LIDER!G60</f>
        <v>MARIANA JIMENEZ DEVOZ</v>
      </c>
      <c r="C77" s="33" t="str">
        <f>IF('S-ASIG-01'!D77="","",'S-ASIG-01'!D77)</f>
        <v/>
      </c>
      <c r="D77" s="30">
        <f>IF(B77=0,"",IF(C77="",E77*LIDER!$H$19+F77*LIDER!$H$20+G77*LIDER!$H$21+H77*LIDER!$H$22+I77*LIDER!$H$23+J77*LIDER!$H$24+K77*LIDER!$H$25,"N"))</f>
        <v>0</v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 t="str">
        <f>LIDER!G61</f>
        <v>WYLYS JUNIOR ORTIZ ZUÑIGA</v>
      </c>
      <c r="C78" s="33" t="str">
        <f>IF('S-ASIG-01'!D78="","",'S-ASIG-01'!D78)</f>
        <v/>
      </c>
      <c r="D78" s="30">
        <f>IF(B78=0,"",IF(C78="",E78*LIDER!$H$19+F78*LIDER!$H$20+G78*LIDER!$H$21+H78*LIDER!$H$22+I78*LIDER!$H$23+J78*LIDER!$H$24+K78*LIDER!$H$25,"N"))</f>
        <v>0</v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 t="str">
        <f>LIDER!G62</f>
        <v>MELANI DESTERLYN RAMIREZ CUADRO</v>
      </c>
      <c r="C79" s="33" t="str">
        <f>IF('S-ASIG-01'!D79="","",'S-ASIG-01'!D79)</f>
        <v/>
      </c>
      <c r="D79" s="30">
        <f>IF(B79=0,"",IF(C79="",E79*LIDER!$H$19+F79*LIDER!$H$20+G79*LIDER!$H$21+H79*LIDER!$H$22+I79*LIDER!$H$23+J79*LIDER!$H$24+K79*LIDER!$H$25,"N"))</f>
        <v>0</v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IF('S-ASIG-01'!D82="","",'S-ASIG-01'!D82)</f>
        <v>LIST</v>
      </c>
      <c r="D82" s="35" t="s">
        <v>117</v>
      </c>
      <c r="E82" s="206" t="str">
        <f>LIDER!$E$40</f>
        <v>GRUPO#12</v>
      </c>
      <c r="F82" s="192"/>
      <c r="G82" s="192"/>
      <c r="H82" s="192"/>
      <c r="I82" s="192"/>
      <c r="J82" s="192"/>
      <c r="K82" s="19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0" zoomScaleNormal="70" workbookViewId="0">
      <pane xSplit="4" ySplit="3" topLeftCell="E1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ETICA</v>
      </c>
      <c r="C2" s="3"/>
      <c r="E2" s="203" t="s">
        <v>112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113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CONCATENATE(LIDER!D4," - ",LIDER!D6," - ",LIDER!D5)</f>
        <v>ETICA - 2259 - LEIDY ENID QUINTERO SÁNCHEZ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114</v>
      </c>
      <c r="C5" s="34" t="str">
        <f>IF('S-ASIG-02'!D5="","",'S-ASIG-02'!D5)</f>
        <v>LIST</v>
      </c>
      <c r="D5" s="35" t="s">
        <v>117</v>
      </c>
      <c r="E5" s="192" t="str">
        <f>LIDER!$E$29</f>
        <v>GRUPO#1: Identificación de una Oportunidad de Negocio Internacional para el Sistema de Riego Solar mediante el Estudio de Tres Mercados Potenciales: Chile, España y Estados Unidos</v>
      </c>
      <c r="F5" s="192"/>
      <c r="G5" s="192"/>
      <c r="H5" s="192"/>
      <c r="I5" s="192"/>
      <c r="J5" s="192"/>
      <c r="K5" s="192"/>
    </row>
    <row r="6" spans="1:11" s="2" customFormat="1" ht="12.75">
      <c r="A6" s="9">
        <v>1</v>
      </c>
      <c r="B6" s="28" t="str">
        <f>LIDER!E43</f>
        <v>MESHEL ARAGON AGUIRRE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PEREZ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DIEGO DEL RIO VEGA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MELANIE ISABEL MONSALVE GRANADOS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HANA SOFIA SANTANA GARCIA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118</v>
      </c>
      <c r="C12" s="32" t="str">
        <f>IF('S-ASIG-02'!D12="","",'S-ASIG-02'!D12)</f>
        <v>LIST</v>
      </c>
      <c r="D12" s="35" t="s">
        <v>117</v>
      </c>
      <c r="E12" s="192" t="str">
        <f>LIDER!$E$30</f>
        <v>GRUPO#2: ANÁLISIS DE UNA OPORTUNIDAD DE NEGOCIO PARA LA COMERCIALIZACIÓN DE PRODUCTOS CAPILARES DE LA EMPRESA ROMELIA S.A.S. EN LOS MERCADOS POTENCIALES DE MEXICO, ESTADOS UNIDOS Y ESPAÑA</v>
      </c>
      <c r="F12" s="192"/>
      <c r="G12" s="192"/>
      <c r="H12" s="192"/>
      <c r="I12" s="192"/>
      <c r="J12" s="192"/>
      <c r="K12" s="192"/>
    </row>
    <row r="13" spans="1:11" s="2" customFormat="1" ht="12.75">
      <c r="A13" s="9">
        <v>1</v>
      </c>
      <c r="B13" s="28" t="str">
        <f>LIDER!F43</f>
        <v>EYLANS ANDRES AHUMADA SALAZAR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KENDRY YIRETH LABIOSA VERGARA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VALERY PAOLA OSORIO VIDAL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YERLIS PAOLA RUIZ GARCIA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ISAAC SIMANCA SANCHEZ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120</v>
      </c>
      <c r="C19" s="32" t="str">
        <f>IF('S-ASIG-02'!D19="","",'S-ASIG-02'!D19)</f>
        <v>LIST</v>
      </c>
      <c r="D19" s="35" t="s">
        <v>117</v>
      </c>
      <c r="E19" s="192" t="str">
        <f>LIDER!$E$31</f>
        <v xml:space="preserve">GRUPO#3: Identificación de una oportunidad de negocio para EcoCao S.A.S. mediante el estudio de Estados Unidos, Ecuador y Chile como mercados potenciales. </v>
      </c>
      <c r="F19" s="192"/>
      <c r="G19" s="192"/>
      <c r="H19" s="192"/>
      <c r="I19" s="192"/>
      <c r="J19" s="192"/>
      <c r="K19" s="192"/>
    </row>
    <row r="20" spans="1:11" s="2" customFormat="1" ht="12.75">
      <c r="A20" s="9">
        <v>1</v>
      </c>
      <c r="B20" s="28" t="str">
        <f>LIDER!G43</f>
        <v>DAVID ANDRES CASTILLA CARDENAS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MARIA FERNANDA DE HORTA GOMEZ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MARÍA ALEJANDRA LEMOS OCHOA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MONTES FERNANDEZ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DAVID ALEJANDRO RHENALS LOPEZ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122</v>
      </c>
      <c r="C26" s="32" t="str">
        <f>IF('S-ASIG-02'!D26="","",'S-ASIG-02'!D26)</f>
        <v>LIST</v>
      </c>
      <c r="D26" s="35" t="s">
        <v>117</v>
      </c>
      <c r="E26" s="192" t="str">
        <f>LIDER!$E$32</f>
        <v>GRUPO#4: Identificación de una Oportunidad de Negocio Internacional para la Harina de Plátano de ASOREPP mediante el Estudio de Tres Mercados Potenciales: España, Estados Unidos y Alemania</v>
      </c>
      <c r="F26" s="192"/>
      <c r="G26" s="192"/>
      <c r="H26" s="192"/>
      <c r="I26" s="192"/>
      <c r="J26" s="192"/>
      <c r="K26" s="192"/>
    </row>
    <row r="27" spans="1:11" s="2" customFormat="1" ht="12.75">
      <c r="A27" s="9">
        <v>1</v>
      </c>
      <c r="B27" s="28" t="str">
        <f>LIDER!H43</f>
        <v>JHORDAN JOSE BARROS PEÑA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RUTH SARAY PATERNINA PÉREZ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HECTOR FABIO PEREIRA PACHECO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RICARDO SERRANO PALLARES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KEILYS JHOANA DE ÁVILA FONTALVO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124</v>
      </c>
      <c r="C33" s="32" t="str">
        <f>IF('S-ASIG-02'!D33="","",'S-ASIG-02'!D33)</f>
        <v>LIST</v>
      </c>
      <c r="D33" s="35" t="s">
        <v>117</v>
      </c>
      <c r="E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F33" s="192"/>
      <c r="G33" s="192"/>
      <c r="H33" s="192"/>
      <c r="I33" s="192"/>
      <c r="J33" s="192"/>
      <c r="K33" s="192"/>
    </row>
    <row r="34" spans="1:11" s="2" customFormat="1" ht="12.75">
      <c r="A34" s="9">
        <v>1</v>
      </c>
      <c r="B34" s="28" t="str">
        <f>LIDER!E51</f>
        <v>VALERIE SOFIA CERA TORRIENTE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CRISTINA LUCIA ESTRADA SANTOYA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JIRETH PAOLA GARCIA COLON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LAURENT SOFIA IBARGUEN GULFO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EVELYN SANCHEZ GONZALEZ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9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126</v>
      </c>
      <c r="C40" s="32" t="str">
        <f>IF('S-ASIG-02'!D40="","",'S-ASIG-02'!D40)</f>
        <v>LIST</v>
      </c>
      <c r="D40" s="35" t="s">
        <v>117</v>
      </c>
      <c r="E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F40" s="192"/>
      <c r="G40" s="192"/>
      <c r="H40" s="192"/>
      <c r="I40" s="192"/>
      <c r="J40" s="192"/>
      <c r="K40" s="192"/>
    </row>
    <row r="41" spans="1:11" s="2" customFormat="1" ht="12.75">
      <c r="A41" s="9">
        <v>1</v>
      </c>
      <c r="B41" s="28" t="str">
        <f>LIDER!F51</f>
        <v>SANTIAGO JOSE BUELVAS CARRILLO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VALERIA SOFIA VENENCIA SANES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ESTEBAN DAVID DORIA LEÓN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128</v>
      </c>
      <c r="C47" s="32" t="str">
        <f>IF('S-ASIG-02'!D47="","",'S-ASIG-02'!D47)</f>
        <v>LIST</v>
      </c>
      <c r="D47" s="35" t="s">
        <v>117</v>
      </c>
      <c r="E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F47" s="192"/>
      <c r="G47" s="192"/>
      <c r="H47" s="192"/>
      <c r="I47" s="192"/>
      <c r="J47" s="192"/>
      <c r="K47" s="192"/>
    </row>
    <row r="48" spans="1:11" s="2" customFormat="1" ht="12.75">
      <c r="A48" s="9">
        <v>1</v>
      </c>
      <c r="B48" s="28" t="str">
        <f>LIDER!G51</f>
        <v>VALENTINA LUZ AVILEZ BERMUDEZ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YANINE MILLET BERMUDEZ JIMENEZ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YURLEINIS MAZA MORALES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DAYANA LUCIA PALLARES MENDOZA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9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130</v>
      </c>
      <c r="C54" s="32" t="str">
        <f>IF('S-ASIG-02'!D54="","",'S-ASIG-02'!D54)</f>
        <v>LIST</v>
      </c>
      <c r="D54" s="35" t="s">
        <v>117</v>
      </c>
      <c r="E54" s="192" t="str">
        <f>LIDER!$E$36</f>
        <v>GRUPO#8: Identificación de Oportunidad de Negocios para la exportación de Gel con Pigmento de la marca ADDA Gel-Styling en los mercados potenciales de Perú, Estados Unidos y Ecuador</v>
      </c>
      <c r="F54" s="192"/>
      <c r="G54" s="192"/>
      <c r="H54" s="192"/>
      <c r="I54" s="192"/>
      <c r="J54" s="192"/>
      <c r="K54" s="192"/>
    </row>
    <row r="55" spans="1:11" s="2" customFormat="1" ht="12.75">
      <c r="A55" s="9">
        <v>1</v>
      </c>
      <c r="B55" s="28" t="str">
        <f>LIDER!H51</f>
        <v>DALIA MARIA DEL CARMEN CONDE RAMIREZ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0</v>
      </c>
      <c r="E55" s="19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ANGEL MANUEL GONZALEZ ALVAREZ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0</v>
      </c>
      <c r="E56" s="19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DAINY CAROLINA OLEA TORRES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0</v>
      </c>
      <c r="E57" s="19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ANDRÉS ESTEBAN VÁSQUEZ GONZÁLEZ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0</v>
      </c>
      <c r="E58" s="19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132</v>
      </c>
      <c r="C61" s="32" t="str">
        <f>IF('S-ASIG-02'!D61="","",'S-ASIG-02'!D61)</f>
        <v>LIST</v>
      </c>
      <c r="D61" s="35" t="s">
        <v>117</v>
      </c>
      <c r="E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F61" s="192"/>
      <c r="G61" s="192"/>
      <c r="H61" s="192"/>
      <c r="I61" s="192"/>
      <c r="J61" s="192"/>
      <c r="K61" s="192"/>
    </row>
    <row r="62" spans="1:11" s="2" customFormat="1" ht="12.75">
      <c r="A62" s="9">
        <v>1</v>
      </c>
      <c r="B62" s="28" t="str">
        <f>LIDER!E59</f>
        <v>JOSE EDUARDO ARRIETA MEJIA</v>
      </c>
      <c r="C62" s="33" t="str">
        <f>IF('S-ASIG-02'!D62="","",'S-ASIG-02'!D62)</f>
        <v/>
      </c>
      <c r="D62" s="30">
        <f>IF(B62=0,"",IF(C62="",$E$62*LIDER!$H$19+F62*LIDER!$H$20+G62*LIDER!$H$21+H62*LIDER!$H$22+I62*LIDER!$H$23+J62*LIDER!$H$24+K62*LIDER!$H$25,"N"))</f>
        <v>0</v>
      </c>
      <c r="E62" s="19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VALENTINA BERRIO LOPEZ</v>
      </c>
      <c r="C63" s="33" t="str">
        <f>IF('S-ASIG-02'!D63="","",'S-ASIG-02'!D63)</f>
        <v/>
      </c>
      <c r="D63" s="30">
        <f>IF(B63=0,"",IF(C63="",$E$62*LIDER!$H$19+F63*LIDER!$H$20+G63*LIDER!$H$21+H63*LIDER!$H$22+I63*LIDER!$H$23+J63*LIDER!$H$24+K63*LIDER!$H$25,"N"))</f>
        <v>0</v>
      </c>
      <c r="E63" s="19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SANTIAGO BOHÓRQUEZ CANTERO</v>
      </c>
      <c r="C64" s="33" t="str">
        <f>IF('S-ASIG-02'!D64="","",'S-ASIG-02'!D64)</f>
        <v/>
      </c>
      <c r="D64" s="30">
        <f>IF(B64=0,"",IF(C64="",$E$62*LIDER!$H$19+F64*LIDER!$H$20+G64*LIDER!$H$21+H64*LIDER!$H$22+I64*LIDER!$H$23+J64*LIDER!$H$24+K64*LIDER!$H$25,"N"))</f>
        <v>0</v>
      </c>
      <c r="E64" s="19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NICOLE ANTHONELLA CAMPOS ABREU</v>
      </c>
      <c r="C65" s="33" t="str">
        <f>IF('S-ASIG-02'!D65="","",'S-ASIG-02'!D65)</f>
        <v/>
      </c>
      <c r="D65" s="30">
        <f>IF(B65=0,"",IF(C65="",$E$62*LIDER!$H$19+F65*LIDER!$H$20+G65*LIDER!$H$21+H65*LIDER!$H$22+I65*LIDER!$H$23+J65*LIDER!$H$24+K65*LIDER!$H$25,"N"))</f>
        <v>0</v>
      </c>
      <c r="E65" s="19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DELIA ROSA GARCIA DIAZ</v>
      </c>
      <c r="C66" s="33" t="str">
        <f>IF('S-ASIG-02'!D66="","",'S-ASIG-02'!D66)</f>
        <v/>
      </c>
      <c r="D66" s="30">
        <f>IF(B66=0,"",IF(C66="",$E$62*LIDER!$H$19+F66*LIDER!$H$20+G66*LIDER!$H$21+H66*LIDER!$H$22+I66*LIDER!$H$23+J66*LIDER!$H$24+K66*LIDER!$H$25,"N"))</f>
        <v>0</v>
      </c>
      <c r="E66" s="19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 t="str">
        <f>LIDER!E64</f>
        <v>SAMUEL DAVID PÉREZ MUÑOZ</v>
      </c>
      <c r="C67" s="33" t="str">
        <f>IF('S-ASIG-02'!D67="","",'S-ASIG-02'!D67)</f>
        <v/>
      </c>
      <c r="D67" s="30">
        <f>IF(B67=0,"",IF(C67="",$E$62*LIDER!$H$19+F67*LIDER!$H$20+G67*LIDER!$H$21+H67*LIDER!$H$22+I67*LIDER!$H$23+J67*LIDER!$H$24+K67*LIDER!$H$25,"N"))</f>
        <v>0</v>
      </c>
      <c r="E67" s="19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134</v>
      </c>
      <c r="C68" s="32" t="str">
        <f>IF('S-ASIG-02'!D68="","",'S-ASIG-02'!D68)</f>
        <v>LIST</v>
      </c>
      <c r="D68" s="35" t="s">
        <v>117</v>
      </c>
      <c r="E68" s="192" t="str">
        <f>LIDER!$E$38</f>
        <v>GRUPO#10: FRUTÉA: Aprovechamiento de frutas colombianas para la elaboración y comercialización de mermeladas</v>
      </c>
      <c r="F68" s="192"/>
      <c r="G68" s="192"/>
      <c r="H68" s="192"/>
      <c r="I68" s="192"/>
      <c r="J68" s="192"/>
      <c r="K68" s="192"/>
    </row>
    <row r="69" spans="1:11" s="2" customFormat="1" ht="12.75">
      <c r="A69" s="9">
        <v>1</v>
      </c>
      <c r="B69" s="28" t="str">
        <f>LIDER!F59</f>
        <v>YUREIDYS ALVAREZ CASTELLANO</v>
      </c>
      <c r="C69" s="33" t="str">
        <f>IF('S-ASIG-02'!D69="","",'S-ASIG-02'!D69)</f>
        <v/>
      </c>
      <c r="D69" s="30">
        <f>IF(B69=0,"",IF(C69="",$E$69*LIDER!$H$19+F69*LIDER!$H$20+G69*LIDER!$H$21+H69*LIDER!$H$22+I69*LIDER!$H$23+J69*LIDER!$H$24+K69*LIDER!$H$25,"N"))</f>
        <v>0</v>
      </c>
      <c r="E69" s="19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 t="str">
        <f>LIDER!F60</f>
        <v>EFRAÍN JOSÉ CEBALLOS SALGADO</v>
      </c>
      <c r="C70" s="33" t="str">
        <f>IF('S-ASIG-02'!D70="","",'S-ASIG-02'!D70)</f>
        <v/>
      </c>
      <c r="D70" s="30">
        <f>IF(B70=0,"",IF(C70="",$E$69*LIDER!$H$19+F70*LIDER!$H$20+G70*LIDER!$H$21+H70*LIDER!$H$22+I70*LIDER!$H$23+J70*LIDER!$H$24+K70*LIDER!$H$25,"N"))</f>
        <v>0</v>
      </c>
      <c r="E70" s="19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 t="str">
        <f>LIDER!F61</f>
        <v>ANDRES FELIPE TORRES ARROYO</v>
      </c>
      <c r="C71" s="33" t="str">
        <f>IF('S-ASIG-02'!D71="","",'S-ASIG-02'!D71)</f>
        <v/>
      </c>
      <c r="D71" s="30">
        <f>IF(B71=0,"",IF(C71="",$E$69*LIDER!$H$19+F71*LIDER!$H$20+G71*LIDER!$H$21+H71*LIDER!$H$22+I71*LIDER!$H$23+J71*LIDER!$H$24+K71*LIDER!$H$25,"N"))</f>
        <v>0</v>
      </c>
      <c r="E71" s="19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 t="str">
        <f>LIDER!F62</f>
        <v>YUSETH DAVID VILLEGAS ARTEAGA</v>
      </c>
      <c r="C72" s="33" t="str">
        <f>IF('S-ASIG-02'!D72="","",'S-ASIG-02'!D72)</f>
        <v/>
      </c>
      <c r="D72" s="30">
        <f>IF(B72=0,"",IF(C72="",$E$69*LIDER!$H$19+F72*LIDER!$H$20+G72*LIDER!$H$21+H72*LIDER!$H$22+I72*LIDER!$H$23+J72*LIDER!$H$24+K72*LIDER!$H$25,"N"))</f>
        <v>0</v>
      </c>
      <c r="E72" s="19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 t="str">
        <f>LIDER!F63</f>
        <v>ISAAC JOSE ZAPATA ZAPATA</v>
      </c>
      <c r="C73" s="33" t="str">
        <f>IF('S-ASIG-02'!D73="","",'S-ASIG-02'!D73)</f>
        <v/>
      </c>
      <c r="D73" s="30">
        <f>IF(B73=0,"",IF(C73="",$E$69*LIDER!$H$19+F73*LIDER!$H$20+G73*LIDER!$H$21+H73*LIDER!$H$22+I73*LIDER!$H$23+J73*LIDER!$H$24+K73*LIDER!$H$25,"N"))</f>
        <v>0</v>
      </c>
      <c r="E73" s="19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136</v>
      </c>
      <c r="C75" s="32" t="str">
        <f>IF('S-ASIG-02'!D75="","",'S-ASIG-02'!D75)</f>
        <v>LIST</v>
      </c>
      <c r="D75" s="35" t="s">
        <v>117</v>
      </c>
      <c r="E75" s="192" t="str">
        <f>LIDER!$E$39</f>
        <v>GRUPO#11: Identificación de una oportunidad de negocio para una barra energética funcional de café colombiano en los mercados de Estados Unidos, Alemania y Canadá</v>
      </c>
      <c r="F75" s="192"/>
      <c r="G75" s="192"/>
      <c r="H75" s="192"/>
      <c r="I75" s="192"/>
      <c r="J75" s="192"/>
      <c r="K75" s="192"/>
    </row>
    <row r="76" spans="1:11" s="2" customFormat="1" ht="12.75">
      <c r="A76" s="9">
        <v>1</v>
      </c>
      <c r="B76" s="28" t="str">
        <f>LIDER!G59</f>
        <v>ANDREA KAROLAY CARRILLO GOMEZ</v>
      </c>
      <c r="C76" s="33" t="str">
        <f>IF('S-ASIG-02'!D76="","",'S-ASIG-02'!D76)</f>
        <v/>
      </c>
      <c r="D76" s="30">
        <f>IF(B76=0,"",IF(C76="",E76*LIDER!$H$19+F76*LIDER!$H$20+G76*LIDER!$H$21+H76*LIDER!$H$22+I76*LIDER!$H$23+J76*LIDER!$H$24+K76*LIDER!$H$25,"N"))</f>
        <v>0</v>
      </c>
      <c r="E76" s="19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 t="str">
        <f>LIDER!G60</f>
        <v>MARIANA JIMENEZ DEVOZ</v>
      </c>
      <c r="C77" s="33" t="str">
        <f>IF('S-ASIG-02'!D77="","",'S-ASIG-02'!D77)</f>
        <v/>
      </c>
      <c r="D77" s="30">
        <f>IF(B77=0,"",IF(C77="",E77*LIDER!$H$19+F77*LIDER!$H$20+G77*LIDER!$H$21+H77*LIDER!$H$22+I77*LIDER!$H$23+J77*LIDER!$H$24+K77*LIDER!$H$25,"N"))</f>
        <v>0</v>
      </c>
      <c r="E77" s="19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 t="str">
        <f>LIDER!G61</f>
        <v>WYLYS JUNIOR ORTIZ ZUÑIGA</v>
      </c>
      <c r="C78" s="33" t="str">
        <f>IF('S-ASIG-02'!D78="","",'S-ASIG-02'!D78)</f>
        <v/>
      </c>
      <c r="D78" s="30">
        <f>IF(B78=0,"",IF(C78="",E78*LIDER!$H$19+F78*LIDER!$H$20+G78*LIDER!$H$21+H78*LIDER!$H$22+I78*LIDER!$H$23+J78*LIDER!$H$24+K78*LIDER!$H$25,"N"))</f>
        <v>0</v>
      </c>
      <c r="E78" s="19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 t="str">
        <f>LIDER!G62</f>
        <v>MELANI DESTERLYN RAMIREZ CUADRO</v>
      </c>
      <c r="C79" s="33" t="str">
        <f>IF('S-ASIG-02'!D79="","",'S-ASIG-02'!D79)</f>
        <v/>
      </c>
      <c r="D79" s="30">
        <f>IF(B79=0,"",IF(C79="",E79*LIDER!$H$19+F79*LIDER!$H$20+G79*LIDER!$H$21+H79*LIDER!$H$22+I79*LIDER!$H$23+J79*LIDER!$H$24+K79*LIDER!$H$25,"N"))</f>
        <v>0</v>
      </c>
      <c r="E79" s="19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IF('S-ASIG-02'!D82="","",'S-ASIG-02'!D82)</f>
        <v>LIST</v>
      </c>
      <c r="D82" s="35" t="s">
        <v>117</v>
      </c>
      <c r="E82" s="192" t="str">
        <f>LIDER!$E$40</f>
        <v>GRUPO#12</v>
      </c>
      <c r="F82" s="192"/>
      <c r="G82" s="192"/>
      <c r="H82" s="192"/>
      <c r="I82" s="192"/>
      <c r="J82" s="192"/>
      <c r="K82" s="19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1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0" zoomScaleNormal="70" workbookViewId="0">
      <pane xSplit="4" ySplit="3" topLeftCell="E9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ELECTIVA DE PROFUNDIZACION I</v>
      </c>
      <c r="C2" s="3"/>
      <c r="E2" s="203" t="s">
        <v>112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113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CONCATENATE(LIDER!E4," - ",LIDER!E6," - ",LIDER!E5)</f>
        <v>ELECTIVA DE PROFUNDIZACION I - 2271 - HUMBERTO MARQUEZ PEÑALOZA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114</v>
      </c>
      <c r="C5" s="34" t="str">
        <f>IF('S-ASIG-03'!D5="","",'S-ASIG-03'!D5)</f>
        <v>LIST</v>
      </c>
      <c r="D5" s="35" t="s">
        <v>117</v>
      </c>
      <c r="E5" s="192" t="str">
        <f>LIDER!$E$29</f>
        <v>GRUPO#1: Identificación de una Oportunidad de Negocio Internacional para el Sistema de Riego Solar mediante el Estudio de Tres Mercados Potenciales: Chile, España y Estados Unidos</v>
      </c>
      <c r="F5" s="192"/>
      <c r="G5" s="192"/>
      <c r="H5" s="192"/>
      <c r="I5" s="192"/>
      <c r="J5" s="192"/>
      <c r="K5" s="192"/>
    </row>
    <row r="6" spans="1:11" s="2" customFormat="1" ht="12.75">
      <c r="A6" s="9">
        <v>1</v>
      </c>
      <c r="B6" s="28" t="str">
        <f>LIDER!E43</f>
        <v>MESHEL ARAGON AGUIRRE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PEREZ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DIEGO DEL RIO VEGA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MELANIE ISABEL MONSALVE GRANADOS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HANA SOFIA SANTANA GARCIA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118</v>
      </c>
      <c r="C12" s="32" t="str">
        <f>IF('S-ASIG-03'!D12="","",'S-ASIG-03'!D12)</f>
        <v>LIST</v>
      </c>
      <c r="D12" s="35" t="s">
        <v>117</v>
      </c>
      <c r="E12" s="192" t="str">
        <f>LIDER!$E$30</f>
        <v>GRUPO#2: ANÁLISIS DE UNA OPORTUNIDAD DE NEGOCIO PARA LA COMERCIALIZACIÓN DE PRODUCTOS CAPILARES DE LA EMPRESA ROMELIA S.A.S. EN LOS MERCADOS POTENCIALES DE MEXICO, ESTADOS UNIDOS Y ESPAÑA</v>
      </c>
      <c r="F12" s="192"/>
      <c r="G12" s="192"/>
      <c r="H12" s="192"/>
      <c r="I12" s="192"/>
      <c r="J12" s="192"/>
      <c r="K12" s="192"/>
    </row>
    <row r="13" spans="1:11" s="2" customFormat="1" ht="12.75">
      <c r="A13" s="9">
        <v>1</v>
      </c>
      <c r="B13" s="28" t="str">
        <f>LIDER!F43</f>
        <v>EYLANS ANDRES AHUMADA SALAZAR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KENDRY YIRETH LABIOSA VERGARA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VALERY PAOLA OSORIO VIDAL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YERLIS PAOLA RUIZ GARCIA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ISAAC SIMANCA SANCHEZ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120</v>
      </c>
      <c r="C19" s="32" t="str">
        <f>IF('S-ASIG-03'!D19="","",'S-ASIG-03'!D19)</f>
        <v>LIST</v>
      </c>
      <c r="D19" s="35" t="s">
        <v>117</v>
      </c>
      <c r="E19" s="192" t="str">
        <f>LIDER!$E$31</f>
        <v xml:space="preserve">GRUPO#3: Identificación de una oportunidad de negocio para EcoCao S.A.S. mediante el estudio de Estados Unidos, Ecuador y Chile como mercados potenciales. </v>
      </c>
      <c r="F19" s="192"/>
      <c r="G19" s="192"/>
      <c r="H19" s="192"/>
      <c r="I19" s="192"/>
      <c r="J19" s="192"/>
      <c r="K19" s="192"/>
    </row>
    <row r="20" spans="1:11" s="2" customFormat="1" ht="12.75">
      <c r="A20" s="9">
        <v>1</v>
      </c>
      <c r="B20" s="28" t="str">
        <f>LIDER!G43</f>
        <v>DAVID ANDRES CASTILLA CARDENAS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MARIA FERNANDA DE HORTA GOMEZ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MARÍA ALEJANDRA LEMOS OCHOA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MONTES FERNANDEZ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DAVID ALEJANDRO RHENALS LOPEZ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122</v>
      </c>
      <c r="C26" s="32" t="str">
        <f>IF('S-ASIG-03'!D26="","",'S-ASIG-03'!D26)</f>
        <v>LIST</v>
      </c>
      <c r="D26" s="35" t="s">
        <v>117</v>
      </c>
      <c r="E26" s="192" t="str">
        <f>LIDER!$E$32</f>
        <v>GRUPO#4: Identificación de una Oportunidad de Negocio Internacional para la Harina de Plátano de ASOREPP mediante el Estudio de Tres Mercados Potenciales: España, Estados Unidos y Alemania</v>
      </c>
      <c r="F26" s="192"/>
      <c r="G26" s="192"/>
      <c r="H26" s="192"/>
      <c r="I26" s="192"/>
      <c r="J26" s="192"/>
      <c r="K26" s="192"/>
    </row>
    <row r="27" spans="1:11" s="2" customFormat="1" ht="12.75">
      <c r="A27" s="9">
        <v>1</v>
      </c>
      <c r="B27" s="28" t="str">
        <f>LIDER!H43</f>
        <v>JHORDAN JOSE BARROS PEÑA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RUTH SARAY PATERNINA PÉREZ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HECTOR FABIO PEREIRA PACHECO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RICARDO SERRANO PALLARES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KEILYS JHOANA DE ÁVILA FONTALVO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124</v>
      </c>
      <c r="C33" s="32" t="str">
        <f>IF('S-ASIG-03'!D33="","",'S-ASIG-03'!D33)</f>
        <v>LIST</v>
      </c>
      <c r="D33" s="35" t="s">
        <v>117</v>
      </c>
      <c r="E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F33" s="192"/>
      <c r="G33" s="192"/>
      <c r="H33" s="192"/>
      <c r="I33" s="192"/>
      <c r="J33" s="192"/>
      <c r="K33" s="192"/>
    </row>
    <row r="34" spans="1:11" s="2" customFormat="1" ht="12.75">
      <c r="A34" s="9">
        <v>1</v>
      </c>
      <c r="B34" s="28" t="str">
        <f>LIDER!E51</f>
        <v>VALERIE SOFIA CERA TORRIENTE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CRISTINA LUCIA ESTRADA SANTOYA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JIRETH PAOLA GARCIA COLON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LAURENT SOFIA IBARGUEN GULFO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EVELYN SANCHEZ GONZALEZ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9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126</v>
      </c>
      <c r="C40" s="32" t="str">
        <f>IF('S-ASIG-03'!D40="","",'S-ASIG-03'!D40)</f>
        <v>LIST</v>
      </c>
      <c r="D40" s="35" t="s">
        <v>117</v>
      </c>
      <c r="E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F40" s="192"/>
      <c r="G40" s="192"/>
      <c r="H40" s="192"/>
      <c r="I40" s="192"/>
      <c r="J40" s="192"/>
      <c r="K40" s="192"/>
    </row>
    <row r="41" spans="1:11" s="2" customFormat="1" ht="12.75">
      <c r="A41" s="9">
        <v>1</v>
      </c>
      <c r="B41" s="28" t="str">
        <f>LIDER!F51</f>
        <v>SANTIAGO JOSE BUELVAS CARRILLO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VALERIA SOFIA VENENCIA SANES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ESTEBAN DAVID DORIA LEÓN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128</v>
      </c>
      <c r="C47" s="32" t="str">
        <f>IF('S-ASIG-03'!D47="","",'S-ASIG-03'!D47)</f>
        <v>LIST</v>
      </c>
      <c r="D47" s="35" t="s">
        <v>117</v>
      </c>
      <c r="E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F47" s="192"/>
      <c r="G47" s="192"/>
      <c r="H47" s="192"/>
      <c r="I47" s="192"/>
      <c r="J47" s="192"/>
      <c r="K47" s="192"/>
    </row>
    <row r="48" spans="1:11" s="2" customFormat="1" ht="12.75">
      <c r="A48" s="9">
        <v>1</v>
      </c>
      <c r="B48" s="28" t="str">
        <f>LIDER!G51</f>
        <v>VALENTINA LUZ AVILEZ BERMUDEZ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YANINE MILLET BERMUDEZ JIMENEZ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YURLEINIS MAZA MORALES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9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DAYANA LUCIA PALLARES MENDOZA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9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130</v>
      </c>
      <c r="C54" s="32" t="str">
        <f>IF('S-ASIG-03'!D54="","",'S-ASIG-03'!D54)</f>
        <v>LIST</v>
      </c>
      <c r="D54" s="35" t="s">
        <v>117</v>
      </c>
      <c r="E54" s="192" t="str">
        <f>LIDER!$E$36</f>
        <v>GRUPO#8: Identificación de Oportunidad de Negocios para la exportación de Gel con Pigmento de la marca ADDA Gel-Styling en los mercados potenciales de Perú, Estados Unidos y Ecuador</v>
      </c>
      <c r="F54" s="192"/>
      <c r="G54" s="192"/>
      <c r="H54" s="192"/>
      <c r="I54" s="192"/>
      <c r="J54" s="192"/>
      <c r="K54" s="192"/>
    </row>
    <row r="55" spans="1:11" s="2" customFormat="1" ht="12.75">
      <c r="A55" s="9">
        <v>1</v>
      </c>
      <c r="B55" s="28" t="str">
        <f>LIDER!H51</f>
        <v>DALIA MARIA DEL CARMEN CONDE RAMIREZ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9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ANGEL MANUEL GONZALEZ ALVAREZ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9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DAINY CAROLINA OLEA TORRES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9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ANDRÉS ESTEBAN VÁSQUEZ GONZÁLEZ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0</v>
      </c>
      <c r="E58" s="19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132</v>
      </c>
      <c r="C61" s="32" t="str">
        <f>IF('S-ASIG-03'!D61="","",'S-ASIG-03'!D61)</f>
        <v>LIST</v>
      </c>
      <c r="D61" s="35" t="s">
        <v>117</v>
      </c>
      <c r="E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F61" s="192"/>
      <c r="G61" s="192"/>
      <c r="H61" s="192"/>
      <c r="I61" s="192"/>
      <c r="J61" s="192"/>
      <c r="K61" s="192"/>
    </row>
    <row r="62" spans="1:11" s="2" customFormat="1" ht="12.75">
      <c r="A62" s="9">
        <v>1</v>
      </c>
      <c r="B62" s="28" t="str">
        <f>LIDER!E59</f>
        <v>JOSE EDUARDO ARRIETA MEJIA</v>
      </c>
      <c r="C62" s="33" t="str">
        <f>IF('S-ASIG-03'!D62="","",'S-ASIG-03'!D62)</f>
        <v/>
      </c>
      <c r="D62" s="30">
        <f>IF(B62=0,"",IF(C62="",$E$62*LIDER!$H$19+F62*LIDER!$H$20+G62*LIDER!$H$21+H62*LIDER!$H$22+I62*LIDER!$H$23+J62*LIDER!$H$24+K62*LIDER!$H$25,"N"))</f>
        <v>0</v>
      </c>
      <c r="E62" s="19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VALENTINA BERRIO LOPEZ</v>
      </c>
      <c r="C63" s="33" t="str">
        <f>IF('S-ASIG-03'!D63="","",'S-ASIG-03'!D63)</f>
        <v/>
      </c>
      <c r="D63" s="30">
        <f>IF(B63=0,"",IF(C63="",$E$62*LIDER!$H$19+F63*LIDER!$H$20+G63*LIDER!$H$21+H63*LIDER!$H$22+I63*LIDER!$H$23+J63*LIDER!$H$24+K63*LIDER!$H$25,"N"))</f>
        <v>0</v>
      </c>
      <c r="E63" s="19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SANTIAGO BOHÓRQUEZ CANTERO</v>
      </c>
      <c r="C64" s="33" t="str">
        <f>IF('S-ASIG-03'!D64="","",'S-ASIG-03'!D64)</f>
        <v/>
      </c>
      <c r="D64" s="30">
        <f>IF(B64=0,"",IF(C64="",$E$62*LIDER!$H$19+F64*LIDER!$H$20+G64*LIDER!$H$21+H64*LIDER!$H$22+I64*LIDER!$H$23+J64*LIDER!$H$24+K64*LIDER!$H$25,"N"))</f>
        <v>0</v>
      </c>
      <c r="E64" s="19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NICOLE ANTHONELLA CAMPOS ABREU</v>
      </c>
      <c r="C65" s="33" t="str">
        <f>IF('S-ASIG-03'!D65="","",'S-ASIG-03'!D65)</f>
        <v/>
      </c>
      <c r="D65" s="30">
        <f>IF(B65=0,"",IF(C65="",$E$62*LIDER!$H$19+F65*LIDER!$H$20+G65*LIDER!$H$21+H65*LIDER!$H$22+I65*LIDER!$H$23+J65*LIDER!$H$24+K65*LIDER!$H$25,"N"))</f>
        <v>0</v>
      </c>
      <c r="E65" s="19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DELIA ROSA GARCIA DIAZ</v>
      </c>
      <c r="C66" s="33" t="str">
        <f>IF('S-ASIG-03'!D66="","",'S-ASIG-03'!D66)</f>
        <v/>
      </c>
      <c r="D66" s="30">
        <f>IF(B66=0,"",IF(C66="",$E$62*LIDER!$H$19+F66*LIDER!$H$20+G66*LIDER!$H$21+H66*LIDER!$H$22+I66*LIDER!$H$23+J66*LIDER!$H$24+K66*LIDER!$H$25,"N"))</f>
        <v>0</v>
      </c>
      <c r="E66" s="19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 t="str">
        <f>LIDER!E64</f>
        <v>SAMUEL DAVID PÉREZ MUÑOZ</v>
      </c>
      <c r="C67" s="33" t="str">
        <f>IF('S-ASIG-03'!D67="","",'S-ASIG-03'!D67)</f>
        <v/>
      </c>
      <c r="D67" s="30">
        <f>IF(B67=0,"",IF(C67="",$E$62*LIDER!$H$19+F67*LIDER!$H$20+G67*LIDER!$H$21+H67*LIDER!$H$22+I67*LIDER!$H$23+J67*LIDER!$H$24+K67*LIDER!$H$25,"N"))</f>
        <v>0</v>
      </c>
      <c r="E67" s="19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134</v>
      </c>
      <c r="C68" s="32" t="str">
        <f>IF('S-ASIG-03'!D68="","",'S-ASIG-03'!D68)</f>
        <v>LIST</v>
      </c>
      <c r="D68" s="35" t="s">
        <v>117</v>
      </c>
      <c r="E68" s="192" t="str">
        <f>LIDER!$E$38</f>
        <v>GRUPO#10: FRUTÉA: Aprovechamiento de frutas colombianas para la elaboración y comercialización de mermeladas</v>
      </c>
      <c r="F68" s="192"/>
      <c r="G68" s="192"/>
      <c r="H68" s="192"/>
      <c r="I68" s="192"/>
      <c r="J68" s="192"/>
      <c r="K68" s="192"/>
    </row>
    <row r="69" spans="1:11" s="2" customFormat="1" ht="12.75">
      <c r="A69" s="9">
        <v>1</v>
      </c>
      <c r="B69" s="28" t="str">
        <f>LIDER!F59</f>
        <v>YUREIDYS ALVAREZ CASTELLANO</v>
      </c>
      <c r="C69" s="33" t="str">
        <f>IF('S-ASIG-03'!D69="","",'S-ASIG-03'!D69)</f>
        <v/>
      </c>
      <c r="D69" s="30">
        <f>IF(B69=0,"",IF(C69="",$E$69*LIDER!$H$19+F69*LIDER!$H$20+G69*LIDER!$H$21+H69*LIDER!$H$22+I69*LIDER!$H$23+J69*LIDER!$H$24+K69*LIDER!$H$25,"N"))</f>
        <v>0</v>
      </c>
      <c r="E69" s="19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 t="str">
        <f>LIDER!F60</f>
        <v>EFRAÍN JOSÉ CEBALLOS SALGADO</v>
      </c>
      <c r="C70" s="33" t="str">
        <f>IF('S-ASIG-03'!D70="","",'S-ASIG-03'!D70)</f>
        <v/>
      </c>
      <c r="D70" s="30">
        <f>IF(B70=0,"",IF(C70="",$E$69*LIDER!$H$19+F70*LIDER!$H$20+G70*LIDER!$H$21+H70*LIDER!$H$22+I70*LIDER!$H$23+J70*LIDER!$H$24+K70*LIDER!$H$25,"N"))</f>
        <v>0</v>
      </c>
      <c r="E70" s="19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 t="str">
        <f>LIDER!F61</f>
        <v>ANDRES FELIPE TORRES ARROYO</v>
      </c>
      <c r="C71" s="33" t="str">
        <f>IF('S-ASIG-03'!D71="","",'S-ASIG-03'!D71)</f>
        <v/>
      </c>
      <c r="D71" s="30">
        <f>IF(B71=0,"",IF(C71="",$E$69*LIDER!$H$19+F71*LIDER!$H$20+G71*LIDER!$H$21+H71*LIDER!$H$22+I71*LIDER!$H$23+J71*LIDER!$H$24+K71*LIDER!$H$25,"N"))</f>
        <v>0</v>
      </c>
      <c r="E71" s="19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 t="str">
        <f>LIDER!F62</f>
        <v>YUSETH DAVID VILLEGAS ARTEAGA</v>
      </c>
      <c r="C72" s="33" t="str">
        <f>IF('S-ASIG-03'!D72="","",'S-ASIG-03'!D72)</f>
        <v/>
      </c>
      <c r="D72" s="30">
        <f>IF(B72=0,"",IF(C72="",$E$69*LIDER!$H$19+F72*LIDER!$H$20+G72*LIDER!$H$21+H72*LIDER!$H$22+I72*LIDER!$H$23+J72*LIDER!$H$24+K72*LIDER!$H$25,"N"))</f>
        <v>0</v>
      </c>
      <c r="E72" s="19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 t="str">
        <f>LIDER!F63</f>
        <v>ISAAC JOSE ZAPATA ZAPATA</v>
      </c>
      <c r="C73" s="33" t="str">
        <f>IF('S-ASIG-03'!D73="","",'S-ASIG-03'!D73)</f>
        <v/>
      </c>
      <c r="D73" s="30">
        <f>IF(B73=0,"",IF(C73="",$E$69*LIDER!$H$19+F73*LIDER!$H$20+G73*LIDER!$H$21+H73*LIDER!$H$22+I73*LIDER!$H$23+J73*LIDER!$H$24+K73*LIDER!$H$25,"N"))</f>
        <v>0</v>
      </c>
      <c r="E73" s="19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136</v>
      </c>
      <c r="C75" s="32" t="str">
        <f>IF('S-ASIG-03'!D75="","",'S-ASIG-03'!D75)</f>
        <v>LIST</v>
      </c>
      <c r="D75" s="35" t="s">
        <v>117</v>
      </c>
      <c r="E75" s="192" t="str">
        <f>LIDER!$E$39</f>
        <v>GRUPO#11: Identificación de una oportunidad de negocio para una barra energética funcional de café colombiano en los mercados de Estados Unidos, Alemania y Canadá</v>
      </c>
      <c r="F75" s="192"/>
      <c r="G75" s="192"/>
      <c r="H75" s="192"/>
      <c r="I75" s="192"/>
      <c r="J75" s="192"/>
      <c r="K75" s="192"/>
    </row>
    <row r="76" spans="1:11" s="2" customFormat="1" ht="12.75">
      <c r="A76" s="9">
        <v>1</v>
      </c>
      <c r="B76" s="28" t="str">
        <f>LIDER!G59</f>
        <v>ANDREA KAROLAY CARRILLO GOMEZ</v>
      </c>
      <c r="C76" s="33" t="str">
        <f>IF('S-ASIG-03'!D76="","",'S-ASIG-03'!D76)</f>
        <v/>
      </c>
      <c r="D76" s="30">
        <f>IF(B76=0,"",IF(C76="",E76*LIDER!$H$19+F76*LIDER!$H$20+G76*LIDER!$H$21+H76*LIDER!$H$22+I76*LIDER!$H$23+J76*LIDER!$H$24+K76*LIDER!$H$25,"N"))</f>
        <v>0</v>
      </c>
      <c r="E76" s="19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 t="str">
        <f>LIDER!G60</f>
        <v>MARIANA JIMENEZ DEVOZ</v>
      </c>
      <c r="C77" s="33" t="str">
        <f>IF('S-ASIG-03'!D77="","",'S-ASIG-03'!D77)</f>
        <v/>
      </c>
      <c r="D77" s="30">
        <f>IF(B77=0,"",IF(C77="",E77*LIDER!$H$19+F77*LIDER!$H$20+G77*LIDER!$H$21+H77*LIDER!$H$22+I77*LIDER!$H$23+J77*LIDER!$H$24+K77*LIDER!$H$25,"N"))</f>
        <v>0</v>
      </c>
      <c r="E77" s="19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 t="str">
        <f>LIDER!G61</f>
        <v>WYLYS JUNIOR ORTIZ ZUÑIGA</v>
      </c>
      <c r="C78" s="33" t="str">
        <f>IF('S-ASIG-03'!D78="","",'S-ASIG-03'!D78)</f>
        <v/>
      </c>
      <c r="D78" s="30">
        <f>IF(B78=0,"",IF(C78="",E78*LIDER!$H$19+F78*LIDER!$H$20+G78*LIDER!$H$21+H78*LIDER!$H$22+I78*LIDER!$H$23+J78*LIDER!$H$24+K78*LIDER!$H$25,"N"))</f>
        <v>0</v>
      </c>
      <c r="E78" s="19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 t="str">
        <f>LIDER!G62</f>
        <v>MELANI DESTERLYN RAMIREZ CUADRO</v>
      </c>
      <c r="C79" s="33" t="str">
        <f>IF('S-ASIG-03'!D79="","",'S-ASIG-03'!D79)</f>
        <v/>
      </c>
      <c r="D79" s="30">
        <f>IF(B79=0,"",IF(C79="",E79*LIDER!$H$19+F79*LIDER!$H$20+G79*LIDER!$H$21+H79*LIDER!$H$22+I79*LIDER!$H$23+J79*LIDER!$H$24+K79*LIDER!$H$25,"N"))</f>
        <v>0</v>
      </c>
      <c r="E79" s="19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IF('S-ASIG-03'!D82="","",'S-ASIG-03'!D82)</f>
        <v>LIST</v>
      </c>
      <c r="D82" s="35" t="s">
        <v>117</v>
      </c>
      <c r="E82" s="192" t="str">
        <f>LIDER!$E$40</f>
        <v>GRUPO#12</v>
      </c>
      <c r="F82" s="192"/>
      <c r="G82" s="192"/>
      <c r="H82" s="192"/>
      <c r="I82" s="192"/>
      <c r="J82" s="192"/>
      <c r="K82" s="19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1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IMPORTACIONES Y EXPORTACIONES</v>
      </c>
      <c r="C2" s="3"/>
      <c r="E2" s="203" t="s">
        <v>112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113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CONCATENATE(LIDER!F4," - ",LIDER!F6," - ",LIDER!F5)</f>
        <v>IMPORTACIONES Y EXPORTACIONES - 1433 - REYNALDO ARTURO ROJAS TRILLOS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114</v>
      </c>
      <c r="C5" s="34" t="str">
        <f>IF('S-ASIG-04'!D5="","",'S-ASIG-04'!D5)</f>
        <v>LIST</v>
      </c>
      <c r="D5" s="35" t="s">
        <v>117</v>
      </c>
      <c r="E5" s="192" t="str">
        <f>LIDER!$E$29</f>
        <v>GRUPO#1: Identificación de una Oportunidad de Negocio Internacional para el Sistema de Riego Solar mediante el Estudio de Tres Mercados Potenciales: Chile, España y Estados Unidos</v>
      </c>
      <c r="F5" s="192"/>
      <c r="G5" s="192"/>
      <c r="H5" s="192"/>
      <c r="I5" s="192"/>
      <c r="J5" s="192"/>
      <c r="K5" s="192"/>
    </row>
    <row r="6" spans="1:11" s="2" customFormat="1" ht="12.75">
      <c r="A6" s="9">
        <v>1</v>
      </c>
      <c r="B6" s="28" t="str">
        <f>LIDER!E43</f>
        <v>MESHEL ARAGON AGUIRRE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PEREZ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DIEGO DEL RIO VEGA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MELANIE ISABEL MONSALVE GRANADOS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HANA SOFIA SANTANA GARCIA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118</v>
      </c>
      <c r="C12" s="32" t="str">
        <f>IF('S-ASIG-04'!D12="","",'S-ASIG-04'!D12)</f>
        <v>LIST</v>
      </c>
      <c r="D12" s="35" t="s">
        <v>117</v>
      </c>
      <c r="E12" s="192" t="str">
        <f>LIDER!$E$30</f>
        <v>GRUPO#2: ANÁLISIS DE UNA OPORTUNIDAD DE NEGOCIO PARA LA COMERCIALIZACIÓN DE PRODUCTOS CAPILARES DE LA EMPRESA ROMELIA S.A.S. EN LOS MERCADOS POTENCIALES DE MEXICO, ESTADOS UNIDOS Y ESPAÑA</v>
      </c>
      <c r="F12" s="192"/>
      <c r="G12" s="192"/>
      <c r="H12" s="192"/>
      <c r="I12" s="192"/>
      <c r="J12" s="192"/>
      <c r="K12" s="192"/>
    </row>
    <row r="13" spans="1:11" s="2" customFormat="1" ht="12.75">
      <c r="A13" s="9">
        <v>1</v>
      </c>
      <c r="B13" s="28" t="str">
        <f>LIDER!F43</f>
        <v>EYLANS ANDRES AHUMADA SALAZAR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KENDRY YIRETH LABIOSA VERGARA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VALERY PAOLA OSORIO VIDAL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YERLIS PAOLA RUIZ GARCIA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ISAAC SIMANCA SANCHEZ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120</v>
      </c>
      <c r="C19" s="32" t="str">
        <f>IF('S-ASIG-04'!D19="","",'S-ASIG-04'!D19)</f>
        <v>LIST</v>
      </c>
      <c r="D19" s="35" t="s">
        <v>117</v>
      </c>
      <c r="E19" s="192" t="str">
        <f>LIDER!$E$31</f>
        <v xml:space="preserve">GRUPO#3: Identificación de una oportunidad de negocio para EcoCao S.A.S. mediante el estudio de Estados Unidos, Ecuador y Chile como mercados potenciales. </v>
      </c>
      <c r="F19" s="192"/>
      <c r="G19" s="192"/>
      <c r="H19" s="192"/>
      <c r="I19" s="192"/>
      <c r="J19" s="192"/>
      <c r="K19" s="192"/>
    </row>
    <row r="20" spans="1:11" s="2" customFormat="1" ht="12.75">
      <c r="A20" s="9">
        <v>1</v>
      </c>
      <c r="B20" s="28" t="str">
        <f>LIDER!G43</f>
        <v>DAVID ANDRES CASTILLA CARDENAS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MARIA FERNANDA DE HORTA GOMEZ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MARÍA ALEJANDRA LEMOS OCHOA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MONTES FERNANDEZ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DAVID ALEJANDRO RHENALS LOPEZ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122</v>
      </c>
      <c r="C26" s="32" t="str">
        <f>IF('S-ASIG-04'!D26="","",'S-ASIG-04'!D26)</f>
        <v>LIST</v>
      </c>
      <c r="D26" s="35" t="s">
        <v>117</v>
      </c>
      <c r="E26" s="192" t="str">
        <f>LIDER!$E$32</f>
        <v>GRUPO#4: Identificación de una Oportunidad de Negocio Internacional para la Harina de Plátano de ASOREPP mediante el Estudio de Tres Mercados Potenciales: España, Estados Unidos y Alemania</v>
      </c>
      <c r="F26" s="192"/>
      <c r="G26" s="192"/>
      <c r="H26" s="192"/>
      <c r="I26" s="192"/>
      <c r="J26" s="192"/>
      <c r="K26" s="192"/>
    </row>
    <row r="27" spans="1:11" s="2" customFormat="1" ht="12.75">
      <c r="A27" s="9">
        <v>1</v>
      </c>
      <c r="B27" s="28" t="str">
        <f>LIDER!H43</f>
        <v>JHORDAN JOSE BARROS PEÑA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RUTH SARAY PATERNINA PÉREZ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HECTOR FABIO PEREIRA PACHECO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RICARDO SERRANO PALLARES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KEILYS JHOANA DE ÁVILA FONTALVO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124</v>
      </c>
      <c r="C33" s="32" t="str">
        <f>IF('S-ASIG-04'!D33="","",'S-ASIG-04'!D33)</f>
        <v>LIST</v>
      </c>
      <c r="D33" s="35" t="s">
        <v>117</v>
      </c>
      <c r="E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F33" s="192"/>
      <c r="G33" s="192"/>
      <c r="H33" s="192"/>
      <c r="I33" s="192"/>
      <c r="J33" s="192"/>
      <c r="K33" s="192"/>
    </row>
    <row r="34" spans="1:11" s="2" customFormat="1" ht="12.75">
      <c r="A34" s="9">
        <v>1</v>
      </c>
      <c r="B34" s="28" t="str">
        <f>LIDER!E51</f>
        <v>VALERIE SOFIA CERA TORRIENTE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CRISTINA LUCIA ESTRADA SANTOYA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JIRETH PAOLA GARCIA COLON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LAURENT SOFIA IBARGUEN GULFO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9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EVELYN SANCHEZ GONZALEZ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9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126</v>
      </c>
      <c r="C40" s="32" t="str">
        <f>IF('S-ASIG-04'!D40="","",'S-ASIG-04'!D40)</f>
        <v>LIST</v>
      </c>
      <c r="D40" s="35" t="s">
        <v>117</v>
      </c>
      <c r="E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F40" s="192"/>
      <c r="G40" s="192"/>
      <c r="H40" s="192"/>
      <c r="I40" s="192"/>
      <c r="J40" s="192"/>
      <c r="K40" s="192"/>
    </row>
    <row r="41" spans="1:11" s="2" customFormat="1" ht="12.75">
      <c r="A41" s="9">
        <v>1</v>
      </c>
      <c r="B41" s="28" t="str">
        <f>LIDER!F51</f>
        <v>SANTIAGO JOSE BUELVAS CARRILLO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VALERIA SOFIA VENENCIA SANES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ESTEBAN DAVID DORIA LEÓN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9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128</v>
      </c>
      <c r="C47" s="32" t="str">
        <f>IF('S-ASIG-04'!D47="","",'S-ASIG-04'!D47)</f>
        <v>LIST</v>
      </c>
      <c r="D47" s="35" t="s">
        <v>117</v>
      </c>
      <c r="E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F47" s="192"/>
      <c r="G47" s="192"/>
      <c r="H47" s="192"/>
      <c r="I47" s="192"/>
      <c r="J47" s="192"/>
      <c r="K47" s="192"/>
    </row>
    <row r="48" spans="1:11" s="2" customFormat="1" ht="12.75">
      <c r="A48" s="9">
        <v>1</v>
      </c>
      <c r="B48" s="28" t="str">
        <f>LIDER!G51</f>
        <v>VALENTINA LUZ AVILEZ BERMUDEZ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YANINE MILLET BERMUDEZ JIMENEZ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YURLEINIS MAZA MORALES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DAYANA LUCIA PALLARES MENDOZA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9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130</v>
      </c>
      <c r="C54" s="32" t="str">
        <f>IF('S-ASIG-04'!D54="","",'S-ASIG-04'!D54)</f>
        <v>LIST</v>
      </c>
      <c r="D54" s="35" t="s">
        <v>117</v>
      </c>
      <c r="E54" s="192" t="str">
        <f>LIDER!$E$36</f>
        <v>GRUPO#8: Identificación de Oportunidad de Negocios para la exportación de Gel con Pigmento de la marca ADDA Gel-Styling en los mercados potenciales de Perú, Estados Unidos y Ecuador</v>
      </c>
      <c r="F54" s="192"/>
      <c r="G54" s="192"/>
      <c r="H54" s="192"/>
      <c r="I54" s="192"/>
      <c r="J54" s="192"/>
      <c r="K54" s="192"/>
    </row>
    <row r="55" spans="1:11" s="2" customFormat="1" ht="12.75">
      <c r="A55" s="9">
        <v>1</v>
      </c>
      <c r="B55" s="28" t="str">
        <f>LIDER!H51</f>
        <v>DALIA MARIA DEL CARMEN CONDE RAMIREZ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9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ANGEL MANUEL GONZALEZ ALVAREZ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0</v>
      </c>
      <c r="E56" s="19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DAINY CAROLINA OLEA TORRES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0</v>
      </c>
      <c r="E57" s="19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ANDRÉS ESTEBAN VÁSQUEZ GONZÁLEZ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0</v>
      </c>
      <c r="E58" s="19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132</v>
      </c>
      <c r="C61" s="32" t="str">
        <f>IF('S-ASIG-04'!D61="","",'S-ASIG-04'!D61)</f>
        <v>LIST</v>
      </c>
      <c r="D61" s="35" t="s">
        <v>117</v>
      </c>
      <c r="E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F61" s="192"/>
      <c r="G61" s="192"/>
      <c r="H61" s="192"/>
      <c r="I61" s="192"/>
      <c r="J61" s="192"/>
      <c r="K61" s="192"/>
    </row>
    <row r="62" spans="1:11" s="2" customFormat="1" ht="12.75">
      <c r="A62" s="9">
        <v>1</v>
      </c>
      <c r="B62" s="28" t="str">
        <f>LIDER!E59</f>
        <v>JOSE EDUARDO ARRIETA MEJIA</v>
      </c>
      <c r="C62" s="33" t="str">
        <f>IF('S-ASIG-04'!D62="","",'S-ASIG-04'!D62)</f>
        <v/>
      </c>
      <c r="D62" s="30">
        <f>IF(B62=0,"",IF(C62="",$E$62*LIDER!$H$19+F62*LIDER!$H$20+G62*LIDER!$H$21+H62*LIDER!$H$22+I62*LIDER!$H$23+J62*LIDER!$H$24+K62*LIDER!$H$25,"N"))</f>
        <v>0</v>
      </c>
      <c r="E62" s="19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VALENTINA BERRIO LOPEZ</v>
      </c>
      <c r="C63" s="33" t="str">
        <f>IF('S-ASIG-04'!D63="","",'S-ASIG-04'!D63)</f>
        <v/>
      </c>
      <c r="D63" s="30">
        <f>IF(B63=0,"",IF(C63="",$E$62*LIDER!$H$19+F63*LIDER!$H$20+G63*LIDER!$H$21+H63*LIDER!$H$22+I63*LIDER!$H$23+J63*LIDER!$H$24+K63*LIDER!$H$25,"N"))</f>
        <v>0</v>
      </c>
      <c r="E63" s="19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SANTIAGO BOHÓRQUEZ CANTERO</v>
      </c>
      <c r="C64" s="33" t="str">
        <f>IF('S-ASIG-04'!D64="","",'S-ASIG-04'!D64)</f>
        <v/>
      </c>
      <c r="D64" s="30">
        <f>IF(B64=0,"",IF(C64="",$E$62*LIDER!$H$19+F64*LIDER!$H$20+G64*LIDER!$H$21+H64*LIDER!$H$22+I64*LIDER!$H$23+J64*LIDER!$H$24+K64*LIDER!$H$25,"N"))</f>
        <v>0</v>
      </c>
      <c r="E64" s="19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NICOLE ANTHONELLA CAMPOS ABREU</v>
      </c>
      <c r="C65" s="33" t="str">
        <f>IF('S-ASIG-04'!D65="","",'S-ASIG-04'!D65)</f>
        <v/>
      </c>
      <c r="D65" s="30">
        <f>IF(B65=0,"",IF(C65="",$E$62*LIDER!$H$19+F65*LIDER!$H$20+G65*LIDER!$H$21+H65*LIDER!$H$22+I65*LIDER!$H$23+J65*LIDER!$H$24+K65*LIDER!$H$25,"N"))</f>
        <v>0</v>
      </c>
      <c r="E65" s="19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DELIA ROSA GARCIA DIAZ</v>
      </c>
      <c r="C66" s="33" t="str">
        <f>IF('S-ASIG-04'!D66="","",'S-ASIG-04'!D66)</f>
        <v/>
      </c>
      <c r="D66" s="30">
        <f>IF(B66=0,"",IF(C66="",$E$62*LIDER!$H$19+F66*LIDER!$H$20+G66*LIDER!$H$21+H66*LIDER!$H$22+I66*LIDER!$H$23+J66*LIDER!$H$24+K66*LIDER!$H$25,"N"))</f>
        <v>0</v>
      </c>
      <c r="E66" s="19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 t="str">
        <f>LIDER!E64</f>
        <v>SAMUEL DAVID PÉREZ MUÑOZ</v>
      </c>
      <c r="C67" s="33" t="str">
        <f>IF('S-ASIG-04'!D67="","",'S-ASIG-04'!D67)</f>
        <v/>
      </c>
      <c r="D67" s="30">
        <f>IF(B67=0,"",IF(C67="",$E$62*LIDER!$H$19+F67*LIDER!$H$20+G67*LIDER!$H$21+H67*LIDER!$H$22+I67*LIDER!$H$23+J67*LIDER!$H$24+K67*LIDER!$H$25,"N"))</f>
        <v>0</v>
      </c>
      <c r="E67" s="19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134</v>
      </c>
      <c r="C68" s="32" t="str">
        <f>IF('S-ASIG-04'!D68="","",'S-ASIG-04'!D68)</f>
        <v>LIST</v>
      </c>
      <c r="D68" s="35" t="s">
        <v>117</v>
      </c>
      <c r="E68" s="192" t="str">
        <f>LIDER!$E$38</f>
        <v>GRUPO#10: FRUTÉA: Aprovechamiento de frutas colombianas para la elaboración y comercialización de mermeladas</v>
      </c>
      <c r="F68" s="192"/>
      <c r="G68" s="192"/>
      <c r="H68" s="192"/>
      <c r="I68" s="192"/>
      <c r="J68" s="192"/>
      <c r="K68" s="192"/>
    </row>
    <row r="69" spans="1:11" s="2" customFormat="1" ht="12.75">
      <c r="A69" s="9">
        <v>1</v>
      </c>
      <c r="B69" s="28" t="str">
        <f>LIDER!F59</f>
        <v>YUREIDYS ALVAREZ CASTELLANO</v>
      </c>
      <c r="C69" s="33" t="str">
        <f>IF('S-ASIG-04'!D69="","",'S-ASIG-04'!D69)</f>
        <v/>
      </c>
      <c r="D69" s="30">
        <f>IF(B69=0,"",IF(C69="",$E$69*LIDER!$H$19+F69*LIDER!$H$20+G69*LIDER!$H$21+H69*LIDER!$H$22+I69*LIDER!$H$23+J69*LIDER!$H$24+K69*LIDER!$H$25,"N"))</f>
        <v>0</v>
      </c>
      <c r="E69" s="19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 t="str">
        <f>LIDER!F60</f>
        <v>EFRAÍN JOSÉ CEBALLOS SALGADO</v>
      </c>
      <c r="C70" s="33" t="str">
        <f>IF('S-ASIG-04'!D70="","",'S-ASIG-04'!D70)</f>
        <v/>
      </c>
      <c r="D70" s="30">
        <f>IF(B70=0,"",IF(C70="",$E$69*LIDER!$H$19+F70*LIDER!$H$20+G70*LIDER!$H$21+H70*LIDER!$H$22+I70*LIDER!$H$23+J70*LIDER!$H$24+K70*LIDER!$H$25,"N"))</f>
        <v>0</v>
      </c>
      <c r="E70" s="19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 t="str">
        <f>LIDER!F61</f>
        <v>ANDRES FELIPE TORRES ARROYO</v>
      </c>
      <c r="C71" s="33" t="str">
        <f>IF('S-ASIG-04'!D71="","",'S-ASIG-04'!D71)</f>
        <v/>
      </c>
      <c r="D71" s="30">
        <f>IF(B71=0,"",IF(C71="",$E$69*LIDER!$H$19+F71*LIDER!$H$20+G71*LIDER!$H$21+H71*LIDER!$H$22+I71*LIDER!$H$23+J71*LIDER!$H$24+K71*LIDER!$H$25,"N"))</f>
        <v>0</v>
      </c>
      <c r="E71" s="19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 t="str">
        <f>LIDER!F62</f>
        <v>YUSETH DAVID VILLEGAS ARTEAGA</v>
      </c>
      <c r="C72" s="33" t="str">
        <f>IF('S-ASIG-04'!D72="","",'S-ASIG-04'!D72)</f>
        <v/>
      </c>
      <c r="D72" s="30">
        <f>IF(B72=0,"",IF(C72="",$E$69*LIDER!$H$19+F72*LIDER!$H$20+G72*LIDER!$H$21+H72*LIDER!$H$22+I72*LIDER!$H$23+J72*LIDER!$H$24+K72*LIDER!$H$25,"N"))</f>
        <v>0</v>
      </c>
      <c r="E72" s="19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 t="str">
        <f>LIDER!F63</f>
        <v>ISAAC JOSE ZAPATA ZAPATA</v>
      </c>
      <c r="C73" s="33" t="str">
        <f>IF('S-ASIG-04'!D73="","",'S-ASIG-04'!D73)</f>
        <v/>
      </c>
      <c r="D73" s="30">
        <f>IF(B73=0,"",IF(C73="",$E$69*LIDER!$H$19+F73*LIDER!$H$20+G73*LIDER!$H$21+H73*LIDER!$H$22+I73*LIDER!$H$23+J73*LIDER!$H$24+K73*LIDER!$H$25,"N"))</f>
        <v>0</v>
      </c>
      <c r="E73" s="19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136</v>
      </c>
      <c r="C75" s="32" t="str">
        <f>IF('S-ASIG-04'!D75="","",'S-ASIG-04'!D75)</f>
        <v>LIST</v>
      </c>
      <c r="D75" s="35" t="s">
        <v>117</v>
      </c>
      <c r="E75" s="192" t="str">
        <f>LIDER!$E$39</f>
        <v>GRUPO#11: Identificación de una oportunidad de negocio para una barra energética funcional de café colombiano en los mercados de Estados Unidos, Alemania y Canadá</v>
      </c>
      <c r="F75" s="192"/>
      <c r="G75" s="192"/>
      <c r="H75" s="192"/>
      <c r="I75" s="192"/>
      <c r="J75" s="192"/>
      <c r="K75" s="192"/>
    </row>
    <row r="76" spans="1:11" s="2" customFormat="1" ht="12.75">
      <c r="A76" s="9">
        <v>1</v>
      </c>
      <c r="B76" s="28" t="str">
        <f>LIDER!G59</f>
        <v>ANDREA KAROLAY CARRILLO GOMEZ</v>
      </c>
      <c r="C76" s="33" t="str">
        <f>IF('S-ASIG-04'!D76="","",'S-ASIG-04'!D76)</f>
        <v/>
      </c>
      <c r="D76" s="30">
        <f>IF(B76=0,"",IF(C76="",E76*LIDER!$H$19+F76*LIDER!$H$20+G76*LIDER!$H$21+H76*LIDER!$H$22+I76*LIDER!$H$23+J76*LIDER!$H$24+K76*LIDER!$H$25,"N"))</f>
        <v>0</v>
      </c>
      <c r="E76" s="19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 t="str">
        <f>LIDER!G60</f>
        <v>MARIANA JIMENEZ DEVOZ</v>
      </c>
      <c r="C77" s="33" t="str">
        <f>IF('S-ASIG-04'!D77="","",'S-ASIG-04'!D77)</f>
        <v/>
      </c>
      <c r="D77" s="30">
        <f>IF(B77=0,"",IF(C77="",E77*LIDER!$H$19+F77*LIDER!$H$20+G77*LIDER!$H$21+H77*LIDER!$H$22+I77*LIDER!$H$23+J77*LIDER!$H$24+K77*LIDER!$H$25,"N"))</f>
        <v>0</v>
      </c>
      <c r="E77" s="19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 t="str">
        <f>LIDER!G61</f>
        <v>WYLYS JUNIOR ORTIZ ZUÑIGA</v>
      </c>
      <c r="C78" s="33" t="str">
        <f>IF('S-ASIG-04'!D78="","",'S-ASIG-04'!D78)</f>
        <v/>
      </c>
      <c r="D78" s="30">
        <f>IF(B78=0,"",IF(C78="",E78*LIDER!$H$19+F78*LIDER!$H$20+G78*LIDER!$H$21+H78*LIDER!$H$22+I78*LIDER!$H$23+J78*LIDER!$H$24+K78*LIDER!$H$25,"N"))</f>
        <v>0</v>
      </c>
      <c r="E78" s="19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 t="str">
        <f>LIDER!G62</f>
        <v>MELANI DESTERLYN RAMIREZ CUADRO</v>
      </c>
      <c r="C79" s="33" t="str">
        <f>IF('S-ASIG-04'!D79="","",'S-ASIG-04'!D79)</f>
        <v/>
      </c>
      <c r="D79" s="30">
        <f>IF(B79=0,"",IF(C79="",E79*LIDER!$H$19+F79*LIDER!$H$20+G79*LIDER!$H$21+H79*LIDER!$H$22+I79*LIDER!$H$23+J79*LIDER!$H$24+K79*LIDER!$H$25,"N"))</f>
        <v>0</v>
      </c>
      <c r="E79" s="19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IF('S-ASIG-04'!D82="","",'S-ASIG-04'!D82)</f>
        <v>LIST</v>
      </c>
      <c r="D82" s="35" t="s">
        <v>117</v>
      </c>
      <c r="E82" s="192" t="str">
        <f>LIDER!$E$40</f>
        <v>GRUPO#12</v>
      </c>
      <c r="F82" s="192"/>
      <c r="G82" s="192"/>
      <c r="H82" s="192"/>
      <c r="I82" s="192"/>
      <c r="J82" s="192"/>
      <c r="K82" s="19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1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203" t="s">
        <v>112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113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CONCATENATE(LIDER!G4," - ",LIDER!G6," - ",LIDER!G5)</f>
        <v>FUNDAMENTOS DE MERCADEO - 1347 - GABRIEL EDUARDO CARDONA TUÑON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114</v>
      </c>
      <c r="C5" s="34" t="str">
        <f>IF('S-ASIG-05'!D5="","",'S-ASIG-05'!D5)</f>
        <v>LIST</v>
      </c>
      <c r="D5" s="35" t="s">
        <v>117</v>
      </c>
      <c r="E5" s="192" t="str">
        <f>LIDER!$E$29</f>
        <v>GRUPO#1: Identificación de una Oportunidad de Negocio Internacional para el Sistema de Riego Solar mediante el Estudio de Tres Mercados Potenciales: Chile, España y Estados Unidos</v>
      </c>
      <c r="F5" s="192"/>
      <c r="G5" s="192"/>
      <c r="H5" s="192"/>
      <c r="I5" s="192"/>
      <c r="J5" s="192"/>
      <c r="K5" s="192"/>
    </row>
    <row r="6" spans="1:11" s="2" customFormat="1" ht="12.75">
      <c r="A6" s="9">
        <v>1</v>
      </c>
      <c r="B6" s="28" t="str">
        <f>LIDER!E43</f>
        <v>MESHEL ARAGON AGUIRRE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PEREZ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DIEGO DEL RIO VEGA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MELANIE ISABEL MONSALVE GRANADOS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HANA SOFIA SANTANA GARCIA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118</v>
      </c>
      <c r="C12" s="32" t="str">
        <f>IF('S-ASIG-05'!D12="","",'S-ASIG-05'!D12)</f>
        <v>LIST</v>
      </c>
      <c r="D12" s="35" t="s">
        <v>117</v>
      </c>
      <c r="E12" s="192" t="str">
        <f>LIDER!$E$30</f>
        <v>GRUPO#2: ANÁLISIS DE UNA OPORTUNIDAD DE NEGOCIO PARA LA COMERCIALIZACIÓN DE PRODUCTOS CAPILARES DE LA EMPRESA ROMELIA S.A.S. EN LOS MERCADOS POTENCIALES DE MEXICO, ESTADOS UNIDOS Y ESPAÑA</v>
      </c>
      <c r="F12" s="192"/>
      <c r="G12" s="192"/>
      <c r="H12" s="192"/>
      <c r="I12" s="192"/>
      <c r="J12" s="192"/>
      <c r="K12" s="192"/>
    </row>
    <row r="13" spans="1:11" s="2" customFormat="1" ht="12.75">
      <c r="A13" s="9">
        <v>1</v>
      </c>
      <c r="B13" s="28" t="str">
        <f>LIDER!F43</f>
        <v>EYLANS ANDRES AHUMADA SALAZAR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KENDRY YIRETH LABIOSA VERGARA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VALERY PAOLA OSORIO VIDAL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YERLIS PAOLA RUIZ GARCIA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ISAAC SIMANCA SANCHEZ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120</v>
      </c>
      <c r="C19" s="32" t="str">
        <f>IF('S-ASIG-05'!D19="","",'S-ASIG-05'!D19)</f>
        <v>LIST</v>
      </c>
      <c r="D19" s="35" t="s">
        <v>117</v>
      </c>
      <c r="E19" s="192" t="str">
        <f>LIDER!$E$31</f>
        <v xml:space="preserve">GRUPO#3: Identificación de una oportunidad de negocio para EcoCao S.A.S. mediante el estudio de Estados Unidos, Ecuador y Chile como mercados potenciales. </v>
      </c>
      <c r="F19" s="192"/>
      <c r="G19" s="192"/>
      <c r="H19" s="192"/>
      <c r="I19" s="192"/>
      <c r="J19" s="192"/>
      <c r="K19" s="192"/>
    </row>
    <row r="20" spans="1:11" s="2" customFormat="1" ht="12.75">
      <c r="A20" s="9">
        <v>1</v>
      </c>
      <c r="B20" s="28" t="str">
        <f>LIDER!G43</f>
        <v>DAVID ANDRES CASTILLA CARDENAS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MARIA FERNANDA DE HORTA GOMEZ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MARÍA ALEJANDRA LEMOS OCHOA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MONTES FERNANDEZ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DAVID ALEJANDRO RHENALS LOPEZ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122</v>
      </c>
      <c r="C26" s="32" t="str">
        <f>IF('S-ASIG-05'!D26="","",'S-ASIG-05'!D26)</f>
        <v>LIST</v>
      </c>
      <c r="D26" s="35" t="s">
        <v>117</v>
      </c>
      <c r="E26" s="192" t="str">
        <f>LIDER!$E$32</f>
        <v>GRUPO#4: Identificación de una Oportunidad de Negocio Internacional para la Harina de Plátano de ASOREPP mediante el Estudio de Tres Mercados Potenciales: España, Estados Unidos y Alemania</v>
      </c>
      <c r="F26" s="192"/>
      <c r="G26" s="192"/>
      <c r="H26" s="192"/>
      <c r="I26" s="192"/>
      <c r="J26" s="192"/>
      <c r="K26" s="192"/>
    </row>
    <row r="27" spans="1:11" s="2" customFormat="1" ht="12.75">
      <c r="A27" s="9">
        <v>1</v>
      </c>
      <c r="B27" s="28" t="str">
        <f>LIDER!H43</f>
        <v>JHORDAN JOSE BARROS PEÑA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RUTH SARAY PATERNINA PÉREZ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HECTOR FABIO PEREIRA PACHECO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RICARDO SERRANO PALLARES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KEILYS JHOANA DE ÁVILA FONTALVO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124</v>
      </c>
      <c r="C33" s="32" t="str">
        <f>IF('S-ASIG-05'!D33="","",'S-ASIG-05'!D33)</f>
        <v>LIST</v>
      </c>
      <c r="D33" s="35" t="s">
        <v>117</v>
      </c>
      <c r="E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F33" s="192"/>
      <c r="G33" s="192"/>
      <c r="H33" s="192"/>
      <c r="I33" s="192"/>
      <c r="J33" s="192"/>
      <c r="K33" s="192"/>
    </row>
    <row r="34" spans="1:11" s="2" customFormat="1" ht="12.75">
      <c r="A34" s="9">
        <v>1</v>
      </c>
      <c r="B34" s="28" t="str">
        <f>LIDER!E51</f>
        <v>VALERIE SOFIA CERA TORRIENTE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CRISTINA LUCIA ESTRADA SANTOYA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JIRETH PAOLA GARCIA COLON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LAURENT SOFIA IBARGUEN GULFO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EVELYN SANCHEZ GONZALEZ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9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126</v>
      </c>
      <c r="C40" s="32" t="str">
        <f>IF('S-ASIG-05'!D40="","",'S-ASIG-05'!D40)</f>
        <v>LIST</v>
      </c>
      <c r="D40" s="35" t="s">
        <v>117</v>
      </c>
      <c r="E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F40" s="192"/>
      <c r="G40" s="192"/>
      <c r="H40" s="192"/>
      <c r="I40" s="192"/>
      <c r="J40" s="192"/>
      <c r="K40" s="192"/>
    </row>
    <row r="41" spans="1:11" s="2" customFormat="1" ht="12.75">
      <c r="A41" s="9">
        <v>1</v>
      </c>
      <c r="B41" s="28" t="str">
        <f>LIDER!F51</f>
        <v>SANTIAGO JOSE BUELVAS CARRILLO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VALERIA SOFIA VENENCIA SANES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ESTEBAN DAVID DORIA LEÓN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128</v>
      </c>
      <c r="C47" s="32" t="str">
        <f>IF('S-ASIG-05'!D47="","",'S-ASIG-05'!D47)</f>
        <v>LIST</v>
      </c>
      <c r="D47" s="35" t="s">
        <v>117</v>
      </c>
      <c r="E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F47" s="192"/>
      <c r="G47" s="192"/>
      <c r="H47" s="192"/>
      <c r="I47" s="192"/>
      <c r="J47" s="192"/>
      <c r="K47" s="192"/>
    </row>
    <row r="48" spans="1:11" s="2" customFormat="1" ht="12.75">
      <c r="A48" s="9">
        <v>1</v>
      </c>
      <c r="B48" s="28" t="str">
        <f>LIDER!G51</f>
        <v>VALENTINA LUZ AVILEZ BERMUDEZ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YANINE MILLET BERMUDEZ JIMENEZ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YURLEINIS MAZA MORALES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DAYANA LUCIA PALLARES MENDOZA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9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130</v>
      </c>
      <c r="C54" s="32" t="str">
        <f>IF('S-ASIG-05'!D54="","",'S-ASIG-05'!D54)</f>
        <v>LIST</v>
      </c>
      <c r="D54" s="35" t="s">
        <v>117</v>
      </c>
      <c r="E54" s="192" t="str">
        <f>LIDER!$E$36</f>
        <v>GRUPO#8: Identificación de Oportunidad de Negocios para la exportación de Gel con Pigmento de la marca ADDA Gel-Styling en los mercados potenciales de Perú, Estados Unidos y Ecuador</v>
      </c>
      <c r="F54" s="192"/>
      <c r="G54" s="192"/>
      <c r="H54" s="192"/>
      <c r="I54" s="192"/>
      <c r="J54" s="192"/>
      <c r="K54" s="192"/>
    </row>
    <row r="55" spans="1:11" s="2" customFormat="1" ht="12.75">
      <c r="A55" s="9">
        <v>1</v>
      </c>
      <c r="B55" s="28" t="str">
        <f>LIDER!H51</f>
        <v>DALIA MARIA DEL CARMEN CONDE RAMIREZ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9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ANGEL MANUEL GONZALEZ ALVAREZ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9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DAINY CAROLINA OLEA TORRES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9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ANDRÉS ESTEBAN VÁSQUEZ GONZÁLEZ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0</v>
      </c>
      <c r="E58" s="19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132</v>
      </c>
      <c r="C61" s="32" t="str">
        <f>IF('S-ASIG-05'!D61="","",'S-ASIG-05'!D61)</f>
        <v>LIST</v>
      </c>
      <c r="D61" s="35" t="s">
        <v>117</v>
      </c>
      <c r="E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F61" s="192"/>
      <c r="G61" s="192"/>
      <c r="H61" s="192"/>
      <c r="I61" s="192"/>
      <c r="J61" s="192"/>
      <c r="K61" s="192"/>
    </row>
    <row r="62" spans="1:11" s="2" customFormat="1" ht="12.75">
      <c r="A62" s="9">
        <v>1</v>
      </c>
      <c r="B62" s="28" t="str">
        <f>LIDER!E59</f>
        <v>JOSE EDUARDO ARRIETA MEJIA</v>
      </c>
      <c r="C62" s="33" t="str">
        <f>IF('S-ASIG-05'!D62="","",'S-ASIG-05'!D62)</f>
        <v/>
      </c>
      <c r="D62" s="30">
        <f>IF(B62=0,"",IF(C62="",$E$62*LIDER!$H$19+F62*LIDER!$H$20+G62*LIDER!$H$21+H62*LIDER!$H$22+I62*LIDER!$H$23+J62*LIDER!$H$24+K62*LIDER!$H$25,"N"))</f>
        <v>0</v>
      </c>
      <c r="E62" s="19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VALENTINA BERRIO LOPEZ</v>
      </c>
      <c r="C63" s="33" t="str">
        <f>IF('S-ASIG-05'!D63="","",'S-ASIG-05'!D63)</f>
        <v/>
      </c>
      <c r="D63" s="30">
        <f>IF(B63=0,"",IF(C63="",$E$62*LIDER!$H$19+F63*LIDER!$H$20+G63*LIDER!$H$21+H63*LIDER!$H$22+I63*LIDER!$H$23+J63*LIDER!$H$24+K63*LIDER!$H$25,"N"))</f>
        <v>0</v>
      </c>
      <c r="E63" s="19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SANTIAGO BOHÓRQUEZ CANTERO</v>
      </c>
      <c r="C64" s="33" t="str">
        <f>IF('S-ASIG-05'!D64="","",'S-ASIG-05'!D64)</f>
        <v/>
      </c>
      <c r="D64" s="30">
        <f>IF(B64=0,"",IF(C64="",$E$62*LIDER!$H$19+F64*LIDER!$H$20+G64*LIDER!$H$21+H64*LIDER!$H$22+I64*LIDER!$H$23+J64*LIDER!$H$24+K64*LIDER!$H$25,"N"))</f>
        <v>0</v>
      </c>
      <c r="E64" s="19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NICOLE ANTHONELLA CAMPOS ABREU</v>
      </c>
      <c r="C65" s="33" t="str">
        <f>IF('S-ASIG-05'!D65="","",'S-ASIG-05'!D65)</f>
        <v/>
      </c>
      <c r="D65" s="30">
        <f>IF(B65=0,"",IF(C65="",$E$62*LIDER!$H$19+F65*LIDER!$H$20+G65*LIDER!$H$21+H65*LIDER!$H$22+I65*LIDER!$H$23+J65*LIDER!$H$24+K65*LIDER!$H$25,"N"))</f>
        <v>0</v>
      </c>
      <c r="E65" s="19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DELIA ROSA GARCIA DIAZ</v>
      </c>
      <c r="C66" s="33" t="str">
        <f>IF('S-ASIG-05'!D66="","",'S-ASIG-05'!D66)</f>
        <v/>
      </c>
      <c r="D66" s="30">
        <f>IF(B66=0,"",IF(C66="",$E$62*LIDER!$H$19+F66*LIDER!$H$20+G66*LIDER!$H$21+H66*LIDER!$H$22+I66*LIDER!$H$23+J66*LIDER!$H$24+K66*LIDER!$H$25,"N"))</f>
        <v>0</v>
      </c>
      <c r="E66" s="19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 t="str">
        <f>LIDER!E64</f>
        <v>SAMUEL DAVID PÉREZ MUÑOZ</v>
      </c>
      <c r="C67" s="33" t="str">
        <f>IF('S-ASIG-05'!D67="","",'S-ASIG-05'!D67)</f>
        <v/>
      </c>
      <c r="D67" s="30">
        <f>IF(B67=0,"",IF(C67="",$E$62*LIDER!$H$19+F67*LIDER!$H$20+G67*LIDER!$H$21+H67*LIDER!$H$22+I67*LIDER!$H$23+J67*LIDER!$H$24+K67*LIDER!$H$25,"N"))</f>
        <v>0</v>
      </c>
      <c r="E67" s="19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134</v>
      </c>
      <c r="C68" s="32" t="str">
        <f>IF('S-ASIG-05'!D68="","",'S-ASIG-05'!D68)</f>
        <v>LIST</v>
      </c>
      <c r="D68" s="35" t="s">
        <v>117</v>
      </c>
      <c r="E68" s="192" t="str">
        <f>LIDER!$E$38</f>
        <v>GRUPO#10: FRUTÉA: Aprovechamiento de frutas colombianas para la elaboración y comercialización de mermeladas</v>
      </c>
      <c r="F68" s="192"/>
      <c r="G68" s="192"/>
      <c r="H68" s="192"/>
      <c r="I68" s="192"/>
      <c r="J68" s="192"/>
      <c r="K68" s="192"/>
    </row>
    <row r="69" spans="1:11" s="2" customFormat="1" ht="12.75">
      <c r="A69" s="9">
        <v>1</v>
      </c>
      <c r="B69" s="28" t="str">
        <f>LIDER!F59</f>
        <v>YUREIDYS ALVAREZ CASTELLANO</v>
      </c>
      <c r="C69" s="33" t="str">
        <f>IF('S-ASIG-05'!D69="","",'S-ASIG-05'!D69)</f>
        <v/>
      </c>
      <c r="D69" s="30">
        <f>IF(B69=0,"",IF(C69="",$E$69*LIDER!$H$19+F69*LIDER!$H$20+G69*LIDER!$H$21+H69*LIDER!$H$22+I69*LIDER!$H$23+J69*LIDER!$H$24+K69*LIDER!$H$25,"N"))</f>
        <v>0</v>
      </c>
      <c r="E69" s="19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 t="str">
        <f>LIDER!F60</f>
        <v>EFRAÍN JOSÉ CEBALLOS SALGADO</v>
      </c>
      <c r="C70" s="33" t="str">
        <f>IF('S-ASIG-05'!D70="","",'S-ASIG-05'!D70)</f>
        <v/>
      </c>
      <c r="D70" s="30">
        <f>IF(B70=0,"",IF(C70="",$E$69*LIDER!$H$19+F70*LIDER!$H$20+G70*LIDER!$H$21+H70*LIDER!$H$22+I70*LIDER!$H$23+J70*LIDER!$H$24+K70*LIDER!$H$25,"N"))</f>
        <v>0</v>
      </c>
      <c r="E70" s="19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 t="str">
        <f>LIDER!F61</f>
        <v>ANDRES FELIPE TORRES ARROYO</v>
      </c>
      <c r="C71" s="33" t="str">
        <f>IF('S-ASIG-05'!D71="","",'S-ASIG-05'!D71)</f>
        <v/>
      </c>
      <c r="D71" s="30">
        <f>IF(B71=0,"",IF(C71="",$E$69*LIDER!$H$19+F71*LIDER!$H$20+G71*LIDER!$H$21+H71*LIDER!$H$22+I71*LIDER!$H$23+J71*LIDER!$H$24+K71*LIDER!$H$25,"N"))</f>
        <v>0</v>
      </c>
      <c r="E71" s="19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 t="str">
        <f>LIDER!F62</f>
        <v>YUSETH DAVID VILLEGAS ARTEAGA</v>
      </c>
      <c r="C72" s="33" t="str">
        <f>IF('S-ASIG-05'!D72="","",'S-ASIG-05'!D72)</f>
        <v/>
      </c>
      <c r="D72" s="30">
        <f>IF(B72=0,"",IF(C72="",$E$69*LIDER!$H$19+F72*LIDER!$H$20+G72*LIDER!$H$21+H72*LIDER!$H$22+I72*LIDER!$H$23+J72*LIDER!$H$24+K72*LIDER!$H$25,"N"))</f>
        <v>0</v>
      </c>
      <c r="E72" s="19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 t="str">
        <f>LIDER!F63</f>
        <v>ISAAC JOSE ZAPATA ZAPATA</v>
      </c>
      <c r="C73" s="33" t="str">
        <f>IF('S-ASIG-05'!D73="","",'S-ASIG-05'!D73)</f>
        <v/>
      </c>
      <c r="D73" s="30">
        <f>IF(B73=0,"",IF(C73="",$E$69*LIDER!$H$19+F73*LIDER!$H$20+G73*LIDER!$H$21+H73*LIDER!$H$22+I73*LIDER!$H$23+J73*LIDER!$H$24+K73*LIDER!$H$25,"N"))</f>
        <v>0</v>
      </c>
      <c r="E73" s="19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136</v>
      </c>
      <c r="C75" s="32" t="str">
        <f>IF('S-ASIG-05'!D75="","",'S-ASIG-05'!D75)</f>
        <v>LIST</v>
      </c>
      <c r="D75" s="35" t="s">
        <v>117</v>
      </c>
      <c r="E75" s="192" t="str">
        <f>LIDER!$E$39</f>
        <v>GRUPO#11: Identificación de una oportunidad de negocio para una barra energética funcional de café colombiano en los mercados de Estados Unidos, Alemania y Canadá</v>
      </c>
      <c r="F75" s="192"/>
      <c r="G75" s="192"/>
      <c r="H75" s="192"/>
      <c r="I75" s="192"/>
      <c r="J75" s="192"/>
      <c r="K75" s="192"/>
    </row>
    <row r="76" spans="1:11" s="2" customFormat="1" ht="12.75">
      <c r="A76" s="9">
        <v>1</v>
      </c>
      <c r="B76" s="28" t="str">
        <f>LIDER!G59</f>
        <v>ANDREA KAROLAY CARRILLO GOMEZ</v>
      </c>
      <c r="C76" s="33" t="str">
        <f>IF('S-ASIG-05'!D76="","",'S-ASIG-05'!D76)</f>
        <v/>
      </c>
      <c r="D76" s="30">
        <f>IF(B76=0,"",IF(C76="",E76*LIDER!$H$19+F76*LIDER!$H$20+G76*LIDER!$H$21+H76*LIDER!$H$22+I76*LIDER!$H$23+J76*LIDER!$H$24+K76*LIDER!$H$25,"N"))</f>
        <v>0</v>
      </c>
      <c r="E76" s="19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 t="str">
        <f>LIDER!G60</f>
        <v>MARIANA JIMENEZ DEVOZ</v>
      </c>
      <c r="C77" s="33" t="str">
        <f>IF('S-ASIG-05'!D77="","",'S-ASIG-05'!D77)</f>
        <v/>
      </c>
      <c r="D77" s="30">
        <f>IF(B77=0,"",IF(C77="",E77*LIDER!$H$19+F77*LIDER!$H$20+G77*LIDER!$H$21+H77*LIDER!$H$22+I77*LIDER!$H$23+J77*LIDER!$H$24+K77*LIDER!$H$25,"N"))</f>
        <v>0</v>
      </c>
      <c r="E77" s="19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 t="str">
        <f>LIDER!G61</f>
        <v>WYLYS JUNIOR ORTIZ ZUÑIGA</v>
      </c>
      <c r="C78" s="33" t="str">
        <f>IF('S-ASIG-05'!D78="","",'S-ASIG-05'!D78)</f>
        <v/>
      </c>
      <c r="D78" s="30">
        <f>IF(B78=0,"",IF(C78="",E78*LIDER!$H$19+F78*LIDER!$H$20+G78*LIDER!$H$21+H78*LIDER!$H$22+I78*LIDER!$H$23+J78*LIDER!$H$24+K78*LIDER!$H$25,"N"))</f>
        <v>0</v>
      </c>
      <c r="E78" s="19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 t="str">
        <f>LIDER!G62</f>
        <v>MELANI DESTERLYN RAMIREZ CUADRO</v>
      </c>
      <c r="C79" s="33" t="str">
        <f>IF('S-ASIG-05'!D79="","",'S-ASIG-05'!D79)</f>
        <v/>
      </c>
      <c r="D79" s="30">
        <f>IF(B79=0,"",IF(C79="",E79*LIDER!$H$19+F79*LIDER!$H$20+G79*LIDER!$H$21+H79*LIDER!$H$22+I79*LIDER!$H$23+J79*LIDER!$H$24+K79*LIDER!$H$25,"N"))</f>
        <v>0</v>
      </c>
      <c r="E79" s="19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IF('S-ASIG-05'!D82="","",'S-ASIG-05'!D82)</f>
        <v>LIST</v>
      </c>
      <c r="D82" s="35" t="s">
        <v>117</v>
      </c>
      <c r="E82" s="192" t="str">
        <f>LIDER!$E$40</f>
        <v>GRUPO#12</v>
      </c>
      <c r="F82" s="192"/>
      <c r="G82" s="192"/>
      <c r="H82" s="192"/>
      <c r="I82" s="192"/>
      <c r="J82" s="192"/>
      <c r="K82" s="19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1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203" t="s">
        <v>112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113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CONCATENATE(LIDER!H4," - ",LIDER!H6," - ",LIDER!H5)</f>
        <v>FUNDAMENTOS DE FINANZAS - 1470 - LEONARDO CARLOS DE ORO BARRIOS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114</v>
      </c>
      <c r="C5" s="34" t="str">
        <f>IF('S-ASIG-06'!D5="","",'S-ASIG-06'!D5)</f>
        <v>LIST</v>
      </c>
      <c r="D5" s="35" t="s">
        <v>117</v>
      </c>
      <c r="E5" s="192" t="str">
        <f>LIDER!$E$29</f>
        <v>GRUPO#1: Identificación de una Oportunidad de Negocio Internacional para el Sistema de Riego Solar mediante el Estudio de Tres Mercados Potenciales: Chile, España y Estados Unidos</v>
      </c>
      <c r="F5" s="192"/>
      <c r="G5" s="192"/>
      <c r="H5" s="192"/>
      <c r="I5" s="192"/>
      <c r="J5" s="192"/>
      <c r="K5" s="192"/>
    </row>
    <row r="6" spans="1:11" s="2" customFormat="1" ht="12.75">
      <c r="A6" s="9">
        <v>1</v>
      </c>
      <c r="B6" s="28" t="str">
        <f>LIDER!E43</f>
        <v>MESHEL ARAGON AGUIRRE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PEREZ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DIEGO DEL RIO VEGA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MELANIE ISABEL MONSALVE GRANADOS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HANA SOFIA SANTANA GARCIA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118</v>
      </c>
      <c r="C12" s="32" t="str">
        <f>IF('S-ASIG-06'!D12="","",'S-ASIG-06'!D12)</f>
        <v>LIST</v>
      </c>
      <c r="D12" s="35" t="s">
        <v>117</v>
      </c>
      <c r="E12" s="192" t="str">
        <f>LIDER!$E$30</f>
        <v>GRUPO#2: ANÁLISIS DE UNA OPORTUNIDAD DE NEGOCIO PARA LA COMERCIALIZACIÓN DE PRODUCTOS CAPILARES DE LA EMPRESA ROMELIA S.A.S. EN LOS MERCADOS POTENCIALES DE MEXICO, ESTADOS UNIDOS Y ESPAÑA</v>
      </c>
      <c r="F12" s="192"/>
      <c r="G12" s="192"/>
      <c r="H12" s="192"/>
      <c r="I12" s="192"/>
      <c r="J12" s="192"/>
      <c r="K12" s="192"/>
    </row>
    <row r="13" spans="1:11" s="2" customFormat="1" ht="12.75">
      <c r="A13" s="9">
        <v>1</v>
      </c>
      <c r="B13" s="28" t="str">
        <f>LIDER!F43</f>
        <v>EYLANS ANDRES AHUMADA SALAZAR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KENDRY YIRETH LABIOSA VERGARA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VALERY PAOLA OSORIO VIDAL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YERLIS PAOLA RUIZ GARCIA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ISAAC SIMANCA SANCHEZ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120</v>
      </c>
      <c r="C19" s="32" t="str">
        <f>IF('S-ASIG-06'!D19="","",'S-ASIG-06'!D19)</f>
        <v>LIST</v>
      </c>
      <c r="D19" s="35" t="s">
        <v>117</v>
      </c>
      <c r="E19" s="192" t="str">
        <f>LIDER!$E$31</f>
        <v xml:space="preserve">GRUPO#3: Identificación de una oportunidad de negocio para EcoCao S.A.S. mediante el estudio de Estados Unidos, Ecuador y Chile como mercados potenciales. </v>
      </c>
      <c r="F19" s="192"/>
      <c r="G19" s="192"/>
      <c r="H19" s="192"/>
      <c r="I19" s="192"/>
      <c r="J19" s="192"/>
      <c r="K19" s="192"/>
    </row>
    <row r="20" spans="1:11" s="2" customFormat="1" ht="12.75">
      <c r="A20" s="9">
        <v>1</v>
      </c>
      <c r="B20" s="28" t="str">
        <f>LIDER!G43</f>
        <v>DAVID ANDRES CASTILLA CARDENAS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MARIA FERNANDA DE HORTA GOMEZ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MARÍA ALEJANDRA LEMOS OCHOA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MONTES FERNANDEZ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DAVID ALEJANDRO RHENALS LOPEZ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122</v>
      </c>
      <c r="C26" s="32" t="str">
        <f>IF('S-ASIG-06'!D26="","",'S-ASIG-06'!D26)</f>
        <v>LIST</v>
      </c>
      <c r="D26" s="35" t="s">
        <v>117</v>
      </c>
      <c r="E26" s="192" t="str">
        <f>LIDER!$E$32</f>
        <v>GRUPO#4: Identificación de una Oportunidad de Negocio Internacional para la Harina de Plátano de ASOREPP mediante el Estudio de Tres Mercados Potenciales: España, Estados Unidos y Alemania</v>
      </c>
      <c r="F26" s="192"/>
      <c r="G26" s="192"/>
      <c r="H26" s="192"/>
      <c r="I26" s="192"/>
      <c r="J26" s="192"/>
      <c r="K26" s="192"/>
    </row>
    <row r="27" spans="1:11" s="2" customFormat="1" ht="12.75">
      <c r="A27" s="9">
        <v>1</v>
      </c>
      <c r="B27" s="28" t="str">
        <f>LIDER!H43</f>
        <v>JHORDAN JOSE BARROS PEÑA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RUTH SARAY PATERNINA PÉREZ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HECTOR FABIO PEREIRA PACHECO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RICARDO SERRANO PALLARES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KEILYS JHOANA DE ÁVILA FONTALVO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124</v>
      </c>
      <c r="C33" s="32" t="str">
        <f>IF('S-ASIG-06'!D33="","",'S-ASIG-06'!D33)</f>
        <v>LIST</v>
      </c>
      <c r="D33" s="35" t="s">
        <v>117</v>
      </c>
      <c r="E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F33" s="192"/>
      <c r="G33" s="192"/>
      <c r="H33" s="192"/>
      <c r="I33" s="192"/>
      <c r="J33" s="192"/>
      <c r="K33" s="192"/>
    </row>
    <row r="34" spans="1:11" s="2" customFormat="1" ht="12.75">
      <c r="A34" s="9">
        <v>1</v>
      </c>
      <c r="B34" s="28" t="str">
        <f>LIDER!E51</f>
        <v>VALERIE SOFIA CERA TORRIENTE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CRISTINA LUCIA ESTRADA SANTOYA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JIRETH PAOLA GARCIA COLON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LAURENT SOFIA IBARGUEN GULFO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EVELYN SANCHEZ GONZALEZ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9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126</v>
      </c>
      <c r="C40" s="32" t="str">
        <f>IF('S-ASIG-06'!D40="","",'S-ASIG-06'!D40)</f>
        <v>LIST</v>
      </c>
      <c r="D40" s="35" t="s">
        <v>117</v>
      </c>
      <c r="E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F40" s="192"/>
      <c r="G40" s="192"/>
      <c r="H40" s="192"/>
      <c r="I40" s="192"/>
      <c r="J40" s="192"/>
      <c r="K40" s="192"/>
    </row>
    <row r="41" spans="1:11" s="2" customFormat="1" ht="12.75">
      <c r="A41" s="9">
        <v>1</v>
      </c>
      <c r="B41" s="28" t="str">
        <f>LIDER!F51</f>
        <v>SANTIAGO JOSE BUELVAS CARRILLO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VALERIA SOFIA VENENCIA SANES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ESTEBAN DAVID DORIA LEÓN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128</v>
      </c>
      <c r="C47" s="32" t="str">
        <f>IF('S-ASIG-06'!D47="","",'S-ASIG-06'!D47)</f>
        <v>LIST</v>
      </c>
      <c r="D47" s="35" t="s">
        <v>117</v>
      </c>
      <c r="E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F47" s="192"/>
      <c r="G47" s="192"/>
      <c r="H47" s="192"/>
      <c r="I47" s="192"/>
      <c r="J47" s="192"/>
      <c r="K47" s="192"/>
    </row>
    <row r="48" spans="1:11" s="2" customFormat="1" ht="12.75">
      <c r="A48" s="9">
        <v>1</v>
      </c>
      <c r="B48" s="28" t="str">
        <f>LIDER!G51</f>
        <v>VALENTINA LUZ AVILEZ BERMUDEZ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YANINE MILLET BERMUDEZ JIMENEZ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YURLEINIS MAZA MORALES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DAYANA LUCIA PALLARES MENDOZA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9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130</v>
      </c>
      <c r="C54" s="32" t="str">
        <f>IF('S-ASIG-06'!D54="","",'S-ASIG-06'!D54)</f>
        <v>LIST</v>
      </c>
      <c r="D54" s="35" t="s">
        <v>117</v>
      </c>
      <c r="E54" s="192" t="str">
        <f>LIDER!$E$36</f>
        <v>GRUPO#8: Identificación de Oportunidad de Negocios para la exportación de Gel con Pigmento de la marca ADDA Gel-Styling en los mercados potenciales de Perú, Estados Unidos y Ecuador</v>
      </c>
      <c r="F54" s="192"/>
      <c r="G54" s="192"/>
      <c r="H54" s="192"/>
      <c r="I54" s="192"/>
      <c r="J54" s="192"/>
      <c r="K54" s="192"/>
    </row>
    <row r="55" spans="1:11" s="2" customFormat="1" ht="12.75">
      <c r="A55" s="9">
        <v>1</v>
      </c>
      <c r="B55" s="28" t="str">
        <f>LIDER!H51</f>
        <v>DALIA MARIA DEL CARMEN CONDE RAMIREZ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ANGEL MANUEL GONZALEZ ALVAREZ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DAINY CAROLINA OLEA TORRES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9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ANDRÉS ESTEBAN VÁSQUEZ GONZÁLEZ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0</v>
      </c>
      <c r="E58" s="19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132</v>
      </c>
      <c r="C61" s="32" t="str">
        <f>IF('S-ASIG-06'!D61="","",'S-ASIG-06'!D61)</f>
        <v>LIST</v>
      </c>
      <c r="D61" s="35" t="s">
        <v>117</v>
      </c>
      <c r="E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F61" s="192"/>
      <c r="G61" s="192"/>
      <c r="H61" s="192"/>
      <c r="I61" s="192"/>
      <c r="J61" s="192"/>
      <c r="K61" s="192"/>
    </row>
    <row r="62" spans="1:11" s="2" customFormat="1" ht="12.75">
      <c r="A62" s="9">
        <v>1</v>
      </c>
      <c r="B62" s="28" t="str">
        <f>LIDER!E59</f>
        <v>JOSE EDUARDO ARRIETA MEJIA</v>
      </c>
      <c r="C62" s="33" t="str">
        <f>IF('S-ASIG-06'!D62="","",'S-ASIG-06'!D62)</f>
        <v/>
      </c>
      <c r="D62" s="30">
        <f>IF(B62=0,"",IF(C62="",$E$62*LIDER!$H$19+F62*LIDER!$H$20+G62*LIDER!$H$21+H62*LIDER!$H$22+I62*LIDER!$H$23+J62*LIDER!$H$24+K62*LIDER!$H$25,"N"))</f>
        <v>0</v>
      </c>
      <c r="E62" s="19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VALENTINA BERRIO LOPEZ</v>
      </c>
      <c r="C63" s="33" t="str">
        <f>IF('S-ASIG-06'!D63="","",'S-ASIG-06'!D63)</f>
        <v/>
      </c>
      <c r="D63" s="30">
        <f>IF(B63=0,"",IF(C63="",$E$62*LIDER!$H$19+F63*LIDER!$H$20+G63*LIDER!$H$21+H63*LIDER!$H$22+I63*LIDER!$H$23+J63*LIDER!$H$24+K63*LIDER!$H$25,"N"))</f>
        <v>0</v>
      </c>
      <c r="E63" s="19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SANTIAGO BOHÓRQUEZ CANTERO</v>
      </c>
      <c r="C64" s="33" t="str">
        <f>IF('S-ASIG-06'!D64="","",'S-ASIG-06'!D64)</f>
        <v/>
      </c>
      <c r="D64" s="30">
        <f>IF(B64=0,"",IF(C64="",$E$62*LIDER!$H$19+F64*LIDER!$H$20+G64*LIDER!$H$21+H64*LIDER!$H$22+I64*LIDER!$H$23+J64*LIDER!$H$24+K64*LIDER!$H$25,"N"))</f>
        <v>0</v>
      </c>
      <c r="E64" s="19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NICOLE ANTHONELLA CAMPOS ABREU</v>
      </c>
      <c r="C65" s="33" t="str">
        <f>IF('S-ASIG-06'!D65="","",'S-ASIG-06'!D65)</f>
        <v/>
      </c>
      <c r="D65" s="30">
        <f>IF(B65=0,"",IF(C65="",$E$62*LIDER!$H$19+F65*LIDER!$H$20+G65*LIDER!$H$21+H65*LIDER!$H$22+I65*LIDER!$H$23+J65*LIDER!$H$24+K65*LIDER!$H$25,"N"))</f>
        <v>0</v>
      </c>
      <c r="E65" s="19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DELIA ROSA GARCIA DIAZ</v>
      </c>
      <c r="C66" s="33" t="str">
        <f>IF('S-ASIG-06'!D66="","",'S-ASIG-06'!D66)</f>
        <v/>
      </c>
      <c r="D66" s="30">
        <f>IF(B66=0,"",IF(C66="",$E$62*LIDER!$H$19+F66*LIDER!$H$20+G66*LIDER!$H$21+H66*LIDER!$H$22+I66*LIDER!$H$23+J66*LIDER!$H$24+K66*LIDER!$H$25,"N"))</f>
        <v>0</v>
      </c>
      <c r="E66" s="19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 t="str">
        <f>LIDER!E64</f>
        <v>SAMUEL DAVID PÉREZ MUÑOZ</v>
      </c>
      <c r="C67" s="33" t="str">
        <f>IF('S-ASIG-06'!D67="","",'S-ASIG-06'!D67)</f>
        <v/>
      </c>
      <c r="D67" s="30">
        <f>IF(B67=0,"",IF(C67="",$E$62*LIDER!$H$19+F67*LIDER!$H$20+G67*LIDER!$H$21+H67*LIDER!$H$22+I67*LIDER!$H$23+J67*LIDER!$H$24+K67*LIDER!$H$25,"N"))</f>
        <v>0</v>
      </c>
      <c r="E67" s="19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134</v>
      </c>
      <c r="C68" s="32" t="str">
        <f>IF('S-ASIG-06'!D68="","",'S-ASIG-06'!D68)</f>
        <v>LIST</v>
      </c>
      <c r="D68" s="35" t="s">
        <v>117</v>
      </c>
      <c r="E68" s="192" t="str">
        <f>LIDER!$E$38</f>
        <v>GRUPO#10: FRUTÉA: Aprovechamiento de frutas colombianas para la elaboración y comercialización de mermeladas</v>
      </c>
      <c r="F68" s="192"/>
      <c r="G68" s="192"/>
      <c r="H68" s="192"/>
      <c r="I68" s="192"/>
      <c r="J68" s="192"/>
      <c r="K68" s="192"/>
    </row>
    <row r="69" spans="1:11" s="2" customFormat="1" ht="12.75">
      <c r="A69" s="9">
        <v>1</v>
      </c>
      <c r="B69" s="28" t="str">
        <f>LIDER!F59</f>
        <v>YUREIDYS ALVAREZ CASTELLANO</v>
      </c>
      <c r="C69" s="33" t="str">
        <f>IF('S-ASIG-06'!D69="","",'S-ASIG-06'!D69)</f>
        <v>N</v>
      </c>
      <c r="D69" s="30" t="str">
        <f>IF(B69=0,"",IF(C69="",$E$69*LIDER!$H$19+F69*LIDER!$H$20+G69*LIDER!$H$21+H69*LIDER!$H$22+I69*LIDER!$H$23+J69*LIDER!$H$24+K69*LIDER!$H$25,"N"))</f>
        <v>N</v>
      </c>
      <c r="E69" s="19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 t="str">
        <f>LIDER!F60</f>
        <v>EFRAÍN JOSÉ CEBALLOS SALGADO</v>
      </c>
      <c r="C70" s="33" t="str">
        <f>IF('S-ASIG-06'!D70="","",'S-ASIG-06'!D70)</f>
        <v/>
      </c>
      <c r="D70" s="30">
        <f>IF(B70=0,"",IF(C70="",$E$69*LIDER!$H$19+F70*LIDER!$H$20+G70*LIDER!$H$21+H70*LIDER!$H$22+I70*LIDER!$H$23+J70*LIDER!$H$24+K70*LIDER!$H$25,"N"))</f>
        <v>0</v>
      </c>
      <c r="E70" s="19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 t="str">
        <f>LIDER!F61</f>
        <v>ANDRES FELIPE TORRES ARROYO</v>
      </c>
      <c r="C71" s="33" t="str">
        <f>IF('S-ASIG-06'!D71="","",'S-ASIG-06'!D71)</f>
        <v>N</v>
      </c>
      <c r="D71" s="30" t="str">
        <f>IF(B71=0,"",IF(C71="",$E$69*LIDER!$H$19+F71*LIDER!$H$20+G71*LIDER!$H$21+H71*LIDER!$H$22+I71*LIDER!$H$23+J71*LIDER!$H$24+K71*LIDER!$H$25,"N"))</f>
        <v>N</v>
      </c>
      <c r="E71" s="19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 t="str">
        <f>LIDER!F62</f>
        <v>YUSETH DAVID VILLEGAS ARTEAGA</v>
      </c>
      <c r="C72" s="33" t="str">
        <f>IF('S-ASIG-06'!D72="","",'S-ASIG-06'!D72)</f>
        <v/>
      </c>
      <c r="D72" s="30">
        <f>IF(B72=0,"",IF(C72="",$E$69*LIDER!$H$19+F72*LIDER!$H$20+G72*LIDER!$H$21+H72*LIDER!$H$22+I72*LIDER!$H$23+J72*LIDER!$H$24+K72*LIDER!$H$25,"N"))</f>
        <v>0</v>
      </c>
      <c r="E72" s="19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 t="str">
        <f>LIDER!F63</f>
        <v>ISAAC JOSE ZAPATA ZAPATA</v>
      </c>
      <c r="C73" s="33" t="str">
        <f>IF('S-ASIG-06'!D73="","",'S-ASIG-06'!D73)</f>
        <v/>
      </c>
      <c r="D73" s="30">
        <f>IF(B73=0,"",IF(C73="",$E$69*LIDER!$H$19+F73*LIDER!$H$20+G73*LIDER!$H$21+H73*LIDER!$H$22+I73*LIDER!$H$23+J73*LIDER!$H$24+K73*LIDER!$H$25,"N"))</f>
        <v>0</v>
      </c>
      <c r="E73" s="19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136</v>
      </c>
      <c r="C75" s="32" t="str">
        <f>IF('S-ASIG-06'!D75="","",'S-ASIG-06'!D75)</f>
        <v>LIST</v>
      </c>
      <c r="D75" s="35" t="s">
        <v>117</v>
      </c>
      <c r="E75" s="192" t="str">
        <f>LIDER!$E$39</f>
        <v>GRUPO#11: Identificación de una oportunidad de negocio para una barra energética funcional de café colombiano en los mercados de Estados Unidos, Alemania y Canadá</v>
      </c>
      <c r="F75" s="192"/>
      <c r="G75" s="192"/>
      <c r="H75" s="192"/>
      <c r="I75" s="192"/>
      <c r="J75" s="192"/>
      <c r="K75" s="192"/>
    </row>
    <row r="76" spans="1:11" s="2" customFormat="1" ht="12.75">
      <c r="A76" s="9">
        <v>1</v>
      </c>
      <c r="B76" s="28" t="str">
        <f>LIDER!G59</f>
        <v>ANDREA KAROLAY CARRILLO GOMEZ</v>
      </c>
      <c r="C76" s="33" t="str">
        <f>IF('S-ASIG-06'!D76="","",'S-ASIG-06'!D76)</f>
        <v>N</v>
      </c>
      <c r="D76" s="30" t="str">
        <f>IF(B76=0,"",IF(C76="",E76*LIDER!$H$19+F76*LIDER!$H$20+G76*LIDER!$H$21+H76*LIDER!$H$22+I76*LIDER!$H$23+J76*LIDER!$H$24+K76*LIDER!$H$25,"N"))</f>
        <v>N</v>
      </c>
      <c r="E76" s="19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 t="str">
        <f>LIDER!G60</f>
        <v>MARIANA JIMENEZ DEVOZ</v>
      </c>
      <c r="C77" s="33" t="str">
        <f>IF('S-ASIG-06'!D77="","",'S-ASIG-06'!D77)</f>
        <v>N</v>
      </c>
      <c r="D77" s="30" t="str">
        <f>IF(B77=0,"",IF(C77="",E77*LIDER!$H$19+F77*LIDER!$H$20+G77*LIDER!$H$21+H77*LIDER!$H$22+I77*LIDER!$H$23+J77*LIDER!$H$24+K77*LIDER!$H$25,"N"))</f>
        <v>N</v>
      </c>
      <c r="E77" s="19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 t="str">
        <f>LIDER!G61</f>
        <v>WYLYS JUNIOR ORTIZ ZUÑIGA</v>
      </c>
      <c r="C78" s="33" t="str">
        <f>IF('S-ASIG-06'!D78="","",'S-ASIG-06'!D78)</f>
        <v>N</v>
      </c>
      <c r="D78" s="30" t="str">
        <f>IF(B78=0,"",IF(C78="",E78*LIDER!$H$19+F78*LIDER!$H$20+G78*LIDER!$H$21+H78*LIDER!$H$22+I78*LIDER!$H$23+J78*LIDER!$H$24+K78*LIDER!$H$25,"N"))</f>
        <v>N</v>
      </c>
      <c r="E78" s="19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 t="str">
        <f>LIDER!G62</f>
        <v>MELANI DESTERLYN RAMIREZ CUADRO</v>
      </c>
      <c r="C79" s="33" t="str">
        <f>IF('S-ASIG-06'!D79="","",'S-ASIG-06'!D79)</f>
        <v>N</v>
      </c>
      <c r="D79" s="30" t="str">
        <f>IF(B79=0,"",IF(C79="",E79*LIDER!$H$19+F79*LIDER!$H$20+G79*LIDER!$H$21+H79*LIDER!$H$22+I79*LIDER!$H$23+J79*LIDER!$H$24+K79*LIDER!$H$25,"N"))</f>
        <v>N</v>
      </c>
      <c r="E79" s="19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IF('S-ASIG-06'!D82="","",'S-ASIG-06'!D82)</f>
        <v>LIST</v>
      </c>
      <c r="D82" s="35" t="s">
        <v>117</v>
      </c>
      <c r="E82" s="192" t="str">
        <f>LIDER!$E$40</f>
        <v>GRUPO#12</v>
      </c>
      <c r="F82" s="192"/>
      <c r="G82" s="192"/>
      <c r="H82" s="192"/>
      <c r="I82" s="192"/>
      <c r="J82" s="192"/>
      <c r="K82" s="19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1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5" t="str">
        <f>LIDER!B2</f>
        <v>TECNOLOGÍA EN GESTIÓN DE NEGOCIOS INTERN</v>
      </c>
      <c r="B1" s="196"/>
      <c r="C1" s="196"/>
      <c r="D1" s="196"/>
      <c r="E1" s="196"/>
      <c r="F1" s="196"/>
      <c r="G1" s="19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03" t="s">
        <v>112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113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CONCATENATE(LIDER!I4," - ",LIDER!I6," - ",LIDER!I5)</f>
        <v xml:space="preserve"> -  - 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114</v>
      </c>
      <c r="C5" s="34" t="str">
        <f>IF('S-ASIG-07'!D5="","",'S-ASIG-07'!D5)</f>
        <v>LIST</v>
      </c>
      <c r="D5" s="35" t="s">
        <v>117</v>
      </c>
      <c r="E5" s="192" t="str">
        <f>LIDER!$E$29</f>
        <v>GRUPO#1: Identificación de una Oportunidad de Negocio Internacional para el Sistema de Riego Solar mediante el Estudio de Tres Mercados Potenciales: Chile, España y Estados Unidos</v>
      </c>
      <c r="F5" s="192"/>
      <c r="G5" s="192"/>
      <c r="H5" s="192"/>
      <c r="I5" s="192"/>
      <c r="J5" s="192"/>
      <c r="K5" s="192"/>
    </row>
    <row r="6" spans="1:11" s="2" customFormat="1" ht="12.75">
      <c r="A6" s="9">
        <v>1</v>
      </c>
      <c r="B6" s="28" t="str">
        <f>LIDER!E43</f>
        <v>MESHEL ARAGON AGUIRRE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PEREZ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DIEGO DEL RIO VEGA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MELANIE ISABEL MONSALVE GRANADOS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HANA SOFIA SANTANA GARCIA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118</v>
      </c>
      <c r="C12" s="32" t="str">
        <f>IF('S-ASIG-07'!D12="","",'S-ASIG-07'!D12)</f>
        <v>LIST</v>
      </c>
      <c r="D12" s="35" t="s">
        <v>117</v>
      </c>
      <c r="E12" s="192" t="str">
        <f>LIDER!$E$30</f>
        <v>GRUPO#2: ANÁLISIS DE UNA OPORTUNIDAD DE NEGOCIO PARA LA COMERCIALIZACIÓN DE PRODUCTOS CAPILARES DE LA EMPRESA ROMELIA S.A.S. EN LOS MERCADOS POTENCIALES DE MEXICO, ESTADOS UNIDOS Y ESPAÑA</v>
      </c>
      <c r="F12" s="192"/>
      <c r="G12" s="192"/>
      <c r="H12" s="192"/>
      <c r="I12" s="192"/>
      <c r="J12" s="192"/>
      <c r="K12" s="192"/>
    </row>
    <row r="13" spans="1:11" s="2" customFormat="1" ht="12.75">
      <c r="A13" s="9">
        <v>1</v>
      </c>
      <c r="B13" s="28" t="str">
        <f>LIDER!F43</f>
        <v>EYLANS ANDRES AHUMADA SALAZAR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KENDRY YIRETH LABIOSA VERGARA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VALERY PAOLA OSORIO VIDAL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YERLIS PAOLA RUIZ GARCIA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ISAAC SIMANCA SANCHEZ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120</v>
      </c>
      <c r="C19" s="32" t="str">
        <f>IF('S-ASIG-07'!D19="","",'S-ASIG-07'!D19)</f>
        <v>LIST</v>
      </c>
      <c r="D19" s="35" t="s">
        <v>117</v>
      </c>
      <c r="E19" s="192" t="str">
        <f>LIDER!$E$31</f>
        <v xml:space="preserve">GRUPO#3: Identificación de una oportunidad de negocio para EcoCao S.A.S. mediante el estudio de Estados Unidos, Ecuador y Chile como mercados potenciales. </v>
      </c>
      <c r="F19" s="192"/>
      <c r="G19" s="192"/>
      <c r="H19" s="192"/>
      <c r="I19" s="192"/>
      <c r="J19" s="192"/>
      <c r="K19" s="192"/>
    </row>
    <row r="20" spans="1:11" s="2" customFormat="1" ht="12.75">
      <c r="A20" s="9">
        <v>1</v>
      </c>
      <c r="B20" s="28" t="str">
        <f>LIDER!G43</f>
        <v>DAVID ANDRES CASTILLA CARDENAS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MARIA FERNANDA DE HORTA GOMEZ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MARÍA ALEJANDRA LEMOS OCHOA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MONTES FERNANDEZ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DAVID ALEJANDRO RHENALS LOPEZ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122</v>
      </c>
      <c r="C26" s="32" t="str">
        <f>IF('S-ASIG-07'!D26="","",'S-ASIG-07'!D26)</f>
        <v>LIST</v>
      </c>
      <c r="D26" s="35" t="s">
        <v>117</v>
      </c>
      <c r="E26" s="192" t="str">
        <f>LIDER!$E$32</f>
        <v>GRUPO#4: Identificación de una Oportunidad de Negocio Internacional para la Harina de Plátano de ASOREPP mediante el Estudio de Tres Mercados Potenciales: España, Estados Unidos y Alemania</v>
      </c>
      <c r="F26" s="192"/>
      <c r="G26" s="192"/>
      <c r="H26" s="192"/>
      <c r="I26" s="192"/>
      <c r="J26" s="192"/>
      <c r="K26" s="192"/>
    </row>
    <row r="27" spans="1:11" s="2" customFormat="1" ht="12.75">
      <c r="A27" s="9">
        <v>1</v>
      </c>
      <c r="B27" s="28" t="str">
        <f>LIDER!H43</f>
        <v>JHORDAN JOSE BARROS PEÑA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RUTH SARAY PATERNINA PÉREZ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HECTOR FABIO PEREIRA PACHECO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RICARDO SERRANO PALLARES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KEILYS JHOANA DE ÁVILA FONTALVO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124</v>
      </c>
      <c r="C33" s="32" t="str">
        <f>IF('S-ASIG-07'!D33="","",'S-ASIG-07'!D33)</f>
        <v>LIST</v>
      </c>
      <c r="D33" s="35" t="s">
        <v>117</v>
      </c>
      <c r="E33" s="192" t="str">
        <f>LIDER!$E$33</f>
        <v xml:space="preserve">GRUPO#5: Identificación de una oportunidad de negocio sostenible para la elaboración y comercialización de productos decorativos y funcionales para el hogar a partir del aprovechamiento de conchas de mar, mediante el estudio de tres (3) mercados potenciales:  Reino Unido, Alemania y Estados Unidos de América. </v>
      </c>
      <c r="F33" s="192"/>
      <c r="G33" s="192"/>
      <c r="H33" s="192"/>
      <c r="I33" s="192"/>
      <c r="J33" s="192"/>
      <c r="K33" s="192"/>
    </row>
    <row r="34" spans="1:11" s="2" customFormat="1" ht="12.75">
      <c r="A34" s="9">
        <v>1</v>
      </c>
      <c r="B34" s="28" t="str">
        <f>LIDER!E51</f>
        <v>VALERIE SOFIA CERA TORRIENTE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CRISTINA LUCIA ESTRADA SANTOYA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JIRETH PAOLA GARCIA COLON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LAURENT SOFIA IBARGUEN GULFO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EVELYN SANCHEZ GONZALEZ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126</v>
      </c>
      <c r="C40" s="32" t="str">
        <f>IF('S-ASIG-07'!D40="","",'S-ASIG-07'!D40)</f>
        <v>LIST</v>
      </c>
      <c r="D40" s="35" t="s">
        <v>117</v>
      </c>
      <c r="E40" s="192" t="str">
        <f>LIDER!$E$34</f>
        <v>GRUPO#6: Análisis de una oportunidad de negocio sostenible para la elaboración y comercialización de producto biodegradable de la empresa ecowipe referente a la limpieza de la piel, mediante el estudio de tres (3) mercados potenciales: Estados Unidos, Perú y Ecuador</v>
      </c>
      <c r="F40" s="192"/>
      <c r="G40" s="192"/>
      <c r="H40" s="192"/>
      <c r="I40" s="192"/>
      <c r="J40" s="192"/>
      <c r="K40" s="192"/>
    </row>
    <row r="41" spans="1:11" s="2" customFormat="1" ht="12.75">
      <c r="A41" s="9">
        <v>1</v>
      </c>
      <c r="B41" s="28" t="str">
        <f>LIDER!F51</f>
        <v>SANTIAGO JOSE BUELVAS CARRILLO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VALERIA SOFIA VENENCIA SANES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ESTEBAN DAVID DORIA LEÓN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128</v>
      </c>
      <c r="C47" s="32" t="str">
        <f>IF('S-ASIG-07'!D47="","",'S-ASIG-07'!D47)</f>
        <v>LIST</v>
      </c>
      <c r="D47" s="35" t="s">
        <v>117</v>
      </c>
      <c r="E47" s="192" t="str">
        <f>LIDER!$E$35</f>
        <v>GRUPO#7: Identificación de la oportunidad de negocio internacional para la comercialización del tónico capilar natural de la marca BioRaíz a mercados potenciales de Estados Unidos, España y México.</v>
      </c>
      <c r="F47" s="192"/>
      <c r="G47" s="192"/>
      <c r="H47" s="192"/>
      <c r="I47" s="192"/>
      <c r="J47" s="192"/>
      <c r="K47" s="192"/>
    </row>
    <row r="48" spans="1:11" s="2" customFormat="1" ht="12.75">
      <c r="A48" s="9">
        <v>1</v>
      </c>
      <c r="B48" s="28" t="str">
        <f>LIDER!G51</f>
        <v>VALENTINA LUZ AVILEZ BERMUDEZ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YANINE MILLET BERMUDEZ JIMENEZ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YURLEINIS MAZA MORALES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DAYANA LUCIA PALLARES MENDOZA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9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130</v>
      </c>
      <c r="C54" s="32" t="str">
        <f>IF('S-ASIG-07'!D54="","",'S-ASIG-07'!D54)</f>
        <v>LIST</v>
      </c>
      <c r="D54" s="35" t="s">
        <v>117</v>
      </c>
      <c r="E54" s="192" t="str">
        <f>LIDER!$E$36</f>
        <v>GRUPO#8: Identificación de Oportunidad de Negocios para la exportación de Gel con Pigmento de la marca ADDA Gel-Styling en los mercados potenciales de Perú, Estados Unidos y Ecuador</v>
      </c>
      <c r="F54" s="192"/>
      <c r="G54" s="192"/>
      <c r="H54" s="192"/>
      <c r="I54" s="192"/>
      <c r="J54" s="192"/>
      <c r="K54" s="192"/>
    </row>
    <row r="55" spans="1:11" s="2" customFormat="1" ht="12.75">
      <c r="A55" s="9">
        <v>1</v>
      </c>
      <c r="B55" s="28" t="str">
        <f>LIDER!H51</f>
        <v>DALIA MARIA DEL CARMEN CONDE RAMIREZ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ANGEL MANUEL GONZALEZ ALVAREZ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DAINY CAROLINA OLEA TORRES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ANDRÉS ESTEBAN VÁSQUEZ GONZÁLEZ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9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132</v>
      </c>
      <c r="C61" s="32" t="str">
        <f>IF('S-ASIG-07'!D61="","",'S-ASIG-07'!D61)</f>
        <v>LIST</v>
      </c>
      <c r="D61" s="35" t="s">
        <v>117</v>
      </c>
      <c r="E61" s="192" t="str">
        <f>LIDER!$E$37</f>
        <v xml:space="preserve">GRUPO#9: Identificación de oportunidades comerciales e internacionalización de PYMES agrícolas colombianas mediante una plataforma digital a México, Canadá y Países Bajos </v>
      </c>
      <c r="F61" s="192"/>
      <c r="G61" s="192"/>
      <c r="H61" s="192"/>
      <c r="I61" s="192"/>
      <c r="J61" s="192"/>
      <c r="K61" s="192"/>
    </row>
    <row r="62" spans="1:11" s="2" customFormat="1" ht="12.75">
      <c r="A62" s="9">
        <v>1</v>
      </c>
      <c r="B62" s="28" t="str">
        <f>LIDER!E59</f>
        <v>JOSE EDUARDO ARRIETA MEJIA</v>
      </c>
      <c r="C62" s="33" t="str">
        <f>IF('S-ASIG-07'!D62="","",'S-ASIG-07'!D62)</f>
        <v/>
      </c>
      <c r="D62" s="30">
        <f>IF(B62=0,"",IF(C62="",$E$62*LIDER!$H$19+F62*LIDER!$H$20+G62*LIDER!$H$21+H62*LIDER!$H$22+I62*LIDER!$H$23+J62*LIDER!$H$24+K62*LIDER!$H$25,"N"))</f>
        <v>0</v>
      </c>
      <c r="E62" s="19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VALENTINA BERRIO LOPEZ</v>
      </c>
      <c r="C63" s="33" t="str">
        <f>IF('S-ASIG-07'!D63="","",'S-ASIG-07'!D63)</f>
        <v/>
      </c>
      <c r="D63" s="30">
        <f>IF(B63=0,"",IF(C63="",$E$62*LIDER!$H$19+F63*LIDER!$H$20+G63*LIDER!$H$21+H63*LIDER!$H$22+I63*LIDER!$H$23+J63*LIDER!$H$24+K63*LIDER!$H$25,"N"))</f>
        <v>0</v>
      </c>
      <c r="E63" s="19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SANTIAGO BOHÓRQUEZ CANTERO</v>
      </c>
      <c r="C64" s="33" t="str">
        <f>IF('S-ASIG-07'!D64="","",'S-ASIG-07'!D64)</f>
        <v/>
      </c>
      <c r="D64" s="30">
        <f>IF(B64=0,"",IF(C64="",$E$62*LIDER!$H$19+F64*LIDER!$H$20+G64*LIDER!$H$21+H64*LIDER!$H$22+I64*LIDER!$H$23+J64*LIDER!$H$24+K64*LIDER!$H$25,"N"))</f>
        <v>0</v>
      </c>
      <c r="E64" s="19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NICOLE ANTHONELLA CAMPOS ABREU</v>
      </c>
      <c r="C65" s="33" t="str">
        <f>IF('S-ASIG-07'!D65="","",'S-ASIG-07'!D65)</f>
        <v/>
      </c>
      <c r="D65" s="30">
        <f>IF(B65=0,"",IF(C65="",$E$62*LIDER!$H$19+F65*LIDER!$H$20+G65*LIDER!$H$21+H65*LIDER!$H$22+I65*LIDER!$H$23+J65*LIDER!$H$24+K65*LIDER!$H$25,"N"))</f>
        <v>0</v>
      </c>
      <c r="E65" s="19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DELIA ROSA GARCIA DIAZ</v>
      </c>
      <c r="C66" s="33" t="str">
        <f>IF('S-ASIG-07'!D66="","",'S-ASIG-07'!D66)</f>
        <v/>
      </c>
      <c r="D66" s="30">
        <f>IF(B66=0,"",IF(C66="",$E$62*LIDER!$H$19+F66*LIDER!$H$20+G66*LIDER!$H$21+H66*LIDER!$H$22+I66*LIDER!$H$23+J66*LIDER!$H$24+K66*LIDER!$H$25,"N"))</f>
        <v>0</v>
      </c>
      <c r="E66" s="19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 t="str">
        <f>LIDER!E64</f>
        <v>SAMUEL DAVID PÉREZ MUÑOZ</v>
      </c>
      <c r="C67" s="33" t="str">
        <f>IF('S-ASIG-07'!D67="","",'S-ASIG-07'!D67)</f>
        <v/>
      </c>
      <c r="D67" s="30">
        <f>IF(B67=0,"",IF(C67="",$E$62*LIDER!$H$19+F67*LIDER!$H$20+G67*LIDER!$H$21+H67*LIDER!$H$22+I67*LIDER!$H$23+J67*LIDER!$H$24+K67*LIDER!$H$25,"N"))</f>
        <v>0</v>
      </c>
      <c r="E67" s="19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134</v>
      </c>
      <c r="C68" s="32" t="str">
        <f>IF('S-ASIG-07'!D68="","",'S-ASIG-07'!D68)</f>
        <v>LIST</v>
      </c>
      <c r="D68" s="35" t="s">
        <v>117</v>
      </c>
      <c r="E68" s="192" t="str">
        <f>LIDER!$E$38</f>
        <v>GRUPO#10: FRUTÉA: Aprovechamiento de frutas colombianas para la elaboración y comercialización de mermeladas</v>
      </c>
      <c r="F68" s="192"/>
      <c r="G68" s="192"/>
      <c r="H68" s="192"/>
      <c r="I68" s="192"/>
      <c r="J68" s="192"/>
      <c r="K68" s="192"/>
    </row>
    <row r="69" spans="1:11" s="2" customFormat="1" ht="12.75">
      <c r="A69" s="9">
        <v>1</v>
      </c>
      <c r="B69" s="28" t="str">
        <f>LIDER!F59</f>
        <v>YUREIDYS ALVAREZ CASTELLANO</v>
      </c>
      <c r="C69" s="33" t="str">
        <f>IF('S-ASIG-07'!D69="","",'S-ASIG-07'!D69)</f>
        <v/>
      </c>
      <c r="D69" s="30">
        <f>IF(B69=0,"",IF(C69="",$E$69*LIDER!$H$19+F69*LIDER!$H$20+G69*LIDER!$H$21+H69*LIDER!$H$22+I69*LIDER!$H$23+J69*LIDER!$H$24+K69*LIDER!$H$25,"N"))</f>
        <v>0</v>
      </c>
      <c r="E69" s="19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 t="str">
        <f>LIDER!F60</f>
        <v>EFRAÍN JOSÉ CEBALLOS SALGADO</v>
      </c>
      <c r="C70" s="33" t="str">
        <f>IF('S-ASIG-07'!D70="","",'S-ASIG-07'!D70)</f>
        <v/>
      </c>
      <c r="D70" s="30">
        <f>IF(B70=0,"",IF(C70="",$E$69*LIDER!$H$19+F70*LIDER!$H$20+G70*LIDER!$H$21+H70*LIDER!$H$22+I70*LIDER!$H$23+J70*LIDER!$H$24+K70*LIDER!$H$25,"N"))</f>
        <v>0</v>
      </c>
      <c r="E70" s="19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 t="str">
        <f>LIDER!F61</f>
        <v>ANDRES FELIPE TORRES ARROYO</v>
      </c>
      <c r="C71" s="33" t="str">
        <f>IF('S-ASIG-07'!D71="","",'S-ASIG-07'!D71)</f>
        <v/>
      </c>
      <c r="D71" s="30">
        <f>IF(B71=0,"",IF(C71="",$E$69*LIDER!$H$19+F71*LIDER!$H$20+G71*LIDER!$H$21+H71*LIDER!$H$22+I71*LIDER!$H$23+J71*LIDER!$H$24+K71*LIDER!$H$25,"N"))</f>
        <v>0</v>
      </c>
      <c r="E71" s="19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 t="str">
        <f>LIDER!F62</f>
        <v>YUSETH DAVID VILLEGAS ARTEAGA</v>
      </c>
      <c r="C72" s="33" t="str">
        <f>IF('S-ASIG-07'!D72="","",'S-ASIG-07'!D72)</f>
        <v/>
      </c>
      <c r="D72" s="30">
        <f>IF(B72=0,"",IF(C72="",$E$69*LIDER!$H$19+F72*LIDER!$H$20+G72*LIDER!$H$21+H72*LIDER!$H$22+I72*LIDER!$H$23+J72*LIDER!$H$24+K72*LIDER!$H$25,"N"))</f>
        <v>0</v>
      </c>
      <c r="E72" s="19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 t="str">
        <f>LIDER!F63</f>
        <v>ISAAC JOSE ZAPATA ZAPATA</v>
      </c>
      <c r="C73" s="33" t="str">
        <f>IF('S-ASIG-07'!D73="","",'S-ASIG-07'!D73)</f>
        <v/>
      </c>
      <c r="D73" s="30">
        <f>IF(B73=0,"",IF(C73="",$E$69*LIDER!$H$19+F73*LIDER!$H$20+G73*LIDER!$H$21+H73*LIDER!$H$22+I73*LIDER!$H$23+J73*LIDER!$H$24+K73*LIDER!$H$25,"N"))</f>
        <v>0</v>
      </c>
      <c r="E73" s="19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136</v>
      </c>
      <c r="C75" s="32" t="str">
        <f>IF('S-ASIG-07'!D75="","",'S-ASIG-07'!D75)</f>
        <v>LIST</v>
      </c>
      <c r="D75" s="35" t="s">
        <v>117</v>
      </c>
      <c r="E75" s="192" t="str">
        <f>LIDER!$E$39</f>
        <v>GRUPO#11: Identificación de una oportunidad de negocio para una barra energética funcional de café colombiano en los mercados de Estados Unidos, Alemania y Canadá</v>
      </c>
      <c r="F75" s="192"/>
      <c r="G75" s="192"/>
      <c r="H75" s="192"/>
      <c r="I75" s="192"/>
      <c r="J75" s="192"/>
      <c r="K75" s="192"/>
    </row>
    <row r="76" spans="1:11" s="2" customFormat="1" ht="12.75">
      <c r="A76" s="9">
        <v>1</v>
      </c>
      <c r="B76" s="28" t="str">
        <f>LIDER!G59</f>
        <v>ANDREA KAROLAY CARRILLO GOMEZ</v>
      </c>
      <c r="C76" s="33" t="str">
        <f>IF('S-ASIG-07'!D76="","",'S-ASIG-07'!D76)</f>
        <v/>
      </c>
      <c r="D76" s="30">
        <f>IF(B76=0,"",IF(C76="",E76*LIDER!$H$19+F76*LIDER!$H$20+G76*LIDER!$H$21+H76*LIDER!$H$22+I76*LIDER!$H$23+J76*LIDER!$H$24+K76*LIDER!$H$25,"N"))</f>
        <v>0</v>
      </c>
      <c r="E76" s="19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 t="str">
        <f>LIDER!G60</f>
        <v>MARIANA JIMENEZ DEVOZ</v>
      </c>
      <c r="C77" s="33" t="str">
        <f>IF('S-ASIG-07'!D77="","",'S-ASIG-07'!D77)</f>
        <v/>
      </c>
      <c r="D77" s="30">
        <f>IF(B77=0,"",IF(C77="",E77*LIDER!$H$19+F77*LIDER!$H$20+G77*LIDER!$H$21+H77*LIDER!$H$22+I77*LIDER!$H$23+J77*LIDER!$H$24+K77*LIDER!$H$25,"N"))</f>
        <v>0</v>
      </c>
      <c r="E77" s="19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 t="str">
        <f>LIDER!G61</f>
        <v>WYLYS JUNIOR ORTIZ ZUÑIGA</v>
      </c>
      <c r="C78" s="33" t="str">
        <f>IF('S-ASIG-07'!D78="","",'S-ASIG-07'!D78)</f>
        <v/>
      </c>
      <c r="D78" s="30">
        <f>IF(B78=0,"",IF(C78="",E78*LIDER!$H$19+F78*LIDER!$H$20+G78*LIDER!$H$21+H78*LIDER!$H$22+I78*LIDER!$H$23+J78*LIDER!$H$24+K78*LIDER!$H$25,"N"))</f>
        <v>0</v>
      </c>
      <c r="E78" s="19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 t="str">
        <f>LIDER!G62</f>
        <v>MELANI DESTERLYN RAMIREZ CUADRO</v>
      </c>
      <c r="C79" s="33" t="str">
        <f>IF('S-ASIG-07'!D79="","",'S-ASIG-07'!D79)</f>
        <v/>
      </c>
      <c r="D79" s="30">
        <f>IF(B79=0,"",IF(C79="",E79*LIDER!$H$19+F79*LIDER!$H$20+G79*LIDER!$H$21+H79*LIDER!$H$22+I79*LIDER!$H$23+J79*LIDER!$H$24+K79*LIDER!$H$25,"N"))</f>
        <v>0</v>
      </c>
      <c r="E79" s="19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IF('S-ASIG-07'!D82="","",'S-ASIG-07'!D82)</f>
        <v>LIST</v>
      </c>
      <c r="D82" s="35" t="s">
        <v>117</v>
      </c>
      <c r="E82" s="192" t="str">
        <f>LIDER!$E$40</f>
        <v>GRUPO#12</v>
      </c>
      <c r="F82" s="192"/>
      <c r="G82" s="192"/>
      <c r="H82" s="192"/>
      <c r="I82" s="192"/>
      <c r="J82" s="192"/>
      <c r="K82" s="19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1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B58" sqref="B58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5" t="str">
        <f>LIDER!B2</f>
        <v>TECNOLOGÍA EN GESTIÓN DE NEGOCIOS INTERN</v>
      </c>
      <c r="H1" s="215"/>
      <c r="I1" s="215"/>
      <c r="J1" s="215"/>
      <c r="K1" s="215"/>
      <c r="L1" s="215"/>
      <c r="M1" s="215"/>
      <c r="N1" s="214" t="str">
        <f>LIDER!E2</f>
        <v>SEMESTRE:</v>
      </c>
      <c r="O1" s="214"/>
      <c r="P1" s="44" t="str">
        <f>LIDER!F2</f>
        <v>SEM-04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1" t="s">
        <v>140</v>
      </c>
      <c r="H2" s="212"/>
      <c r="I2" s="212"/>
      <c r="J2" s="212"/>
      <c r="K2" s="212"/>
      <c r="L2" s="212"/>
      <c r="M2" s="213"/>
      <c r="N2" s="2"/>
      <c r="O2" s="216" t="s">
        <v>141</v>
      </c>
      <c r="P2" s="217"/>
      <c r="Q2" s="217"/>
      <c r="R2" s="217"/>
      <c r="S2" s="217"/>
      <c r="T2" s="217"/>
      <c r="U2" s="218"/>
    </row>
    <row r="3" spans="1:22" ht="20.100000000000001" customHeight="1" thickBot="1">
      <c r="G3" s="48" t="str">
        <f>CONCATENATE("N° : ",LIDER!C6)</f>
        <v>N° : 1792</v>
      </c>
      <c r="H3" s="49" t="str">
        <f>CONCATENATE("N° : ",LIDER!D6)</f>
        <v>N° : 2259</v>
      </c>
      <c r="I3" s="49" t="str">
        <f>CONCATENATE("N° : ",LIDER!E6)</f>
        <v>N° : 2271</v>
      </c>
      <c r="J3" s="49" t="str">
        <f>CONCATENATE("N° : ",LIDER!F6)</f>
        <v>N° : 1433</v>
      </c>
      <c r="K3" s="49" t="str">
        <f>CONCATENATE("N° : ",LIDER!G6)</f>
        <v>N° : 1347</v>
      </c>
      <c r="L3" s="49" t="str">
        <f>CONCATENATE("N° : ",LIDER!H6)</f>
        <v>N° : 1470</v>
      </c>
      <c r="M3" s="50" t="str">
        <f>CONCATENATE("N° : ",LIDER!I6)</f>
        <v xml:space="preserve">N° : </v>
      </c>
      <c r="O3" s="48" t="str">
        <f>G3</f>
        <v>N° : 1792</v>
      </c>
      <c r="P3" s="49" t="str">
        <f t="shared" ref="P3:U3" si="0">H3</f>
        <v>N° : 2259</v>
      </c>
      <c r="Q3" s="49" t="str">
        <f t="shared" si="0"/>
        <v>N° : 2271</v>
      </c>
      <c r="R3" s="49" t="str">
        <f t="shared" si="0"/>
        <v>N° : 1433</v>
      </c>
      <c r="S3" s="49" t="str">
        <f t="shared" si="0"/>
        <v>N° : 1347</v>
      </c>
      <c r="T3" s="49" t="str">
        <f t="shared" si="0"/>
        <v>N° : 1470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142</v>
      </c>
      <c r="D4" s="54" t="s">
        <v>143</v>
      </c>
      <c r="E4" s="55" t="s">
        <v>144</v>
      </c>
      <c r="G4" s="56" t="str">
        <f>MID(LIDER!C4,1,9)</f>
        <v>ESTADÍSTI</v>
      </c>
      <c r="H4" s="57" t="str">
        <f>MID(LIDER!D4,1,9)</f>
        <v>ETICA</v>
      </c>
      <c r="I4" s="57" t="str">
        <f>MID(LIDER!E4,1,9)</f>
        <v xml:space="preserve">ELECTIVA </v>
      </c>
      <c r="J4" s="57" t="str">
        <f>MID(LIDER!F4,1,9)</f>
        <v>IMPORTACI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145</v>
      </c>
      <c r="O4" s="60" t="str">
        <f t="shared" ref="O4:U4" si="1">G4</f>
        <v>ESTADÍSTI</v>
      </c>
      <c r="P4" s="61" t="str">
        <f t="shared" si="1"/>
        <v>ETICA</v>
      </c>
      <c r="Q4" s="61" t="str">
        <f t="shared" si="1"/>
        <v xml:space="preserve">ELECTIVA </v>
      </c>
      <c r="R4" s="61" t="str">
        <f t="shared" si="1"/>
        <v>IMPORTACI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146</v>
      </c>
    </row>
    <row r="5" spans="1:22" ht="15" customHeight="1">
      <c r="A5" s="12">
        <v>1</v>
      </c>
      <c r="B5" s="63" t="str">
        <f>LIDER!C9</f>
        <v>MESHEL ARAGON AGUIRRE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3.8649999999999998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4.1899999999999995</v>
      </c>
      <c r="H5" s="65">
        <f>IF(B5=0,"",IFERROR(VLOOKUP(B5,'S-ASIG-02'!$B$5:$E$88,4,0),0))</f>
        <v>3.6500000000000004</v>
      </c>
      <c r="I5" s="65">
        <f>IF(B5=0,"",IFERROR(VLOOKUP(B5,'S-ASIG-03'!$B$5:$E$88,4,0),0))</f>
        <v>4.0999999999999996</v>
      </c>
      <c r="J5" s="65">
        <f>IF(B5=0,"",IFERROR(VLOOKUP(B5,'S-ASIG-04'!$B$5:$E$88,4,0),0))</f>
        <v>3.9400000000000004</v>
      </c>
      <c r="K5" s="65">
        <f>IF(B5=0,"",IFERROR(VLOOKUP(B5,'S-ASIG-05'!$B$5:$E$88,4,0),0))</f>
        <v>3.7000000000000006</v>
      </c>
      <c r="L5" s="65">
        <f>IF(B5=0,"",IFERROR(VLOOKUP(B5,'S-ASIG-06'!$B$5:$E$88,4,0),0))</f>
        <v>3.6100000000000003</v>
      </c>
      <c r="M5" s="66">
        <f>IF(B5=0,"",IFERROR(VLOOKUP(B5,'S-ASIG-07'!$B$5:$E$88,4,0),0))</f>
        <v>0</v>
      </c>
      <c r="N5" s="68" t="s">
        <v>147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148</v>
      </c>
    </row>
    <row r="6" spans="1:22" ht="15" customHeight="1">
      <c r="A6" s="12">
        <v>2</v>
      </c>
      <c r="B6" s="70" t="str">
        <f>LIDER!C10</f>
        <v>VALENTINA CASTRO PEREZ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3.8649999999999998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4.1899999999999995</v>
      </c>
      <c r="H6" s="72">
        <f>IF(B6=0,"",IFERROR(VLOOKUP(B6,'S-ASIG-02'!$B$5:$E$88,4,0),0))</f>
        <v>3.6500000000000004</v>
      </c>
      <c r="I6" s="72">
        <f>IF(B6=0,"",IFERROR(VLOOKUP(B6,'S-ASIG-03'!$B$5:$E$88,4,0),0))</f>
        <v>4.0999999999999996</v>
      </c>
      <c r="J6" s="72">
        <f>IF(B6=0,"",IFERROR(VLOOKUP(B6,'S-ASIG-04'!$B$5:$E$88,4,0),0))</f>
        <v>3.9400000000000004</v>
      </c>
      <c r="K6" s="72">
        <f>IF(B6=0,"",IFERROR(VLOOKUP(B6,'S-ASIG-05'!$B$5:$E$88,4,0),0))</f>
        <v>3.7000000000000006</v>
      </c>
      <c r="L6" s="72">
        <f>IF(B6=0,"",IFERROR(VLOOKUP(B6,'S-ASIG-06'!$B$5:$E$88,4,0),0))</f>
        <v>3.6100000000000003</v>
      </c>
      <c r="M6" s="73">
        <f>IF(B6=0,"",IFERROR(VLOOKUP(B6,'S-ASIG-07'!$B$5:$E$88,4,0),0))</f>
        <v>0</v>
      </c>
      <c r="N6" s="68" t="s">
        <v>147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148</v>
      </c>
    </row>
    <row r="7" spans="1:22" ht="15" customHeight="1">
      <c r="A7" s="12">
        <v>3</v>
      </c>
      <c r="B7" s="70" t="str">
        <f>LIDER!C11</f>
        <v>JUAN DIEGO DEL RIO VEGA</v>
      </c>
      <c r="C7" s="64" t="str">
        <f>IF(B7=0,"",IFERROR(VLOOKUP(B7,'S-ASIG-01'!$B$5:$E$88,2,0),0))</f>
        <v>G01</v>
      </c>
      <c r="D7" s="65">
        <f t="shared" si="2"/>
        <v>3.8649999999999998</v>
      </c>
      <c r="E7" s="66">
        <f t="shared" si="3"/>
        <v>0</v>
      </c>
      <c r="F7" s="47"/>
      <c r="G7" s="71">
        <f>IF(B7=0,"",IFERROR(VLOOKUP(B7,'S-ASIG-01'!$B$5:$E$88,4,0),0))</f>
        <v>4.1899999999999995</v>
      </c>
      <c r="H7" s="72">
        <f>IF(B7=0,"",IFERROR(VLOOKUP(B7,'S-ASIG-02'!$B$5:$E$88,4,0),0))</f>
        <v>3.6500000000000004</v>
      </c>
      <c r="I7" s="72">
        <f>IF(B7=0,"",IFERROR(VLOOKUP(B7,'S-ASIG-03'!$B$5:$E$88,4,0),0))</f>
        <v>4.0999999999999996</v>
      </c>
      <c r="J7" s="72">
        <f>IF(B7=0,"",IFERROR(VLOOKUP(B7,'S-ASIG-04'!$B$5:$E$88,4,0),0))</f>
        <v>3.9400000000000004</v>
      </c>
      <c r="K7" s="72">
        <f>IF(B7=0,"",IFERROR(VLOOKUP(B7,'S-ASIG-05'!$B$5:$E$88,4,0),0))</f>
        <v>3.7000000000000006</v>
      </c>
      <c r="L7" s="72">
        <f>IF(B7=0,"",IFERROR(VLOOKUP(B7,'S-ASIG-06'!$B$5:$E$88,4,0),0))</f>
        <v>3.6100000000000003</v>
      </c>
      <c r="M7" s="73">
        <f>IF(B7=0,"",IFERROR(VLOOKUP(B7,'S-ASIG-07'!$B$5:$E$88,4,0),0))</f>
        <v>0</v>
      </c>
      <c r="N7" s="68" t="s">
        <v>147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148</v>
      </c>
    </row>
    <row r="8" spans="1:22" ht="15" customHeight="1">
      <c r="A8" s="12">
        <v>4</v>
      </c>
      <c r="B8" s="70" t="str">
        <f>LIDER!C12</f>
        <v>MELANIE ISABEL MONSALVE GRANADOS</v>
      </c>
      <c r="C8" s="64" t="str">
        <f>IF(B8=0,"",IFERROR(VLOOKUP(B8,'S-ASIG-01'!$B$5:$E$88,2,0),0))</f>
        <v>G01</v>
      </c>
      <c r="D8" s="65">
        <f t="shared" si="2"/>
        <v>3.8649999999999998</v>
      </c>
      <c r="E8" s="66">
        <f t="shared" si="3"/>
        <v>0</v>
      </c>
      <c r="F8" s="47"/>
      <c r="G8" s="71">
        <f>IF(B8=0,"",IFERROR(VLOOKUP(B8,'S-ASIG-01'!$B$5:$E$88,4,0),0))</f>
        <v>4.1899999999999995</v>
      </c>
      <c r="H8" s="72">
        <f>IF(B8=0,"",IFERROR(VLOOKUP(B8,'S-ASIG-02'!$B$5:$E$88,4,0),0))</f>
        <v>3.6500000000000004</v>
      </c>
      <c r="I8" s="72">
        <f>IF(B8=0,"",IFERROR(VLOOKUP(B8,'S-ASIG-03'!$B$5:$E$88,4,0),0))</f>
        <v>4.0999999999999996</v>
      </c>
      <c r="J8" s="72">
        <f>IF(B8=0,"",IFERROR(VLOOKUP(B8,'S-ASIG-04'!$B$5:$E$88,4,0),0))</f>
        <v>3.9400000000000004</v>
      </c>
      <c r="K8" s="72">
        <f>IF(B8=0,"",IFERROR(VLOOKUP(B8,'S-ASIG-05'!$B$5:$E$88,4,0),0))</f>
        <v>3.7000000000000006</v>
      </c>
      <c r="L8" s="72">
        <f>IF(B8=0,"",IFERROR(VLOOKUP(B8,'S-ASIG-06'!$B$5:$E$88,4,0),0))</f>
        <v>3.6100000000000003</v>
      </c>
      <c r="M8" s="73">
        <f>IF(B8=0,"",IFERROR(VLOOKUP(B8,'S-ASIG-07'!$B$5:$E$88,4,0),0))</f>
        <v>0</v>
      </c>
      <c r="N8" s="68" t="s">
        <v>147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148</v>
      </c>
    </row>
    <row r="9" spans="1:22" ht="15" customHeight="1">
      <c r="A9" s="12">
        <v>5</v>
      </c>
      <c r="B9" s="70" t="str">
        <f>LIDER!C13</f>
        <v>HANA SOFIA SANTANA GARCIA</v>
      </c>
      <c r="C9" s="64" t="str">
        <f>IF(B9=0,"",IFERROR(VLOOKUP(B9,'S-ASIG-01'!$B$5:$E$88,2,0),0))</f>
        <v>G01</v>
      </c>
      <c r="D9" s="65">
        <f t="shared" si="2"/>
        <v>3.8649999999999998</v>
      </c>
      <c r="E9" s="66">
        <f t="shared" si="3"/>
        <v>0</v>
      </c>
      <c r="F9" s="47"/>
      <c r="G9" s="71">
        <f>IF(B9=0,"",IFERROR(VLOOKUP(B9,'S-ASIG-01'!$B$5:$E$88,4,0),0))</f>
        <v>4.1899999999999995</v>
      </c>
      <c r="H9" s="72">
        <f>IF(B9=0,"",IFERROR(VLOOKUP(B9,'S-ASIG-02'!$B$5:$E$88,4,0),0))</f>
        <v>3.6500000000000004</v>
      </c>
      <c r="I9" s="72">
        <f>IF(B9=0,"",IFERROR(VLOOKUP(B9,'S-ASIG-03'!$B$5:$E$88,4,0),0))</f>
        <v>4.0999999999999996</v>
      </c>
      <c r="J9" s="72">
        <f>IF(B9=0,"",IFERROR(VLOOKUP(B9,'S-ASIG-04'!$B$5:$E$88,4,0),0))</f>
        <v>3.9400000000000004</v>
      </c>
      <c r="K9" s="72">
        <f>IF(B9=0,"",IFERROR(VLOOKUP(B9,'S-ASIG-05'!$B$5:$E$88,4,0),0))</f>
        <v>3.7000000000000006</v>
      </c>
      <c r="L9" s="72">
        <f>IF(B9=0,"",IFERROR(VLOOKUP(B9,'S-ASIG-06'!$B$5:$E$88,4,0),0))</f>
        <v>3.6100000000000003</v>
      </c>
      <c r="M9" s="73">
        <f>IF(B9=0,"",IFERROR(VLOOKUP(B9,'S-ASIG-07'!$B$5:$E$88,4,0),0))</f>
        <v>0</v>
      </c>
      <c r="N9" s="68" t="s">
        <v>147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148</v>
      </c>
    </row>
    <row r="10" spans="1:22" ht="15" customHeight="1">
      <c r="A10" s="12">
        <v>6</v>
      </c>
      <c r="B10" s="70" t="str">
        <f>LIDER!C14</f>
        <v>YUREIDYS ALVAREZ CASTELLANO</v>
      </c>
      <c r="C10" s="64" t="str">
        <f>IF(B10=0,"",IFERROR(VLOOKUP(B10,'S-ASIG-01'!$B$5:$E$88,2,0),0))</f>
        <v>G10</v>
      </c>
      <c r="D10" s="65">
        <f t="shared" si="2"/>
        <v>3.5380000000000003</v>
      </c>
      <c r="E10" s="66">
        <f t="shared" si="3"/>
        <v>0</v>
      </c>
      <c r="F10" s="47"/>
      <c r="G10" s="71">
        <f>IF(B10=0,"",IFERROR(VLOOKUP(B10,'S-ASIG-01'!$B$5:$E$88,4,0),0))</f>
        <v>3.79</v>
      </c>
      <c r="H10" s="72">
        <f>IF(B10=0,"",IFERROR(VLOOKUP(B10,'S-ASIG-02'!$B$5:$E$88,4,0),0))</f>
        <v>2.9</v>
      </c>
      <c r="I10" s="72">
        <f>IF(B10=0,"",IFERROR(VLOOKUP(B10,'S-ASIG-03'!$B$5:$E$88,4,0),0))</f>
        <v>3.8000000000000003</v>
      </c>
      <c r="J10" s="72">
        <f>IF(B10=0,"",IFERROR(VLOOKUP(B10,'S-ASIG-04'!$B$5:$E$88,4,0),0))</f>
        <v>3.5600000000000005</v>
      </c>
      <c r="K10" s="72">
        <f>IF(B10=0,"",IFERROR(VLOOKUP(B10,'S-ASIG-05'!$B$5:$E$88,4,0),0))</f>
        <v>3.64</v>
      </c>
      <c r="L10" s="72" t="str">
        <f>IF(B10=0,"",IFERROR(VLOOKUP(B10,'S-ASIG-06'!$B$5:$E$88,4,0),0))</f>
        <v>N</v>
      </c>
      <c r="M10" s="73">
        <f>IF(B10=0,"",IFERROR(VLOOKUP(B10,'S-ASIG-07'!$B$5:$E$88,4,0),0))</f>
        <v>0</v>
      </c>
      <c r="N10" s="68" t="s">
        <v>147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 t="str">
        <f>IF(B10=0,"",IFERROR(VLOOKUP(B10,'T-ASIG-06'!$B$5:$D$88,3,0),0))</f>
        <v>N</v>
      </c>
      <c r="U10" s="73">
        <f>IF(B10=0,"",IFERROR(VLOOKUP(B10,'T-ASIG-07'!$B$5:$D$88,3,0),0))</f>
        <v>0</v>
      </c>
      <c r="V10" s="69" t="s">
        <v>148</v>
      </c>
    </row>
    <row r="11" spans="1:22" ht="15" customHeight="1">
      <c r="A11" s="12">
        <v>7</v>
      </c>
      <c r="B11" s="70" t="str">
        <f>LIDER!C15</f>
        <v>EFRAÍN JOSÉ CEBALLOS SALGADO</v>
      </c>
      <c r="C11" s="64" t="str">
        <f>IF(B11=0,"",IFERROR(VLOOKUP(B11,'S-ASIG-01'!$B$5:$E$88,2,0),0))</f>
        <v>G10</v>
      </c>
      <c r="D11" s="65">
        <f t="shared" si="2"/>
        <v>3.4466666666666668</v>
      </c>
      <c r="E11" s="66">
        <f t="shared" si="3"/>
        <v>0</v>
      </c>
      <c r="F11" s="47"/>
      <c r="G11" s="71">
        <f>IF(B11=0,"",IFERROR(VLOOKUP(B11,'S-ASIG-01'!$B$5:$E$88,4,0),0))</f>
        <v>3.79</v>
      </c>
      <c r="H11" s="72">
        <f>IF(B11=0,"",IFERROR(VLOOKUP(B11,'S-ASIG-02'!$B$5:$E$88,4,0),0))</f>
        <v>2.9</v>
      </c>
      <c r="I11" s="72">
        <f>IF(B11=0,"",IFERROR(VLOOKUP(B11,'S-ASIG-03'!$B$5:$E$88,4,0),0))</f>
        <v>3.8000000000000003</v>
      </c>
      <c r="J11" s="72">
        <f>IF(B11=0,"",IFERROR(VLOOKUP(B11,'S-ASIG-04'!$B$5:$E$88,4,0),0))</f>
        <v>3.5600000000000005</v>
      </c>
      <c r="K11" s="72">
        <f>IF(B11=0,"",IFERROR(VLOOKUP(B11,'S-ASIG-05'!$B$5:$E$88,4,0),0))</f>
        <v>3.64</v>
      </c>
      <c r="L11" s="72">
        <f>IF(B11=0,"",IFERROR(VLOOKUP(B11,'S-ASIG-06'!$B$5:$E$88,4,0),0))</f>
        <v>2.9899999999999998</v>
      </c>
      <c r="M11" s="73">
        <f>IF(B11=0,"",IFERROR(VLOOKUP(B11,'S-ASIG-07'!$B$5:$E$88,4,0),0))</f>
        <v>0</v>
      </c>
      <c r="N11" s="68" t="s">
        <v>147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148</v>
      </c>
    </row>
    <row r="12" spans="1:22" ht="15" customHeight="1">
      <c r="A12" s="12">
        <v>8</v>
      </c>
      <c r="B12" s="70" t="str">
        <f>LIDER!C16</f>
        <v>ANDRES FELIPE TORRES ARROYO</v>
      </c>
      <c r="C12" s="64" t="str">
        <f>IF(B12=0,"",IFERROR(VLOOKUP(B12,'S-ASIG-01'!$B$5:$E$88,2,0),0))</f>
        <v>G10</v>
      </c>
      <c r="D12" s="65">
        <f t="shared" si="2"/>
        <v>3.5380000000000003</v>
      </c>
      <c r="E12" s="66">
        <f t="shared" si="3"/>
        <v>0</v>
      </c>
      <c r="F12" s="47"/>
      <c r="G12" s="71">
        <f>IF(B12=0,"",IFERROR(VLOOKUP(B12,'S-ASIG-01'!$B$5:$E$88,4,0),0))</f>
        <v>3.79</v>
      </c>
      <c r="H12" s="72">
        <f>IF(B12=0,"",IFERROR(VLOOKUP(B12,'S-ASIG-02'!$B$5:$E$88,4,0),0))</f>
        <v>2.9</v>
      </c>
      <c r="I12" s="72">
        <f>IF(B12=0,"",IFERROR(VLOOKUP(B12,'S-ASIG-03'!$B$5:$E$88,4,0),0))</f>
        <v>3.8000000000000003</v>
      </c>
      <c r="J12" s="72">
        <f>IF(B12=0,"",IFERROR(VLOOKUP(B12,'S-ASIG-04'!$B$5:$E$88,4,0),0))</f>
        <v>3.5600000000000005</v>
      </c>
      <c r="K12" s="72">
        <f>IF(B12=0,"",IFERROR(VLOOKUP(B12,'S-ASIG-05'!$B$5:$E$88,4,0),0))</f>
        <v>3.64</v>
      </c>
      <c r="L12" s="72" t="str">
        <f>IF(B12=0,"",IFERROR(VLOOKUP(B12,'S-ASIG-06'!$B$5:$E$88,4,0),0))</f>
        <v>N</v>
      </c>
      <c r="M12" s="73">
        <f>IF(B12=0,"",IFERROR(VLOOKUP(B12,'S-ASIG-07'!$B$5:$E$88,4,0),0))</f>
        <v>0</v>
      </c>
      <c r="N12" s="68" t="s">
        <v>147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 t="str">
        <f>IF(B12=0,"",IFERROR(VLOOKUP(B12,'T-ASIG-06'!$B$5:$D$88,3,0),0))</f>
        <v>N</v>
      </c>
      <c r="U12" s="73">
        <f>IF(B12=0,"",IFERROR(VLOOKUP(B12,'T-ASIG-07'!$B$5:$D$88,3,0),0))</f>
        <v>0</v>
      </c>
      <c r="V12" s="69" t="s">
        <v>148</v>
      </c>
    </row>
    <row r="13" spans="1:22" ht="15" customHeight="1">
      <c r="A13" s="12">
        <v>9</v>
      </c>
      <c r="B13" s="70" t="str">
        <f>LIDER!C17</f>
        <v>YUSETH DAVID VILLEGAS ARTEAGA</v>
      </c>
      <c r="C13" s="64" t="str">
        <f>IF(B13=0,"",IFERROR(VLOOKUP(B13,'S-ASIG-01'!$B$5:$E$88,2,0),0))</f>
        <v>G10</v>
      </c>
      <c r="D13" s="65">
        <f t="shared" si="2"/>
        <v>3.4466666666666668</v>
      </c>
      <c r="E13" s="66">
        <f t="shared" si="3"/>
        <v>0</v>
      </c>
      <c r="F13" s="47"/>
      <c r="G13" s="71">
        <f>IF(B13=0,"",IFERROR(VLOOKUP(B13,'S-ASIG-01'!$B$5:$E$88,4,0),0))</f>
        <v>3.79</v>
      </c>
      <c r="H13" s="72">
        <f>IF(B13=0,"",IFERROR(VLOOKUP(B13,'S-ASIG-02'!$B$5:$E$88,4,0),0))</f>
        <v>2.9</v>
      </c>
      <c r="I13" s="72">
        <f>IF(B13=0,"",IFERROR(VLOOKUP(B13,'S-ASIG-03'!$B$5:$E$88,4,0),0))</f>
        <v>3.8000000000000003</v>
      </c>
      <c r="J13" s="72">
        <f>IF(B13=0,"",IFERROR(VLOOKUP(B13,'S-ASIG-04'!$B$5:$E$88,4,0),0))</f>
        <v>3.5600000000000005</v>
      </c>
      <c r="K13" s="72">
        <f>IF(B13=0,"",IFERROR(VLOOKUP(B13,'S-ASIG-05'!$B$5:$E$88,4,0),0))</f>
        <v>3.64</v>
      </c>
      <c r="L13" s="72">
        <f>IF(B13=0,"",IFERROR(VLOOKUP(B13,'S-ASIG-06'!$B$5:$E$88,4,0),0))</f>
        <v>2.9899999999999998</v>
      </c>
      <c r="M13" s="73">
        <f>IF(B13=0,"",IFERROR(VLOOKUP(B13,'S-ASIG-07'!$B$5:$E$88,4,0),0))</f>
        <v>0</v>
      </c>
      <c r="N13" s="68" t="s">
        <v>147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148</v>
      </c>
    </row>
    <row r="14" spans="1:22" ht="15" customHeight="1">
      <c r="A14" s="12">
        <v>10</v>
      </c>
      <c r="B14" s="70" t="str">
        <f>LIDER!C18</f>
        <v>ISAAC JOSE ZAPATA ZAPATA</v>
      </c>
      <c r="C14" s="64" t="str">
        <f>IF(B14=0,"",IFERROR(VLOOKUP(B14,'S-ASIG-01'!$B$5:$E$88,2,0),0))</f>
        <v>G10</v>
      </c>
      <c r="D14" s="65">
        <f t="shared" si="2"/>
        <v>3.4466666666666668</v>
      </c>
      <c r="E14" s="66">
        <f t="shared" si="3"/>
        <v>0</v>
      </c>
      <c r="F14" s="47"/>
      <c r="G14" s="71">
        <f>IF(B14=0,"",IFERROR(VLOOKUP(B14,'S-ASIG-01'!$B$5:$E$88,4,0),0))</f>
        <v>3.79</v>
      </c>
      <c r="H14" s="72">
        <f>IF(B14=0,"",IFERROR(VLOOKUP(B14,'S-ASIG-02'!$B$5:$E$88,4,0),0))</f>
        <v>2.9</v>
      </c>
      <c r="I14" s="72">
        <f>IF(B14=0,"",IFERROR(VLOOKUP(B14,'S-ASIG-03'!$B$5:$E$88,4,0),0))</f>
        <v>3.8000000000000003</v>
      </c>
      <c r="J14" s="72">
        <f>IF(B14=0,"",IFERROR(VLOOKUP(B14,'S-ASIG-04'!$B$5:$E$88,4,0),0))</f>
        <v>3.5600000000000005</v>
      </c>
      <c r="K14" s="72">
        <f>IF(B14=0,"",IFERROR(VLOOKUP(B14,'S-ASIG-05'!$B$5:$E$88,4,0),0))</f>
        <v>3.64</v>
      </c>
      <c r="L14" s="72">
        <f>IF(B14=0,"",IFERROR(VLOOKUP(B14,'S-ASIG-06'!$B$5:$E$88,4,0),0))</f>
        <v>2.9899999999999998</v>
      </c>
      <c r="M14" s="73">
        <f>IF(B14=0,"",IFERROR(VLOOKUP(B14,'S-ASIG-07'!$B$5:$E$88,4,0),0))</f>
        <v>0</v>
      </c>
      <c r="N14" s="68" t="s">
        <v>147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148</v>
      </c>
    </row>
    <row r="15" spans="1:22" ht="15" customHeight="1">
      <c r="A15" s="12">
        <v>11</v>
      </c>
      <c r="B15" s="70" t="str">
        <f>LIDER!C19</f>
        <v>ANDREA KAROLAY CARRILLO GOMEZ</v>
      </c>
      <c r="C15" s="64" t="str">
        <f>IF(B15=0,"",IFERROR(VLOOKUP(B15,'S-ASIG-01'!$B$5:$E$88,2,0),0))</f>
        <v>G11</v>
      </c>
      <c r="D15" s="65">
        <f t="shared" si="2"/>
        <v>3.8899999999999997</v>
      </c>
      <c r="E15" s="66">
        <f t="shared" si="3"/>
        <v>0</v>
      </c>
      <c r="F15" s="47"/>
      <c r="G15" s="71">
        <f>IF(B15=0,"",IFERROR(VLOOKUP(B15,'S-ASIG-01'!$B$5:$E$88,4,0),0))</f>
        <v>4.25</v>
      </c>
      <c r="H15" s="72">
        <f>IF(B15=0,"",IFERROR(VLOOKUP(B15,'S-ASIG-02'!$B$5:$E$88,4,0),0))</f>
        <v>0</v>
      </c>
      <c r="I15" s="72">
        <f>IF(B15=0,"",IFERROR(VLOOKUP(B15,'S-ASIG-03'!$B$5:$E$88,4,0),0))</f>
        <v>4.09</v>
      </c>
      <c r="J15" s="72">
        <f>IF(B15=0,"",IFERROR(VLOOKUP(B15,'S-ASIG-04'!$B$5:$E$88,4,0),0))</f>
        <v>3.7199999999999998</v>
      </c>
      <c r="K15" s="72">
        <f>IF(B15=0,"",IFERROR(VLOOKUP(B15,'S-ASIG-05'!$B$5:$E$88,4,0),0))</f>
        <v>3.5000000000000004</v>
      </c>
      <c r="L15" s="72" t="str">
        <f>IF(B15=0,"",IFERROR(VLOOKUP(B15,'S-ASIG-06'!$B$5:$E$88,4,0),0))</f>
        <v>N</v>
      </c>
      <c r="M15" s="73">
        <f>IF(B15=0,"",IFERROR(VLOOKUP(B15,'S-ASIG-07'!$B$5:$E$88,4,0),0))</f>
        <v>0</v>
      </c>
      <c r="N15" s="68" t="s">
        <v>147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 t="str">
        <f>IF(B15=0,"",IFERROR(VLOOKUP(B15,'T-ASIG-06'!$B$5:$D$88,3,0),0))</f>
        <v>N</v>
      </c>
      <c r="U15" s="73">
        <f>IF(B15=0,"",IFERROR(VLOOKUP(B15,'T-ASIG-07'!$B$5:$D$88,3,0),0))</f>
        <v>0</v>
      </c>
      <c r="V15" s="69" t="s">
        <v>148</v>
      </c>
    </row>
    <row r="16" spans="1:22" ht="15" customHeight="1">
      <c r="A16" s="12">
        <v>12</v>
      </c>
      <c r="B16" s="70" t="str">
        <f>LIDER!C20</f>
        <v>MARIANA JIMENEZ DEVOZ</v>
      </c>
      <c r="C16" s="64" t="str">
        <f>IF(B16=0,"",IFERROR(VLOOKUP(B16,'S-ASIG-01'!$B$5:$E$88,2,0),0))</f>
        <v>G11</v>
      </c>
      <c r="D16" s="65">
        <f t="shared" si="2"/>
        <v>3.8899999999999997</v>
      </c>
      <c r="E16" s="66">
        <f t="shared" si="3"/>
        <v>0</v>
      </c>
      <c r="F16" s="47"/>
      <c r="G16" s="71">
        <f>IF(B16=0,"",IFERROR(VLOOKUP(B16,'S-ASIG-01'!$B$5:$E$88,4,0),0))</f>
        <v>4.25</v>
      </c>
      <c r="H16" s="72">
        <f>IF(B16=0,"",IFERROR(VLOOKUP(B16,'S-ASIG-02'!$B$5:$E$88,4,0),0))</f>
        <v>0</v>
      </c>
      <c r="I16" s="72">
        <f>IF(B16=0,"",IFERROR(VLOOKUP(B16,'S-ASIG-03'!$B$5:$E$88,4,0),0))</f>
        <v>4.09</v>
      </c>
      <c r="J16" s="72">
        <f>IF(B16=0,"",IFERROR(VLOOKUP(B16,'S-ASIG-04'!$B$5:$E$88,4,0),0))</f>
        <v>3.7199999999999998</v>
      </c>
      <c r="K16" s="72">
        <f>IF(B16=0,"",IFERROR(VLOOKUP(B16,'S-ASIG-05'!$B$5:$E$88,4,0),0))</f>
        <v>3.5000000000000004</v>
      </c>
      <c r="L16" s="72" t="str">
        <f>IF(B16=0,"",IFERROR(VLOOKUP(B16,'S-ASIG-06'!$B$5:$E$88,4,0),0))</f>
        <v>N</v>
      </c>
      <c r="M16" s="73">
        <f>IF(B16=0,"",IFERROR(VLOOKUP(B16,'S-ASIG-07'!$B$5:$E$88,4,0),0))</f>
        <v>0</v>
      </c>
      <c r="N16" s="68" t="s">
        <v>147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 t="str">
        <f>IF(B16=0,"",IFERROR(VLOOKUP(B16,'T-ASIG-06'!$B$5:$D$88,3,0),0))</f>
        <v>N</v>
      </c>
      <c r="U16" s="73">
        <f>IF(B16=0,"",IFERROR(VLOOKUP(B16,'T-ASIG-07'!$B$5:$D$88,3,0),0))</f>
        <v>0</v>
      </c>
      <c r="V16" s="69" t="s">
        <v>148</v>
      </c>
    </row>
    <row r="17" spans="1:22" ht="15" customHeight="1">
      <c r="A17" s="12">
        <v>13</v>
      </c>
      <c r="B17" s="70" t="str">
        <f>LIDER!C21</f>
        <v>WYLYS JUNIOR ORTIZ ZUÑIGA</v>
      </c>
      <c r="C17" s="64" t="str">
        <f>IF(B17=0,"",IFERROR(VLOOKUP(B17,'S-ASIG-01'!$B$5:$E$88,2,0),0))</f>
        <v>G11</v>
      </c>
      <c r="D17" s="65">
        <f t="shared" si="2"/>
        <v>3.8899999999999997</v>
      </c>
      <c r="E17" s="66">
        <f t="shared" si="3"/>
        <v>0</v>
      </c>
      <c r="F17" s="47"/>
      <c r="G17" s="71">
        <f>IF(B17=0,"",IFERROR(VLOOKUP(B17,'S-ASIG-01'!$B$5:$E$88,4,0),0))</f>
        <v>4.25</v>
      </c>
      <c r="H17" s="72">
        <f>IF(B17=0,"",IFERROR(VLOOKUP(B17,'S-ASIG-02'!$B$5:$E$88,4,0),0))</f>
        <v>0</v>
      </c>
      <c r="I17" s="72">
        <f>IF(B17=0,"",IFERROR(VLOOKUP(B17,'S-ASIG-03'!$B$5:$E$88,4,0),0))</f>
        <v>4.09</v>
      </c>
      <c r="J17" s="72">
        <f>IF(B17=0,"",IFERROR(VLOOKUP(B17,'S-ASIG-04'!$B$5:$E$88,4,0),0))</f>
        <v>3.7199999999999998</v>
      </c>
      <c r="K17" s="72">
        <f>IF(B17=0,"",IFERROR(VLOOKUP(B17,'S-ASIG-05'!$B$5:$E$88,4,0),0))</f>
        <v>3.5000000000000004</v>
      </c>
      <c r="L17" s="72" t="str">
        <f>IF(B17=0,"",IFERROR(VLOOKUP(B17,'S-ASIG-06'!$B$5:$E$88,4,0),0))</f>
        <v>N</v>
      </c>
      <c r="M17" s="73">
        <f>IF(B17=0,"",IFERROR(VLOOKUP(B17,'S-ASIG-07'!$B$5:$E$88,4,0),0))</f>
        <v>0</v>
      </c>
      <c r="N17" s="68" t="s">
        <v>147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 t="str">
        <f>IF(B17=0,"",IFERROR(VLOOKUP(B17,'T-ASIG-06'!$B$5:$D$88,3,0),0))</f>
        <v>N</v>
      </c>
      <c r="U17" s="73">
        <f>IF(B17=0,"",IFERROR(VLOOKUP(B17,'T-ASIG-07'!$B$5:$D$88,3,0),0))</f>
        <v>0</v>
      </c>
      <c r="V17" s="69" t="s">
        <v>148</v>
      </c>
    </row>
    <row r="18" spans="1:22" ht="15" customHeight="1">
      <c r="A18" s="12">
        <v>14</v>
      </c>
      <c r="B18" s="70" t="str">
        <f>LIDER!C22</f>
        <v>MELANI DESTERLYN RAMIREZ CUADRO</v>
      </c>
      <c r="C18" s="64" t="str">
        <f>IF(B18=0,"",IFERROR(VLOOKUP(B18,'S-ASIG-01'!$B$5:$E$88,2,0),0))</f>
        <v>G11</v>
      </c>
      <c r="D18" s="65">
        <f t="shared" si="2"/>
        <v>3.8899999999999997</v>
      </c>
      <c r="E18" s="66">
        <f t="shared" si="3"/>
        <v>0</v>
      </c>
      <c r="F18" s="47"/>
      <c r="G18" s="71">
        <f>IF(B18=0,"",IFERROR(VLOOKUP(B18,'S-ASIG-01'!$B$5:$E$88,4,0),0))</f>
        <v>4.25</v>
      </c>
      <c r="H18" s="72">
        <f>IF(B18=0,"",IFERROR(VLOOKUP(B18,'S-ASIG-02'!$B$5:$E$88,4,0),0))</f>
        <v>0</v>
      </c>
      <c r="I18" s="72">
        <f>IF(B18=0,"",IFERROR(VLOOKUP(B18,'S-ASIG-03'!$B$5:$E$88,4,0),0))</f>
        <v>4.09</v>
      </c>
      <c r="J18" s="72">
        <f>IF(B18=0,"",IFERROR(VLOOKUP(B18,'S-ASIG-04'!$B$5:$E$88,4,0),0))</f>
        <v>3.7199999999999998</v>
      </c>
      <c r="K18" s="72">
        <f>IF(B18=0,"",IFERROR(VLOOKUP(B18,'S-ASIG-05'!$B$5:$E$88,4,0),0))</f>
        <v>3.5000000000000004</v>
      </c>
      <c r="L18" s="72" t="str">
        <f>IF(B18=0,"",IFERROR(VLOOKUP(B18,'S-ASIG-06'!$B$5:$E$88,4,0),0))</f>
        <v>N</v>
      </c>
      <c r="M18" s="73">
        <f>IF(B18=0,"",IFERROR(VLOOKUP(B18,'S-ASIG-07'!$B$5:$E$88,4,0),0))</f>
        <v>0</v>
      </c>
      <c r="N18" s="68" t="s">
        <v>147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 t="str">
        <f>IF(B18=0,"",IFERROR(VLOOKUP(B18,'T-ASIG-06'!$B$5:$D$88,3,0),0))</f>
        <v>N</v>
      </c>
      <c r="U18" s="73">
        <f>IF(B18=0,"",IFERROR(VLOOKUP(B18,'T-ASIG-07'!$B$5:$D$88,3,0),0))</f>
        <v>0</v>
      </c>
      <c r="V18" s="69" t="s">
        <v>148</v>
      </c>
    </row>
    <row r="19" spans="1:22" ht="15" customHeight="1">
      <c r="A19" s="12">
        <v>15</v>
      </c>
      <c r="B19" s="70" t="str">
        <f>LIDER!C23</f>
        <v>EYLANS ANDRES AHUMADA SALAZAR</v>
      </c>
      <c r="C19" s="64" t="str">
        <f>IF(B19=0,"",IFERROR(VLOOKUP(B19,'S-ASIG-01'!$B$5:$E$88,2,0),0))</f>
        <v>G02</v>
      </c>
      <c r="D19" s="65">
        <f t="shared" si="2"/>
        <v>3.7916666666666674</v>
      </c>
      <c r="E19" s="66">
        <f t="shared" si="3"/>
        <v>0</v>
      </c>
      <c r="F19" s="47"/>
      <c r="G19" s="71">
        <f>IF(B19=0,"",IFERROR(VLOOKUP(B19,'S-ASIG-01'!$B$5:$E$88,4,0),0))</f>
        <v>4.1399999999999997</v>
      </c>
      <c r="H19" s="72">
        <f>IF(B19=0,"",IFERROR(VLOOKUP(B19,'S-ASIG-02'!$B$5:$E$88,4,0),0))</f>
        <v>3.3300000000000005</v>
      </c>
      <c r="I19" s="72">
        <f>IF(B19=0,"",IFERROR(VLOOKUP(B19,'S-ASIG-03'!$B$5:$E$88,4,0),0))</f>
        <v>4.3100000000000005</v>
      </c>
      <c r="J19" s="72">
        <f>IF(B19=0,"",IFERROR(VLOOKUP(B19,'S-ASIG-04'!$B$5:$E$88,4,0),0))</f>
        <v>3.9</v>
      </c>
      <c r="K19" s="72">
        <f>IF(B19=0,"",IFERROR(VLOOKUP(B19,'S-ASIG-05'!$B$5:$E$88,4,0),0))</f>
        <v>3.5000000000000004</v>
      </c>
      <c r="L19" s="72">
        <f>IF(B19=0,"",IFERROR(VLOOKUP(B19,'S-ASIG-06'!$B$5:$E$88,4,0),0))</f>
        <v>3.5700000000000003</v>
      </c>
      <c r="M19" s="73">
        <f>IF(B19=0,"",IFERROR(VLOOKUP(B19,'S-ASIG-07'!$B$5:$E$88,4,0),0))</f>
        <v>0</v>
      </c>
      <c r="N19" s="68" t="s">
        <v>147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148</v>
      </c>
    </row>
    <row r="20" spans="1:22" ht="15" customHeight="1">
      <c r="A20" s="12">
        <v>16</v>
      </c>
      <c r="B20" s="70" t="str">
        <f>LIDER!C24</f>
        <v>KENDRY YIRETH LABIOSA VERGARA</v>
      </c>
      <c r="C20" s="64" t="str">
        <f>IF(B20=0,"",IFERROR(VLOOKUP(B20,'S-ASIG-01'!$B$5:$E$88,2,0),0))</f>
        <v>G02</v>
      </c>
      <c r="D20" s="65">
        <f t="shared" si="2"/>
        <v>3.7916666666666674</v>
      </c>
      <c r="E20" s="66">
        <f t="shared" si="3"/>
        <v>0</v>
      </c>
      <c r="F20" s="47"/>
      <c r="G20" s="71">
        <f>IF(B20=0,"",IFERROR(VLOOKUP(B20,'S-ASIG-01'!$B$5:$E$88,4,0),0))</f>
        <v>4.1399999999999997</v>
      </c>
      <c r="H20" s="72">
        <f>IF(B20=0,"",IFERROR(VLOOKUP(B20,'S-ASIG-02'!$B$5:$E$88,4,0),0))</f>
        <v>3.3300000000000005</v>
      </c>
      <c r="I20" s="72">
        <f>IF(B20=0,"",IFERROR(VLOOKUP(B20,'S-ASIG-03'!$B$5:$E$88,4,0),0))</f>
        <v>4.3100000000000005</v>
      </c>
      <c r="J20" s="72">
        <f>IF(B20=0,"",IFERROR(VLOOKUP(B20,'S-ASIG-04'!$B$5:$E$88,4,0),0))</f>
        <v>3.9</v>
      </c>
      <c r="K20" s="72">
        <f>IF(B20=0,"",IFERROR(VLOOKUP(B20,'S-ASIG-05'!$B$5:$E$88,4,0),0))</f>
        <v>3.5000000000000004</v>
      </c>
      <c r="L20" s="72">
        <f>IF(B20=0,"",IFERROR(VLOOKUP(B20,'S-ASIG-06'!$B$5:$E$88,4,0),0))</f>
        <v>3.5700000000000003</v>
      </c>
      <c r="M20" s="73">
        <f>IF(B20=0,"",IFERROR(VLOOKUP(B20,'S-ASIG-07'!$B$5:$E$88,4,0),0))</f>
        <v>0</v>
      </c>
      <c r="N20" s="68" t="s">
        <v>147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148</v>
      </c>
    </row>
    <row r="21" spans="1:22" ht="15" customHeight="1">
      <c r="A21" s="12">
        <v>17</v>
      </c>
      <c r="B21" s="70" t="str">
        <f>LIDER!C25</f>
        <v>VALERY PAOLA OSORIO VIDAL</v>
      </c>
      <c r="C21" s="64" t="str">
        <f>IF(B21=0,"",IFERROR(VLOOKUP(B21,'S-ASIG-01'!$B$5:$E$88,2,0),0))</f>
        <v>G02</v>
      </c>
      <c r="D21" s="65">
        <f t="shared" si="2"/>
        <v>3.7916666666666674</v>
      </c>
      <c r="E21" s="66">
        <f t="shared" si="3"/>
        <v>0</v>
      </c>
      <c r="F21" s="47"/>
      <c r="G21" s="71">
        <f>IF(B21=0,"",IFERROR(VLOOKUP(B21,'S-ASIG-01'!$B$5:$E$88,4,0),0))</f>
        <v>4.1399999999999997</v>
      </c>
      <c r="H21" s="72">
        <f>IF(B21=0,"",IFERROR(VLOOKUP(B21,'S-ASIG-02'!$B$5:$E$88,4,0),0))</f>
        <v>3.3300000000000005</v>
      </c>
      <c r="I21" s="72">
        <f>IF(B21=0,"",IFERROR(VLOOKUP(B21,'S-ASIG-03'!$B$5:$E$88,4,0),0))</f>
        <v>4.3100000000000005</v>
      </c>
      <c r="J21" s="72">
        <f>IF(B21=0,"",IFERROR(VLOOKUP(B21,'S-ASIG-04'!$B$5:$E$88,4,0),0))</f>
        <v>3.9</v>
      </c>
      <c r="K21" s="72">
        <f>IF(B21=0,"",IFERROR(VLOOKUP(B21,'S-ASIG-05'!$B$5:$E$88,4,0),0))</f>
        <v>3.5000000000000004</v>
      </c>
      <c r="L21" s="72">
        <f>IF(B21=0,"",IFERROR(VLOOKUP(B21,'S-ASIG-06'!$B$5:$E$88,4,0),0))</f>
        <v>3.5700000000000003</v>
      </c>
      <c r="M21" s="73">
        <f>IF(B21=0,"",IFERROR(VLOOKUP(B21,'S-ASIG-07'!$B$5:$E$88,4,0),0))</f>
        <v>0</v>
      </c>
      <c r="N21" s="68" t="s">
        <v>147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148</v>
      </c>
    </row>
    <row r="22" spans="1:22" ht="15" customHeight="1">
      <c r="A22" s="12">
        <v>18</v>
      </c>
      <c r="B22" s="70" t="str">
        <f>LIDER!C26</f>
        <v>YERLIS PAOLA RUIZ GARCIA</v>
      </c>
      <c r="C22" s="64" t="str">
        <f>IF(B22=0,"",IFERROR(VLOOKUP(B22,'S-ASIG-01'!$B$5:$E$88,2,0),0))</f>
        <v>G02</v>
      </c>
      <c r="D22" s="65">
        <f t="shared" si="2"/>
        <v>3.7916666666666674</v>
      </c>
      <c r="E22" s="66">
        <f t="shared" si="3"/>
        <v>0</v>
      </c>
      <c r="F22" s="47"/>
      <c r="G22" s="71">
        <f>IF(B22=0,"",IFERROR(VLOOKUP(B22,'S-ASIG-01'!$B$5:$E$88,4,0),0))</f>
        <v>4.1399999999999997</v>
      </c>
      <c r="H22" s="72">
        <f>IF(B22=0,"",IFERROR(VLOOKUP(B22,'S-ASIG-02'!$B$5:$E$88,4,0),0))</f>
        <v>3.3300000000000005</v>
      </c>
      <c r="I22" s="72">
        <f>IF(B22=0,"",IFERROR(VLOOKUP(B22,'S-ASIG-03'!$B$5:$E$88,4,0),0))</f>
        <v>4.3100000000000005</v>
      </c>
      <c r="J22" s="72">
        <f>IF(B22=0,"",IFERROR(VLOOKUP(B22,'S-ASIG-04'!$B$5:$E$88,4,0),0))</f>
        <v>3.9</v>
      </c>
      <c r="K22" s="72">
        <f>IF(B22=0,"",IFERROR(VLOOKUP(B22,'S-ASIG-05'!$B$5:$E$88,4,0),0))</f>
        <v>3.5000000000000004</v>
      </c>
      <c r="L22" s="72">
        <f>IF(B22=0,"",IFERROR(VLOOKUP(B22,'S-ASIG-06'!$B$5:$E$88,4,0),0))</f>
        <v>3.5700000000000003</v>
      </c>
      <c r="M22" s="73">
        <f>IF(B22=0,"",IFERROR(VLOOKUP(B22,'S-ASIG-07'!$B$5:$E$88,4,0),0))</f>
        <v>0</v>
      </c>
      <c r="N22" s="68" t="s">
        <v>147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148</v>
      </c>
    </row>
    <row r="23" spans="1:22" ht="15" customHeight="1">
      <c r="A23" s="12">
        <v>19</v>
      </c>
      <c r="B23" s="70" t="str">
        <f>LIDER!C27</f>
        <v>DANIEL ISAAC SIMANCA SANCHEZ</v>
      </c>
      <c r="C23" s="64" t="str">
        <f>IF(B23=0,"",IFERROR(VLOOKUP(B23,'S-ASIG-01'!$B$5:$E$88,2,0),0))</f>
        <v>G02</v>
      </c>
      <c r="D23" s="65">
        <f t="shared" si="2"/>
        <v>3.7916666666666674</v>
      </c>
      <c r="E23" s="66">
        <f t="shared" si="3"/>
        <v>0</v>
      </c>
      <c r="F23" s="47"/>
      <c r="G23" s="71">
        <f>IF(B23=0,"",IFERROR(VLOOKUP(B23,'S-ASIG-01'!$B$5:$E$88,4,0),0))</f>
        <v>4.1399999999999997</v>
      </c>
      <c r="H23" s="72">
        <f>IF(B23=0,"",IFERROR(VLOOKUP(B23,'S-ASIG-02'!$B$5:$E$88,4,0),0))</f>
        <v>3.3300000000000005</v>
      </c>
      <c r="I23" s="72">
        <f>IF(B23=0,"",IFERROR(VLOOKUP(B23,'S-ASIG-03'!$B$5:$E$88,4,0),0))</f>
        <v>4.3100000000000005</v>
      </c>
      <c r="J23" s="72">
        <f>IF(B23=0,"",IFERROR(VLOOKUP(B23,'S-ASIG-04'!$B$5:$E$88,4,0),0))</f>
        <v>3.9</v>
      </c>
      <c r="K23" s="72">
        <f>IF(B23=0,"",IFERROR(VLOOKUP(B23,'S-ASIG-05'!$B$5:$E$88,4,0),0))</f>
        <v>3.5000000000000004</v>
      </c>
      <c r="L23" s="72">
        <f>IF(B23=0,"",IFERROR(VLOOKUP(B23,'S-ASIG-06'!$B$5:$E$88,4,0),0))</f>
        <v>3.5700000000000003</v>
      </c>
      <c r="M23" s="73">
        <f>IF(B23=0,"",IFERROR(VLOOKUP(B23,'S-ASIG-07'!$B$5:$E$88,4,0),0))</f>
        <v>0</v>
      </c>
      <c r="N23" s="68" t="s">
        <v>147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148</v>
      </c>
    </row>
    <row r="24" spans="1:22" ht="15" customHeight="1">
      <c r="A24" s="12">
        <v>20</v>
      </c>
      <c r="B24" s="70" t="str">
        <f>LIDER!C28</f>
        <v>DAVID ANDRES CASTILLA CARDENAS</v>
      </c>
      <c r="C24" s="64" t="str">
        <f>IF(B24=0,"",IFERROR(VLOOKUP(B24,'S-ASIG-01'!$B$5:$E$88,2,0),0))</f>
        <v>G03</v>
      </c>
      <c r="D24" s="65">
        <f t="shared" si="2"/>
        <v>3.7600000000000002</v>
      </c>
      <c r="E24" s="66">
        <f t="shared" si="3"/>
        <v>0</v>
      </c>
      <c r="F24" s="47"/>
      <c r="G24" s="71">
        <f>IF(B24=0,"",IFERROR(VLOOKUP(B24,'S-ASIG-01'!$B$5:$E$88,4,0),0))</f>
        <v>4.2300000000000004</v>
      </c>
      <c r="H24" s="72">
        <f>IF(B24=0,"",IFERROR(VLOOKUP(B24,'S-ASIG-02'!$B$5:$E$88,4,0),0))</f>
        <v>3.6500000000000004</v>
      </c>
      <c r="I24" s="72">
        <f>IF(B24=0,"",IFERROR(VLOOKUP(B24,'S-ASIG-03'!$B$5:$E$88,4,0),0))</f>
        <v>4</v>
      </c>
      <c r="J24" s="72">
        <f>IF(B24=0,"",IFERROR(VLOOKUP(B24,'S-ASIG-04'!$B$5:$E$88,4,0),0))</f>
        <v>3.4600000000000004</v>
      </c>
      <c r="K24" s="72">
        <f>IF(B24=0,"",IFERROR(VLOOKUP(B24,'S-ASIG-05'!$B$5:$E$88,4,0),0))</f>
        <v>3.3400000000000003</v>
      </c>
      <c r="L24" s="72">
        <f>IF(B24=0,"",IFERROR(VLOOKUP(B24,'S-ASIG-06'!$B$5:$E$88,4,0),0))</f>
        <v>3.8800000000000003</v>
      </c>
      <c r="M24" s="73">
        <f>IF(B24=0,"",IFERROR(VLOOKUP(B24,'S-ASIG-07'!$B$5:$E$88,4,0),0))</f>
        <v>0</v>
      </c>
      <c r="N24" s="68" t="s">
        <v>147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148</v>
      </c>
    </row>
    <row r="25" spans="1:22" ht="15" customHeight="1">
      <c r="A25" s="12">
        <v>21</v>
      </c>
      <c r="B25" s="70" t="str">
        <f>LIDER!C29</f>
        <v>MARIA FERNANDA DE HORTA GOMEZ</v>
      </c>
      <c r="C25" s="64" t="str">
        <f>IF(B25=0,"",IFERROR(VLOOKUP(B25,'S-ASIG-01'!$B$5:$E$88,2,0),0))</f>
        <v>G03</v>
      </c>
      <c r="D25" s="65">
        <f t="shared" si="2"/>
        <v>3.7600000000000002</v>
      </c>
      <c r="E25" s="66">
        <f t="shared" si="3"/>
        <v>0</v>
      </c>
      <c r="F25" s="47"/>
      <c r="G25" s="71">
        <f>IF(B25=0,"",IFERROR(VLOOKUP(B25,'S-ASIG-01'!$B$5:$E$88,4,0),0))</f>
        <v>4.2300000000000004</v>
      </c>
      <c r="H25" s="72">
        <f>IF(B25=0,"",IFERROR(VLOOKUP(B25,'S-ASIG-02'!$B$5:$E$88,4,0),0))</f>
        <v>3.6500000000000004</v>
      </c>
      <c r="I25" s="72">
        <f>IF(B25=0,"",IFERROR(VLOOKUP(B25,'S-ASIG-03'!$B$5:$E$88,4,0),0))</f>
        <v>4</v>
      </c>
      <c r="J25" s="72">
        <f>IF(B25=0,"",IFERROR(VLOOKUP(B25,'S-ASIG-04'!$B$5:$E$88,4,0),0))</f>
        <v>3.4600000000000004</v>
      </c>
      <c r="K25" s="72">
        <f>IF(B25=0,"",IFERROR(VLOOKUP(B25,'S-ASIG-05'!$B$5:$E$88,4,0),0))</f>
        <v>3.3400000000000003</v>
      </c>
      <c r="L25" s="72">
        <f>IF(B25=0,"",IFERROR(VLOOKUP(B25,'S-ASIG-06'!$B$5:$E$88,4,0),0))</f>
        <v>3.8800000000000003</v>
      </c>
      <c r="M25" s="73">
        <f>IF(B25=0,"",IFERROR(VLOOKUP(B25,'S-ASIG-07'!$B$5:$E$88,4,0),0))</f>
        <v>0</v>
      </c>
      <c r="N25" s="68" t="s">
        <v>147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148</v>
      </c>
    </row>
    <row r="26" spans="1:22" ht="15" customHeight="1">
      <c r="A26" s="12">
        <v>22</v>
      </c>
      <c r="B26" s="70" t="str">
        <f>LIDER!C30</f>
        <v>MARÍA ALEJANDRA LEMOS OCHOA</v>
      </c>
      <c r="C26" s="64" t="str">
        <f>IF(B26=0,"",IFERROR(VLOOKUP(B26,'S-ASIG-01'!$B$5:$E$88,2,0),0))</f>
        <v>G03</v>
      </c>
      <c r="D26" s="65">
        <f t="shared" si="2"/>
        <v>3.7600000000000002</v>
      </c>
      <c r="E26" s="66">
        <f t="shared" si="3"/>
        <v>0</v>
      </c>
      <c r="F26" s="47"/>
      <c r="G26" s="71">
        <f>IF(B26=0,"",IFERROR(VLOOKUP(B26,'S-ASIG-01'!$B$5:$E$88,4,0),0))</f>
        <v>4.2300000000000004</v>
      </c>
      <c r="H26" s="72">
        <f>IF(B26=0,"",IFERROR(VLOOKUP(B26,'S-ASIG-02'!$B$5:$E$88,4,0),0))</f>
        <v>3.6500000000000004</v>
      </c>
      <c r="I26" s="72">
        <f>IF(B26=0,"",IFERROR(VLOOKUP(B26,'S-ASIG-03'!$B$5:$E$88,4,0),0))</f>
        <v>4</v>
      </c>
      <c r="J26" s="72">
        <f>IF(B26=0,"",IFERROR(VLOOKUP(B26,'S-ASIG-04'!$B$5:$E$88,4,0),0))</f>
        <v>3.4600000000000004</v>
      </c>
      <c r="K26" s="72">
        <f>IF(B26=0,"",IFERROR(VLOOKUP(B26,'S-ASIG-05'!$B$5:$E$88,4,0),0))</f>
        <v>3.3400000000000003</v>
      </c>
      <c r="L26" s="72">
        <f>IF(B26=0,"",IFERROR(VLOOKUP(B26,'S-ASIG-06'!$B$5:$E$88,4,0),0))</f>
        <v>3.8800000000000003</v>
      </c>
      <c r="M26" s="73">
        <f>IF(B26=0,"",IFERROR(VLOOKUP(B26,'S-ASIG-07'!$B$5:$E$88,4,0),0))</f>
        <v>0</v>
      </c>
      <c r="N26" s="68" t="s">
        <v>147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148</v>
      </c>
    </row>
    <row r="27" spans="1:22" ht="15" customHeight="1">
      <c r="A27" s="12">
        <v>23</v>
      </c>
      <c r="B27" s="70" t="str">
        <f>LIDER!C31</f>
        <v>SHARON JULIANA MONTES FERNANDEZ</v>
      </c>
      <c r="C27" s="64" t="str">
        <f>IF(B27=0,"",IFERROR(VLOOKUP(B27,'S-ASIG-01'!$B$5:$E$88,2,0),0))</f>
        <v>G03</v>
      </c>
      <c r="D27" s="65">
        <f t="shared" si="2"/>
        <v>3.7600000000000002</v>
      </c>
      <c r="E27" s="66">
        <f t="shared" si="3"/>
        <v>0</v>
      </c>
      <c r="F27" s="47"/>
      <c r="G27" s="71">
        <f>IF(B27=0,"",IFERROR(VLOOKUP(B27,'S-ASIG-01'!$B$5:$E$88,4,0),0))</f>
        <v>4.2300000000000004</v>
      </c>
      <c r="H27" s="72">
        <f>IF(B27=0,"",IFERROR(VLOOKUP(B27,'S-ASIG-02'!$B$5:$E$88,4,0),0))</f>
        <v>3.6500000000000004</v>
      </c>
      <c r="I27" s="72">
        <f>IF(B27=0,"",IFERROR(VLOOKUP(B27,'S-ASIG-03'!$B$5:$E$88,4,0),0))</f>
        <v>4</v>
      </c>
      <c r="J27" s="72">
        <f>IF(B27=0,"",IFERROR(VLOOKUP(B27,'S-ASIG-04'!$B$5:$E$88,4,0),0))</f>
        <v>3.4600000000000004</v>
      </c>
      <c r="K27" s="72">
        <f>IF(B27=0,"",IFERROR(VLOOKUP(B27,'S-ASIG-05'!$B$5:$E$88,4,0),0))</f>
        <v>3.3400000000000003</v>
      </c>
      <c r="L27" s="72">
        <f>IF(B27=0,"",IFERROR(VLOOKUP(B27,'S-ASIG-06'!$B$5:$E$88,4,0),0))</f>
        <v>3.8800000000000003</v>
      </c>
      <c r="M27" s="73">
        <f>IF(B27=0,"",IFERROR(VLOOKUP(B27,'S-ASIG-07'!$B$5:$E$88,4,0),0))</f>
        <v>0</v>
      </c>
      <c r="N27" s="68" t="s">
        <v>147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148</v>
      </c>
    </row>
    <row r="28" spans="1:22" ht="15" customHeight="1">
      <c r="A28" s="12">
        <v>24</v>
      </c>
      <c r="B28" s="70" t="str">
        <f>LIDER!C32</f>
        <v>DAVID ALEJANDRO RHENALS LOPEZ</v>
      </c>
      <c r="C28" s="64" t="str">
        <f>IF(B28=0,"",IFERROR(VLOOKUP(B28,'S-ASIG-01'!$B$5:$E$88,2,0),0))</f>
        <v>G03</v>
      </c>
      <c r="D28" s="65">
        <f t="shared" si="2"/>
        <v>3.7600000000000002</v>
      </c>
      <c r="E28" s="66">
        <f t="shared" si="3"/>
        <v>0</v>
      </c>
      <c r="F28" s="47"/>
      <c r="G28" s="71">
        <f>IF(B28=0,"",IFERROR(VLOOKUP(B28,'S-ASIG-01'!$B$5:$E$88,4,0),0))</f>
        <v>4.2300000000000004</v>
      </c>
      <c r="H28" s="72">
        <f>IF(B28=0,"",IFERROR(VLOOKUP(B28,'S-ASIG-02'!$B$5:$E$88,4,0),0))</f>
        <v>3.6500000000000004</v>
      </c>
      <c r="I28" s="72">
        <f>IF(B28=0,"",IFERROR(VLOOKUP(B28,'S-ASIG-03'!$B$5:$E$88,4,0),0))</f>
        <v>4</v>
      </c>
      <c r="J28" s="72">
        <f>IF(B28=0,"",IFERROR(VLOOKUP(B28,'S-ASIG-04'!$B$5:$E$88,4,0),0))</f>
        <v>3.4600000000000004</v>
      </c>
      <c r="K28" s="72">
        <f>IF(B28=0,"",IFERROR(VLOOKUP(B28,'S-ASIG-05'!$B$5:$E$88,4,0),0))</f>
        <v>3.3400000000000003</v>
      </c>
      <c r="L28" s="72">
        <f>IF(B28=0,"",IFERROR(VLOOKUP(B28,'S-ASIG-06'!$B$5:$E$88,4,0),0))</f>
        <v>3.8800000000000003</v>
      </c>
      <c r="M28" s="73">
        <f>IF(B28=0,"",IFERROR(VLOOKUP(B28,'S-ASIG-07'!$B$5:$E$88,4,0),0))</f>
        <v>0</v>
      </c>
      <c r="N28" s="68" t="s">
        <v>147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148</v>
      </c>
    </row>
    <row r="29" spans="1:22" ht="15" customHeight="1">
      <c r="A29" s="12">
        <v>25</v>
      </c>
      <c r="B29" s="70" t="str">
        <f>LIDER!C33</f>
        <v>JHORDAN JOSE BARROS PEÑA</v>
      </c>
      <c r="C29" s="64" t="str">
        <f>IF(B29=0,"",IFERROR(VLOOKUP(B29,'S-ASIG-01'!$B$5:$E$88,2,0),0))</f>
        <v>G04</v>
      </c>
      <c r="D29" s="65">
        <f t="shared" si="2"/>
        <v>3.2450000000000006</v>
      </c>
      <c r="E29" s="66">
        <f t="shared" si="3"/>
        <v>0</v>
      </c>
      <c r="F29" s="47"/>
      <c r="G29" s="71">
        <f>IF(B29=0,"",IFERROR(VLOOKUP(B29,'S-ASIG-01'!$B$5:$E$88,4,0),0))</f>
        <v>3.0700000000000003</v>
      </c>
      <c r="H29" s="72">
        <f>IF(B29=0,"",IFERROR(VLOOKUP(B29,'S-ASIG-02'!$B$5:$E$88,4,0),0))</f>
        <v>2.8</v>
      </c>
      <c r="I29" s="72">
        <f>IF(B29=0,"",IFERROR(VLOOKUP(B29,'S-ASIG-03'!$B$5:$E$88,4,0),0))</f>
        <v>3.4500000000000006</v>
      </c>
      <c r="J29" s="72">
        <f>IF(B29=0,"",IFERROR(VLOOKUP(B29,'S-ASIG-04'!$B$5:$E$88,4,0),0))</f>
        <v>3.3000000000000007</v>
      </c>
      <c r="K29" s="72">
        <f>IF(B29=0,"",IFERROR(VLOOKUP(B29,'S-ASIG-05'!$B$5:$E$88,4,0),0))</f>
        <v>3.6000000000000005</v>
      </c>
      <c r="L29" s="72">
        <f>IF(B29=0,"",IFERROR(VLOOKUP(B29,'S-ASIG-06'!$B$5:$E$88,4,0),0))</f>
        <v>3.25</v>
      </c>
      <c r="M29" s="73">
        <f>IF(B29=0,"",IFERROR(VLOOKUP(B29,'S-ASIG-07'!$B$5:$E$88,4,0),0))</f>
        <v>0</v>
      </c>
      <c r="N29" s="68" t="s">
        <v>147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148</v>
      </c>
    </row>
    <row r="30" spans="1:22" ht="15" customHeight="1">
      <c r="A30" s="12">
        <v>26</v>
      </c>
      <c r="B30" s="70" t="str">
        <f>LIDER!C34</f>
        <v>RUTH SARAY PATERNINA PÉREZ</v>
      </c>
      <c r="C30" s="64" t="str">
        <f>IF(B30=0,"",IFERROR(VLOOKUP(B30,'S-ASIG-01'!$B$5:$E$88,2,0),0))</f>
        <v>G04</v>
      </c>
      <c r="D30" s="65">
        <f t="shared" si="2"/>
        <v>3.2450000000000006</v>
      </c>
      <c r="E30" s="66">
        <f t="shared" si="3"/>
        <v>0</v>
      </c>
      <c r="F30" s="47"/>
      <c r="G30" s="71">
        <f>IF(B30=0,"",IFERROR(VLOOKUP(B30,'S-ASIG-01'!$B$5:$E$88,4,0),0))</f>
        <v>3.0700000000000003</v>
      </c>
      <c r="H30" s="72">
        <f>IF(B30=0,"",IFERROR(VLOOKUP(B30,'S-ASIG-02'!$B$5:$E$88,4,0),0))</f>
        <v>2.8</v>
      </c>
      <c r="I30" s="72">
        <f>IF(B30=0,"",IFERROR(VLOOKUP(B30,'S-ASIG-03'!$B$5:$E$88,4,0),0))</f>
        <v>3.4500000000000006</v>
      </c>
      <c r="J30" s="72">
        <f>IF(B30=0,"",IFERROR(VLOOKUP(B30,'S-ASIG-04'!$B$5:$E$88,4,0),0))</f>
        <v>3.3000000000000007</v>
      </c>
      <c r="K30" s="72">
        <f>IF(B30=0,"",IFERROR(VLOOKUP(B30,'S-ASIG-05'!$B$5:$E$88,4,0),0))</f>
        <v>3.6000000000000005</v>
      </c>
      <c r="L30" s="72">
        <f>IF(B30=0,"",IFERROR(VLOOKUP(B30,'S-ASIG-06'!$B$5:$E$88,4,0),0))</f>
        <v>3.25</v>
      </c>
      <c r="M30" s="73">
        <f>IF(B30=0,"",IFERROR(VLOOKUP(B30,'S-ASIG-07'!$B$5:$E$88,4,0),0))</f>
        <v>0</v>
      </c>
      <c r="N30" s="68" t="s">
        <v>147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148</v>
      </c>
    </row>
    <row r="31" spans="1:22" ht="15" customHeight="1">
      <c r="A31" s="12">
        <v>27</v>
      </c>
      <c r="B31" s="70" t="str">
        <f>LIDER!C35</f>
        <v>HECTOR FABIO PEREIRA PACHECO</v>
      </c>
      <c r="C31" s="64" t="str">
        <f>IF(B31=0,"",IFERROR(VLOOKUP(B31,'S-ASIG-01'!$B$5:$E$88,2,0),0))</f>
        <v>G04</v>
      </c>
      <c r="D31" s="65">
        <f t="shared" si="2"/>
        <v>3.2450000000000006</v>
      </c>
      <c r="E31" s="66">
        <f t="shared" si="3"/>
        <v>0</v>
      </c>
      <c r="F31" s="47"/>
      <c r="G31" s="71">
        <f>IF(B31=0,"",IFERROR(VLOOKUP(B31,'S-ASIG-01'!$B$5:$E$88,4,0),0))</f>
        <v>3.0700000000000003</v>
      </c>
      <c r="H31" s="72">
        <f>IF(B31=0,"",IFERROR(VLOOKUP(B31,'S-ASIG-02'!$B$5:$E$88,4,0),0))</f>
        <v>2.8</v>
      </c>
      <c r="I31" s="72">
        <f>IF(B31=0,"",IFERROR(VLOOKUP(B31,'S-ASIG-03'!$B$5:$E$88,4,0),0))</f>
        <v>3.4500000000000006</v>
      </c>
      <c r="J31" s="72">
        <f>IF(B31=0,"",IFERROR(VLOOKUP(B31,'S-ASIG-04'!$B$5:$E$88,4,0),0))</f>
        <v>3.3000000000000007</v>
      </c>
      <c r="K31" s="72">
        <f>IF(B31=0,"",IFERROR(VLOOKUP(B31,'S-ASIG-05'!$B$5:$E$88,4,0),0))</f>
        <v>3.6000000000000005</v>
      </c>
      <c r="L31" s="72">
        <f>IF(B31=0,"",IFERROR(VLOOKUP(B31,'S-ASIG-06'!$B$5:$E$88,4,0),0))</f>
        <v>3.25</v>
      </c>
      <c r="M31" s="73">
        <f>IF(B31=0,"",IFERROR(VLOOKUP(B31,'S-ASIG-07'!$B$5:$E$88,4,0),0))</f>
        <v>0</v>
      </c>
      <c r="N31" s="68" t="s">
        <v>147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148</v>
      </c>
    </row>
    <row r="32" spans="1:22" ht="15" customHeight="1">
      <c r="A32" s="12">
        <v>28</v>
      </c>
      <c r="B32" s="70" t="str">
        <f>LIDER!C36</f>
        <v>JUAN RICARDO SERRANO PALLARES</v>
      </c>
      <c r="C32" s="64" t="str">
        <f>IF(B32=0,"",IFERROR(VLOOKUP(B32,'S-ASIG-01'!$B$5:$E$88,2,0),0))</f>
        <v>G04</v>
      </c>
      <c r="D32" s="65">
        <f t="shared" si="2"/>
        <v>3.2450000000000006</v>
      </c>
      <c r="E32" s="66">
        <f t="shared" si="3"/>
        <v>0</v>
      </c>
      <c r="F32" s="47"/>
      <c r="G32" s="71">
        <f>IF(B32=0,"",IFERROR(VLOOKUP(B32,'S-ASIG-01'!$B$5:$E$88,4,0),0))</f>
        <v>3.0700000000000003</v>
      </c>
      <c r="H32" s="72">
        <f>IF(B32=0,"",IFERROR(VLOOKUP(B32,'S-ASIG-02'!$B$5:$E$88,4,0),0))</f>
        <v>2.8</v>
      </c>
      <c r="I32" s="72">
        <f>IF(B32=0,"",IFERROR(VLOOKUP(B32,'S-ASIG-03'!$B$5:$E$88,4,0),0))</f>
        <v>3.4500000000000006</v>
      </c>
      <c r="J32" s="72">
        <f>IF(B32=0,"",IFERROR(VLOOKUP(B32,'S-ASIG-04'!$B$5:$E$88,4,0),0))</f>
        <v>3.3000000000000007</v>
      </c>
      <c r="K32" s="72">
        <f>IF(B32=0,"",IFERROR(VLOOKUP(B32,'S-ASIG-05'!$B$5:$E$88,4,0),0))</f>
        <v>3.6000000000000005</v>
      </c>
      <c r="L32" s="72">
        <f>IF(B32=0,"",IFERROR(VLOOKUP(B32,'S-ASIG-06'!$B$5:$E$88,4,0),0))</f>
        <v>3.25</v>
      </c>
      <c r="M32" s="73">
        <f>IF(B32=0,"",IFERROR(VLOOKUP(B32,'S-ASIG-07'!$B$5:$E$88,4,0),0))</f>
        <v>0</v>
      </c>
      <c r="N32" s="68" t="s">
        <v>147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148</v>
      </c>
    </row>
    <row r="33" spans="1:22" ht="15" customHeight="1">
      <c r="A33" s="12">
        <v>29</v>
      </c>
      <c r="B33" s="70" t="str">
        <f>LIDER!C37</f>
        <v>VALERIE SOFIA CERA TORRIENTE</v>
      </c>
      <c r="C33" s="64" t="str">
        <f>IF(B33=0,"",IFERROR(VLOOKUP(B33,'S-ASIG-01'!$B$5:$E$88,2,0),0))</f>
        <v>G05</v>
      </c>
      <c r="D33" s="65">
        <f t="shared" si="2"/>
        <v>3.9049999999999998</v>
      </c>
      <c r="E33" s="66">
        <f t="shared" si="3"/>
        <v>0</v>
      </c>
      <c r="F33" s="47"/>
      <c r="G33" s="71">
        <f>IF(B33=0,"",IFERROR(VLOOKUP(B33,'S-ASIG-01'!$B$5:$E$88,4,0),0))</f>
        <v>3.96</v>
      </c>
      <c r="H33" s="72">
        <f>IF(B33=0,"",IFERROR(VLOOKUP(B33,'S-ASIG-02'!$B$5:$E$88,4,0),0))</f>
        <v>3.75</v>
      </c>
      <c r="I33" s="72">
        <f>IF(B33=0,"",IFERROR(VLOOKUP(B33,'S-ASIG-03'!$B$5:$E$88,4,0),0))</f>
        <v>4.42</v>
      </c>
      <c r="J33" s="72">
        <f>IF(B33=0,"",IFERROR(VLOOKUP(B33,'S-ASIG-04'!$B$5:$E$88,4,0),0))</f>
        <v>3.8899999999999997</v>
      </c>
      <c r="K33" s="72">
        <f>IF(B33=0,"",IFERROR(VLOOKUP(B33,'S-ASIG-05'!$B$5:$E$88,4,0),0))</f>
        <v>3.6000000000000005</v>
      </c>
      <c r="L33" s="72">
        <f>IF(B33=0,"",IFERROR(VLOOKUP(B33,'S-ASIG-06'!$B$5:$E$88,4,0),0))</f>
        <v>3.8100000000000005</v>
      </c>
      <c r="M33" s="73">
        <f>IF(B33=0,"",IFERROR(VLOOKUP(B33,'S-ASIG-07'!$B$5:$E$88,4,0),0))</f>
        <v>0</v>
      </c>
      <c r="N33" s="68" t="s">
        <v>147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148</v>
      </c>
    </row>
    <row r="34" spans="1:22" ht="15" customHeight="1">
      <c r="A34" s="12">
        <v>30</v>
      </c>
      <c r="B34" s="70" t="str">
        <f>LIDER!C38</f>
        <v>CRISTINA LUCIA ESTRADA SANTOYA</v>
      </c>
      <c r="C34" s="64" t="str">
        <f>IF(B34=0,"",IFERROR(VLOOKUP(B34,'S-ASIG-01'!$B$5:$E$88,2,0),0))</f>
        <v>G05</v>
      </c>
      <c r="D34" s="65">
        <f t="shared" si="2"/>
        <v>3.9049999999999998</v>
      </c>
      <c r="E34" s="66">
        <f t="shared" si="3"/>
        <v>0</v>
      </c>
      <c r="F34" s="47"/>
      <c r="G34" s="71">
        <f>IF(B34=0,"",IFERROR(VLOOKUP(B34,'S-ASIG-01'!$B$5:$E$88,4,0),0))</f>
        <v>3.96</v>
      </c>
      <c r="H34" s="72">
        <f>IF(B34=0,"",IFERROR(VLOOKUP(B34,'S-ASIG-02'!$B$5:$E$88,4,0),0))</f>
        <v>3.75</v>
      </c>
      <c r="I34" s="72">
        <f>IF(B34=0,"",IFERROR(VLOOKUP(B34,'S-ASIG-03'!$B$5:$E$88,4,0),0))</f>
        <v>4.42</v>
      </c>
      <c r="J34" s="72">
        <f>IF(B34=0,"",IFERROR(VLOOKUP(B34,'S-ASIG-04'!$B$5:$E$88,4,0),0))</f>
        <v>3.8899999999999997</v>
      </c>
      <c r="K34" s="72">
        <f>IF(B34=0,"",IFERROR(VLOOKUP(B34,'S-ASIG-05'!$B$5:$E$88,4,0),0))</f>
        <v>3.6000000000000005</v>
      </c>
      <c r="L34" s="72">
        <f>IF(B34=0,"",IFERROR(VLOOKUP(B34,'S-ASIG-06'!$B$5:$E$88,4,0),0))</f>
        <v>3.8100000000000005</v>
      </c>
      <c r="M34" s="73">
        <f>IF(B34=0,"",IFERROR(VLOOKUP(B34,'S-ASIG-07'!$B$5:$E$88,4,0),0))</f>
        <v>0</v>
      </c>
      <c r="N34" s="68" t="s">
        <v>147</v>
      </c>
      <c r="O34" s="71">
        <f>IF(B34=0,"",IFERROR(VLOOKUP(B34,'T-ASIG-01'!$B$5:$D$88,3,0),0))</f>
        <v>0</v>
      </c>
      <c r="P34" s="72">
        <f>IF(B34=0,"",IFERROR(VLOOKUP(B34,'T-ASIG-02'!$B$5:$D$88,3,0),0))</f>
        <v>0</v>
      </c>
      <c r="Q34" s="72">
        <f>IF(B34=0,"",IFERROR(VLOOKUP(B34,'T-ASIG-03'!$B$5:$D$88,3,0),0))</f>
        <v>0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148</v>
      </c>
    </row>
    <row r="35" spans="1:22" ht="15" customHeight="1">
      <c r="A35" s="12">
        <v>31</v>
      </c>
      <c r="B35" s="70" t="str">
        <f>LIDER!C39</f>
        <v>JIRETH PAOLA GARCIA COLON</v>
      </c>
      <c r="C35" s="64" t="str">
        <f>IF(B35=0,"",IFERROR(VLOOKUP(B35,'S-ASIG-01'!$B$5:$E$88,2,0),0))</f>
        <v>G05</v>
      </c>
      <c r="D35" s="65">
        <f t="shared" si="2"/>
        <v>3.9049999999999998</v>
      </c>
      <c r="E35" s="66">
        <f t="shared" si="3"/>
        <v>0</v>
      </c>
      <c r="F35" s="47"/>
      <c r="G35" s="71">
        <f>IF(B35=0,"",IFERROR(VLOOKUP(B35,'S-ASIG-01'!$B$5:$E$88,4,0),0))</f>
        <v>3.96</v>
      </c>
      <c r="H35" s="72">
        <f>IF(B35=0,"",IFERROR(VLOOKUP(B35,'S-ASIG-02'!$B$5:$E$88,4,0),0))</f>
        <v>3.75</v>
      </c>
      <c r="I35" s="72">
        <f>IF(B35=0,"",IFERROR(VLOOKUP(B35,'S-ASIG-03'!$B$5:$E$88,4,0),0))</f>
        <v>4.42</v>
      </c>
      <c r="J35" s="72">
        <f>IF(B35=0,"",IFERROR(VLOOKUP(B35,'S-ASIG-04'!$B$5:$E$88,4,0),0))</f>
        <v>3.8899999999999997</v>
      </c>
      <c r="K35" s="72">
        <f>IF(B35=0,"",IFERROR(VLOOKUP(B35,'S-ASIG-05'!$B$5:$E$88,4,0),0))</f>
        <v>3.6000000000000005</v>
      </c>
      <c r="L35" s="72">
        <f>IF(B35=0,"",IFERROR(VLOOKUP(B35,'S-ASIG-06'!$B$5:$E$88,4,0),0))</f>
        <v>3.8100000000000005</v>
      </c>
      <c r="M35" s="73">
        <f>IF(B35=0,"",IFERROR(VLOOKUP(B35,'S-ASIG-07'!$B$5:$E$88,4,0),0))</f>
        <v>0</v>
      </c>
      <c r="N35" s="68" t="s">
        <v>147</v>
      </c>
      <c r="O35" s="71">
        <f>IF(B35=0,"",IFERROR(VLOOKUP(B35,'T-ASIG-01'!$B$5:$D$88,3,0),0))</f>
        <v>0</v>
      </c>
      <c r="P35" s="72">
        <f>IF(B35=0,"",IFERROR(VLOOKUP(B35,'T-ASIG-02'!$B$5:$D$88,3,0),0))</f>
        <v>0</v>
      </c>
      <c r="Q35" s="72">
        <f>IF(B35=0,"",IFERROR(VLOOKUP(B35,'T-ASIG-03'!$B$5:$D$88,3,0),0))</f>
        <v>0</v>
      </c>
      <c r="R35" s="72">
        <f>IF(B35=0,"",IFERROR(VLOOKUP(B35,'T-ASIG-04'!$B$5:$D$88,3,0),0))</f>
        <v>0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148</v>
      </c>
    </row>
    <row r="36" spans="1:22" ht="15" customHeight="1">
      <c r="A36" s="12">
        <v>32</v>
      </c>
      <c r="B36" s="70" t="str">
        <f>LIDER!C40</f>
        <v>LAURENT SOFIA IBARGUEN GULFO</v>
      </c>
      <c r="C36" s="64" t="str">
        <f>IF(B36=0,"",IFERROR(VLOOKUP(B36,'S-ASIG-01'!$B$5:$E$88,2,0),0))</f>
        <v>G05</v>
      </c>
      <c r="D36" s="65">
        <f t="shared" si="2"/>
        <v>3.9049999999999998</v>
      </c>
      <c r="E36" s="66">
        <f t="shared" si="3"/>
        <v>0</v>
      </c>
      <c r="F36" s="47"/>
      <c r="G36" s="71">
        <f>IF(B36=0,"",IFERROR(VLOOKUP(B36,'S-ASIG-01'!$B$5:$E$88,4,0),0))</f>
        <v>3.96</v>
      </c>
      <c r="H36" s="72">
        <f>IF(B36=0,"",IFERROR(VLOOKUP(B36,'S-ASIG-02'!$B$5:$E$88,4,0),0))</f>
        <v>3.75</v>
      </c>
      <c r="I36" s="72">
        <f>IF(B36=0,"",IFERROR(VLOOKUP(B36,'S-ASIG-03'!$B$5:$E$88,4,0),0))</f>
        <v>4.42</v>
      </c>
      <c r="J36" s="72">
        <f>IF(B36=0,"",IFERROR(VLOOKUP(B36,'S-ASIG-04'!$B$5:$E$88,4,0),0))</f>
        <v>3.8899999999999997</v>
      </c>
      <c r="K36" s="72">
        <f>IF(B36=0,"",IFERROR(VLOOKUP(B36,'S-ASIG-05'!$B$5:$E$88,4,0),0))</f>
        <v>3.6000000000000005</v>
      </c>
      <c r="L36" s="72">
        <f>IF(B36=0,"",IFERROR(VLOOKUP(B36,'S-ASIG-06'!$B$5:$E$88,4,0),0))</f>
        <v>3.8100000000000005</v>
      </c>
      <c r="M36" s="73">
        <f>IF(B36=0,"",IFERROR(VLOOKUP(B36,'S-ASIG-07'!$B$5:$E$88,4,0),0))</f>
        <v>0</v>
      </c>
      <c r="N36" s="68" t="s">
        <v>147</v>
      </c>
      <c r="O36" s="71">
        <f>IF(B36=0,"",IFERROR(VLOOKUP(B36,'T-ASIG-01'!$B$5:$D$88,3,0),0))</f>
        <v>0</v>
      </c>
      <c r="P36" s="72">
        <f>IF(B36=0,"",IFERROR(VLOOKUP(B36,'T-ASIG-02'!$B$5:$D$88,3,0),0))</f>
        <v>0</v>
      </c>
      <c r="Q36" s="72">
        <f>IF(B36=0,"",IFERROR(VLOOKUP(B36,'T-ASIG-03'!$B$5:$D$88,3,0),0))</f>
        <v>0</v>
      </c>
      <c r="R36" s="72">
        <f>IF(B36=0,"",IFERROR(VLOOKUP(B36,'T-ASIG-04'!$B$5:$D$88,3,0),0))</f>
        <v>0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148</v>
      </c>
    </row>
    <row r="37" spans="1:22" ht="15" customHeight="1">
      <c r="A37" s="12">
        <v>33</v>
      </c>
      <c r="B37" s="70" t="str">
        <f>LIDER!C41</f>
        <v>EVELYN SANCHEZ GONZALEZ</v>
      </c>
      <c r="C37" s="64" t="str">
        <f>IF(B37=0,"",IFERROR(VLOOKUP(B37,'S-ASIG-01'!$B$5:$E$88,2,0),0))</f>
        <v>G05</v>
      </c>
      <c r="D37" s="65">
        <f t="shared" si="2"/>
        <v>3.9049999999999998</v>
      </c>
      <c r="E37" s="66">
        <f t="shared" si="3"/>
        <v>0</v>
      </c>
      <c r="F37" s="47"/>
      <c r="G37" s="71">
        <f>IF(B37=0,"",IFERROR(VLOOKUP(B37,'S-ASIG-01'!$B$5:$E$88,4,0),0))</f>
        <v>3.96</v>
      </c>
      <c r="H37" s="72">
        <f>IF(B37=0,"",IFERROR(VLOOKUP(B37,'S-ASIG-02'!$B$5:$E$88,4,0),0))</f>
        <v>3.75</v>
      </c>
      <c r="I37" s="72">
        <f>IF(B37=0,"",IFERROR(VLOOKUP(B37,'S-ASIG-03'!$B$5:$E$88,4,0),0))</f>
        <v>4.42</v>
      </c>
      <c r="J37" s="72">
        <f>IF(B37=0,"",IFERROR(VLOOKUP(B37,'S-ASIG-04'!$B$5:$E$88,4,0),0))</f>
        <v>3.8899999999999997</v>
      </c>
      <c r="K37" s="72">
        <f>IF(B37=0,"",IFERROR(VLOOKUP(B37,'S-ASIG-05'!$B$5:$E$88,4,0),0))</f>
        <v>3.6000000000000005</v>
      </c>
      <c r="L37" s="72">
        <f>IF(B37=0,"",IFERROR(VLOOKUP(B37,'S-ASIG-06'!$B$5:$E$88,4,0),0))</f>
        <v>3.8100000000000005</v>
      </c>
      <c r="M37" s="73">
        <f>IF(B37=0,"",IFERROR(VLOOKUP(B37,'S-ASIG-07'!$B$5:$E$88,4,0),0))</f>
        <v>0</v>
      </c>
      <c r="N37" s="68" t="s">
        <v>147</v>
      </c>
      <c r="O37" s="71">
        <f>IF(B37=0,"",IFERROR(VLOOKUP(B37,'T-ASIG-01'!$B$5:$D$88,3,0),0))</f>
        <v>0</v>
      </c>
      <c r="P37" s="72">
        <f>IF(B37=0,"",IFERROR(VLOOKUP(B37,'T-ASIG-02'!$B$5:$D$88,3,0),0))</f>
        <v>0</v>
      </c>
      <c r="Q37" s="72">
        <f>IF(B37=0,"",IFERROR(VLOOKUP(B37,'T-ASIG-03'!$B$5:$D$88,3,0),0))</f>
        <v>0</v>
      </c>
      <c r="R37" s="72">
        <f>IF(B37=0,"",IFERROR(VLOOKUP(B37,'T-ASIG-04'!$B$5:$D$88,3,0),0))</f>
        <v>0</v>
      </c>
      <c r="S37" s="72">
        <f>IF(B37=0,"",IFERROR(VLOOKUP(B37,'T-ASIG-05'!$B$5:$D$88,3,0),0))</f>
        <v>0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148</v>
      </c>
    </row>
    <row r="38" spans="1:22" ht="15" customHeight="1">
      <c r="A38" s="12">
        <v>34</v>
      </c>
      <c r="B38" s="70" t="str">
        <f>LIDER!C42</f>
        <v>SANTIAGO JOSE BUELVAS CARRILLO</v>
      </c>
      <c r="C38" s="64" t="str">
        <f>IF(B38=0,"",IFERROR(VLOOKUP(B38,'S-ASIG-01'!$B$5:$E$88,2,0),0))</f>
        <v>G06</v>
      </c>
      <c r="D38" s="65">
        <f t="shared" si="2"/>
        <v>3.5566666666666666</v>
      </c>
      <c r="E38" s="66">
        <f t="shared" si="3"/>
        <v>0</v>
      </c>
      <c r="F38" s="47"/>
      <c r="G38" s="71">
        <f>IF(B38=0,"",IFERROR(VLOOKUP(B38,'S-ASIG-01'!$B$5:$E$88,4,0),0))</f>
        <v>4</v>
      </c>
      <c r="H38" s="72">
        <f>IF(B38=0,"",IFERROR(VLOOKUP(B38,'S-ASIG-02'!$B$5:$E$88,4,0),0))</f>
        <v>3.25</v>
      </c>
      <c r="I38" s="72">
        <f>IF(B38=0,"",IFERROR(VLOOKUP(B38,'S-ASIG-03'!$B$5:$E$88,4,0),0))</f>
        <v>3.9000000000000004</v>
      </c>
      <c r="J38" s="72">
        <f>IF(B38=0,"",IFERROR(VLOOKUP(B38,'S-ASIG-04'!$B$5:$E$88,4,0),0))</f>
        <v>3.4499999999999997</v>
      </c>
      <c r="K38" s="72">
        <f>IF(B38=0,"",IFERROR(VLOOKUP(B38,'S-ASIG-05'!$B$5:$E$88,4,0),0))</f>
        <v>3.3400000000000003</v>
      </c>
      <c r="L38" s="72">
        <f>IF(B38=0,"",IFERROR(VLOOKUP(B38,'S-ASIG-06'!$B$5:$E$88,4,0),0))</f>
        <v>3.4</v>
      </c>
      <c r="M38" s="73">
        <f>IF(B38=0,"",IFERROR(VLOOKUP(B38,'S-ASIG-07'!$B$5:$E$88,4,0),0))</f>
        <v>0</v>
      </c>
      <c r="N38" s="68" t="s">
        <v>147</v>
      </c>
      <c r="O38" s="71">
        <f>IF(B38=0,"",IFERROR(VLOOKUP(B38,'T-ASIG-01'!$B$5:$D$88,3,0),0))</f>
        <v>0</v>
      </c>
      <c r="P38" s="72">
        <f>IF(B38=0,"",IFERROR(VLOOKUP(B38,'T-ASIG-02'!$B$5:$D$88,3,0),0))</f>
        <v>0</v>
      </c>
      <c r="Q38" s="72">
        <f>IF(B38=0,"",IFERROR(VLOOKUP(B38,'T-ASIG-03'!$B$5:$D$88,3,0),0))</f>
        <v>0</v>
      </c>
      <c r="R38" s="72">
        <f>IF(B38=0,"",IFERROR(VLOOKUP(B38,'T-ASIG-04'!$B$5:$D$88,3,0),0))</f>
        <v>0</v>
      </c>
      <c r="S38" s="72">
        <f>IF(B38=0,"",IFERROR(VLOOKUP(B38,'T-ASIG-05'!$B$5:$D$88,3,0),0))</f>
        <v>0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148</v>
      </c>
    </row>
    <row r="39" spans="1:22" ht="15" customHeight="1">
      <c r="A39" s="12">
        <v>35</v>
      </c>
      <c r="B39" s="70" t="str">
        <f>LIDER!C43</f>
        <v>VALERIA SOFIA VENENCIA SANES</v>
      </c>
      <c r="C39" s="64" t="str">
        <f>IF(B39=0,"",IFERROR(VLOOKUP(B39,'S-ASIG-01'!$B$5:$E$88,2,0),0))</f>
        <v>G06</v>
      </c>
      <c r="D39" s="65">
        <f t="shared" si="2"/>
        <v>3.5566666666666666</v>
      </c>
      <c r="E39" s="66">
        <f t="shared" si="3"/>
        <v>0</v>
      </c>
      <c r="F39" s="47"/>
      <c r="G39" s="71">
        <f>IF(B39=0,"",IFERROR(VLOOKUP(B39,'S-ASIG-01'!$B$5:$E$88,4,0),0))</f>
        <v>4</v>
      </c>
      <c r="H39" s="72">
        <f>IF(B39=0,"",IFERROR(VLOOKUP(B39,'S-ASIG-02'!$B$5:$E$88,4,0),0))</f>
        <v>3.25</v>
      </c>
      <c r="I39" s="72">
        <f>IF(B39=0,"",IFERROR(VLOOKUP(B39,'S-ASIG-03'!$B$5:$E$88,4,0),0))</f>
        <v>3.9000000000000004</v>
      </c>
      <c r="J39" s="72">
        <f>IF(B39=0,"",IFERROR(VLOOKUP(B39,'S-ASIG-04'!$B$5:$E$88,4,0),0))</f>
        <v>3.4499999999999997</v>
      </c>
      <c r="K39" s="72">
        <f>IF(B39=0,"",IFERROR(VLOOKUP(B39,'S-ASIG-05'!$B$5:$E$88,4,0),0))</f>
        <v>3.3400000000000003</v>
      </c>
      <c r="L39" s="72">
        <f>IF(B39=0,"",IFERROR(VLOOKUP(B39,'S-ASIG-06'!$B$5:$E$88,4,0),0))</f>
        <v>3.4</v>
      </c>
      <c r="M39" s="73">
        <f>IF(B39=0,"",IFERROR(VLOOKUP(B39,'S-ASIG-07'!$B$5:$E$88,4,0),0))</f>
        <v>0</v>
      </c>
      <c r="N39" s="68" t="s">
        <v>147</v>
      </c>
      <c r="O39" s="71">
        <f>IF(B39=0,"",IFERROR(VLOOKUP(B39,'T-ASIG-01'!$B$5:$D$88,3,0),0))</f>
        <v>0</v>
      </c>
      <c r="P39" s="72">
        <f>IF(B39=0,"",IFERROR(VLOOKUP(B39,'T-ASIG-02'!$B$5:$D$88,3,0),0))</f>
        <v>0</v>
      </c>
      <c r="Q39" s="72">
        <f>IF(B39=0,"",IFERROR(VLOOKUP(B39,'T-ASIG-03'!$B$5:$D$88,3,0),0))</f>
        <v>0</v>
      </c>
      <c r="R39" s="72">
        <f>IF(B39=0,"",IFERROR(VLOOKUP(B39,'T-ASIG-04'!$B$5:$D$88,3,0),0))</f>
        <v>0</v>
      </c>
      <c r="S39" s="72">
        <f>IF(B39=0,"",IFERROR(VLOOKUP(B39,'T-ASIG-05'!$B$5:$D$88,3,0),0))</f>
        <v>0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148</v>
      </c>
    </row>
    <row r="40" spans="1:22" ht="15" customHeight="1">
      <c r="A40" s="12">
        <v>36</v>
      </c>
      <c r="B40" s="70" t="str">
        <f>LIDER!C44</f>
        <v>VALENTINA LUZ AVILEZ BERMUDEZ</v>
      </c>
      <c r="C40" s="64" t="str">
        <f>IF(B40=0,"",IFERROR(VLOOKUP(B40,'S-ASIG-01'!$B$5:$E$88,2,0),0))</f>
        <v>G07</v>
      </c>
      <c r="D40" s="65">
        <f t="shared" si="2"/>
        <v>3.0783333333333336</v>
      </c>
      <c r="E40" s="66">
        <f t="shared" si="3"/>
        <v>0</v>
      </c>
      <c r="F40" s="47"/>
      <c r="G40" s="71">
        <f>IF(B40=0,"",IFERROR(VLOOKUP(B40,'S-ASIG-01'!$B$5:$E$88,4,0),0))</f>
        <v>3.07</v>
      </c>
      <c r="H40" s="72">
        <f>IF(B40=0,"",IFERROR(VLOOKUP(B40,'S-ASIG-02'!$B$5:$E$88,4,0),0))</f>
        <v>2.5</v>
      </c>
      <c r="I40" s="72">
        <f>IF(B40=0,"",IFERROR(VLOOKUP(B40,'S-ASIG-03'!$B$5:$E$88,4,0),0))</f>
        <v>3.31</v>
      </c>
      <c r="J40" s="72">
        <f>IF(B40=0,"",IFERROR(VLOOKUP(B40,'S-ASIG-04'!$B$5:$E$88,4,0),0))</f>
        <v>3.1100000000000003</v>
      </c>
      <c r="K40" s="72">
        <f>IF(B40=0,"",IFERROR(VLOOKUP(B40,'S-ASIG-05'!$B$5:$E$88,4,0),0))</f>
        <v>3.6000000000000005</v>
      </c>
      <c r="L40" s="72">
        <f>IF(B40=0,"",IFERROR(VLOOKUP(B40,'S-ASIG-06'!$B$5:$E$88,4,0),0))</f>
        <v>2.8800000000000003</v>
      </c>
      <c r="M40" s="73">
        <f>IF(B40=0,"",IFERROR(VLOOKUP(B40,'S-ASIG-07'!$B$5:$E$88,4,0),0))</f>
        <v>0</v>
      </c>
      <c r="N40" s="68" t="s">
        <v>147</v>
      </c>
      <c r="O40" s="71">
        <f>IF(B40=0,"",IFERROR(VLOOKUP(B40,'T-ASIG-01'!$B$5:$D$88,3,0),0))</f>
        <v>0</v>
      </c>
      <c r="P40" s="72">
        <f>IF(B40=0,"",IFERROR(VLOOKUP(B40,'T-ASIG-02'!$B$5:$D$88,3,0),0))</f>
        <v>0</v>
      </c>
      <c r="Q40" s="72">
        <f>IF(B40=0,"",IFERROR(VLOOKUP(B40,'T-ASIG-03'!$B$5:$D$88,3,0),0))</f>
        <v>0</v>
      </c>
      <c r="R40" s="72">
        <f>IF(B40=0,"",IFERROR(VLOOKUP(B40,'T-ASIG-04'!$B$5:$D$88,3,0),0))</f>
        <v>0</v>
      </c>
      <c r="S40" s="72">
        <f>IF(B40=0,"",IFERROR(VLOOKUP(B40,'T-ASIG-05'!$B$5:$D$88,3,0),0))</f>
        <v>0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148</v>
      </c>
    </row>
    <row r="41" spans="1:22" ht="15" customHeight="1">
      <c r="A41" s="12">
        <v>37</v>
      </c>
      <c r="B41" s="70" t="str">
        <f>LIDER!C45</f>
        <v>YANINE MILLET BERMUDEZ JIMENEZ</v>
      </c>
      <c r="C41" s="64" t="str">
        <f>IF(B41=0,"",IFERROR(VLOOKUP(B41,'S-ASIG-01'!$B$5:$E$88,2,0),0))</f>
        <v>G07</v>
      </c>
      <c r="D41" s="65">
        <f t="shared" si="2"/>
        <v>3.0783333333333336</v>
      </c>
      <c r="E41" s="66">
        <f t="shared" si="3"/>
        <v>0</v>
      </c>
      <c r="F41" s="47"/>
      <c r="G41" s="71">
        <f>IF(B41=0,"",IFERROR(VLOOKUP(B41,'S-ASIG-01'!$B$5:$E$88,4,0),0))</f>
        <v>3.07</v>
      </c>
      <c r="H41" s="72">
        <f>IF(B41=0,"",IFERROR(VLOOKUP(B41,'S-ASIG-02'!$B$5:$E$88,4,0),0))</f>
        <v>2.5</v>
      </c>
      <c r="I41" s="72">
        <f>IF(B41=0,"",IFERROR(VLOOKUP(B41,'S-ASIG-03'!$B$5:$E$88,4,0),0))</f>
        <v>3.31</v>
      </c>
      <c r="J41" s="72">
        <f>IF(B41=0,"",IFERROR(VLOOKUP(B41,'S-ASIG-04'!$B$5:$E$88,4,0),0))</f>
        <v>3.1100000000000003</v>
      </c>
      <c r="K41" s="72">
        <f>IF(B41=0,"",IFERROR(VLOOKUP(B41,'S-ASIG-05'!$B$5:$E$88,4,0),0))</f>
        <v>3.6000000000000005</v>
      </c>
      <c r="L41" s="72">
        <f>IF(B41=0,"",IFERROR(VLOOKUP(B41,'S-ASIG-06'!$B$5:$E$88,4,0),0))</f>
        <v>2.8800000000000003</v>
      </c>
      <c r="M41" s="73">
        <f>IF(B41=0,"",IFERROR(VLOOKUP(B41,'S-ASIG-07'!$B$5:$E$88,4,0),0))</f>
        <v>0</v>
      </c>
      <c r="N41" s="68" t="s">
        <v>147</v>
      </c>
      <c r="O41" s="71">
        <f>IF(B41=0,"",IFERROR(VLOOKUP(B41,'T-ASIG-01'!$B$5:$D$88,3,0),0))</f>
        <v>0</v>
      </c>
      <c r="P41" s="72">
        <f>IF(B41=0,"",IFERROR(VLOOKUP(B41,'T-ASIG-02'!$B$5:$D$88,3,0),0))</f>
        <v>0</v>
      </c>
      <c r="Q41" s="72">
        <f>IF(B41=0,"",IFERROR(VLOOKUP(B41,'T-ASIG-03'!$B$5:$D$88,3,0),0))</f>
        <v>0</v>
      </c>
      <c r="R41" s="72">
        <f>IF(B41=0,"",IFERROR(VLOOKUP(B41,'T-ASIG-04'!$B$5:$D$88,3,0),0))</f>
        <v>0</v>
      </c>
      <c r="S41" s="72">
        <f>IF(B41=0,"",IFERROR(VLOOKUP(B41,'T-ASIG-05'!$B$5:$D$88,3,0),0))</f>
        <v>0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148</v>
      </c>
    </row>
    <row r="42" spans="1:22" ht="15" customHeight="1">
      <c r="A42" s="12">
        <v>38</v>
      </c>
      <c r="B42" s="70" t="str">
        <f>LIDER!C46</f>
        <v>YURLEINIS MAZA MORALES</v>
      </c>
      <c r="C42" s="64" t="str">
        <f>IF(B42=0,"",IFERROR(VLOOKUP(B42,'S-ASIG-01'!$B$5:$E$88,2,0),0))</f>
        <v>G07</v>
      </c>
      <c r="D42" s="65">
        <f t="shared" si="2"/>
        <v>3.0783333333333336</v>
      </c>
      <c r="E42" s="66">
        <f t="shared" si="3"/>
        <v>0</v>
      </c>
      <c r="F42" s="47"/>
      <c r="G42" s="71">
        <f>IF(B42=0,"",IFERROR(VLOOKUP(B42,'S-ASIG-01'!$B$5:$E$88,4,0),0))</f>
        <v>3.07</v>
      </c>
      <c r="H42" s="72">
        <f>IF(B42=0,"",IFERROR(VLOOKUP(B42,'S-ASIG-02'!$B$5:$E$88,4,0),0))</f>
        <v>2.5</v>
      </c>
      <c r="I42" s="72">
        <f>IF(B42=0,"",IFERROR(VLOOKUP(B42,'S-ASIG-03'!$B$5:$E$88,4,0),0))</f>
        <v>3.31</v>
      </c>
      <c r="J42" s="72">
        <f>IF(B42=0,"",IFERROR(VLOOKUP(B42,'S-ASIG-04'!$B$5:$E$88,4,0),0))</f>
        <v>3.1100000000000003</v>
      </c>
      <c r="K42" s="72">
        <f>IF(B42=0,"",IFERROR(VLOOKUP(B42,'S-ASIG-05'!$B$5:$E$88,4,0),0))</f>
        <v>3.6000000000000005</v>
      </c>
      <c r="L42" s="72">
        <f>IF(B42=0,"",IFERROR(VLOOKUP(B42,'S-ASIG-06'!$B$5:$E$88,4,0),0))</f>
        <v>2.8800000000000003</v>
      </c>
      <c r="M42" s="73">
        <f>IF(B42=0,"",IFERROR(VLOOKUP(B42,'S-ASIG-07'!$B$5:$E$88,4,0),0))</f>
        <v>0</v>
      </c>
      <c r="N42" s="68" t="s">
        <v>147</v>
      </c>
      <c r="O42" s="71">
        <f>IF(B42=0,"",IFERROR(VLOOKUP(B42,'T-ASIG-01'!$B$5:$D$88,3,0),0))</f>
        <v>0</v>
      </c>
      <c r="P42" s="72">
        <f>IF(B42=0,"",IFERROR(VLOOKUP(B42,'T-ASIG-02'!$B$5:$D$88,3,0),0))</f>
        <v>0</v>
      </c>
      <c r="Q42" s="72">
        <f>IF(B42=0,"",IFERROR(VLOOKUP(B42,'T-ASIG-03'!$B$5:$D$88,3,0),0))</f>
        <v>0</v>
      </c>
      <c r="R42" s="72">
        <f>IF(B42=0,"",IFERROR(VLOOKUP(B42,'T-ASIG-04'!$B$5:$D$88,3,0),0))</f>
        <v>0</v>
      </c>
      <c r="S42" s="72">
        <f>IF(B42=0,"",IFERROR(VLOOKUP(B42,'T-ASIG-05'!$B$5:$D$88,3,0),0))</f>
        <v>0</v>
      </c>
      <c r="T42" s="72">
        <f>IF(B42=0,"",IFERROR(VLOOKUP(B42,'T-ASIG-06'!$B$5:$D$88,3,0),0))</f>
        <v>0</v>
      </c>
      <c r="U42" s="73">
        <f>IF(B42=0,"",IFERROR(VLOOKUP(B42,'T-ASIG-07'!$B$5:$D$88,3,0),0))</f>
        <v>0</v>
      </c>
      <c r="V42" s="69" t="s">
        <v>148</v>
      </c>
    </row>
    <row r="43" spans="1:22" ht="15" customHeight="1">
      <c r="A43" s="12">
        <v>39</v>
      </c>
      <c r="B43" s="70" t="str">
        <f>LIDER!C47</f>
        <v>DAYANA LUCIA PALLARES MENDOZA</v>
      </c>
      <c r="C43" s="64" t="str">
        <f>IF(B43=0,"",IFERROR(VLOOKUP(B43,'S-ASIG-01'!$B$5:$E$88,2,0),0))</f>
        <v>G07</v>
      </c>
      <c r="D43" s="65">
        <f t="shared" si="2"/>
        <v>3.0783333333333336</v>
      </c>
      <c r="E43" s="66">
        <f t="shared" si="3"/>
        <v>0</v>
      </c>
      <c r="F43" s="47"/>
      <c r="G43" s="71">
        <f>IF(B43=0,"",IFERROR(VLOOKUP(B43,'S-ASIG-01'!$B$5:$E$88,4,0),0))</f>
        <v>3.07</v>
      </c>
      <c r="H43" s="72">
        <f>IF(B43=0,"",IFERROR(VLOOKUP(B43,'S-ASIG-02'!$B$5:$E$88,4,0),0))</f>
        <v>2.5</v>
      </c>
      <c r="I43" s="72">
        <f>IF(B43=0,"",IFERROR(VLOOKUP(B43,'S-ASIG-03'!$B$5:$E$88,4,0),0))</f>
        <v>3.31</v>
      </c>
      <c r="J43" s="72">
        <f>IF(B43=0,"",IFERROR(VLOOKUP(B43,'S-ASIG-04'!$B$5:$E$88,4,0),0))</f>
        <v>3.1100000000000003</v>
      </c>
      <c r="K43" s="72">
        <f>IF(B43=0,"",IFERROR(VLOOKUP(B43,'S-ASIG-05'!$B$5:$E$88,4,0),0))</f>
        <v>3.6000000000000005</v>
      </c>
      <c r="L43" s="72">
        <f>IF(B43=0,"",IFERROR(VLOOKUP(B43,'S-ASIG-06'!$B$5:$E$88,4,0),0))</f>
        <v>2.8800000000000003</v>
      </c>
      <c r="M43" s="73">
        <f>IF(B43=0,"",IFERROR(VLOOKUP(B43,'S-ASIG-07'!$B$5:$E$88,4,0),0))</f>
        <v>0</v>
      </c>
      <c r="N43" s="68" t="s">
        <v>147</v>
      </c>
      <c r="O43" s="71">
        <f>IF(B43=0,"",IFERROR(VLOOKUP(B43,'T-ASIG-01'!$B$5:$D$88,3,0),0))</f>
        <v>0</v>
      </c>
      <c r="P43" s="72">
        <f>IF(B43=0,"",IFERROR(VLOOKUP(B43,'T-ASIG-02'!$B$5:$D$88,3,0),0))</f>
        <v>0</v>
      </c>
      <c r="Q43" s="72">
        <f>IF(B43=0,"",IFERROR(VLOOKUP(B43,'T-ASIG-03'!$B$5:$D$88,3,0),0))</f>
        <v>0</v>
      </c>
      <c r="R43" s="72">
        <f>IF(B43=0,"",IFERROR(VLOOKUP(B43,'T-ASIG-04'!$B$5:$D$88,3,0),0))</f>
        <v>0</v>
      </c>
      <c r="S43" s="72">
        <f>IF(B43=0,"",IFERROR(VLOOKUP(B43,'T-ASIG-05'!$B$5:$D$88,3,0),0))</f>
        <v>0</v>
      </c>
      <c r="T43" s="72">
        <f>IF(B43=0,"",IFERROR(VLOOKUP(B43,'T-ASIG-06'!$B$5:$D$88,3,0),0))</f>
        <v>0</v>
      </c>
      <c r="U43" s="73">
        <f>IF(B43=0,"",IFERROR(VLOOKUP(B43,'T-ASIG-07'!$B$5:$D$88,3,0),0))</f>
        <v>0</v>
      </c>
      <c r="V43" s="69" t="s">
        <v>148</v>
      </c>
    </row>
    <row r="44" spans="1:22" ht="15" customHeight="1">
      <c r="A44" s="12">
        <v>40</v>
      </c>
      <c r="B44" s="70" t="str">
        <f>LIDER!C48</f>
        <v>DALIA MARIA DEL CARMEN CONDE RAMIREZ</v>
      </c>
      <c r="C44" s="64" t="str">
        <f>IF(B44=0,"",IFERROR(VLOOKUP(B44,'S-ASIG-01'!$B$5:$E$88,2,0),0))</f>
        <v>G08</v>
      </c>
      <c r="D44" s="65">
        <f t="shared" si="2"/>
        <v>3.23</v>
      </c>
      <c r="E44" s="66">
        <f t="shared" si="3"/>
        <v>0</v>
      </c>
      <c r="F44" s="47"/>
      <c r="G44" s="71">
        <f>IF(B44=0,"",IFERROR(VLOOKUP(B44,'S-ASIG-01'!$B$5:$E$88,4,0),0))</f>
        <v>3.7</v>
      </c>
      <c r="H44" s="72">
        <f>IF(B44=0,"",IFERROR(VLOOKUP(B44,'S-ASIG-02'!$B$5:$E$88,4,0),0))</f>
        <v>2.5</v>
      </c>
      <c r="I44" s="72">
        <f>IF(B44=0,"",IFERROR(VLOOKUP(B44,'S-ASIG-03'!$B$5:$E$88,4,0),0))</f>
        <v>3.5500000000000003</v>
      </c>
      <c r="J44" s="72">
        <f>IF(B44=0,"",IFERROR(VLOOKUP(B44,'S-ASIG-04'!$B$5:$E$88,4,0),0))</f>
        <v>3.2500000000000004</v>
      </c>
      <c r="K44" s="72">
        <f>IF(B44=0,"",IFERROR(VLOOKUP(B44,'S-ASIG-05'!$B$5:$E$88,4,0),0))</f>
        <v>3.5000000000000004</v>
      </c>
      <c r="L44" s="72">
        <f>IF(B44=0,"",IFERROR(VLOOKUP(B44,'S-ASIG-06'!$B$5:$E$88,4,0),0))</f>
        <v>2.8800000000000003</v>
      </c>
      <c r="M44" s="73">
        <f>IF(B44=0,"",IFERROR(VLOOKUP(B44,'S-ASIG-07'!$B$5:$E$88,4,0),0))</f>
        <v>0</v>
      </c>
      <c r="N44" s="68" t="s">
        <v>147</v>
      </c>
      <c r="O44" s="71">
        <f>IF(B44=0,"",IFERROR(VLOOKUP(B44,'T-ASIG-01'!$B$5:$D$88,3,0),0))</f>
        <v>0</v>
      </c>
      <c r="P44" s="72">
        <f>IF(B44=0,"",IFERROR(VLOOKUP(B44,'T-ASIG-02'!$B$5:$D$88,3,0),0))</f>
        <v>0</v>
      </c>
      <c r="Q44" s="72">
        <f>IF(B44=0,"",IFERROR(VLOOKUP(B44,'T-ASIG-03'!$B$5:$D$88,3,0),0))</f>
        <v>0</v>
      </c>
      <c r="R44" s="72">
        <f>IF(B44=0,"",IFERROR(VLOOKUP(B44,'T-ASIG-04'!$B$5:$D$88,3,0),0))</f>
        <v>0</v>
      </c>
      <c r="S44" s="72">
        <f>IF(B44=0,"",IFERROR(VLOOKUP(B44,'T-ASIG-05'!$B$5:$D$88,3,0),0))</f>
        <v>0</v>
      </c>
      <c r="T44" s="72">
        <f>IF(B44=0,"",IFERROR(VLOOKUP(B44,'T-ASIG-06'!$B$5:$D$88,3,0),0))</f>
        <v>0</v>
      </c>
      <c r="U44" s="73">
        <f>IF(B44=0,"",IFERROR(VLOOKUP(B44,'T-ASIG-07'!$B$5:$D$88,3,0),0))</f>
        <v>0</v>
      </c>
      <c r="V44" s="69" t="s">
        <v>148</v>
      </c>
    </row>
    <row r="45" spans="1:22" ht="15" customHeight="1">
      <c r="A45" s="12">
        <v>41</v>
      </c>
      <c r="B45" s="70" t="str">
        <f>LIDER!C49</f>
        <v>ANGEL MANUEL GONZALEZ ALVAREZ</v>
      </c>
      <c r="C45" s="64" t="str">
        <f>IF(B45=0,"",IFERROR(VLOOKUP(B45,'S-ASIG-01'!$B$5:$E$88,2,0),0))</f>
        <v>G08</v>
      </c>
      <c r="D45" s="65">
        <f t="shared" si="2"/>
        <v>3.23</v>
      </c>
      <c r="E45" s="66">
        <f t="shared" si="3"/>
        <v>0</v>
      </c>
      <c r="F45" s="47"/>
      <c r="G45" s="71">
        <f>IF(B45=0,"",IFERROR(VLOOKUP(B45,'S-ASIG-01'!$B$5:$E$88,4,0),0))</f>
        <v>3.7</v>
      </c>
      <c r="H45" s="72">
        <f>IF(B45=0,"",IFERROR(VLOOKUP(B45,'S-ASIG-02'!$B$5:$E$88,4,0),0))</f>
        <v>2.5</v>
      </c>
      <c r="I45" s="72">
        <f>IF(B45=0,"",IFERROR(VLOOKUP(B45,'S-ASIG-03'!$B$5:$E$88,4,0),0))</f>
        <v>3.5500000000000003</v>
      </c>
      <c r="J45" s="72">
        <f>IF(B45=0,"",IFERROR(VLOOKUP(B45,'S-ASIG-04'!$B$5:$E$88,4,0),0))</f>
        <v>3.2500000000000004</v>
      </c>
      <c r="K45" s="72">
        <f>IF(B45=0,"",IFERROR(VLOOKUP(B45,'S-ASIG-05'!$B$5:$E$88,4,0),0))</f>
        <v>3.5000000000000004</v>
      </c>
      <c r="L45" s="72">
        <f>IF(B45=0,"",IFERROR(VLOOKUP(B45,'S-ASIG-06'!$B$5:$E$88,4,0),0))</f>
        <v>2.8800000000000003</v>
      </c>
      <c r="M45" s="73">
        <f>IF(B45=0,"",IFERROR(VLOOKUP(B45,'S-ASIG-07'!$B$5:$E$88,4,0),0))</f>
        <v>0</v>
      </c>
      <c r="N45" s="68" t="s">
        <v>147</v>
      </c>
      <c r="O45" s="71">
        <f>IF(B45=0,"",IFERROR(VLOOKUP(B45,'T-ASIG-01'!$B$5:$D$88,3,0),0))</f>
        <v>0</v>
      </c>
      <c r="P45" s="72">
        <f>IF(B45=0,"",IFERROR(VLOOKUP(B45,'T-ASIG-02'!$B$5:$D$88,3,0),0))</f>
        <v>0</v>
      </c>
      <c r="Q45" s="72">
        <f>IF(B45=0,"",IFERROR(VLOOKUP(B45,'T-ASIG-03'!$B$5:$D$88,3,0),0))</f>
        <v>0</v>
      </c>
      <c r="R45" s="72">
        <f>IF(B45=0,"",IFERROR(VLOOKUP(B45,'T-ASIG-04'!$B$5:$D$88,3,0),0))</f>
        <v>0</v>
      </c>
      <c r="S45" s="72">
        <f>IF(B45=0,"",IFERROR(VLOOKUP(B45,'T-ASIG-05'!$B$5:$D$88,3,0),0))</f>
        <v>0</v>
      </c>
      <c r="T45" s="72">
        <f>IF(B45=0,"",IFERROR(VLOOKUP(B45,'T-ASIG-06'!$B$5:$D$88,3,0),0))</f>
        <v>0</v>
      </c>
      <c r="U45" s="73">
        <f>IF(B45=0,"",IFERROR(VLOOKUP(B45,'T-ASIG-07'!$B$5:$D$88,3,0),0))</f>
        <v>0</v>
      </c>
      <c r="V45" s="69" t="s">
        <v>148</v>
      </c>
    </row>
    <row r="46" spans="1:22" ht="15" customHeight="1">
      <c r="A46" s="12">
        <v>42</v>
      </c>
      <c r="B46" s="70" t="str">
        <f>LIDER!C50</f>
        <v>DAINY CAROLINA OLEA TORRES</v>
      </c>
      <c r="C46" s="64" t="str">
        <f>IF(B46=0,"",IFERROR(VLOOKUP(B46,'S-ASIG-01'!$B$5:$E$88,2,0),0))</f>
        <v>G08</v>
      </c>
      <c r="D46" s="65">
        <f t="shared" si="2"/>
        <v>3.23</v>
      </c>
      <c r="E46" s="66">
        <f t="shared" si="3"/>
        <v>0</v>
      </c>
      <c r="F46" s="47"/>
      <c r="G46" s="71">
        <f>IF(B46=0,"",IFERROR(VLOOKUP(B46,'S-ASIG-01'!$B$5:$E$88,4,0),0))</f>
        <v>3.7</v>
      </c>
      <c r="H46" s="72">
        <f>IF(B46=0,"",IFERROR(VLOOKUP(B46,'S-ASIG-02'!$B$5:$E$88,4,0),0))</f>
        <v>2.5</v>
      </c>
      <c r="I46" s="72">
        <f>IF(B46=0,"",IFERROR(VLOOKUP(B46,'S-ASIG-03'!$B$5:$E$88,4,0),0))</f>
        <v>3.5500000000000003</v>
      </c>
      <c r="J46" s="72">
        <f>IF(B46=0,"",IFERROR(VLOOKUP(B46,'S-ASIG-04'!$B$5:$E$88,4,0),0))</f>
        <v>3.2500000000000004</v>
      </c>
      <c r="K46" s="72">
        <f>IF(B46=0,"",IFERROR(VLOOKUP(B46,'S-ASIG-05'!$B$5:$E$88,4,0),0))</f>
        <v>3.5000000000000004</v>
      </c>
      <c r="L46" s="72">
        <f>IF(B46=0,"",IFERROR(VLOOKUP(B46,'S-ASIG-06'!$B$5:$E$88,4,0),0))</f>
        <v>2.8800000000000003</v>
      </c>
      <c r="M46" s="73">
        <f>IF(B46=0,"",IFERROR(VLOOKUP(B46,'S-ASIG-07'!$B$5:$E$88,4,0),0))</f>
        <v>0</v>
      </c>
      <c r="N46" s="68" t="s">
        <v>147</v>
      </c>
      <c r="O46" s="71">
        <f>IF(B46=0,"",IFERROR(VLOOKUP(B46,'T-ASIG-01'!$B$5:$D$88,3,0),0))</f>
        <v>0</v>
      </c>
      <c r="P46" s="72">
        <f>IF(B46=0,"",IFERROR(VLOOKUP(B46,'T-ASIG-02'!$B$5:$D$88,3,0),0))</f>
        <v>0</v>
      </c>
      <c r="Q46" s="72">
        <f>IF(B46=0,"",IFERROR(VLOOKUP(B46,'T-ASIG-03'!$B$5:$D$88,3,0),0))</f>
        <v>0</v>
      </c>
      <c r="R46" s="72">
        <f>IF(B46=0,"",IFERROR(VLOOKUP(B46,'T-ASIG-04'!$B$5:$D$88,3,0),0))</f>
        <v>0</v>
      </c>
      <c r="S46" s="72">
        <f>IF(B46=0,"",IFERROR(VLOOKUP(B46,'T-ASIG-05'!$B$5:$D$88,3,0),0))</f>
        <v>0</v>
      </c>
      <c r="T46" s="72">
        <f>IF(B46=0,"",IFERROR(VLOOKUP(B46,'T-ASIG-06'!$B$5:$D$88,3,0),0))</f>
        <v>0</v>
      </c>
      <c r="U46" s="73">
        <f>IF(B46=0,"",IFERROR(VLOOKUP(B46,'T-ASIG-07'!$B$5:$D$88,3,0),0))</f>
        <v>0</v>
      </c>
      <c r="V46" s="69" t="s">
        <v>148</v>
      </c>
    </row>
    <row r="47" spans="1:22" ht="15" customHeight="1">
      <c r="A47" s="12">
        <v>43</v>
      </c>
      <c r="B47" s="70" t="str">
        <f>LIDER!C51</f>
        <v>ANDRÉS ESTEBAN VÁSQUEZ GONZÁLEZ</v>
      </c>
      <c r="C47" s="64" t="str">
        <f>IF(B47=0,"",IFERROR(VLOOKUP(B47,'S-ASIG-01'!$B$5:$E$88,2,0),0))</f>
        <v>G08</v>
      </c>
      <c r="D47" s="65">
        <f t="shared" si="2"/>
        <v>3.23</v>
      </c>
      <c r="E47" s="66">
        <f t="shared" si="3"/>
        <v>0</v>
      </c>
      <c r="F47" s="47"/>
      <c r="G47" s="71">
        <f>IF(B47=0,"",IFERROR(VLOOKUP(B47,'S-ASIG-01'!$B$5:$E$88,4,0),0))</f>
        <v>3.7</v>
      </c>
      <c r="H47" s="72">
        <f>IF(B47=0,"",IFERROR(VLOOKUP(B47,'S-ASIG-02'!$B$5:$E$88,4,0),0))</f>
        <v>2.5</v>
      </c>
      <c r="I47" s="72">
        <f>IF(B47=0,"",IFERROR(VLOOKUP(B47,'S-ASIG-03'!$B$5:$E$88,4,0),0))</f>
        <v>3.5500000000000003</v>
      </c>
      <c r="J47" s="72">
        <f>IF(B47=0,"",IFERROR(VLOOKUP(B47,'S-ASIG-04'!$B$5:$E$88,4,0),0))</f>
        <v>3.2500000000000004</v>
      </c>
      <c r="K47" s="72">
        <f>IF(B47=0,"",IFERROR(VLOOKUP(B47,'S-ASIG-05'!$B$5:$E$88,4,0),0))</f>
        <v>3.5000000000000004</v>
      </c>
      <c r="L47" s="72">
        <f>IF(B47=0,"",IFERROR(VLOOKUP(B47,'S-ASIG-06'!$B$5:$E$88,4,0),0))</f>
        <v>2.8800000000000003</v>
      </c>
      <c r="M47" s="73">
        <f>IF(B47=0,"",IFERROR(VLOOKUP(B47,'S-ASIG-07'!$B$5:$E$88,4,0),0))</f>
        <v>0</v>
      </c>
      <c r="N47" s="68" t="s">
        <v>147</v>
      </c>
      <c r="O47" s="71">
        <f>IF(B47=0,"",IFERROR(VLOOKUP(B47,'T-ASIG-01'!$B$5:$D$88,3,0),0))</f>
        <v>0</v>
      </c>
      <c r="P47" s="72">
        <f>IF(B47=0,"",IFERROR(VLOOKUP(B47,'T-ASIG-02'!$B$5:$D$88,3,0),0))</f>
        <v>0</v>
      </c>
      <c r="Q47" s="72">
        <f>IF(B47=0,"",IFERROR(VLOOKUP(B47,'T-ASIG-03'!$B$5:$D$88,3,0),0))</f>
        <v>0</v>
      </c>
      <c r="R47" s="72">
        <f>IF(B47=0,"",IFERROR(VLOOKUP(B47,'T-ASIG-04'!$B$5:$D$88,3,0),0))</f>
        <v>0</v>
      </c>
      <c r="S47" s="72">
        <f>IF(B47=0,"",IFERROR(VLOOKUP(B47,'T-ASIG-05'!$B$5:$D$88,3,0),0))</f>
        <v>0</v>
      </c>
      <c r="T47" s="72">
        <f>IF(B47=0,"",IFERROR(VLOOKUP(B47,'T-ASIG-06'!$B$5:$D$88,3,0),0))</f>
        <v>0</v>
      </c>
      <c r="U47" s="73">
        <f>IF(B47=0,"",IFERROR(VLOOKUP(B47,'T-ASIG-07'!$B$5:$D$88,3,0),0))</f>
        <v>0</v>
      </c>
      <c r="V47" s="69" t="s">
        <v>148</v>
      </c>
    </row>
    <row r="48" spans="1:22" ht="15" customHeight="1">
      <c r="A48" s="12">
        <v>44</v>
      </c>
      <c r="B48" s="70" t="str">
        <f>LIDER!C52</f>
        <v>JOSE EDUARDO ARRIETA MEJIA</v>
      </c>
      <c r="C48" s="64" t="str">
        <f>IF(B48=0,"",IFERROR(VLOOKUP(B48,'S-ASIG-01'!$B$5:$E$88,2,0),0))</f>
        <v>G09</v>
      </c>
      <c r="D48" s="65">
        <f t="shared" si="2"/>
        <v>3.8166666666666669</v>
      </c>
      <c r="E48" s="66">
        <f t="shared" si="3"/>
        <v>0</v>
      </c>
      <c r="F48" s="47"/>
      <c r="G48" s="71">
        <f>IF(B48=0,"",IFERROR(VLOOKUP(B48,'S-ASIG-01'!$B$5:$E$88,4,0),0))</f>
        <v>4.2300000000000004</v>
      </c>
      <c r="H48" s="72">
        <f>IF(B48=0,"",IFERROR(VLOOKUP(B48,'S-ASIG-02'!$B$5:$E$88,4,0),0))</f>
        <v>3.5000000000000009</v>
      </c>
      <c r="I48" s="72">
        <f>IF(B48=0,"",IFERROR(VLOOKUP(B48,'S-ASIG-03'!$B$5:$E$88,4,0),0))</f>
        <v>3.9000000000000004</v>
      </c>
      <c r="J48" s="72">
        <f>IF(B48=0,"",IFERROR(VLOOKUP(B48,'S-ASIG-04'!$B$5:$E$88,4,0),0))</f>
        <v>3.67</v>
      </c>
      <c r="K48" s="72">
        <f>IF(B48=0,"",IFERROR(VLOOKUP(B48,'S-ASIG-05'!$B$5:$E$88,4,0),0))</f>
        <v>3.6000000000000005</v>
      </c>
      <c r="L48" s="72">
        <f>IF(B48=0,"",IFERROR(VLOOKUP(B48,'S-ASIG-06'!$B$5:$E$88,4,0),0))</f>
        <v>4</v>
      </c>
      <c r="M48" s="73">
        <f>IF(B48=0,"",IFERROR(VLOOKUP(B48,'S-ASIG-07'!$B$5:$E$88,4,0),0))</f>
        <v>0</v>
      </c>
      <c r="N48" s="68" t="s">
        <v>147</v>
      </c>
      <c r="O48" s="71">
        <f>IF(B48=0,"",IFERROR(VLOOKUP(B48,'T-ASIG-01'!$B$5:$D$88,3,0),0))</f>
        <v>0</v>
      </c>
      <c r="P48" s="72">
        <f>IF(B48=0,"",IFERROR(VLOOKUP(B48,'T-ASIG-02'!$B$5:$D$88,3,0),0))</f>
        <v>0</v>
      </c>
      <c r="Q48" s="72">
        <f>IF(B48=0,"",IFERROR(VLOOKUP(B48,'T-ASIG-03'!$B$5:$D$88,3,0),0))</f>
        <v>0</v>
      </c>
      <c r="R48" s="72">
        <f>IF(B48=0,"",IFERROR(VLOOKUP(B48,'T-ASIG-04'!$B$5:$D$88,3,0),0))</f>
        <v>0</v>
      </c>
      <c r="S48" s="72">
        <f>IF(B48=0,"",IFERROR(VLOOKUP(B48,'T-ASIG-05'!$B$5:$D$88,3,0),0))</f>
        <v>0</v>
      </c>
      <c r="T48" s="72">
        <f>IF(B48=0,"",IFERROR(VLOOKUP(B48,'T-ASIG-06'!$B$5:$D$88,3,0),0))</f>
        <v>0</v>
      </c>
      <c r="U48" s="73">
        <f>IF(B48=0,"",IFERROR(VLOOKUP(B48,'T-ASIG-07'!$B$5:$D$88,3,0),0))</f>
        <v>0</v>
      </c>
      <c r="V48" s="69" t="s">
        <v>148</v>
      </c>
    </row>
    <row r="49" spans="1:22" ht="15" customHeight="1">
      <c r="A49" s="12">
        <v>45</v>
      </c>
      <c r="B49" s="70" t="str">
        <f>LIDER!C53</f>
        <v>VALENTINA BERRIO LOPEZ</v>
      </c>
      <c r="C49" s="64" t="str">
        <f>IF(B49=0,"",IFERROR(VLOOKUP(B49,'S-ASIG-01'!$B$5:$E$88,2,0),0))</f>
        <v>G09</v>
      </c>
      <c r="D49" s="65">
        <f t="shared" si="2"/>
        <v>3.8166666666666669</v>
      </c>
      <c r="E49" s="66">
        <f t="shared" si="3"/>
        <v>0</v>
      </c>
      <c r="F49" s="47"/>
      <c r="G49" s="71">
        <f>IF(B49=0,"",IFERROR(VLOOKUP(B49,'S-ASIG-01'!$B$5:$E$88,4,0),0))</f>
        <v>4.2300000000000004</v>
      </c>
      <c r="H49" s="72">
        <f>IF(B49=0,"",IFERROR(VLOOKUP(B49,'S-ASIG-02'!$B$5:$E$88,4,0),0))</f>
        <v>3.5000000000000009</v>
      </c>
      <c r="I49" s="72">
        <f>IF(B49=0,"",IFERROR(VLOOKUP(B49,'S-ASIG-03'!$B$5:$E$88,4,0),0))</f>
        <v>3.9000000000000004</v>
      </c>
      <c r="J49" s="72">
        <f>IF(B49=0,"",IFERROR(VLOOKUP(B49,'S-ASIG-04'!$B$5:$E$88,4,0),0))</f>
        <v>3.67</v>
      </c>
      <c r="K49" s="72">
        <f>IF(B49=0,"",IFERROR(VLOOKUP(B49,'S-ASIG-05'!$B$5:$E$88,4,0),0))</f>
        <v>3.6000000000000005</v>
      </c>
      <c r="L49" s="72">
        <f>IF(B49=0,"",IFERROR(VLOOKUP(B49,'S-ASIG-06'!$B$5:$E$88,4,0),0))</f>
        <v>4</v>
      </c>
      <c r="M49" s="73">
        <f>IF(B49=0,"",IFERROR(VLOOKUP(B49,'S-ASIG-07'!$B$5:$E$88,4,0),0))</f>
        <v>0</v>
      </c>
      <c r="N49" s="68" t="s">
        <v>147</v>
      </c>
      <c r="O49" s="71">
        <f>IF(B49=0,"",IFERROR(VLOOKUP(B49,'T-ASIG-01'!$B$5:$D$88,3,0),0))</f>
        <v>0</v>
      </c>
      <c r="P49" s="72">
        <f>IF(B49=0,"",IFERROR(VLOOKUP(B49,'T-ASIG-02'!$B$5:$D$88,3,0),0))</f>
        <v>0</v>
      </c>
      <c r="Q49" s="72">
        <f>IF(B49=0,"",IFERROR(VLOOKUP(B49,'T-ASIG-03'!$B$5:$D$88,3,0),0))</f>
        <v>0</v>
      </c>
      <c r="R49" s="72">
        <f>IF(B49=0,"",IFERROR(VLOOKUP(B49,'T-ASIG-04'!$B$5:$D$88,3,0),0))</f>
        <v>0</v>
      </c>
      <c r="S49" s="72">
        <f>IF(B49=0,"",IFERROR(VLOOKUP(B49,'T-ASIG-05'!$B$5:$D$88,3,0),0))</f>
        <v>0</v>
      </c>
      <c r="T49" s="72">
        <f>IF(B49=0,"",IFERROR(VLOOKUP(B49,'T-ASIG-06'!$B$5:$D$88,3,0),0))</f>
        <v>0</v>
      </c>
      <c r="U49" s="73">
        <f>IF(B49=0,"",IFERROR(VLOOKUP(B49,'T-ASIG-07'!$B$5:$D$88,3,0),0))</f>
        <v>0</v>
      </c>
      <c r="V49" s="69" t="s">
        <v>148</v>
      </c>
    </row>
    <row r="50" spans="1:22" ht="15" customHeight="1">
      <c r="A50" s="12">
        <v>46</v>
      </c>
      <c r="B50" s="70" t="str">
        <f>LIDER!C54</f>
        <v>SANTIAGO BOHÓRQUEZ CANTERO</v>
      </c>
      <c r="C50" s="64" t="str">
        <f>IF(B50=0,"",IFERROR(VLOOKUP(B50,'S-ASIG-01'!$B$5:$E$88,2,0),0))</f>
        <v>G09</v>
      </c>
      <c r="D50" s="65">
        <f t="shared" si="2"/>
        <v>3.8166666666666669</v>
      </c>
      <c r="E50" s="66">
        <f t="shared" si="3"/>
        <v>0</v>
      </c>
      <c r="F50" s="47"/>
      <c r="G50" s="71">
        <f>IF(B50=0,"",IFERROR(VLOOKUP(B50,'S-ASIG-01'!$B$5:$E$88,4,0),0))</f>
        <v>4.2300000000000004</v>
      </c>
      <c r="H50" s="72">
        <f>IF(B50=0,"",IFERROR(VLOOKUP(B50,'S-ASIG-02'!$B$5:$E$88,4,0),0))</f>
        <v>3.5000000000000009</v>
      </c>
      <c r="I50" s="72">
        <f>IF(B50=0,"",IFERROR(VLOOKUP(B50,'S-ASIG-03'!$B$5:$E$88,4,0),0))</f>
        <v>3.9000000000000004</v>
      </c>
      <c r="J50" s="72">
        <f>IF(B50=0,"",IFERROR(VLOOKUP(B50,'S-ASIG-04'!$B$5:$E$88,4,0),0))</f>
        <v>3.67</v>
      </c>
      <c r="K50" s="72">
        <f>IF(B50=0,"",IFERROR(VLOOKUP(B50,'S-ASIG-05'!$B$5:$E$88,4,0),0))</f>
        <v>3.6000000000000005</v>
      </c>
      <c r="L50" s="72">
        <f>IF(B50=0,"",IFERROR(VLOOKUP(B50,'S-ASIG-06'!$B$5:$E$88,4,0),0))</f>
        <v>4</v>
      </c>
      <c r="M50" s="73">
        <f>IF(B50=0,"",IFERROR(VLOOKUP(B50,'S-ASIG-07'!$B$5:$E$88,4,0),0))</f>
        <v>0</v>
      </c>
      <c r="N50" s="68" t="s">
        <v>147</v>
      </c>
      <c r="O50" s="71">
        <f>IF(B50=0,"",IFERROR(VLOOKUP(B50,'T-ASIG-01'!$B$5:$D$88,3,0),0))</f>
        <v>0</v>
      </c>
      <c r="P50" s="72">
        <f>IF(B50=0,"",IFERROR(VLOOKUP(B50,'T-ASIG-02'!$B$5:$D$88,3,0),0))</f>
        <v>0</v>
      </c>
      <c r="Q50" s="72">
        <f>IF(B50=0,"",IFERROR(VLOOKUP(B50,'T-ASIG-03'!$B$5:$D$88,3,0),0))</f>
        <v>0</v>
      </c>
      <c r="R50" s="72">
        <f>IF(B50=0,"",IFERROR(VLOOKUP(B50,'T-ASIG-04'!$B$5:$D$88,3,0),0))</f>
        <v>0</v>
      </c>
      <c r="S50" s="72">
        <f>IF(B50=0,"",IFERROR(VLOOKUP(B50,'T-ASIG-05'!$B$5:$D$88,3,0),0))</f>
        <v>0</v>
      </c>
      <c r="T50" s="72">
        <f>IF(B50=0,"",IFERROR(VLOOKUP(B50,'T-ASIG-06'!$B$5:$D$88,3,0),0))</f>
        <v>0</v>
      </c>
      <c r="U50" s="73">
        <f>IF(B50=0,"",IFERROR(VLOOKUP(B50,'T-ASIG-07'!$B$5:$D$88,3,0),0))</f>
        <v>0</v>
      </c>
      <c r="V50" s="69" t="s">
        <v>148</v>
      </c>
    </row>
    <row r="51" spans="1:22" ht="15" customHeight="1">
      <c r="A51" s="12">
        <v>47</v>
      </c>
      <c r="B51" s="70" t="str">
        <f>LIDER!C55</f>
        <v>NICOLE ANTHONELLA CAMPOS ABREU</v>
      </c>
      <c r="C51" s="64" t="str">
        <f>IF(B51=0,"",IFERROR(VLOOKUP(B51,'S-ASIG-01'!$B$5:$E$88,2,0),0))</f>
        <v>G09</v>
      </c>
      <c r="D51" s="65">
        <f t="shared" si="2"/>
        <v>3.8166666666666669</v>
      </c>
      <c r="E51" s="66">
        <f t="shared" si="3"/>
        <v>0</v>
      </c>
      <c r="F51" s="47"/>
      <c r="G51" s="71">
        <f>IF(B51=0,"",IFERROR(VLOOKUP(B51,'S-ASIG-01'!$B$5:$E$88,4,0),0))</f>
        <v>4.2300000000000004</v>
      </c>
      <c r="H51" s="72">
        <f>IF(B51=0,"",IFERROR(VLOOKUP(B51,'S-ASIG-02'!$B$5:$E$88,4,0),0))</f>
        <v>3.5000000000000009</v>
      </c>
      <c r="I51" s="72">
        <f>IF(B51=0,"",IFERROR(VLOOKUP(B51,'S-ASIG-03'!$B$5:$E$88,4,0),0))</f>
        <v>3.9000000000000004</v>
      </c>
      <c r="J51" s="72">
        <f>IF(B51=0,"",IFERROR(VLOOKUP(B51,'S-ASIG-04'!$B$5:$E$88,4,0),0))</f>
        <v>3.67</v>
      </c>
      <c r="K51" s="72">
        <f>IF(B51=0,"",IFERROR(VLOOKUP(B51,'S-ASIG-05'!$B$5:$E$88,4,0),0))</f>
        <v>3.6000000000000005</v>
      </c>
      <c r="L51" s="72">
        <f>IF(B51=0,"",IFERROR(VLOOKUP(B51,'S-ASIG-06'!$B$5:$E$88,4,0),0))</f>
        <v>4</v>
      </c>
      <c r="M51" s="73">
        <f>IF(B51=0,"",IFERROR(VLOOKUP(B51,'S-ASIG-07'!$B$5:$E$88,4,0),0))</f>
        <v>0</v>
      </c>
      <c r="N51" s="68" t="s">
        <v>147</v>
      </c>
      <c r="O51" s="71">
        <f>IF(B51=0,"",IFERROR(VLOOKUP(B51,'T-ASIG-01'!$B$5:$D$88,3,0),0))</f>
        <v>0</v>
      </c>
      <c r="P51" s="72">
        <f>IF(B51=0,"",IFERROR(VLOOKUP(B51,'T-ASIG-02'!$B$5:$D$88,3,0),0))</f>
        <v>0</v>
      </c>
      <c r="Q51" s="72">
        <f>IF(B51=0,"",IFERROR(VLOOKUP(B51,'T-ASIG-03'!$B$5:$D$88,3,0),0))</f>
        <v>0</v>
      </c>
      <c r="R51" s="72">
        <f>IF(B51=0,"",IFERROR(VLOOKUP(B51,'T-ASIG-04'!$B$5:$D$88,3,0),0))</f>
        <v>0</v>
      </c>
      <c r="S51" s="72">
        <f>IF(B51=0,"",IFERROR(VLOOKUP(B51,'T-ASIG-05'!$B$5:$D$88,3,0),0))</f>
        <v>0</v>
      </c>
      <c r="T51" s="72">
        <f>IF(B51=0,"",IFERROR(VLOOKUP(B51,'T-ASIG-06'!$B$5:$D$88,3,0),0))</f>
        <v>0</v>
      </c>
      <c r="U51" s="73">
        <f>IF(B51=0,"",IFERROR(VLOOKUP(B51,'T-ASIG-07'!$B$5:$D$88,3,0),0))</f>
        <v>0</v>
      </c>
      <c r="V51" s="69" t="s">
        <v>148</v>
      </c>
    </row>
    <row r="52" spans="1:22" ht="15" customHeight="1">
      <c r="A52" s="12">
        <v>48</v>
      </c>
      <c r="B52" s="70" t="str">
        <f>LIDER!C56</f>
        <v>DELIA ROSA GARCIA DIAZ</v>
      </c>
      <c r="C52" s="64" t="str">
        <f>IF(B52=0,"",IFERROR(VLOOKUP(B52,'S-ASIG-01'!$B$5:$E$88,2,0),0))</f>
        <v>G09</v>
      </c>
      <c r="D52" s="65">
        <f t="shared" si="2"/>
        <v>3.8166666666666669</v>
      </c>
      <c r="E52" s="66">
        <f t="shared" si="3"/>
        <v>0</v>
      </c>
      <c r="F52" s="47"/>
      <c r="G52" s="71">
        <f>IF(B52=0,"",IFERROR(VLOOKUP(B52,'S-ASIG-01'!$B$5:$E$88,4,0),0))</f>
        <v>4.2300000000000004</v>
      </c>
      <c r="H52" s="72">
        <f>IF(B52=0,"",IFERROR(VLOOKUP(B52,'S-ASIG-02'!$B$5:$E$88,4,0),0))</f>
        <v>3.5000000000000009</v>
      </c>
      <c r="I52" s="72">
        <f>IF(B52=0,"",IFERROR(VLOOKUP(B52,'S-ASIG-03'!$B$5:$E$88,4,0),0))</f>
        <v>3.9000000000000004</v>
      </c>
      <c r="J52" s="72">
        <f>IF(B52=0,"",IFERROR(VLOOKUP(B52,'S-ASIG-04'!$B$5:$E$88,4,0),0))</f>
        <v>3.67</v>
      </c>
      <c r="K52" s="72">
        <f>IF(B52=0,"",IFERROR(VLOOKUP(B52,'S-ASIG-05'!$B$5:$E$88,4,0),0))</f>
        <v>3.6000000000000005</v>
      </c>
      <c r="L52" s="72">
        <f>IF(B52=0,"",IFERROR(VLOOKUP(B52,'S-ASIG-06'!$B$5:$E$88,4,0),0))</f>
        <v>4</v>
      </c>
      <c r="M52" s="73">
        <f>IF(B52=0,"",IFERROR(VLOOKUP(B52,'S-ASIG-07'!$B$5:$E$88,4,0),0))</f>
        <v>0</v>
      </c>
      <c r="N52" s="68" t="s">
        <v>147</v>
      </c>
      <c r="O52" s="71">
        <f>IF(B52=0,"",IFERROR(VLOOKUP(B52,'T-ASIG-01'!$B$5:$D$88,3,0),0))</f>
        <v>0</v>
      </c>
      <c r="P52" s="72">
        <f>IF(B52=0,"",IFERROR(VLOOKUP(B52,'T-ASIG-02'!$B$5:$D$88,3,0),0))</f>
        <v>0</v>
      </c>
      <c r="Q52" s="72">
        <f>IF(B52=0,"",IFERROR(VLOOKUP(B52,'T-ASIG-03'!$B$5:$D$88,3,0),0))</f>
        <v>0</v>
      </c>
      <c r="R52" s="72">
        <f>IF(B52=0,"",IFERROR(VLOOKUP(B52,'T-ASIG-04'!$B$5:$D$88,3,0),0))</f>
        <v>0</v>
      </c>
      <c r="S52" s="72">
        <f>IF(B52=0,"",IFERROR(VLOOKUP(B52,'T-ASIG-05'!$B$5:$D$88,3,0),0))</f>
        <v>0</v>
      </c>
      <c r="T52" s="72">
        <f>IF(B52=0,"",IFERROR(VLOOKUP(B52,'T-ASIG-06'!$B$5:$D$88,3,0),0))</f>
        <v>0</v>
      </c>
      <c r="U52" s="73">
        <f>IF(B52=0,"",IFERROR(VLOOKUP(B52,'T-ASIG-07'!$B$5:$D$88,3,0),0))</f>
        <v>0</v>
      </c>
      <c r="V52" s="69" t="s">
        <v>148</v>
      </c>
    </row>
    <row r="53" spans="1:22" ht="15" customHeight="1">
      <c r="A53" s="12">
        <v>49</v>
      </c>
      <c r="B53" s="70" t="str">
        <f>LIDER!C57</f>
        <v>SAMUEL DAVID PÉREZ MUÑOZ</v>
      </c>
      <c r="C53" s="64" t="str">
        <f>IF(B53=0,"",IFERROR(VLOOKUP(B53,'S-ASIG-01'!$B$5:$E$88,2,0),0))</f>
        <v>G09</v>
      </c>
      <c r="D53" s="65">
        <f t="shared" si="2"/>
        <v>3.8166666666666669</v>
      </c>
      <c r="E53" s="66">
        <f t="shared" si="3"/>
        <v>0</v>
      </c>
      <c r="F53" s="47"/>
      <c r="G53" s="71">
        <f>IF(B53=0,"",IFERROR(VLOOKUP(B53,'S-ASIG-01'!$B$5:$E$88,4,0),0))</f>
        <v>4.2300000000000004</v>
      </c>
      <c r="H53" s="72">
        <f>IF(B53=0,"",IFERROR(VLOOKUP(B53,'S-ASIG-02'!$B$5:$E$88,4,0),0))</f>
        <v>3.5000000000000009</v>
      </c>
      <c r="I53" s="72">
        <f>IF(B53=0,"",IFERROR(VLOOKUP(B53,'S-ASIG-03'!$B$5:$E$88,4,0),0))</f>
        <v>3.9000000000000004</v>
      </c>
      <c r="J53" s="72">
        <f>IF(B53=0,"",IFERROR(VLOOKUP(B53,'S-ASIG-04'!$B$5:$E$88,4,0),0))</f>
        <v>3.67</v>
      </c>
      <c r="K53" s="72">
        <f>IF(B53=0,"",IFERROR(VLOOKUP(B53,'S-ASIG-05'!$B$5:$E$88,4,0),0))</f>
        <v>3.6000000000000005</v>
      </c>
      <c r="L53" s="72">
        <f>IF(B53=0,"",IFERROR(VLOOKUP(B53,'S-ASIG-06'!$B$5:$E$88,4,0),0))</f>
        <v>4</v>
      </c>
      <c r="M53" s="73">
        <f>IF(B53=0,"",IFERROR(VLOOKUP(B53,'S-ASIG-07'!$B$5:$E$88,4,0),0))</f>
        <v>0</v>
      </c>
      <c r="N53" s="68" t="s">
        <v>147</v>
      </c>
      <c r="O53" s="71">
        <f>IF(B53=0,"",IFERROR(VLOOKUP(B53,'T-ASIG-01'!$B$5:$D$88,3,0),0))</f>
        <v>0</v>
      </c>
      <c r="P53" s="72">
        <f>IF(B53=0,"",IFERROR(VLOOKUP(B53,'T-ASIG-02'!$B$5:$D$88,3,0),0))</f>
        <v>0</v>
      </c>
      <c r="Q53" s="72">
        <f>IF(B53=0,"",IFERROR(VLOOKUP(B53,'T-ASIG-03'!$B$5:$D$88,3,0),0))</f>
        <v>0</v>
      </c>
      <c r="R53" s="72">
        <f>IF(B53=0,"",IFERROR(VLOOKUP(B53,'T-ASIG-04'!$B$5:$D$88,3,0),0))</f>
        <v>0</v>
      </c>
      <c r="S53" s="72">
        <f>IF(B53=0,"",IFERROR(VLOOKUP(B53,'T-ASIG-05'!$B$5:$D$88,3,0),0))</f>
        <v>0</v>
      </c>
      <c r="T53" s="72">
        <f>IF(B53=0,"",IFERROR(VLOOKUP(B53,'T-ASIG-06'!$B$5:$D$88,3,0),0))</f>
        <v>0</v>
      </c>
      <c r="U53" s="73">
        <f>IF(B53=0,"",IFERROR(VLOOKUP(B53,'T-ASIG-07'!$B$5:$D$88,3,0),0))</f>
        <v>0</v>
      </c>
      <c r="V53" s="69" t="s">
        <v>148</v>
      </c>
    </row>
    <row r="54" spans="1:22" ht="15" customHeight="1" thickBot="1">
      <c r="A54" s="15">
        <v>50</v>
      </c>
      <c r="B54" s="74" t="str">
        <f>LIDER!C58</f>
        <v>KEILYS JHOANA DE ÁVILA FONTALVO</v>
      </c>
      <c r="C54" s="75" t="str">
        <f>IF(B54=0,"",IFERROR(VLOOKUP(B54,'S-ASIG-01'!$B$5:$E$88,2,0),0))</f>
        <v>G04</v>
      </c>
      <c r="D54" s="76">
        <f t="shared" si="2"/>
        <v>3.2450000000000006</v>
      </c>
      <c r="E54" s="77">
        <f t="shared" si="3"/>
        <v>0</v>
      </c>
      <c r="F54" s="47"/>
      <c r="G54" s="78">
        <f>IF(B54=0,"",IFERROR(VLOOKUP(B54,'S-ASIG-01'!$B$5:$E$88,4,0),0))</f>
        <v>3.0700000000000003</v>
      </c>
      <c r="H54" s="79">
        <f>IF(B54=0,"",IFERROR(VLOOKUP(B54,'S-ASIG-02'!$B$5:$E$88,4,0),0))</f>
        <v>2.8</v>
      </c>
      <c r="I54" s="79">
        <f>IF(B54=0,"",IFERROR(VLOOKUP(B54,'S-ASIG-03'!$B$5:$E$88,4,0),0))</f>
        <v>3.4500000000000006</v>
      </c>
      <c r="J54" s="79">
        <f>IF(B54=0,"",IFERROR(VLOOKUP(B54,'S-ASIG-04'!$B$5:$E$88,4,0),0))</f>
        <v>3.3000000000000007</v>
      </c>
      <c r="K54" s="79">
        <f>IF(B54=0,"",IFERROR(VLOOKUP(B54,'S-ASIG-05'!$B$5:$E$88,4,0),0))</f>
        <v>3.6000000000000005</v>
      </c>
      <c r="L54" s="79">
        <f>IF(B54=0,"",IFERROR(VLOOKUP(B54,'S-ASIG-06'!$B$5:$E$88,4,0),0))</f>
        <v>3.25</v>
      </c>
      <c r="M54" s="80">
        <f>IF(B54=0,"",IFERROR(VLOOKUP(B54,'S-ASIG-07'!$B$5:$E$88,4,0),0))</f>
        <v>0</v>
      </c>
      <c r="N54" s="68" t="s">
        <v>147</v>
      </c>
      <c r="O54" s="78">
        <f>IF(B54=0,"",IFERROR(VLOOKUP(B54,'T-ASIG-01'!$B$5:$D$88,3,0),0))</f>
        <v>0</v>
      </c>
      <c r="P54" s="79">
        <f>IF(B54=0,"",IFERROR(VLOOKUP(B54,'T-ASIG-02'!$B$5:$D$88,3,0),0))</f>
        <v>0</v>
      </c>
      <c r="Q54" s="79">
        <f>IF(B54=0,"",IFERROR(VLOOKUP(B54,'T-ASIG-03'!$B$5:$D$88,3,0),0))</f>
        <v>0</v>
      </c>
      <c r="R54" s="79">
        <f>IF(B54=0,"",IFERROR(VLOOKUP(B54,'T-ASIG-04'!$B$5:$D$88,3,0),0))</f>
        <v>0</v>
      </c>
      <c r="S54" s="79">
        <f>IF(B54=0,"",IFERROR(VLOOKUP(B54,'T-ASIG-05'!$B$5:$D$88,3,0),0))</f>
        <v>0</v>
      </c>
      <c r="T54" s="79">
        <f>IF(B54=0,"",IFERROR(VLOOKUP(B54,'T-ASIG-06'!$B$5:$D$88,3,0),0))</f>
        <v>0</v>
      </c>
      <c r="U54" s="80">
        <f>IF(B54=0,"",IFERROR(VLOOKUP(B54,'T-ASIG-07'!$B$5:$D$88,3,0),0))</f>
        <v>0</v>
      </c>
      <c r="V54" s="69" t="s">
        <v>148</v>
      </c>
    </row>
  </sheetData>
  <sheetProtection algorithmName="SHA-512" hashValue="7RZXV/SkyW6UGUi/wEleQR84m7Kzv+/4H39BgBu5/H6Ta471wmxZ2uaPUiipGAOAGVO5Su0SH24Apt2s3UwnWw==" saltValue="2i7LeFOzdr5tBkLDiY8Ch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2026-10-16T03:45:40Z</dcterms:modified>
  <cp:category/>
  <cp:contentStatus/>
</cp:coreProperties>
</file>