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5/"/>
    </mc:Choice>
  </mc:AlternateContent>
  <xr:revisionPtr revIDLastSave="288" documentId="13_ncr:1_{6F8A2D61-7991-4AA4-8237-6F5E50C70BCD}" xr6:coauthVersionLast="47" xr6:coauthVersionMax="47" xr10:uidLastSave="{08B120BC-A677-4A59-A73F-3413AD359DD6}"/>
  <bookViews>
    <workbookView xWindow="-120" yWindow="-120" windowWidth="20730" windowHeight="11040" tabRatio="815" firstSheet="8" activeTab="15" xr2:uid="{53EFF842-CF50-4897-B8D7-13D059DA06F8}"/>
  </bookViews>
  <sheets>
    <sheet name="LIDER" sheetId="2" r:id="rId1"/>
    <sheet name="S-ASIG-01" sheetId="9" state="hidden" r:id="rId2"/>
    <sheet name="S-ASIG-02" sheetId="10" state="hidden" r:id="rId3"/>
    <sheet name="S-ASIG-03" sheetId="11" state="hidden" r:id="rId4"/>
    <sheet name="S-ASIG-04" sheetId="12" state="hidden" r:id="rId5"/>
    <sheet name="S-ASIG-05" sheetId="13" state="hidden" r:id="rId6"/>
    <sheet name="S-ASIG-06" sheetId="14" state="hidden" r:id="rId7"/>
    <sheet name="S-ASIG-07" sheetId="15" state="hidden" r:id="rId8"/>
    <sheet name="T-ASIG-01" sheetId="1" r:id="rId9"/>
    <sheet name="T-ASIG-02" sheetId="3" r:id="rId10"/>
    <sheet name="T-ASIG-03" sheetId="4" r:id="rId11"/>
    <sheet name="T-ASIG-04" sheetId="5" r:id="rId12"/>
    <sheet name="T-ASIG-05" sheetId="6" r:id="rId13"/>
    <sheet name="T-ASIG-06" sheetId="7" r:id="rId14"/>
    <sheet name="T-ASIG-07" sheetId="16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D42" i="16"/>
  <c r="B42" i="16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D30" i="16"/>
  <c r="B30" i="16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D10" i="16"/>
  <c r="B10" i="16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D48" i="7" s="1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D41" i="7"/>
  <c r="B41" i="7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D17" i="7"/>
  <c r="B17" i="7"/>
  <c r="B16" i="7"/>
  <c r="D16" i="7" s="1"/>
  <c r="B15" i="7"/>
  <c r="D15" i="7" s="1"/>
  <c r="B14" i="7"/>
  <c r="D14" i="7" s="1"/>
  <c r="B13" i="7"/>
  <c r="D13" i="7" s="1"/>
  <c r="D11" i="7"/>
  <c r="B11" i="7"/>
  <c r="D10" i="7"/>
  <c r="B10" i="7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D49" i="6" s="1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D59" i="6"/>
  <c r="B59" i="6"/>
  <c r="D58" i="6"/>
  <c r="B58" i="6"/>
  <c r="B57" i="6"/>
  <c r="D57" i="6" s="1"/>
  <c r="B56" i="6"/>
  <c r="D56" i="6" s="1"/>
  <c r="B55" i="6"/>
  <c r="D55" i="6" s="1"/>
  <c r="D53" i="6"/>
  <c r="B53" i="6"/>
  <c r="D52" i="6"/>
  <c r="B52" i="6"/>
  <c r="B51" i="6"/>
  <c r="D51" i="6" s="1"/>
  <c r="B50" i="6"/>
  <c r="D50" i="6" s="1"/>
  <c r="B49" i="6"/>
  <c r="B48" i="6"/>
  <c r="D46" i="6"/>
  <c r="B46" i="6"/>
  <c r="B45" i="6"/>
  <c r="D45" i="6" s="1"/>
  <c r="B44" i="6"/>
  <c r="D44" i="6" s="1"/>
  <c r="D43" i="6"/>
  <c r="B43" i="6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D30" i="6"/>
  <c r="B30" i="6"/>
  <c r="B29" i="6"/>
  <c r="D29" i="6" s="1"/>
  <c r="B28" i="6"/>
  <c r="D28" i="6" s="1"/>
  <c r="D27" i="6"/>
  <c r="B27" i="6"/>
  <c r="D25" i="6"/>
  <c r="B25" i="6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D59" i="5"/>
  <c r="B59" i="5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D28" i="5"/>
  <c r="B28" i="5"/>
  <c r="B27" i="5"/>
  <c r="D27" i="5" s="1"/>
  <c r="B25" i="5"/>
  <c r="D25" i="5" s="1"/>
  <c r="B24" i="5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D43" i="4"/>
  <c r="B43" i="4"/>
  <c r="D42" i="4"/>
  <c r="B42" i="4"/>
  <c r="B41" i="4"/>
  <c r="D41" i="4" s="1"/>
  <c r="B39" i="4"/>
  <c r="D39" i="4" s="1"/>
  <c r="B38" i="4"/>
  <c r="B37" i="4"/>
  <c r="B36" i="4"/>
  <c r="B35" i="4"/>
  <c r="B34" i="4"/>
  <c r="B32" i="4"/>
  <c r="D32" i="4" s="1"/>
  <c r="D31" i="4"/>
  <c r="B31" i="4"/>
  <c r="D30" i="4"/>
  <c r="B30" i="4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D42" i="3" s="1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E55" i="15"/>
  <c r="C55" i="15"/>
  <c r="B55" i="15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E10" i="15"/>
  <c r="B10" i="15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E55" i="14"/>
  <c r="C55" i="14"/>
  <c r="B55" i="14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E45" i="14"/>
  <c r="B45" i="14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E31" i="14"/>
  <c r="B31" i="14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E27" i="14"/>
  <c r="C27" i="14"/>
  <c r="B27" i="14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E17" i="14"/>
  <c r="B17" i="14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E10" i="14"/>
  <c r="B10" i="14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E60" i="13"/>
  <c r="B60" i="13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E55" i="13"/>
  <c r="C55" i="13"/>
  <c r="B55" i="13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E48" i="13"/>
  <c r="C48" i="13"/>
  <c r="C49" i="13" s="1"/>
  <c r="C50" i="13" s="1"/>
  <c r="C51" i="13" s="1"/>
  <c r="C52" i="13" s="1"/>
  <c r="C53" i="13" s="1"/>
  <c r="B48" i="13"/>
  <c r="F47" i="13"/>
  <c r="B46" i="13"/>
  <c r="E46" i="13" s="1"/>
  <c r="B45" i="13"/>
  <c r="E45" i="13" s="1"/>
  <c r="E44" i="13"/>
  <c r="B44" i="13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E38" i="13"/>
  <c r="B38" i="13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E10" i="13"/>
  <c r="B10" i="13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E60" i="12"/>
  <c r="B60" i="12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B53" i="12"/>
  <c r="E53" i="12" s="1"/>
  <c r="B52" i="12"/>
  <c r="E52" i="12" s="1"/>
  <c r="B51" i="12"/>
  <c r="E51" i="12" s="1"/>
  <c r="E50" i="12"/>
  <c r="C50" i="12"/>
  <c r="C51" i="12" s="1"/>
  <c r="C52" i="12" s="1"/>
  <c r="C53" i="12" s="1"/>
  <c r="B50" i="12"/>
  <c r="E49" i="12"/>
  <c r="C49" i="12"/>
  <c r="B49" i="12"/>
  <c r="C48" i="12"/>
  <c r="B48" i="12"/>
  <c r="E48" i="12" s="1"/>
  <c r="F47" i="12"/>
  <c r="B46" i="12"/>
  <c r="E46" i="12" s="1"/>
  <c r="B45" i="12"/>
  <c r="E45" i="12" s="1"/>
  <c r="E44" i="12"/>
  <c r="C44" i="12"/>
  <c r="C45" i="12" s="1"/>
  <c r="C46" i="12" s="1"/>
  <c r="B44" i="12"/>
  <c r="C43" i="12"/>
  <c r="B43" i="12"/>
  <c r="E43" i="12" s="1"/>
  <c r="E42" i="12"/>
  <c r="C42" i="12"/>
  <c r="B42" i="12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E10" i="12"/>
  <c r="B10" i="12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E56" i="11"/>
  <c r="C56" i="11"/>
  <c r="C57" i="11" s="1"/>
  <c r="C58" i="11" s="1"/>
  <c r="C59" i="11" s="1"/>
  <c r="C60" i="11" s="1"/>
  <c r="B56" i="11"/>
  <c r="C55" i="11"/>
  <c r="B55" i="11"/>
  <c r="E55" i="11" s="1"/>
  <c r="F54" i="11"/>
  <c r="B53" i="11"/>
  <c r="E53" i="11" s="1"/>
  <c r="B52" i="11"/>
  <c r="E52" i="11" s="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E41" i="11"/>
  <c r="C41" i="11"/>
  <c r="C42" i="11" s="1"/>
  <c r="C43" i="11" s="1"/>
  <c r="C44" i="11" s="1"/>
  <c r="C45" i="11" s="1"/>
  <c r="C46" i="11" s="1"/>
  <c r="B41" i="1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E29" i="11"/>
  <c r="B29" i="11"/>
  <c r="E28" i="11"/>
  <c r="C28" i="11"/>
  <c r="C29" i="11" s="1"/>
  <c r="C30" i="11" s="1"/>
  <c r="C31" i="11" s="1"/>
  <c r="C32" i="11" s="1"/>
  <c r="B28" i="1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E55" i="10"/>
  <c r="C55" i="10"/>
  <c r="B55" i="10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E44" i="10"/>
  <c r="B44" i="10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E10" i="10"/>
  <c r="B10" i="10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24" i="5" l="1"/>
  <c r="D9" i="5"/>
  <c r="D37" i="4"/>
  <c r="D36" i="6"/>
  <c r="D37" i="16"/>
  <c r="D21" i="4"/>
  <c r="D22" i="5"/>
  <c r="D22" i="7"/>
  <c r="D21" i="16"/>
  <c r="D64" i="6"/>
  <c r="D49" i="3"/>
  <c r="D36" i="4"/>
  <c r="D43" i="7"/>
  <c r="D36" i="16"/>
  <c r="D48" i="3"/>
  <c r="D34" i="7"/>
  <c r="D34" i="4"/>
  <c r="D48" i="6"/>
  <c r="D49" i="7"/>
  <c r="D34" i="16"/>
  <c r="D49" i="4"/>
  <c r="D36" i="5"/>
  <c r="D49" i="16"/>
  <c r="D37" i="3"/>
  <c r="D48" i="16"/>
  <c r="D42" i="5"/>
  <c r="D37" i="6"/>
  <c r="D22" i="16"/>
  <c r="D21" i="6"/>
  <c r="D21" i="7"/>
  <c r="D22" i="4"/>
  <c r="D22" i="3"/>
  <c r="D21" i="5"/>
  <c r="D10" i="4"/>
  <c r="D20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<sst xmlns="http://schemas.openxmlformats.org/spreadsheetml/2006/main" count="660" uniqueCount="102">
  <si>
    <t>TECNOLOGÍA EN GESTIÓN DE NEGOCIOS INTERN</t>
  </si>
  <si>
    <t>SEMESTRE:</t>
  </si>
  <si>
    <t>SEM-05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</si>
  <si>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</si>
  <si>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</si>
  <si>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</si>
  <si>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</si>
  <si>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</si>
  <si>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</si>
  <si>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</si>
  <si>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</si>
  <si>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MARKETING INTERNACIONAL</t>
  </si>
  <si>
    <t>ELECTIVA LIBRE SOCIOHUMANÍS I</t>
  </si>
  <si>
    <t>TALENTO HUMANO</t>
  </si>
  <si>
    <t>ELECTIVA DE PROFUNDIZACION II</t>
  </si>
  <si>
    <t>ORGANIZACIÓN Y MÉTODOS DE TRAB</t>
  </si>
  <si>
    <t>GABRIEL EDUARDO CARDONA TUÑON</t>
  </si>
  <si>
    <t>ALBEIRO YESITH PÉREZ CHIQUILLO</t>
  </si>
  <si>
    <t>LILIANA PATRICIA VELLOJIN ORTIZ</t>
  </si>
  <si>
    <t>JEYSSON STEEVEN ANILLO CARRANZA</t>
  </si>
  <si>
    <t>JOHNNY DE JESUS MENDOZA DORIA</t>
  </si>
  <si>
    <t>LISTA DE ESTUDIANTES</t>
  </si>
  <si>
    <t>SEGUNDA ENTREGA - CRITERIO DE EVALUACIÓN DOCUMENTO - SEGUNDO CORTE</t>
  </si>
  <si>
    <t>PONDERACIÓN</t>
  </si>
  <si>
    <t>ADMINISTRACIÓN DE EMPRESAS C.I</t>
  </si>
  <si>
    <t>DANIA LICETH ACOSTA SALAZAR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</si>
  <si>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</si>
  <si>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</si>
  <si>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LUISA DANIELA ALVAREZ ARGUMEDO</t>
  </si>
  <si>
    <t>ANTEPROYECTO: Portada, planteamiento del problema, justificacion del trabajo o proyecto de aula, objetivos, marco teorico, diseño metodologico.</t>
  </si>
  <si>
    <t>CONTADURÍA PÚBLICA</t>
  </si>
  <si>
    <t>JUAN GARCIA SILVA</t>
  </si>
  <si>
    <t>RESULTADOS:  Analiza y aplica de manera coherente los Aspectos a tener en cuenta para la construcción de la marca empresarial, así mismo define el plan de distribución y el	análisis ambiental y social.</t>
  </si>
  <si>
    <t>NEGOCIOS INTERNACIONALES PROFESIONAL</t>
  </si>
  <si>
    <t>LAURA VALENTINA RIVERO MADRID</t>
  </si>
  <si>
    <t>BILIOGRAFIA: Las referencias bibliograficas: adoptan las normas APA. El documento es producto de un rastreo bibliografico que muestra analisis y sistensis.</t>
  </si>
  <si>
    <t>NEYS DEL CARMEN ARROYO QUINTANA</t>
  </si>
  <si>
    <t>ASESORIAS: Anexó la hoja de tutoria firmada ( 3 fimas minmimo).</t>
  </si>
  <si>
    <t>TECNOLOGíA EN GESTION CONTABLE</t>
  </si>
  <si>
    <t>BIANCA FIORELLA CARAZO PUELLO</t>
  </si>
  <si>
    <t>TECNOLOGÍA EN GESTIÓN DE MARKETING</t>
  </si>
  <si>
    <t>LUIS MARIO MARRUGO DIAZ</t>
  </si>
  <si>
    <t>TECNOLOGÍA EN GESTIÓN DEL TALENTO HUMANO</t>
  </si>
  <si>
    <t>SAMANTA QUICENO CAMPUZANO</t>
  </si>
  <si>
    <t>TECNOLOGÍA EN GESTIÓN FINANCIERA</t>
  </si>
  <si>
    <t>ANDRES FELIPE ALFARO LARES</t>
  </si>
  <si>
    <t>TECNOLOGÍA EN GESTIÓN LOGISTICA Y PORTUARIA</t>
  </si>
  <si>
    <t>NICOLE ANDREA BARRAZA CARDOZO</t>
  </si>
  <si>
    <t>ENTREGA FINAL - CRITERIO DE EVALUACIÓN SUSTENTACIÓN - TERCER CORTE</t>
  </si>
  <si>
    <t>TECNOLOGÍA EN GESTIÓN TURISTICA Y HOTELERA</t>
  </si>
  <si>
    <t>DANIELA BOLAÑOS CUELLAR</t>
  </si>
  <si>
    <t>Evaluación del Documento Final</t>
  </si>
  <si>
    <t>LAURA VANESSA POLO CARABALLO</t>
  </si>
  <si>
    <t>Sustentación de los Resultados: Se refleja un dominio del tema, la  información está delimitada y es clara. Hay una jerarquía y fluidez en las ideas que presenta.</t>
  </si>
  <si>
    <t>ANDRES FELIPE TOVAR ARRIOLA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</si>
  <si>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</si>
  <si>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JESUS DANIEL MOLINA SANCHEZ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</si>
  <si>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</si>
  <si>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EDER DARIO PEREZ SALGUEDO</t>
  </si>
  <si>
    <t>Tiempo: El uso del tiempo fue apropiado, se ajusta al previsto.
Ofrece una conclusión donde condensa las ideas principales del objetivo general y los específicos.</t>
  </si>
  <si>
    <t>MANUEL ALEJANDRO POLO MARTINEZ</t>
  </si>
  <si>
    <t>Uso de Recursos Audiovisuales Tecnológicos: La sustentación se acompaña de recursos visuales pertinentes, atractivos y de gran calidad</t>
  </si>
  <si>
    <t>DANNA JUDITH SOTO CAMARGO</t>
  </si>
  <si>
    <t>TITULOS DE LOS PROYECTOS DE AULA</t>
  </si>
  <si>
    <t>GRUPO#1</t>
  </si>
  <si>
    <t>GRUPO#2</t>
  </si>
  <si>
    <t>GRUPO#3</t>
  </si>
  <si>
    <t>GRUPO#4</t>
  </si>
  <si>
    <t>GRUPO#5</t>
  </si>
  <si>
    <t>GRUPO#6</t>
  </si>
  <si>
    <t>GRUPO#7</t>
  </si>
  <si>
    <t>GRUPO#8</t>
  </si>
  <si>
    <t>GRUPO#9</t>
  </si>
  <si>
    <t>GRUPO#10</t>
  </si>
  <si>
    <t>GRUPO#11</t>
  </si>
  <si>
    <t>GRUPO#12</t>
  </si>
  <si>
    <t>CRITERIOS DE EVALUACIÓN</t>
  </si>
  <si>
    <t>Estudiantes</t>
  </si>
  <si>
    <t>G01</t>
  </si>
  <si>
    <t>LIST</t>
  </si>
  <si>
    <t>DEF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</si>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</sst>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0" fontId="8" fillId="8" borderId="1" xfId="0" applyFont="1" applyFill="1" applyBorder="1" applyAlignment="1" applyProtection="1">
      <alignment horizontal="center" vertic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A7" zoomScale="80" zoomScaleNormal="80" workbookViewId="0">
      <selection activeCell="F53" sqref="F53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91" t="s">
        <v>0</v>
      </c>
      <c r="C2" s="192"/>
      <c r="D2" s="193"/>
      <c r="E2" s="101" t="s">
        <v>1</v>
      </c>
      <c r="F2" s="102" t="s">
        <v>2</v>
      </c>
      <c r="G2" s="101" t="s">
        <v>3</v>
      </c>
      <c r="H2" s="41">
        <v>1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/>
      <c r="I4" s="131"/>
    </row>
    <row r="5" spans="2:9" ht="24.95" customHeight="1" thickBot="1">
      <c r="C5" s="132" t="s">
        <v>16</v>
      </c>
      <c r="D5" s="132" t="s">
        <v>17</v>
      </c>
      <c r="E5" s="132" t="s">
        <v>18</v>
      </c>
      <c r="F5" s="132" t="s">
        <v>19</v>
      </c>
      <c r="G5" s="132" t="s">
        <v>20</v>
      </c>
      <c r="H5" s="133"/>
      <c r="I5" s="133"/>
    </row>
    <row r="6" spans="2:9" ht="24.95" customHeight="1" thickBot="1">
      <c r="C6" s="134">
        <v>1426</v>
      </c>
      <c r="D6" s="134">
        <v>2223</v>
      </c>
      <c r="E6" s="134">
        <v>2424</v>
      </c>
      <c r="F6" s="134">
        <v>2432</v>
      </c>
      <c r="G6" s="134">
        <v>1495</v>
      </c>
      <c r="H6" s="134"/>
      <c r="I6" s="134"/>
    </row>
    <row r="7" spans="2:9" ht="13.5" thickBot="1"/>
    <row r="8" spans="2:9" ht="20.100000000000001" customHeight="1">
      <c r="B8" s="108"/>
      <c r="C8" s="109" t="s">
        <v>21</v>
      </c>
      <c r="E8" s="194" t="s">
        <v>22</v>
      </c>
      <c r="F8" s="195"/>
      <c r="G8" s="196"/>
      <c r="H8" s="110" t="s">
        <v>23</v>
      </c>
      <c r="I8" s="69" t="s">
        <v>24</v>
      </c>
    </row>
    <row r="9" spans="2:9" ht="15" customHeight="1">
      <c r="B9" s="108">
        <v>1</v>
      </c>
      <c r="C9" s="111" t="s">
        <v>25</v>
      </c>
      <c r="E9" s="197" t="s">
        <v>26</v>
      </c>
      <c r="F9" s="198"/>
      <c r="G9" s="199"/>
      <c r="H9" s="135">
        <v>0.2</v>
      </c>
      <c r="I9" s="69" t="s">
        <v>27</v>
      </c>
    </row>
    <row r="10" spans="2:9" ht="15" customHeight="1">
      <c r="B10" s="108">
        <v>2</v>
      </c>
      <c r="C10" s="111" t="s">
        <v>28</v>
      </c>
      <c r="E10" s="171" t="s">
        <v>29</v>
      </c>
      <c r="F10" s="172"/>
      <c r="G10" s="173"/>
      <c r="H10" s="136">
        <v>0.2</v>
      </c>
      <c r="I10" s="69" t="s">
        <v>30</v>
      </c>
    </row>
    <row r="11" spans="2:9" ht="15" customHeight="1">
      <c r="B11" s="108">
        <v>3</v>
      </c>
      <c r="C11" s="111" t="s">
        <v>31</v>
      </c>
      <c r="E11" s="197" t="s">
        <v>32</v>
      </c>
      <c r="F11" s="198"/>
      <c r="G11" s="199"/>
      <c r="H11" s="135">
        <v>0.3</v>
      </c>
      <c r="I11" s="69" t="s">
        <v>33</v>
      </c>
    </row>
    <row r="12" spans="2:9" ht="15" customHeight="1">
      <c r="B12" s="108">
        <v>4</v>
      </c>
      <c r="C12" s="111" t="s">
        <v>34</v>
      </c>
      <c r="E12" s="171" t="s">
        <v>35</v>
      </c>
      <c r="F12" s="172"/>
      <c r="G12" s="173"/>
      <c r="H12" s="136">
        <v>0.2</v>
      </c>
      <c r="I12" s="69" t="s">
        <v>0</v>
      </c>
    </row>
    <row r="13" spans="2:9" ht="15" customHeight="1">
      <c r="B13" s="108">
        <v>5</v>
      </c>
      <c r="C13" s="111" t="s">
        <v>36</v>
      </c>
      <c r="E13" s="174" t="s">
        <v>37</v>
      </c>
      <c r="F13" s="175"/>
      <c r="G13" s="176"/>
      <c r="H13" s="135">
        <v>0.1</v>
      </c>
      <c r="I13" s="69" t="s">
        <v>38</v>
      </c>
    </row>
    <row r="14" spans="2:9" ht="15" customHeight="1">
      <c r="B14" s="108">
        <v>6</v>
      </c>
      <c r="C14" s="111" t="s">
        <v>39</v>
      </c>
      <c r="E14" s="177"/>
      <c r="F14" s="169"/>
      <c r="G14" s="170"/>
      <c r="H14" s="136">
        <v>0</v>
      </c>
      <c r="I14" s="69" t="s">
        <v>40</v>
      </c>
    </row>
    <row r="15" spans="2:9" ht="15" customHeight="1" thickBot="1">
      <c r="B15" s="108">
        <v>7</v>
      </c>
      <c r="C15" s="111" t="s">
        <v>41</v>
      </c>
      <c r="E15" s="178"/>
      <c r="F15" s="179"/>
      <c r="G15" s="180"/>
      <c r="H15" s="135">
        <v>0</v>
      </c>
      <c r="I15" s="69" t="s">
        <v>42</v>
      </c>
    </row>
    <row r="16" spans="2:9" ht="15" customHeight="1" thickBot="1">
      <c r="B16" s="108">
        <v>8</v>
      </c>
      <c r="C16" s="111" t="s">
        <v>43</v>
      </c>
      <c r="E16" s="112"/>
      <c r="F16" s="112"/>
      <c r="G16" s="112"/>
      <c r="H16" s="137">
        <f>IF(SUM(H9:H15)&gt;1,"Más del 100%",SUM(H9:H15))</f>
        <v>0.99999999999999989</v>
      </c>
      <c r="I16" s="69" t="s">
        <v>44</v>
      </c>
    </row>
    <row r="17" spans="2:9" ht="15" customHeight="1" thickBot="1">
      <c r="B17" s="108">
        <v>9</v>
      </c>
      <c r="C17" s="111" t="s">
        <v>45</v>
      </c>
      <c r="E17" s="187"/>
      <c r="F17" s="187"/>
      <c r="G17" s="187"/>
      <c r="H17" s="187"/>
      <c r="I17" s="69" t="s">
        <v>46</v>
      </c>
    </row>
    <row r="18" spans="2:9" ht="15" customHeight="1" thickBot="1">
      <c r="B18" s="108">
        <v>10</v>
      </c>
      <c r="C18" s="111" t="s">
        <v>47</v>
      </c>
      <c r="E18" s="161" t="s">
        <v>48</v>
      </c>
      <c r="F18" s="162"/>
      <c r="G18" s="162"/>
      <c r="H18" s="113" t="s">
        <v>23</v>
      </c>
      <c r="I18" s="69" t="s">
        <v>49</v>
      </c>
    </row>
    <row r="19" spans="2:9" ht="15" customHeight="1">
      <c r="B19" s="108">
        <v>11</v>
      </c>
      <c r="C19" s="111" t="s">
        <v>50</v>
      </c>
      <c r="E19" s="184" t="s">
        <v>51</v>
      </c>
      <c r="F19" s="185"/>
      <c r="G19" s="186"/>
      <c r="H19" s="138">
        <v>0.5</v>
      </c>
    </row>
    <row r="20" spans="2:9" ht="15" customHeight="1">
      <c r="B20" s="108">
        <v>12</v>
      </c>
      <c r="C20" s="111" t="s">
        <v>52</v>
      </c>
      <c r="E20" s="163" t="s">
        <v>53</v>
      </c>
      <c r="F20" s="164"/>
      <c r="G20" s="165"/>
      <c r="H20" s="139">
        <v>0.2</v>
      </c>
    </row>
    <row r="21" spans="2:9" ht="15" customHeight="1">
      <c r="B21" s="108">
        <v>13</v>
      </c>
      <c r="C21" s="111" t="s">
        <v>54</v>
      </c>
      <c r="E21" s="166" t="s">
        <v>55</v>
      </c>
      <c r="F21" s="167"/>
      <c r="G21" s="168"/>
      <c r="H21" s="140">
        <v>0.1</v>
      </c>
    </row>
    <row r="22" spans="2:9" ht="15" customHeight="1">
      <c r="B22" s="108">
        <v>14</v>
      </c>
      <c r="C22" s="111" t="s">
        <v>56</v>
      </c>
      <c r="E22" s="163" t="s">
        <v>57</v>
      </c>
      <c r="F22" s="169"/>
      <c r="G22" s="170"/>
      <c r="H22" s="139">
        <v>0.05</v>
      </c>
    </row>
    <row r="23" spans="2:9" ht="15" customHeight="1">
      <c r="B23" s="108">
        <v>15</v>
      </c>
      <c r="C23" s="111" t="s">
        <v>58</v>
      </c>
      <c r="E23" s="166" t="s">
        <v>59</v>
      </c>
      <c r="F23" s="167"/>
      <c r="G23" s="168"/>
      <c r="H23" s="141">
        <v>0.05</v>
      </c>
    </row>
    <row r="24" spans="2:9" ht="15" customHeight="1">
      <c r="B24" s="108">
        <v>16</v>
      </c>
      <c r="C24" s="111" t="s">
        <v>60</v>
      </c>
      <c r="E24" s="163" t="s">
        <v>61</v>
      </c>
      <c r="F24" s="164"/>
      <c r="G24" s="165"/>
      <c r="H24" s="139">
        <v>0.1</v>
      </c>
    </row>
    <row r="25" spans="2:9" ht="15" customHeight="1" thickBot="1">
      <c r="B25" s="108">
        <v>17</v>
      </c>
      <c r="C25" s="111" t="s">
        <v>62</v>
      </c>
      <c r="E25" s="181"/>
      <c r="F25" s="182"/>
      <c r="G25" s="183"/>
      <c r="H25" s="140"/>
    </row>
    <row r="26" spans="2:9" ht="15" customHeight="1" thickBot="1">
      <c r="B26" s="108">
        <v>18</v>
      </c>
      <c r="C26" s="111"/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/>
      <c r="E27" s="114"/>
      <c r="F27" s="114"/>
      <c r="G27" s="114"/>
      <c r="H27" s="114"/>
    </row>
    <row r="28" spans="2:9" ht="15" customHeight="1" thickBot="1">
      <c r="B28" s="108">
        <v>20</v>
      </c>
      <c r="C28" s="111"/>
      <c r="E28" s="188" t="s">
        <v>63</v>
      </c>
      <c r="F28" s="189"/>
      <c r="G28" s="189"/>
      <c r="H28" s="190"/>
    </row>
    <row r="29" spans="2:9" ht="15" customHeight="1" thickBot="1">
      <c r="B29" s="108">
        <v>21</v>
      </c>
      <c r="C29" s="111"/>
      <c r="E29" s="158" t="s">
        <v>64</v>
      </c>
      <c r="F29" s="159"/>
      <c r="G29" s="159"/>
      <c r="H29" s="160"/>
    </row>
    <row r="30" spans="2:9" ht="15" customHeight="1" thickBot="1">
      <c r="B30" s="108">
        <v>22</v>
      </c>
      <c r="C30" s="111"/>
      <c r="E30" s="155" t="s">
        <v>65</v>
      </c>
      <c r="F30" s="156"/>
      <c r="G30" s="156"/>
      <c r="H30" s="157"/>
    </row>
    <row r="31" spans="2:9" ht="15" customHeight="1" thickBot="1">
      <c r="B31" s="108">
        <v>23</v>
      </c>
      <c r="C31" s="111"/>
      <c r="E31" s="158" t="s">
        <v>66</v>
      </c>
      <c r="F31" s="159"/>
      <c r="G31" s="159"/>
      <c r="H31" s="160"/>
    </row>
    <row r="32" spans="2:9" ht="15" customHeight="1" thickBot="1">
      <c r="B32" s="108">
        <v>24</v>
      </c>
      <c r="C32" s="111"/>
      <c r="E32" s="155" t="s">
        <v>67</v>
      </c>
      <c r="F32" s="156"/>
      <c r="G32" s="156"/>
      <c r="H32" s="157"/>
    </row>
    <row r="33" spans="2:8" ht="15" customHeight="1" thickBot="1">
      <c r="B33" s="108">
        <v>25</v>
      </c>
      <c r="C33" s="111"/>
      <c r="E33" s="158" t="s">
        <v>68</v>
      </c>
      <c r="F33" s="159"/>
      <c r="G33" s="159"/>
      <c r="H33" s="160"/>
    </row>
    <row r="34" spans="2:8" ht="15" customHeight="1" thickBot="1">
      <c r="B34" s="108">
        <v>26</v>
      </c>
      <c r="C34" s="111"/>
      <c r="E34" s="155" t="s">
        <v>69</v>
      </c>
      <c r="F34" s="156"/>
      <c r="G34" s="156"/>
      <c r="H34" s="157"/>
    </row>
    <row r="35" spans="2:8" ht="15" customHeight="1" thickBot="1">
      <c r="B35" s="108">
        <v>27</v>
      </c>
      <c r="C35" s="111"/>
      <c r="E35" s="158" t="s">
        <v>70</v>
      </c>
      <c r="F35" s="159"/>
      <c r="G35" s="159"/>
      <c r="H35" s="160"/>
    </row>
    <row r="36" spans="2:8" ht="15" customHeight="1" thickBot="1">
      <c r="B36" s="108">
        <v>28</v>
      </c>
      <c r="C36" s="111"/>
      <c r="E36" s="155" t="s">
        <v>71</v>
      </c>
      <c r="F36" s="156"/>
      <c r="G36" s="156"/>
      <c r="H36" s="157"/>
    </row>
    <row r="37" spans="2:8" ht="15" customHeight="1" thickBot="1">
      <c r="B37" s="108">
        <v>29</v>
      </c>
      <c r="C37" s="111"/>
      <c r="E37" s="158" t="s">
        <v>72</v>
      </c>
      <c r="F37" s="159"/>
      <c r="G37" s="159"/>
      <c r="H37" s="160"/>
    </row>
    <row r="38" spans="2:8" ht="15" customHeight="1" thickBot="1">
      <c r="B38" s="108">
        <v>30</v>
      </c>
      <c r="C38" s="111"/>
      <c r="E38" s="155" t="s">
        <v>73</v>
      </c>
      <c r="F38" s="156"/>
      <c r="G38" s="156"/>
      <c r="H38" s="157"/>
    </row>
    <row r="39" spans="2:8" ht="15" customHeight="1" thickBot="1">
      <c r="B39" s="108">
        <v>31</v>
      </c>
      <c r="C39" s="111"/>
      <c r="E39" s="158" t="s">
        <v>74</v>
      </c>
      <c r="F39" s="159"/>
      <c r="G39" s="159"/>
      <c r="H39" s="160"/>
    </row>
    <row r="40" spans="2:8" ht="15" customHeight="1" thickBot="1">
      <c r="B40" s="108">
        <v>32</v>
      </c>
      <c r="C40" s="111"/>
      <c r="E40" s="155" t="s">
        <v>75</v>
      </c>
      <c r="F40" s="156"/>
      <c r="G40" s="156"/>
      <c r="H40" s="157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</v>
      </c>
      <c r="F42" s="116" t="str">
        <f>MID(E30,1,20)</f>
        <v>GRUPO#2</v>
      </c>
      <c r="G42" s="116" t="str">
        <f>MID(E31,1,20)</f>
        <v>GRUPO#3</v>
      </c>
      <c r="H42" s="117" t="str">
        <f>MID(E32,1,20)</f>
        <v>GRUPO#4</v>
      </c>
    </row>
    <row r="43" spans="2:8" ht="15" customHeight="1">
      <c r="B43" s="108">
        <v>35</v>
      </c>
      <c r="C43" s="111"/>
      <c r="E43" s="118" t="s">
        <v>25</v>
      </c>
      <c r="F43" s="119" t="s">
        <v>36</v>
      </c>
      <c r="G43" s="119" t="s">
        <v>45</v>
      </c>
      <c r="H43" s="120"/>
    </row>
    <row r="44" spans="2:8" ht="15" customHeight="1">
      <c r="B44" s="108">
        <v>36</v>
      </c>
      <c r="C44" s="111"/>
      <c r="E44" s="121" t="s">
        <v>28</v>
      </c>
      <c r="F44" s="122" t="s">
        <v>39</v>
      </c>
      <c r="G44" s="122" t="s">
        <v>47</v>
      </c>
      <c r="H44" s="123"/>
    </row>
    <row r="45" spans="2:8" ht="15" customHeight="1">
      <c r="B45" s="108">
        <v>37</v>
      </c>
      <c r="C45" s="111"/>
      <c r="E45" s="124" t="s">
        <v>31</v>
      </c>
      <c r="F45" s="125" t="s">
        <v>41</v>
      </c>
      <c r="G45" s="125" t="s">
        <v>50</v>
      </c>
      <c r="H45" s="126"/>
    </row>
    <row r="46" spans="2:8" ht="15" customHeight="1">
      <c r="B46" s="108">
        <v>38</v>
      </c>
      <c r="C46" s="111"/>
      <c r="E46" s="121" t="s">
        <v>34</v>
      </c>
      <c r="F46" s="122" t="s">
        <v>43</v>
      </c>
      <c r="G46" s="122" t="s">
        <v>52</v>
      </c>
      <c r="H46" s="123"/>
    </row>
    <row r="47" spans="2:8" ht="15" customHeight="1">
      <c r="B47" s="108">
        <v>39</v>
      </c>
      <c r="C47" s="111"/>
      <c r="E47" s="124"/>
      <c r="F47" s="125"/>
      <c r="G47" s="125" t="s">
        <v>54</v>
      </c>
      <c r="H47" s="126"/>
    </row>
    <row r="48" spans="2:8" ht="15" customHeight="1" thickBot="1">
      <c r="B48" s="108">
        <v>40</v>
      </c>
      <c r="C48" s="111"/>
      <c r="E48" s="127"/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56</v>
      </c>
      <c r="F51" s="119"/>
      <c r="G51" s="119"/>
      <c r="H51" s="120"/>
    </row>
    <row r="52" spans="2:8" ht="15" customHeight="1">
      <c r="B52" s="108">
        <v>44</v>
      </c>
      <c r="C52" s="111"/>
      <c r="E52" s="121" t="s">
        <v>58</v>
      </c>
      <c r="F52" s="122"/>
      <c r="G52" s="122"/>
      <c r="H52" s="123"/>
    </row>
    <row r="53" spans="2:8" ht="15" customHeight="1">
      <c r="B53" s="108">
        <v>45</v>
      </c>
      <c r="C53" s="111"/>
      <c r="E53" s="124" t="s">
        <v>60</v>
      </c>
      <c r="F53" s="125"/>
      <c r="G53" s="125"/>
      <c r="H53" s="126"/>
    </row>
    <row r="54" spans="2:8" ht="15" customHeight="1">
      <c r="B54" s="108">
        <v>46</v>
      </c>
      <c r="C54" s="111"/>
      <c r="E54" s="121" t="s">
        <v>62</v>
      </c>
      <c r="F54" s="122"/>
      <c r="G54" s="122"/>
      <c r="H54" s="123"/>
    </row>
    <row r="55" spans="2:8" ht="15" customHeight="1">
      <c r="B55" s="108">
        <v>47</v>
      </c>
      <c r="C55" s="111"/>
      <c r="E55" s="124"/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/lE+lQd7kj1n4OR44uOgpArhTarq80HknEJsLQNbngykkddXmt577wk13rrH6ProWPtz+hgASHOWBITjKLVP+g==" saltValue="96tb1nmf/KLz2hY5l5kmXw==" spinCount="100000" sheet="1" objects="1" scenarios="1"/>
  <dataConsolidate/>
  <mergeCells count="31">
    <mergeCell ref="B2:D2"/>
    <mergeCell ref="E8:G8"/>
    <mergeCell ref="E9:G9"/>
    <mergeCell ref="E10:G10"/>
    <mergeCell ref="E11:G1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workbookViewId="0">
      <pane xSplit="5" ySplit="3" topLeftCell="F9" activePane="bottomRight" state="frozen"/>
      <selection pane="bottomRight" activeCell="F13" sqref="F13:J18"/>
      <selection pane="bottomLeft" activeCell="F13" sqref="F13:J18"/>
      <selection pane="topRight" activeCell="F13" sqref="F13:J1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2" t="str">
        <f>LIDER!B2</f>
        <v>TECNOLOGÍA EN GESTIÓN DE NEGOCIOS INTERN</v>
      </c>
      <c r="B1" s="143"/>
      <c r="C1" s="143"/>
      <c r="D1" s="143"/>
      <c r="E1" s="143"/>
      <c r="F1" s="143"/>
      <c r="G1" s="143"/>
      <c r="H1" s="144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LIDER!C4</f>
        <v>MARKETING INTERNACIONAL</v>
      </c>
      <c r="C2" s="82"/>
      <c r="D2" s="3"/>
      <c r="F2" s="203" t="s">
        <v>76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CONCATENATE(LIDER!C4," - ",LIDER!C6," - ",LIDER!C5)</f>
        <v>MARKETING INTERNACIONAL - 1426 - GABRIEL EDUARDO CARDONA TUÑON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64</v>
      </c>
      <c r="C5" s="88" t="s">
        <v>78</v>
      </c>
      <c r="D5" s="32" t="s">
        <v>79</v>
      </c>
      <c r="E5" s="89" t="s">
        <v>80</v>
      </c>
      <c r="F5" s="151" t="str">
        <f>LIDER!$E$29</f>
        <v>GRUPO#1</v>
      </c>
      <c r="G5" s="151"/>
      <c r="H5" s="151"/>
      <c r="I5" s="151"/>
      <c r="J5" s="151"/>
      <c r="K5" s="151"/>
      <c r="L5" s="151"/>
    </row>
    <row r="6" spans="1:12" s="2" customFormat="1" ht="12.75">
      <c r="A6" s="9">
        <v>1</v>
      </c>
      <c r="B6" s="10" t="str">
        <f>LIDER!E43</f>
        <v>DANIA LICETH ACOSTA SALAZAR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3.6000000000000005</v>
      </c>
      <c r="F6" s="202">
        <v>3.6</v>
      </c>
      <c r="G6" s="200">
        <v>3.6</v>
      </c>
      <c r="H6" s="201">
        <v>3.6</v>
      </c>
      <c r="I6" s="200">
        <v>3.6</v>
      </c>
      <c r="J6" s="201">
        <v>3.6</v>
      </c>
      <c r="K6" s="200"/>
      <c r="L6" s="201"/>
    </row>
    <row r="7" spans="1:12" s="2" customFormat="1" ht="15" customHeight="1">
      <c r="A7" s="12">
        <v>2</v>
      </c>
      <c r="B7" s="10" t="str">
        <f>LIDER!E44</f>
        <v>LUISA DANIELA ALVAREZ ARGUMEDO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3.6000000000000005</v>
      </c>
      <c r="F7" s="202"/>
      <c r="G7" s="200"/>
      <c r="H7" s="201"/>
      <c r="I7" s="200"/>
      <c r="J7" s="201"/>
      <c r="K7" s="200"/>
      <c r="L7" s="201"/>
    </row>
    <row r="8" spans="1:12" s="2" customFormat="1" ht="15" customHeight="1">
      <c r="A8" s="12">
        <v>3</v>
      </c>
      <c r="B8" s="10" t="str">
        <f>LIDER!E45</f>
        <v>JUAN GARCIA SILVA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3.6000000000000005</v>
      </c>
      <c r="F8" s="202"/>
      <c r="G8" s="200"/>
      <c r="H8" s="201"/>
      <c r="I8" s="200"/>
      <c r="J8" s="201"/>
      <c r="K8" s="200"/>
      <c r="L8" s="201"/>
    </row>
    <row r="9" spans="1:12" s="2" customFormat="1" ht="15" customHeight="1">
      <c r="A9" s="12">
        <v>4</v>
      </c>
      <c r="B9" s="10" t="str">
        <f>LIDER!E46</f>
        <v>LAURA VALENTINA RIVERO MADRID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3.6000000000000005</v>
      </c>
      <c r="F9" s="202"/>
      <c r="G9" s="200"/>
      <c r="H9" s="201"/>
      <c r="I9" s="200"/>
      <c r="J9" s="201"/>
      <c r="K9" s="200"/>
      <c r="L9" s="201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2"/>
      <c r="G10" s="200"/>
      <c r="H10" s="201"/>
      <c r="I10" s="200"/>
      <c r="J10" s="201"/>
      <c r="K10" s="200"/>
      <c r="L10" s="201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2"/>
      <c r="G11" s="200"/>
      <c r="H11" s="201"/>
      <c r="I11" s="200"/>
      <c r="J11" s="201"/>
      <c r="K11" s="200"/>
      <c r="L11" s="201"/>
    </row>
    <row r="12" spans="1:12" s="2" customFormat="1" ht="15.75" customHeight="1" thickBot="1">
      <c r="A12" s="8"/>
      <c r="B12" s="25" t="s">
        <v>65</v>
      </c>
      <c r="C12" s="88" t="s">
        <v>81</v>
      </c>
      <c r="D12" s="32" t="str">
        <f>D5</f>
        <v>LIST</v>
      </c>
      <c r="E12" s="89" t="s">
        <v>80</v>
      </c>
      <c r="F12" s="151" t="str">
        <f>LIDER!$E$30</f>
        <v>GRUPO#2</v>
      </c>
      <c r="G12" s="151"/>
      <c r="H12" s="151"/>
      <c r="I12" s="151"/>
      <c r="J12" s="151"/>
      <c r="K12" s="151"/>
      <c r="L12" s="151"/>
    </row>
    <row r="13" spans="1:12" s="2" customFormat="1" ht="12.75">
      <c r="A13" s="9">
        <v>1</v>
      </c>
      <c r="B13" s="10" t="str">
        <f>LIDER!F43</f>
        <v>NEYS DEL CARMEN ARROYO QUINTANA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4.2</v>
      </c>
      <c r="F13" s="202">
        <v>4.2</v>
      </c>
      <c r="G13" s="200">
        <v>4.2</v>
      </c>
      <c r="H13" s="201">
        <v>4.2</v>
      </c>
      <c r="I13" s="200">
        <v>4.2</v>
      </c>
      <c r="J13" s="201">
        <v>4.2</v>
      </c>
      <c r="K13" s="200"/>
      <c r="L13" s="201"/>
    </row>
    <row r="14" spans="1:12" s="2" customFormat="1" ht="15" customHeight="1">
      <c r="A14" s="12">
        <v>2</v>
      </c>
      <c r="B14" s="10" t="str">
        <f>LIDER!F44</f>
        <v>BIANCA FIORELLA CARAZO PUELLO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4.2</v>
      </c>
      <c r="F14" s="202"/>
      <c r="G14" s="200"/>
      <c r="H14" s="201"/>
      <c r="I14" s="200"/>
      <c r="J14" s="201"/>
      <c r="K14" s="200"/>
      <c r="L14" s="201"/>
    </row>
    <row r="15" spans="1:12" s="2" customFormat="1" ht="15" customHeight="1">
      <c r="A15" s="12">
        <v>3</v>
      </c>
      <c r="B15" s="10" t="str">
        <f>LIDER!F45</f>
        <v>LUIS MARIO MARRUGO DIAZ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4.2</v>
      </c>
      <c r="F15" s="202"/>
      <c r="G15" s="200"/>
      <c r="H15" s="201"/>
      <c r="I15" s="200"/>
      <c r="J15" s="201"/>
      <c r="K15" s="200"/>
      <c r="L15" s="201"/>
    </row>
    <row r="16" spans="1:12" s="2" customFormat="1" ht="15" customHeight="1">
      <c r="A16" s="12">
        <v>4</v>
      </c>
      <c r="B16" s="10" t="str">
        <f>LIDER!F46</f>
        <v>SAMANTA QUICENO CAMPUZANO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4.2</v>
      </c>
      <c r="F16" s="202"/>
      <c r="G16" s="200"/>
      <c r="H16" s="201"/>
      <c r="I16" s="200"/>
      <c r="J16" s="201"/>
      <c r="K16" s="200"/>
      <c r="L16" s="201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2"/>
      <c r="G17" s="200"/>
      <c r="H17" s="201"/>
      <c r="I17" s="200"/>
      <c r="J17" s="201"/>
      <c r="K17" s="200"/>
      <c r="L17" s="201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2"/>
      <c r="G18" s="200"/>
      <c r="H18" s="201"/>
      <c r="I18" s="200"/>
      <c r="J18" s="201"/>
      <c r="K18" s="200"/>
      <c r="L18" s="201"/>
    </row>
    <row r="19" spans="1:12" s="2" customFormat="1" ht="15.75" customHeight="1">
      <c r="A19" s="14"/>
      <c r="B19" s="25" t="s">
        <v>66</v>
      </c>
      <c r="C19" s="88" t="s">
        <v>82</v>
      </c>
      <c r="D19" s="32" t="str">
        <f>D12</f>
        <v>LIST</v>
      </c>
      <c r="E19" s="89" t="s">
        <v>80</v>
      </c>
      <c r="F19" s="151" t="str">
        <f>LIDER!$E$31</f>
        <v>GRUPO#3</v>
      </c>
      <c r="G19" s="151"/>
      <c r="H19" s="151"/>
      <c r="I19" s="151"/>
      <c r="J19" s="151"/>
      <c r="K19" s="151"/>
      <c r="L19" s="151"/>
    </row>
    <row r="20" spans="1:12" s="2" customFormat="1" ht="12.75">
      <c r="A20" s="9">
        <v>1</v>
      </c>
      <c r="B20" s="10" t="str">
        <f>LIDER!G43</f>
        <v>ANDRES FELIPE ALFARO LARES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3.5000000000000004</v>
      </c>
      <c r="F20" s="202">
        <v>3.5</v>
      </c>
      <c r="G20" s="200">
        <v>3.5</v>
      </c>
      <c r="H20" s="201">
        <v>3.5</v>
      </c>
      <c r="I20" s="200">
        <v>3.5</v>
      </c>
      <c r="J20" s="201">
        <v>3.5</v>
      </c>
      <c r="K20" s="200"/>
      <c r="L20" s="201"/>
    </row>
    <row r="21" spans="1:12" s="2" customFormat="1" ht="15" customHeight="1">
      <c r="A21" s="12">
        <v>2</v>
      </c>
      <c r="B21" s="10" t="str">
        <f>LIDER!G44</f>
        <v>NICOLE ANDREA BARRAZA CARDOZO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3.5000000000000004</v>
      </c>
      <c r="F21" s="202"/>
      <c r="G21" s="200"/>
      <c r="H21" s="201"/>
      <c r="I21" s="200"/>
      <c r="J21" s="201"/>
      <c r="K21" s="200"/>
      <c r="L21" s="201"/>
    </row>
    <row r="22" spans="1:12" s="2" customFormat="1" ht="15" customHeight="1">
      <c r="A22" s="12">
        <v>3</v>
      </c>
      <c r="B22" s="10" t="str">
        <f>LIDER!G45</f>
        <v>DANIELA BOLAÑOS CUELLAR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3.5000000000000004</v>
      </c>
      <c r="F22" s="202"/>
      <c r="G22" s="200"/>
      <c r="H22" s="201"/>
      <c r="I22" s="200"/>
      <c r="J22" s="201"/>
      <c r="K22" s="200"/>
      <c r="L22" s="201"/>
    </row>
    <row r="23" spans="1:12" s="2" customFormat="1" ht="15" customHeight="1">
      <c r="A23" s="12">
        <v>4</v>
      </c>
      <c r="B23" s="10" t="str">
        <f>LIDER!G46</f>
        <v>LAURA VANESSA POLO CARABALLO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3.5000000000000004</v>
      </c>
      <c r="F23" s="202"/>
      <c r="G23" s="200"/>
      <c r="H23" s="201"/>
      <c r="I23" s="200"/>
      <c r="J23" s="201"/>
      <c r="K23" s="200"/>
      <c r="L23" s="201"/>
    </row>
    <row r="24" spans="1:12" s="2" customFormat="1" ht="15" customHeight="1">
      <c r="A24" s="12">
        <v>5</v>
      </c>
      <c r="B24" s="10" t="str">
        <f>LIDER!G47</f>
        <v>ANDRES FELIPE TOVAR ARRIOLA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3.5000000000000004</v>
      </c>
      <c r="F24" s="202"/>
      <c r="G24" s="200"/>
      <c r="H24" s="201"/>
      <c r="I24" s="200"/>
      <c r="J24" s="201"/>
      <c r="K24" s="200"/>
      <c r="L24" s="201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2"/>
      <c r="G25" s="200"/>
      <c r="H25" s="201"/>
      <c r="I25" s="200"/>
      <c r="J25" s="201"/>
      <c r="K25" s="200"/>
      <c r="L25" s="201"/>
    </row>
    <row r="26" spans="1:12" s="2" customFormat="1" ht="15.75" customHeight="1">
      <c r="A26" s="14"/>
      <c r="B26" s="25" t="s">
        <v>67</v>
      </c>
      <c r="C26" s="88" t="s">
        <v>83</v>
      </c>
      <c r="D26" s="32" t="str">
        <f>D19</f>
        <v>LIST</v>
      </c>
      <c r="E26" s="89" t="s">
        <v>80</v>
      </c>
      <c r="F26" s="151" t="str">
        <f>LIDER!$E$32</f>
        <v>GRUPO#4</v>
      </c>
      <c r="G26" s="151"/>
      <c r="H26" s="151"/>
      <c r="I26" s="151"/>
      <c r="J26" s="151"/>
      <c r="K26" s="151"/>
      <c r="L26" s="151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2"/>
      <c r="G27" s="200"/>
      <c r="H27" s="201"/>
      <c r="I27" s="200"/>
      <c r="J27" s="201"/>
      <c r="K27" s="200"/>
      <c r="L27" s="201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2"/>
      <c r="G28" s="200"/>
      <c r="H28" s="201"/>
      <c r="I28" s="200"/>
      <c r="J28" s="201"/>
      <c r="K28" s="200"/>
      <c r="L28" s="201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2"/>
      <c r="G29" s="200"/>
      <c r="H29" s="201"/>
      <c r="I29" s="200"/>
      <c r="J29" s="201"/>
      <c r="K29" s="200"/>
      <c r="L29" s="201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2"/>
      <c r="G30" s="200"/>
      <c r="H30" s="201"/>
      <c r="I30" s="200"/>
      <c r="J30" s="201"/>
      <c r="K30" s="200"/>
      <c r="L30" s="201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2"/>
      <c r="G31" s="200"/>
      <c r="H31" s="201"/>
      <c r="I31" s="200"/>
      <c r="J31" s="201"/>
      <c r="K31" s="200"/>
      <c r="L31" s="201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2"/>
      <c r="G32" s="200"/>
      <c r="H32" s="201"/>
      <c r="I32" s="200"/>
      <c r="J32" s="201"/>
      <c r="K32" s="200"/>
      <c r="L32" s="201"/>
    </row>
    <row r="33" spans="1:12" s="2" customFormat="1" ht="15.75" customHeight="1">
      <c r="A33" s="14"/>
      <c r="B33" s="25" t="s">
        <v>68</v>
      </c>
      <c r="C33" s="88" t="s">
        <v>84</v>
      </c>
      <c r="D33" s="32" t="str">
        <f>D26</f>
        <v>LIST</v>
      </c>
      <c r="E33" s="89" t="s">
        <v>80</v>
      </c>
      <c r="F33" s="151" t="str">
        <f>LIDER!$E$33</f>
        <v>GRUPO#5</v>
      </c>
      <c r="G33" s="151"/>
      <c r="H33" s="151"/>
      <c r="I33" s="151"/>
      <c r="J33" s="151"/>
      <c r="K33" s="151"/>
      <c r="L33" s="151"/>
    </row>
    <row r="34" spans="1:12" s="2" customFormat="1" ht="12.75">
      <c r="A34" s="9">
        <v>1</v>
      </c>
      <c r="B34" s="10" t="str">
        <f>LIDER!E51</f>
        <v>JESUS DANIEL MOLINA SANCHEZ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3.8</v>
      </c>
      <c r="F34" s="202">
        <v>3.8</v>
      </c>
      <c r="G34" s="200">
        <v>3.8</v>
      </c>
      <c r="H34" s="201">
        <v>3.8</v>
      </c>
      <c r="I34" s="200">
        <v>3.8</v>
      </c>
      <c r="J34" s="201">
        <v>3.8</v>
      </c>
      <c r="K34" s="200"/>
      <c r="L34" s="201"/>
    </row>
    <row r="35" spans="1:12" s="2" customFormat="1" ht="15" customHeight="1">
      <c r="A35" s="12">
        <v>2</v>
      </c>
      <c r="B35" s="10" t="str">
        <f>LIDER!E52</f>
        <v>EDER DARIO PEREZ SALGUEDO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3.8</v>
      </c>
      <c r="F35" s="202"/>
      <c r="G35" s="200"/>
      <c r="H35" s="201"/>
      <c r="I35" s="200"/>
      <c r="J35" s="201"/>
      <c r="K35" s="200"/>
      <c r="L35" s="201"/>
    </row>
    <row r="36" spans="1:12" s="2" customFormat="1" ht="15" customHeight="1">
      <c r="A36" s="12">
        <v>3</v>
      </c>
      <c r="B36" s="10" t="str">
        <f>LIDER!E53</f>
        <v>MANUEL ALEJANDRO POLO MARTINEZ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3.8</v>
      </c>
      <c r="F36" s="202"/>
      <c r="G36" s="200"/>
      <c r="H36" s="201"/>
      <c r="I36" s="200"/>
      <c r="J36" s="201"/>
      <c r="K36" s="200"/>
      <c r="L36" s="201"/>
    </row>
    <row r="37" spans="1:12" s="2" customFormat="1" ht="15" customHeight="1">
      <c r="A37" s="12">
        <v>4</v>
      </c>
      <c r="B37" s="10" t="str">
        <f>LIDER!E54</f>
        <v>DANNA JUDITH SOTO CAMARGO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3.8</v>
      </c>
      <c r="F37" s="202"/>
      <c r="G37" s="200"/>
      <c r="H37" s="201"/>
      <c r="I37" s="200"/>
      <c r="J37" s="201"/>
      <c r="K37" s="200"/>
      <c r="L37" s="201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2"/>
      <c r="G38" s="200"/>
      <c r="H38" s="201"/>
      <c r="I38" s="200"/>
      <c r="J38" s="201"/>
      <c r="K38" s="200"/>
      <c r="L38" s="201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2"/>
      <c r="G39" s="200"/>
      <c r="H39" s="201"/>
      <c r="I39" s="200"/>
      <c r="J39" s="201"/>
      <c r="K39" s="200"/>
      <c r="L39" s="201"/>
    </row>
    <row r="40" spans="1:12" s="2" customFormat="1" ht="15.75" customHeight="1">
      <c r="A40" s="14"/>
      <c r="B40" s="25" t="s">
        <v>69</v>
      </c>
      <c r="C40" s="88" t="s">
        <v>85</v>
      </c>
      <c r="D40" s="32" t="str">
        <f>D33</f>
        <v>LIST</v>
      </c>
      <c r="E40" s="89" t="s">
        <v>80</v>
      </c>
      <c r="F40" s="151" t="str">
        <f>LIDER!$E$34</f>
        <v>GRUPO#6</v>
      </c>
      <c r="G40" s="151"/>
      <c r="H40" s="151"/>
      <c r="I40" s="151"/>
      <c r="J40" s="151"/>
      <c r="K40" s="151"/>
      <c r="L40" s="151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2"/>
      <c r="G41" s="200"/>
      <c r="H41" s="201"/>
      <c r="I41" s="200"/>
      <c r="J41" s="201"/>
      <c r="K41" s="200"/>
      <c r="L41" s="201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2"/>
      <c r="G42" s="200"/>
      <c r="H42" s="201"/>
      <c r="I42" s="200"/>
      <c r="J42" s="201"/>
      <c r="K42" s="200"/>
      <c r="L42" s="201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2"/>
      <c r="G43" s="200"/>
      <c r="H43" s="201"/>
      <c r="I43" s="200"/>
      <c r="J43" s="201"/>
      <c r="K43" s="200"/>
      <c r="L43" s="201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2"/>
      <c r="G44" s="200"/>
      <c r="H44" s="201"/>
      <c r="I44" s="200"/>
      <c r="J44" s="201"/>
      <c r="K44" s="200"/>
      <c r="L44" s="201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2"/>
      <c r="G45" s="200"/>
      <c r="H45" s="201"/>
      <c r="I45" s="200"/>
      <c r="J45" s="201"/>
      <c r="K45" s="200"/>
      <c r="L45" s="201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2"/>
      <c r="G46" s="200"/>
      <c r="H46" s="201"/>
      <c r="I46" s="200"/>
      <c r="J46" s="201"/>
      <c r="K46" s="200"/>
      <c r="L46" s="201"/>
    </row>
    <row r="47" spans="1:12" s="2" customFormat="1" ht="15.75" customHeight="1">
      <c r="A47" s="14"/>
      <c r="B47" s="25" t="s">
        <v>70</v>
      </c>
      <c r="C47" s="88" t="s">
        <v>86</v>
      </c>
      <c r="D47" s="32" t="str">
        <f>D40</f>
        <v>LIST</v>
      </c>
      <c r="E47" s="89" t="s">
        <v>80</v>
      </c>
      <c r="F47" s="151" t="str">
        <f>LIDER!$E$35</f>
        <v>GRUPO#7</v>
      </c>
      <c r="G47" s="151"/>
      <c r="H47" s="151"/>
      <c r="I47" s="151"/>
      <c r="J47" s="151"/>
      <c r="K47" s="151"/>
      <c r="L47" s="15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2"/>
      <c r="G48" s="200"/>
      <c r="H48" s="201"/>
      <c r="I48" s="200"/>
      <c r="J48" s="201"/>
      <c r="K48" s="200"/>
      <c r="L48" s="201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2"/>
      <c r="G49" s="200"/>
      <c r="H49" s="201"/>
      <c r="I49" s="200"/>
      <c r="J49" s="201"/>
      <c r="K49" s="200"/>
      <c r="L49" s="201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2"/>
      <c r="G50" s="200"/>
      <c r="H50" s="201"/>
      <c r="I50" s="200"/>
      <c r="J50" s="201"/>
      <c r="K50" s="200"/>
      <c r="L50" s="201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2"/>
      <c r="G51" s="200"/>
      <c r="H51" s="201"/>
      <c r="I51" s="200"/>
      <c r="J51" s="201"/>
      <c r="K51" s="200"/>
      <c r="L51" s="201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2"/>
      <c r="G52" s="200"/>
      <c r="H52" s="201"/>
      <c r="I52" s="200"/>
      <c r="J52" s="201"/>
      <c r="K52" s="200"/>
      <c r="L52" s="201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2"/>
      <c r="G53" s="200"/>
      <c r="H53" s="201"/>
      <c r="I53" s="200"/>
      <c r="J53" s="201"/>
      <c r="K53" s="200"/>
      <c r="L53" s="201"/>
    </row>
    <row r="54" spans="1:12" s="2" customFormat="1" ht="15.75" customHeight="1">
      <c r="A54" s="14"/>
      <c r="B54" s="25" t="s">
        <v>71</v>
      </c>
      <c r="C54" s="88" t="s">
        <v>87</v>
      </c>
      <c r="D54" s="32" t="str">
        <f>D47</f>
        <v>LIST</v>
      </c>
      <c r="E54" s="89" t="s">
        <v>80</v>
      </c>
      <c r="F54" s="151" t="str">
        <f>LIDER!$E$36</f>
        <v>GRUPO#8</v>
      </c>
      <c r="G54" s="151"/>
      <c r="H54" s="151"/>
      <c r="I54" s="151"/>
      <c r="J54" s="151"/>
      <c r="K54" s="151"/>
      <c r="L54" s="15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2"/>
      <c r="G55" s="200"/>
      <c r="H55" s="201"/>
      <c r="I55" s="200"/>
      <c r="J55" s="201"/>
      <c r="K55" s="200"/>
      <c r="L55" s="201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2"/>
      <c r="G56" s="200"/>
      <c r="H56" s="201"/>
      <c r="I56" s="200"/>
      <c r="J56" s="201"/>
      <c r="K56" s="200"/>
      <c r="L56" s="201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2"/>
      <c r="G57" s="200"/>
      <c r="H57" s="201"/>
      <c r="I57" s="200"/>
      <c r="J57" s="201"/>
      <c r="K57" s="200"/>
      <c r="L57" s="201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2"/>
      <c r="G58" s="200"/>
      <c r="H58" s="201"/>
      <c r="I58" s="200"/>
      <c r="J58" s="201"/>
      <c r="K58" s="200"/>
      <c r="L58" s="201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2"/>
      <c r="G59" s="200"/>
      <c r="H59" s="201"/>
      <c r="I59" s="200"/>
      <c r="J59" s="201"/>
      <c r="K59" s="200"/>
      <c r="L59" s="201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2"/>
      <c r="G60" s="200"/>
      <c r="H60" s="201"/>
      <c r="I60" s="200"/>
      <c r="J60" s="201"/>
      <c r="K60" s="200"/>
      <c r="L60" s="201"/>
    </row>
    <row r="61" spans="1:12" s="2" customFormat="1" ht="15.75" customHeight="1">
      <c r="A61" s="14"/>
      <c r="B61" s="25" t="s">
        <v>72</v>
      </c>
      <c r="C61" s="88" t="s">
        <v>88</v>
      </c>
      <c r="D61" s="32" t="str">
        <f>D54</f>
        <v>LIST</v>
      </c>
      <c r="E61" s="89" t="s">
        <v>80</v>
      </c>
      <c r="F61" s="151" t="str">
        <f>LIDER!$E$37</f>
        <v>GRUPO#9</v>
      </c>
      <c r="G61" s="151"/>
      <c r="H61" s="151"/>
      <c r="I61" s="151"/>
      <c r="J61" s="151"/>
      <c r="K61" s="151"/>
      <c r="L61" s="15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2"/>
      <c r="G62" s="200"/>
      <c r="H62" s="201"/>
      <c r="I62" s="200"/>
      <c r="J62" s="201"/>
      <c r="K62" s="200"/>
      <c r="L62" s="201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2"/>
      <c r="G63" s="200"/>
      <c r="H63" s="201"/>
      <c r="I63" s="200"/>
      <c r="J63" s="201"/>
      <c r="K63" s="200"/>
      <c r="L63" s="201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2"/>
      <c r="G64" s="200"/>
      <c r="H64" s="201"/>
      <c r="I64" s="200"/>
      <c r="J64" s="201"/>
      <c r="K64" s="200"/>
      <c r="L64" s="201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2"/>
      <c r="G65" s="200"/>
      <c r="H65" s="201"/>
      <c r="I65" s="200"/>
      <c r="J65" s="201"/>
      <c r="K65" s="200"/>
      <c r="L65" s="201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2"/>
      <c r="G66" s="200"/>
      <c r="H66" s="201"/>
      <c r="I66" s="200"/>
      <c r="J66" s="201"/>
      <c r="K66" s="200"/>
      <c r="L66" s="201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2"/>
      <c r="G67" s="200"/>
      <c r="H67" s="201"/>
      <c r="I67" s="200"/>
      <c r="J67" s="201"/>
      <c r="K67" s="200"/>
      <c r="L67" s="201"/>
    </row>
    <row r="68" spans="1:12" s="2" customFormat="1" ht="15.75" customHeight="1">
      <c r="A68" s="14"/>
      <c r="B68" s="25" t="s">
        <v>73</v>
      </c>
      <c r="C68" s="88" t="s">
        <v>89</v>
      </c>
      <c r="D68" s="32" t="str">
        <f>D61</f>
        <v>LIST</v>
      </c>
      <c r="E68" s="89" t="s">
        <v>80</v>
      </c>
      <c r="F68" s="151" t="str">
        <f>LIDER!$E$38</f>
        <v>GRUPO#10</v>
      </c>
      <c r="G68" s="151"/>
      <c r="H68" s="151"/>
      <c r="I68" s="151"/>
      <c r="J68" s="151"/>
      <c r="K68" s="151"/>
      <c r="L68" s="15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2"/>
      <c r="G69" s="200"/>
      <c r="H69" s="201"/>
      <c r="I69" s="200"/>
      <c r="J69" s="201"/>
      <c r="K69" s="200"/>
      <c r="L69" s="201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2"/>
      <c r="G70" s="200"/>
      <c r="H70" s="201"/>
      <c r="I70" s="200"/>
      <c r="J70" s="201"/>
      <c r="K70" s="200"/>
      <c r="L70" s="201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2"/>
      <c r="G71" s="200"/>
      <c r="H71" s="201"/>
      <c r="I71" s="200"/>
      <c r="J71" s="201"/>
      <c r="K71" s="200"/>
      <c r="L71" s="201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2"/>
      <c r="G72" s="200"/>
      <c r="H72" s="201"/>
      <c r="I72" s="200"/>
      <c r="J72" s="201"/>
      <c r="K72" s="200"/>
      <c r="L72" s="201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2"/>
      <c r="G73" s="200"/>
      <c r="H73" s="201"/>
      <c r="I73" s="200"/>
      <c r="J73" s="201"/>
      <c r="K73" s="200"/>
      <c r="L73" s="201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2"/>
      <c r="G74" s="200"/>
      <c r="H74" s="201"/>
      <c r="I74" s="200"/>
      <c r="J74" s="201"/>
      <c r="K74" s="200"/>
      <c r="L74" s="201"/>
    </row>
    <row r="75" spans="1:12" s="2" customFormat="1" ht="15.75" customHeight="1">
      <c r="A75" s="14"/>
      <c r="B75" s="25" t="s">
        <v>74</v>
      </c>
      <c r="C75" s="88" t="s">
        <v>90</v>
      </c>
      <c r="D75" s="32" t="str">
        <f>D68</f>
        <v>LIST</v>
      </c>
      <c r="E75" s="89" t="s">
        <v>80</v>
      </c>
      <c r="F75" s="151" t="str">
        <f>LIDER!$E$39</f>
        <v>GRUPO#11</v>
      </c>
      <c r="G75" s="151"/>
      <c r="H75" s="151"/>
      <c r="I75" s="151"/>
      <c r="J75" s="151"/>
      <c r="K75" s="151"/>
      <c r="L75" s="15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2"/>
      <c r="G76" s="200"/>
      <c r="H76" s="201"/>
      <c r="I76" s="200"/>
      <c r="J76" s="201"/>
      <c r="K76" s="200"/>
      <c r="L76" s="201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2"/>
      <c r="G77" s="200"/>
      <c r="H77" s="201"/>
      <c r="I77" s="200"/>
      <c r="J77" s="201"/>
      <c r="K77" s="200"/>
      <c r="L77" s="201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2"/>
      <c r="G78" s="200"/>
      <c r="H78" s="201"/>
      <c r="I78" s="200"/>
      <c r="J78" s="201"/>
      <c r="K78" s="200"/>
      <c r="L78" s="201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2"/>
      <c r="G79" s="200"/>
      <c r="H79" s="201"/>
      <c r="I79" s="200"/>
      <c r="J79" s="201"/>
      <c r="K79" s="200"/>
      <c r="L79" s="201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2"/>
      <c r="G80" s="200"/>
      <c r="H80" s="201"/>
      <c r="I80" s="200"/>
      <c r="J80" s="201"/>
      <c r="K80" s="200"/>
      <c r="L80" s="201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2"/>
      <c r="G81" s="200"/>
      <c r="H81" s="201"/>
      <c r="I81" s="200"/>
      <c r="J81" s="201"/>
      <c r="K81" s="200"/>
      <c r="L81" s="201"/>
    </row>
    <row r="82" spans="1:12" s="2" customFormat="1" ht="15.75" customHeight="1">
      <c r="A82" s="14"/>
      <c r="B82" s="25" t="s">
        <v>75</v>
      </c>
      <c r="C82" s="88" t="s">
        <v>91</v>
      </c>
      <c r="D82" s="32" t="str">
        <f>D75</f>
        <v>LIST</v>
      </c>
      <c r="E82" s="89" t="s">
        <v>80</v>
      </c>
      <c r="F82" s="151" t="str">
        <f>LIDER!$E$40</f>
        <v>GRUPO#12</v>
      </c>
      <c r="G82" s="151"/>
      <c r="H82" s="151"/>
      <c r="I82" s="151"/>
      <c r="J82" s="151"/>
      <c r="K82" s="151"/>
      <c r="L82" s="15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2"/>
      <c r="G83" s="200"/>
      <c r="H83" s="201"/>
      <c r="I83" s="200"/>
      <c r="J83" s="201"/>
      <c r="K83" s="200"/>
      <c r="L83" s="201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2"/>
      <c r="G84" s="200"/>
      <c r="H84" s="201"/>
      <c r="I84" s="200"/>
      <c r="J84" s="201"/>
      <c r="K84" s="200"/>
      <c r="L84" s="201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2"/>
      <c r="G85" s="200"/>
      <c r="H85" s="201"/>
      <c r="I85" s="200"/>
      <c r="J85" s="201"/>
      <c r="K85" s="200"/>
      <c r="L85" s="201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2"/>
      <c r="G86" s="200"/>
      <c r="H86" s="201"/>
      <c r="I86" s="200"/>
      <c r="J86" s="201"/>
      <c r="K86" s="200"/>
      <c r="L86" s="201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2"/>
      <c r="G87" s="200"/>
      <c r="H87" s="201"/>
      <c r="I87" s="200"/>
      <c r="J87" s="201"/>
      <c r="K87" s="200"/>
      <c r="L87" s="201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J83:J88"/>
    <mergeCell ref="K69:K74"/>
    <mergeCell ref="L69:L74"/>
    <mergeCell ref="K76:K81"/>
    <mergeCell ref="L76:L81"/>
    <mergeCell ref="K83:K88"/>
    <mergeCell ref="L83:L88"/>
    <mergeCell ref="F75:L75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62:J67"/>
    <mergeCell ref="K62:K67"/>
    <mergeCell ref="L62:L67"/>
    <mergeCell ref="F55:F60"/>
    <mergeCell ref="G55:G60"/>
    <mergeCell ref="H55:H60"/>
    <mergeCell ref="I55:I60"/>
    <mergeCell ref="J55:J60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" activePane="bottomRight" state="frozen"/>
      <selection pane="bottomRight" activeCell="F13" sqref="F13:J18"/>
      <selection pane="bottomLeft" activeCell="F13" sqref="F13:J18"/>
      <selection pane="topRight" activeCell="F13" sqref="F13:J1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2" t="str">
        <f>LIDER!B2</f>
        <v>TECNOLOGÍA EN GESTIÓN DE NEGOCIOS INTERN</v>
      </c>
      <c r="B1" s="143"/>
      <c r="C1" s="143"/>
      <c r="D1" s="143"/>
      <c r="E1" s="143"/>
      <c r="F1" s="143"/>
      <c r="G1" s="143"/>
      <c r="H1" s="144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LIDER!D4</f>
        <v>ELECTIVA LIBRE SOCIOHUMANÍS I</v>
      </c>
      <c r="C2" s="82"/>
      <c r="D2" s="3"/>
      <c r="F2" s="203" t="s">
        <v>76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CONCATENATE(LIDER!D4," - ",LIDER!D6," - ",LIDER!D5)</f>
        <v>ELECTIVA LIBRE SOCIOHUMANÍS I - 2223 - ALBEIRO YESITH PÉREZ CHIQUILLO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64</v>
      </c>
      <c r="C5" s="88" t="s">
        <v>78</v>
      </c>
      <c r="D5" s="32" t="s">
        <v>79</v>
      </c>
      <c r="E5" s="89" t="s">
        <v>80</v>
      </c>
      <c r="F5" s="151" t="str">
        <f>LIDER!$E$29</f>
        <v>GRUPO#1</v>
      </c>
      <c r="G5" s="151"/>
      <c r="H5" s="151"/>
      <c r="I5" s="151"/>
      <c r="J5" s="151"/>
      <c r="K5" s="151"/>
      <c r="L5" s="151"/>
    </row>
    <row r="6" spans="1:12" s="2" customFormat="1" ht="12.75">
      <c r="A6" s="9">
        <v>1</v>
      </c>
      <c r="B6" s="10" t="str">
        <f>LIDER!E43</f>
        <v>DANIA LICETH ACOSTA SALAZAR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4.0500000000000007</v>
      </c>
      <c r="F6" s="202">
        <v>4.4000000000000004</v>
      </c>
      <c r="G6" s="200">
        <v>4.4000000000000004</v>
      </c>
      <c r="H6" s="201">
        <v>4.2</v>
      </c>
      <c r="I6" s="200">
        <v>3.9</v>
      </c>
      <c r="J6" s="201">
        <v>2.5</v>
      </c>
      <c r="K6" s="200"/>
      <c r="L6" s="201"/>
    </row>
    <row r="7" spans="1:12" s="2" customFormat="1" ht="15" customHeight="1">
      <c r="A7" s="12">
        <v>2</v>
      </c>
      <c r="B7" s="10" t="str">
        <f>LIDER!E44</f>
        <v>LUISA DANIELA ALVAREZ ARGUMEDO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4.0500000000000007</v>
      </c>
      <c r="F7" s="202"/>
      <c r="G7" s="200"/>
      <c r="H7" s="201"/>
      <c r="I7" s="200"/>
      <c r="J7" s="201"/>
      <c r="K7" s="200"/>
      <c r="L7" s="201"/>
    </row>
    <row r="8" spans="1:12" s="2" customFormat="1" ht="15" customHeight="1">
      <c r="A8" s="12">
        <v>3</v>
      </c>
      <c r="B8" s="10" t="str">
        <f>LIDER!E45</f>
        <v>JUAN GARCIA SILVA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4.0500000000000007</v>
      </c>
      <c r="F8" s="202"/>
      <c r="G8" s="200"/>
      <c r="H8" s="201"/>
      <c r="I8" s="200"/>
      <c r="J8" s="201"/>
      <c r="K8" s="200"/>
      <c r="L8" s="201"/>
    </row>
    <row r="9" spans="1:12" s="2" customFormat="1" ht="15" customHeight="1">
      <c r="A9" s="12">
        <v>4</v>
      </c>
      <c r="B9" s="10" t="str">
        <f>LIDER!E46</f>
        <v>LAURA VALENTINA RIVERO MADRID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4.0500000000000007</v>
      </c>
      <c r="F9" s="202"/>
      <c r="G9" s="200"/>
      <c r="H9" s="201"/>
      <c r="I9" s="200"/>
      <c r="J9" s="201"/>
      <c r="K9" s="200"/>
      <c r="L9" s="201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2"/>
      <c r="G10" s="200"/>
      <c r="H10" s="201"/>
      <c r="I10" s="200"/>
      <c r="J10" s="201"/>
      <c r="K10" s="200"/>
      <c r="L10" s="201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2"/>
      <c r="G11" s="200"/>
      <c r="H11" s="201"/>
      <c r="I11" s="200"/>
      <c r="J11" s="201"/>
      <c r="K11" s="200"/>
      <c r="L11" s="201"/>
    </row>
    <row r="12" spans="1:12" s="2" customFormat="1" ht="15.75" customHeight="1" thickBot="1">
      <c r="A12" s="8"/>
      <c r="B12" s="25" t="s">
        <v>65</v>
      </c>
      <c r="C12" s="88" t="s">
        <v>81</v>
      </c>
      <c r="D12" s="32" t="str">
        <f>D5</f>
        <v>LIST</v>
      </c>
      <c r="E12" s="89" t="s">
        <v>80</v>
      </c>
      <c r="F12" s="151" t="str">
        <f>LIDER!$E$30</f>
        <v>GRUPO#2</v>
      </c>
      <c r="G12" s="151"/>
      <c r="H12" s="151"/>
      <c r="I12" s="151"/>
      <c r="J12" s="151"/>
      <c r="K12" s="151"/>
      <c r="L12" s="151"/>
    </row>
    <row r="13" spans="1:12" s="2" customFormat="1" ht="12.75">
      <c r="A13" s="9">
        <v>1</v>
      </c>
      <c r="B13" s="10" t="str">
        <f>LIDER!F43</f>
        <v>NEYS DEL CARMEN ARROYO QUINTANA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3.87</v>
      </c>
      <c r="F13" s="202">
        <v>4</v>
      </c>
      <c r="G13" s="200">
        <v>4</v>
      </c>
      <c r="H13" s="201">
        <v>3.9</v>
      </c>
      <c r="I13" s="200">
        <v>3</v>
      </c>
      <c r="J13" s="201">
        <v>5</v>
      </c>
      <c r="K13" s="200"/>
      <c r="L13" s="201"/>
    </row>
    <row r="14" spans="1:12" s="2" customFormat="1" ht="15" customHeight="1">
      <c r="A14" s="12">
        <v>2</v>
      </c>
      <c r="B14" s="10" t="str">
        <f>LIDER!F44</f>
        <v>BIANCA FIORELLA CARAZO PUELLO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3.87</v>
      </c>
      <c r="F14" s="202"/>
      <c r="G14" s="200"/>
      <c r="H14" s="201"/>
      <c r="I14" s="200"/>
      <c r="J14" s="201"/>
      <c r="K14" s="200"/>
      <c r="L14" s="201"/>
    </row>
    <row r="15" spans="1:12" s="2" customFormat="1" ht="15" customHeight="1">
      <c r="A15" s="12">
        <v>3</v>
      </c>
      <c r="B15" s="10" t="str">
        <f>LIDER!F45</f>
        <v>LUIS MARIO MARRUGO DIAZ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3.87</v>
      </c>
      <c r="F15" s="202"/>
      <c r="G15" s="200"/>
      <c r="H15" s="201"/>
      <c r="I15" s="200"/>
      <c r="J15" s="201"/>
      <c r="K15" s="200"/>
      <c r="L15" s="201"/>
    </row>
    <row r="16" spans="1:12" s="2" customFormat="1" ht="15" customHeight="1">
      <c r="A16" s="12">
        <v>4</v>
      </c>
      <c r="B16" s="10" t="str">
        <f>LIDER!F46</f>
        <v>SAMANTA QUICENO CAMPUZANO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3.87</v>
      </c>
      <c r="F16" s="202"/>
      <c r="G16" s="200"/>
      <c r="H16" s="201"/>
      <c r="I16" s="200"/>
      <c r="J16" s="201"/>
      <c r="K16" s="200"/>
      <c r="L16" s="201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2"/>
      <c r="G17" s="200"/>
      <c r="H17" s="201"/>
      <c r="I17" s="200"/>
      <c r="J17" s="201"/>
      <c r="K17" s="200"/>
      <c r="L17" s="201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2"/>
      <c r="G18" s="200"/>
      <c r="H18" s="201"/>
      <c r="I18" s="200"/>
      <c r="J18" s="201"/>
      <c r="K18" s="200"/>
      <c r="L18" s="201"/>
    </row>
    <row r="19" spans="1:12" s="2" customFormat="1" ht="15.75" customHeight="1">
      <c r="A19" s="14"/>
      <c r="B19" s="25" t="s">
        <v>66</v>
      </c>
      <c r="C19" s="88" t="s">
        <v>82</v>
      </c>
      <c r="D19" s="32" t="str">
        <f>D12</f>
        <v>LIST</v>
      </c>
      <c r="E19" s="89" t="s">
        <v>80</v>
      </c>
      <c r="F19" s="151" t="str">
        <f>LIDER!$E$31</f>
        <v>GRUPO#3</v>
      </c>
      <c r="G19" s="151"/>
      <c r="H19" s="151"/>
      <c r="I19" s="151"/>
      <c r="J19" s="151"/>
      <c r="K19" s="151"/>
      <c r="L19" s="151"/>
    </row>
    <row r="20" spans="1:12" s="2" customFormat="1" ht="12.75">
      <c r="A20" s="9">
        <v>1</v>
      </c>
      <c r="B20" s="10" t="str">
        <f>LIDER!G43</f>
        <v>ANDRES FELIPE ALFARO LARES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3.6500000000000004</v>
      </c>
      <c r="F20" s="202">
        <v>4</v>
      </c>
      <c r="G20" s="200">
        <v>4</v>
      </c>
      <c r="H20" s="201">
        <v>3.9</v>
      </c>
      <c r="I20" s="200">
        <v>3.4</v>
      </c>
      <c r="J20" s="201">
        <v>2</v>
      </c>
      <c r="K20" s="200"/>
      <c r="L20" s="201"/>
    </row>
    <row r="21" spans="1:12" s="2" customFormat="1" ht="15" customHeight="1">
      <c r="A21" s="12">
        <v>2</v>
      </c>
      <c r="B21" s="10" t="str">
        <f>LIDER!G44</f>
        <v>NICOLE ANDREA BARRAZA CARDOZO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3.6500000000000004</v>
      </c>
      <c r="F21" s="202"/>
      <c r="G21" s="200"/>
      <c r="H21" s="201"/>
      <c r="I21" s="200"/>
      <c r="J21" s="201"/>
      <c r="K21" s="200"/>
      <c r="L21" s="201"/>
    </row>
    <row r="22" spans="1:12" s="2" customFormat="1" ht="15" customHeight="1">
      <c r="A22" s="12">
        <v>3</v>
      </c>
      <c r="B22" s="10" t="str">
        <f>LIDER!G45</f>
        <v>DANIELA BOLAÑOS CUELLAR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3.6500000000000004</v>
      </c>
      <c r="F22" s="202"/>
      <c r="G22" s="200"/>
      <c r="H22" s="201"/>
      <c r="I22" s="200"/>
      <c r="J22" s="201"/>
      <c r="K22" s="200"/>
      <c r="L22" s="201"/>
    </row>
    <row r="23" spans="1:12" s="2" customFormat="1" ht="15" customHeight="1">
      <c r="A23" s="12">
        <v>4</v>
      </c>
      <c r="B23" s="10" t="str">
        <f>LIDER!G46</f>
        <v>LAURA VANESSA POLO CARABALLO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3.6500000000000004</v>
      </c>
      <c r="F23" s="202"/>
      <c r="G23" s="200"/>
      <c r="H23" s="201"/>
      <c r="I23" s="200"/>
      <c r="J23" s="201"/>
      <c r="K23" s="200"/>
      <c r="L23" s="201"/>
    </row>
    <row r="24" spans="1:12" s="2" customFormat="1" ht="15" customHeight="1">
      <c r="A24" s="12">
        <v>5</v>
      </c>
      <c r="B24" s="10" t="str">
        <f>LIDER!G47</f>
        <v>ANDRES FELIPE TOVAR ARRIOLA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3.6500000000000004</v>
      </c>
      <c r="F24" s="202"/>
      <c r="G24" s="200"/>
      <c r="H24" s="201"/>
      <c r="I24" s="200"/>
      <c r="J24" s="201"/>
      <c r="K24" s="200"/>
      <c r="L24" s="201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2"/>
      <c r="G25" s="200"/>
      <c r="H25" s="201"/>
      <c r="I25" s="200"/>
      <c r="J25" s="201"/>
      <c r="K25" s="200"/>
      <c r="L25" s="201"/>
    </row>
    <row r="26" spans="1:12" s="2" customFormat="1" ht="15.75" customHeight="1">
      <c r="A26" s="14"/>
      <c r="B26" s="25" t="s">
        <v>67</v>
      </c>
      <c r="C26" s="88" t="s">
        <v>83</v>
      </c>
      <c r="D26" s="32" t="str">
        <f>D19</f>
        <v>LIST</v>
      </c>
      <c r="E26" s="89" t="s">
        <v>80</v>
      </c>
      <c r="F26" s="151" t="str">
        <f>LIDER!$E$32</f>
        <v>GRUPO#4</v>
      </c>
      <c r="G26" s="151"/>
      <c r="H26" s="151"/>
      <c r="I26" s="151"/>
      <c r="J26" s="151"/>
      <c r="K26" s="151"/>
      <c r="L26" s="151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2"/>
      <c r="G27" s="200"/>
      <c r="H27" s="201"/>
      <c r="I27" s="200"/>
      <c r="J27" s="201"/>
      <c r="K27" s="200"/>
      <c r="L27" s="201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2"/>
      <c r="G28" s="200"/>
      <c r="H28" s="201"/>
      <c r="I28" s="200"/>
      <c r="J28" s="201"/>
      <c r="K28" s="200"/>
      <c r="L28" s="201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2"/>
      <c r="G29" s="200"/>
      <c r="H29" s="201"/>
      <c r="I29" s="200"/>
      <c r="J29" s="201"/>
      <c r="K29" s="200"/>
      <c r="L29" s="201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2"/>
      <c r="G30" s="200"/>
      <c r="H30" s="201"/>
      <c r="I30" s="200"/>
      <c r="J30" s="201"/>
      <c r="K30" s="200"/>
      <c r="L30" s="201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2"/>
      <c r="G31" s="200"/>
      <c r="H31" s="201"/>
      <c r="I31" s="200"/>
      <c r="J31" s="201"/>
      <c r="K31" s="200"/>
      <c r="L31" s="201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2"/>
      <c r="G32" s="200"/>
      <c r="H32" s="201"/>
      <c r="I32" s="200"/>
      <c r="J32" s="201"/>
      <c r="K32" s="200"/>
      <c r="L32" s="201"/>
    </row>
    <row r="33" spans="1:12" s="2" customFormat="1" ht="15.75" customHeight="1">
      <c r="A33" s="14"/>
      <c r="B33" s="25" t="s">
        <v>68</v>
      </c>
      <c r="C33" s="88" t="s">
        <v>84</v>
      </c>
      <c r="D33" s="32" t="str">
        <f>D26</f>
        <v>LIST</v>
      </c>
      <c r="E33" s="89" t="s">
        <v>80</v>
      </c>
      <c r="F33" s="151" t="str">
        <f>LIDER!$E$33</f>
        <v>GRUPO#5</v>
      </c>
      <c r="G33" s="151"/>
      <c r="H33" s="151"/>
      <c r="I33" s="151"/>
      <c r="J33" s="151"/>
      <c r="K33" s="151"/>
      <c r="L33" s="151"/>
    </row>
    <row r="34" spans="1:12" s="2" customFormat="1" ht="12.75">
      <c r="A34" s="9">
        <v>1</v>
      </c>
      <c r="B34" s="10" t="str">
        <f>LIDER!E51</f>
        <v>JESUS DANIEL MOLINA SANCHEZ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3.26</v>
      </c>
      <c r="F34" s="202">
        <v>3.8</v>
      </c>
      <c r="G34" s="200">
        <v>4</v>
      </c>
      <c r="H34" s="201">
        <v>4</v>
      </c>
      <c r="I34" s="200">
        <v>2</v>
      </c>
      <c r="J34" s="201">
        <v>1</v>
      </c>
      <c r="K34" s="200"/>
      <c r="L34" s="201"/>
    </row>
    <row r="35" spans="1:12" s="2" customFormat="1" ht="15" customHeight="1">
      <c r="A35" s="12">
        <v>2</v>
      </c>
      <c r="B35" s="10" t="str">
        <f>LIDER!E52</f>
        <v>EDER DARIO PEREZ SALGUEDO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3.26</v>
      </c>
      <c r="F35" s="202"/>
      <c r="G35" s="200"/>
      <c r="H35" s="201"/>
      <c r="I35" s="200"/>
      <c r="J35" s="201"/>
      <c r="K35" s="200"/>
      <c r="L35" s="201"/>
    </row>
    <row r="36" spans="1:12" s="2" customFormat="1" ht="15" customHeight="1">
      <c r="A36" s="12">
        <v>3</v>
      </c>
      <c r="B36" s="10" t="str">
        <f>LIDER!E53</f>
        <v>MANUEL ALEJANDRO POLO MARTINEZ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3.26</v>
      </c>
      <c r="F36" s="202"/>
      <c r="G36" s="200"/>
      <c r="H36" s="201"/>
      <c r="I36" s="200"/>
      <c r="J36" s="201"/>
      <c r="K36" s="200"/>
      <c r="L36" s="201"/>
    </row>
    <row r="37" spans="1:12" s="2" customFormat="1" ht="15" customHeight="1">
      <c r="A37" s="12">
        <v>4</v>
      </c>
      <c r="B37" s="10" t="str">
        <f>LIDER!E54</f>
        <v>DANNA JUDITH SOTO CAMARGO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3.26</v>
      </c>
      <c r="F37" s="202"/>
      <c r="G37" s="200"/>
      <c r="H37" s="201"/>
      <c r="I37" s="200"/>
      <c r="J37" s="201"/>
      <c r="K37" s="200"/>
      <c r="L37" s="201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2"/>
      <c r="G38" s="200"/>
      <c r="H38" s="201"/>
      <c r="I38" s="200"/>
      <c r="J38" s="201"/>
      <c r="K38" s="200"/>
      <c r="L38" s="201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2"/>
      <c r="G39" s="200"/>
      <c r="H39" s="201"/>
      <c r="I39" s="200"/>
      <c r="J39" s="201"/>
      <c r="K39" s="200"/>
      <c r="L39" s="201"/>
    </row>
    <row r="40" spans="1:12" s="2" customFormat="1" ht="15.75" customHeight="1">
      <c r="A40" s="14"/>
      <c r="B40" s="25" t="s">
        <v>69</v>
      </c>
      <c r="C40" s="88" t="s">
        <v>85</v>
      </c>
      <c r="D40" s="32" t="str">
        <f>D33</f>
        <v>LIST</v>
      </c>
      <c r="E40" s="89" t="s">
        <v>80</v>
      </c>
      <c r="F40" s="151" t="str">
        <f>LIDER!$E$34</f>
        <v>GRUPO#6</v>
      </c>
      <c r="G40" s="151"/>
      <c r="H40" s="151"/>
      <c r="I40" s="151"/>
      <c r="J40" s="151"/>
      <c r="K40" s="151"/>
      <c r="L40" s="151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2"/>
      <c r="G41" s="200"/>
      <c r="H41" s="201"/>
      <c r="I41" s="200"/>
      <c r="J41" s="201"/>
      <c r="K41" s="200"/>
      <c r="L41" s="201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2"/>
      <c r="G42" s="200"/>
      <c r="H42" s="201"/>
      <c r="I42" s="200"/>
      <c r="J42" s="201"/>
      <c r="K42" s="200"/>
      <c r="L42" s="201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2"/>
      <c r="G43" s="200"/>
      <c r="H43" s="201"/>
      <c r="I43" s="200"/>
      <c r="J43" s="201"/>
      <c r="K43" s="200"/>
      <c r="L43" s="201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2"/>
      <c r="G44" s="200"/>
      <c r="H44" s="201"/>
      <c r="I44" s="200"/>
      <c r="J44" s="201"/>
      <c r="K44" s="200"/>
      <c r="L44" s="201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2"/>
      <c r="G45" s="200"/>
      <c r="H45" s="201"/>
      <c r="I45" s="200"/>
      <c r="J45" s="201"/>
      <c r="K45" s="200"/>
      <c r="L45" s="201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2"/>
      <c r="G46" s="200"/>
      <c r="H46" s="201"/>
      <c r="I46" s="200"/>
      <c r="J46" s="201"/>
      <c r="K46" s="200"/>
      <c r="L46" s="201"/>
    </row>
    <row r="47" spans="1:12" s="2" customFormat="1" ht="15.75" customHeight="1">
      <c r="A47" s="14"/>
      <c r="B47" s="25" t="s">
        <v>70</v>
      </c>
      <c r="C47" s="88" t="s">
        <v>86</v>
      </c>
      <c r="D47" s="32" t="str">
        <f>D40</f>
        <v>LIST</v>
      </c>
      <c r="E47" s="89" t="s">
        <v>80</v>
      </c>
      <c r="F47" s="151" t="str">
        <f>LIDER!$E$35</f>
        <v>GRUPO#7</v>
      </c>
      <c r="G47" s="151"/>
      <c r="H47" s="151"/>
      <c r="I47" s="151"/>
      <c r="J47" s="151"/>
      <c r="K47" s="151"/>
      <c r="L47" s="15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2"/>
      <c r="G48" s="200"/>
      <c r="H48" s="201"/>
      <c r="I48" s="200"/>
      <c r="J48" s="201"/>
      <c r="K48" s="200"/>
      <c r="L48" s="201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2"/>
      <c r="G49" s="200"/>
      <c r="H49" s="201"/>
      <c r="I49" s="200"/>
      <c r="J49" s="201"/>
      <c r="K49" s="200"/>
      <c r="L49" s="201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2"/>
      <c r="G50" s="200"/>
      <c r="H50" s="201"/>
      <c r="I50" s="200"/>
      <c r="J50" s="201"/>
      <c r="K50" s="200"/>
      <c r="L50" s="201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2"/>
      <c r="G51" s="200"/>
      <c r="H51" s="201"/>
      <c r="I51" s="200"/>
      <c r="J51" s="201"/>
      <c r="K51" s="200"/>
      <c r="L51" s="201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2"/>
      <c r="G52" s="200"/>
      <c r="H52" s="201"/>
      <c r="I52" s="200"/>
      <c r="J52" s="201"/>
      <c r="K52" s="200"/>
      <c r="L52" s="201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2"/>
      <c r="G53" s="200"/>
      <c r="H53" s="201"/>
      <c r="I53" s="200"/>
      <c r="J53" s="201"/>
      <c r="K53" s="200"/>
      <c r="L53" s="201"/>
    </row>
    <row r="54" spans="1:12" s="2" customFormat="1" ht="15.75" customHeight="1">
      <c r="A54" s="14"/>
      <c r="B54" s="25" t="s">
        <v>71</v>
      </c>
      <c r="C54" s="88" t="s">
        <v>87</v>
      </c>
      <c r="D54" s="32" t="str">
        <f>D47</f>
        <v>LIST</v>
      </c>
      <c r="E54" s="89" t="s">
        <v>80</v>
      </c>
      <c r="F54" s="151" t="str">
        <f>LIDER!$E$36</f>
        <v>GRUPO#8</v>
      </c>
      <c r="G54" s="151"/>
      <c r="H54" s="151"/>
      <c r="I54" s="151"/>
      <c r="J54" s="151"/>
      <c r="K54" s="151"/>
      <c r="L54" s="15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2"/>
      <c r="G55" s="200"/>
      <c r="H55" s="201"/>
      <c r="I55" s="200"/>
      <c r="J55" s="201"/>
      <c r="K55" s="200"/>
      <c r="L55" s="201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2"/>
      <c r="G56" s="200"/>
      <c r="H56" s="201"/>
      <c r="I56" s="200"/>
      <c r="J56" s="201"/>
      <c r="K56" s="200"/>
      <c r="L56" s="201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2"/>
      <c r="G57" s="200"/>
      <c r="H57" s="201"/>
      <c r="I57" s="200"/>
      <c r="J57" s="201"/>
      <c r="K57" s="200"/>
      <c r="L57" s="201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2"/>
      <c r="G58" s="200"/>
      <c r="H58" s="201"/>
      <c r="I58" s="200"/>
      <c r="J58" s="201"/>
      <c r="K58" s="200"/>
      <c r="L58" s="201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2"/>
      <c r="G59" s="200"/>
      <c r="H59" s="201"/>
      <c r="I59" s="200"/>
      <c r="J59" s="201"/>
      <c r="K59" s="200"/>
      <c r="L59" s="201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2"/>
      <c r="G60" s="200"/>
      <c r="H60" s="201"/>
      <c r="I60" s="200"/>
      <c r="J60" s="201"/>
      <c r="K60" s="200"/>
      <c r="L60" s="201"/>
    </row>
    <row r="61" spans="1:12" s="2" customFormat="1" ht="15.75" customHeight="1">
      <c r="A61" s="14"/>
      <c r="B61" s="25" t="s">
        <v>72</v>
      </c>
      <c r="C61" s="88" t="s">
        <v>88</v>
      </c>
      <c r="D61" s="32" t="str">
        <f>D54</f>
        <v>LIST</v>
      </c>
      <c r="E61" s="89" t="s">
        <v>80</v>
      </c>
      <c r="F61" s="151" t="str">
        <f>LIDER!$E$37</f>
        <v>GRUPO#9</v>
      </c>
      <c r="G61" s="151"/>
      <c r="H61" s="151"/>
      <c r="I61" s="151"/>
      <c r="J61" s="151"/>
      <c r="K61" s="151"/>
      <c r="L61" s="15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2"/>
      <c r="G62" s="200"/>
      <c r="H62" s="201"/>
      <c r="I62" s="200"/>
      <c r="J62" s="201"/>
      <c r="K62" s="200"/>
      <c r="L62" s="201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2"/>
      <c r="G63" s="200"/>
      <c r="H63" s="201"/>
      <c r="I63" s="200"/>
      <c r="J63" s="201"/>
      <c r="K63" s="200"/>
      <c r="L63" s="201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2"/>
      <c r="G64" s="200"/>
      <c r="H64" s="201"/>
      <c r="I64" s="200"/>
      <c r="J64" s="201"/>
      <c r="K64" s="200"/>
      <c r="L64" s="201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2"/>
      <c r="G65" s="200"/>
      <c r="H65" s="201"/>
      <c r="I65" s="200"/>
      <c r="J65" s="201"/>
      <c r="K65" s="200"/>
      <c r="L65" s="201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2"/>
      <c r="G66" s="200"/>
      <c r="H66" s="201"/>
      <c r="I66" s="200"/>
      <c r="J66" s="201"/>
      <c r="K66" s="200"/>
      <c r="L66" s="201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2"/>
      <c r="G67" s="200"/>
      <c r="H67" s="201"/>
      <c r="I67" s="200"/>
      <c r="J67" s="201"/>
      <c r="K67" s="200"/>
      <c r="L67" s="201"/>
    </row>
    <row r="68" spans="1:12" s="2" customFormat="1" ht="15.75" customHeight="1">
      <c r="A68" s="14"/>
      <c r="B68" s="25" t="s">
        <v>73</v>
      </c>
      <c r="C68" s="88" t="s">
        <v>89</v>
      </c>
      <c r="D68" s="32" t="str">
        <f>D61</f>
        <v>LIST</v>
      </c>
      <c r="E68" s="89" t="s">
        <v>80</v>
      </c>
      <c r="F68" s="151" t="str">
        <f>LIDER!$E$38</f>
        <v>GRUPO#10</v>
      </c>
      <c r="G68" s="151"/>
      <c r="H68" s="151"/>
      <c r="I68" s="151"/>
      <c r="J68" s="151"/>
      <c r="K68" s="151"/>
      <c r="L68" s="15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2"/>
      <c r="G69" s="200"/>
      <c r="H69" s="201"/>
      <c r="I69" s="200"/>
      <c r="J69" s="201"/>
      <c r="K69" s="200"/>
      <c r="L69" s="201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2"/>
      <c r="G70" s="200"/>
      <c r="H70" s="201"/>
      <c r="I70" s="200"/>
      <c r="J70" s="201"/>
      <c r="K70" s="200"/>
      <c r="L70" s="201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2"/>
      <c r="G71" s="200"/>
      <c r="H71" s="201"/>
      <c r="I71" s="200"/>
      <c r="J71" s="201"/>
      <c r="K71" s="200"/>
      <c r="L71" s="201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2"/>
      <c r="G72" s="200"/>
      <c r="H72" s="201"/>
      <c r="I72" s="200"/>
      <c r="J72" s="201"/>
      <c r="K72" s="200"/>
      <c r="L72" s="201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2"/>
      <c r="G73" s="200"/>
      <c r="H73" s="201"/>
      <c r="I73" s="200"/>
      <c r="J73" s="201"/>
      <c r="K73" s="200"/>
      <c r="L73" s="201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2"/>
      <c r="G74" s="200"/>
      <c r="H74" s="201"/>
      <c r="I74" s="200"/>
      <c r="J74" s="201"/>
      <c r="K74" s="200"/>
      <c r="L74" s="201"/>
    </row>
    <row r="75" spans="1:12" s="2" customFormat="1" ht="15.75" customHeight="1">
      <c r="A75" s="14"/>
      <c r="B75" s="25" t="s">
        <v>74</v>
      </c>
      <c r="C75" s="88" t="s">
        <v>90</v>
      </c>
      <c r="D75" s="32" t="str">
        <f>D68</f>
        <v>LIST</v>
      </c>
      <c r="E75" s="89" t="s">
        <v>80</v>
      </c>
      <c r="F75" s="151" t="str">
        <f>LIDER!$E$39</f>
        <v>GRUPO#11</v>
      </c>
      <c r="G75" s="151"/>
      <c r="H75" s="151"/>
      <c r="I75" s="151"/>
      <c r="J75" s="151"/>
      <c r="K75" s="151"/>
      <c r="L75" s="15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2"/>
      <c r="G76" s="200"/>
      <c r="H76" s="201"/>
      <c r="I76" s="200"/>
      <c r="J76" s="201"/>
      <c r="K76" s="200"/>
      <c r="L76" s="201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2"/>
      <c r="G77" s="200"/>
      <c r="H77" s="201"/>
      <c r="I77" s="200"/>
      <c r="J77" s="201"/>
      <c r="K77" s="200"/>
      <c r="L77" s="201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2"/>
      <c r="G78" s="200"/>
      <c r="H78" s="201"/>
      <c r="I78" s="200"/>
      <c r="J78" s="201"/>
      <c r="K78" s="200"/>
      <c r="L78" s="201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2"/>
      <c r="G79" s="200"/>
      <c r="H79" s="201"/>
      <c r="I79" s="200"/>
      <c r="J79" s="201"/>
      <c r="K79" s="200"/>
      <c r="L79" s="201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2"/>
      <c r="G80" s="200"/>
      <c r="H80" s="201"/>
      <c r="I80" s="200"/>
      <c r="J80" s="201"/>
      <c r="K80" s="200"/>
      <c r="L80" s="201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2"/>
      <c r="G81" s="200"/>
      <c r="H81" s="201"/>
      <c r="I81" s="200"/>
      <c r="J81" s="201"/>
      <c r="K81" s="200"/>
      <c r="L81" s="201"/>
    </row>
    <row r="82" spans="1:12" s="2" customFormat="1" ht="15.75" customHeight="1">
      <c r="A82" s="14"/>
      <c r="B82" s="25" t="s">
        <v>75</v>
      </c>
      <c r="C82" s="88" t="s">
        <v>91</v>
      </c>
      <c r="D82" s="32" t="str">
        <f>D75</f>
        <v>LIST</v>
      </c>
      <c r="E82" s="89" t="s">
        <v>80</v>
      </c>
      <c r="F82" s="151" t="str">
        <f>LIDER!$E$40</f>
        <v>GRUPO#12</v>
      </c>
      <c r="G82" s="151"/>
      <c r="H82" s="151"/>
      <c r="I82" s="151"/>
      <c r="J82" s="151"/>
      <c r="K82" s="151"/>
      <c r="L82" s="15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2"/>
      <c r="G83" s="200"/>
      <c r="H83" s="201"/>
      <c r="I83" s="200"/>
      <c r="J83" s="201"/>
      <c r="K83" s="200"/>
      <c r="L83" s="201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2"/>
      <c r="G84" s="200"/>
      <c r="H84" s="201"/>
      <c r="I84" s="200"/>
      <c r="J84" s="201"/>
      <c r="K84" s="200"/>
      <c r="L84" s="201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2"/>
      <c r="G85" s="200"/>
      <c r="H85" s="201"/>
      <c r="I85" s="200"/>
      <c r="J85" s="201"/>
      <c r="K85" s="200"/>
      <c r="L85" s="201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2"/>
      <c r="G86" s="200"/>
      <c r="H86" s="201"/>
      <c r="I86" s="200"/>
      <c r="J86" s="201"/>
      <c r="K86" s="200"/>
      <c r="L86" s="201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2"/>
      <c r="G87" s="200"/>
      <c r="H87" s="201"/>
      <c r="I87" s="200"/>
      <c r="J87" s="201"/>
      <c r="K87" s="200"/>
      <c r="L87" s="201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F13" sqref="F13:J18"/>
      <selection pane="bottomLeft" activeCell="F13" sqref="F13:J18"/>
      <selection pane="topRight" activeCell="F13" sqref="F13:J1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2" t="str">
        <f>LIDER!B2</f>
        <v>TECNOLOGÍA EN GESTIÓN DE NEGOCIOS INTERN</v>
      </c>
      <c r="B1" s="143"/>
      <c r="C1" s="143"/>
      <c r="D1" s="143"/>
      <c r="E1" s="143"/>
      <c r="F1" s="143"/>
      <c r="G1" s="143"/>
      <c r="H1" s="144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LIDER!E4</f>
        <v>TALENTO HUMANO</v>
      </c>
      <c r="C2" s="82"/>
      <c r="D2" s="3"/>
      <c r="F2" s="203" t="s">
        <v>76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CONCATENATE(LIDER!E4," - ",LIDER!E6," - ",LIDER!E5)</f>
        <v>TALENTO HUMANO - 2424 - LILIANA PATRICIA VELLOJIN ORTIZ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64</v>
      </c>
      <c r="C5" s="88" t="s">
        <v>78</v>
      </c>
      <c r="D5" s="32" t="s">
        <v>79</v>
      </c>
      <c r="E5" s="89" t="s">
        <v>80</v>
      </c>
      <c r="F5" s="151" t="str">
        <f>LIDER!$E$29</f>
        <v>GRUPO#1</v>
      </c>
      <c r="G5" s="151"/>
      <c r="H5" s="151"/>
      <c r="I5" s="151"/>
      <c r="J5" s="151"/>
      <c r="K5" s="151"/>
      <c r="L5" s="151"/>
    </row>
    <row r="6" spans="1:12" s="2" customFormat="1" ht="12.75">
      <c r="A6" s="9">
        <v>1</v>
      </c>
      <c r="B6" s="10" t="str">
        <f>LIDER!E43</f>
        <v>DANIA LICETH ACOSTA SALAZAR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2"/>
      <c r="G6" s="200"/>
      <c r="H6" s="201"/>
      <c r="I6" s="200"/>
      <c r="J6" s="201"/>
      <c r="K6" s="200"/>
      <c r="L6" s="201"/>
    </row>
    <row r="7" spans="1:12" s="2" customFormat="1" ht="15" customHeight="1">
      <c r="A7" s="12">
        <v>2</v>
      </c>
      <c r="B7" s="10" t="str">
        <f>LIDER!E44</f>
        <v>LUISA DANIELA ALVAREZ ARGUMEDO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2"/>
      <c r="G7" s="200"/>
      <c r="H7" s="201"/>
      <c r="I7" s="200"/>
      <c r="J7" s="201"/>
      <c r="K7" s="200"/>
      <c r="L7" s="201"/>
    </row>
    <row r="8" spans="1:12" s="2" customFormat="1" ht="15" customHeight="1">
      <c r="A8" s="12">
        <v>3</v>
      </c>
      <c r="B8" s="10" t="str">
        <f>LIDER!E45</f>
        <v>JUAN GARCIA SILVA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2"/>
      <c r="G8" s="200"/>
      <c r="H8" s="201"/>
      <c r="I8" s="200"/>
      <c r="J8" s="201"/>
      <c r="K8" s="200"/>
      <c r="L8" s="201"/>
    </row>
    <row r="9" spans="1:12" s="2" customFormat="1" ht="15" customHeight="1">
      <c r="A9" s="12">
        <v>4</v>
      </c>
      <c r="B9" s="10" t="str">
        <f>LIDER!E46</f>
        <v>LAURA VALENTINA RIVERO MADRID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2"/>
      <c r="G9" s="200"/>
      <c r="H9" s="201"/>
      <c r="I9" s="200"/>
      <c r="J9" s="201"/>
      <c r="K9" s="200"/>
      <c r="L9" s="201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2"/>
      <c r="G10" s="200"/>
      <c r="H10" s="201"/>
      <c r="I10" s="200"/>
      <c r="J10" s="201"/>
      <c r="K10" s="200"/>
      <c r="L10" s="201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2"/>
      <c r="G11" s="200"/>
      <c r="H11" s="201"/>
      <c r="I11" s="200"/>
      <c r="J11" s="201"/>
      <c r="K11" s="200"/>
      <c r="L11" s="201"/>
    </row>
    <row r="12" spans="1:12" s="2" customFormat="1" ht="15.75" customHeight="1" thickBot="1">
      <c r="A12" s="8"/>
      <c r="B12" s="25" t="s">
        <v>65</v>
      </c>
      <c r="C12" s="88" t="s">
        <v>81</v>
      </c>
      <c r="D12" s="32" t="str">
        <f>D5</f>
        <v>LIST</v>
      </c>
      <c r="E12" s="89" t="s">
        <v>80</v>
      </c>
      <c r="F12" s="151" t="str">
        <f>LIDER!$E$30</f>
        <v>GRUPO#2</v>
      </c>
      <c r="G12" s="151"/>
      <c r="H12" s="151"/>
      <c r="I12" s="151"/>
      <c r="J12" s="151"/>
      <c r="K12" s="151"/>
      <c r="L12" s="151"/>
    </row>
    <row r="13" spans="1:12" s="2" customFormat="1" ht="12.75">
      <c r="A13" s="9">
        <v>1</v>
      </c>
      <c r="B13" s="10" t="str">
        <f>LIDER!F43</f>
        <v>NEYS DEL CARMEN ARROYO QUINTANA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2"/>
      <c r="G13" s="200"/>
      <c r="H13" s="201"/>
      <c r="I13" s="200"/>
      <c r="J13" s="201"/>
      <c r="K13" s="200"/>
      <c r="L13" s="201"/>
    </row>
    <row r="14" spans="1:12" s="2" customFormat="1" ht="15" customHeight="1">
      <c r="A14" s="12">
        <v>2</v>
      </c>
      <c r="B14" s="10" t="str">
        <f>LIDER!F44</f>
        <v>BIANCA FIORELLA CARAZO PUELLO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2"/>
      <c r="G14" s="200"/>
      <c r="H14" s="201"/>
      <c r="I14" s="200"/>
      <c r="J14" s="201"/>
      <c r="K14" s="200"/>
      <c r="L14" s="201"/>
    </row>
    <row r="15" spans="1:12" s="2" customFormat="1" ht="15" customHeight="1">
      <c r="A15" s="12">
        <v>3</v>
      </c>
      <c r="B15" s="10" t="str">
        <f>LIDER!F45</f>
        <v>LUIS MARIO MARRUGO DIAZ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2"/>
      <c r="G15" s="200"/>
      <c r="H15" s="201"/>
      <c r="I15" s="200"/>
      <c r="J15" s="201"/>
      <c r="K15" s="200"/>
      <c r="L15" s="201"/>
    </row>
    <row r="16" spans="1:12" s="2" customFormat="1" ht="15" customHeight="1">
      <c r="A16" s="12">
        <v>4</v>
      </c>
      <c r="B16" s="10" t="str">
        <f>LIDER!F46</f>
        <v>SAMANTA QUICENO CAMPUZANO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2"/>
      <c r="G16" s="200"/>
      <c r="H16" s="201"/>
      <c r="I16" s="200"/>
      <c r="J16" s="201"/>
      <c r="K16" s="200"/>
      <c r="L16" s="201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2"/>
      <c r="G17" s="200"/>
      <c r="H17" s="201"/>
      <c r="I17" s="200"/>
      <c r="J17" s="201"/>
      <c r="K17" s="200"/>
      <c r="L17" s="201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2"/>
      <c r="G18" s="200"/>
      <c r="H18" s="201"/>
      <c r="I18" s="200"/>
      <c r="J18" s="201"/>
      <c r="K18" s="200"/>
      <c r="L18" s="201"/>
    </row>
    <row r="19" spans="1:12" s="2" customFormat="1" ht="15.75" customHeight="1">
      <c r="A19" s="14"/>
      <c r="B19" s="25" t="s">
        <v>66</v>
      </c>
      <c r="C19" s="88" t="s">
        <v>82</v>
      </c>
      <c r="D19" s="32" t="str">
        <f>D12</f>
        <v>LIST</v>
      </c>
      <c r="E19" s="89" t="s">
        <v>80</v>
      </c>
      <c r="F19" s="151" t="str">
        <f>LIDER!$E$31</f>
        <v>GRUPO#3</v>
      </c>
      <c r="G19" s="151"/>
      <c r="H19" s="151"/>
      <c r="I19" s="151"/>
      <c r="J19" s="151"/>
      <c r="K19" s="151"/>
      <c r="L19" s="151"/>
    </row>
    <row r="20" spans="1:12" s="2" customFormat="1" ht="12.75">
      <c r="A20" s="9">
        <v>1</v>
      </c>
      <c r="B20" s="10" t="str">
        <f>LIDER!G43</f>
        <v>ANDRES FELIPE ALFARO LARES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2"/>
      <c r="G20" s="200"/>
      <c r="H20" s="201"/>
      <c r="I20" s="200"/>
      <c r="J20" s="201"/>
      <c r="K20" s="200"/>
      <c r="L20" s="201"/>
    </row>
    <row r="21" spans="1:12" s="2" customFormat="1" ht="15" customHeight="1">
      <c r="A21" s="12">
        <v>2</v>
      </c>
      <c r="B21" s="10" t="str">
        <f>LIDER!G44</f>
        <v>NICOLE ANDREA BARRAZA CARDOZO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2"/>
      <c r="G21" s="200"/>
      <c r="H21" s="201"/>
      <c r="I21" s="200"/>
      <c r="J21" s="201"/>
      <c r="K21" s="200"/>
      <c r="L21" s="201"/>
    </row>
    <row r="22" spans="1:12" s="2" customFormat="1" ht="15" customHeight="1">
      <c r="A22" s="12">
        <v>3</v>
      </c>
      <c r="B22" s="10" t="str">
        <f>LIDER!G45</f>
        <v>DANIELA BOLAÑOS CUELLAR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2"/>
      <c r="G22" s="200"/>
      <c r="H22" s="201"/>
      <c r="I22" s="200"/>
      <c r="J22" s="201"/>
      <c r="K22" s="200"/>
      <c r="L22" s="201"/>
    </row>
    <row r="23" spans="1:12" s="2" customFormat="1" ht="15" customHeight="1">
      <c r="A23" s="12">
        <v>4</v>
      </c>
      <c r="B23" s="10" t="str">
        <f>LIDER!G46</f>
        <v>LAURA VANESSA POLO CARABALLO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2"/>
      <c r="G23" s="200"/>
      <c r="H23" s="201"/>
      <c r="I23" s="200"/>
      <c r="J23" s="201"/>
      <c r="K23" s="200"/>
      <c r="L23" s="201"/>
    </row>
    <row r="24" spans="1:12" s="2" customFormat="1" ht="15" customHeight="1">
      <c r="A24" s="12">
        <v>5</v>
      </c>
      <c r="B24" s="10" t="str">
        <f>LIDER!G47</f>
        <v>ANDRES FELIPE TOVAR ARRIOLA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2"/>
      <c r="G24" s="200"/>
      <c r="H24" s="201"/>
      <c r="I24" s="200"/>
      <c r="J24" s="201"/>
      <c r="K24" s="200"/>
      <c r="L24" s="201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2"/>
      <c r="G25" s="200"/>
      <c r="H25" s="201"/>
      <c r="I25" s="200"/>
      <c r="J25" s="201"/>
      <c r="K25" s="200"/>
      <c r="L25" s="201"/>
    </row>
    <row r="26" spans="1:12" s="2" customFormat="1" ht="15.75" customHeight="1">
      <c r="A26" s="14"/>
      <c r="B26" s="25" t="s">
        <v>67</v>
      </c>
      <c r="C26" s="88" t="s">
        <v>83</v>
      </c>
      <c r="D26" s="32" t="str">
        <f>D19</f>
        <v>LIST</v>
      </c>
      <c r="E26" s="89" t="s">
        <v>80</v>
      </c>
      <c r="F26" s="151" t="str">
        <f>LIDER!$E$32</f>
        <v>GRUPO#4</v>
      </c>
      <c r="G26" s="151"/>
      <c r="H26" s="151"/>
      <c r="I26" s="151"/>
      <c r="J26" s="151"/>
      <c r="K26" s="151"/>
      <c r="L26" s="151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2"/>
      <c r="G27" s="200"/>
      <c r="H27" s="201"/>
      <c r="I27" s="200"/>
      <c r="J27" s="201"/>
      <c r="K27" s="200"/>
      <c r="L27" s="201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2"/>
      <c r="G28" s="200"/>
      <c r="H28" s="201"/>
      <c r="I28" s="200"/>
      <c r="J28" s="201"/>
      <c r="K28" s="200"/>
      <c r="L28" s="201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2"/>
      <c r="G29" s="200"/>
      <c r="H29" s="201"/>
      <c r="I29" s="200"/>
      <c r="J29" s="201"/>
      <c r="K29" s="200"/>
      <c r="L29" s="201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2"/>
      <c r="G30" s="200"/>
      <c r="H30" s="201"/>
      <c r="I30" s="200"/>
      <c r="J30" s="201"/>
      <c r="K30" s="200"/>
      <c r="L30" s="201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2"/>
      <c r="G31" s="200"/>
      <c r="H31" s="201"/>
      <c r="I31" s="200"/>
      <c r="J31" s="201"/>
      <c r="K31" s="200"/>
      <c r="L31" s="201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2"/>
      <c r="G32" s="200"/>
      <c r="H32" s="201"/>
      <c r="I32" s="200"/>
      <c r="J32" s="201"/>
      <c r="K32" s="200"/>
      <c r="L32" s="201"/>
    </row>
    <row r="33" spans="1:12" s="2" customFormat="1" ht="15.75" customHeight="1">
      <c r="A33" s="14"/>
      <c r="B33" s="25" t="s">
        <v>68</v>
      </c>
      <c r="C33" s="88" t="s">
        <v>84</v>
      </c>
      <c r="D33" s="32" t="str">
        <f>D26</f>
        <v>LIST</v>
      </c>
      <c r="E33" s="89" t="s">
        <v>80</v>
      </c>
      <c r="F33" s="151" t="str">
        <f>LIDER!$E$33</f>
        <v>GRUPO#5</v>
      </c>
      <c r="G33" s="151"/>
      <c r="H33" s="151"/>
      <c r="I33" s="151"/>
      <c r="J33" s="151"/>
      <c r="K33" s="151"/>
      <c r="L33" s="151"/>
    </row>
    <row r="34" spans="1:12" s="2" customFormat="1" ht="12.75">
      <c r="A34" s="9">
        <v>1</v>
      </c>
      <c r="B34" s="10" t="str">
        <f>LIDER!E51</f>
        <v>JESUS DANIEL MOLINA SANCHEZ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2"/>
      <c r="G34" s="200"/>
      <c r="H34" s="201"/>
      <c r="I34" s="200"/>
      <c r="J34" s="201"/>
      <c r="K34" s="200"/>
      <c r="L34" s="201"/>
    </row>
    <row r="35" spans="1:12" s="2" customFormat="1" ht="15" customHeight="1">
      <c r="A35" s="12">
        <v>2</v>
      </c>
      <c r="B35" s="10" t="str">
        <f>LIDER!E52</f>
        <v>EDER DARIO PEREZ SALGUEDO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2"/>
      <c r="G35" s="200"/>
      <c r="H35" s="201"/>
      <c r="I35" s="200"/>
      <c r="J35" s="201"/>
      <c r="K35" s="200"/>
      <c r="L35" s="201"/>
    </row>
    <row r="36" spans="1:12" s="2" customFormat="1" ht="15" customHeight="1">
      <c r="A36" s="12">
        <v>3</v>
      </c>
      <c r="B36" s="10" t="str">
        <f>LIDER!E53</f>
        <v>MANUEL ALEJANDRO POLO MARTINEZ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2"/>
      <c r="G36" s="200"/>
      <c r="H36" s="201"/>
      <c r="I36" s="200"/>
      <c r="J36" s="201"/>
      <c r="K36" s="200"/>
      <c r="L36" s="201"/>
    </row>
    <row r="37" spans="1:12" s="2" customFormat="1" ht="15" customHeight="1">
      <c r="A37" s="12">
        <v>4</v>
      </c>
      <c r="B37" s="10" t="str">
        <f>LIDER!E54</f>
        <v>DANNA JUDITH SOTO CAMARGO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2"/>
      <c r="G37" s="200"/>
      <c r="H37" s="201"/>
      <c r="I37" s="200"/>
      <c r="J37" s="201"/>
      <c r="K37" s="200"/>
      <c r="L37" s="201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2"/>
      <c r="G38" s="200"/>
      <c r="H38" s="201"/>
      <c r="I38" s="200"/>
      <c r="J38" s="201"/>
      <c r="K38" s="200"/>
      <c r="L38" s="201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2"/>
      <c r="G39" s="200"/>
      <c r="H39" s="201"/>
      <c r="I39" s="200"/>
      <c r="J39" s="201"/>
      <c r="K39" s="200"/>
      <c r="L39" s="201"/>
    </row>
    <row r="40" spans="1:12" s="2" customFormat="1" ht="15.75" customHeight="1">
      <c r="A40" s="14"/>
      <c r="B40" s="25" t="s">
        <v>69</v>
      </c>
      <c r="C40" s="88" t="s">
        <v>85</v>
      </c>
      <c r="D40" s="32" t="str">
        <f>D33</f>
        <v>LIST</v>
      </c>
      <c r="E40" s="89" t="s">
        <v>80</v>
      </c>
      <c r="F40" s="151" t="str">
        <f>LIDER!$E$34</f>
        <v>GRUPO#6</v>
      </c>
      <c r="G40" s="151"/>
      <c r="H40" s="151"/>
      <c r="I40" s="151"/>
      <c r="J40" s="151"/>
      <c r="K40" s="151"/>
      <c r="L40" s="151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2"/>
      <c r="G41" s="200"/>
      <c r="H41" s="201"/>
      <c r="I41" s="200"/>
      <c r="J41" s="201"/>
      <c r="K41" s="200"/>
      <c r="L41" s="201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2"/>
      <c r="G42" s="200"/>
      <c r="H42" s="201"/>
      <c r="I42" s="200"/>
      <c r="J42" s="201"/>
      <c r="K42" s="200"/>
      <c r="L42" s="201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2"/>
      <c r="G43" s="200"/>
      <c r="H43" s="201"/>
      <c r="I43" s="200"/>
      <c r="J43" s="201"/>
      <c r="K43" s="200"/>
      <c r="L43" s="201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2"/>
      <c r="G44" s="200"/>
      <c r="H44" s="201"/>
      <c r="I44" s="200"/>
      <c r="J44" s="201"/>
      <c r="K44" s="200"/>
      <c r="L44" s="201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2"/>
      <c r="G45" s="200"/>
      <c r="H45" s="201"/>
      <c r="I45" s="200"/>
      <c r="J45" s="201"/>
      <c r="K45" s="200"/>
      <c r="L45" s="201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2"/>
      <c r="G46" s="200"/>
      <c r="H46" s="201"/>
      <c r="I46" s="200"/>
      <c r="J46" s="201"/>
      <c r="K46" s="200"/>
      <c r="L46" s="201"/>
    </row>
    <row r="47" spans="1:12" s="2" customFormat="1" ht="15.75" customHeight="1">
      <c r="A47" s="14"/>
      <c r="B47" s="25" t="s">
        <v>70</v>
      </c>
      <c r="C47" s="88" t="s">
        <v>86</v>
      </c>
      <c r="D47" s="32" t="str">
        <f>D40</f>
        <v>LIST</v>
      </c>
      <c r="E47" s="89" t="s">
        <v>80</v>
      </c>
      <c r="F47" s="151" t="str">
        <f>LIDER!$E$35</f>
        <v>GRUPO#7</v>
      </c>
      <c r="G47" s="151"/>
      <c r="H47" s="151"/>
      <c r="I47" s="151"/>
      <c r="J47" s="151"/>
      <c r="K47" s="151"/>
      <c r="L47" s="15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2"/>
      <c r="G48" s="200"/>
      <c r="H48" s="201"/>
      <c r="I48" s="200"/>
      <c r="J48" s="201"/>
      <c r="K48" s="200"/>
      <c r="L48" s="201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2"/>
      <c r="G49" s="200"/>
      <c r="H49" s="201"/>
      <c r="I49" s="200"/>
      <c r="J49" s="201"/>
      <c r="K49" s="200"/>
      <c r="L49" s="201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2"/>
      <c r="G50" s="200"/>
      <c r="H50" s="201"/>
      <c r="I50" s="200"/>
      <c r="J50" s="201"/>
      <c r="K50" s="200"/>
      <c r="L50" s="201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2"/>
      <c r="G51" s="200"/>
      <c r="H51" s="201"/>
      <c r="I51" s="200"/>
      <c r="J51" s="201"/>
      <c r="K51" s="200"/>
      <c r="L51" s="201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2"/>
      <c r="G52" s="200"/>
      <c r="H52" s="201"/>
      <c r="I52" s="200"/>
      <c r="J52" s="201"/>
      <c r="K52" s="200"/>
      <c r="L52" s="201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2"/>
      <c r="G53" s="200"/>
      <c r="H53" s="201"/>
      <c r="I53" s="200"/>
      <c r="J53" s="201"/>
      <c r="K53" s="200"/>
      <c r="L53" s="201"/>
    </row>
    <row r="54" spans="1:12" s="2" customFormat="1" ht="15.75" customHeight="1">
      <c r="A54" s="14"/>
      <c r="B54" s="25" t="s">
        <v>71</v>
      </c>
      <c r="C54" s="88" t="s">
        <v>87</v>
      </c>
      <c r="D54" s="32" t="str">
        <f>D47</f>
        <v>LIST</v>
      </c>
      <c r="E54" s="89" t="s">
        <v>80</v>
      </c>
      <c r="F54" s="151" t="str">
        <f>LIDER!$E$36</f>
        <v>GRUPO#8</v>
      </c>
      <c r="G54" s="151"/>
      <c r="H54" s="151"/>
      <c r="I54" s="151"/>
      <c r="J54" s="151"/>
      <c r="K54" s="151"/>
      <c r="L54" s="15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2"/>
      <c r="G55" s="200"/>
      <c r="H55" s="201"/>
      <c r="I55" s="200"/>
      <c r="J55" s="201"/>
      <c r="K55" s="200"/>
      <c r="L55" s="201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2"/>
      <c r="G56" s="200"/>
      <c r="H56" s="201"/>
      <c r="I56" s="200"/>
      <c r="J56" s="201"/>
      <c r="K56" s="200"/>
      <c r="L56" s="201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2"/>
      <c r="G57" s="200"/>
      <c r="H57" s="201"/>
      <c r="I57" s="200"/>
      <c r="J57" s="201"/>
      <c r="K57" s="200"/>
      <c r="L57" s="201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2"/>
      <c r="G58" s="200"/>
      <c r="H58" s="201"/>
      <c r="I58" s="200"/>
      <c r="J58" s="201"/>
      <c r="K58" s="200"/>
      <c r="L58" s="201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2"/>
      <c r="G59" s="200"/>
      <c r="H59" s="201"/>
      <c r="I59" s="200"/>
      <c r="J59" s="201"/>
      <c r="K59" s="200"/>
      <c r="L59" s="201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2"/>
      <c r="G60" s="200"/>
      <c r="H60" s="201"/>
      <c r="I60" s="200"/>
      <c r="J60" s="201"/>
      <c r="K60" s="200"/>
      <c r="L60" s="201"/>
    </row>
    <row r="61" spans="1:12" s="2" customFormat="1" ht="15.75" customHeight="1">
      <c r="A61" s="14"/>
      <c r="B61" s="25" t="s">
        <v>72</v>
      </c>
      <c r="C61" s="88" t="s">
        <v>88</v>
      </c>
      <c r="D61" s="32" t="str">
        <f>D54</f>
        <v>LIST</v>
      </c>
      <c r="E61" s="89" t="s">
        <v>80</v>
      </c>
      <c r="F61" s="151" t="str">
        <f>LIDER!$E$37</f>
        <v>GRUPO#9</v>
      </c>
      <c r="G61" s="151"/>
      <c r="H61" s="151"/>
      <c r="I61" s="151"/>
      <c r="J61" s="151"/>
      <c r="K61" s="151"/>
      <c r="L61" s="15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2"/>
      <c r="G62" s="200"/>
      <c r="H62" s="201"/>
      <c r="I62" s="200"/>
      <c r="J62" s="201"/>
      <c r="K62" s="200"/>
      <c r="L62" s="201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2"/>
      <c r="G63" s="200"/>
      <c r="H63" s="201"/>
      <c r="I63" s="200"/>
      <c r="J63" s="201"/>
      <c r="K63" s="200"/>
      <c r="L63" s="201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2"/>
      <c r="G64" s="200"/>
      <c r="H64" s="201"/>
      <c r="I64" s="200"/>
      <c r="J64" s="201"/>
      <c r="K64" s="200"/>
      <c r="L64" s="201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2"/>
      <c r="G65" s="200"/>
      <c r="H65" s="201"/>
      <c r="I65" s="200"/>
      <c r="J65" s="201"/>
      <c r="K65" s="200"/>
      <c r="L65" s="201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2"/>
      <c r="G66" s="200"/>
      <c r="H66" s="201"/>
      <c r="I66" s="200"/>
      <c r="J66" s="201"/>
      <c r="K66" s="200"/>
      <c r="L66" s="201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2"/>
      <c r="G67" s="200"/>
      <c r="H67" s="201"/>
      <c r="I67" s="200"/>
      <c r="J67" s="201"/>
      <c r="K67" s="200"/>
      <c r="L67" s="201"/>
    </row>
    <row r="68" spans="1:12" s="2" customFormat="1" ht="15.75" customHeight="1">
      <c r="A68" s="14"/>
      <c r="B68" s="25" t="s">
        <v>73</v>
      </c>
      <c r="C68" s="88" t="s">
        <v>89</v>
      </c>
      <c r="D68" s="32" t="str">
        <f>D61</f>
        <v>LIST</v>
      </c>
      <c r="E68" s="89" t="s">
        <v>80</v>
      </c>
      <c r="F68" s="151" t="str">
        <f>LIDER!$E$38</f>
        <v>GRUPO#10</v>
      </c>
      <c r="G68" s="151"/>
      <c r="H68" s="151"/>
      <c r="I68" s="151"/>
      <c r="J68" s="151"/>
      <c r="K68" s="151"/>
      <c r="L68" s="15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2"/>
      <c r="G69" s="200"/>
      <c r="H69" s="201"/>
      <c r="I69" s="200"/>
      <c r="J69" s="201"/>
      <c r="K69" s="200"/>
      <c r="L69" s="201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2"/>
      <c r="G70" s="200"/>
      <c r="H70" s="201"/>
      <c r="I70" s="200"/>
      <c r="J70" s="201"/>
      <c r="K70" s="200"/>
      <c r="L70" s="201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2"/>
      <c r="G71" s="200"/>
      <c r="H71" s="201"/>
      <c r="I71" s="200"/>
      <c r="J71" s="201"/>
      <c r="K71" s="200"/>
      <c r="L71" s="201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2"/>
      <c r="G72" s="200"/>
      <c r="H72" s="201"/>
      <c r="I72" s="200"/>
      <c r="J72" s="201"/>
      <c r="K72" s="200"/>
      <c r="L72" s="201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2"/>
      <c r="G73" s="200"/>
      <c r="H73" s="201"/>
      <c r="I73" s="200"/>
      <c r="J73" s="201"/>
      <c r="K73" s="200"/>
      <c r="L73" s="201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2"/>
      <c r="G74" s="200"/>
      <c r="H74" s="201"/>
      <c r="I74" s="200"/>
      <c r="J74" s="201"/>
      <c r="K74" s="200"/>
      <c r="L74" s="201"/>
    </row>
    <row r="75" spans="1:12" s="2" customFormat="1" ht="15.75" customHeight="1">
      <c r="A75" s="14"/>
      <c r="B75" s="25" t="s">
        <v>74</v>
      </c>
      <c r="C75" s="88" t="s">
        <v>90</v>
      </c>
      <c r="D75" s="32" t="str">
        <f>D68</f>
        <v>LIST</v>
      </c>
      <c r="E75" s="89" t="s">
        <v>80</v>
      </c>
      <c r="F75" s="151" t="str">
        <f>LIDER!$E$39</f>
        <v>GRUPO#11</v>
      </c>
      <c r="G75" s="151"/>
      <c r="H75" s="151"/>
      <c r="I75" s="151"/>
      <c r="J75" s="151"/>
      <c r="K75" s="151"/>
      <c r="L75" s="15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2"/>
      <c r="G76" s="200"/>
      <c r="H76" s="201"/>
      <c r="I76" s="200"/>
      <c r="J76" s="201"/>
      <c r="K76" s="200"/>
      <c r="L76" s="201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2"/>
      <c r="G77" s="200"/>
      <c r="H77" s="201"/>
      <c r="I77" s="200"/>
      <c r="J77" s="201"/>
      <c r="K77" s="200"/>
      <c r="L77" s="201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2"/>
      <c r="G78" s="200"/>
      <c r="H78" s="201"/>
      <c r="I78" s="200"/>
      <c r="J78" s="201"/>
      <c r="K78" s="200"/>
      <c r="L78" s="201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2"/>
      <c r="G79" s="200"/>
      <c r="H79" s="201"/>
      <c r="I79" s="200"/>
      <c r="J79" s="201"/>
      <c r="K79" s="200"/>
      <c r="L79" s="201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2"/>
      <c r="G80" s="200"/>
      <c r="H80" s="201"/>
      <c r="I80" s="200"/>
      <c r="J80" s="201"/>
      <c r="K80" s="200"/>
      <c r="L80" s="201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2"/>
      <c r="G81" s="200"/>
      <c r="H81" s="201"/>
      <c r="I81" s="200"/>
      <c r="J81" s="201"/>
      <c r="K81" s="200"/>
      <c r="L81" s="201"/>
    </row>
    <row r="82" spans="1:12" s="2" customFormat="1" ht="15.75" customHeight="1">
      <c r="A82" s="14"/>
      <c r="B82" s="25" t="s">
        <v>75</v>
      </c>
      <c r="C82" s="88" t="s">
        <v>91</v>
      </c>
      <c r="D82" s="32" t="str">
        <f>D75</f>
        <v>LIST</v>
      </c>
      <c r="E82" s="89" t="s">
        <v>80</v>
      </c>
      <c r="F82" s="151" t="str">
        <f>LIDER!$E$40</f>
        <v>GRUPO#12</v>
      </c>
      <c r="G82" s="151"/>
      <c r="H82" s="151"/>
      <c r="I82" s="151"/>
      <c r="J82" s="151"/>
      <c r="K82" s="151"/>
      <c r="L82" s="15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2"/>
      <c r="G83" s="200"/>
      <c r="H83" s="201"/>
      <c r="I83" s="200"/>
      <c r="J83" s="201"/>
      <c r="K83" s="200"/>
      <c r="L83" s="201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2"/>
      <c r="G84" s="200"/>
      <c r="H84" s="201"/>
      <c r="I84" s="200"/>
      <c r="J84" s="201"/>
      <c r="K84" s="200"/>
      <c r="L84" s="201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2"/>
      <c r="G85" s="200"/>
      <c r="H85" s="201"/>
      <c r="I85" s="200"/>
      <c r="J85" s="201"/>
      <c r="K85" s="200"/>
      <c r="L85" s="201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2"/>
      <c r="G86" s="200"/>
      <c r="H86" s="201"/>
      <c r="I86" s="200"/>
      <c r="J86" s="201"/>
      <c r="K86" s="200"/>
      <c r="L86" s="201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2"/>
      <c r="G87" s="200"/>
      <c r="H87" s="201"/>
      <c r="I87" s="200"/>
      <c r="J87" s="201"/>
      <c r="K87" s="200"/>
      <c r="L87" s="201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F13" sqref="F13:J18"/>
      <selection pane="bottomLeft" activeCell="F13" sqref="F13:J18"/>
      <selection pane="topRight" activeCell="F13" sqref="F13:J1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2" t="str">
        <f>LIDER!B2</f>
        <v>TECNOLOGÍA EN GESTIÓN DE NEGOCIOS INTERN</v>
      </c>
      <c r="B1" s="143"/>
      <c r="C1" s="143"/>
      <c r="D1" s="143"/>
      <c r="E1" s="143"/>
      <c r="F1" s="143"/>
      <c r="G1" s="143"/>
      <c r="H1" s="144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LIDER!F4</f>
        <v>ELECTIVA DE PROFUNDIZACION II</v>
      </c>
      <c r="C2" s="82"/>
      <c r="D2" s="3"/>
      <c r="F2" s="203" t="s">
        <v>76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CONCATENATE(LIDER!F4," - ",LIDER!F6," - ",LIDER!F5)</f>
        <v>ELECTIVA DE PROFUNDIZACION II - 2432 - JEYSSON STEEVEN ANILLO CARRANZA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64</v>
      </c>
      <c r="C5" s="88" t="s">
        <v>78</v>
      </c>
      <c r="D5" s="32" t="s">
        <v>79</v>
      </c>
      <c r="E5" s="89" t="s">
        <v>80</v>
      </c>
      <c r="F5" s="151" t="str">
        <f>LIDER!$E$29</f>
        <v>GRUPO#1</v>
      </c>
      <c r="G5" s="151"/>
      <c r="H5" s="151"/>
      <c r="I5" s="151"/>
      <c r="J5" s="151"/>
      <c r="K5" s="151"/>
      <c r="L5" s="151"/>
    </row>
    <row r="6" spans="1:12" s="2" customFormat="1" ht="12.75">
      <c r="A6" s="9">
        <v>1</v>
      </c>
      <c r="B6" s="10" t="str">
        <f>LIDER!E43</f>
        <v>DANIA LICETH ACOSTA SALAZAR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3.4700000000000006</v>
      </c>
      <c r="F6" s="202">
        <v>3.7</v>
      </c>
      <c r="G6" s="200">
        <v>3.5</v>
      </c>
      <c r="H6" s="201">
        <v>3.5</v>
      </c>
      <c r="I6" s="200">
        <v>3.4</v>
      </c>
      <c r="J6" s="201">
        <v>3</v>
      </c>
      <c r="K6" s="200"/>
      <c r="L6" s="201"/>
    </row>
    <row r="7" spans="1:12" s="2" customFormat="1" ht="15" customHeight="1">
      <c r="A7" s="12">
        <v>2</v>
      </c>
      <c r="B7" s="10" t="str">
        <f>LIDER!E44</f>
        <v>LUISA DANIELA ALVAREZ ARGUMEDO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3.4700000000000006</v>
      </c>
      <c r="F7" s="202"/>
      <c r="G7" s="200"/>
      <c r="H7" s="201"/>
      <c r="I7" s="200"/>
      <c r="J7" s="201"/>
      <c r="K7" s="200"/>
      <c r="L7" s="201"/>
    </row>
    <row r="8" spans="1:12" s="2" customFormat="1" ht="15" customHeight="1">
      <c r="A8" s="12">
        <v>3</v>
      </c>
      <c r="B8" s="10" t="str">
        <f>LIDER!E45</f>
        <v>JUAN GARCIA SILVA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3.4700000000000006</v>
      </c>
      <c r="F8" s="202"/>
      <c r="G8" s="200"/>
      <c r="H8" s="201"/>
      <c r="I8" s="200"/>
      <c r="J8" s="201"/>
      <c r="K8" s="200"/>
      <c r="L8" s="201"/>
    </row>
    <row r="9" spans="1:12" s="2" customFormat="1" ht="15" customHeight="1">
      <c r="A9" s="12">
        <v>4</v>
      </c>
      <c r="B9" s="10" t="str">
        <f>LIDER!E46</f>
        <v>LAURA VALENTINA RIVERO MADRID</v>
      </c>
      <c r="C9" s="90" t="str">
        <f t="shared" si="0"/>
        <v>G01</v>
      </c>
      <c r="D9" s="96" t="s">
        <v>92</v>
      </c>
      <c r="E9" s="11" t="str">
        <f>IF(B9=0,0,IF(D9="",$F$6*LIDER!$H$9+$G$6*LIDER!$H$10+$H$6*LIDER!$H$11+$I$6*LIDER!$H$12+$J$6*LIDER!$H$13+$K$6*LIDER!$H$14+$L$6*LIDER!$H$15,"N"))</f>
        <v>N</v>
      </c>
      <c r="F9" s="202"/>
      <c r="G9" s="200"/>
      <c r="H9" s="201"/>
      <c r="I9" s="200"/>
      <c r="J9" s="201"/>
      <c r="K9" s="200"/>
      <c r="L9" s="201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2"/>
      <c r="G10" s="200"/>
      <c r="H10" s="201"/>
      <c r="I10" s="200"/>
      <c r="J10" s="201"/>
      <c r="K10" s="200"/>
      <c r="L10" s="201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2"/>
      <c r="G11" s="200"/>
      <c r="H11" s="201"/>
      <c r="I11" s="200"/>
      <c r="J11" s="201"/>
      <c r="K11" s="200"/>
      <c r="L11" s="201"/>
    </row>
    <row r="12" spans="1:12" s="2" customFormat="1" ht="15.75" customHeight="1" thickBot="1">
      <c r="A12" s="8"/>
      <c r="B12" s="25" t="s">
        <v>65</v>
      </c>
      <c r="C12" s="88" t="s">
        <v>81</v>
      </c>
      <c r="D12" s="32" t="str">
        <f>D5</f>
        <v>LIST</v>
      </c>
      <c r="E12" s="89" t="s">
        <v>80</v>
      </c>
      <c r="F12" s="151" t="str">
        <f>LIDER!$E$30</f>
        <v>GRUPO#2</v>
      </c>
      <c r="G12" s="151"/>
      <c r="H12" s="151"/>
      <c r="I12" s="151"/>
      <c r="J12" s="151"/>
      <c r="K12" s="151"/>
      <c r="L12" s="151"/>
    </row>
    <row r="13" spans="1:12" s="2" customFormat="1" ht="12.75">
      <c r="A13" s="9">
        <v>1</v>
      </c>
      <c r="B13" s="10" t="str">
        <f>LIDER!F43</f>
        <v>NEYS DEL CARMEN ARROYO QUINTANA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4.4700000000000006</v>
      </c>
      <c r="F13" s="202">
        <v>4.4000000000000004</v>
      </c>
      <c r="G13" s="200">
        <v>4.5</v>
      </c>
      <c r="H13" s="201">
        <v>4.5999999999999996</v>
      </c>
      <c r="I13" s="200">
        <v>4.3</v>
      </c>
      <c r="J13" s="201">
        <v>4.5</v>
      </c>
      <c r="K13" s="200"/>
      <c r="L13" s="201"/>
    </row>
    <row r="14" spans="1:12" s="2" customFormat="1" ht="15" customHeight="1">
      <c r="A14" s="12">
        <v>2</v>
      </c>
      <c r="B14" s="10" t="str">
        <f>LIDER!F44</f>
        <v>BIANCA FIORELLA CARAZO PUELLO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4.4700000000000006</v>
      </c>
      <c r="F14" s="202"/>
      <c r="G14" s="200"/>
      <c r="H14" s="201"/>
      <c r="I14" s="200"/>
      <c r="J14" s="201"/>
      <c r="K14" s="200"/>
      <c r="L14" s="201"/>
    </row>
    <row r="15" spans="1:12" s="2" customFormat="1" ht="15" customHeight="1">
      <c r="A15" s="12">
        <v>3</v>
      </c>
      <c r="B15" s="10" t="str">
        <f>LIDER!F45</f>
        <v>LUIS MARIO MARRUGO DIAZ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4.4700000000000006</v>
      </c>
      <c r="F15" s="202"/>
      <c r="G15" s="200"/>
      <c r="H15" s="201"/>
      <c r="I15" s="200"/>
      <c r="J15" s="201"/>
      <c r="K15" s="200"/>
      <c r="L15" s="201"/>
    </row>
    <row r="16" spans="1:12" s="2" customFormat="1" ht="15" customHeight="1">
      <c r="A16" s="12">
        <v>4</v>
      </c>
      <c r="B16" s="10" t="str">
        <f>LIDER!F46</f>
        <v>SAMANTA QUICENO CAMPUZANO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4.4700000000000006</v>
      </c>
      <c r="F16" s="202"/>
      <c r="G16" s="200"/>
      <c r="H16" s="201"/>
      <c r="I16" s="200"/>
      <c r="J16" s="201"/>
      <c r="K16" s="200"/>
      <c r="L16" s="201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2"/>
      <c r="G17" s="200"/>
      <c r="H17" s="201"/>
      <c r="I17" s="200"/>
      <c r="J17" s="201"/>
      <c r="K17" s="200"/>
      <c r="L17" s="201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2"/>
      <c r="G18" s="200"/>
      <c r="H18" s="201"/>
      <c r="I18" s="200"/>
      <c r="J18" s="201"/>
      <c r="K18" s="200"/>
      <c r="L18" s="201"/>
    </row>
    <row r="19" spans="1:12" s="2" customFormat="1" ht="15.75" customHeight="1">
      <c r="A19" s="14"/>
      <c r="B19" s="25" t="s">
        <v>66</v>
      </c>
      <c r="C19" s="88" t="s">
        <v>82</v>
      </c>
      <c r="D19" s="32" t="str">
        <f>D12</f>
        <v>LIST</v>
      </c>
      <c r="E19" s="89" t="s">
        <v>80</v>
      </c>
      <c r="F19" s="151" t="str">
        <f>LIDER!$E$31</f>
        <v>GRUPO#3</v>
      </c>
      <c r="G19" s="151"/>
      <c r="H19" s="151"/>
      <c r="I19" s="151"/>
      <c r="J19" s="151"/>
      <c r="K19" s="151"/>
      <c r="L19" s="151"/>
    </row>
    <row r="20" spans="1:12" s="2" customFormat="1" ht="12.75">
      <c r="A20" s="9">
        <v>1</v>
      </c>
      <c r="B20" s="10" t="str">
        <f>LIDER!G43</f>
        <v>ANDRES FELIPE ALFARO LARES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3.3900000000000006</v>
      </c>
      <c r="F20" s="202">
        <v>3.5</v>
      </c>
      <c r="G20" s="200">
        <v>3.4</v>
      </c>
      <c r="H20" s="201">
        <v>3.4</v>
      </c>
      <c r="I20" s="200">
        <v>3.3</v>
      </c>
      <c r="J20" s="201">
        <v>3.3</v>
      </c>
      <c r="K20" s="200"/>
      <c r="L20" s="201"/>
    </row>
    <row r="21" spans="1:12" s="2" customFormat="1" ht="15" customHeight="1">
      <c r="A21" s="12">
        <v>2</v>
      </c>
      <c r="B21" s="10" t="str">
        <f>LIDER!G44</f>
        <v>NICOLE ANDREA BARRAZA CARDOZO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3.3900000000000006</v>
      </c>
      <c r="F21" s="202"/>
      <c r="G21" s="200"/>
      <c r="H21" s="201"/>
      <c r="I21" s="200"/>
      <c r="J21" s="201"/>
      <c r="K21" s="200"/>
      <c r="L21" s="201"/>
    </row>
    <row r="22" spans="1:12" s="2" customFormat="1" ht="15" customHeight="1">
      <c r="A22" s="12">
        <v>3</v>
      </c>
      <c r="B22" s="10" t="str">
        <f>LIDER!G45</f>
        <v>DANIELA BOLAÑOS CUELLAR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3.3900000000000006</v>
      </c>
      <c r="F22" s="202"/>
      <c r="G22" s="200"/>
      <c r="H22" s="201"/>
      <c r="I22" s="200"/>
      <c r="J22" s="201"/>
      <c r="K22" s="200"/>
      <c r="L22" s="201"/>
    </row>
    <row r="23" spans="1:12" s="2" customFormat="1" ht="15" customHeight="1">
      <c r="A23" s="12">
        <v>4</v>
      </c>
      <c r="B23" s="10" t="str">
        <f>LIDER!G46</f>
        <v>LAURA VANESSA POLO CARABALLO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3.3900000000000006</v>
      </c>
      <c r="F23" s="202"/>
      <c r="G23" s="200"/>
      <c r="H23" s="201"/>
      <c r="I23" s="200"/>
      <c r="J23" s="201"/>
      <c r="K23" s="200"/>
      <c r="L23" s="201"/>
    </row>
    <row r="24" spans="1:12" s="2" customFormat="1" ht="15" customHeight="1">
      <c r="A24" s="12">
        <v>5</v>
      </c>
      <c r="B24" s="10" t="str">
        <f>LIDER!G47</f>
        <v>ANDRES FELIPE TOVAR ARRIOLA</v>
      </c>
      <c r="C24" s="90" t="str">
        <f t="shared" si="2"/>
        <v>G03</v>
      </c>
      <c r="D24" s="96" t="s">
        <v>92</v>
      </c>
      <c r="E24" s="11" t="str">
        <f>IF(B24=0,0,IF(D24="",$F$20*LIDER!$H$9+$G$20*LIDER!$H$10+$H$20*LIDER!$H$11+$I$20*LIDER!$H$12+$J$20*LIDER!$H$13+$K$20*LIDER!$H$14+$L$20*LIDER!$H$15,"N"))</f>
        <v>N</v>
      </c>
      <c r="F24" s="202"/>
      <c r="G24" s="200"/>
      <c r="H24" s="201"/>
      <c r="I24" s="200"/>
      <c r="J24" s="201"/>
      <c r="K24" s="200"/>
      <c r="L24" s="201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2"/>
      <c r="G25" s="200"/>
      <c r="H25" s="201"/>
      <c r="I25" s="200"/>
      <c r="J25" s="201"/>
      <c r="K25" s="200"/>
      <c r="L25" s="201"/>
    </row>
    <row r="26" spans="1:12" s="2" customFormat="1" ht="15.75" customHeight="1">
      <c r="A26" s="14"/>
      <c r="B26" s="25" t="s">
        <v>67</v>
      </c>
      <c r="C26" s="88" t="s">
        <v>83</v>
      </c>
      <c r="D26" s="32" t="str">
        <f>D19</f>
        <v>LIST</v>
      </c>
      <c r="E26" s="89" t="s">
        <v>80</v>
      </c>
      <c r="F26" s="151" t="str">
        <f>LIDER!$E$32</f>
        <v>GRUPO#4</v>
      </c>
      <c r="G26" s="151"/>
      <c r="H26" s="151"/>
      <c r="I26" s="151"/>
      <c r="J26" s="151"/>
      <c r="K26" s="151"/>
      <c r="L26" s="151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2"/>
      <c r="G27" s="200"/>
      <c r="H27" s="201"/>
      <c r="I27" s="200"/>
      <c r="J27" s="201"/>
      <c r="K27" s="200"/>
      <c r="L27" s="201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2"/>
      <c r="G28" s="200"/>
      <c r="H28" s="201"/>
      <c r="I28" s="200"/>
      <c r="J28" s="201"/>
      <c r="K28" s="200"/>
      <c r="L28" s="201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2"/>
      <c r="G29" s="200"/>
      <c r="H29" s="201"/>
      <c r="I29" s="200"/>
      <c r="J29" s="201"/>
      <c r="K29" s="200"/>
      <c r="L29" s="201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2"/>
      <c r="G30" s="200"/>
      <c r="H30" s="201"/>
      <c r="I30" s="200"/>
      <c r="J30" s="201"/>
      <c r="K30" s="200"/>
      <c r="L30" s="201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2"/>
      <c r="G31" s="200"/>
      <c r="H31" s="201"/>
      <c r="I31" s="200"/>
      <c r="J31" s="201"/>
      <c r="K31" s="200"/>
      <c r="L31" s="201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2"/>
      <c r="G32" s="200"/>
      <c r="H32" s="201"/>
      <c r="I32" s="200"/>
      <c r="J32" s="201"/>
      <c r="K32" s="200"/>
      <c r="L32" s="201"/>
    </row>
    <row r="33" spans="1:12" s="2" customFormat="1" ht="15.75" customHeight="1">
      <c r="A33" s="14"/>
      <c r="B33" s="25" t="s">
        <v>68</v>
      </c>
      <c r="C33" s="88" t="s">
        <v>84</v>
      </c>
      <c r="D33" s="32" t="str">
        <f>D26</f>
        <v>LIST</v>
      </c>
      <c r="E33" s="89" t="s">
        <v>80</v>
      </c>
      <c r="F33" s="151" t="str">
        <f>LIDER!$E$33</f>
        <v>GRUPO#5</v>
      </c>
      <c r="G33" s="151"/>
      <c r="H33" s="151"/>
      <c r="I33" s="151"/>
      <c r="J33" s="151"/>
      <c r="K33" s="151"/>
      <c r="L33" s="151"/>
    </row>
    <row r="34" spans="1:12" s="2" customFormat="1" ht="12.75">
      <c r="A34" s="9">
        <v>1</v>
      </c>
      <c r="B34" s="10" t="str">
        <f>LIDER!E51</f>
        <v>JESUS DANIEL MOLINA SANCHEZ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2"/>
      <c r="G34" s="200"/>
      <c r="H34" s="201"/>
      <c r="I34" s="200"/>
      <c r="J34" s="201"/>
      <c r="K34" s="200"/>
      <c r="L34" s="201"/>
    </row>
    <row r="35" spans="1:12" s="2" customFormat="1" ht="15" customHeight="1">
      <c r="A35" s="12">
        <v>2</v>
      </c>
      <c r="B35" s="10" t="str">
        <f>LIDER!E52</f>
        <v>EDER DARIO PEREZ SALGUEDO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2"/>
      <c r="G35" s="200"/>
      <c r="H35" s="201"/>
      <c r="I35" s="200"/>
      <c r="J35" s="201"/>
      <c r="K35" s="200"/>
      <c r="L35" s="201"/>
    </row>
    <row r="36" spans="1:12" s="2" customFormat="1" ht="15" customHeight="1">
      <c r="A36" s="12">
        <v>3</v>
      </c>
      <c r="B36" s="10" t="str">
        <f>LIDER!E53</f>
        <v>MANUEL ALEJANDRO POLO MARTINEZ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2"/>
      <c r="G36" s="200"/>
      <c r="H36" s="201"/>
      <c r="I36" s="200"/>
      <c r="J36" s="201"/>
      <c r="K36" s="200"/>
      <c r="L36" s="201"/>
    </row>
    <row r="37" spans="1:12" s="2" customFormat="1" ht="15" customHeight="1">
      <c r="A37" s="12">
        <v>4</v>
      </c>
      <c r="B37" s="10" t="str">
        <f>LIDER!E54</f>
        <v>DANNA JUDITH SOTO CAMARGO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2"/>
      <c r="G37" s="200"/>
      <c r="H37" s="201"/>
      <c r="I37" s="200"/>
      <c r="J37" s="201"/>
      <c r="K37" s="200"/>
      <c r="L37" s="201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2"/>
      <c r="G38" s="200"/>
      <c r="H38" s="201"/>
      <c r="I38" s="200"/>
      <c r="J38" s="201"/>
      <c r="K38" s="200"/>
      <c r="L38" s="201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2"/>
      <c r="G39" s="200"/>
      <c r="H39" s="201"/>
      <c r="I39" s="200"/>
      <c r="J39" s="201"/>
      <c r="K39" s="200"/>
      <c r="L39" s="201"/>
    </row>
    <row r="40" spans="1:12" s="2" customFormat="1" ht="15.75" customHeight="1">
      <c r="A40" s="14"/>
      <c r="B40" s="25" t="s">
        <v>69</v>
      </c>
      <c r="C40" s="88" t="s">
        <v>85</v>
      </c>
      <c r="D40" s="32" t="str">
        <f>D33</f>
        <v>LIST</v>
      </c>
      <c r="E40" s="89" t="s">
        <v>80</v>
      </c>
      <c r="F40" s="151" t="str">
        <f>LIDER!$E$34</f>
        <v>GRUPO#6</v>
      </c>
      <c r="G40" s="151"/>
      <c r="H40" s="151"/>
      <c r="I40" s="151"/>
      <c r="J40" s="151"/>
      <c r="K40" s="151"/>
      <c r="L40" s="151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2"/>
      <c r="G41" s="200"/>
      <c r="H41" s="201"/>
      <c r="I41" s="200"/>
      <c r="J41" s="201"/>
      <c r="K41" s="200"/>
      <c r="L41" s="201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2"/>
      <c r="G42" s="200"/>
      <c r="H42" s="201"/>
      <c r="I42" s="200"/>
      <c r="J42" s="201"/>
      <c r="K42" s="200"/>
      <c r="L42" s="201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2"/>
      <c r="G43" s="200"/>
      <c r="H43" s="201"/>
      <c r="I43" s="200"/>
      <c r="J43" s="201"/>
      <c r="K43" s="200"/>
      <c r="L43" s="201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2"/>
      <c r="G44" s="200"/>
      <c r="H44" s="201"/>
      <c r="I44" s="200"/>
      <c r="J44" s="201"/>
      <c r="K44" s="200"/>
      <c r="L44" s="201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2"/>
      <c r="G45" s="200"/>
      <c r="H45" s="201"/>
      <c r="I45" s="200"/>
      <c r="J45" s="201"/>
      <c r="K45" s="200"/>
      <c r="L45" s="201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2"/>
      <c r="G46" s="200"/>
      <c r="H46" s="201"/>
      <c r="I46" s="200"/>
      <c r="J46" s="201"/>
      <c r="K46" s="200"/>
      <c r="L46" s="201"/>
    </row>
    <row r="47" spans="1:12" s="2" customFormat="1" ht="15.75" customHeight="1">
      <c r="A47" s="14"/>
      <c r="B47" s="25" t="s">
        <v>70</v>
      </c>
      <c r="C47" s="88" t="s">
        <v>86</v>
      </c>
      <c r="D47" s="32" t="str">
        <f>D40</f>
        <v>LIST</v>
      </c>
      <c r="E47" s="89" t="s">
        <v>80</v>
      </c>
      <c r="F47" s="151" t="str">
        <f>LIDER!$E$35</f>
        <v>GRUPO#7</v>
      </c>
      <c r="G47" s="151"/>
      <c r="H47" s="151"/>
      <c r="I47" s="151"/>
      <c r="J47" s="151"/>
      <c r="K47" s="151"/>
      <c r="L47" s="15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2"/>
      <c r="G48" s="200"/>
      <c r="H48" s="201"/>
      <c r="I48" s="200"/>
      <c r="J48" s="201"/>
      <c r="K48" s="200"/>
      <c r="L48" s="201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2"/>
      <c r="G49" s="200"/>
      <c r="H49" s="201"/>
      <c r="I49" s="200"/>
      <c r="J49" s="201"/>
      <c r="K49" s="200"/>
      <c r="L49" s="201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2"/>
      <c r="G50" s="200"/>
      <c r="H50" s="201"/>
      <c r="I50" s="200"/>
      <c r="J50" s="201"/>
      <c r="K50" s="200"/>
      <c r="L50" s="201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2"/>
      <c r="G51" s="200"/>
      <c r="H51" s="201"/>
      <c r="I51" s="200"/>
      <c r="J51" s="201"/>
      <c r="K51" s="200"/>
      <c r="L51" s="201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2"/>
      <c r="G52" s="200"/>
      <c r="H52" s="201"/>
      <c r="I52" s="200"/>
      <c r="J52" s="201"/>
      <c r="K52" s="200"/>
      <c r="L52" s="201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2"/>
      <c r="G53" s="200"/>
      <c r="H53" s="201"/>
      <c r="I53" s="200"/>
      <c r="J53" s="201"/>
      <c r="K53" s="200"/>
      <c r="L53" s="201"/>
    </row>
    <row r="54" spans="1:12" s="2" customFormat="1" ht="15.75" customHeight="1">
      <c r="A54" s="14"/>
      <c r="B54" s="25" t="s">
        <v>71</v>
      </c>
      <c r="C54" s="88" t="s">
        <v>87</v>
      </c>
      <c r="D54" s="32" t="str">
        <f>D47</f>
        <v>LIST</v>
      </c>
      <c r="E54" s="89" t="s">
        <v>80</v>
      </c>
      <c r="F54" s="151" t="str">
        <f>LIDER!$E$36</f>
        <v>GRUPO#8</v>
      </c>
      <c r="G54" s="151"/>
      <c r="H54" s="151"/>
      <c r="I54" s="151"/>
      <c r="J54" s="151"/>
      <c r="K54" s="151"/>
      <c r="L54" s="15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2"/>
      <c r="G55" s="200"/>
      <c r="H55" s="201"/>
      <c r="I55" s="200"/>
      <c r="J55" s="201"/>
      <c r="K55" s="200"/>
      <c r="L55" s="201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2"/>
      <c r="G56" s="200"/>
      <c r="H56" s="201"/>
      <c r="I56" s="200"/>
      <c r="J56" s="201"/>
      <c r="K56" s="200"/>
      <c r="L56" s="201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2"/>
      <c r="G57" s="200"/>
      <c r="H57" s="201"/>
      <c r="I57" s="200"/>
      <c r="J57" s="201"/>
      <c r="K57" s="200"/>
      <c r="L57" s="201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2"/>
      <c r="G58" s="200"/>
      <c r="H58" s="201"/>
      <c r="I58" s="200"/>
      <c r="J58" s="201"/>
      <c r="K58" s="200"/>
      <c r="L58" s="201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2"/>
      <c r="G59" s="200"/>
      <c r="H59" s="201"/>
      <c r="I59" s="200"/>
      <c r="J59" s="201"/>
      <c r="K59" s="200"/>
      <c r="L59" s="201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2"/>
      <c r="G60" s="200"/>
      <c r="H60" s="201"/>
      <c r="I60" s="200"/>
      <c r="J60" s="201"/>
      <c r="K60" s="200"/>
      <c r="L60" s="201"/>
    </row>
    <row r="61" spans="1:12" s="2" customFormat="1" ht="15.75" customHeight="1">
      <c r="A61" s="14"/>
      <c r="B61" s="25" t="s">
        <v>72</v>
      </c>
      <c r="C61" s="88" t="s">
        <v>88</v>
      </c>
      <c r="D61" s="32" t="str">
        <f>D54</f>
        <v>LIST</v>
      </c>
      <c r="E61" s="89" t="s">
        <v>80</v>
      </c>
      <c r="F61" s="151" t="str">
        <f>LIDER!$E$37</f>
        <v>GRUPO#9</v>
      </c>
      <c r="G61" s="151"/>
      <c r="H61" s="151"/>
      <c r="I61" s="151"/>
      <c r="J61" s="151"/>
      <c r="K61" s="151"/>
      <c r="L61" s="15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2"/>
      <c r="G62" s="200"/>
      <c r="H62" s="201"/>
      <c r="I62" s="200"/>
      <c r="J62" s="201"/>
      <c r="K62" s="200"/>
      <c r="L62" s="201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2"/>
      <c r="G63" s="200"/>
      <c r="H63" s="201"/>
      <c r="I63" s="200"/>
      <c r="J63" s="201"/>
      <c r="K63" s="200"/>
      <c r="L63" s="201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2"/>
      <c r="G64" s="200"/>
      <c r="H64" s="201"/>
      <c r="I64" s="200"/>
      <c r="J64" s="201"/>
      <c r="K64" s="200"/>
      <c r="L64" s="201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2"/>
      <c r="G65" s="200"/>
      <c r="H65" s="201"/>
      <c r="I65" s="200"/>
      <c r="J65" s="201"/>
      <c r="K65" s="200"/>
      <c r="L65" s="201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2"/>
      <c r="G66" s="200"/>
      <c r="H66" s="201"/>
      <c r="I66" s="200"/>
      <c r="J66" s="201"/>
      <c r="K66" s="200"/>
      <c r="L66" s="201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2"/>
      <c r="G67" s="200"/>
      <c r="H67" s="201"/>
      <c r="I67" s="200"/>
      <c r="J67" s="201"/>
      <c r="K67" s="200"/>
      <c r="L67" s="201"/>
    </row>
    <row r="68" spans="1:12" s="2" customFormat="1" ht="15.75" customHeight="1">
      <c r="A68" s="14"/>
      <c r="B68" s="25" t="s">
        <v>73</v>
      </c>
      <c r="C68" s="88" t="s">
        <v>89</v>
      </c>
      <c r="D68" s="32" t="str">
        <f>D61</f>
        <v>LIST</v>
      </c>
      <c r="E68" s="89" t="s">
        <v>80</v>
      </c>
      <c r="F68" s="151" t="str">
        <f>LIDER!$E$38</f>
        <v>GRUPO#10</v>
      </c>
      <c r="G68" s="151"/>
      <c r="H68" s="151"/>
      <c r="I68" s="151"/>
      <c r="J68" s="151"/>
      <c r="K68" s="151"/>
      <c r="L68" s="15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2"/>
      <c r="G69" s="200"/>
      <c r="H69" s="201"/>
      <c r="I69" s="200"/>
      <c r="J69" s="201"/>
      <c r="K69" s="200"/>
      <c r="L69" s="201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2"/>
      <c r="G70" s="200"/>
      <c r="H70" s="201"/>
      <c r="I70" s="200"/>
      <c r="J70" s="201"/>
      <c r="K70" s="200"/>
      <c r="L70" s="201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2"/>
      <c r="G71" s="200"/>
      <c r="H71" s="201"/>
      <c r="I71" s="200"/>
      <c r="J71" s="201"/>
      <c r="K71" s="200"/>
      <c r="L71" s="201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2"/>
      <c r="G72" s="200"/>
      <c r="H72" s="201"/>
      <c r="I72" s="200"/>
      <c r="J72" s="201"/>
      <c r="K72" s="200"/>
      <c r="L72" s="201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2"/>
      <c r="G73" s="200"/>
      <c r="H73" s="201"/>
      <c r="I73" s="200"/>
      <c r="J73" s="201"/>
      <c r="K73" s="200"/>
      <c r="L73" s="201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2"/>
      <c r="G74" s="200"/>
      <c r="H74" s="201"/>
      <c r="I74" s="200"/>
      <c r="J74" s="201"/>
      <c r="K74" s="200"/>
      <c r="L74" s="201"/>
    </row>
    <row r="75" spans="1:12" s="2" customFormat="1" ht="15.75" customHeight="1">
      <c r="A75" s="14"/>
      <c r="B75" s="25" t="s">
        <v>74</v>
      </c>
      <c r="C75" s="88" t="s">
        <v>90</v>
      </c>
      <c r="D75" s="32" t="str">
        <f>D68</f>
        <v>LIST</v>
      </c>
      <c r="E75" s="89" t="s">
        <v>80</v>
      </c>
      <c r="F75" s="151" t="str">
        <f>LIDER!$E$39</f>
        <v>GRUPO#11</v>
      </c>
      <c r="G75" s="151"/>
      <c r="H75" s="151"/>
      <c r="I75" s="151"/>
      <c r="J75" s="151"/>
      <c r="K75" s="151"/>
      <c r="L75" s="15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2"/>
      <c r="G76" s="200"/>
      <c r="H76" s="201"/>
      <c r="I76" s="200"/>
      <c r="J76" s="201"/>
      <c r="K76" s="200"/>
      <c r="L76" s="201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2"/>
      <c r="G77" s="200"/>
      <c r="H77" s="201"/>
      <c r="I77" s="200"/>
      <c r="J77" s="201"/>
      <c r="K77" s="200"/>
      <c r="L77" s="201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2"/>
      <c r="G78" s="200"/>
      <c r="H78" s="201"/>
      <c r="I78" s="200"/>
      <c r="J78" s="201"/>
      <c r="K78" s="200"/>
      <c r="L78" s="201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2"/>
      <c r="G79" s="200"/>
      <c r="H79" s="201"/>
      <c r="I79" s="200"/>
      <c r="J79" s="201"/>
      <c r="K79" s="200"/>
      <c r="L79" s="201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2"/>
      <c r="G80" s="200"/>
      <c r="H80" s="201"/>
      <c r="I80" s="200"/>
      <c r="J80" s="201"/>
      <c r="K80" s="200"/>
      <c r="L80" s="201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2"/>
      <c r="G81" s="200"/>
      <c r="H81" s="201"/>
      <c r="I81" s="200"/>
      <c r="J81" s="201"/>
      <c r="K81" s="200"/>
      <c r="L81" s="201"/>
    </row>
    <row r="82" spans="1:12" s="2" customFormat="1" ht="15.75" customHeight="1">
      <c r="A82" s="14"/>
      <c r="B82" s="25" t="s">
        <v>75</v>
      </c>
      <c r="C82" s="88" t="s">
        <v>91</v>
      </c>
      <c r="D82" s="32" t="str">
        <f>D75</f>
        <v>LIST</v>
      </c>
      <c r="E82" s="89" t="s">
        <v>80</v>
      </c>
      <c r="F82" s="151" t="str">
        <f>LIDER!$E$40</f>
        <v>GRUPO#12</v>
      </c>
      <c r="G82" s="151"/>
      <c r="H82" s="151"/>
      <c r="I82" s="151"/>
      <c r="J82" s="151"/>
      <c r="K82" s="151"/>
      <c r="L82" s="15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2"/>
      <c r="G83" s="200"/>
      <c r="H83" s="201"/>
      <c r="I83" s="200"/>
      <c r="J83" s="201"/>
      <c r="K83" s="200"/>
      <c r="L83" s="201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2"/>
      <c r="G84" s="200"/>
      <c r="H84" s="201"/>
      <c r="I84" s="200"/>
      <c r="J84" s="201"/>
      <c r="K84" s="200"/>
      <c r="L84" s="201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2"/>
      <c r="G85" s="200"/>
      <c r="H85" s="201"/>
      <c r="I85" s="200"/>
      <c r="J85" s="201"/>
      <c r="K85" s="200"/>
      <c r="L85" s="201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2"/>
      <c r="G86" s="200"/>
      <c r="H86" s="201"/>
      <c r="I86" s="200"/>
      <c r="J86" s="201"/>
      <c r="K86" s="200"/>
      <c r="L86" s="201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2"/>
      <c r="G87" s="200"/>
      <c r="H87" s="201"/>
      <c r="I87" s="200"/>
      <c r="J87" s="201"/>
      <c r="K87" s="200"/>
      <c r="L87" s="201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F13" sqref="F13:J18"/>
      <selection pane="bottomLeft" activeCell="F13" sqref="F13:J18"/>
      <selection pane="topRight" activeCell="F13" sqref="F13:J1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2" t="str">
        <f>LIDER!B2</f>
        <v>TECNOLOGÍA EN GESTIÓN DE NEGOCIOS INTERN</v>
      </c>
      <c r="B1" s="143"/>
      <c r="C1" s="143"/>
      <c r="D1" s="143"/>
      <c r="E1" s="143"/>
      <c r="F1" s="143"/>
      <c r="G1" s="143"/>
      <c r="H1" s="144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LIDER!G4</f>
        <v>ORGANIZACIÓN Y MÉTODOS DE TRAB</v>
      </c>
      <c r="C2" s="82"/>
      <c r="D2" s="3"/>
      <c r="F2" s="203" t="s">
        <v>76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CONCATENATE(LIDER!G4," - ",LIDER!G6," - ",LIDER!G5)</f>
        <v>ORGANIZACIÓN Y MÉTODOS DE TRAB - 1495 - JOHNNY DE JESUS MENDOZA DORIA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64</v>
      </c>
      <c r="C5" s="88" t="s">
        <v>78</v>
      </c>
      <c r="D5" s="32" t="s">
        <v>79</v>
      </c>
      <c r="E5" s="89" t="s">
        <v>80</v>
      </c>
      <c r="F5" s="151" t="str">
        <f>LIDER!$E$29</f>
        <v>GRUPO#1</v>
      </c>
      <c r="G5" s="151"/>
      <c r="H5" s="151"/>
      <c r="I5" s="151"/>
      <c r="J5" s="151"/>
      <c r="K5" s="151"/>
      <c r="L5" s="151"/>
    </row>
    <row r="6" spans="1:12" s="2" customFormat="1" ht="12.75">
      <c r="A6" s="9">
        <v>1</v>
      </c>
      <c r="B6" s="10" t="str">
        <f>LIDER!E43</f>
        <v>DANIA LICETH ACOSTA SALAZAR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2"/>
      <c r="G6" s="200"/>
      <c r="H6" s="201"/>
      <c r="I6" s="200"/>
      <c r="J6" s="201"/>
      <c r="K6" s="200"/>
      <c r="L6" s="201"/>
    </row>
    <row r="7" spans="1:12" s="2" customFormat="1" ht="15" customHeight="1">
      <c r="A7" s="12">
        <v>2</v>
      </c>
      <c r="B7" s="10" t="str">
        <f>LIDER!E44</f>
        <v>LUISA DANIELA ALVAREZ ARGUMEDO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2"/>
      <c r="G7" s="200"/>
      <c r="H7" s="201"/>
      <c r="I7" s="200"/>
      <c r="J7" s="201"/>
      <c r="K7" s="200"/>
      <c r="L7" s="201"/>
    </row>
    <row r="8" spans="1:12" s="2" customFormat="1" ht="15" customHeight="1">
      <c r="A8" s="12">
        <v>3</v>
      </c>
      <c r="B8" s="10" t="str">
        <f>LIDER!E45</f>
        <v>JUAN GARCIA SILVA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2"/>
      <c r="G8" s="200"/>
      <c r="H8" s="201"/>
      <c r="I8" s="200"/>
      <c r="J8" s="201"/>
      <c r="K8" s="200"/>
      <c r="L8" s="201"/>
    </row>
    <row r="9" spans="1:12" s="2" customFormat="1" ht="15" customHeight="1">
      <c r="A9" s="12">
        <v>4</v>
      </c>
      <c r="B9" s="10" t="str">
        <f>LIDER!E46</f>
        <v>LAURA VALENTINA RIVERO MADRID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2"/>
      <c r="G9" s="200"/>
      <c r="H9" s="201"/>
      <c r="I9" s="200"/>
      <c r="J9" s="201"/>
      <c r="K9" s="200"/>
      <c r="L9" s="201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2"/>
      <c r="G10" s="200"/>
      <c r="H10" s="201"/>
      <c r="I10" s="200"/>
      <c r="J10" s="201"/>
      <c r="K10" s="200"/>
      <c r="L10" s="201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2"/>
      <c r="G11" s="200"/>
      <c r="H11" s="201"/>
      <c r="I11" s="200"/>
      <c r="J11" s="201"/>
      <c r="K11" s="200"/>
      <c r="L11" s="201"/>
    </row>
    <row r="12" spans="1:12" s="2" customFormat="1" ht="15.75" customHeight="1" thickBot="1">
      <c r="A12" s="8"/>
      <c r="B12" s="25" t="s">
        <v>65</v>
      </c>
      <c r="C12" s="88" t="s">
        <v>81</v>
      </c>
      <c r="D12" s="32" t="str">
        <f>D5</f>
        <v>LIST</v>
      </c>
      <c r="E12" s="89" t="s">
        <v>80</v>
      </c>
      <c r="F12" s="151" t="str">
        <f>LIDER!$E$30</f>
        <v>GRUPO#2</v>
      </c>
      <c r="G12" s="151"/>
      <c r="H12" s="151"/>
      <c r="I12" s="151"/>
      <c r="J12" s="151"/>
      <c r="K12" s="151"/>
      <c r="L12" s="151"/>
    </row>
    <row r="13" spans="1:12" s="2" customFormat="1" ht="12.75">
      <c r="A13" s="9">
        <v>1</v>
      </c>
      <c r="B13" s="10" t="str">
        <f>LIDER!F43</f>
        <v>NEYS DEL CARMEN ARROYO QUINTANA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2"/>
      <c r="G13" s="200"/>
      <c r="H13" s="201"/>
      <c r="I13" s="200"/>
      <c r="J13" s="201"/>
      <c r="K13" s="200"/>
      <c r="L13" s="201"/>
    </row>
    <row r="14" spans="1:12" s="2" customFormat="1" ht="15" customHeight="1">
      <c r="A14" s="12">
        <v>2</v>
      </c>
      <c r="B14" s="10" t="str">
        <f>LIDER!F44</f>
        <v>BIANCA FIORELLA CARAZO PUELLO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2"/>
      <c r="G14" s="200"/>
      <c r="H14" s="201"/>
      <c r="I14" s="200"/>
      <c r="J14" s="201"/>
      <c r="K14" s="200"/>
      <c r="L14" s="201"/>
    </row>
    <row r="15" spans="1:12" s="2" customFormat="1" ht="15" customHeight="1">
      <c r="A15" s="12">
        <v>3</v>
      </c>
      <c r="B15" s="10" t="str">
        <f>LIDER!F45</f>
        <v>LUIS MARIO MARRUGO DIAZ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2"/>
      <c r="G15" s="200"/>
      <c r="H15" s="201"/>
      <c r="I15" s="200"/>
      <c r="J15" s="201"/>
      <c r="K15" s="200"/>
      <c r="L15" s="201"/>
    </row>
    <row r="16" spans="1:12" s="2" customFormat="1" ht="15" customHeight="1">
      <c r="A16" s="12">
        <v>4</v>
      </c>
      <c r="B16" s="10" t="str">
        <f>LIDER!F46</f>
        <v>SAMANTA QUICENO CAMPUZANO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2"/>
      <c r="G16" s="200"/>
      <c r="H16" s="201"/>
      <c r="I16" s="200"/>
      <c r="J16" s="201"/>
      <c r="K16" s="200"/>
      <c r="L16" s="201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2"/>
      <c r="G17" s="200"/>
      <c r="H17" s="201"/>
      <c r="I17" s="200"/>
      <c r="J17" s="201"/>
      <c r="K17" s="200"/>
      <c r="L17" s="201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2"/>
      <c r="G18" s="200"/>
      <c r="H18" s="201"/>
      <c r="I18" s="200"/>
      <c r="J18" s="201"/>
      <c r="K18" s="200"/>
      <c r="L18" s="201"/>
    </row>
    <row r="19" spans="1:12" s="2" customFormat="1" ht="15.75" customHeight="1">
      <c r="A19" s="14"/>
      <c r="B19" s="25" t="s">
        <v>66</v>
      </c>
      <c r="C19" s="88" t="s">
        <v>82</v>
      </c>
      <c r="D19" s="32" t="str">
        <f>D12</f>
        <v>LIST</v>
      </c>
      <c r="E19" s="89" t="s">
        <v>80</v>
      </c>
      <c r="F19" s="151" t="str">
        <f>LIDER!$E$31</f>
        <v>GRUPO#3</v>
      </c>
      <c r="G19" s="151"/>
      <c r="H19" s="151"/>
      <c r="I19" s="151"/>
      <c r="J19" s="151"/>
      <c r="K19" s="151"/>
      <c r="L19" s="151"/>
    </row>
    <row r="20" spans="1:12" s="2" customFormat="1" ht="12.75">
      <c r="A20" s="9">
        <v>1</v>
      </c>
      <c r="B20" s="10" t="str">
        <f>LIDER!G43</f>
        <v>ANDRES FELIPE ALFARO LARES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2"/>
      <c r="G20" s="200"/>
      <c r="H20" s="201"/>
      <c r="I20" s="200"/>
      <c r="J20" s="201"/>
      <c r="K20" s="200"/>
      <c r="L20" s="201"/>
    </row>
    <row r="21" spans="1:12" s="2" customFormat="1" ht="15" customHeight="1">
      <c r="A21" s="12">
        <v>2</v>
      </c>
      <c r="B21" s="10" t="str">
        <f>LIDER!G44</f>
        <v>NICOLE ANDREA BARRAZA CARDOZO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2"/>
      <c r="G21" s="200"/>
      <c r="H21" s="201"/>
      <c r="I21" s="200"/>
      <c r="J21" s="201"/>
      <c r="K21" s="200"/>
      <c r="L21" s="201"/>
    </row>
    <row r="22" spans="1:12" s="2" customFormat="1" ht="15" customHeight="1">
      <c r="A22" s="12">
        <v>3</v>
      </c>
      <c r="B22" s="10" t="str">
        <f>LIDER!G45</f>
        <v>DANIELA BOLAÑOS CUELLAR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2"/>
      <c r="G22" s="200"/>
      <c r="H22" s="201"/>
      <c r="I22" s="200"/>
      <c r="J22" s="201"/>
      <c r="K22" s="200"/>
      <c r="L22" s="201"/>
    </row>
    <row r="23" spans="1:12" s="2" customFormat="1" ht="15" customHeight="1">
      <c r="A23" s="12">
        <v>4</v>
      </c>
      <c r="B23" s="10" t="str">
        <f>LIDER!G46</f>
        <v>LAURA VANESSA POLO CARABALLO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2"/>
      <c r="G23" s="200"/>
      <c r="H23" s="201"/>
      <c r="I23" s="200"/>
      <c r="J23" s="201"/>
      <c r="K23" s="200"/>
      <c r="L23" s="201"/>
    </row>
    <row r="24" spans="1:12" s="2" customFormat="1" ht="15" customHeight="1">
      <c r="A24" s="12">
        <v>5</v>
      </c>
      <c r="B24" s="10" t="str">
        <f>LIDER!G47</f>
        <v>ANDRES FELIPE TOVAR ARRIOLA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2"/>
      <c r="G24" s="200"/>
      <c r="H24" s="201"/>
      <c r="I24" s="200"/>
      <c r="J24" s="201"/>
      <c r="K24" s="200"/>
      <c r="L24" s="201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2"/>
      <c r="G25" s="200"/>
      <c r="H25" s="201"/>
      <c r="I25" s="200"/>
      <c r="J25" s="201"/>
      <c r="K25" s="200"/>
      <c r="L25" s="201"/>
    </row>
    <row r="26" spans="1:12" s="2" customFormat="1" ht="15.75" customHeight="1">
      <c r="A26" s="14"/>
      <c r="B26" s="25" t="s">
        <v>67</v>
      </c>
      <c r="C26" s="88" t="s">
        <v>83</v>
      </c>
      <c r="D26" s="32" t="str">
        <f>D19</f>
        <v>LIST</v>
      </c>
      <c r="E26" s="89" t="s">
        <v>80</v>
      </c>
      <c r="F26" s="151" t="str">
        <f>LIDER!$E$32</f>
        <v>GRUPO#4</v>
      </c>
      <c r="G26" s="151"/>
      <c r="H26" s="151"/>
      <c r="I26" s="151"/>
      <c r="J26" s="151"/>
      <c r="K26" s="151"/>
      <c r="L26" s="151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2"/>
      <c r="G27" s="200"/>
      <c r="H27" s="201"/>
      <c r="I27" s="200"/>
      <c r="J27" s="201"/>
      <c r="K27" s="200"/>
      <c r="L27" s="201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2"/>
      <c r="G28" s="200"/>
      <c r="H28" s="201"/>
      <c r="I28" s="200"/>
      <c r="J28" s="201"/>
      <c r="K28" s="200"/>
      <c r="L28" s="201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2"/>
      <c r="G29" s="200"/>
      <c r="H29" s="201"/>
      <c r="I29" s="200"/>
      <c r="J29" s="201"/>
      <c r="K29" s="200"/>
      <c r="L29" s="201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2"/>
      <c r="G30" s="200"/>
      <c r="H30" s="201"/>
      <c r="I30" s="200"/>
      <c r="J30" s="201"/>
      <c r="K30" s="200"/>
      <c r="L30" s="201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2"/>
      <c r="G31" s="200"/>
      <c r="H31" s="201"/>
      <c r="I31" s="200"/>
      <c r="J31" s="201"/>
      <c r="K31" s="200"/>
      <c r="L31" s="201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2"/>
      <c r="G32" s="200"/>
      <c r="H32" s="201"/>
      <c r="I32" s="200"/>
      <c r="J32" s="201"/>
      <c r="K32" s="200"/>
      <c r="L32" s="201"/>
    </row>
    <row r="33" spans="1:12" s="2" customFormat="1" ht="15.75" customHeight="1">
      <c r="A33" s="14"/>
      <c r="B33" s="25" t="s">
        <v>68</v>
      </c>
      <c r="C33" s="88" t="s">
        <v>84</v>
      </c>
      <c r="D33" s="32" t="str">
        <f>D26</f>
        <v>LIST</v>
      </c>
      <c r="E33" s="89" t="s">
        <v>80</v>
      </c>
      <c r="F33" s="151" t="str">
        <f>LIDER!$E$33</f>
        <v>GRUPO#5</v>
      </c>
      <c r="G33" s="151"/>
      <c r="H33" s="151"/>
      <c r="I33" s="151"/>
      <c r="J33" s="151"/>
      <c r="K33" s="151"/>
      <c r="L33" s="151"/>
    </row>
    <row r="34" spans="1:12" s="2" customFormat="1" ht="12.75">
      <c r="A34" s="9">
        <v>1</v>
      </c>
      <c r="B34" s="10" t="str">
        <f>LIDER!E51</f>
        <v>JESUS DANIEL MOLINA SANCHEZ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2"/>
      <c r="G34" s="200"/>
      <c r="H34" s="201"/>
      <c r="I34" s="200"/>
      <c r="J34" s="201"/>
      <c r="K34" s="200"/>
      <c r="L34" s="201"/>
    </row>
    <row r="35" spans="1:12" s="2" customFormat="1" ht="15" customHeight="1">
      <c r="A35" s="12">
        <v>2</v>
      </c>
      <c r="B35" s="10" t="str">
        <f>LIDER!E52</f>
        <v>EDER DARIO PEREZ SALGUEDO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2"/>
      <c r="G35" s="200"/>
      <c r="H35" s="201"/>
      <c r="I35" s="200"/>
      <c r="J35" s="201"/>
      <c r="K35" s="200"/>
      <c r="L35" s="201"/>
    </row>
    <row r="36" spans="1:12" s="2" customFormat="1" ht="15" customHeight="1">
      <c r="A36" s="12">
        <v>3</v>
      </c>
      <c r="B36" s="10" t="str">
        <f>LIDER!E53</f>
        <v>MANUEL ALEJANDRO POLO MARTINEZ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2"/>
      <c r="G36" s="200"/>
      <c r="H36" s="201"/>
      <c r="I36" s="200"/>
      <c r="J36" s="201"/>
      <c r="K36" s="200"/>
      <c r="L36" s="201"/>
    </row>
    <row r="37" spans="1:12" s="2" customFormat="1" ht="15" customHeight="1">
      <c r="A37" s="12">
        <v>4</v>
      </c>
      <c r="B37" s="10" t="str">
        <f>LIDER!E54</f>
        <v>DANNA JUDITH SOTO CAMARGO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2"/>
      <c r="G37" s="200"/>
      <c r="H37" s="201"/>
      <c r="I37" s="200"/>
      <c r="J37" s="201"/>
      <c r="K37" s="200"/>
      <c r="L37" s="201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2"/>
      <c r="G38" s="200"/>
      <c r="H38" s="201"/>
      <c r="I38" s="200"/>
      <c r="J38" s="201"/>
      <c r="K38" s="200"/>
      <c r="L38" s="201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2"/>
      <c r="G39" s="200"/>
      <c r="H39" s="201"/>
      <c r="I39" s="200"/>
      <c r="J39" s="201"/>
      <c r="K39" s="200"/>
      <c r="L39" s="201"/>
    </row>
    <row r="40" spans="1:12" s="2" customFormat="1" ht="15.75" customHeight="1">
      <c r="A40" s="14"/>
      <c r="B40" s="25" t="s">
        <v>69</v>
      </c>
      <c r="C40" s="88" t="s">
        <v>85</v>
      </c>
      <c r="D40" s="32" t="str">
        <f>D33</f>
        <v>LIST</v>
      </c>
      <c r="E40" s="89" t="s">
        <v>80</v>
      </c>
      <c r="F40" s="151" t="str">
        <f>LIDER!$E$34</f>
        <v>GRUPO#6</v>
      </c>
      <c r="G40" s="151"/>
      <c r="H40" s="151"/>
      <c r="I40" s="151"/>
      <c r="J40" s="151"/>
      <c r="K40" s="151"/>
      <c r="L40" s="151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2"/>
      <c r="G41" s="200"/>
      <c r="H41" s="201"/>
      <c r="I41" s="200"/>
      <c r="J41" s="201"/>
      <c r="K41" s="200"/>
      <c r="L41" s="201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2"/>
      <c r="G42" s="200"/>
      <c r="H42" s="201"/>
      <c r="I42" s="200"/>
      <c r="J42" s="201"/>
      <c r="K42" s="200"/>
      <c r="L42" s="201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2"/>
      <c r="G43" s="200"/>
      <c r="H43" s="201"/>
      <c r="I43" s="200"/>
      <c r="J43" s="201"/>
      <c r="K43" s="200"/>
      <c r="L43" s="201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2"/>
      <c r="G44" s="200"/>
      <c r="H44" s="201"/>
      <c r="I44" s="200"/>
      <c r="J44" s="201"/>
      <c r="K44" s="200"/>
      <c r="L44" s="201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2"/>
      <c r="G45" s="200"/>
      <c r="H45" s="201"/>
      <c r="I45" s="200"/>
      <c r="J45" s="201"/>
      <c r="K45" s="200"/>
      <c r="L45" s="201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2"/>
      <c r="G46" s="200"/>
      <c r="H46" s="201"/>
      <c r="I46" s="200"/>
      <c r="J46" s="201"/>
      <c r="K46" s="200"/>
      <c r="L46" s="201"/>
    </row>
    <row r="47" spans="1:12" s="2" customFormat="1" ht="15.75" customHeight="1">
      <c r="A47" s="14"/>
      <c r="B47" s="25" t="s">
        <v>70</v>
      </c>
      <c r="C47" s="88" t="s">
        <v>86</v>
      </c>
      <c r="D47" s="32" t="str">
        <f>D40</f>
        <v>LIST</v>
      </c>
      <c r="E47" s="89" t="s">
        <v>80</v>
      </c>
      <c r="F47" s="151" t="str">
        <f>LIDER!$E$35</f>
        <v>GRUPO#7</v>
      </c>
      <c r="G47" s="151"/>
      <c r="H47" s="151"/>
      <c r="I47" s="151"/>
      <c r="J47" s="151"/>
      <c r="K47" s="151"/>
      <c r="L47" s="15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2"/>
      <c r="G48" s="200"/>
      <c r="H48" s="201"/>
      <c r="I48" s="200"/>
      <c r="J48" s="201"/>
      <c r="K48" s="200"/>
      <c r="L48" s="201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2"/>
      <c r="G49" s="200"/>
      <c r="H49" s="201"/>
      <c r="I49" s="200"/>
      <c r="J49" s="201"/>
      <c r="K49" s="200"/>
      <c r="L49" s="201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2"/>
      <c r="G50" s="200"/>
      <c r="H50" s="201"/>
      <c r="I50" s="200"/>
      <c r="J50" s="201"/>
      <c r="K50" s="200"/>
      <c r="L50" s="201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2"/>
      <c r="G51" s="200"/>
      <c r="H51" s="201"/>
      <c r="I51" s="200"/>
      <c r="J51" s="201"/>
      <c r="K51" s="200"/>
      <c r="L51" s="201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2"/>
      <c r="G52" s="200"/>
      <c r="H52" s="201"/>
      <c r="I52" s="200"/>
      <c r="J52" s="201"/>
      <c r="K52" s="200"/>
      <c r="L52" s="201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2"/>
      <c r="G53" s="200"/>
      <c r="H53" s="201"/>
      <c r="I53" s="200"/>
      <c r="J53" s="201"/>
      <c r="K53" s="200"/>
      <c r="L53" s="201"/>
    </row>
    <row r="54" spans="1:12" s="2" customFormat="1" ht="15.75" customHeight="1">
      <c r="A54" s="14"/>
      <c r="B54" s="25" t="s">
        <v>71</v>
      </c>
      <c r="C54" s="88" t="s">
        <v>87</v>
      </c>
      <c r="D54" s="32" t="str">
        <f>D47</f>
        <v>LIST</v>
      </c>
      <c r="E54" s="89" t="s">
        <v>80</v>
      </c>
      <c r="F54" s="151" t="str">
        <f>LIDER!$E$36</f>
        <v>GRUPO#8</v>
      </c>
      <c r="G54" s="151"/>
      <c r="H54" s="151"/>
      <c r="I54" s="151"/>
      <c r="J54" s="151"/>
      <c r="K54" s="151"/>
      <c r="L54" s="15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2"/>
      <c r="G55" s="200"/>
      <c r="H55" s="201"/>
      <c r="I55" s="200"/>
      <c r="J55" s="201"/>
      <c r="K55" s="200"/>
      <c r="L55" s="201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2"/>
      <c r="G56" s="200"/>
      <c r="H56" s="201"/>
      <c r="I56" s="200"/>
      <c r="J56" s="201"/>
      <c r="K56" s="200"/>
      <c r="L56" s="201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2"/>
      <c r="G57" s="200"/>
      <c r="H57" s="201"/>
      <c r="I57" s="200"/>
      <c r="J57" s="201"/>
      <c r="K57" s="200"/>
      <c r="L57" s="201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2"/>
      <c r="G58" s="200"/>
      <c r="H58" s="201"/>
      <c r="I58" s="200"/>
      <c r="J58" s="201"/>
      <c r="K58" s="200"/>
      <c r="L58" s="201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2"/>
      <c r="G59" s="200"/>
      <c r="H59" s="201"/>
      <c r="I59" s="200"/>
      <c r="J59" s="201"/>
      <c r="K59" s="200"/>
      <c r="L59" s="201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2"/>
      <c r="G60" s="200"/>
      <c r="H60" s="201"/>
      <c r="I60" s="200"/>
      <c r="J60" s="201"/>
      <c r="K60" s="200"/>
      <c r="L60" s="201"/>
    </row>
    <row r="61" spans="1:12" s="2" customFormat="1" ht="15.75" customHeight="1">
      <c r="A61" s="14"/>
      <c r="B61" s="25" t="s">
        <v>72</v>
      </c>
      <c r="C61" s="88" t="s">
        <v>88</v>
      </c>
      <c r="D61" s="32" t="str">
        <f>D54</f>
        <v>LIST</v>
      </c>
      <c r="E61" s="89" t="s">
        <v>80</v>
      </c>
      <c r="F61" s="151" t="str">
        <f>LIDER!$E$37</f>
        <v>GRUPO#9</v>
      </c>
      <c r="G61" s="151"/>
      <c r="H61" s="151"/>
      <c r="I61" s="151"/>
      <c r="J61" s="151"/>
      <c r="K61" s="151"/>
      <c r="L61" s="15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2"/>
      <c r="G62" s="200"/>
      <c r="H62" s="201"/>
      <c r="I62" s="200"/>
      <c r="J62" s="201"/>
      <c r="K62" s="200"/>
      <c r="L62" s="201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2"/>
      <c r="G63" s="200"/>
      <c r="H63" s="201"/>
      <c r="I63" s="200"/>
      <c r="J63" s="201"/>
      <c r="K63" s="200"/>
      <c r="L63" s="201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2"/>
      <c r="G64" s="200"/>
      <c r="H64" s="201"/>
      <c r="I64" s="200"/>
      <c r="J64" s="201"/>
      <c r="K64" s="200"/>
      <c r="L64" s="201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2"/>
      <c r="G65" s="200"/>
      <c r="H65" s="201"/>
      <c r="I65" s="200"/>
      <c r="J65" s="201"/>
      <c r="K65" s="200"/>
      <c r="L65" s="201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2"/>
      <c r="G66" s="200"/>
      <c r="H66" s="201"/>
      <c r="I66" s="200"/>
      <c r="J66" s="201"/>
      <c r="K66" s="200"/>
      <c r="L66" s="201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2"/>
      <c r="G67" s="200"/>
      <c r="H67" s="201"/>
      <c r="I67" s="200"/>
      <c r="J67" s="201"/>
      <c r="K67" s="200"/>
      <c r="L67" s="201"/>
    </row>
    <row r="68" spans="1:12" s="2" customFormat="1" ht="15.75" customHeight="1">
      <c r="A68" s="14"/>
      <c r="B68" s="25" t="s">
        <v>73</v>
      </c>
      <c r="C68" s="88" t="s">
        <v>89</v>
      </c>
      <c r="D68" s="32" t="str">
        <f>D61</f>
        <v>LIST</v>
      </c>
      <c r="E68" s="89" t="s">
        <v>80</v>
      </c>
      <c r="F68" s="151" t="str">
        <f>LIDER!$E$38</f>
        <v>GRUPO#10</v>
      </c>
      <c r="G68" s="151"/>
      <c r="H68" s="151"/>
      <c r="I68" s="151"/>
      <c r="J68" s="151"/>
      <c r="K68" s="151"/>
      <c r="L68" s="15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2"/>
      <c r="G69" s="200"/>
      <c r="H69" s="201"/>
      <c r="I69" s="200"/>
      <c r="J69" s="201"/>
      <c r="K69" s="200"/>
      <c r="L69" s="201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2"/>
      <c r="G70" s="200"/>
      <c r="H70" s="201"/>
      <c r="I70" s="200"/>
      <c r="J70" s="201"/>
      <c r="K70" s="200"/>
      <c r="L70" s="201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2"/>
      <c r="G71" s="200"/>
      <c r="H71" s="201"/>
      <c r="I71" s="200"/>
      <c r="J71" s="201"/>
      <c r="K71" s="200"/>
      <c r="L71" s="201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2"/>
      <c r="G72" s="200"/>
      <c r="H72" s="201"/>
      <c r="I72" s="200"/>
      <c r="J72" s="201"/>
      <c r="K72" s="200"/>
      <c r="L72" s="201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2"/>
      <c r="G73" s="200"/>
      <c r="H73" s="201"/>
      <c r="I73" s="200"/>
      <c r="J73" s="201"/>
      <c r="K73" s="200"/>
      <c r="L73" s="201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2"/>
      <c r="G74" s="200"/>
      <c r="H74" s="201"/>
      <c r="I74" s="200"/>
      <c r="J74" s="201"/>
      <c r="K74" s="200"/>
      <c r="L74" s="201"/>
    </row>
    <row r="75" spans="1:12" s="2" customFormat="1" ht="15.75" customHeight="1">
      <c r="A75" s="14"/>
      <c r="B75" s="25" t="s">
        <v>74</v>
      </c>
      <c r="C75" s="88" t="s">
        <v>90</v>
      </c>
      <c r="D75" s="32" t="str">
        <f>D68</f>
        <v>LIST</v>
      </c>
      <c r="E75" s="89" t="s">
        <v>80</v>
      </c>
      <c r="F75" s="151" t="str">
        <f>LIDER!$E$39</f>
        <v>GRUPO#11</v>
      </c>
      <c r="G75" s="151"/>
      <c r="H75" s="151"/>
      <c r="I75" s="151"/>
      <c r="J75" s="151"/>
      <c r="K75" s="151"/>
      <c r="L75" s="15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2"/>
      <c r="G76" s="200"/>
      <c r="H76" s="201"/>
      <c r="I76" s="200"/>
      <c r="J76" s="201"/>
      <c r="K76" s="200"/>
      <c r="L76" s="201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2"/>
      <c r="G77" s="200"/>
      <c r="H77" s="201"/>
      <c r="I77" s="200"/>
      <c r="J77" s="201"/>
      <c r="K77" s="200"/>
      <c r="L77" s="201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2"/>
      <c r="G78" s="200"/>
      <c r="H78" s="201"/>
      <c r="I78" s="200"/>
      <c r="J78" s="201"/>
      <c r="K78" s="200"/>
      <c r="L78" s="201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2"/>
      <c r="G79" s="200"/>
      <c r="H79" s="201"/>
      <c r="I79" s="200"/>
      <c r="J79" s="201"/>
      <c r="K79" s="200"/>
      <c r="L79" s="201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2"/>
      <c r="G80" s="200"/>
      <c r="H80" s="201"/>
      <c r="I80" s="200"/>
      <c r="J80" s="201"/>
      <c r="K80" s="200"/>
      <c r="L80" s="201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2"/>
      <c r="G81" s="200"/>
      <c r="H81" s="201"/>
      <c r="I81" s="200"/>
      <c r="J81" s="201"/>
      <c r="K81" s="200"/>
      <c r="L81" s="201"/>
    </row>
    <row r="82" spans="1:12" s="2" customFormat="1" ht="15.75" customHeight="1">
      <c r="A82" s="14"/>
      <c r="B82" s="25" t="s">
        <v>75</v>
      </c>
      <c r="C82" s="88" t="s">
        <v>91</v>
      </c>
      <c r="D82" s="32" t="str">
        <f>D75</f>
        <v>LIST</v>
      </c>
      <c r="E82" s="89" t="s">
        <v>80</v>
      </c>
      <c r="F82" s="151" t="str">
        <f>LIDER!$E$40</f>
        <v>GRUPO#12</v>
      </c>
      <c r="G82" s="151"/>
      <c r="H82" s="151"/>
      <c r="I82" s="151"/>
      <c r="J82" s="151"/>
      <c r="K82" s="151"/>
      <c r="L82" s="15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2"/>
      <c r="G83" s="200"/>
      <c r="H83" s="201"/>
      <c r="I83" s="200"/>
      <c r="J83" s="201"/>
      <c r="K83" s="200"/>
      <c r="L83" s="201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2"/>
      <c r="G84" s="200"/>
      <c r="H84" s="201"/>
      <c r="I84" s="200"/>
      <c r="J84" s="201"/>
      <c r="K84" s="200"/>
      <c r="L84" s="201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2"/>
      <c r="G85" s="200"/>
      <c r="H85" s="201"/>
      <c r="I85" s="200"/>
      <c r="J85" s="201"/>
      <c r="K85" s="200"/>
      <c r="L85" s="201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2"/>
      <c r="G86" s="200"/>
      <c r="H86" s="201"/>
      <c r="I86" s="200"/>
      <c r="J86" s="201"/>
      <c r="K86" s="200"/>
      <c r="L86" s="201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2"/>
      <c r="G87" s="200"/>
      <c r="H87" s="201"/>
      <c r="I87" s="200"/>
      <c r="J87" s="201"/>
      <c r="K87" s="200"/>
      <c r="L87" s="201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F13" sqref="F13:J18"/>
      <selection pane="bottomLeft" activeCell="F13" sqref="F13:J18"/>
      <selection pane="topRight" activeCell="F13" sqref="F13:J1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2" t="str">
        <f>LIDER!B2</f>
        <v>TECNOLOGÍA EN GESTIÓN DE NEGOCIOS INTERN</v>
      </c>
      <c r="B1" s="143"/>
      <c r="C1" s="143"/>
      <c r="D1" s="143"/>
      <c r="E1" s="143"/>
      <c r="F1" s="143"/>
      <c r="G1" s="143"/>
      <c r="H1" s="144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>
        <f>LIDER!H4</f>
        <v>0</v>
      </c>
      <c r="C2" s="82"/>
      <c r="D2" s="3"/>
      <c r="F2" s="203" t="s">
        <v>76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CONCATENATE(LIDER!H4," - ",LIDER!H6," - ",LIDER!H5)</f>
        <v xml:space="preserve"> -  - 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64</v>
      </c>
      <c r="C5" s="88" t="s">
        <v>78</v>
      </c>
      <c r="D5" s="32" t="s">
        <v>79</v>
      </c>
      <c r="E5" s="89" t="s">
        <v>80</v>
      </c>
      <c r="F5" s="151" t="str">
        <f>LIDER!$E$29</f>
        <v>GRUPO#1</v>
      </c>
      <c r="G5" s="151"/>
      <c r="H5" s="151"/>
      <c r="I5" s="151"/>
      <c r="J5" s="151"/>
      <c r="K5" s="151"/>
      <c r="L5" s="151"/>
    </row>
    <row r="6" spans="1:12" s="2" customFormat="1" ht="12.75">
      <c r="A6" s="9">
        <v>1</v>
      </c>
      <c r="B6" s="10" t="str">
        <f>LIDER!E43</f>
        <v>DANIA LICETH ACOSTA SALAZAR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2"/>
      <c r="G6" s="200"/>
      <c r="H6" s="201"/>
      <c r="I6" s="200"/>
      <c r="J6" s="201"/>
      <c r="K6" s="200"/>
      <c r="L6" s="201"/>
    </row>
    <row r="7" spans="1:12" s="2" customFormat="1" ht="15" customHeight="1">
      <c r="A7" s="12">
        <v>2</v>
      </c>
      <c r="B7" s="10" t="str">
        <f>LIDER!E44</f>
        <v>LUISA DANIELA ALVAREZ ARGUMEDO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2"/>
      <c r="G7" s="200"/>
      <c r="H7" s="201"/>
      <c r="I7" s="200"/>
      <c r="J7" s="201"/>
      <c r="K7" s="200"/>
      <c r="L7" s="201"/>
    </row>
    <row r="8" spans="1:12" s="2" customFormat="1" ht="15" customHeight="1">
      <c r="A8" s="12">
        <v>3</v>
      </c>
      <c r="B8" s="10" t="str">
        <f>LIDER!E45</f>
        <v>JUAN GARCIA SILVA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2"/>
      <c r="G8" s="200"/>
      <c r="H8" s="201"/>
      <c r="I8" s="200"/>
      <c r="J8" s="201"/>
      <c r="K8" s="200"/>
      <c r="L8" s="201"/>
    </row>
    <row r="9" spans="1:12" s="2" customFormat="1" ht="15" customHeight="1">
      <c r="A9" s="12">
        <v>4</v>
      </c>
      <c r="B9" s="10" t="str">
        <f>LIDER!E46</f>
        <v>LAURA VALENTINA RIVERO MADRID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2"/>
      <c r="G9" s="200"/>
      <c r="H9" s="201"/>
      <c r="I9" s="200"/>
      <c r="J9" s="201"/>
      <c r="K9" s="200"/>
      <c r="L9" s="201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2"/>
      <c r="G10" s="200"/>
      <c r="H10" s="201"/>
      <c r="I10" s="200"/>
      <c r="J10" s="201"/>
      <c r="K10" s="200"/>
      <c r="L10" s="201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2"/>
      <c r="G11" s="200"/>
      <c r="H11" s="201"/>
      <c r="I11" s="200"/>
      <c r="J11" s="201"/>
      <c r="K11" s="200"/>
      <c r="L11" s="201"/>
    </row>
    <row r="12" spans="1:12" s="2" customFormat="1" ht="15.75" customHeight="1" thickBot="1">
      <c r="A12" s="8"/>
      <c r="B12" s="25" t="s">
        <v>65</v>
      </c>
      <c r="C12" s="88" t="s">
        <v>81</v>
      </c>
      <c r="D12" s="32" t="str">
        <f>D5</f>
        <v>LIST</v>
      </c>
      <c r="E12" s="89" t="s">
        <v>80</v>
      </c>
      <c r="F12" s="151" t="str">
        <f>LIDER!$E$30</f>
        <v>GRUPO#2</v>
      </c>
      <c r="G12" s="151"/>
      <c r="H12" s="151"/>
      <c r="I12" s="151"/>
      <c r="J12" s="151"/>
      <c r="K12" s="151"/>
      <c r="L12" s="151"/>
    </row>
    <row r="13" spans="1:12" s="2" customFormat="1" ht="12.75">
      <c r="A13" s="9">
        <v>1</v>
      </c>
      <c r="B13" s="10" t="str">
        <f>LIDER!F43</f>
        <v>NEYS DEL CARMEN ARROYO QUINTANA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2"/>
      <c r="G13" s="200"/>
      <c r="H13" s="201"/>
      <c r="I13" s="200"/>
      <c r="J13" s="201"/>
      <c r="K13" s="200"/>
      <c r="L13" s="201"/>
    </row>
    <row r="14" spans="1:12" s="2" customFormat="1" ht="15" customHeight="1">
      <c r="A14" s="12">
        <v>2</v>
      </c>
      <c r="B14" s="10" t="str">
        <f>LIDER!F44</f>
        <v>BIANCA FIORELLA CARAZO PUELLO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2"/>
      <c r="G14" s="200"/>
      <c r="H14" s="201"/>
      <c r="I14" s="200"/>
      <c r="J14" s="201"/>
      <c r="K14" s="200"/>
      <c r="L14" s="201"/>
    </row>
    <row r="15" spans="1:12" s="2" customFormat="1" ht="15" customHeight="1">
      <c r="A15" s="12">
        <v>3</v>
      </c>
      <c r="B15" s="10" t="str">
        <f>LIDER!F45</f>
        <v>LUIS MARIO MARRUGO DIAZ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2"/>
      <c r="G15" s="200"/>
      <c r="H15" s="201"/>
      <c r="I15" s="200"/>
      <c r="J15" s="201"/>
      <c r="K15" s="200"/>
      <c r="L15" s="201"/>
    </row>
    <row r="16" spans="1:12" s="2" customFormat="1" ht="15" customHeight="1">
      <c r="A16" s="12">
        <v>4</v>
      </c>
      <c r="B16" s="10" t="str">
        <f>LIDER!F46</f>
        <v>SAMANTA QUICENO CAMPUZANO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2"/>
      <c r="G16" s="200"/>
      <c r="H16" s="201"/>
      <c r="I16" s="200"/>
      <c r="J16" s="201"/>
      <c r="K16" s="200"/>
      <c r="L16" s="201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2"/>
      <c r="G17" s="200"/>
      <c r="H17" s="201"/>
      <c r="I17" s="200"/>
      <c r="J17" s="201"/>
      <c r="K17" s="200"/>
      <c r="L17" s="201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2"/>
      <c r="G18" s="200"/>
      <c r="H18" s="201"/>
      <c r="I18" s="200"/>
      <c r="J18" s="201"/>
      <c r="K18" s="200"/>
      <c r="L18" s="201"/>
    </row>
    <row r="19" spans="1:12" s="2" customFormat="1" ht="15.75" customHeight="1">
      <c r="A19" s="14"/>
      <c r="B19" s="25" t="s">
        <v>66</v>
      </c>
      <c r="C19" s="88" t="s">
        <v>82</v>
      </c>
      <c r="D19" s="32" t="str">
        <f>D12</f>
        <v>LIST</v>
      </c>
      <c r="E19" s="89" t="s">
        <v>80</v>
      </c>
      <c r="F19" s="151" t="str">
        <f>LIDER!$E$31</f>
        <v>GRUPO#3</v>
      </c>
      <c r="G19" s="151"/>
      <c r="H19" s="151"/>
      <c r="I19" s="151"/>
      <c r="J19" s="151"/>
      <c r="K19" s="151"/>
      <c r="L19" s="151"/>
    </row>
    <row r="20" spans="1:12" s="2" customFormat="1" ht="12.75">
      <c r="A20" s="9">
        <v>1</v>
      </c>
      <c r="B20" s="10" t="str">
        <f>LIDER!G43</f>
        <v>ANDRES FELIPE ALFARO LARES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2"/>
      <c r="G20" s="200"/>
      <c r="H20" s="201"/>
      <c r="I20" s="200"/>
      <c r="J20" s="201"/>
      <c r="K20" s="200"/>
      <c r="L20" s="201"/>
    </row>
    <row r="21" spans="1:12" s="2" customFormat="1" ht="15" customHeight="1">
      <c r="A21" s="12">
        <v>2</v>
      </c>
      <c r="B21" s="10" t="str">
        <f>LIDER!G44</f>
        <v>NICOLE ANDREA BARRAZA CARDOZO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2"/>
      <c r="G21" s="200"/>
      <c r="H21" s="201"/>
      <c r="I21" s="200"/>
      <c r="J21" s="201"/>
      <c r="K21" s="200"/>
      <c r="L21" s="201"/>
    </row>
    <row r="22" spans="1:12" s="2" customFormat="1" ht="15" customHeight="1">
      <c r="A22" s="12">
        <v>3</v>
      </c>
      <c r="B22" s="10" t="str">
        <f>LIDER!G45</f>
        <v>DANIELA BOLAÑOS CUELLAR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2"/>
      <c r="G22" s="200"/>
      <c r="H22" s="201"/>
      <c r="I22" s="200"/>
      <c r="J22" s="201"/>
      <c r="K22" s="200"/>
      <c r="L22" s="201"/>
    </row>
    <row r="23" spans="1:12" s="2" customFormat="1" ht="15" customHeight="1">
      <c r="A23" s="12">
        <v>4</v>
      </c>
      <c r="B23" s="10" t="str">
        <f>LIDER!G46</f>
        <v>LAURA VANESSA POLO CARABALLO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2"/>
      <c r="G23" s="200"/>
      <c r="H23" s="201"/>
      <c r="I23" s="200"/>
      <c r="J23" s="201"/>
      <c r="K23" s="200"/>
      <c r="L23" s="201"/>
    </row>
    <row r="24" spans="1:12" s="2" customFormat="1" ht="15" customHeight="1">
      <c r="A24" s="12">
        <v>5</v>
      </c>
      <c r="B24" s="10" t="str">
        <f>LIDER!G47</f>
        <v>ANDRES FELIPE TOVAR ARRIOLA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2"/>
      <c r="G24" s="200"/>
      <c r="H24" s="201"/>
      <c r="I24" s="200"/>
      <c r="J24" s="201"/>
      <c r="K24" s="200"/>
      <c r="L24" s="201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2"/>
      <c r="G25" s="200"/>
      <c r="H25" s="201"/>
      <c r="I25" s="200"/>
      <c r="J25" s="201"/>
      <c r="K25" s="200"/>
      <c r="L25" s="201"/>
    </row>
    <row r="26" spans="1:12" s="2" customFormat="1" ht="15.75" customHeight="1">
      <c r="A26" s="14"/>
      <c r="B26" s="25" t="s">
        <v>67</v>
      </c>
      <c r="C26" s="88" t="s">
        <v>83</v>
      </c>
      <c r="D26" s="32" t="str">
        <f>D19</f>
        <v>LIST</v>
      </c>
      <c r="E26" s="89" t="s">
        <v>80</v>
      </c>
      <c r="F26" s="151" t="str">
        <f>LIDER!$E$32</f>
        <v>GRUPO#4</v>
      </c>
      <c r="G26" s="151"/>
      <c r="H26" s="151"/>
      <c r="I26" s="151"/>
      <c r="J26" s="151"/>
      <c r="K26" s="151"/>
      <c r="L26" s="151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2"/>
      <c r="G27" s="200"/>
      <c r="H27" s="201"/>
      <c r="I27" s="200"/>
      <c r="J27" s="201"/>
      <c r="K27" s="200"/>
      <c r="L27" s="201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2"/>
      <c r="G28" s="200"/>
      <c r="H28" s="201"/>
      <c r="I28" s="200"/>
      <c r="J28" s="201"/>
      <c r="K28" s="200"/>
      <c r="L28" s="201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2"/>
      <c r="G29" s="200"/>
      <c r="H29" s="201"/>
      <c r="I29" s="200"/>
      <c r="J29" s="201"/>
      <c r="K29" s="200"/>
      <c r="L29" s="201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2"/>
      <c r="G30" s="200"/>
      <c r="H30" s="201"/>
      <c r="I30" s="200"/>
      <c r="J30" s="201"/>
      <c r="K30" s="200"/>
      <c r="L30" s="201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2"/>
      <c r="G31" s="200"/>
      <c r="H31" s="201"/>
      <c r="I31" s="200"/>
      <c r="J31" s="201"/>
      <c r="K31" s="200"/>
      <c r="L31" s="201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2"/>
      <c r="G32" s="200"/>
      <c r="H32" s="201"/>
      <c r="I32" s="200"/>
      <c r="J32" s="201"/>
      <c r="K32" s="200"/>
      <c r="L32" s="201"/>
    </row>
    <row r="33" spans="1:12" s="2" customFormat="1" ht="15.75" customHeight="1">
      <c r="A33" s="14"/>
      <c r="B33" s="25" t="s">
        <v>68</v>
      </c>
      <c r="C33" s="88" t="s">
        <v>84</v>
      </c>
      <c r="D33" s="32" t="str">
        <f>D26</f>
        <v>LIST</v>
      </c>
      <c r="E33" s="89" t="s">
        <v>80</v>
      </c>
      <c r="F33" s="151" t="str">
        <f>LIDER!$E$33</f>
        <v>GRUPO#5</v>
      </c>
      <c r="G33" s="151"/>
      <c r="H33" s="151"/>
      <c r="I33" s="151"/>
      <c r="J33" s="151"/>
      <c r="K33" s="151"/>
      <c r="L33" s="151"/>
    </row>
    <row r="34" spans="1:12" s="2" customFormat="1" ht="12.75">
      <c r="A34" s="9">
        <v>1</v>
      </c>
      <c r="B34" s="10" t="str">
        <f>LIDER!E51</f>
        <v>JESUS DANIEL MOLINA SANCHEZ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2"/>
      <c r="G34" s="200"/>
      <c r="H34" s="201"/>
      <c r="I34" s="200"/>
      <c r="J34" s="201"/>
      <c r="K34" s="200"/>
      <c r="L34" s="201"/>
    </row>
    <row r="35" spans="1:12" s="2" customFormat="1" ht="15" customHeight="1">
      <c r="A35" s="12">
        <v>2</v>
      </c>
      <c r="B35" s="10" t="str">
        <f>LIDER!E52</f>
        <v>EDER DARIO PEREZ SALGUEDO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2"/>
      <c r="G35" s="200"/>
      <c r="H35" s="201"/>
      <c r="I35" s="200"/>
      <c r="J35" s="201"/>
      <c r="K35" s="200"/>
      <c r="L35" s="201"/>
    </row>
    <row r="36" spans="1:12" s="2" customFormat="1" ht="15" customHeight="1">
      <c r="A36" s="12">
        <v>3</v>
      </c>
      <c r="B36" s="10" t="str">
        <f>LIDER!E53</f>
        <v>MANUEL ALEJANDRO POLO MARTINEZ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2"/>
      <c r="G36" s="200"/>
      <c r="H36" s="201"/>
      <c r="I36" s="200"/>
      <c r="J36" s="201"/>
      <c r="K36" s="200"/>
      <c r="L36" s="201"/>
    </row>
    <row r="37" spans="1:12" s="2" customFormat="1" ht="15" customHeight="1">
      <c r="A37" s="12">
        <v>4</v>
      </c>
      <c r="B37" s="10" t="str">
        <f>LIDER!E54</f>
        <v>DANNA JUDITH SOTO CAMARGO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2"/>
      <c r="G37" s="200"/>
      <c r="H37" s="201"/>
      <c r="I37" s="200"/>
      <c r="J37" s="201"/>
      <c r="K37" s="200"/>
      <c r="L37" s="201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2"/>
      <c r="G38" s="200"/>
      <c r="H38" s="201"/>
      <c r="I38" s="200"/>
      <c r="J38" s="201"/>
      <c r="K38" s="200"/>
      <c r="L38" s="201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2"/>
      <c r="G39" s="200"/>
      <c r="H39" s="201"/>
      <c r="I39" s="200"/>
      <c r="J39" s="201"/>
      <c r="K39" s="200"/>
      <c r="L39" s="201"/>
    </row>
    <row r="40" spans="1:12" s="2" customFormat="1" ht="15.75" customHeight="1">
      <c r="A40" s="14"/>
      <c r="B40" s="25" t="s">
        <v>69</v>
      </c>
      <c r="C40" s="88" t="s">
        <v>85</v>
      </c>
      <c r="D40" s="32" t="str">
        <f>D33</f>
        <v>LIST</v>
      </c>
      <c r="E40" s="89" t="s">
        <v>80</v>
      </c>
      <c r="F40" s="151" t="str">
        <f>LIDER!$E$34</f>
        <v>GRUPO#6</v>
      </c>
      <c r="G40" s="151"/>
      <c r="H40" s="151"/>
      <c r="I40" s="151"/>
      <c r="J40" s="151"/>
      <c r="K40" s="151"/>
      <c r="L40" s="151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2"/>
      <c r="G41" s="200"/>
      <c r="H41" s="201"/>
      <c r="I41" s="200"/>
      <c r="J41" s="201"/>
      <c r="K41" s="200"/>
      <c r="L41" s="201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2"/>
      <c r="G42" s="200"/>
      <c r="H42" s="201"/>
      <c r="I42" s="200"/>
      <c r="J42" s="201"/>
      <c r="K42" s="200"/>
      <c r="L42" s="201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2"/>
      <c r="G43" s="200"/>
      <c r="H43" s="201"/>
      <c r="I43" s="200"/>
      <c r="J43" s="201"/>
      <c r="K43" s="200"/>
      <c r="L43" s="201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2"/>
      <c r="G44" s="200"/>
      <c r="H44" s="201"/>
      <c r="I44" s="200"/>
      <c r="J44" s="201"/>
      <c r="K44" s="200"/>
      <c r="L44" s="201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2"/>
      <c r="G45" s="200"/>
      <c r="H45" s="201"/>
      <c r="I45" s="200"/>
      <c r="J45" s="201"/>
      <c r="K45" s="200"/>
      <c r="L45" s="201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2"/>
      <c r="G46" s="200"/>
      <c r="H46" s="201"/>
      <c r="I46" s="200"/>
      <c r="J46" s="201"/>
      <c r="K46" s="200"/>
      <c r="L46" s="201"/>
    </row>
    <row r="47" spans="1:12" s="2" customFormat="1" ht="15.75" customHeight="1">
      <c r="A47" s="14"/>
      <c r="B47" s="25" t="s">
        <v>70</v>
      </c>
      <c r="C47" s="88" t="s">
        <v>86</v>
      </c>
      <c r="D47" s="32" t="str">
        <f>D40</f>
        <v>LIST</v>
      </c>
      <c r="E47" s="89" t="s">
        <v>80</v>
      </c>
      <c r="F47" s="151" t="str">
        <f>LIDER!$E$35</f>
        <v>GRUPO#7</v>
      </c>
      <c r="G47" s="151"/>
      <c r="H47" s="151"/>
      <c r="I47" s="151"/>
      <c r="J47" s="151"/>
      <c r="K47" s="151"/>
      <c r="L47" s="15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2"/>
      <c r="G48" s="200"/>
      <c r="H48" s="201"/>
      <c r="I48" s="200"/>
      <c r="J48" s="201"/>
      <c r="K48" s="200"/>
      <c r="L48" s="201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2"/>
      <c r="G49" s="200"/>
      <c r="H49" s="201"/>
      <c r="I49" s="200"/>
      <c r="J49" s="201"/>
      <c r="K49" s="200"/>
      <c r="L49" s="201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2"/>
      <c r="G50" s="200"/>
      <c r="H50" s="201"/>
      <c r="I50" s="200"/>
      <c r="J50" s="201"/>
      <c r="K50" s="200"/>
      <c r="L50" s="201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2"/>
      <c r="G51" s="200"/>
      <c r="H51" s="201"/>
      <c r="I51" s="200"/>
      <c r="J51" s="201"/>
      <c r="K51" s="200"/>
      <c r="L51" s="201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2"/>
      <c r="G52" s="200"/>
      <c r="H52" s="201"/>
      <c r="I52" s="200"/>
      <c r="J52" s="201"/>
      <c r="K52" s="200"/>
      <c r="L52" s="201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2"/>
      <c r="G53" s="200"/>
      <c r="H53" s="201"/>
      <c r="I53" s="200"/>
      <c r="J53" s="201"/>
      <c r="K53" s="200"/>
      <c r="L53" s="201"/>
    </row>
    <row r="54" spans="1:12" s="2" customFormat="1" ht="15.75" customHeight="1">
      <c r="A54" s="14"/>
      <c r="B54" s="25" t="s">
        <v>71</v>
      </c>
      <c r="C54" s="88" t="s">
        <v>87</v>
      </c>
      <c r="D54" s="32" t="str">
        <f>D47</f>
        <v>LIST</v>
      </c>
      <c r="E54" s="89" t="s">
        <v>80</v>
      </c>
      <c r="F54" s="151" t="str">
        <f>LIDER!$E$36</f>
        <v>GRUPO#8</v>
      </c>
      <c r="G54" s="151"/>
      <c r="H54" s="151"/>
      <c r="I54" s="151"/>
      <c r="J54" s="151"/>
      <c r="K54" s="151"/>
      <c r="L54" s="15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2"/>
      <c r="G55" s="200"/>
      <c r="H55" s="201"/>
      <c r="I55" s="200"/>
      <c r="J55" s="201"/>
      <c r="K55" s="200"/>
      <c r="L55" s="201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2"/>
      <c r="G56" s="200"/>
      <c r="H56" s="201"/>
      <c r="I56" s="200"/>
      <c r="J56" s="201"/>
      <c r="K56" s="200"/>
      <c r="L56" s="201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2"/>
      <c r="G57" s="200"/>
      <c r="H57" s="201"/>
      <c r="I57" s="200"/>
      <c r="J57" s="201"/>
      <c r="K57" s="200"/>
      <c r="L57" s="201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2"/>
      <c r="G58" s="200"/>
      <c r="H58" s="201"/>
      <c r="I58" s="200"/>
      <c r="J58" s="201"/>
      <c r="K58" s="200"/>
      <c r="L58" s="201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2"/>
      <c r="G59" s="200"/>
      <c r="H59" s="201"/>
      <c r="I59" s="200"/>
      <c r="J59" s="201"/>
      <c r="K59" s="200"/>
      <c r="L59" s="201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2"/>
      <c r="G60" s="200"/>
      <c r="H60" s="201"/>
      <c r="I60" s="200"/>
      <c r="J60" s="201"/>
      <c r="K60" s="200"/>
      <c r="L60" s="201"/>
    </row>
    <row r="61" spans="1:12" s="2" customFormat="1" ht="15.75" customHeight="1">
      <c r="A61" s="14"/>
      <c r="B61" s="25" t="s">
        <v>72</v>
      </c>
      <c r="C61" s="88" t="s">
        <v>88</v>
      </c>
      <c r="D61" s="32" t="str">
        <f>D54</f>
        <v>LIST</v>
      </c>
      <c r="E61" s="89" t="s">
        <v>80</v>
      </c>
      <c r="F61" s="151" t="str">
        <f>LIDER!$E$37</f>
        <v>GRUPO#9</v>
      </c>
      <c r="G61" s="151"/>
      <c r="H61" s="151"/>
      <c r="I61" s="151"/>
      <c r="J61" s="151"/>
      <c r="K61" s="151"/>
      <c r="L61" s="15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2"/>
      <c r="G62" s="200"/>
      <c r="H62" s="201"/>
      <c r="I62" s="200"/>
      <c r="J62" s="201"/>
      <c r="K62" s="200"/>
      <c r="L62" s="201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2"/>
      <c r="G63" s="200"/>
      <c r="H63" s="201"/>
      <c r="I63" s="200"/>
      <c r="J63" s="201"/>
      <c r="K63" s="200"/>
      <c r="L63" s="201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2"/>
      <c r="G64" s="200"/>
      <c r="H64" s="201"/>
      <c r="I64" s="200"/>
      <c r="J64" s="201"/>
      <c r="K64" s="200"/>
      <c r="L64" s="201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2"/>
      <c r="G65" s="200"/>
      <c r="H65" s="201"/>
      <c r="I65" s="200"/>
      <c r="J65" s="201"/>
      <c r="K65" s="200"/>
      <c r="L65" s="201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2"/>
      <c r="G66" s="200"/>
      <c r="H66" s="201"/>
      <c r="I66" s="200"/>
      <c r="J66" s="201"/>
      <c r="K66" s="200"/>
      <c r="L66" s="201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2"/>
      <c r="G67" s="200"/>
      <c r="H67" s="201"/>
      <c r="I67" s="200"/>
      <c r="J67" s="201"/>
      <c r="K67" s="200"/>
      <c r="L67" s="201"/>
    </row>
    <row r="68" spans="1:12" s="2" customFormat="1" ht="15.75" customHeight="1">
      <c r="A68" s="14"/>
      <c r="B68" s="25" t="s">
        <v>73</v>
      </c>
      <c r="C68" s="88" t="s">
        <v>89</v>
      </c>
      <c r="D68" s="32" t="str">
        <f>D61</f>
        <v>LIST</v>
      </c>
      <c r="E68" s="89" t="s">
        <v>80</v>
      </c>
      <c r="F68" s="151" t="str">
        <f>LIDER!$E$38</f>
        <v>GRUPO#10</v>
      </c>
      <c r="G68" s="151"/>
      <c r="H68" s="151"/>
      <c r="I68" s="151"/>
      <c r="J68" s="151"/>
      <c r="K68" s="151"/>
      <c r="L68" s="15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2"/>
      <c r="G69" s="200"/>
      <c r="H69" s="201"/>
      <c r="I69" s="200"/>
      <c r="J69" s="201"/>
      <c r="K69" s="200"/>
      <c r="L69" s="201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2"/>
      <c r="G70" s="200"/>
      <c r="H70" s="201"/>
      <c r="I70" s="200"/>
      <c r="J70" s="201"/>
      <c r="K70" s="200"/>
      <c r="L70" s="201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2"/>
      <c r="G71" s="200"/>
      <c r="H71" s="201"/>
      <c r="I71" s="200"/>
      <c r="J71" s="201"/>
      <c r="K71" s="200"/>
      <c r="L71" s="201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2"/>
      <c r="G72" s="200"/>
      <c r="H72" s="201"/>
      <c r="I72" s="200"/>
      <c r="J72" s="201"/>
      <c r="K72" s="200"/>
      <c r="L72" s="201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2"/>
      <c r="G73" s="200"/>
      <c r="H73" s="201"/>
      <c r="I73" s="200"/>
      <c r="J73" s="201"/>
      <c r="K73" s="200"/>
      <c r="L73" s="201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2"/>
      <c r="G74" s="200"/>
      <c r="H74" s="201"/>
      <c r="I74" s="200"/>
      <c r="J74" s="201"/>
      <c r="K74" s="200"/>
      <c r="L74" s="201"/>
    </row>
    <row r="75" spans="1:12" s="2" customFormat="1" ht="15.75" customHeight="1">
      <c r="A75" s="14"/>
      <c r="B75" s="25" t="s">
        <v>74</v>
      </c>
      <c r="C75" s="88" t="s">
        <v>90</v>
      </c>
      <c r="D75" s="32" t="str">
        <f>D68</f>
        <v>LIST</v>
      </c>
      <c r="E75" s="89" t="s">
        <v>80</v>
      </c>
      <c r="F75" s="151" t="str">
        <f>LIDER!$E$39</f>
        <v>GRUPO#11</v>
      </c>
      <c r="G75" s="151"/>
      <c r="H75" s="151"/>
      <c r="I75" s="151"/>
      <c r="J75" s="151"/>
      <c r="K75" s="151"/>
      <c r="L75" s="15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2"/>
      <c r="G76" s="200"/>
      <c r="H76" s="201"/>
      <c r="I76" s="200"/>
      <c r="J76" s="201"/>
      <c r="K76" s="200"/>
      <c r="L76" s="201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2"/>
      <c r="G77" s="200"/>
      <c r="H77" s="201"/>
      <c r="I77" s="200"/>
      <c r="J77" s="201"/>
      <c r="K77" s="200"/>
      <c r="L77" s="201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2"/>
      <c r="G78" s="200"/>
      <c r="H78" s="201"/>
      <c r="I78" s="200"/>
      <c r="J78" s="201"/>
      <c r="K78" s="200"/>
      <c r="L78" s="201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2"/>
      <c r="G79" s="200"/>
      <c r="H79" s="201"/>
      <c r="I79" s="200"/>
      <c r="J79" s="201"/>
      <c r="K79" s="200"/>
      <c r="L79" s="201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2"/>
      <c r="G80" s="200"/>
      <c r="H80" s="201"/>
      <c r="I80" s="200"/>
      <c r="J80" s="201"/>
      <c r="K80" s="200"/>
      <c r="L80" s="201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2"/>
      <c r="G81" s="200"/>
      <c r="H81" s="201"/>
      <c r="I81" s="200"/>
      <c r="J81" s="201"/>
      <c r="K81" s="200"/>
      <c r="L81" s="201"/>
    </row>
    <row r="82" spans="1:12" s="2" customFormat="1" ht="15.75" customHeight="1">
      <c r="A82" s="14"/>
      <c r="B82" s="25" t="s">
        <v>75</v>
      </c>
      <c r="C82" s="88" t="s">
        <v>91</v>
      </c>
      <c r="D82" s="32" t="str">
        <f>D75</f>
        <v>LIST</v>
      </c>
      <c r="E82" s="89" t="s">
        <v>80</v>
      </c>
      <c r="F82" s="151" t="str">
        <f>LIDER!$E$40</f>
        <v>GRUPO#12</v>
      </c>
      <c r="G82" s="151"/>
      <c r="H82" s="151"/>
      <c r="I82" s="151"/>
      <c r="J82" s="151"/>
      <c r="K82" s="151"/>
      <c r="L82" s="15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2"/>
      <c r="G83" s="200"/>
      <c r="H83" s="201"/>
      <c r="I83" s="200"/>
      <c r="J83" s="201"/>
      <c r="K83" s="200"/>
      <c r="L83" s="201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2"/>
      <c r="G84" s="200"/>
      <c r="H84" s="201"/>
      <c r="I84" s="200"/>
      <c r="J84" s="201"/>
      <c r="K84" s="200"/>
      <c r="L84" s="201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2"/>
      <c r="G85" s="200"/>
      <c r="H85" s="201"/>
      <c r="I85" s="200"/>
      <c r="J85" s="201"/>
      <c r="K85" s="200"/>
      <c r="L85" s="201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2"/>
      <c r="G86" s="200"/>
      <c r="H86" s="201"/>
      <c r="I86" s="200"/>
      <c r="J86" s="201"/>
      <c r="K86" s="200"/>
      <c r="L86" s="201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2"/>
      <c r="G87" s="200"/>
      <c r="H87" s="201"/>
      <c r="I87" s="200"/>
      <c r="J87" s="201"/>
      <c r="K87" s="200"/>
      <c r="L87" s="201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104" activePane="bottomRight" state="frozen"/>
      <selection pane="bottomRight" activeCell="F13" sqref="F13:J18"/>
      <selection pane="bottomLeft" activeCell="F13" sqref="F13:J18"/>
      <selection pane="topRight" activeCell="F13" sqref="F13:J1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2" t="str">
        <f>LIDER!B2</f>
        <v>TECNOLOGÍA EN GESTIÓN DE NEGOCIOS INTERN</v>
      </c>
      <c r="B1" s="143"/>
      <c r="C1" s="143"/>
      <c r="D1" s="143"/>
      <c r="E1" s="143"/>
      <c r="F1" s="143"/>
      <c r="G1" s="143"/>
      <c r="H1" s="144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>
        <f>LIDER!I4</f>
        <v>0</v>
      </c>
      <c r="C2" s="82"/>
      <c r="D2" s="3"/>
      <c r="F2" s="203" t="s">
        <v>76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CONCATENATE(LIDER!I4," - ",LIDER!I6," - ",LIDER!I5)</f>
        <v xml:space="preserve"> -  - 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64</v>
      </c>
      <c r="C5" s="88" t="s">
        <v>78</v>
      </c>
      <c r="D5" s="32" t="s">
        <v>79</v>
      </c>
      <c r="E5" s="89" t="s">
        <v>80</v>
      </c>
      <c r="F5" s="151" t="str">
        <f>LIDER!$E$29</f>
        <v>GRUPO#1</v>
      </c>
      <c r="G5" s="151"/>
      <c r="H5" s="151"/>
      <c r="I5" s="151"/>
      <c r="J5" s="151"/>
      <c r="K5" s="151"/>
      <c r="L5" s="151"/>
    </row>
    <row r="6" spans="1:12" s="2" customFormat="1" ht="12.75">
      <c r="A6" s="9">
        <v>1</v>
      </c>
      <c r="B6" s="10" t="str">
        <f>LIDER!E43</f>
        <v>DANIA LICETH ACOSTA SALAZAR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2"/>
      <c r="G6" s="200"/>
      <c r="H6" s="201"/>
      <c r="I6" s="200"/>
      <c r="J6" s="201"/>
      <c r="K6" s="200"/>
      <c r="L6" s="201"/>
    </row>
    <row r="7" spans="1:12" s="2" customFormat="1" ht="15" customHeight="1">
      <c r="A7" s="12">
        <v>2</v>
      </c>
      <c r="B7" s="10" t="str">
        <f>LIDER!E44</f>
        <v>LUISA DANIELA ALVAREZ ARGUMEDO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2"/>
      <c r="G7" s="200"/>
      <c r="H7" s="201"/>
      <c r="I7" s="200"/>
      <c r="J7" s="201"/>
      <c r="K7" s="200"/>
      <c r="L7" s="201"/>
    </row>
    <row r="8" spans="1:12" s="2" customFormat="1" ht="15" customHeight="1">
      <c r="A8" s="12">
        <v>3</v>
      </c>
      <c r="B8" s="10" t="str">
        <f>LIDER!E45</f>
        <v>JUAN GARCIA SILVA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2"/>
      <c r="G8" s="200"/>
      <c r="H8" s="201"/>
      <c r="I8" s="200"/>
      <c r="J8" s="201"/>
      <c r="K8" s="200"/>
      <c r="L8" s="201"/>
    </row>
    <row r="9" spans="1:12" s="2" customFormat="1" ht="15" customHeight="1">
      <c r="A9" s="12">
        <v>4</v>
      </c>
      <c r="B9" s="10" t="str">
        <f>LIDER!E46</f>
        <v>LAURA VALENTINA RIVERO MADRID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2"/>
      <c r="G9" s="200"/>
      <c r="H9" s="201"/>
      <c r="I9" s="200"/>
      <c r="J9" s="201"/>
      <c r="K9" s="200"/>
      <c r="L9" s="201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2"/>
      <c r="G10" s="200"/>
      <c r="H10" s="201"/>
      <c r="I10" s="200"/>
      <c r="J10" s="201"/>
      <c r="K10" s="200"/>
      <c r="L10" s="201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2"/>
      <c r="G11" s="200"/>
      <c r="H11" s="201"/>
      <c r="I11" s="200"/>
      <c r="J11" s="201"/>
      <c r="K11" s="200"/>
      <c r="L11" s="201"/>
    </row>
    <row r="12" spans="1:12" s="2" customFormat="1" ht="15.75" customHeight="1" thickBot="1">
      <c r="A12" s="8"/>
      <c r="B12" s="25" t="s">
        <v>65</v>
      </c>
      <c r="C12" s="88" t="s">
        <v>81</v>
      </c>
      <c r="D12" s="32" t="str">
        <f>D5</f>
        <v>LIST</v>
      </c>
      <c r="E12" s="89" t="s">
        <v>80</v>
      </c>
      <c r="F12" s="151" t="str">
        <f>LIDER!$E$30</f>
        <v>GRUPO#2</v>
      </c>
      <c r="G12" s="151"/>
      <c r="H12" s="151"/>
      <c r="I12" s="151"/>
      <c r="J12" s="151"/>
      <c r="K12" s="151"/>
      <c r="L12" s="151"/>
    </row>
    <row r="13" spans="1:12" s="2" customFormat="1" ht="12.75">
      <c r="A13" s="9">
        <v>1</v>
      </c>
      <c r="B13" s="10" t="str">
        <f>LIDER!F43</f>
        <v>NEYS DEL CARMEN ARROYO QUINTANA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2"/>
      <c r="G13" s="200"/>
      <c r="H13" s="201"/>
      <c r="I13" s="200"/>
      <c r="J13" s="201"/>
      <c r="K13" s="200"/>
      <c r="L13" s="201"/>
    </row>
    <row r="14" spans="1:12" s="2" customFormat="1" ht="15" customHeight="1">
      <c r="A14" s="12">
        <v>2</v>
      </c>
      <c r="B14" s="10" t="str">
        <f>LIDER!F44</f>
        <v>BIANCA FIORELLA CARAZO PUELLO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2"/>
      <c r="G14" s="200"/>
      <c r="H14" s="201"/>
      <c r="I14" s="200"/>
      <c r="J14" s="201"/>
      <c r="K14" s="200"/>
      <c r="L14" s="201"/>
    </row>
    <row r="15" spans="1:12" s="2" customFormat="1" ht="15" customHeight="1">
      <c r="A15" s="12">
        <v>3</v>
      </c>
      <c r="B15" s="10" t="str">
        <f>LIDER!F45</f>
        <v>LUIS MARIO MARRUGO DIAZ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2"/>
      <c r="G15" s="200"/>
      <c r="H15" s="201"/>
      <c r="I15" s="200"/>
      <c r="J15" s="201"/>
      <c r="K15" s="200"/>
      <c r="L15" s="201"/>
    </row>
    <row r="16" spans="1:12" s="2" customFormat="1" ht="15" customHeight="1">
      <c r="A16" s="12">
        <v>4</v>
      </c>
      <c r="B16" s="10" t="str">
        <f>LIDER!F46</f>
        <v>SAMANTA QUICENO CAMPUZANO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2"/>
      <c r="G16" s="200"/>
      <c r="H16" s="201"/>
      <c r="I16" s="200"/>
      <c r="J16" s="201"/>
      <c r="K16" s="200"/>
      <c r="L16" s="201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2"/>
      <c r="G17" s="200"/>
      <c r="H17" s="201"/>
      <c r="I17" s="200"/>
      <c r="J17" s="201"/>
      <c r="K17" s="200"/>
      <c r="L17" s="201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2"/>
      <c r="G18" s="200"/>
      <c r="H18" s="201"/>
      <c r="I18" s="200"/>
      <c r="J18" s="201"/>
      <c r="K18" s="200"/>
      <c r="L18" s="201"/>
    </row>
    <row r="19" spans="1:12" s="2" customFormat="1" ht="15.75" customHeight="1">
      <c r="A19" s="14"/>
      <c r="B19" s="25" t="s">
        <v>66</v>
      </c>
      <c r="C19" s="88" t="s">
        <v>82</v>
      </c>
      <c r="D19" s="32" t="str">
        <f>D12</f>
        <v>LIST</v>
      </c>
      <c r="E19" s="89" t="s">
        <v>80</v>
      </c>
      <c r="F19" s="151" t="str">
        <f>LIDER!$E$31</f>
        <v>GRUPO#3</v>
      </c>
      <c r="G19" s="151"/>
      <c r="H19" s="151"/>
      <c r="I19" s="151"/>
      <c r="J19" s="151"/>
      <c r="K19" s="151"/>
      <c r="L19" s="151"/>
    </row>
    <row r="20" spans="1:12" s="2" customFormat="1" ht="12.75">
      <c r="A20" s="9">
        <v>1</v>
      </c>
      <c r="B20" s="10" t="str">
        <f>LIDER!G43</f>
        <v>ANDRES FELIPE ALFARO LARES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2"/>
      <c r="G20" s="200"/>
      <c r="H20" s="201"/>
      <c r="I20" s="200"/>
      <c r="J20" s="201"/>
      <c r="K20" s="200"/>
      <c r="L20" s="201"/>
    </row>
    <row r="21" spans="1:12" s="2" customFormat="1" ht="15" customHeight="1">
      <c r="A21" s="12">
        <v>2</v>
      </c>
      <c r="B21" s="10" t="str">
        <f>LIDER!G44</f>
        <v>NICOLE ANDREA BARRAZA CARDOZO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2"/>
      <c r="G21" s="200"/>
      <c r="H21" s="201"/>
      <c r="I21" s="200"/>
      <c r="J21" s="201"/>
      <c r="K21" s="200"/>
      <c r="L21" s="201"/>
    </row>
    <row r="22" spans="1:12" s="2" customFormat="1" ht="15" customHeight="1">
      <c r="A22" s="12">
        <v>3</v>
      </c>
      <c r="B22" s="10" t="str">
        <f>LIDER!G45</f>
        <v>DANIELA BOLAÑOS CUELLAR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2"/>
      <c r="G22" s="200"/>
      <c r="H22" s="201"/>
      <c r="I22" s="200"/>
      <c r="J22" s="201"/>
      <c r="K22" s="200"/>
      <c r="L22" s="201"/>
    </row>
    <row r="23" spans="1:12" s="2" customFormat="1" ht="15" customHeight="1">
      <c r="A23" s="12">
        <v>4</v>
      </c>
      <c r="B23" s="10" t="str">
        <f>LIDER!G46</f>
        <v>LAURA VANESSA POLO CARABALLO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2"/>
      <c r="G23" s="200"/>
      <c r="H23" s="201"/>
      <c r="I23" s="200"/>
      <c r="J23" s="201"/>
      <c r="K23" s="200"/>
      <c r="L23" s="201"/>
    </row>
    <row r="24" spans="1:12" s="2" customFormat="1" ht="15" customHeight="1">
      <c r="A24" s="12">
        <v>5</v>
      </c>
      <c r="B24" s="10" t="str">
        <f>LIDER!G47</f>
        <v>ANDRES FELIPE TOVAR ARRIOLA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2"/>
      <c r="G24" s="200"/>
      <c r="H24" s="201"/>
      <c r="I24" s="200"/>
      <c r="J24" s="201"/>
      <c r="K24" s="200"/>
      <c r="L24" s="201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2"/>
      <c r="G25" s="200"/>
      <c r="H25" s="201"/>
      <c r="I25" s="200"/>
      <c r="J25" s="201"/>
      <c r="K25" s="200"/>
      <c r="L25" s="201"/>
    </row>
    <row r="26" spans="1:12" s="2" customFormat="1" ht="15.75" customHeight="1">
      <c r="A26" s="14"/>
      <c r="B26" s="25" t="s">
        <v>67</v>
      </c>
      <c r="C26" s="88" t="s">
        <v>83</v>
      </c>
      <c r="D26" s="32" t="str">
        <f>D19</f>
        <v>LIST</v>
      </c>
      <c r="E26" s="89" t="s">
        <v>80</v>
      </c>
      <c r="F26" s="151" t="str">
        <f>LIDER!$E$32</f>
        <v>GRUPO#4</v>
      </c>
      <c r="G26" s="151"/>
      <c r="H26" s="151"/>
      <c r="I26" s="151"/>
      <c r="J26" s="151"/>
      <c r="K26" s="151"/>
      <c r="L26" s="151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2"/>
      <c r="G27" s="200"/>
      <c r="H27" s="201"/>
      <c r="I27" s="200"/>
      <c r="J27" s="201"/>
      <c r="K27" s="200"/>
      <c r="L27" s="201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2"/>
      <c r="G28" s="200"/>
      <c r="H28" s="201"/>
      <c r="I28" s="200"/>
      <c r="J28" s="201"/>
      <c r="K28" s="200"/>
      <c r="L28" s="201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2"/>
      <c r="G29" s="200"/>
      <c r="H29" s="201"/>
      <c r="I29" s="200"/>
      <c r="J29" s="201"/>
      <c r="K29" s="200"/>
      <c r="L29" s="201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2"/>
      <c r="G30" s="200"/>
      <c r="H30" s="201"/>
      <c r="I30" s="200"/>
      <c r="J30" s="201"/>
      <c r="K30" s="200"/>
      <c r="L30" s="201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2"/>
      <c r="G31" s="200"/>
      <c r="H31" s="201"/>
      <c r="I31" s="200"/>
      <c r="J31" s="201"/>
      <c r="K31" s="200"/>
      <c r="L31" s="201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2"/>
      <c r="G32" s="200"/>
      <c r="H32" s="201"/>
      <c r="I32" s="200"/>
      <c r="J32" s="201"/>
      <c r="K32" s="200"/>
      <c r="L32" s="201"/>
    </row>
    <row r="33" spans="1:12" s="2" customFormat="1" ht="15.75" customHeight="1">
      <c r="A33" s="14"/>
      <c r="B33" s="25" t="s">
        <v>68</v>
      </c>
      <c r="C33" s="88" t="s">
        <v>84</v>
      </c>
      <c r="D33" s="32" t="str">
        <f>D26</f>
        <v>LIST</v>
      </c>
      <c r="E33" s="89" t="s">
        <v>80</v>
      </c>
      <c r="F33" s="151" t="str">
        <f>LIDER!$E$33</f>
        <v>GRUPO#5</v>
      </c>
      <c r="G33" s="151"/>
      <c r="H33" s="151"/>
      <c r="I33" s="151"/>
      <c r="J33" s="151"/>
      <c r="K33" s="151"/>
      <c r="L33" s="151"/>
    </row>
    <row r="34" spans="1:12" s="2" customFormat="1" ht="12.75">
      <c r="A34" s="9">
        <v>1</v>
      </c>
      <c r="B34" s="10" t="str">
        <f>LIDER!E51</f>
        <v>JESUS DANIEL MOLINA SANCHEZ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2"/>
      <c r="G34" s="200"/>
      <c r="H34" s="201"/>
      <c r="I34" s="200"/>
      <c r="J34" s="201"/>
      <c r="K34" s="200"/>
      <c r="L34" s="201"/>
    </row>
    <row r="35" spans="1:12" s="2" customFormat="1" ht="15" customHeight="1">
      <c r="A35" s="12">
        <v>2</v>
      </c>
      <c r="B35" s="10" t="str">
        <f>LIDER!E52</f>
        <v>EDER DARIO PEREZ SALGUEDO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2"/>
      <c r="G35" s="200"/>
      <c r="H35" s="201"/>
      <c r="I35" s="200"/>
      <c r="J35" s="201"/>
      <c r="K35" s="200"/>
      <c r="L35" s="201"/>
    </row>
    <row r="36" spans="1:12" s="2" customFormat="1" ht="15" customHeight="1">
      <c r="A36" s="12">
        <v>3</v>
      </c>
      <c r="B36" s="10" t="str">
        <f>LIDER!E53</f>
        <v>MANUEL ALEJANDRO POLO MARTINEZ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2"/>
      <c r="G36" s="200"/>
      <c r="H36" s="201"/>
      <c r="I36" s="200"/>
      <c r="J36" s="201"/>
      <c r="K36" s="200"/>
      <c r="L36" s="201"/>
    </row>
    <row r="37" spans="1:12" s="2" customFormat="1" ht="15" customHeight="1">
      <c r="A37" s="12">
        <v>4</v>
      </c>
      <c r="B37" s="10" t="str">
        <f>LIDER!E54</f>
        <v>DANNA JUDITH SOTO CAMARGO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2"/>
      <c r="G37" s="200"/>
      <c r="H37" s="201"/>
      <c r="I37" s="200"/>
      <c r="J37" s="201"/>
      <c r="K37" s="200"/>
      <c r="L37" s="201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2"/>
      <c r="G38" s="200"/>
      <c r="H38" s="201"/>
      <c r="I38" s="200"/>
      <c r="J38" s="201"/>
      <c r="K38" s="200"/>
      <c r="L38" s="201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2"/>
      <c r="G39" s="200"/>
      <c r="H39" s="201"/>
      <c r="I39" s="200"/>
      <c r="J39" s="201"/>
      <c r="K39" s="200"/>
      <c r="L39" s="201"/>
    </row>
    <row r="40" spans="1:12" s="2" customFormat="1" ht="15.75" customHeight="1">
      <c r="A40" s="14"/>
      <c r="B40" s="25" t="s">
        <v>69</v>
      </c>
      <c r="C40" s="88" t="s">
        <v>85</v>
      </c>
      <c r="D40" s="32" t="str">
        <f>D33</f>
        <v>LIST</v>
      </c>
      <c r="E40" s="89" t="s">
        <v>80</v>
      </c>
      <c r="F40" s="151" t="str">
        <f>LIDER!$E$34</f>
        <v>GRUPO#6</v>
      </c>
      <c r="G40" s="151"/>
      <c r="H40" s="151"/>
      <c r="I40" s="151"/>
      <c r="J40" s="151"/>
      <c r="K40" s="151"/>
      <c r="L40" s="151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2"/>
      <c r="G41" s="200"/>
      <c r="H41" s="201"/>
      <c r="I41" s="200"/>
      <c r="J41" s="201"/>
      <c r="K41" s="200"/>
      <c r="L41" s="201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2"/>
      <c r="G42" s="200"/>
      <c r="H42" s="201"/>
      <c r="I42" s="200"/>
      <c r="J42" s="201"/>
      <c r="K42" s="200"/>
      <c r="L42" s="201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2"/>
      <c r="G43" s="200"/>
      <c r="H43" s="201"/>
      <c r="I43" s="200"/>
      <c r="J43" s="201"/>
      <c r="K43" s="200"/>
      <c r="L43" s="201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2"/>
      <c r="G44" s="200"/>
      <c r="H44" s="201"/>
      <c r="I44" s="200"/>
      <c r="J44" s="201"/>
      <c r="K44" s="200"/>
      <c r="L44" s="201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2"/>
      <c r="G45" s="200"/>
      <c r="H45" s="201"/>
      <c r="I45" s="200"/>
      <c r="J45" s="201"/>
      <c r="K45" s="200"/>
      <c r="L45" s="201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2"/>
      <c r="G46" s="200"/>
      <c r="H46" s="201"/>
      <c r="I46" s="200"/>
      <c r="J46" s="201"/>
      <c r="K46" s="200"/>
      <c r="L46" s="201"/>
    </row>
    <row r="47" spans="1:12" s="2" customFormat="1" ht="15.75" customHeight="1">
      <c r="A47" s="14"/>
      <c r="B47" s="25" t="s">
        <v>70</v>
      </c>
      <c r="C47" s="88" t="s">
        <v>86</v>
      </c>
      <c r="D47" s="32" t="str">
        <f>D40</f>
        <v>LIST</v>
      </c>
      <c r="E47" s="89" t="s">
        <v>80</v>
      </c>
      <c r="F47" s="151" t="str">
        <f>LIDER!$E$35</f>
        <v>GRUPO#7</v>
      </c>
      <c r="G47" s="151"/>
      <c r="H47" s="151"/>
      <c r="I47" s="151"/>
      <c r="J47" s="151"/>
      <c r="K47" s="151"/>
      <c r="L47" s="15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2"/>
      <c r="G48" s="200"/>
      <c r="H48" s="201"/>
      <c r="I48" s="200"/>
      <c r="J48" s="201"/>
      <c r="K48" s="200"/>
      <c r="L48" s="201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2"/>
      <c r="G49" s="200"/>
      <c r="H49" s="201"/>
      <c r="I49" s="200"/>
      <c r="J49" s="201"/>
      <c r="K49" s="200"/>
      <c r="L49" s="201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2"/>
      <c r="G50" s="200"/>
      <c r="H50" s="201"/>
      <c r="I50" s="200"/>
      <c r="J50" s="201"/>
      <c r="K50" s="200"/>
      <c r="L50" s="201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2"/>
      <c r="G51" s="200"/>
      <c r="H51" s="201"/>
      <c r="I51" s="200"/>
      <c r="J51" s="201"/>
      <c r="K51" s="200"/>
      <c r="L51" s="201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2"/>
      <c r="G52" s="200"/>
      <c r="H52" s="201"/>
      <c r="I52" s="200"/>
      <c r="J52" s="201"/>
      <c r="K52" s="200"/>
      <c r="L52" s="201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2"/>
      <c r="G53" s="200"/>
      <c r="H53" s="201"/>
      <c r="I53" s="200"/>
      <c r="J53" s="201"/>
      <c r="K53" s="200"/>
      <c r="L53" s="201"/>
    </row>
    <row r="54" spans="1:12" s="2" customFormat="1" ht="15.75" customHeight="1">
      <c r="A54" s="14"/>
      <c r="B54" s="25" t="s">
        <v>71</v>
      </c>
      <c r="C54" s="88" t="s">
        <v>87</v>
      </c>
      <c r="D54" s="32" t="str">
        <f>D47</f>
        <v>LIST</v>
      </c>
      <c r="E54" s="89" t="s">
        <v>80</v>
      </c>
      <c r="F54" s="151" t="str">
        <f>LIDER!$E$36</f>
        <v>GRUPO#8</v>
      </c>
      <c r="G54" s="151"/>
      <c r="H54" s="151"/>
      <c r="I54" s="151"/>
      <c r="J54" s="151"/>
      <c r="K54" s="151"/>
      <c r="L54" s="15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2"/>
      <c r="G55" s="200"/>
      <c r="H55" s="201"/>
      <c r="I55" s="200"/>
      <c r="J55" s="201"/>
      <c r="K55" s="200"/>
      <c r="L55" s="201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2"/>
      <c r="G56" s="200"/>
      <c r="H56" s="201"/>
      <c r="I56" s="200"/>
      <c r="J56" s="201"/>
      <c r="K56" s="200"/>
      <c r="L56" s="201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2"/>
      <c r="G57" s="200"/>
      <c r="H57" s="201"/>
      <c r="I57" s="200"/>
      <c r="J57" s="201"/>
      <c r="K57" s="200"/>
      <c r="L57" s="201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2"/>
      <c r="G58" s="200"/>
      <c r="H58" s="201"/>
      <c r="I58" s="200"/>
      <c r="J58" s="201"/>
      <c r="K58" s="200"/>
      <c r="L58" s="201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2"/>
      <c r="G59" s="200"/>
      <c r="H59" s="201"/>
      <c r="I59" s="200"/>
      <c r="J59" s="201"/>
      <c r="K59" s="200"/>
      <c r="L59" s="201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2"/>
      <c r="G60" s="200"/>
      <c r="H60" s="201"/>
      <c r="I60" s="200"/>
      <c r="J60" s="201"/>
      <c r="K60" s="200"/>
      <c r="L60" s="201"/>
    </row>
    <row r="61" spans="1:12" s="2" customFormat="1" ht="15.75" customHeight="1">
      <c r="A61" s="14"/>
      <c r="B61" s="25" t="s">
        <v>72</v>
      </c>
      <c r="C61" s="88" t="s">
        <v>88</v>
      </c>
      <c r="D61" s="32" t="str">
        <f>D54</f>
        <v>LIST</v>
      </c>
      <c r="E61" s="89" t="s">
        <v>80</v>
      </c>
      <c r="F61" s="151" t="str">
        <f>LIDER!$E$37</f>
        <v>GRUPO#9</v>
      </c>
      <c r="G61" s="151"/>
      <c r="H61" s="151"/>
      <c r="I61" s="151"/>
      <c r="J61" s="151"/>
      <c r="K61" s="151"/>
      <c r="L61" s="15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2"/>
      <c r="G62" s="200"/>
      <c r="H62" s="201"/>
      <c r="I62" s="200"/>
      <c r="J62" s="201"/>
      <c r="K62" s="200"/>
      <c r="L62" s="201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2"/>
      <c r="G63" s="200"/>
      <c r="H63" s="201"/>
      <c r="I63" s="200"/>
      <c r="J63" s="201"/>
      <c r="K63" s="200"/>
      <c r="L63" s="201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2"/>
      <c r="G64" s="200"/>
      <c r="H64" s="201"/>
      <c r="I64" s="200"/>
      <c r="J64" s="201"/>
      <c r="K64" s="200"/>
      <c r="L64" s="201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2"/>
      <c r="G65" s="200"/>
      <c r="H65" s="201"/>
      <c r="I65" s="200"/>
      <c r="J65" s="201"/>
      <c r="K65" s="200"/>
      <c r="L65" s="201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2"/>
      <c r="G66" s="200"/>
      <c r="H66" s="201"/>
      <c r="I66" s="200"/>
      <c r="J66" s="201"/>
      <c r="K66" s="200"/>
      <c r="L66" s="201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2"/>
      <c r="G67" s="200"/>
      <c r="H67" s="201"/>
      <c r="I67" s="200"/>
      <c r="J67" s="201"/>
      <c r="K67" s="200"/>
      <c r="L67" s="201"/>
    </row>
    <row r="68" spans="1:12" s="2" customFormat="1" ht="15.75" customHeight="1">
      <c r="A68" s="14"/>
      <c r="B68" s="25" t="s">
        <v>73</v>
      </c>
      <c r="C68" s="88" t="s">
        <v>89</v>
      </c>
      <c r="D68" s="32" t="str">
        <f>D61</f>
        <v>LIST</v>
      </c>
      <c r="E68" s="89" t="s">
        <v>80</v>
      </c>
      <c r="F68" s="151" t="str">
        <f>LIDER!$E$38</f>
        <v>GRUPO#10</v>
      </c>
      <c r="G68" s="151"/>
      <c r="H68" s="151"/>
      <c r="I68" s="151"/>
      <c r="J68" s="151"/>
      <c r="K68" s="151"/>
      <c r="L68" s="15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2"/>
      <c r="G69" s="200"/>
      <c r="H69" s="201"/>
      <c r="I69" s="200"/>
      <c r="J69" s="201"/>
      <c r="K69" s="200"/>
      <c r="L69" s="201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2"/>
      <c r="G70" s="200"/>
      <c r="H70" s="201"/>
      <c r="I70" s="200"/>
      <c r="J70" s="201"/>
      <c r="K70" s="200"/>
      <c r="L70" s="201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2"/>
      <c r="G71" s="200"/>
      <c r="H71" s="201"/>
      <c r="I71" s="200"/>
      <c r="J71" s="201"/>
      <c r="K71" s="200"/>
      <c r="L71" s="201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2"/>
      <c r="G72" s="200"/>
      <c r="H72" s="201"/>
      <c r="I72" s="200"/>
      <c r="J72" s="201"/>
      <c r="K72" s="200"/>
      <c r="L72" s="201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2"/>
      <c r="G73" s="200"/>
      <c r="H73" s="201"/>
      <c r="I73" s="200"/>
      <c r="J73" s="201"/>
      <c r="K73" s="200"/>
      <c r="L73" s="201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2"/>
      <c r="G74" s="200"/>
      <c r="H74" s="201"/>
      <c r="I74" s="200"/>
      <c r="J74" s="201"/>
      <c r="K74" s="200"/>
      <c r="L74" s="201"/>
    </row>
    <row r="75" spans="1:12" s="2" customFormat="1" ht="15.75" customHeight="1">
      <c r="A75" s="14"/>
      <c r="B75" s="25" t="s">
        <v>74</v>
      </c>
      <c r="C75" s="88" t="s">
        <v>90</v>
      </c>
      <c r="D75" s="32" t="str">
        <f>D68</f>
        <v>LIST</v>
      </c>
      <c r="E75" s="89" t="s">
        <v>80</v>
      </c>
      <c r="F75" s="151" t="str">
        <f>LIDER!$E$39</f>
        <v>GRUPO#11</v>
      </c>
      <c r="G75" s="151"/>
      <c r="H75" s="151"/>
      <c r="I75" s="151"/>
      <c r="J75" s="151"/>
      <c r="K75" s="151"/>
      <c r="L75" s="15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2"/>
      <c r="G76" s="200"/>
      <c r="H76" s="201"/>
      <c r="I76" s="200"/>
      <c r="J76" s="201"/>
      <c r="K76" s="200"/>
      <c r="L76" s="201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2"/>
      <c r="G77" s="200"/>
      <c r="H77" s="201"/>
      <c r="I77" s="200"/>
      <c r="J77" s="201"/>
      <c r="K77" s="200"/>
      <c r="L77" s="201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2"/>
      <c r="G78" s="200"/>
      <c r="H78" s="201"/>
      <c r="I78" s="200"/>
      <c r="J78" s="201"/>
      <c r="K78" s="200"/>
      <c r="L78" s="201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2"/>
      <c r="G79" s="200"/>
      <c r="H79" s="201"/>
      <c r="I79" s="200"/>
      <c r="J79" s="201"/>
      <c r="K79" s="200"/>
      <c r="L79" s="201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2"/>
      <c r="G80" s="200"/>
      <c r="H80" s="201"/>
      <c r="I80" s="200"/>
      <c r="J80" s="201"/>
      <c r="K80" s="200"/>
      <c r="L80" s="201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2"/>
      <c r="G81" s="200"/>
      <c r="H81" s="201"/>
      <c r="I81" s="200"/>
      <c r="J81" s="201"/>
      <c r="K81" s="200"/>
      <c r="L81" s="201"/>
    </row>
    <row r="82" spans="1:12" s="2" customFormat="1" ht="15.75" customHeight="1">
      <c r="A82" s="14"/>
      <c r="B82" s="25" t="s">
        <v>75</v>
      </c>
      <c r="C82" s="88" t="s">
        <v>91</v>
      </c>
      <c r="D82" s="32" t="str">
        <f>D75</f>
        <v>LIST</v>
      </c>
      <c r="E82" s="89" t="s">
        <v>80</v>
      </c>
      <c r="F82" s="151" t="str">
        <f>LIDER!$E$40</f>
        <v>GRUPO#12</v>
      </c>
      <c r="G82" s="151"/>
      <c r="H82" s="151"/>
      <c r="I82" s="151"/>
      <c r="J82" s="151"/>
      <c r="K82" s="151"/>
      <c r="L82" s="15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2"/>
      <c r="G83" s="200"/>
      <c r="H83" s="201"/>
      <c r="I83" s="200"/>
      <c r="J83" s="201"/>
      <c r="K83" s="200"/>
      <c r="L83" s="201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2"/>
      <c r="G84" s="200"/>
      <c r="H84" s="201"/>
      <c r="I84" s="200"/>
      <c r="J84" s="201"/>
      <c r="K84" s="200"/>
      <c r="L84" s="201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2"/>
      <c r="G85" s="200"/>
      <c r="H85" s="201"/>
      <c r="I85" s="200"/>
      <c r="J85" s="201"/>
      <c r="K85" s="200"/>
      <c r="L85" s="201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2"/>
      <c r="G86" s="200"/>
      <c r="H86" s="201"/>
      <c r="I86" s="200"/>
      <c r="J86" s="201"/>
      <c r="K86" s="200"/>
      <c r="L86" s="201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2"/>
      <c r="G87" s="200"/>
      <c r="H87" s="201"/>
      <c r="I87" s="200"/>
      <c r="J87" s="201"/>
      <c r="K87" s="200"/>
      <c r="L87" s="201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33:L33"/>
    <mergeCell ref="F34:F39"/>
    <mergeCell ref="G34:G39"/>
    <mergeCell ref="H34:H39"/>
    <mergeCell ref="I34:I39"/>
    <mergeCell ref="J34:J39"/>
    <mergeCell ref="K34:K39"/>
    <mergeCell ref="L34:L39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18" activePane="bottomRight" state="frozen"/>
      <selection pane="bottomRight" activeCell="J34" sqref="J34:J37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2" t="str">
        <f>LIDER!B2</f>
        <v>TECNOLOGÍA EN GESTIÓN DE NEGOCIOS INTERN</v>
      </c>
      <c r="B1" s="143"/>
      <c r="C1" s="143"/>
      <c r="D1" s="143"/>
      <c r="E1" s="143"/>
      <c r="F1" s="143"/>
      <c r="G1" s="144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LIDER!C4</f>
        <v>MARKETING INTERNACIONAL</v>
      </c>
      <c r="C2" s="3"/>
      <c r="E2" s="152" t="s">
        <v>76</v>
      </c>
      <c r="F2" s="153"/>
      <c r="G2" s="153"/>
      <c r="H2" s="153"/>
      <c r="I2" s="153"/>
      <c r="J2" s="153"/>
      <c r="K2" s="154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47" t="str">
        <f>CONCATENATE(LIDER!C4," - ",LIDER!C6," - ",LIDER!C5)</f>
        <v>MARKETING INTERNACIONAL - 1426 - GABRIEL EDUARDO CARDONA TUÑON</v>
      </c>
      <c r="F4" s="148"/>
      <c r="G4" s="148"/>
      <c r="H4" s="148"/>
      <c r="I4" s="148"/>
      <c r="J4" s="148"/>
      <c r="K4" s="149"/>
    </row>
    <row r="5" spans="1:11" s="2" customFormat="1" ht="15.75" customHeight="1" thickBot="1">
      <c r="A5" s="8"/>
      <c r="B5" s="27" t="s">
        <v>64</v>
      </c>
      <c r="C5" s="32" t="str">
        <f>IF('S-ASIG-01'!D5="","",'S-ASIG-01'!D5)</f>
        <v>LIST</v>
      </c>
      <c r="D5" s="35" t="s">
        <v>80</v>
      </c>
      <c r="E5" s="150" t="str">
        <f>LIDER!$E$29</f>
        <v>GRUPO#1</v>
      </c>
      <c r="F5" s="151"/>
      <c r="G5" s="151"/>
      <c r="H5" s="151"/>
      <c r="I5" s="151"/>
      <c r="J5" s="151"/>
      <c r="K5" s="151"/>
    </row>
    <row r="6" spans="1:11" s="2" customFormat="1" ht="12.75">
      <c r="A6" s="9">
        <v>1</v>
      </c>
      <c r="B6" s="28" t="str">
        <f>LIDER!E43</f>
        <v>DANIA LICETH ACOSTA SALAZAR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4</v>
      </c>
      <c r="E6" s="145">
        <v>4</v>
      </c>
      <c r="F6" s="24">
        <v>4</v>
      </c>
      <c r="G6" s="24">
        <v>4</v>
      </c>
      <c r="H6" s="24">
        <v>4</v>
      </c>
      <c r="I6" s="24">
        <v>4</v>
      </c>
      <c r="J6" s="24">
        <v>4</v>
      </c>
      <c r="K6" s="24"/>
    </row>
    <row r="7" spans="1:11" s="2" customFormat="1" ht="15" customHeight="1">
      <c r="A7" s="12">
        <v>2</v>
      </c>
      <c r="B7" s="28" t="str">
        <f>LIDER!E44</f>
        <v>LUISA DANIELA ALVAREZ ARGUMEDO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4</v>
      </c>
      <c r="E7" s="145"/>
      <c r="F7" s="18">
        <v>4</v>
      </c>
      <c r="G7" s="18">
        <v>4</v>
      </c>
      <c r="H7" s="18">
        <v>4</v>
      </c>
      <c r="I7" s="18">
        <v>4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>JUAN GARCIA SILVA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4</v>
      </c>
      <c r="E8" s="145"/>
      <c r="F8" s="18">
        <v>4</v>
      </c>
      <c r="G8" s="18">
        <v>4</v>
      </c>
      <c r="H8" s="18">
        <v>4</v>
      </c>
      <c r="I8" s="18">
        <v>4</v>
      </c>
      <c r="J8" s="18">
        <v>4</v>
      </c>
      <c r="K8" s="18"/>
    </row>
    <row r="9" spans="1:11" s="2" customFormat="1" ht="15" customHeight="1">
      <c r="A9" s="12">
        <v>4</v>
      </c>
      <c r="B9" s="28" t="str">
        <f>LIDER!E46</f>
        <v>LAURA VALENTINA RIVERO MADRID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2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IF('S-ASIG-01'!D10="","",'S-ASIG-01'!D10)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65</v>
      </c>
      <c r="C12" s="32" t="str">
        <f>IF('S-ASIG-01'!D12="","",'S-ASIG-01'!D12)</f>
        <v>LIST</v>
      </c>
      <c r="D12" s="35" t="s">
        <v>80</v>
      </c>
      <c r="E12" s="150" t="str">
        <f>LIDER!$E$30</f>
        <v>GRUPO#2</v>
      </c>
      <c r="F12" s="151"/>
      <c r="G12" s="151"/>
      <c r="H12" s="151"/>
      <c r="I12" s="151"/>
      <c r="J12" s="151"/>
      <c r="K12" s="151"/>
    </row>
    <row r="13" spans="1:11" s="2" customFormat="1" ht="12.75">
      <c r="A13" s="9">
        <v>1</v>
      </c>
      <c r="B13" s="28" t="str">
        <f>LIDER!F43</f>
        <v>NEYS DEL CARMEN ARROYO QUINTANA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4.5</v>
      </c>
      <c r="E13" s="145">
        <v>4.5</v>
      </c>
      <c r="F13" s="24">
        <v>4.5</v>
      </c>
      <c r="G13" s="24">
        <v>4.5</v>
      </c>
      <c r="H13" s="24">
        <v>4.5</v>
      </c>
      <c r="I13" s="24">
        <v>4.5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BIANCA FIORELLA CARAZO PUELLO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4.5</v>
      </c>
      <c r="E14" s="145"/>
      <c r="F14" s="18">
        <v>4.5</v>
      </c>
      <c r="G14" s="18">
        <v>4.5</v>
      </c>
      <c r="H14" s="18">
        <v>4.5</v>
      </c>
      <c r="I14" s="18">
        <v>4.5</v>
      </c>
      <c r="J14" s="18">
        <v>4.5</v>
      </c>
      <c r="K14" s="18"/>
    </row>
    <row r="15" spans="1:11" s="2" customFormat="1" ht="15" customHeight="1">
      <c r="A15" s="12">
        <v>3</v>
      </c>
      <c r="B15" s="28" t="str">
        <f>LIDER!F45</f>
        <v>LUIS MARIO MARRUGO DIAZ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4.5</v>
      </c>
      <c r="E15" s="145"/>
      <c r="F15" s="18">
        <v>4.5</v>
      </c>
      <c r="G15" s="18">
        <v>4.5</v>
      </c>
      <c r="H15" s="18">
        <v>4.5</v>
      </c>
      <c r="I15" s="18">
        <v>4.5</v>
      </c>
      <c r="J15" s="18">
        <v>4.5</v>
      </c>
      <c r="K15" s="18"/>
    </row>
    <row r="16" spans="1:11" s="2" customFormat="1" ht="15" customHeight="1">
      <c r="A16" s="12">
        <v>4</v>
      </c>
      <c r="B16" s="28" t="str">
        <f>LIDER!F46</f>
        <v>SAMANTA QUICENO CAMPUZANO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4.5</v>
      </c>
      <c r="E16" s="145"/>
      <c r="F16" s="18">
        <v>4.5</v>
      </c>
      <c r="G16" s="18">
        <v>4.5</v>
      </c>
      <c r="H16" s="18">
        <v>4.5</v>
      </c>
      <c r="I16" s="18">
        <v>4.5</v>
      </c>
      <c r="J16" s="18">
        <v>4.5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IF('S-ASIG-01'!D17="","",'S-ASIG-01'!D17)</f>
        <v/>
      </c>
      <c r="D17" s="30" t="str">
        <f>IF(B17=0,"",IF(C17="",$E$13*LIDER!$H$19+F17*LIDER!$H$20+G17*LIDER!$H$21+H17*LIDER!$H$22+I17*LIDER!$H$23+J17*LIDER!$H$24+K17*LIDER!$H$25,"N"))</f>
        <v/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66</v>
      </c>
      <c r="C19" s="32" t="str">
        <f>IF('S-ASIG-01'!D19="","",'S-ASIG-01'!D19)</f>
        <v>LIST</v>
      </c>
      <c r="D19" s="35" t="s">
        <v>80</v>
      </c>
      <c r="E19" s="150" t="str">
        <f>LIDER!$E$31</f>
        <v>GRUPO#3</v>
      </c>
      <c r="F19" s="151"/>
      <c r="G19" s="151"/>
      <c r="H19" s="151"/>
      <c r="I19" s="151"/>
      <c r="J19" s="151"/>
      <c r="K19" s="151"/>
    </row>
    <row r="20" spans="1:11" s="2" customFormat="1" ht="12.75">
      <c r="A20" s="9">
        <v>1</v>
      </c>
      <c r="B20" s="28" t="str">
        <f>LIDER!G43</f>
        <v>ANDRES FELIPE ALFARO LARES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3.8</v>
      </c>
      <c r="E20" s="145">
        <v>3.8</v>
      </c>
      <c r="F20" s="24">
        <v>3.8</v>
      </c>
      <c r="G20" s="24">
        <v>3.8</v>
      </c>
      <c r="H20" s="24">
        <v>3.8</v>
      </c>
      <c r="I20" s="24">
        <v>3.8</v>
      </c>
      <c r="J20" s="24">
        <v>3.8</v>
      </c>
      <c r="K20" s="24"/>
    </row>
    <row r="21" spans="1:11" s="2" customFormat="1" ht="15" customHeight="1">
      <c r="A21" s="12">
        <v>2</v>
      </c>
      <c r="B21" s="28" t="str">
        <f>LIDER!G44</f>
        <v>NICOLE ANDREA BARRAZA CARDOZO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3.8</v>
      </c>
      <c r="E21" s="145"/>
      <c r="F21" s="18">
        <v>3.8</v>
      </c>
      <c r="G21" s="18">
        <v>3.8</v>
      </c>
      <c r="H21" s="18">
        <v>3.8</v>
      </c>
      <c r="I21" s="18">
        <v>3.8</v>
      </c>
      <c r="J21" s="18">
        <v>3.8</v>
      </c>
      <c r="K21" s="18"/>
    </row>
    <row r="22" spans="1:11" s="2" customFormat="1" ht="15" customHeight="1">
      <c r="A22" s="12">
        <v>3</v>
      </c>
      <c r="B22" s="28" t="str">
        <f>LIDER!G45</f>
        <v>DANIELA BOLAÑOS CUELLAR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3.8</v>
      </c>
      <c r="E22" s="145"/>
      <c r="F22" s="18">
        <v>3.8</v>
      </c>
      <c r="G22" s="18">
        <v>3.8</v>
      </c>
      <c r="H22" s="18">
        <v>3.8</v>
      </c>
      <c r="I22" s="18">
        <v>3.8</v>
      </c>
      <c r="J22" s="18">
        <v>3.8</v>
      </c>
      <c r="K22" s="18"/>
    </row>
    <row r="23" spans="1:11" s="2" customFormat="1" ht="15" customHeight="1">
      <c r="A23" s="12">
        <v>4</v>
      </c>
      <c r="B23" s="28" t="str">
        <f>LIDER!G46</f>
        <v>LAURA VANESSA POLO CARABALLO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3.8</v>
      </c>
      <c r="E23" s="145"/>
      <c r="F23" s="18">
        <v>3.8</v>
      </c>
      <c r="G23" s="18">
        <v>3.8</v>
      </c>
      <c r="H23" s="18">
        <v>3.8</v>
      </c>
      <c r="I23" s="18">
        <v>3.8</v>
      </c>
      <c r="J23" s="18">
        <v>3.8</v>
      </c>
      <c r="K23" s="18"/>
    </row>
    <row r="24" spans="1:11" s="2" customFormat="1" ht="15" customHeight="1">
      <c r="A24" s="12">
        <v>5</v>
      </c>
      <c r="B24" s="28" t="str">
        <f>LIDER!G47</f>
        <v>ANDRES FELIPE TOVAR ARRIOLA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3.8</v>
      </c>
      <c r="E24" s="145"/>
      <c r="F24" s="18">
        <v>3.8</v>
      </c>
      <c r="G24" s="18">
        <v>3.8</v>
      </c>
      <c r="H24" s="18">
        <v>3.8</v>
      </c>
      <c r="I24" s="18">
        <v>3.8</v>
      </c>
      <c r="J24" s="18">
        <v>3.8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IF('S-ASIG-01'!D26="","",'S-ASIG-01'!D26)</f>
        <v>LIST</v>
      </c>
      <c r="D26" s="35" t="s">
        <v>80</v>
      </c>
      <c r="E26" s="150" t="str">
        <f>LIDER!$E$32</f>
        <v>GRUPO#4</v>
      </c>
      <c r="F26" s="151"/>
      <c r="G26" s="151"/>
      <c r="H26" s="151"/>
      <c r="I26" s="151"/>
      <c r="J26" s="151"/>
      <c r="K26" s="151"/>
    </row>
    <row r="27" spans="1:11" s="2" customFormat="1" ht="12.75">
      <c r="A27" s="9">
        <v>1</v>
      </c>
      <c r="B27" s="28">
        <f>LIDER!H43</f>
        <v>0</v>
      </c>
      <c r="C27" s="33" t="str">
        <f>IF('S-ASIG-01'!D27="","",'S-ASIG-01'!D27)</f>
        <v/>
      </c>
      <c r="D27" s="30" t="str">
        <f>IF(B27=0,"",IF(C27="",$E$27*LIDER!$H$19+F27*LIDER!$H$20+G27*LIDER!$H$21+H27*LIDER!$H$22+I27*LIDER!$H$23+J27*LIDER!$H$24+K27*LIDER!$H$25,"N"))</f>
        <v/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IF('S-ASIG-01'!D28="","",'S-ASIG-01'!D28)</f>
        <v/>
      </c>
      <c r="D28" s="30" t="str">
        <f>IF(B28=0,"",IF(C28="",$E$27*LIDER!$H$19+F28*LIDER!$H$20+G28*LIDER!$H$21+H28*LIDER!$H$22+I28*LIDER!$H$23+J28*LIDER!$H$24+K28*LIDER!$H$25,"N"))</f>
        <v/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IF('S-ASIG-01'!D29="","",'S-ASIG-01'!D29)</f>
        <v/>
      </c>
      <c r="D29" s="30" t="str">
        <f>IF(B29=0,"",IF(C29="",$E$27*LIDER!$H$19+F29*LIDER!$H$20+G29*LIDER!$H$21+H29*LIDER!$H$22+I29*LIDER!$H$23+J29*LIDER!$H$24+K29*LIDER!$H$25,"N"))</f>
        <v/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IF('S-ASIG-01'!D30="","",'S-ASIG-01'!D30)</f>
        <v/>
      </c>
      <c r="D30" s="30" t="str">
        <f>IF(B30=0,"",IF(C30="",$E$27*LIDER!$H$19+F30*LIDER!$H$20+G30*LIDER!$H$21+H30*LIDER!$H$22+I30*LIDER!$H$23+J30*LIDER!$H$24+K30*LIDER!$H$25,"N"))</f>
        <v/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IF('S-ASIG-01'!D33="","",'S-ASIG-01'!D33)</f>
        <v>LIST</v>
      </c>
      <c r="D33" s="35" t="s">
        <v>80</v>
      </c>
      <c r="E33" s="150" t="str">
        <f>LIDER!$E$33</f>
        <v>GRUPO#5</v>
      </c>
      <c r="F33" s="151"/>
      <c r="G33" s="151"/>
      <c r="H33" s="151"/>
      <c r="I33" s="151"/>
      <c r="J33" s="151"/>
      <c r="K33" s="151"/>
    </row>
    <row r="34" spans="1:11" s="2" customFormat="1" ht="12.75">
      <c r="A34" s="9">
        <v>1</v>
      </c>
      <c r="B34" s="28" t="str">
        <f>LIDER!E51</f>
        <v>JESUS DANIEL MOLINA SANCHEZ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4.5999999999999996</v>
      </c>
      <c r="E34" s="145">
        <v>4.5999999999999996</v>
      </c>
      <c r="F34" s="24">
        <v>4.5999999999999996</v>
      </c>
      <c r="G34" s="24">
        <v>4.5999999999999996</v>
      </c>
      <c r="H34" s="24">
        <v>4.5999999999999996</v>
      </c>
      <c r="I34" s="24">
        <v>4.5999999999999996</v>
      </c>
      <c r="J34" s="24">
        <v>4.5999999999999996</v>
      </c>
      <c r="K34" s="24"/>
    </row>
    <row r="35" spans="1:11" s="2" customFormat="1" ht="15" customHeight="1">
      <c r="A35" s="12">
        <v>2</v>
      </c>
      <c r="B35" s="28" t="str">
        <f>LIDER!E52</f>
        <v>EDER DARIO PEREZ SALGUEDO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4.5999999999999996</v>
      </c>
      <c r="E35" s="145"/>
      <c r="F35" s="18">
        <v>4.5999999999999996</v>
      </c>
      <c r="G35" s="18">
        <v>4.5999999999999996</v>
      </c>
      <c r="H35" s="18">
        <v>4.5999999999999996</v>
      </c>
      <c r="I35" s="18">
        <v>4.5999999999999996</v>
      </c>
      <c r="J35" s="18">
        <v>4.5999999999999996</v>
      </c>
      <c r="K35" s="18"/>
    </row>
    <row r="36" spans="1:11" s="2" customFormat="1" ht="15" customHeight="1">
      <c r="A36" s="12">
        <v>3</v>
      </c>
      <c r="B36" s="28" t="str">
        <f>LIDER!E53</f>
        <v>MANUEL ALEJANDRO POLO MARTINEZ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4.5999999999999996</v>
      </c>
      <c r="E36" s="145"/>
      <c r="F36" s="18">
        <v>4.5999999999999996</v>
      </c>
      <c r="G36" s="18">
        <v>4.5999999999999996</v>
      </c>
      <c r="H36" s="18">
        <v>4.5999999999999996</v>
      </c>
      <c r="I36" s="18">
        <v>4.5999999999999996</v>
      </c>
      <c r="J36" s="18">
        <v>4.5999999999999996</v>
      </c>
      <c r="K36" s="18"/>
    </row>
    <row r="37" spans="1:11" s="2" customFormat="1" ht="15" customHeight="1">
      <c r="A37" s="12">
        <v>4</v>
      </c>
      <c r="B37" s="28" t="str">
        <f>LIDER!E54</f>
        <v>DANNA JUDITH SOTO CAMARGO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4.5999999999999996</v>
      </c>
      <c r="E37" s="145"/>
      <c r="F37" s="18">
        <v>4.5999999999999996</v>
      </c>
      <c r="G37" s="18">
        <v>4.5999999999999996</v>
      </c>
      <c r="H37" s="18">
        <v>4.5999999999999996</v>
      </c>
      <c r="I37" s="18">
        <v>4.5999999999999996</v>
      </c>
      <c r="J37" s="18">
        <v>4.5999999999999996</v>
      </c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IF('S-ASIG-01'!D40="","",'S-ASIG-01'!D40)</f>
        <v>LIST</v>
      </c>
      <c r="D40" s="35" t="s">
        <v>80</v>
      </c>
      <c r="E40" s="150" t="str">
        <f>LIDER!$E$34</f>
        <v>GRUPO#6</v>
      </c>
      <c r="F40" s="151"/>
      <c r="G40" s="151"/>
      <c r="H40" s="151"/>
      <c r="I40" s="151"/>
      <c r="J40" s="151"/>
      <c r="K40" s="151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IF('S-ASIG-01'!D47="","",'S-ASIG-01'!D47)</f>
        <v>LIST</v>
      </c>
      <c r="D47" s="35" t="s">
        <v>80</v>
      </c>
      <c r="E47" s="150" t="str">
        <f>LIDER!$E$35</f>
        <v>GRUPO#7</v>
      </c>
      <c r="F47" s="151"/>
      <c r="G47" s="151"/>
      <c r="H47" s="151"/>
      <c r="I47" s="151"/>
      <c r="J47" s="151"/>
      <c r="K47" s="151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IF('S-ASIG-01'!D54="","",'S-ASIG-01'!D54)</f>
        <v>LIST</v>
      </c>
      <c r="D54" s="35" t="s">
        <v>80</v>
      </c>
      <c r="E54" s="150" t="str">
        <f>LIDER!$E$36</f>
        <v>GRUPO#8</v>
      </c>
      <c r="F54" s="151"/>
      <c r="G54" s="151"/>
      <c r="H54" s="151"/>
      <c r="I54" s="151"/>
      <c r="J54" s="151"/>
      <c r="K54" s="151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IF('S-ASIG-01'!D61="","",'S-ASIG-01'!D61)</f>
        <v>LIST</v>
      </c>
      <c r="D61" s="35" t="s">
        <v>80</v>
      </c>
      <c r="E61" s="150" t="str">
        <f>LIDER!$E$37</f>
        <v>GRUPO#9</v>
      </c>
      <c r="F61" s="151"/>
      <c r="G61" s="151"/>
      <c r="H61" s="151"/>
      <c r="I61" s="151"/>
      <c r="J61" s="151"/>
      <c r="K61" s="151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IF('S-ASIG-01'!D68="","",'S-ASIG-01'!D68)</f>
        <v>LIST</v>
      </c>
      <c r="D68" s="35" t="s">
        <v>80</v>
      </c>
      <c r="E68" s="150" t="str">
        <f>LIDER!$E$38</f>
        <v>GRUPO#10</v>
      </c>
      <c r="F68" s="151"/>
      <c r="G68" s="151"/>
      <c r="H68" s="151"/>
      <c r="I68" s="151"/>
      <c r="J68" s="151"/>
      <c r="K68" s="151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IF('S-ASIG-01'!D75="","",'S-ASIG-01'!D75)</f>
        <v>LIST</v>
      </c>
      <c r="D75" s="35" t="s">
        <v>80</v>
      </c>
      <c r="E75" s="150" t="str">
        <f>LIDER!$E$39</f>
        <v>GRUPO#11</v>
      </c>
      <c r="F75" s="151"/>
      <c r="G75" s="151"/>
      <c r="H75" s="151"/>
      <c r="I75" s="151"/>
      <c r="J75" s="151"/>
      <c r="K75" s="151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IF('S-ASIG-01'!D82="","",'S-ASIG-01'!D82)</f>
        <v>LIST</v>
      </c>
      <c r="D82" s="35" t="s">
        <v>80</v>
      </c>
      <c r="E82" s="150" t="str">
        <f>LIDER!$E$40</f>
        <v>GRUPO#12</v>
      </c>
      <c r="F82" s="151"/>
      <c r="G82" s="151"/>
      <c r="H82" s="151"/>
      <c r="I82" s="151"/>
      <c r="J82" s="151"/>
      <c r="K82" s="151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2" t="str">
        <f>LIDER!B2</f>
        <v>TECNOLOGÍA EN GESTIÓN DE NEGOCIOS INTERN</v>
      </c>
      <c r="B1" s="143"/>
      <c r="C1" s="143"/>
      <c r="D1" s="143"/>
      <c r="E1" s="143"/>
      <c r="F1" s="143"/>
      <c r="G1" s="144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LIDER!D4</f>
        <v>ELECTIVA LIBRE SOCIOHUMANÍS I</v>
      </c>
      <c r="C2" s="3"/>
      <c r="E2" s="152" t="s">
        <v>76</v>
      </c>
      <c r="F2" s="153"/>
      <c r="G2" s="153"/>
      <c r="H2" s="153"/>
      <c r="I2" s="153"/>
      <c r="J2" s="153"/>
      <c r="K2" s="154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47" t="str">
        <f>CONCATENATE(LIDER!D4," - ",LIDER!D6," - ",LIDER!D5)</f>
        <v>ELECTIVA LIBRE SOCIOHUMANÍS I - 2223 - ALBEIRO YESITH PÉREZ CHIQUILLO</v>
      </c>
      <c r="F4" s="148"/>
      <c r="G4" s="148"/>
      <c r="H4" s="148"/>
      <c r="I4" s="148"/>
      <c r="J4" s="148"/>
      <c r="K4" s="149"/>
    </row>
    <row r="5" spans="1:11" s="2" customFormat="1" ht="15.75" customHeight="1" thickBot="1">
      <c r="A5" s="8"/>
      <c r="B5" s="27" t="s">
        <v>64</v>
      </c>
      <c r="C5" s="34" t="str">
        <f>IF('S-ASIG-02'!D5="","",'S-ASIG-02'!D5)</f>
        <v>LIST</v>
      </c>
      <c r="D5" s="35" t="s">
        <v>80</v>
      </c>
      <c r="E5" s="151" t="str">
        <f>LIDER!$E$29</f>
        <v>GRUPO#1</v>
      </c>
      <c r="F5" s="151"/>
      <c r="G5" s="151"/>
      <c r="H5" s="151"/>
      <c r="I5" s="151"/>
      <c r="J5" s="151"/>
      <c r="K5" s="151"/>
    </row>
    <row r="6" spans="1:11" s="2" customFormat="1" ht="12.75">
      <c r="A6" s="9">
        <v>1</v>
      </c>
      <c r="B6" s="28" t="str">
        <f>LIDER!E43</f>
        <v>DANIA LICETH ACOSTA SALAZAR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200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LUISA DANIELA ALVAREZ ARGUMEDO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200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JUAN GARCIA SILVA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200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LAURA VALENTINA RIVERO MADRID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200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IF('S-ASIG-02'!D10="","",'S-ASIG-02'!D10)</f>
        <v/>
      </c>
      <c r="D10" s="30" t="str">
        <f>IF(B10=0,"",IF(C10="",$E$6*LIDER!$H$19+F10*LIDER!$H$20+G10*LIDER!$H$21+H10*LIDER!$H$22+I10*LIDER!$H$23+J10*LIDER!$H$24+K10*LIDER!$H$25,"N"))</f>
        <v/>
      </c>
      <c r="E10" s="20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20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65</v>
      </c>
      <c r="C12" s="32" t="str">
        <f>IF('S-ASIG-02'!D12="","",'S-ASIG-02'!D12)</f>
        <v>LIST</v>
      </c>
      <c r="D12" s="35" t="s">
        <v>80</v>
      </c>
      <c r="E12" s="151" t="str">
        <f>LIDER!$E$30</f>
        <v>GRUPO#2</v>
      </c>
      <c r="F12" s="151"/>
      <c r="G12" s="151"/>
      <c r="H12" s="151"/>
      <c r="I12" s="151"/>
      <c r="J12" s="151"/>
      <c r="K12" s="151"/>
    </row>
    <row r="13" spans="1:11" s="2" customFormat="1" ht="12.75">
      <c r="A13" s="9">
        <v>1</v>
      </c>
      <c r="B13" s="28" t="str">
        <f>LIDER!F43</f>
        <v>NEYS DEL CARMEN ARROYO QUINTANA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200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BIANCA FIORELLA CARAZO PUELLO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200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LUIS MARIO MARRUGO DIAZ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200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SAMANTA QUICENO CAMPUZANO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200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IF('S-ASIG-02'!D17="","",'S-ASIG-02'!D17)</f>
        <v/>
      </c>
      <c r="D17" s="30" t="str">
        <f>IF(B17=0,"",IF(C17="",$E$13*LIDER!$H$19+F17*LIDER!$H$20+G17*LIDER!$H$21+H17*LIDER!$H$22+I17*LIDER!$H$23+J17*LIDER!$H$24+K17*LIDER!$H$25,"N"))</f>
        <v/>
      </c>
      <c r="E17" s="20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20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66</v>
      </c>
      <c r="C19" s="32" t="str">
        <f>IF('S-ASIG-02'!D19="","",'S-ASIG-02'!D19)</f>
        <v>LIST</v>
      </c>
      <c r="D19" s="35" t="s">
        <v>80</v>
      </c>
      <c r="E19" s="151" t="str">
        <f>LIDER!$E$31</f>
        <v>GRUPO#3</v>
      </c>
      <c r="F19" s="151"/>
      <c r="G19" s="151"/>
      <c r="H19" s="151"/>
      <c r="I19" s="151"/>
      <c r="J19" s="151"/>
      <c r="K19" s="151"/>
    </row>
    <row r="20" spans="1:11" s="2" customFormat="1" ht="12.75">
      <c r="A20" s="9">
        <v>1</v>
      </c>
      <c r="B20" s="28" t="str">
        <f>LIDER!G43</f>
        <v>ANDRES FELIPE ALFARO LARES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200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NICOLE ANDREA BARRAZA CARDOZO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200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DANIELA BOLAÑOS CUELLAR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20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LAURA VANESSA POLO CARABALLO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20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ANDRES FELIPE TOVAR ARRIOLA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0</v>
      </c>
      <c r="E24" s="20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20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IF('S-ASIG-02'!D26="","",'S-ASIG-02'!D26)</f>
        <v>LIST</v>
      </c>
      <c r="D26" s="35" t="s">
        <v>80</v>
      </c>
      <c r="E26" s="151" t="str">
        <f>LIDER!$E$32</f>
        <v>GRUPO#4</v>
      </c>
      <c r="F26" s="151"/>
      <c r="G26" s="151"/>
      <c r="H26" s="151"/>
      <c r="I26" s="151"/>
      <c r="J26" s="151"/>
      <c r="K26" s="151"/>
    </row>
    <row r="27" spans="1:11" s="2" customFormat="1" ht="12.75">
      <c r="A27" s="9">
        <v>1</v>
      </c>
      <c r="B27" s="28">
        <f>LIDER!H43</f>
        <v>0</v>
      </c>
      <c r="C27" s="33" t="str">
        <f>IF('S-ASIG-02'!D27="","",'S-ASIG-02'!D27)</f>
        <v/>
      </c>
      <c r="D27" s="30" t="str">
        <f>IF(B27=0,"",IF(C27="",$E$27*LIDER!$H$19+F27*LIDER!$H$20+G27*LIDER!$H$21+H27*LIDER!$H$22+I27*LIDER!$H$23+J27*LIDER!$H$24+K27*LIDER!$H$25,"N"))</f>
        <v/>
      </c>
      <c r="E27" s="20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IF('S-ASIG-02'!D28="","",'S-ASIG-02'!D28)</f>
        <v/>
      </c>
      <c r="D28" s="30" t="str">
        <f>IF(B28=0,"",IF(C28="",$E$27*LIDER!$H$19+F28*LIDER!$H$20+G28*LIDER!$H$21+H28*LIDER!$H$22+I28*LIDER!$H$23+J28*LIDER!$H$24+K28*LIDER!$H$25,"N"))</f>
        <v/>
      </c>
      <c r="E28" s="20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IF('S-ASIG-02'!D29="","",'S-ASIG-02'!D29)</f>
        <v/>
      </c>
      <c r="D29" s="30" t="str">
        <f>IF(B29=0,"",IF(C29="",$E$27*LIDER!$H$19+F29*LIDER!$H$20+G29*LIDER!$H$21+H29*LIDER!$H$22+I29*LIDER!$H$23+J29*LIDER!$H$24+K29*LIDER!$H$25,"N"))</f>
        <v/>
      </c>
      <c r="E29" s="20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IF('S-ASIG-02'!D30="","",'S-ASIG-02'!D30)</f>
        <v/>
      </c>
      <c r="D30" s="30" t="str">
        <f>IF(B30=0,"",IF(C30="",$E$27*LIDER!$H$19+F30*LIDER!$H$20+G30*LIDER!$H$21+H30*LIDER!$H$22+I30*LIDER!$H$23+J30*LIDER!$H$24+K30*LIDER!$H$25,"N"))</f>
        <v/>
      </c>
      <c r="E30" s="20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20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20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IF('S-ASIG-02'!D33="","",'S-ASIG-02'!D33)</f>
        <v>LIST</v>
      </c>
      <c r="D33" s="35" t="s">
        <v>80</v>
      </c>
      <c r="E33" s="151" t="str">
        <f>LIDER!$E$33</f>
        <v>GRUPO#5</v>
      </c>
      <c r="F33" s="151"/>
      <c r="G33" s="151"/>
      <c r="H33" s="151"/>
      <c r="I33" s="151"/>
      <c r="J33" s="151"/>
      <c r="K33" s="151"/>
    </row>
    <row r="34" spans="1:11" s="2" customFormat="1" ht="12.75">
      <c r="A34" s="9">
        <v>1</v>
      </c>
      <c r="B34" s="28" t="str">
        <f>LIDER!E51</f>
        <v>JESUS DANIEL MOLINA SANCHEZ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0</v>
      </c>
      <c r="E34" s="20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EDER DARIO PEREZ SALGUEDO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0</v>
      </c>
      <c r="E35" s="20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MANUEL ALEJANDRO POLO MARTINEZ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0</v>
      </c>
      <c r="E36" s="20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DANNA JUDITH SOTO CAMARGO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0</v>
      </c>
      <c r="E37" s="20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20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20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IF('S-ASIG-02'!D40="","",'S-ASIG-02'!D40)</f>
        <v>LIST</v>
      </c>
      <c r="D40" s="35" t="s">
        <v>80</v>
      </c>
      <c r="E40" s="151" t="str">
        <f>LIDER!$E$34</f>
        <v>GRUPO#6</v>
      </c>
      <c r="F40" s="151"/>
      <c r="G40" s="151"/>
      <c r="H40" s="151"/>
      <c r="I40" s="151"/>
      <c r="J40" s="151"/>
      <c r="K40" s="151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20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20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20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20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20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20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IF('S-ASIG-02'!D47="","",'S-ASIG-02'!D47)</f>
        <v>LIST</v>
      </c>
      <c r="D47" s="35" t="s">
        <v>80</v>
      </c>
      <c r="E47" s="151" t="str">
        <f>LIDER!$E$35</f>
        <v>GRUPO#7</v>
      </c>
      <c r="F47" s="151"/>
      <c r="G47" s="151"/>
      <c r="H47" s="151"/>
      <c r="I47" s="151"/>
      <c r="J47" s="151"/>
      <c r="K47" s="151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20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20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20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20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20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20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IF('S-ASIG-02'!D54="","",'S-ASIG-02'!D54)</f>
        <v>LIST</v>
      </c>
      <c r="D54" s="35" t="s">
        <v>80</v>
      </c>
      <c r="E54" s="151" t="str">
        <f>LIDER!$E$36</f>
        <v>GRUPO#8</v>
      </c>
      <c r="F54" s="151"/>
      <c r="G54" s="151"/>
      <c r="H54" s="151"/>
      <c r="I54" s="151"/>
      <c r="J54" s="151"/>
      <c r="K54" s="151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20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20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20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20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20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20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IF('S-ASIG-02'!D61="","",'S-ASIG-02'!D61)</f>
        <v>LIST</v>
      </c>
      <c r="D61" s="35" t="s">
        <v>80</v>
      </c>
      <c r="E61" s="151" t="str">
        <f>LIDER!$E$37</f>
        <v>GRUPO#9</v>
      </c>
      <c r="F61" s="151"/>
      <c r="G61" s="151"/>
      <c r="H61" s="151"/>
      <c r="I61" s="151"/>
      <c r="J61" s="151"/>
      <c r="K61" s="151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20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20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20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20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20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20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IF('S-ASIG-02'!D68="","",'S-ASIG-02'!D68)</f>
        <v>LIST</v>
      </c>
      <c r="D68" s="35" t="s">
        <v>80</v>
      </c>
      <c r="E68" s="151" t="str">
        <f>LIDER!$E$38</f>
        <v>GRUPO#10</v>
      </c>
      <c r="F68" s="151"/>
      <c r="G68" s="151"/>
      <c r="H68" s="151"/>
      <c r="I68" s="151"/>
      <c r="J68" s="151"/>
      <c r="K68" s="151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20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20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20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20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20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20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IF('S-ASIG-02'!D75="","",'S-ASIG-02'!D75)</f>
        <v>LIST</v>
      </c>
      <c r="D75" s="35" t="s">
        <v>80</v>
      </c>
      <c r="E75" s="151" t="str">
        <f>LIDER!$E$39</f>
        <v>GRUPO#11</v>
      </c>
      <c r="F75" s="151"/>
      <c r="G75" s="151"/>
      <c r="H75" s="151"/>
      <c r="I75" s="151"/>
      <c r="J75" s="151"/>
      <c r="K75" s="151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20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20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20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20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20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20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IF('S-ASIG-02'!D82="","",'S-ASIG-02'!D82)</f>
        <v>LIST</v>
      </c>
      <c r="D82" s="35" t="s">
        <v>80</v>
      </c>
      <c r="E82" s="151" t="str">
        <f>LIDER!$E$40</f>
        <v>GRUPO#12</v>
      </c>
      <c r="F82" s="151"/>
      <c r="G82" s="151"/>
      <c r="H82" s="151"/>
      <c r="I82" s="151"/>
      <c r="J82" s="151"/>
      <c r="K82" s="151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20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20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20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20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20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F4" activePane="bottomRight" state="frozen"/>
      <selection pane="bottomRight" activeCell="I38" sqref="I3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2" t="str">
        <f>LIDER!B2</f>
        <v>TECNOLOGÍA EN GESTIÓN DE NEGOCIOS INTERN</v>
      </c>
      <c r="B1" s="143"/>
      <c r="C1" s="143"/>
      <c r="D1" s="143"/>
      <c r="E1" s="143"/>
      <c r="F1" s="143"/>
      <c r="G1" s="144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LIDER!E4</f>
        <v>TALENTO HUMANO</v>
      </c>
      <c r="C2" s="3"/>
      <c r="E2" s="152" t="s">
        <v>76</v>
      </c>
      <c r="F2" s="153"/>
      <c r="G2" s="153"/>
      <c r="H2" s="153"/>
      <c r="I2" s="153"/>
      <c r="J2" s="153"/>
      <c r="K2" s="154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47" t="str">
        <f>CONCATENATE(LIDER!E4," - ",LIDER!E6," - ",LIDER!E5)</f>
        <v>TALENTO HUMANO - 2424 - LILIANA PATRICIA VELLOJIN ORTIZ</v>
      </c>
      <c r="F4" s="148"/>
      <c r="G4" s="148"/>
      <c r="H4" s="148"/>
      <c r="I4" s="148"/>
      <c r="J4" s="148"/>
      <c r="K4" s="149"/>
    </row>
    <row r="5" spans="1:11" s="2" customFormat="1" ht="15.75" customHeight="1" thickBot="1">
      <c r="A5" s="8"/>
      <c r="B5" s="27" t="s">
        <v>64</v>
      </c>
      <c r="C5" s="34" t="str">
        <f>IF('S-ASIG-03'!D5="","",'S-ASIG-03'!D5)</f>
        <v>LIST</v>
      </c>
      <c r="D5" s="35" t="s">
        <v>80</v>
      </c>
      <c r="E5" s="151" t="str">
        <f>LIDER!$E$29</f>
        <v>GRUPO#1</v>
      </c>
      <c r="F5" s="151"/>
      <c r="G5" s="151"/>
      <c r="H5" s="151"/>
      <c r="I5" s="151"/>
      <c r="J5" s="151"/>
      <c r="K5" s="151"/>
    </row>
    <row r="6" spans="1:11" s="2" customFormat="1" ht="12.75">
      <c r="A6" s="9">
        <v>1</v>
      </c>
      <c r="B6" s="28" t="str">
        <f>LIDER!E43</f>
        <v>DANIA LICETH ACOSTA SALAZAR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4.1499999999999995</v>
      </c>
      <c r="E6" s="200">
        <v>4</v>
      </c>
      <c r="F6" s="24">
        <v>4.3</v>
      </c>
      <c r="G6" s="24">
        <v>4.3</v>
      </c>
      <c r="H6" s="24">
        <v>4.3</v>
      </c>
      <c r="I6" s="24">
        <v>4.3</v>
      </c>
      <c r="J6" s="24">
        <v>4.3</v>
      </c>
      <c r="K6" s="24"/>
    </row>
    <row r="7" spans="1:11" s="2" customFormat="1" ht="15" customHeight="1">
      <c r="A7" s="12">
        <v>2</v>
      </c>
      <c r="B7" s="28" t="str">
        <f>LIDER!E44</f>
        <v>LUISA DANIELA ALVAREZ ARGUMEDO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4.1499999999999995</v>
      </c>
      <c r="E7" s="200"/>
      <c r="F7" s="18">
        <v>4.3</v>
      </c>
      <c r="G7" s="18">
        <v>4.3</v>
      </c>
      <c r="H7" s="18">
        <v>4.3</v>
      </c>
      <c r="I7" s="18">
        <v>4.3</v>
      </c>
      <c r="J7" s="18">
        <v>4.3</v>
      </c>
      <c r="K7" s="18"/>
    </row>
    <row r="8" spans="1:11" s="2" customFormat="1" ht="15" customHeight="1">
      <c r="A8" s="12">
        <v>3</v>
      </c>
      <c r="B8" s="28" t="str">
        <f>LIDER!E45</f>
        <v>JUAN GARCIA SILVA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4.1499999999999995</v>
      </c>
      <c r="E8" s="200"/>
      <c r="F8" s="18">
        <v>4.3</v>
      </c>
      <c r="G8" s="18">
        <v>4.3</v>
      </c>
      <c r="H8" s="18">
        <v>4.3</v>
      </c>
      <c r="I8" s="18">
        <v>4.3</v>
      </c>
      <c r="J8" s="18">
        <v>4.3</v>
      </c>
      <c r="K8" s="18"/>
    </row>
    <row r="9" spans="1:11" s="2" customFormat="1" ht="15" customHeight="1">
      <c r="A9" s="12">
        <v>4</v>
      </c>
      <c r="B9" s="28" t="str">
        <f>LIDER!E46</f>
        <v>LAURA VALENTINA RIVERO MADRID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2</v>
      </c>
      <c r="E9" s="200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IF('S-ASIG-03'!D10="","",'S-ASIG-03'!D10)</f>
        <v/>
      </c>
      <c r="D10" s="30" t="str">
        <f>IF(B10=0,"",IF(C10="",$E$6*LIDER!$H$19+F10*LIDER!$H$20+G10*LIDER!$H$21+H10*LIDER!$H$22+I10*LIDER!$H$23+J10*LIDER!$H$24+K10*LIDER!$H$25,"N"))</f>
        <v/>
      </c>
      <c r="E10" s="20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20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65</v>
      </c>
      <c r="C12" s="32" t="str">
        <f>IF('S-ASIG-03'!D12="","",'S-ASIG-03'!D12)</f>
        <v>LIST</v>
      </c>
      <c r="D12" s="35" t="s">
        <v>80</v>
      </c>
      <c r="E12" s="151" t="str">
        <f>LIDER!$E$30</f>
        <v>GRUPO#2</v>
      </c>
      <c r="F12" s="151"/>
      <c r="G12" s="151"/>
      <c r="H12" s="151"/>
      <c r="I12" s="151"/>
      <c r="J12" s="151"/>
      <c r="K12" s="151"/>
    </row>
    <row r="13" spans="1:11" s="2" customFormat="1" ht="12.75">
      <c r="A13" s="9">
        <v>1</v>
      </c>
      <c r="B13" s="28" t="str">
        <f>LIDER!F43</f>
        <v>NEYS DEL CARMEN ARROYO QUINTANA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4.4000000000000004</v>
      </c>
      <c r="E13" s="200">
        <v>4.3</v>
      </c>
      <c r="F13" s="24">
        <v>4.5</v>
      </c>
      <c r="G13" s="24">
        <v>4.5</v>
      </c>
      <c r="H13" s="24">
        <v>4.5</v>
      </c>
      <c r="I13" s="24">
        <v>4.5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BIANCA FIORELLA CARAZO PUELLO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4.4000000000000004</v>
      </c>
      <c r="E14" s="200"/>
      <c r="F14" s="18">
        <v>4.5</v>
      </c>
      <c r="G14" s="18">
        <v>4.5</v>
      </c>
      <c r="H14" s="18">
        <v>4.5</v>
      </c>
      <c r="I14" s="18">
        <v>4.5</v>
      </c>
      <c r="J14" s="18">
        <v>4.5</v>
      </c>
      <c r="K14" s="18"/>
    </row>
    <row r="15" spans="1:11" s="2" customFormat="1" ht="15" customHeight="1">
      <c r="A15" s="12">
        <v>3</v>
      </c>
      <c r="B15" s="28" t="str">
        <f>LIDER!F45</f>
        <v>LUIS MARIO MARRUGO DIAZ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4.4000000000000004</v>
      </c>
      <c r="E15" s="200"/>
      <c r="F15" s="18">
        <v>4.5</v>
      </c>
      <c r="G15" s="18">
        <v>4.5</v>
      </c>
      <c r="H15" s="18">
        <v>4.5</v>
      </c>
      <c r="I15" s="18">
        <v>4.5</v>
      </c>
      <c r="J15" s="18">
        <v>4.5</v>
      </c>
      <c r="K15" s="18"/>
    </row>
    <row r="16" spans="1:11" s="2" customFormat="1" ht="15" customHeight="1">
      <c r="A16" s="12">
        <v>4</v>
      </c>
      <c r="B16" s="28" t="str">
        <f>LIDER!F46</f>
        <v>SAMANTA QUICENO CAMPUZANO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4.4000000000000004</v>
      </c>
      <c r="E16" s="200"/>
      <c r="F16" s="18">
        <v>4.5</v>
      </c>
      <c r="G16" s="18">
        <v>4.5</v>
      </c>
      <c r="H16" s="18">
        <v>4.5</v>
      </c>
      <c r="I16" s="18">
        <v>4.5</v>
      </c>
      <c r="J16" s="18">
        <v>4.5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IF('S-ASIG-03'!D17="","",'S-ASIG-03'!D17)</f>
        <v/>
      </c>
      <c r="D17" s="30" t="str">
        <f>IF(B17=0,"",IF(C17="",$E$13*LIDER!$H$19+F17*LIDER!$H$20+G17*LIDER!$H$21+H17*LIDER!$H$22+I17*LIDER!$H$23+J17*LIDER!$H$24+K17*LIDER!$H$25,"N"))</f>
        <v/>
      </c>
      <c r="E17" s="20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20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66</v>
      </c>
      <c r="C19" s="32" t="str">
        <f>IF('S-ASIG-03'!D19="","",'S-ASIG-03'!D19)</f>
        <v>LIST</v>
      </c>
      <c r="D19" s="35" t="s">
        <v>80</v>
      </c>
      <c r="E19" s="151" t="str">
        <f>LIDER!$E$31</f>
        <v>GRUPO#3</v>
      </c>
      <c r="F19" s="151"/>
      <c r="G19" s="151"/>
      <c r="H19" s="151"/>
      <c r="I19" s="151"/>
      <c r="J19" s="151"/>
      <c r="K19" s="151"/>
    </row>
    <row r="20" spans="1:11" s="2" customFormat="1" ht="12.75">
      <c r="A20" s="9">
        <v>1</v>
      </c>
      <c r="B20" s="28" t="str">
        <f>LIDER!G43</f>
        <v>ANDRES FELIPE ALFARO LARES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4.3499999999999996</v>
      </c>
      <c r="E20" s="200">
        <v>4.5</v>
      </c>
      <c r="F20" s="24">
        <v>4.2</v>
      </c>
      <c r="G20" s="24">
        <v>4.2</v>
      </c>
      <c r="H20" s="24">
        <v>4.2</v>
      </c>
      <c r="I20" s="24">
        <v>4.2</v>
      </c>
      <c r="J20" s="24">
        <v>4.2</v>
      </c>
      <c r="K20" s="24"/>
    </row>
    <row r="21" spans="1:11" s="2" customFormat="1" ht="15" customHeight="1">
      <c r="A21" s="12">
        <v>2</v>
      </c>
      <c r="B21" s="28" t="str">
        <f>LIDER!G44</f>
        <v>NICOLE ANDREA BARRAZA CARDOZO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4.3499999999999996</v>
      </c>
      <c r="E21" s="200"/>
      <c r="F21" s="18">
        <v>4.2</v>
      </c>
      <c r="G21" s="18">
        <v>4.2</v>
      </c>
      <c r="H21" s="18">
        <v>4.2</v>
      </c>
      <c r="I21" s="18">
        <v>4.2</v>
      </c>
      <c r="J21" s="18">
        <v>4.2</v>
      </c>
      <c r="K21" s="18"/>
    </row>
    <row r="22" spans="1:11" s="2" customFormat="1" ht="15" customHeight="1">
      <c r="A22" s="12">
        <v>3</v>
      </c>
      <c r="B22" s="28" t="str">
        <f>LIDER!G45</f>
        <v>DANIELA BOLAÑOS CUELLAR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4.3499999999999996</v>
      </c>
      <c r="E22" s="200"/>
      <c r="F22" s="18">
        <v>4.2</v>
      </c>
      <c r="G22" s="18">
        <v>4.2</v>
      </c>
      <c r="H22" s="18">
        <v>4.2</v>
      </c>
      <c r="I22" s="18">
        <v>4.2</v>
      </c>
      <c r="J22" s="18">
        <v>4.2</v>
      </c>
      <c r="K22" s="18"/>
    </row>
    <row r="23" spans="1:11" s="2" customFormat="1" ht="15" customHeight="1">
      <c r="A23" s="12">
        <v>4</v>
      </c>
      <c r="B23" s="28" t="str">
        <f>LIDER!G46</f>
        <v>LAURA VANESSA POLO CARABALLO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4.3499999999999996</v>
      </c>
      <c r="E23" s="200"/>
      <c r="F23" s="18">
        <v>4.2</v>
      </c>
      <c r="G23" s="18">
        <v>4.2</v>
      </c>
      <c r="H23" s="18">
        <v>4.2</v>
      </c>
      <c r="I23" s="18">
        <v>4.2</v>
      </c>
      <c r="J23" s="18">
        <v>4.2</v>
      </c>
      <c r="K23" s="18"/>
    </row>
    <row r="24" spans="1:11" s="2" customFormat="1" ht="15" customHeight="1">
      <c r="A24" s="12">
        <v>5</v>
      </c>
      <c r="B24" s="28" t="str">
        <f>LIDER!G47</f>
        <v>ANDRES FELIPE TOVAR ARRIOLA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4.3499999999999996</v>
      </c>
      <c r="E24" s="200"/>
      <c r="F24" s="18">
        <v>4.2</v>
      </c>
      <c r="G24" s="18">
        <v>4.2</v>
      </c>
      <c r="H24" s="18">
        <v>4.2</v>
      </c>
      <c r="I24" s="18">
        <v>4.2</v>
      </c>
      <c r="J24" s="18">
        <v>4.2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20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IF('S-ASIG-03'!D26="","",'S-ASIG-03'!D26)</f>
        <v>LIST</v>
      </c>
      <c r="D26" s="35" t="s">
        <v>80</v>
      </c>
      <c r="E26" s="151" t="str">
        <f>LIDER!$E$32</f>
        <v>GRUPO#4</v>
      </c>
      <c r="F26" s="151"/>
      <c r="G26" s="151"/>
      <c r="H26" s="151"/>
      <c r="I26" s="151"/>
      <c r="J26" s="151"/>
      <c r="K26" s="151"/>
    </row>
    <row r="27" spans="1:11" s="2" customFormat="1" ht="12.75">
      <c r="A27" s="9">
        <v>1</v>
      </c>
      <c r="B27" s="28">
        <f>LIDER!H43</f>
        <v>0</v>
      </c>
      <c r="C27" s="33" t="str">
        <f>IF('S-ASIG-03'!D27="","",'S-ASIG-03'!D27)</f>
        <v/>
      </c>
      <c r="D27" s="30" t="str">
        <f>IF(B27=0,"",IF(C27="",$E$27*LIDER!$H$19+F27*LIDER!$H$20+G27*LIDER!$H$21+H27*LIDER!$H$22+I27*LIDER!$H$23+J27*LIDER!$H$24+K27*LIDER!$H$25,"N"))</f>
        <v/>
      </c>
      <c r="E27" s="20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IF('S-ASIG-03'!D28="","",'S-ASIG-03'!D28)</f>
        <v/>
      </c>
      <c r="D28" s="30" t="str">
        <f>IF(B28=0,"",IF(C28="",$E$27*LIDER!$H$19+F28*LIDER!$H$20+G28*LIDER!$H$21+H28*LIDER!$H$22+I28*LIDER!$H$23+J28*LIDER!$H$24+K28*LIDER!$H$25,"N"))</f>
        <v/>
      </c>
      <c r="E28" s="20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IF('S-ASIG-03'!D29="","",'S-ASIG-03'!D29)</f>
        <v/>
      </c>
      <c r="D29" s="30" t="str">
        <f>IF(B29=0,"",IF(C29="",$E$27*LIDER!$H$19+F29*LIDER!$H$20+G29*LIDER!$H$21+H29*LIDER!$H$22+I29*LIDER!$H$23+J29*LIDER!$H$24+K29*LIDER!$H$25,"N"))</f>
        <v/>
      </c>
      <c r="E29" s="20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IF('S-ASIG-03'!D30="","",'S-ASIG-03'!D30)</f>
        <v/>
      </c>
      <c r="D30" s="30" t="str">
        <f>IF(B30=0,"",IF(C30="",$E$27*LIDER!$H$19+F30*LIDER!$H$20+G30*LIDER!$H$21+H30*LIDER!$H$22+I30*LIDER!$H$23+J30*LIDER!$H$24+K30*LIDER!$H$25,"N"))</f>
        <v/>
      </c>
      <c r="E30" s="20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20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20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IF('S-ASIG-03'!D33="","",'S-ASIG-03'!D33)</f>
        <v>LIST</v>
      </c>
      <c r="D33" s="35" t="s">
        <v>80</v>
      </c>
      <c r="E33" s="151" t="str">
        <f>LIDER!$E$33</f>
        <v>GRUPO#5</v>
      </c>
      <c r="F33" s="151"/>
      <c r="G33" s="151"/>
      <c r="H33" s="151"/>
      <c r="I33" s="151"/>
      <c r="J33" s="151"/>
      <c r="K33" s="151"/>
    </row>
    <row r="34" spans="1:11" s="2" customFormat="1" ht="12.75">
      <c r="A34" s="9">
        <v>1</v>
      </c>
      <c r="B34" s="28" t="str">
        <f>LIDER!E51</f>
        <v>JESUS DANIEL MOLINA SANCHEZ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4.5999999999999996</v>
      </c>
      <c r="E34" s="200">
        <v>4.5</v>
      </c>
      <c r="F34" s="24">
        <v>4.7</v>
      </c>
      <c r="G34" s="24">
        <v>4.7</v>
      </c>
      <c r="H34" s="24">
        <v>4.7</v>
      </c>
      <c r="I34" s="24">
        <v>4.7</v>
      </c>
      <c r="J34" s="24">
        <v>4.7</v>
      </c>
      <c r="K34" s="24"/>
    </row>
    <row r="35" spans="1:11" s="2" customFormat="1" ht="15" customHeight="1">
      <c r="A35" s="12">
        <v>2</v>
      </c>
      <c r="B35" s="28" t="str">
        <f>LIDER!E52</f>
        <v>EDER DARIO PEREZ SALGUEDO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4.5999999999999996</v>
      </c>
      <c r="E35" s="200"/>
      <c r="F35" s="18">
        <v>4.7</v>
      </c>
      <c r="G35" s="18">
        <v>4.7</v>
      </c>
      <c r="H35" s="18">
        <v>4.7</v>
      </c>
      <c r="I35" s="18">
        <v>4.7</v>
      </c>
      <c r="J35" s="18">
        <v>4.7</v>
      </c>
      <c r="K35" s="18"/>
    </row>
    <row r="36" spans="1:11" s="2" customFormat="1" ht="15" customHeight="1">
      <c r="A36" s="12">
        <v>3</v>
      </c>
      <c r="B36" s="28" t="str">
        <f>LIDER!E53</f>
        <v>MANUEL ALEJANDRO POLO MARTINEZ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4.5999999999999996</v>
      </c>
      <c r="E36" s="200"/>
      <c r="F36" s="18">
        <v>4.7</v>
      </c>
      <c r="G36" s="18">
        <v>4.7</v>
      </c>
      <c r="H36" s="18">
        <v>4.7</v>
      </c>
      <c r="I36" s="18">
        <v>4.7</v>
      </c>
      <c r="J36" s="18">
        <v>4.7</v>
      </c>
      <c r="K36" s="18"/>
    </row>
    <row r="37" spans="1:11" s="2" customFormat="1" ht="15" customHeight="1">
      <c r="A37" s="12">
        <v>4</v>
      </c>
      <c r="B37" s="28" t="str">
        <f>LIDER!E54</f>
        <v>DANNA JUDITH SOTO CAMARGO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4.5999999999999996</v>
      </c>
      <c r="E37" s="200"/>
      <c r="F37" s="18">
        <v>4.7</v>
      </c>
      <c r="G37" s="18">
        <v>4.7</v>
      </c>
      <c r="H37" s="18">
        <v>4.7</v>
      </c>
      <c r="I37" s="18">
        <v>4.7</v>
      </c>
      <c r="J37" s="18">
        <v>4.7</v>
      </c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20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20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IF('S-ASIG-03'!D40="","",'S-ASIG-03'!D40)</f>
        <v>LIST</v>
      </c>
      <c r="D40" s="35" t="s">
        <v>80</v>
      </c>
      <c r="E40" s="151" t="str">
        <f>LIDER!$E$34</f>
        <v>GRUPO#6</v>
      </c>
      <c r="F40" s="151"/>
      <c r="G40" s="151"/>
      <c r="H40" s="151"/>
      <c r="I40" s="151"/>
      <c r="J40" s="151"/>
      <c r="K40" s="151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20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20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20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20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20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20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IF('S-ASIG-03'!D47="","",'S-ASIG-03'!D47)</f>
        <v>LIST</v>
      </c>
      <c r="D47" s="35" t="s">
        <v>80</v>
      </c>
      <c r="E47" s="151" t="str">
        <f>LIDER!$E$35</f>
        <v>GRUPO#7</v>
      </c>
      <c r="F47" s="151"/>
      <c r="G47" s="151"/>
      <c r="H47" s="151"/>
      <c r="I47" s="151"/>
      <c r="J47" s="151"/>
      <c r="K47" s="151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20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20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20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20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20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20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IF('S-ASIG-03'!D54="","",'S-ASIG-03'!D54)</f>
        <v>LIST</v>
      </c>
      <c r="D54" s="35" t="s">
        <v>80</v>
      </c>
      <c r="E54" s="151" t="str">
        <f>LIDER!$E$36</f>
        <v>GRUPO#8</v>
      </c>
      <c r="F54" s="151"/>
      <c r="G54" s="151"/>
      <c r="H54" s="151"/>
      <c r="I54" s="151"/>
      <c r="J54" s="151"/>
      <c r="K54" s="151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20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20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20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20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20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20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IF('S-ASIG-03'!D61="","",'S-ASIG-03'!D61)</f>
        <v>LIST</v>
      </c>
      <c r="D61" s="35" t="s">
        <v>80</v>
      </c>
      <c r="E61" s="151" t="str">
        <f>LIDER!$E$37</f>
        <v>GRUPO#9</v>
      </c>
      <c r="F61" s="151"/>
      <c r="G61" s="151"/>
      <c r="H61" s="151"/>
      <c r="I61" s="151"/>
      <c r="J61" s="151"/>
      <c r="K61" s="151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20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20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20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20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20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20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IF('S-ASIG-03'!D68="","",'S-ASIG-03'!D68)</f>
        <v>LIST</v>
      </c>
      <c r="D68" s="35" t="s">
        <v>80</v>
      </c>
      <c r="E68" s="151" t="str">
        <f>LIDER!$E$38</f>
        <v>GRUPO#10</v>
      </c>
      <c r="F68" s="151"/>
      <c r="G68" s="151"/>
      <c r="H68" s="151"/>
      <c r="I68" s="151"/>
      <c r="J68" s="151"/>
      <c r="K68" s="151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20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20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20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20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20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20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IF('S-ASIG-03'!D75="","",'S-ASIG-03'!D75)</f>
        <v>LIST</v>
      </c>
      <c r="D75" s="35" t="s">
        <v>80</v>
      </c>
      <c r="E75" s="151" t="str">
        <f>LIDER!$E$39</f>
        <v>GRUPO#11</v>
      </c>
      <c r="F75" s="151"/>
      <c r="G75" s="151"/>
      <c r="H75" s="151"/>
      <c r="I75" s="151"/>
      <c r="J75" s="151"/>
      <c r="K75" s="151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20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20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20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20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20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20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IF('S-ASIG-03'!D82="","",'S-ASIG-03'!D82)</f>
        <v>LIST</v>
      </c>
      <c r="D82" s="35" t="s">
        <v>80</v>
      </c>
      <c r="E82" s="151" t="str">
        <f>LIDER!$E$40</f>
        <v>GRUPO#12</v>
      </c>
      <c r="F82" s="151"/>
      <c r="G82" s="151"/>
      <c r="H82" s="151"/>
      <c r="I82" s="151"/>
      <c r="J82" s="151"/>
      <c r="K82" s="151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20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20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20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20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20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4" activePane="bottomRight" state="frozen"/>
      <selection pane="bottomRight" activeCell="K21" sqref="K21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2" t="str">
        <f>LIDER!B2</f>
        <v>TECNOLOGÍA EN GESTIÓN DE NEGOCIOS INTERN</v>
      </c>
      <c r="B1" s="143"/>
      <c r="C1" s="143"/>
      <c r="D1" s="143"/>
      <c r="E1" s="143"/>
      <c r="F1" s="143"/>
      <c r="G1" s="144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LIDER!F4</f>
        <v>ELECTIVA DE PROFUNDIZACION II</v>
      </c>
      <c r="C2" s="3"/>
      <c r="E2" s="152" t="s">
        <v>76</v>
      </c>
      <c r="F2" s="153"/>
      <c r="G2" s="153"/>
      <c r="H2" s="153"/>
      <c r="I2" s="153"/>
      <c r="J2" s="153"/>
      <c r="K2" s="154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47" t="str">
        <f>CONCATENATE(LIDER!F4," - ",LIDER!F6," - ",LIDER!F5)</f>
        <v>ELECTIVA DE PROFUNDIZACION II - 2432 - JEYSSON STEEVEN ANILLO CARRANZA</v>
      </c>
      <c r="F4" s="148"/>
      <c r="G4" s="148"/>
      <c r="H4" s="148"/>
      <c r="I4" s="148"/>
      <c r="J4" s="148"/>
      <c r="K4" s="149"/>
    </row>
    <row r="5" spans="1:11" s="2" customFormat="1" ht="15.75" customHeight="1" thickBot="1">
      <c r="A5" s="8"/>
      <c r="B5" s="27" t="s">
        <v>64</v>
      </c>
      <c r="C5" s="34" t="str">
        <f>IF('S-ASIG-04'!D5="","",'S-ASIG-04'!D5)</f>
        <v>LIST</v>
      </c>
      <c r="D5" s="35" t="s">
        <v>80</v>
      </c>
      <c r="E5" s="151" t="str">
        <f>LIDER!$E$29</f>
        <v>GRUPO#1</v>
      </c>
      <c r="F5" s="151"/>
      <c r="G5" s="151"/>
      <c r="H5" s="151"/>
      <c r="I5" s="151"/>
      <c r="J5" s="151"/>
      <c r="K5" s="151"/>
    </row>
    <row r="6" spans="1:11" s="2" customFormat="1" ht="12.75">
      <c r="A6" s="9">
        <v>1</v>
      </c>
      <c r="B6" s="28" t="str">
        <f>LIDER!E43</f>
        <v>DANIA LICETH ACOSTA SALAZAR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4.05</v>
      </c>
      <c r="E6" s="200">
        <v>4.0999999999999996</v>
      </c>
      <c r="F6" s="24">
        <v>4</v>
      </c>
      <c r="G6" s="24">
        <v>4</v>
      </c>
      <c r="H6" s="24">
        <v>4</v>
      </c>
      <c r="I6" s="24">
        <v>4</v>
      </c>
      <c r="J6" s="24">
        <v>4</v>
      </c>
      <c r="K6" s="24"/>
    </row>
    <row r="7" spans="1:11" s="2" customFormat="1" ht="15" customHeight="1">
      <c r="A7" s="12">
        <v>2</v>
      </c>
      <c r="B7" s="28" t="str">
        <f>LIDER!E44</f>
        <v>LUISA DANIELA ALVAREZ ARGUMEDO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4.05</v>
      </c>
      <c r="E7" s="200"/>
      <c r="F7" s="18">
        <v>4</v>
      </c>
      <c r="G7" s="18">
        <v>4</v>
      </c>
      <c r="H7" s="18">
        <v>4</v>
      </c>
      <c r="I7" s="18">
        <v>4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>JUAN GARCIA SILVA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4.05</v>
      </c>
      <c r="E8" s="200"/>
      <c r="F8" s="18">
        <v>4</v>
      </c>
      <c r="G8" s="18">
        <v>4</v>
      </c>
      <c r="H8" s="18">
        <v>4</v>
      </c>
      <c r="I8" s="18">
        <v>4</v>
      </c>
      <c r="J8" s="18">
        <v>4</v>
      </c>
      <c r="K8" s="18"/>
    </row>
    <row r="9" spans="1:11" s="2" customFormat="1" ht="15" customHeight="1">
      <c r="A9" s="12">
        <v>4</v>
      </c>
      <c r="B9" s="28" t="str">
        <f>LIDER!E46</f>
        <v>LAURA VALENTINA RIVERO MADRID</v>
      </c>
      <c r="C9" s="33" t="str">
        <f>IF('S-ASIG-04'!D9="","",'S-ASIG-04'!D9)</f>
        <v>N</v>
      </c>
      <c r="D9" s="30" t="str">
        <f>IF(B9=0,"",IF(C9="",$E$6*LIDER!$H$19+F9*LIDER!$H$20+G9*LIDER!$H$21+H9*LIDER!$H$22+I9*LIDER!$H$23+J9*LIDER!$H$24+K9*LIDER!$H$25,"N"))</f>
        <v>N</v>
      </c>
      <c r="E9" s="200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IF('S-ASIG-04'!D10="","",'S-ASIG-04'!D10)</f>
        <v/>
      </c>
      <c r="D10" s="30" t="str">
        <f>IF(B10=0,"",IF(C10="",$E$6*LIDER!$H$19+F10*LIDER!$H$20+G10*LIDER!$H$21+H10*LIDER!$H$22+I10*LIDER!$H$23+J10*LIDER!$H$24+K10*LIDER!$H$25,"N"))</f>
        <v/>
      </c>
      <c r="E10" s="20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20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65</v>
      </c>
      <c r="C12" s="32" t="str">
        <f>IF('S-ASIG-04'!D12="","",'S-ASIG-04'!D12)</f>
        <v>LIST</v>
      </c>
      <c r="D12" s="35" t="s">
        <v>80</v>
      </c>
      <c r="E12" s="151" t="str">
        <f>LIDER!$E$30</f>
        <v>GRUPO#2</v>
      </c>
      <c r="F12" s="151"/>
      <c r="G12" s="151"/>
      <c r="H12" s="151"/>
      <c r="I12" s="151"/>
      <c r="J12" s="151"/>
      <c r="K12" s="151"/>
    </row>
    <row r="13" spans="1:11" s="2" customFormat="1" ht="12.75">
      <c r="A13" s="9">
        <v>1</v>
      </c>
      <c r="B13" s="28" t="str">
        <f>LIDER!F43</f>
        <v>NEYS DEL CARMEN ARROYO QUINTANA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4.5999999999999996</v>
      </c>
      <c r="E13" s="200">
        <v>4.5</v>
      </c>
      <c r="F13" s="24">
        <v>4.7</v>
      </c>
      <c r="G13" s="24">
        <v>4.7</v>
      </c>
      <c r="H13" s="24">
        <v>4.7</v>
      </c>
      <c r="I13" s="24">
        <v>4.7</v>
      </c>
      <c r="J13" s="24">
        <v>4.7</v>
      </c>
      <c r="K13" s="24"/>
    </row>
    <row r="14" spans="1:11" s="2" customFormat="1" ht="15" customHeight="1">
      <c r="A14" s="12">
        <v>2</v>
      </c>
      <c r="B14" s="28" t="str">
        <f>LIDER!F44</f>
        <v>BIANCA FIORELLA CARAZO PUELLO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4.5</v>
      </c>
      <c r="E14" s="200"/>
      <c r="F14" s="18">
        <v>4.5</v>
      </c>
      <c r="G14" s="18">
        <v>4.5</v>
      </c>
      <c r="H14" s="18">
        <v>4.5</v>
      </c>
      <c r="I14" s="18">
        <v>4.5</v>
      </c>
      <c r="J14" s="18">
        <v>4.5</v>
      </c>
      <c r="K14" s="18"/>
    </row>
    <row r="15" spans="1:11" s="2" customFormat="1" ht="15" customHeight="1">
      <c r="A15" s="12">
        <v>3</v>
      </c>
      <c r="B15" s="28" t="str">
        <f>LIDER!F45</f>
        <v>LUIS MARIO MARRUGO DIAZ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4.5</v>
      </c>
      <c r="E15" s="200"/>
      <c r="F15" s="18">
        <v>4.5</v>
      </c>
      <c r="G15" s="18">
        <v>4.5</v>
      </c>
      <c r="H15" s="18">
        <v>4.5</v>
      </c>
      <c r="I15" s="18">
        <v>4.5</v>
      </c>
      <c r="J15" s="18">
        <v>4.5</v>
      </c>
      <c r="K15" s="18"/>
    </row>
    <row r="16" spans="1:11" s="2" customFormat="1" ht="15" customHeight="1">
      <c r="A16" s="12">
        <v>4</v>
      </c>
      <c r="B16" s="28" t="str">
        <f>LIDER!F46</f>
        <v>SAMANTA QUICENO CAMPUZANO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4.5999999999999996</v>
      </c>
      <c r="E16" s="200"/>
      <c r="F16" s="18">
        <v>4.7</v>
      </c>
      <c r="G16" s="18">
        <v>4.7</v>
      </c>
      <c r="H16" s="18">
        <v>4.7</v>
      </c>
      <c r="I16" s="18">
        <v>4.7</v>
      </c>
      <c r="J16" s="18">
        <v>4.7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IF('S-ASIG-04'!D17="","",'S-ASIG-04'!D17)</f>
        <v/>
      </c>
      <c r="D17" s="30" t="str">
        <f>IF(B17=0,"",IF(C17="",$E$13*LIDER!$H$19+F17*LIDER!$H$20+G17*LIDER!$H$21+H17*LIDER!$H$22+I17*LIDER!$H$23+J17*LIDER!$H$24+K17*LIDER!$H$25,"N"))</f>
        <v/>
      </c>
      <c r="E17" s="20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20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66</v>
      </c>
      <c r="C19" s="32" t="str">
        <f>IF('S-ASIG-04'!D19="","",'S-ASIG-04'!D19)</f>
        <v>LIST</v>
      </c>
      <c r="D19" s="35" t="s">
        <v>80</v>
      </c>
      <c r="E19" s="151" t="str">
        <f>LIDER!$E$31</f>
        <v>GRUPO#3</v>
      </c>
      <c r="F19" s="151"/>
      <c r="G19" s="151"/>
      <c r="H19" s="151"/>
      <c r="I19" s="151"/>
      <c r="J19" s="151"/>
      <c r="K19" s="151"/>
    </row>
    <row r="20" spans="1:11" s="2" customFormat="1" ht="12.75">
      <c r="A20" s="9">
        <v>1</v>
      </c>
      <c r="B20" s="28" t="str">
        <f>LIDER!G43</f>
        <v>ANDRES FELIPE ALFARO LARES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3.3500000000000005</v>
      </c>
      <c r="E20" s="200">
        <v>3.5</v>
      </c>
      <c r="F20" s="24">
        <v>3.2</v>
      </c>
      <c r="G20" s="24">
        <v>3.2</v>
      </c>
      <c r="H20" s="24">
        <v>3.2</v>
      </c>
      <c r="I20" s="24">
        <v>3.2</v>
      </c>
      <c r="J20" s="24">
        <v>3.2</v>
      </c>
      <c r="K20" s="24"/>
    </row>
    <row r="21" spans="1:11" s="2" customFormat="1" ht="15" customHeight="1">
      <c r="A21" s="12">
        <v>2</v>
      </c>
      <c r="B21" s="28" t="str">
        <f>LIDER!G44</f>
        <v>NICOLE ANDREA BARRAZA CARDOZO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3.4000000000000004</v>
      </c>
      <c r="E21" s="200"/>
      <c r="F21" s="18">
        <v>3.3</v>
      </c>
      <c r="G21" s="18">
        <v>3.3</v>
      </c>
      <c r="H21" s="18">
        <v>3.3</v>
      </c>
      <c r="I21" s="18">
        <v>3.3</v>
      </c>
      <c r="J21" s="18">
        <v>3.3</v>
      </c>
      <c r="K21" s="18"/>
    </row>
    <row r="22" spans="1:11" s="2" customFormat="1" ht="15" customHeight="1">
      <c r="A22" s="12">
        <v>3</v>
      </c>
      <c r="B22" s="28" t="str">
        <f>LIDER!G45</f>
        <v>DANIELA BOLAÑOS CUELLAR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3.4000000000000004</v>
      </c>
      <c r="E22" s="200"/>
      <c r="F22" s="18">
        <v>3.3</v>
      </c>
      <c r="G22" s="18">
        <v>3.3</v>
      </c>
      <c r="H22" s="18">
        <v>3.3</v>
      </c>
      <c r="I22" s="18">
        <v>3.3</v>
      </c>
      <c r="J22" s="18">
        <v>3.3</v>
      </c>
      <c r="K22" s="18"/>
    </row>
    <row r="23" spans="1:11" s="2" customFormat="1" ht="15" customHeight="1">
      <c r="A23" s="12">
        <v>4</v>
      </c>
      <c r="B23" s="28" t="str">
        <f>LIDER!G46</f>
        <v>LAURA VANESSA POLO CARABALLO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3.4000000000000004</v>
      </c>
      <c r="E23" s="200"/>
      <c r="F23" s="18">
        <v>3.3</v>
      </c>
      <c r="G23" s="18">
        <v>3.3</v>
      </c>
      <c r="H23" s="18">
        <v>3.3</v>
      </c>
      <c r="I23" s="18">
        <v>3.3</v>
      </c>
      <c r="J23" s="18">
        <v>3.3</v>
      </c>
      <c r="K23" s="18"/>
    </row>
    <row r="24" spans="1:11" s="2" customFormat="1" ht="15" customHeight="1">
      <c r="A24" s="12">
        <v>5</v>
      </c>
      <c r="B24" s="28" t="str">
        <f>LIDER!G47</f>
        <v>ANDRES FELIPE TOVAR ARRIOLA</v>
      </c>
      <c r="C24" s="33" t="str">
        <f>IF('S-ASIG-04'!D24="","",'S-ASIG-04'!D24)</f>
        <v>N</v>
      </c>
      <c r="D24" s="30" t="str">
        <f>IF(B24=0,"",IF(C24="",$E$20*LIDER!$H$19+F24*LIDER!$H$20+G24*LIDER!$H$21+H24*LIDER!$H$22+I24*LIDER!$H$23+J24*LIDER!$H$24+K24*LIDER!$H$25,"N"))</f>
        <v>N</v>
      </c>
      <c r="E24" s="20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20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IF('S-ASIG-04'!D26="","",'S-ASIG-04'!D26)</f>
        <v>LIST</v>
      </c>
      <c r="D26" s="35" t="s">
        <v>80</v>
      </c>
      <c r="E26" s="151" t="str">
        <f>LIDER!$E$32</f>
        <v>GRUPO#4</v>
      </c>
      <c r="F26" s="151"/>
      <c r="G26" s="151"/>
      <c r="H26" s="151"/>
      <c r="I26" s="151"/>
      <c r="J26" s="151"/>
      <c r="K26" s="151"/>
    </row>
    <row r="27" spans="1:11" s="2" customFormat="1" ht="12.75">
      <c r="A27" s="9">
        <v>1</v>
      </c>
      <c r="B27" s="28">
        <f>LIDER!H43</f>
        <v>0</v>
      </c>
      <c r="C27" s="33" t="str">
        <f>IF('S-ASIG-04'!D27="","",'S-ASIG-04'!D27)</f>
        <v/>
      </c>
      <c r="D27" s="30" t="str">
        <f>IF(B27=0,"",IF(C27="",$E$27*LIDER!$H$19+F27*LIDER!$H$20+G27*LIDER!$H$21+H27*LIDER!$H$22+I27*LIDER!$H$23+J27*LIDER!$H$24+K27*LIDER!$H$25,"N"))</f>
        <v/>
      </c>
      <c r="E27" s="20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IF('S-ASIG-04'!D28="","",'S-ASIG-04'!D28)</f>
        <v/>
      </c>
      <c r="D28" s="30" t="str">
        <f>IF(B28=0,"",IF(C28="",$E$27*LIDER!$H$19+F28*LIDER!$H$20+G28*LIDER!$H$21+H28*LIDER!$H$22+I28*LIDER!$H$23+J28*LIDER!$H$24+K28*LIDER!$H$25,"N"))</f>
        <v/>
      </c>
      <c r="E28" s="20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IF('S-ASIG-04'!D29="","",'S-ASIG-04'!D29)</f>
        <v/>
      </c>
      <c r="D29" s="30" t="str">
        <f>IF(B29=0,"",IF(C29="",$E$27*LIDER!$H$19+F29*LIDER!$H$20+G29*LIDER!$H$21+H29*LIDER!$H$22+I29*LIDER!$H$23+J29*LIDER!$H$24+K29*LIDER!$H$25,"N"))</f>
        <v/>
      </c>
      <c r="E29" s="20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IF('S-ASIG-04'!D30="","",'S-ASIG-04'!D30)</f>
        <v/>
      </c>
      <c r="D30" s="30" t="str">
        <f>IF(B30=0,"",IF(C30="",$E$27*LIDER!$H$19+F30*LIDER!$H$20+G30*LIDER!$H$21+H30*LIDER!$H$22+I30*LIDER!$H$23+J30*LIDER!$H$24+K30*LIDER!$H$25,"N"))</f>
        <v/>
      </c>
      <c r="E30" s="20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20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20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IF('S-ASIG-04'!D33="","",'S-ASIG-04'!D33)</f>
        <v>LIST</v>
      </c>
      <c r="D33" s="35" t="s">
        <v>80</v>
      </c>
      <c r="E33" s="151" t="str">
        <f>LIDER!$E$33</f>
        <v>GRUPO#5</v>
      </c>
      <c r="F33" s="151"/>
      <c r="G33" s="151"/>
      <c r="H33" s="151"/>
      <c r="I33" s="151"/>
      <c r="J33" s="151"/>
      <c r="K33" s="151"/>
    </row>
    <row r="34" spans="1:11" s="2" customFormat="1" ht="12.75">
      <c r="A34" s="9">
        <v>1</v>
      </c>
      <c r="B34" s="28" t="str">
        <f>LIDER!E51</f>
        <v>JESUS DANIEL MOLINA SANCHEZ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0</v>
      </c>
      <c r="E34" s="20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EDER DARIO PEREZ SALGUEDO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0</v>
      </c>
      <c r="E35" s="20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MANUEL ALEJANDRO POLO MARTINEZ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0</v>
      </c>
      <c r="E36" s="20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DANNA JUDITH SOTO CAMARGO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0</v>
      </c>
      <c r="E37" s="20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20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20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IF('S-ASIG-04'!D40="","",'S-ASIG-04'!D40)</f>
        <v>LIST</v>
      </c>
      <c r="D40" s="35" t="s">
        <v>80</v>
      </c>
      <c r="E40" s="151" t="str">
        <f>LIDER!$E$34</f>
        <v>GRUPO#6</v>
      </c>
      <c r="F40" s="151"/>
      <c r="G40" s="151"/>
      <c r="H40" s="151"/>
      <c r="I40" s="151"/>
      <c r="J40" s="151"/>
      <c r="K40" s="151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20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20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20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20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20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20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IF('S-ASIG-04'!D47="","",'S-ASIG-04'!D47)</f>
        <v>LIST</v>
      </c>
      <c r="D47" s="35" t="s">
        <v>80</v>
      </c>
      <c r="E47" s="151" t="str">
        <f>LIDER!$E$35</f>
        <v>GRUPO#7</v>
      </c>
      <c r="F47" s="151"/>
      <c r="G47" s="151"/>
      <c r="H47" s="151"/>
      <c r="I47" s="151"/>
      <c r="J47" s="151"/>
      <c r="K47" s="151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20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20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20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20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20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20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IF('S-ASIG-04'!D54="","",'S-ASIG-04'!D54)</f>
        <v>LIST</v>
      </c>
      <c r="D54" s="35" t="s">
        <v>80</v>
      </c>
      <c r="E54" s="151" t="str">
        <f>LIDER!$E$36</f>
        <v>GRUPO#8</v>
      </c>
      <c r="F54" s="151"/>
      <c r="G54" s="151"/>
      <c r="H54" s="151"/>
      <c r="I54" s="151"/>
      <c r="J54" s="151"/>
      <c r="K54" s="151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20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20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20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20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20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20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IF('S-ASIG-04'!D61="","",'S-ASIG-04'!D61)</f>
        <v>LIST</v>
      </c>
      <c r="D61" s="35" t="s">
        <v>80</v>
      </c>
      <c r="E61" s="151" t="str">
        <f>LIDER!$E$37</f>
        <v>GRUPO#9</v>
      </c>
      <c r="F61" s="151"/>
      <c r="G61" s="151"/>
      <c r="H61" s="151"/>
      <c r="I61" s="151"/>
      <c r="J61" s="151"/>
      <c r="K61" s="151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20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20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20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20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20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20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IF('S-ASIG-04'!D68="","",'S-ASIG-04'!D68)</f>
        <v>LIST</v>
      </c>
      <c r="D68" s="35" t="s">
        <v>80</v>
      </c>
      <c r="E68" s="151" t="str">
        <f>LIDER!$E$38</f>
        <v>GRUPO#10</v>
      </c>
      <c r="F68" s="151"/>
      <c r="G68" s="151"/>
      <c r="H68" s="151"/>
      <c r="I68" s="151"/>
      <c r="J68" s="151"/>
      <c r="K68" s="151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20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20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20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20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20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20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IF('S-ASIG-04'!D75="","",'S-ASIG-04'!D75)</f>
        <v>LIST</v>
      </c>
      <c r="D75" s="35" t="s">
        <v>80</v>
      </c>
      <c r="E75" s="151" t="str">
        <f>LIDER!$E$39</f>
        <v>GRUPO#11</v>
      </c>
      <c r="F75" s="151"/>
      <c r="G75" s="151"/>
      <c r="H75" s="151"/>
      <c r="I75" s="151"/>
      <c r="J75" s="151"/>
      <c r="K75" s="151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20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20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20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20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20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20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IF('S-ASIG-04'!D82="","",'S-ASIG-04'!D82)</f>
        <v>LIST</v>
      </c>
      <c r="D82" s="35" t="s">
        <v>80</v>
      </c>
      <c r="E82" s="151" t="str">
        <f>LIDER!$E$40</f>
        <v>GRUPO#12</v>
      </c>
      <c r="F82" s="151"/>
      <c r="G82" s="151"/>
      <c r="H82" s="151"/>
      <c r="I82" s="151"/>
      <c r="J82" s="151"/>
      <c r="K82" s="151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20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20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20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20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20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4" activePane="bottomRight" state="frozen"/>
      <selection pane="bottomRight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2" t="str">
        <f>LIDER!B2</f>
        <v>TECNOLOGÍA EN GESTIÓN DE NEGOCIOS INTERN</v>
      </c>
      <c r="B1" s="143"/>
      <c r="C1" s="143"/>
      <c r="D1" s="143"/>
      <c r="E1" s="143"/>
      <c r="F1" s="143"/>
      <c r="G1" s="144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LIDER!G4</f>
        <v>ORGANIZACIÓN Y MÉTODOS DE TRAB</v>
      </c>
      <c r="C2" s="3"/>
      <c r="E2" s="152" t="s">
        <v>76</v>
      </c>
      <c r="F2" s="153"/>
      <c r="G2" s="153"/>
      <c r="H2" s="153"/>
      <c r="I2" s="153"/>
      <c r="J2" s="153"/>
      <c r="K2" s="154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47" t="str">
        <f>CONCATENATE(LIDER!G4," - ",LIDER!G6," - ",LIDER!G5)</f>
        <v>ORGANIZACIÓN Y MÉTODOS DE TRAB - 1495 - JOHNNY DE JESUS MENDOZA DORIA</v>
      </c>
      <c r="F4" s="148"/>
      <c r="G4" s="148"/>
      <c r="H4" s="148"/>
      <c r="I4" s="148"/>
      <c r="J4" s="148"/>
      <c r="K4" s="149"/>
    </row>
    <row r="5" spans="1:11" s="2" customFormat="1" ht="15.75" customHeight="1" thickBot="1">
      <c r="A5" s="8"/>
      <c r="B5" s="27" t="s">
        <v>64</v>
      </c>
      <c r="C5" s="34" t="str">
        <f>IF('S-ASIG-05'!D5="","",'S-ASIG-05'!D5)</f>
        <v>LIST</v>
      </c>
      <c r="D5" s="35" t="s">
        <v>80</v>
      </c>
      <c r="E5" s="151" t="str">
        <f>LIDER!$E$29</f>
        <v>GRUPO#1</v>
      </c>
      <c r="F5" s="151"/>
      <c r="G5" s="151"/>
      <c r="H5" s="151"/>
      <c r="I5" s="151"/>
      <c r="J5" s="151"/>
      <c r="K5" s="151"/>
    </row>
    <row r="6" spans="1:11" s="2" customFormat="1" ht="12.75">
      <c r="A6" s="9">
        <v>1</v>
      </c>
      <c r="B6" s="28" t="str">
        <f>LIDER!E43</f>
        <v>DANIA LICETH ACOSTA SALAZAR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4.0999999999999996</v>
      </c>
      <c r="E6" s="200">
        <v>4</v>
      </c>
      <c r="F6" s="24">
        <v>4.2</v>
      </c>
      <c r="G6" s="24">
        <v>4.2</v>
      </c>
      <c r="H6" s="24">
        <v>4.2</v>
      </c>
      <c r="I6" s="24">
        <v>4.2</v>
      </c>
      <c r="J6" s="24">
        <v>4.2</v>
      </c>
      <c r="K6" s="24"/>
    </row>
    <row r="7" spans="1:11" s="2" customFormat="1" ht="15" customHeight="1">
      <c r="A7" s="12">
        <v>2</v>
      </c>
      <c r="B7" s="28" t="str">
        <f>LIDER!E44</f>
        <v>LUISA DANIELA ALVAREZ ARGUMEDO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4.0999999999999996</v>
      </c>
      <c r="E7" s="200"/>
      <c r="F7" s="18">
        <v>4.2</v>
      </c>
      <c r="G7" s="18">
        <v>4.2</v>
      </c>
      <c r="H7" s="18">
        <v>4.2</v>
      </c>
      <c r="I7" s="18">
        <v>4.2</v>
      </c>
      <c r="J7" s="18">
        <v>4.2</v>
      </c>
      <c r="K7" s="18"/>
    </row>
    <row r="8" spans="1:11" s="2" customFormat="1" ht="15" customHeight="1">
      <c r="A8" s="12">
        <v>3</v>
      </c>
      <c r="B8" s="28" t="str">
        <f>LIDER!E45</f>
        <v>JUAN GARCIA SILVA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4.0999999999999996</v>
      </c>
      <c r="E8" s="200"/>
      <c r="F8" s="18">
        <v>4.2</v>
      </c>
      <c r="G8" s="18">
        <v>4.2</v>
      </c>
      <c r="H8" s="18">
        <v>4.2</v>
      </c>
      <c r="I8" s="18">
        <v>4.2</v>
      </c>
      <c r="J8" s="18">
        <v>4.2</v>
      </c>
      <c r="K8" s="18"/>
    </row>
    <row r="9" spans="1:11" s="2" customFormat="1" ht="15" customHeight="1">
      <c r="A9" s="12">
        <v>4</v>
      </c>
      <c r="B9" s="28" t="str">
        <f>LIDER!E46</f>
        <v>LAURA VALENTINA RIVERO MADRID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2</v>
      </c>
      <c r="E9" s="200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IF('S-ASIG-05'!D10="","",'S-ASIG-05'!D10)</f>
        <v/>
      </c>
      <c r="D10" s="30" t="str">
        <f>IF(B10=0,"",IF(C10="",$E$6*LIDER!$H$19+F10*LIDER!$H$20+G10*LIDER!$H$21+H10*LIDER!$H$22+I10*LIDER!$H$23+J10*LIDER!$H$24+K10*LIDER!$H$25,"N"))</f>
        <v/>
      </c>
      <c r="E10" s="20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20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65</v>
      </c>
      <c r="C12" s="32" t="str">
        <f>IF('S-ASIG-05'!D12="","",'S-ASIG-05'!D12)</f>
        <v>LIST</v>
      </c>
      <c r="D12" s="35" t="s">
        <v>80</v>
      </c>
      <c r="E12" s="151" t="str">
        <f>LIDER!$E$30</f>
        <v>GRUPO#2</v>
      </c>
      <c r="F12" s="151"/>
      <c r="G12" s="151"/>
      <c r="H12" s="151"/>
      <c r="I12" s="151"/>
      <c r="J12" s="151"/>
      <c r="K12" s="151"/>
    </row>
    <row r="13" spans="1:11" s="2" customFormat="1" ht="12.75">
      <c r="A13" s="9">
        <v>1</v>
      </c>
      <c r="B13" s="28" t="str">
        <f>LIDER!F43</f>
        <v>NEYS DEL CARMEN ARROYO QUINTANA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4.6150000000000002</v>
      </c>
      <c r="E13" s="200">
        <v>4.5</v>
      </c>
      <c r="F13" s="24">
        <v>4.7</v>
      </c>
      <c r="G13" s="24">
        <v>5</v>
      </c>
      <c r="H13" s="24">
        <v>4.5</v>
      </c>
      <c r="I13" s="24">
        <v>5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BIANCA FIORELLA CARAZO PUELLO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4.6150000000000002</v>
      </c>
      <c r="E14" s="200"/>
      <c r="F14" s="18">
        <v>4.7</v>
      </c>
      <c r="G14" s="18">
        <v>5</v>
      </c>
      <c r="H14" s="18">
        <v>4.5</v>
      </c>
      <c r="I14" s="18">
        <v>5</v>
      </c>
      <c r="J14" s="18">
        <v>4.5</v>
      </c>
      <c r="K14" s="18"/>
    </row>
    <row r="15" spans="1:11" s="2" customFormat="1" ht="15" customHeight="1">
      <c r="A15" s="12">
        <v>3</v>
      </c>
      <c r="B15" s="28" t="str">
        <f>LIDER!F45</f>
        <v>LUIS MARIO MARRUGO DIAZ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4.6150000000000002</v>
      </c>
      <c r="E15" s="200"/>
      <c r="F15" s="18">
        <v>4.7</v>
      </c>
      <c r="G15" s="18">
        <v>5</v>
      </c>
      <c r="H15" s="18">
        <v>4.5</v>
      </c>
      <c r="I15" s="18">
        <v>5</v>
      </c>
      <c r="J15" s="18">
        <v>4.5</v>
      </c>
      <c r="K15" s="18"/>
    </row>
    <row r="16" spans="1:11" s="2" customFormat="1" ht="15" customHeight="1">
      <c r="A16" s="12">
        <v>4</v>
      </c>
      <c r="B16" s="28" t="str">
        <f>LIDER!F46</f>
        <v>SAMANTA QUICENO CAMPUZANO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4.6150000000000002</v>
      </c>
      <c r="E16" s="200"/>
      <c r="F16" s="18">
        <v>4.7</v>
      </c>
      <c r="G16" s="18">
        <v>5</v>
      </c>
      <c r="H16" s="18">
        <v>4.5</v>
      </c>
      <c r="I16" s="18">
        <v>5</v>
      </c>
      <c r="J16" s="18">
        <v>4.5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IF('S-ASIG-05'!D17="","",'S-ASIG-05'!D17)</f>
        <v/>
      </c>
      <c r="D17" s="30" t="str">
        <f>IF(B17=0,"",IF(C17="",$E$13*LIDER!$H$19+F17*LIDER!$H$20+G17*LIDER!$H$21+H17*LIDER!$H$22+I17*LIDER!$H$23+J17*LIDER!$H$24+K17*LIDER!$H$25,"N"))</f>
        <v/>
      </c>
      <c r="E17" s="20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20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66</v>
      </c>
      <c r="C19" s="32" t="str">
        <f>IF('S-ASIG-05'!D19="","",'S-ASIG-05'!D19)</f>
        <v>LIST</v>
      </c>
      <c r="D19" s="35" t="s">
        <v>80</v>
      </c>
      <c r="E19" s="151" t="str">
        <f>LIDER!$E$31</f>
        <v>GRUPO#3</v>
      </c>
      <c r="F19" s="151"/>
      <c r="G19" s="151"/>
      <c r="H19" s="151"/>
      <c r="I19" s="151"/>
      <c r="J19" s="151"/>
      <c r="K19" s="151"/>
    </row>
    <row r="20" spans="1:11" s="2" customFormat="1" ht="12.75">
      <c r="A20" s="9">
        <v>1</v>
      </c>
      <c r="B20" s="28" t="str">
        <f>LIDER!G43</f>
        <v>ANDRES FELIPE ALFARO LARES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4.4800000000000004</v>
      </c>
      <c r="E20" s="200">
        <v>4.5</v>
      </c>
      <c r="F20" s="24">
        <v>4.5</v>
      </c>
      <c r="G20" s="24">
        <v>4.3</v>
      </c>
      <c r="H20" s="24">
        <v>4.4000000000000004</v>
      </c>
      <c r="I20" s="24">
        <v>5</v>
      </c>
      <c r="J20" s="24">
        <v>4.3</v>
      </c>
      <c r="K20" s="24"/>
    </row>
    <row r="21" spans="1:11" s="2" customFormat="1" ht="15" customHeight="1">
      <c r="A21" s="12">
        <v>2</v>
      </c>
      <c r="B21" s="28" t="str">
        <f>LIDER!G44</f>
        <v>NICOLE ANDREA BARRAZA CARDOZO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4.4800000000000004</v>
      </c>
      <c r="E21" s="200"/>
      <c r="F21" s="18">
        <v>4.5</v>
      </c>
      <c r="G21" s="18">
        <v>4.3</v>
      </c>
      <c r="H21" s="18">
        <v>4.4000000000000004</v>
      </c>
      <c r="I21" s="18">
        <v>5</v>
      </c>
      <c r="J21" s="18">
        <v>4.3</v>
      </c>
      <c r="K21" s="18"/>
    </row>
    <row r="22" spans="1:11" s="2" customFormat="1" ht="15" customHeight="1">
      <c r="A22" s="12">
        <v>3</v>
      </c>
      <c r="B22" s="28" t="str">
        <f>LIDER!G45</f>
        <v>DANIELA BOLAÑOS CUELLAR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4.4800000000000004</v>
      </c>
      <c r="E22" s="200"/>
      <c r="F22" s="18">
        <v>4.5</v>
      </c>
      <c r="G22" s="18">
        <v>4.3</v>
      </c>
      <c r="H22" s="18">
        <v>4.4000000000000004</v>
      </c>
      <c r="I22" s="18">
        <v>5</v>
      </c>
      <c r="J22" s="18">
        <v>4.3</v>
      </c>
      <c r="K22" s="18"/>
    </row>
    <row r="23" spans="1:11" s="2" customFormat="1" ht="15" customHeight="1">
      <c r="A23" s="12">
        <v>4</v>
      </c>
      <c r="B23" s="28" t="str">
        <f>LIDER!G46</f>
        <v>LAURA VANESSA POLO CARABALLO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4.4800000000000004</v>
      </c>
      <c r="E23" s="200"/>
      <c r="F23" s="18">
        <v>4.5</v>
      </c>
      <c r="G23" s="18">
        <v>4.3</v>
      </c>
      <c r="H23" s="18">
        <v>4.4000000000000004</v>
      </c>
      <c r="I23" s="18">
        <v>5</v>
      </c>
      <c r="J23" s="18">
        <v>4.3</v>
      </c>
      <c r="K23" s="18"/>
    </row>
    <row r="24" spans="1:11" s="2" customFormat="1" ht="15" customHeight="1">
      <c r="A24" s="12">
        <v>5</v>
      </c>
      <c r="B24" s="28" t="str">
        <f>LIDER!G47</f>
        <v>ANDRES FELIPE TOVAR ARRIOLA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4.4800000000000004</v>
      </c>
      <c r="E24" s="200"/>
      <c r="F24" s="18">
        <v>4.5</v>
      </c>
      <c r="G24" s="18">
        <v>4.3</v>
      </c>
      <c r="H24" s="18">
        <v>4.4000000000000004</v>
      </c>
      <c r="I24" s="18">
        <v>5</v>
      </c>
      <c r="J24" s="18">
        <v>4.3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20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IF('S-ASIG-05'!D26="","",'S-ASIG-05'!D26)</f>
        <v>LIST</v>
      </c>
      <c r="D26" s="35" t="s">
        <v>80</v>
      </c>
      <c r="E26" s="151" t="str">
        <f>LIDER!$E$32</f>
        <v>GRUPO#4</v>
      </c>
      <c r="F26" s="151"/>
      <c r="G26" s="151"/>
      <c r="H26" s="151"/>
      <c r="I26" s="151"/>
      <c r="J26" s="151"/>
      <c r="K26" s="151"/>
    </row>
    <row r="27" spans="1:11" s="2" customFormat="1" ht="12.75">
      <c r="A27" s="9">
        <v>1</v>
      </c>
      <c r="B27" s="28">
        <f>LIDER!H43</f>
        <v>0</v>
      </c>
      <c r="C27" s="33" t="str">
        <f>IF('S-ASIG-05'!D27="","",'S-ASIG-05'!D27)</f>
        <v/>
      </c>
      <c r="D27" s="30" t="str">
        <f>IF(B27=0,"",IF(C27="",$E$27*LIDER!$H$19+F27*LIDER!$H$20+G27*LIDER!$H$21+H27*LIDER!$H$22+I27*LIDER!$H$23+J27*LIDER!$H$24+K27*LIDER!$H$25,"N"))</f>
        <v/>
      </c>
      <c r="E27" s="20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IF('S-ASIG-05'!D28="","",'S-ASIG-05'!D28)</f>
        <v/>
      </c>
      <c r="D28" s="30" t="str">
        <f>IF(B28=0,"",IF(C28="",$E$27*LIDER!$H$19+F28*LIDER!$H$20+G28*LIDER!$H$21+H28*LIDER!$H$22+I28*LIDER!$H$23+J28*LIDER!$H$24+K28*LIDER!$H$25,"N"))</f>
        <v/>
      </c>
      <c r="E28" s="20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IF('S-ASIG-05'!D29="","",'S-ASIG-05'!D29)</f>
        <v/>
      </c>
      <c r="D29" s="30" t="str">
        <f>IF(B29=0,"",IF(C29="",$E$27*LIDER!$H$19+F29*LIDER!$H$20+G29*LIDER!$H$21+H29*LIDER!$H$22+I29*LIDER!$H$23+J29*LIDER!$H$24+K29*LIDER!$H$25,"N"))</f>
        <v/>
      </c>
      <c r="E29" s="20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IF('S-ASIG-05'!D30="","",'S-ASIG-05'!D30)</f>
        <v/>
      </c>
      <c r="D30" s="30" t="str">
        <f>IF(B30=0,"",IF(C30="",$E$27*LIDER!$H$19+F30*LIDER!$H$20+G30*LIDER!$H$21+H30*LIDER!$H$22+I30*LIDER!$H$23+J30*LIDER!$H$24+K30*LIDER!$H$25,"N"))</f>
        <v/>
      </c>
      <c r="E30" s="20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20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20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IF('S-ASIG-05'!D33="","",'S-ASIG-05'!D33)</f>
        <v>LIST</v>
      </c>
      <c r="D33" s="35" t="s">
        <v>80</v>
      </c>
      <c r="E33" s="151" t="str">
        <f>LIDER!$E$33</f>
        <v>GRUPO#5</v>
      </c>
      <c r="F33" s="151"/>
      <c r="G33" s="151"/>
      <c r="H33" s="151"/>
      <c r="I33" s="151"/>
      <c r="J33" s="151"/>
      <c r="K33" s="151"/>
    </row>
    <row r="34" spans="1:11" s="2" customFormat="1" ht="12.75">
      <c r="A34" s="9">
        <v>1</v>
      </c>
      <c r="B34" s="28" t="str">
        <f>LIDER!E51</f>
        <v>JESUS DANIEL MOLINA SANCHEZ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4.7050000000000001</v>
      </c>
      <c r="E34" s="200">
        <v>4.7</v>
      </c>
      <c r="F34" s="24">
        <v>4.5999999999999996</v>
      </c>
      <c r="G34" s="24">
        <v>5</v>
      </c>
      <c r="H34" s="24">
        <v>4.7</v>
      </c>
      <c r="I34" s="24">
        <v>5</v>
      </c>
      <c r="J34" s="24">
        <v>4.5</v>
      </c>
      <c r="K34" s="24"/>
    </row>
    <row r="35" spans="1:11" s="2" customFormat="1" ht="15" customHeight="1">
      <c r="A35" s="12">
        <v>2</v>
      </c>
      <c r="B35" s="28" t="str">
        <f>LIDER!E52</f>
        <v>EDER DARIO PEREZ SALGUEDO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4.7050000000000001</v>
      </c>
      <c r="E35" s="200"/>
      <c r="F35" s="18">
        <v>4.5999999999999996</v>
      </c>
      <c r="G35" s="18">
        <v>5</v>
      </c>
      <c r="H35" s="18">
        <v>4.7</v>
      </c>
      <c r="I35" s="18">
        <v>5</v>
      </c>
      <c r="J35" s="18">
        <v>4.5</v>
      </c>
      <c r="K35" s="18"/>
    </row>
    <row r="36" spans="1:11" s="2" customFormat="1" ht="15" customHeight="1">
      <c r="A36" s="12">
        <v>3</v>
      </c>
      <c r="B36" s="28" t="str">
        <f>LIDER!E53</f>
        <v>MANUEL ALEJANDRO POLO MARTINEZ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4.7050000000000001</v>
      </c>
      <c r="E36" s="200"/>
      <c r="F36" s="18">
        <v>4.5999999999999996</v>
      </c>
      <c r="G36" s="18">
        <v>5</v>
      </c>
      <c r="H36" s="18">
        <v>4.7</v>
      </c>
      <c r="I36" s="18">
        <v>5</v>
      </c>
      <c r="J36" s="18">
        <v>4.5</v>
      </c>
      <c r="K36" s="18"/>
    </row>
    <row r="37" spans="1:11" s="2" customFormat="1" ht="15" customHeight="1">
      <c r="A37" s="12">
        <v>4</v>
      </c>
      <c r="B37" s="28" t="str">
        <f>LIDER!E54</f>
        <v>DANNA JUDITH SOTO CAMARGO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4.7050000000000001</v>
      </c>
      <c r="E37" s="200"/>
      <c r="F37" s="18">
        <v>4.5999999999999996</v>
      </c>
      <c r="G37" s="18">
        <v>5</v>
      </c>
      <c r="H37" s="18">
        <v>4.7</v>
      </c>
      <c r="I37" s="18">
        <v>5</v>
      </c>
      <c r="J37" s="18">
        <v>4.5</v>
      </c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20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20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IF('S-ASIG-05'!D40="","",'S-ASIG-05'!D40)</f>
        <v>LIST</v>
      </c>
      <c r="D40" s="35" t="s">
        <v>80</v>
      </c>
      <c r="E40" s="151" t="str">
        <f>LIDER!$E$34</f>
        <v>GRUPO#6</v>
      </c>
      <c r="F40" s="151"/>
      <c r="G40" s="151"/>
      <c r="H40" s="151"/>
      <c r="I40" s="151"/>
      <c r="J40" s="151"/>
      <c r="K40" s="151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20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20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20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20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20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20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IF('S-ASIG-05'!D47="","",'S-ASIG-05'!D47)</f>
        <v>LIST</v>
      </c>
      <c r="D47" s="35" t="s">
        <v>80</v>
      </c>
      <c r="E47" s="151" t="str">
        <f>LIDER!$E$35</f>
        <v>GRUPO#7</v>
      </c>
      <c r="F47" s="151"/>
      <c r="G47" s="151"/>
      <c r="H47" s="151"/>
      <c r="I47" s="151"/>
      <c r="J47" s="151"/>
      <c r="K47" s="151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20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20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20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20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20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20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IF('S-ASIG-05'!D54="","",'S-ASIG-05'!D54)</f>
        <v>LIST</v>
      </c>
      <c r="D54" s="35" t="s">
        <v>80</v>
      </c>
      <c r="E54" s="151" t="str">
        <f>LIDER!$E$36</f>
        <v>GRUPO#8</v>
      </c>
      <c r="F54" s="151"/>
      <c r="G54" s="151"/>
      <c r="H54" s="151"/>
      <c r="I54" s="151"/>
      <c r="J54" s="151"/>
      <c r="K54" s="151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20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20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20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20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20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20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IF('S-ASIG-05'!D61="","",'S-ASIG-05'!D61)</f>
        <v>LIST</v>
      </c>
      <c r="D61" s="35" t="s">
        <v>80</v>
      </c>
      <c r="E61" s="151" t="str">
        <f>LIDER!$E$37</f>
        <v>GRUPO#9</v>
      </c>
      <c r="F61" s="151"/>
      <c r="G61" s="151"/>
      <c r="H61" s="151"/>
      <c r="I61" s="151"/>
      <c r="J61" s="151"/>
      <c r="K61" s="151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20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20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20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20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20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20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IF('S-ASIG-05'!D68="","",'S-ASIG-05'!D68)</f>
        <v>LIST</v>
      </c>
      <c r="D68" s="35" t="s">
        <v>80</v>
      </c>
      <c r="E68" s="151" t="str">
        <f>LIDER!$E$38</f>
        <v>GRUPO#10</v>
      </c>
      <c r="F68" s="151"/>
      <c r="G68" s="151"/>
      <c r="H68" s="151"/>
      <c r="I68" s="151"/>
      <c r="J68" s="151"/>
      <c r="K68" s="151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20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20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20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20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20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20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IF('S-ASIG-05'!D75="","",'S-ASIG-05'!D75)</f>
        <v>LIST</v>
      </c>
      <c r="D75" s="35" t="s">
        <v>80</v>
      </c>
      <c r="E75" s="151" t="str">
        <f>LIDER!$E$39</f>
        <v>GRUPO#11</v>
      </c>
      <c r="F75" s="151"/>
      <c r="G75" s="151"/>
      <c r="H75" s="151"/>
      <c r="I75" s="151"/>
      <c r="J75" s="151"/>
      <c r="K75" s="151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20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20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20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20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20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20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IF('S-ASIG-05'!D82="","",'S-ASIG-05'!D82)</f>
        <v>LIST</v>
      </c>
      <c r="D82" s="35" t="s">
        <v>80</v>
      </c>
      <c r="E82" s="151" t="str">
        <f>LIDER!$E$40</f>
        <v>GRUPO#12</v>
      </c>
      <c r="F82" s="151"/>
      <c r="G82" s="151"/>
      <c r="H82" s="151"/>
      <c r="I82" s="151"/>
      <c r="J82" s="151"/>
      <c r="K82" s="151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20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20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20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20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20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5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2" t="str">
        <f>LIDER!B2</f>
        <v>TECNOLOGÍA EN GESTIÓN DE NEGOCIOS INTERN</v>
      </c>
      <c r="B1" s="143"/>
      <c r="C1" s="143"/>
      <c r="D1" s="143"/>
      <c r="E1" s="143"/>
      <c r="F1" s="143"/>
      <c r="G1" s="144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>
        <f>LIDER!H4</f>
        <v>0</v>
      </c>
      <c r="C2" s="3"/>
      <c r="E2" s="152" t="s">
        <v>76</v>
      </c>
      <c r="F2" s="153"/>
      <c r="G2" s="153"/>
      <c r="H2" s="153"/>
      <c r="I2" s="153"/>
      <c r="J2" s="153"/>
      <c r="K2" s="154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47" t="str">
        <f>CONCATENATE(LIDER!H4," - ",LIDER!H6," - ",LIDER!H5)</f>
        <v xml:space="preserve"> -  - </v>
      </c>
      <c r="F4" s="148"/>
      <c r="G4" s="148"/>
      <c r="H4" s="148"/>
      <c r="I4" s="148"/>
      <c r="J4" s="148"/>
      <c r="K4" s="149"/>
    </row>
    <row r="5" spans="1:11" s="2" customFormat="1" ht="15.75" customHeight="1" thickBot="1">
      <c r="A5" s="8"/>
      <c r="B5" s="27" t="s">
        <v>64</v>
      </c>
      <c r="C5" s="34" t="str">
        <f>IF('S-ASIG-06'!D5="","",'S-ASIG-06'!D5)</f>
        <v>LIST</v>
      </c>
      <c r="D5" s="35" t="s">
        <v>80</v>
      </c>
      <c r="E5" s="151" t="str">
        <f>LIDER!$E$29</f>
        <v>GRUPO#1</v>
      </c>
      <c r="F5" s="151"/>
      <c r="G5" s="151"/>
      <c r="H5" s="151"/>
      <c r="I5" s="151"/>
      <c r="J5" s="151"/>
      <c r="K5" s="151"/>
    </row>
    <row r="6" spans="1:11" s="2" customFormat="1" ht="12.75">
      <c r="A6" s="9">
        <v>1</v>
      </c>
      <c r="B6" s="28" t="str">
        <f>LIDER!E43</f>
        <v>DANIA LICETH ACOSTA SALAZAR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200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LUISA DANIELA ALVAREZ ARGUMEDO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200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JUAN GARCIA SILVA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200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LAURA VALENTINA RIVERO MADRID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200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IF('S-ASIG-06'!D10="","",'S-ASIG-06'!D10)</f>
        <v/>
      </c>
      <c r="D10" s="30" t="str">
        <f>IF(B10=0,"",IF(C10="",$E$6*LIDER!$H$19+F10*LIDER!$H$20+G10*LIDER!$H$21+H10*LIDER!$H$22+I10*LIDER!$H$23+J10*LIDER!$H$24+K10*LIDER!$H$25,"N"))</f>
        <v/>
      </c>
      <c r="E10" s="20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20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65</v>
      </c>
      <c r="C12" s="32" t="str">
        <f>IF('S-ASIG-06'!D12="","",'S-ASIG-06'!D12)</f>
        <v>LIST</v>
      </c>
      <c r="D12" s="35" t="s">
        <v>80</v>
      </c>
      <c r="E12" s="151" t="str">
        <f>LIDER!$E$30</f>
        <v>GRUPO#2</v>
      </c>
      <c r="F12" s="151"/>
      <c r="G12" s="151"/>
      <c r="H12" s="151"/>
      <c r="I12" s="151"/>
      <c r="J12" s="151"/>
      <c r="K12" s="151"/>
    </row>
    <row r="13" spans="1:11" s="2" customFormat="1" ht="12.75">
      <c r="A13" s="9">
        <v>1</v>
      </c>
      <c r="B13" s="28" t="str">
        <f>LIDER!F43</f>
        <v>NEYS DEL CARMEN ARROYO QUINTANA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200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BIANCA FIORELLA CARAZO PUELLO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200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LUIS MARIO MARRUGO DIAZ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200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SAMANTA QUICENO CAMPUZANO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200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IF('S-ASIG-06'!D17="","",'S-ASIG-06'!D17)</f>
        <v/>
      </c>
      <c r="D17" s="30" t="str">
        <f>IF(B17=0,"",IF(C17="",$E$13*LIDER!$H$19+F17*LIDER!$H$20+G17*LIDER!$H$21+H17*LIDER!$H$22+I17*LIDER!$H$23+J17*LIDER!$H$24+K17*LIDER!$H$25,"N"))</f>
        <v/>
      </c>
      <c r="E17" s="20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20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66</v>
      </c>
      <c r="C19" s="32" t="str">
        <f>IF('S-ASIG-06'!D19="","",'S-ASIG-06'!D19)</f>
        <v>LIST</v>
      </c>
      <c r="D19" s="35" t="s">
        <v>80</v>
      </c>
      <c r="E19" s="151" t="str">
        <f>LIDER!$E$31</f>
        <v>GRUPO#3</v>
      </c>
      <c r="F19" s="151"/>
      <c r="G19" s="151"/>
      <c r="H19" s="151"/>
      <c r="I19" s="151"/>
      <c r="J19" s="151"/>
      <c r="K19" s="151"/>
    </row>
    <row r="20" spans="1:11" s="2" customFormat="1" ht="12.75">
      <c r="A20" s="9">
        <v>1</v>
      </c>
      <c r="B20" s="28" t="str">
        <f>LIDER!G43</f>
        <v>ANDRES FELIPE ALFARO LARES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200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NICOLE ANDREA BARRAZA CARDOZO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200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DANIELA BOLAÑOS CUELLAR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20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LAURA VANESSA POLO CARABALLO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20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ANDRES FELIPE TOVAR ARRIOLA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0</v>
      </c>
      <c r="E24" s="20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20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IF('S-ASIG-06'!D26="","",'S-ASIG-06'!D26)</f>
        <v>LIST</v>
      </c>
      <c r="D26" s="35" t="s">
        <v>80</v>
      </c>
      <c r="E26" s="151" t="str">
        <f>LIDER!$E$32</f>
        <v>GRUPO#4</v>
      </c>
      <c r="F26" s="151"/>
      <c r="G26" s="151"/>
      <c r="H26" s="151"/>
      <c r="I26" s="151"/>
      <c r="J26" s="151"/>
      <c r="K26" s="151"/>
    </row>
    <row r="27" spans="1:11" s="2" customFormat="1" ht="12.75">
      <c r="A27" s="9">
        <v>1</v>
      </c>
      <c r="B27" s="28">
        <f>LIDER!H43</f>
        <v>0</v>
      </c>
      <c r="C27" s="33" t="str">
        <f>IF('S-ASIG-06'!D27="","",'S-ASIG-06'!D27)</f>
        <v/>
      </c>
      <c r="D27" s="30" t="str">
        <f>IF(B27=0,"",IF(C27="",$E$27*LIDER!$H$19+F27*LIDER!$H$20+G27*LIDER!$H$21+H27*LIDER!$H$22+I27*LIDER!$H$23+J27*LIDER!$H$24+K27*LIDER!$H$25,"N"))</f>
        <v/>
      </c>
      <c r="E27" s="20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IF('S-ASIG-06'!D28="","",'S-ASIG-06'!D28)</f>
        <v/>
      </c>
      <c r="D28" s="30" t="str">
        <f>IF(B28=0,"",IF(C28="",$E$27*LIDER!$H$19+F28*LIDER!$H$20+G28*LIDER!$H$21+H28*LIDER!$H$22+I28*LIDER!$H$23+J28*LIDER!$H$24+K28*LIDER!$H$25,"N"))</f>
        <v/>
      </c>
      <c r="E28" s="20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IF('S-ASIG-06'!D29="","",'S-ASIG-06'!D29)</f>
        <v/>
      </c>
      <c r="D29" s="30" t="str">
        <f>IF(B29=0,"",IF(C29="",$E$27*LIDER!$H$19+F29*LIDER!$H$20+G29*LIDER!$H$21+H29*LIDER!$H$22+I29*LIDER!$H$23+J29*LIDER!$H$24+K29*LIDER!$H$25,"N"))</f>
        <v/>
      </c>
      <c r="E29" s="20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IF('S-ASIG-06'!D30="","",'S-ASIG-06'!D30)</f>
        <v/>
      </c>
      <c r="D30" s="30" t="str">
        <f>IF(B30=0,"",IF(C30="",$E$27*LIDER!$H$19+F30*LIDER!$H$20+G30*LIDER!$H$21+H30*LIDER!$H$22+I30*LIDER!$H$23+J30*LIDER!$H$24+K30*LIDER!$H$25,"N"))</f>
        <v/>
      </c>
      <c r="E30" s="20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20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20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IF('S-ASIG-06'!D33="","",'S-ASIG-06'!D33)</f>
        <v>LIST</v>
      </c>
      <c r="D33" s="35" t="s">
        <v>80</v>
      </c>
      <c r="E33" s="151" t="str">
        <f>LIDER!$E$33</f>
        <v>GRUPO#5</v>
      </c>
      <c r="F33" s="151"/>
      <c r="G33" s="151"/>
      <c r="H33" s="151"/>
      <c r="I33" s="151"/>
      <c r="J33" s="151"/>
      <c r="K33" s="151"/>
    </row>
    <row r="34" spans="1:11" s="2" customFormat="1" ht="12.75">
      <c r="A34" s="9">
        <v>1</v>
      </c>
      <c r="B34" s="28" t="str">
        <f>LIDER!E51</f>
        <v>JESUS DANIEL MOLINA SANCHEZ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20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EDER DARIO PEREZ SALGUEDO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20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MANUEL ALEJANDRO POLO MARTINEZ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20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DANNA JUDITH SOTO CAMARGO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20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20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20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IF('S-ASIG-06'!D40="","",'S-ASIG-06'!D40)</f>
        <v>LIST</v>
      </c>
      <c r="D40" s="35" t="s">
        <v>80</v>
      </c>
      <c r="E40" s="151" t="str">
        <f>LIDER!$E$34</f>
        <v>GRUPO#6</v>
      </c>
      <c r="F40" s="151"/>
      <c r="G40" s="151"/>
      <c r="H40" s="151"/>
      <c r="I40" s="151"/>
      <c r="J40" s="151"/>
      <c r="K40" s="151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20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20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20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20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20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20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IF('S-ASIG-06'!D47="","",'S-ASIG-06'!D47)</f>
        <v>LIST</v>
      </c>
      <c r="D47" s="35" t="s">
        <v>80</v>
      </c>
      <c r="E47" s="151" t="str">
        <f>LIDER!$E$35</f>
        <v>GRUPO#7</v>
      </c>
      <c r="F47" s="151"/>
      <c r="G47" s="151"/>
      <c r="H47" s="151"/>
      <c r="I47" s="151"/>
      <c r="J47" s="151"/>
      <c r="K47" s="151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20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20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20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20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20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20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IF('S-ASIG-06'!D54="","",'S-ASIG-06'!D54)</f>
        <v>LIST</v>
      </c>
      <c r="D54" s="35" t="s">
        <v>80</v>
      </c>
      <c r="E54" s="151" t="str">
        <f>LIDER!$E$36</f>
        <v>GRUPO#8</v>
      </c>
      <c r="F54" s="151"/>
      <c r="G54" s="151"/>
      <c r="H54" s="151"/>
      <c r="I54" s="151"/>
      <c r="J54" s="151"/>
      <c r="K54" s="151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20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20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20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20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20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20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IF('S-ASIG-06'!D61="","",'S-ASIG-06'!D61)</f>
        <v>LIST</v>
      </c>
      <c r="D61" s="35" t="s">
        <v>80</v>
      </c>
      <c r="E61" s="151" t="str">
        <f>LIDER!$E$37</f>
        <v>GRUPO#9</v>
      </c>
      <c r="F61" s="151"/>
      <c r="G61" s="151"/>
      <c r="H61" s="151"/>
      <c r="I61" s="151"/>
      <c r="J61" s="151"/>
      <c r="K61" s="151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20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20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20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20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20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20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IF('S-ASIG-06'!D68="","",'S-ASIG-06'!D68)</f>
        <v>LIST</v>
      </c>
      <c r="D68" s="35" t="s">
        <v>80</v>
      </c>
      <c r="E68" s="151" t="str">
        <f>LIDER!$E$38</f>
        <v>GRUPO#10</v>
      </c>
      <c r="F68" s="151"/>
      <c r="G68" s="151"/>
      <c r="H68" s="151"/>
      <c r="I68" s="151"/>
      <c r="J68" s="151"/>
      <c r="K68" s="151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20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20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20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20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20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20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IF('S-ASIG-06'!D75="","",'S-ASIG-06'!D75)</f>
        <v>LIST</v>
      </c>
      <c r="D75" s="35" t="s">
        <v>80</v>
      </c>
      <c r="E75" s="151" t="str">
        <f>LIDER!$E$39</f>
        <v>GRUPO#11</v>
      </c>
      <c r="F75" s="151"/>
      <c r="G75" s="151"/>
      <c r="H75" s="151"/>
      <c r="I75" s="151"/>
      <c r="J75" s="151"/>
      <c r="K75" s="151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20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20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20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20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20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20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IF('S-ASIG-06'!D82="","",'S-ASIG-06'!D82)</f>
        <v>LIST</v>
      </c>
      <c r="D82" s="35" t="s">
        <v>80</v>
      </c>
      <c r="E82" s="151" t="str">
        <f>LIDER!$E$40</f>
        <v>GRUPO#12</v>
      </c>
      <c r="F82" s="151"/>
      <c r="G82" s="151"/>
      <c r="H82" s="151"/>
      <c r="I82" s="151"/>
      <c r="J82" s="151"/>
      <c r="K82" s="151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20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20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20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20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20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2" t="str">
        <f>LIDER!B2</f>
        <v>TECNOLOGÍA EN GESTIÓN DE NEGOCIOS INTERN</v>
      </c>
      <c r="B1" s="143"/>
      <c r="C1" s="143"/>
      <c r="D1" s="143"/>
      <c r="E1" s="143"/>
      <c r="F1" s="143"/>
      <c r="G1" s="144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>
        <f>LIDER!I4</f>
        <v>0</v>
      </c>
      <c r="C2" s="3"/>
      <c r="E2" s="152" t="s">
        <v>76</v>
      </c>
      <c r="F2" s="153"/>
      <c r="G2" s="153"/>
      <c r="H2" s="153"/>
      <c r="I2" s="153"/>
      <c r="J2" s="153"/>
      <c r="K2" s="154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47" t="str">
        <f>CONCATENATE(LIDER!I4," - ",LIDER!I6," - ",LIDER!I5)</f>
        <v xml:space="preserve"> -  - </v>
      </c>
      <c r="F4" s="148"/>
      <c r="G4" s="148"/>
      <c r="H4" s="148"/>
      <c r="I4" s="148"/>
      <c r="J4" s="148"/>
      <c r="K4" s="149"/>
    </row>
    <row r="5" spans="1:11" s="2" customFormat="1" ht="15.75" customHeight="1" thickBot="1">
      <c r="A5" s="8"/>
      <c r="B5" s="27" t="s">
        <v>64</v>
      </c>
      <c r="C5" s="34" t="str">
        <f>IF('S-ASIG-07'!D5="","",'S-ASIG-07'!D5)</f>
        <v>LIST</v>
      </c>
      <c r="D5" s="35" t="s">
        <v>80</v>
      </c>
      <c r="E5" s="151" t="str">
        <f>LIDER!$E$29</f>
        <v>GRUPO#1</v>
      </c>
      <c r="F5" s="151"/>
      <c r="G5" s="151"/>
      <c r="H5" s="151"/>
      <c r="I5" s="151"/>
      <c r="J5" s="151"/>
      <c r="K5" s="151"/>
    </row>
    <row r="6" spans="1:11" s="2" customFormat="1" ht="12.75">
      <c r="A6" s="9">
        <v>1</v>
      </c>
      <c r="B6" s="28" t="str">
        <f>LIDER!E43</f>
        <v>DANIA LICETH ACOSTA SALAZAR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200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LUISA DANIELA ALVAREZ ARGUMEDO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200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JUAN GARCIA SILVA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200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LAURA VALENTINA RIVERO MADRID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200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IF('S-ASIG-07'!D10="","",'S-ASIG-07'!D10)</f>
        <v/>
      </c>
      <c r="D10" s="30" t="str">
        <f>IF(B10=0,"",IF(C10="",$E$6*LIDER!$H$19+F10*LIDER!$H$20+G10*LIDER!$H$21+H10*LIDER!$H$22+I10*LIDER!$H$23+J10*LIDER!$H$24+K10*LIDER!$H$25,"N"))</f>
        <v/>
      </c>
      <c r="E10" s="20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20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65</v>
      </c>
      <c r="C12" s="32" t="str">
        <f>IF('S-ASIG-07'!D12="","",'S-ASIG-07'!D12)</f>
        <v>LIST</v>
      </c>
      <c r="D12" s="35" t="s">
        <v>80</v>
      </c>
      <c r="E12" s="151" t="str">
        <f>LIDER!$E$30</f>
        <v>GRUPO#2</v>
      </c>
      <c r="F12" s="151"/>
      <c r="G12" s="151"/>
      <c r="H12" s="151"/>
      <c r="I12" s="151"/>
      <c r="J12" s="151"/>
      <c r="K12" s="151"/>
    </row>
    <row r="13" spans="1:11" s="2" customFormat="1" ht="12.75">
      <c r="A13" s="9">
        <v>1</v>
      </c>
      <c r="B13" s="28" t="str">
        <f>LIDER!F43</f>
        <v>NEYS DEL CARMEN ARROYO QUINTANA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200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BIANCA FIORELLA CARAZO PUELLO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200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LUIS MARIO MARRUGO DIAZ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200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SAMANTA QUICENO CAMPUZANO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200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IF('S-ASIG-07'!D17="","",'S-ASIG-07'!D17)</f>
        <v/>
      </c>
      <c r="D17" s="30" t="str">
        <f>IF(B17=0,"",IF(C17="",$E$13*LIDER!$H$19+F17*LIDER!$H$20+G17*LIDER!$H$21+H17*LIDER!$H$22+I17*LIDER!$H$23+J17*LIDER!$H$24+K17*LIDER!$H$25,"N"))</f>
        <v/>
      </c>
      <c r="E17" s="20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20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66</v>
      </c>
      <c r="C19" s="32" t="str">
        <f>IF('S-ASIG-07'!D19="","",'S-ASIG-07'!D19)</f>
        <v>LIST</v>
      </c>
      <c r="D19" s="35" t="s">
        <v>80</v>
      </c>
      <c r="E19" s="151" t="str">
        <f>LIDER!$E$31</f>
        <v>GRUPO#3</v>
      </c>
      <c r="F19" s="151"/>
      <c r="G19" s="151"/>
      <c r="H19" s="151"/>
      <c r="I19" s="151"/>
      <c r="J19" s="151"/>
      <c r="K19" s="151"/>
    </row>
    <row r="20" spans="1:11" s="2" customFormat="1" ht="12.75">
      <c r="A20" s="9">
        <v>1</v>
      </c>
      <c r="B20" s="28" t="str">
        <f>LIDER!G43</f>
        <v>ANDRES FELIPE ALFARO LARES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200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NICOLE ANDREA BARRAZA CARDOZO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200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DANIELA BOLAÑOS CUELLAR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20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LAURA VANESSA POLO CARABALLO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20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ANDRES FELIPE TOVAR ARRIOLA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20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20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IF('S-ASIG-07'!D26="","",'S-ASIG-07'!D26)</f>
        <v>LIST</v>
      </c>
      <c r="D26" s="35" t="s">
        <v>80</v>
      </c>
      <c r="E26" s="151" t="str">
        <f>LIDER!$E$32</f>
        <v>GRUPO#4</v>
      </c>
      <c r="F26" s="151"/>
      <c r="G26" s="151"/>
      <c r="H26" s="151"/>
      <c r="I26" s="151"/>
      <c r="J26" s="151"/>
      <c r="K26" s="151"/>
    </row>
    <row r="27" spans="1:11" s="2" customFormat="1" ht="12.75">
      <c r="A27" s="9">
        <v>1</v>
      </c>
      <c r="B27" s="28">
        <f>LIDER!H43</f>
        <v>0</v>
      </c>
      <c r="C27" s="33" t="str">
        <f>IF('S-ASIG-07'!D27="","",'S-ASIG-07'!D27)</f>
        <v/>
      </c>
      <c r="D27" s="30" t="str">
        <f>IF(B27=0,"",IF(C27="",$E$27*LIDER!$H$19+F27*LIDER!$H$20+G27*LIDER!$H$21+H27*LIDER!$H$22+I27*LIDER!$H$23+J27*LIDER!$H$24+K27*LIDER!$H$25,"N"))</f>
        <v/>
      </c>
      <c r="E27" s="20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IF('S-ASIG-07'!D28="","",'S-ASIG-07'!D28)</f>
        <v/>
      </c>
      <c r="D28" s="30" t="str">
        <f>IF(B28=0,"",IF(C28="",$E$27*LIDER!$H$19+F28*LIDER!$H$20+G28*LIDER!$H$21+H28*LIDER!$H$22+I28*LIDER!$H$23+J28*LIDER!$H$24+K28*LIDER!$H$25,"N"))</f>
        <v/>
      </c>
      <c r="E28" s="20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IF('S-ASIG-07'!D29="","",'S-ASIG-07'!D29)</f>
        <v/>
      </c>
      <c r="D29" s="30" t="str">
        <f>IF(B29=0,"",IF(C29="",$E$27*LIDER!$H$19+F29*LIDER!$H$20+G29*LIDER!$H$21+H29*LIDER!$H$22+I29*LIDER!$H$23+J29*LIDER!$H$24+K29*LIDER!$H$25,"N"))</f>
        <v/>
      </c>
      <c r="E29" s="20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IF('S-ASIG-07'!D30="","",'S-ASIG-07'!D30)</f>
        <v/>
      </c>
      <c r="D30" s="30" t="str">
        <f>IF(B30=0,"",IF(C30="",$E$27*LIDER!$H$19+F30*LIDER!$H$20+G30*LIDER!$H$21+H30*LIDER!$H$22+I30*LIDER!$H$23+J30*LIDER!$H$24+K30*LIDER!$H$25,"N"))</f>
        <v/>
      </c>
      <c r="E30" s="20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20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20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IF('S-ASIG-07'!D33="","",'S-ASIG-07'!D33)</f>
        <v>LIST</v>
      </c>
      <c r="D33" s="35" t="s">
        <v>80</v>
      </c>
      <c r="E33" s="151" t="str">
        <f>LIDER!$E$33</f>
        <v>GRUPO#5</v>
      </c>
      <c r="F33" s="151"/>
      <c r="G33" s="151"/>
      <c r="H33" s="151"/>
      <c r="I33" s="151"/>
      <c r="J33" s="151"/>
      <c r="K33" s="151"/>
    </row>
    <row r="34" spans="1:11" s="2" customFormat="1" ht="12.75">
      <c r="A34" s="9">
        <v>1</v>
      </c>
      <c r="B34" s="28" t="str">
        <f>LIDER!E51</f>
        <v>JESUS DANIEL MOLINA SANCHEZ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20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EDER DARIO PEREZ SALGUEDO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20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MANUEL ALEJANDRO POLO MARTINEZ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20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DANNA JUDITH SOTO CAMARGO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20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20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20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IF('S-ASIG-07'!D40="","",'S-ASIG-07'!D40)</f>
        <v>LIST</v>
      </c>
      <c r="D40" s="35" t="s">
        <v>80</v>
      </c>
      <c r="E40" s="151" t="str">
        <f>LIDER!$E$34</f>
        <v>GRUPO#6</v>
      </c>
      <c r="F40" s="151"/>
      <c r="G40" s="151"/>
      <c r="H40" s="151"/>
      <c r="I40" s="151"/>
      <c r="J40" s="151"/>
      <c r="K40" s="151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20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20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20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20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20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20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IF('S-ASIG-07'!D47="","",'S-ASIG-07'!D47)</f>
        <v>LIST</v>
      </c>
      <c r="D47" s="35" t="s">
        <v>80</v>
      </c>
      <c r="E47" s="151" t="str">
        <f>LIDER!$E$35</f>
        <v>GRUPO#7</v>
      </c>
      <c r="F47" s="151"/>
      <c r="G47" s="151"/>
      <c r="H47" s="151"/>
      <c r="I47" s="151"/>
      <c r="J47" s="151"/>
      <c r="K47" s="151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20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20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20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20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20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20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IF('S-ASIG-07'!D54="","",'S-ASIG-07'!D54)</f>
        <v>LIST</v>
      </c>
      <c r="D54" s="35" t="s">
        <v>80</v>
      </c>
      <c r="E54" s="151" t="str">
        <f>LIDER!$E$36</f>
        <v>GRUPO#8</v>
      </c>
      <c r="F54" s="151"/>
      <c r="G54" s="151"/>
      <c r="H54" s="151"/>
      <c r="I54" s="151"/>
      <c r="J54" s="151"/>
      <c r="K54" s="151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20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20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20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20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20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20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IF('S-ASIG-07'!D61="","",'S-ASIG-07'!D61)</f>
        <v>LIST</v>
      </c>
      <c r="D61" s="35" t="s">
        <v>80</v>
      </c>
      <c r="E61" s="151" t="str">
        <f>LIDER!$E$37</f>
        <v>GRUPO#9</v>
      </c>
      <c r="F61" s="151"/>
      <c r="G61" s="151"/>
      <c r="H61" s="151"/>
      <c r="I61" s="151"/>
      <c r="J61" s="151"/>
      <c r="K61" s="151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20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20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20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20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20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20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IF('S-ASIG-07'!D68="","",'S-ASIG-07'!D68)</f>
        <v>LIST</v>
      </c>
      <c r="D68" s="35" t="s">
        <v>80</v>
      </c>
      <c r="E68" s="151" t="str">
        <f>LIDER!$E$38</f>
        <v>GRUPO#10</v>
      </c>
      <c r="F68" s="151"/>
      <c r="G68" s="151"/>
      <c r="H68" s="151"/>
      <c r="I68" s="151"/>
      <c r="J68" s="151"/>
      <c r="K68" s="151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20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20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20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20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20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20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IF('S-ASIG-07'!D75="","",'S-ASIG-07'!D75)</f>
        <v>LIST</v>
      </c>
      <c r="D75" s="35" t="s">
        <v>80</v>
      </c>
      <c r="E75" s="151" t="str">
        <f>LIDER!$E$39</f>
        <v>GRUPO#11</v>
      </c>
      <c r="F75" s="151"/>
      <c r="G75" s="151"/>
      <c r="H75" s="151"/>
      <c r="I75" s="151"/>
      <c r="J75" s="151"/>
      <c r="K75" s="151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20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20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20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20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20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20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IF('S-ASIG-07'!D82="","",'S-ASIG-07'!D82)</f>
        <v>LIST</v>
      </c>
      <c r="D82" s="35" t="s">
        <v>80</v>
      </c>
      <c r="E82" s="151" t="str">
        <f>LIDER!$E$40</f>
        <v>GRUPO#12</v>
      </c>
      <c r="F82" s="151"/>
      <c r="G82" s="151"/>
      <c r="H82" s="151"/>
      <c r="I82" s="151"/>
      <c r="J82" s="151"/>
      <c r="K82" s="151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20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20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20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20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20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F8" activePane="bottomRight" state="frozen"/>
      <selection pane="bottomRight" activeCell="E8" sqref="E8:E21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4" t="str">
        <f>LIDER!B2</f>
        <v>TECNOLOGÍA EN GESTIÓN DE NEGOCIOS INTERN</v>
      </c>
      <c r="H1" s="214"/>
      <c r="I1" s="214"/>
      <c r="J1" s="214"/>
      <c r="K1" s="214"/>
      <c r="L1" s="214"/>
      <c r="M1" s="214"/>
      <c r="N1" s="213" t="str">
        <f>LIDER!E2</f>
        <v>SEMESTRE:</v>
      </c>
      <c r="O1" s="213"/>
      <c r="P1" s="44" t="str">
        <f>LIDER!F2</f>
        <v>SEM-05</v>
      </c>
      <c r="Q1" s="43" t="str">
        <f>LIDER!G2</f>
        <v>SECCIÓN:</v>
      </c>
      <c r="R1" s="44">
        <f>LIDER!H2</f>
        <v>1</v>
      </c>
      <c r="S1" s="42"/>
      <c r="T1" s="42"/>
      <c r="U1" s="45"/>
    </row>
    <row r="2" spans="1:22" ht="20.100000000000001" customHeight="1" thickBot="1">
      <c r="G2" s="210" t="s">
        <v>93</v>
      </c>
      <c r="H2" s="211"/>
      <c r="I2" s="211"/>
      <c r="J2" s="211"/>
      <c r="K2" s="211"/>
      <c r="L2" s="211"/>
      <c r="M2" s="212"/>
      <c r="N2" s="2"/>
      <c r="O2" s="215" t="s">
        <v>94</v>
      </c>
      <c r="P2" s="216"/>
      <c r="Q2" s="216"/>
      <c r="R2" s="216"/>
      <c r="S2" s="216"/>
      <c r="T2" s="216"/>
      <c r="U2" s="217"/>
    </row>
    <row r="3" spans="1:22" ht="20.100000000000001" customHeight="1" thickBot="1">
      <c r="G3" s="48" t="str">
        <f>CONCATENATE("N° : ",LIDER!C6)</f>
        <v>N° : 1426</v>
      </c>
      <c r="H3" s="49" t="str">
        <f>CONCATENATE("N° : ",LIDER!D6)</f>
        <v>N° : 2223</v>
      </c>
      <c r="I3" s="49" t="str">
        <f>CONCATENATE("N° : ",LIDER!E6)</f>
        <v>N° : 2424</v>
      </c>
      <c r="J3" s="49" t="str">
        <f>CONCATENATE("N° : ",LIDER!F6)</f>
        <v>N° : 2432</v>
      </c>
      <c r="K3" s="49" t="str">
        <f>CONCATENATE("N° : ",LIDER!G6)</f>
        <v>N° : 1495</v>
      </c>
      <c r="L3" s="49" t="str">
        <f>CONCATENATE("N° : ",LIDER!H6)</f>
        <v xml:space="preserve">N° : </v>
      </c>
      <c r="M3" s="50" t="str">
        <f>CONCATENATE("N° : ",LIDER!I6)</f>
        <v xml:space="preserve">N° : </v>
      </c>
      <c r="O3" s="48" t="str">
        <f>G3</f>
        <v>N° : 1426</v>
      </c>
      <c r="P3" s="49" t="str">
        <f t="shared" ref="P3:U3" si="0">H3</f>
        <v>N° : 2223</v>
      </c>
      <c r="Q3" s="49" t="str">
        <f t="shared" si="0"/>
        <v>N° : 2424</v>
      </c>
      <c r="R3" s="49" t="str">
        <f t="shared" si="0"/>
        <v>N° : 2432</v>
      </c>
      <c r="S3" s="49" t="str">
        <f t="shared" si="0"/>
        <v>N° : 1495</v>
      </c>
      <c r="T3" s="49" t="str">
        <f t="shared" si="0"/>
        <v xml:space="preserve">N° : </v>
      </c>
      <c r="U3" s="50" t="str">
        <f t="shared" si="0"/>
        <v xml:space="preserve">N° : </v>
      </c>
    </row>
    <row r="4" spans="1:22" ht="30" customHeight="1" thickBot="1">
      <c r="A4" s="51"/>
      <c r="B4" s="52" t="s">
        <v>21</v>
      </c>
      <c r="C4" s="53" t="s">
        <v>95</v>
      </c>
      <c r="D4" s="54" t="s">
        <v>96</v>
      </c>
      <c r="E4" s="55" t="s">
        <v>97</v>
      </c>
      <c r="G4" s="56" t="str">
        <f>MID(LIDER!C4,1,9)</f>
        <v>MARKETING</v>
      </c>
      <c r="H4" s="57" t="str">
        <f>MID(LIDER!D4,1,9)</f>
        <v xml:space="preserve">ELECTIVA </v>
      </c>
      <c r="I4" s="57" t="str">
        <f>MID(LIDER!E4,1,9)</f>
        <v>TALENTO H</v>
      </c>
      <c r="J4" s="57" t="str">
        <f>MID(LIDER!F4,1,9)</f>
        <v xml:space="preserve">ELECTIVA </v>
      </c>
      <c r="K4" s="57" t="str">
        <f>MID(LIDER!G4,1,9)</f>
        <v>ORGANIZAC</v>
      </c>
      <c r="L4" s="57" t="str">
        <f>MID(LIDER!H4,1,9)</f>
        <v/>
      </c>
      <c r="M4" s="58" t="str">
        <f>MID(LIDER!I4,1,9)</f>
        <v/>
      </c>
      <c r="N4" s="59" t="s">
        <v>98</v>
      </c>
      <c r="O4" s="60" t="str">
        <f t="shared" ref="O4:U4" si="1">G4</f>
        <v>MARKETING</v>
      </c>
      <c r="P4" s="61" t="str">
        <f t="shared" si="1"/>
        <v xml:space="preserve">ELECTIVA </v>
      </c>
      <c r="Q4" s="61" t="str">
        <f t="shared" si="1"/>
        <v>TALENTO H</v>
      </c>
      <c r="R4" s="61" t="str">
        <f t="shared" si="1"/>
        <v xml:space="preserve">ELECTIVA </v>
      </c>
      <c r="S4" s="61" t="str">
        <f t="shared" si="1"/>
        <v>ORGANIZAC</v>
      </c>
      <c r="T4" s="61" t="str">
        <f t="shared" si="1"/>
        <v/>
      </c>
      <c r="U4" s="62" t="str">
        <f t="shared" si="1"/>
        <v/>
      </c>
      <c r="V4" s="59" t="s">
        <v>99</v>
      </c>
    </row>
    <row r="5" spans="1:22" ht="15" customHeight="1">
      <c r="A5" s="12">
        <v>1</v>
      </c>
      <c r="B5" s="63" t="str">
        <f>LIDER!C9</f>
        <v>DANIA LICETH ACOSTA SALAZAR</v>
      </c>
      <c r="C5" s="64" t="str">
        <f>IF(B5=0,"",IFERROR(VLOOKUP(B5,'S-ASIG-01'!$B$5:$E$88,2,0),0))</f>
        <v>G01</v>
      </c>
      <c r="D5" s="65">
        <f>IF(B5=0,"",IFERROR(SUMIF(G5:M5,"&gt;0",G5:M5)/COUNTIF(G5:M5,"&gt;0"),0))</f>
        <v>3.706666666666667</v>
      </c>
      <c r="E5" s="66">
        <f>IF(B5=0,"",IFERROR(SUMIF(O5:U5,"&gt;0",O5:U5)/COUNTIF(O5:U5,"&gt;0"),0))</f>
        <v>4.0749999999999993</v>
      </c>
      <c r="F5" s="47"/>
      <c r="G5" s="67">
        <f>IF(B5=0,"",IFERROR(VLOOKUP(B5,'S-ASIG-01'!$B$5:$E$88,4,0),0))</f>
        <v>3.6000000000000005</v>
      </c>
      <c r="H5" s="65">
        <f>IF(B5=0,"",IFERROR(VLOOKUP(B5,'S-ASIG-02'!$B$5:$E$88,4,0),0))</f>
        <v>4.0500000000000007</v>
      </c>
      <c r="I5" s="65">
        <f>IF(B5=0,"",IFERROR(VLOOKUP(B5,'S-ASIG-03'!$B$5:$E$88,4,0),0))</f>
        <v>0</v>
      </c>
      <c r="J5" s="65">
        <f>IF(B5=0,"",IFERROR(VLOOKUP(B5,'S-ASIG-04'!$B$5:$E$88,4,0),0))</f>
        <v>3.4700000000000006</v>
      </c>
      <c r="K5" s="65">
        <f>IF(B5=0,"",IFERROR(VLOOKUP(B5,'S-ASIG-05'!$B$5:$E$88,4,0),0))</f>
        <v>0</v>
      </c>
      <c r="L5" s="65">
        <f>IF(B5=0,"",IFERROR(VLOOKUP(B5,'S-ASIG-06'!$B$5:$E$88,4,0),0))</f>
        <v>0</v>
      </c>
      <c r="M5" s="66">
        <f>IF(B5=0,"",IFERROR(VLOOKUP(B5,'S-ASIG-07'!$B$5:$E$88,4,0),0))</f>
        <v>0</v>
      </c>
      <c r="N5" s="68" t="s">
        <v>100</v>
      </c>
      <c r="O5" s="67">
        <f>IF(B5=0,"",IFERROR(VLOOKUP(B5,'T-ASIG-01'!$B$5:$D$88,3,0),0))</f>
        <v>4</v>
      </c>
      <c r="P5" s="65">
        <f>IF(B5=0,"",IFERROR(VLOOKUP(B5,'T-ASIG-02'!$B$5:$D$88,3,0),0))</f>
        <v>0</v>
      </c>
      <c r="Q5" s="65">
        <f>IF(B5=0,"",IFERROR(VLOOKUP(B5,'T-ASIG-03'!$B$5:$D$88,3,0),0))</f>
        <v>4.1499999999999995</v>
      </c>
      <c r="R5" s="65">
        <f>IF(B5=0,"",IFERROR(VLOOKUP(B5,'T-ASIG-04'!$B$5:$D$88,3,0),0))</f>
        <v>4.05</v>
      </c>
      <c r="S5" s="65">
        <f>IF(B5=0,"",IFERROR(VLOOKUP(B5,'T-ASIG-05'!$B$5:$D$88,3,0),0))</f>
        <v>4.0999999999999996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101</v>
      </c>
    </row>
    <row r="6" spans="1:22" ht="15" customHeight="1">
      <c r="A6" s="12">
        <v>2</v>
      </c>
      <c r="B6" s="70" t="str">
        <f>LIDER!C10</f>
        <v>LUISA DANIELA ALVAREZ ARGUMEDO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3.706666666666667</v>
      </c>
      <c r="E6" s="66">
        <f t="shared" ref="E6:E54" si="3">IF(B6=0,"",IFERROR(SUMIF(O6:U6,"&gt;0",O6:U6)/COUNTIF(O6:U6,"&gt;0"),0))</f>
        <v>4.0749999999999993</v>
      </c>
      <c r="F6" s="47"/>
      <c r="G6" s="71">
        <f>IF(B6=0,"",IFERROR(VLOOKUP(B6,'S-ASIG-01'!$B$5:$E$88,4,0),0))</f>
        <v>3.6000000000000005</v>
      </c>
      <c r="H6" s="72">
        <f>IF(B6=0,"",IFERROR(VLOOKUP(B6,'S-ASIG-02'!$B$5:$E$88,4,0),0))</f>
        <v>4.0500000000000007</v>
      </c>
      <c r="I6" s="72">
        <f>IF(B6=0,"",IFERROR(VLOOKUP(B6,'S-ASIG-03'!$B$5:$E$88,4,0),0))</f>
        <v>0</v>
      </c>
      <c r="J6" s="72">
        <f>IF(B6=0,"",IFERROR(VLOOKUP(B6,'S-ASIG-04'!$B$5:$E$88,4,0),0))</f>
        <v>3.4700000000000006</v>
      </c>
      <c r="K6" s="72">
        <f>IF(B6=0,"",IFERROR(VLOOKUP(B6,'S-ASIG-05'!$B$5:$E$88,4,0),0))</f>
        <v>0</v>
      </c>
      <c r="L6" s="72">
        <f>IF(B6=0,"",IFERROR(VLOOKUP(B6,'S-ASIG-06'!$B$5:$E$88,4,0),0))</f>
        <v>0</v>
      </c>
      <c r="M6" s="73">
        <f>IF(B6=0,"",IFERROR(VLOOKUP(B6,'S-ASIG-07'!$B$5:$E$88,4,0),0))</f>
        <v>0</v>
      </c>
      <c r="N6" s="68" t="s">
        <v>100</v>
      </c>
      <c r="O6" s="71">
        <f>IF(B6=0,"",IFERROR(VLOOKUP(B6,'T-ASIG-01'!$B$5:$D$88,3,0),0))</f>
        <v>4</v>
      </c>
      <c r="P6" s="72">
        <f>IF(B6=0,"",IFERROR(VLOOKUP(B6,'T-ASIG-02'!$B$5:$D$88,3,0),0))</f>
        <v>0</v>
      </c>
      <c r="Q6" s="72">
        <f>IF(B6=0,"",IFERROR(VLOOKUP(B6,'T-ASIG-03'!$B$5:$D$88,3,0),0))</f>
        <v>4.1499999999999995</v>
      </c>
      <c r="R6" s="72">
        <f>IF(B6=0,"",IFERROR(VLOOKUP(B6,'T-ASIG-04'!$B$5:$D$88,3,0),0))</f>
        <v>4.05</v>
      </c>
      <c r="S6" s="72">
        <f>IF(B6=0,"",IFERROR(VLOOKUP(B6,'T-ASIG-05'!$B$5:$D$88,3,0),0))</f>
        <v>4.0999999999999996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101</v>
      </c>
    </row>
    <row r="7" spans="1:22" ht="15" customHeight="1">
      <c r="A7" s="12">
        <v>3</v>
      </c>
      <c r="B7" s="70" t="str">
        <f>LIDER!C11</f>
        <v>JUAN GARCIA SILVA</v>
      </c>
      <c r="C7" s="64" t="str">
        <f>IF(B7=0,"",IFERROR(VLOOKUP(B7,'S-ASIG-01'!$B$5:$E$88,2,0),0))</f>
        <v>G01</v>
      </c>
      <c r="D7" s="65">
        <f t="shared" si="2"/>
        <v>3.706666666666667</v>
      </c>
      <c r="E7" s="66">
        <f t="shared" si="3"/>
        <v>4.0749999999999993</v>
      </c>
      <c r="F7" s="47"/>
      <c r="G7" s="71">
        <f>IF(B7=0,"",IFERROR(VLOOKUP(B7,'S-ASIG-01'!$B$5:$E$88,4,0),0))</f>
        <v>3.6000000000000005</v>
      </c>
      <c r="H7" s="72">
        <f>IF(B7=0,"",IFERROR(VLOOKUP(B7,'S-ASIG-02'!$B$5:$E$88,4,0),0))</f>
        <v>4.0500000000000007</v>
      </c>
      <c r="I7" s="72">
        <f>IF(B7=0,"",IFERROR(VLOOKUP(B7,'S-ASIG-03'!$B$5:$E$88,4,0),0))</f>
        <v>0</v>
      </c>
      <c r="J7" s="72">
        <f>IF(B7=0,"",IFERROR(VLOOKUP(B7,'S-ASIG-04'!$B$5:$E$88,4,0),0))</f>
        <v>3.4700000000000006</v>
      </c>
      <c r="K7" s="72">
        <f>IF(B7=0,"",IFERROR(VLOOKUP(B7,'S-ASIG-05'!$B$5:$E$88,4,0),0))</f>
        <v>0</v>
      </c>
      <c r="L7" s="72">
        <f>IF(B7=0,"",IFERROR(VLOOKUP(B7,'S-ASIG-06'!$B$5:$E$88,4,0),0))</f>
        <v>0</v>
      </c>
      <c r="M7" s="73">
        <f>IF(B7=0,"",IFERROR(VLOOKUP(B7,'S-ASIG-07'!$B$5:$E$88,4,0),0))</f>
        <v>0</v>
      </c>
      <c r="N7" s="68" t="s">
        <v>100</v>
      </c>
      <c r="O7" s="71">
        <f>IF(B7=0,"",IFERROR(VLOOKUP(B7,'T-ASIG-01'!$B$5:$D$88,3,0),0))</f>
        <v>4</v>
      </c>
      <c r="P7" s="72">
        <f>IF(B7=0,"",IFERROR(VLOOKUP(B7,'T-ASIG-02'!$B$5:$D$88,3,0),0))</f>
        <v>0</v>
      </c>
      <c r="Q7" s="72">
        <f>IF(B7=0,"",IFERROR(VLOOKUP(B7,'T-ASIG-03'!$B$5:$D$88,3,0),0))</f>
        <v>4.1499999999999995</v>
      </c>
      <c r="R7" s="72">
        <f>IF(B7=0,"",IFERROR(VLOOKUP(B7,'T-ASIG-04'!$B$5:$D$88,3,0),0))</f>
        <v>4.05</v>
      </c>
      <c r="S7" s="72">
        <f>IF(B7=0,"",IFERROR(VLOOKUP(B7,'T-ASIG-05'!$B$5:$D$88,3,0),0))</f>
        <v>4.0999999999999996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101</v>
      </c>
    </row>
    <row r="8" spans="1:22" ht="15" customHeight="1">
      <c r="A8" s="12">
        <v>4</v>
      </c>
      <c r="B8" s="70" t="str">
        <f>LIDER!C12</f>
        <v>LAURA VALENTINA RIVERO MADRID</v>
      </c>
      <c r="C8" s="64" t="str">
        <f>IF(B8=0,"",IFERROR(VLOOKUP(B8,'S-ASIG-01'!$B$5:$E$88,2,0),0))</f>
        <v>G01</v>
      </c>
      <c r="D8" s="65">
        <f t="shared" si="2"/>
        <v>3.8250000000000006</v>
      </c>
      <c r="E8" s="66">
        <f t="shared" si="3"/>
        <v>2</v>
      </c>
      <c r="F8" s="47"/>
      <c r="G8" s="71">
        <f>IF(B8=0,"",IFERROR(VLOOKUP(B8,'S-ASIG-01'!$B$5:$E$88,4,0),0))</f>
        <v>3.6000000000000005</v>
      </c>
      <c r="H8" s="72">
        <f>IF(B8=0,"",IFERROR(VLOOKUP(B8,'S-ASIG-02'!$B$5:$E$88,4,0),0))</f>
        <v>4.0500000000000007</v>
      </c>
      <c r="I8" s="72">
        <f>IF(B8=0,"",IFERROR(VLOOKUP(B8,'S-ASIG-03'!$B$5:$E$88,4,0),0))</f>
        <v>0</v>
      </c>
      <c r="J8" s="72" t="str">
        <f>IF(B8=0,"",IFERROR(VLOOKUP(B8,'S-ASIG-04'!$B$5:$E$88,4,0),0))</f>
        <v>N</v>
      </c>
      <c r="K8" s="72">
        <f>IF(B8=0,"",IFERROR(VLOOKUP(B8,'S-ASIG-05'!$B$5:$E$88,4,0),0))</f>
        <v>0</v>
      </c>
      <c r="L8" s="72">
        <f>IF(B8=0,"",IFERROR(VLOOKUP(B8,'S-ASIG-06'!$B$5:$E$88,4,0),0))</f>
        <v>0</v>
      </c>
      <c r="M8" s="73">
        <f>IF(B8=0,"",IFERROR(VLOOKUP(B8,'S-ASIG-07'!$B$5:$E$88,4,0),0))</f>
        <v>0</v>
      </c>
      <c r="N8" s="68" t="s">
        <v>100</v>
      </c>
      <c r="O8" s="71">
        <f>IF(B8=0,"",IFERROR(VLOOKUP(B8,'T-ASIG-01'!$B$5:$D$88,3,0),0))</f>
        <v>2</v>
      </c>
      <c r="P8" s="72">
        <f>IF(B8=0,"",IFERROR(VLOOKUP(B8,'T-ASIG-02'!$B$5:$D$88,3,0),0))</f>
        <v>0</v>
      </c>
      <c r="Q8" s="72">
        <f>IF(B8=0,"",IFERROR(VLOOKUP(B8,'T-ASIG-03'!$B$5:$D$88,3,0),0))</f>
        <v>2</v>
      </c>
      <c r="R8" s="72" t="str">
        <f>IF(B8=0,"",IFERROR(VLOOKUP(B8,'T-ASIG-04'!$B$5:$D$88,3,0),0))</f>
        <v>N</v>
      </c>
      <c r="S8" s="72">
        <f>IF(B8=0,"",IFERROR(VLOOKUP(B8,'T-ASIG-05'!$B$5:$D$88,3,0),0))</f>
        <v>2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101</v>
      </c>
    </row>
    <row r="9" spans="1:22" ht="15" customHeight="1">
      <c r="A9" s="12">
        <v>5</v>
      </c>
      <c r="B9" s="70" t="str">
        <f>LIDER!C13</f>
        <v>NEYS DEL CARMEN ARROYO QUINTANA</v>
      </c>
      <c r="C9" s="64" t="str">
        <f>IF(B9=0,"",IFERROR(VLOOKUP(B9,'S-ASIG-01'!$B$5:$E$88,2,0),0))</f>
        <v>G02</v>
      </c>
      <c r="D9" s="65">
        <f t="shared" si="2"/>
        <v>4.1800000000000006</v>
      </c>
      <c r="E9" s="66">
        <f t="shared" si="3"/>
        <v>4.5287500000000005</v>
      </c>
      <c r="F9" s="47"/>
      <c r="G9" s="71">
        <f>IF(B9=0,"",IFERROR(VLOOKUP(B9,'S-ASIG-01'!$B$5:$E$88,4,0),0))</f>
        <v>4.2</v>
      </c>
      <c r="H9" s="72">
        <f>IF(B9=0,"",IFERROR(VLOOKUP(B9,'S-ASIG-02'!$B$5:$E$88,4,0),0))</f>
        <v>3.87</v>
      </c>
      <c r="I9" s="72">
        <f>IF(B9=0,"",IFERROR(VLOOKUP(B9,'S-ASIG-03'!$B$5:$E$88,4,0),0))</f>
        <v>0</v>
      </c>
      <c r="J9" s="72">
        <f>IF(B9=0,"",IFERROR(VLOOKUP(B9,'S-ASIG-04'!$B$5:$E$88,4,0),0))</f>
        <v>4.4700000000000006</v>
      </c>
      <c r="K9" s="72">
        <f>IF(B9=0,"",IFERROR(VLOOKUP(B9,'S-ASIG-05'!$B$5:$E$88,4,0),0))</f>
        <v>0</v>
      </c>
      <c r="L9" s="72">
        <f>IF(B9=0,"",IFERROR(VLOOKUP(B9,'S-ASIG-06'!$B$5:$E$88,4,0),0))</f>
        <v>0</v>
      </c>
      <c r="M9" s="73">
        <f>IF(B9=0,"",IFERROR(VLOOKUP(B9,'S-ASIG-07'!$B$5:$E$88,4,0),0))</f>
        <v>0</v>
      </c>
      <c r="N9" s="68" t="s">
        <v>100</v>
      </c>
      <c r="O9" s="71">
        <f>IF(B9=0,"",IFERROR(VLOOKUP(B9,'T-ASIG-01'!$B$5:$D$88,3,0),0))</f>
        <v>4.5</v>
      </c>
      <c r="P9" s="72">
        <f>IF(B9=0,"",IFERROR(VLOOKUP(B9,'T-ASIG-02'!$B$5:$D$88,3,0),0))</f>
        <v>0</v>
      </c>
      <c r="Q9" s="72">
        <f>IF(B9=0,"",IFERROR(VLOOKUP(B9,'T-ASIG-03'!$B$5:$D$88,3,0),0))</f>
        <v>4.4000000000000004</v>
      </c>
      <c r="R9" s="72">
        <f>IF(B9=0,"",IFERROR(VLOOKUP(B9,'T-ASIG-04'!$B$5:$D$88,3,0),0))</f>
        <v>4.5999999999999996</v>
      </c>
      <c r="S9" s="72">
        <f>IF(B9=0,"",IFERROR(VLOOKUP(B9,'T-ASIG-05'!$B$5:$D$88,3,0),0))</f>
        <v>4.6150000000000002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101</v>
      </c>
    </row>
    <row r="10" spans="1:22" ht="15" customHeight="1">
      <c r="A10" s="12">
        <v>6</v>
      </c>
      <c r="B10" s="70" t="str">
        <f>LIDER!C14</f>
        <v>BIANCA FIORELLA CARAZO PUELLO</v>
      </c>
      <c r="C10" s="64" t="str">
        <f>IF(B10=0,"",IFERROR(VLOOKUP(B10,'S-ASIG-01'!$B$5:$E$88,2,0),0))</f>
        <v>G02</v>
      </c>
      <c r="D10" s="65">
        <f t="shared" si="2"/>
        <v>4.1800000000000006</v>
      </c>
      <c r="E10" s="66">
        <f t="shared" si="3"/>
        <v>4.5037500000000001</v>
      </c>
      <c r="F10" s="47"/>
      <c r="G10" s="71">
        <f>IF(B10=0,"",IFERROR(VLOOKUP(B10,'S-ASIG-01'!$B$5:$E$88,4,0),0))</f>
        <v>4.2</v>
      </c>
      <c r="H10" s="72">
        <f>IF(B10=0,"",IFERROR(VLOOKUP(B10,'S-ASIG-02'!$B$5:$E$88,4,0),0))</f>
        <v>3.87</v>
      </c>
      <c r="I10" s="72">
        <f>IF(B10=0,"",IFERROR(VLOOKUP(B10,'S-ASIG-03'!$B$5:$E$88,4,0),0))</f>
        <v>0</v>
      </c>
      <c r="J10" s="72">
        <f>IF(B10=0,"",IFERROR(VLOOKUP(B10,'S-ASIG-04'!$B$5:$E$88,4,0),0))</f>
        <v>4.4700000000000006</v>
      </c>
      <c r="K10" s="72">
        <f>IF(B10=0,"",IFERROR(VLOOKUP(B10,'S-ASIG-05'!$B$5:$E$88,4,0),0))</f>
        <v>0</v>
      </c>
      <c r="L10" s="72">
        <f>IF(B10=0,"",IFERROR(VLOOKUP(B10,'S-ASIG-06'!$B$5:$E$88,4,0),0))</f>
        <v>0</v>
      </c>
      <c r="M10" s="73">
        <f>IF(B10=0,"",IFERROR(VLOOKUP(B10,'S-ASIG-07'!$B$5:$E$88,4,0),0))</f>
        <v>0</v>
      </c>
      <c r="N10" s="68" t="s">
        <v>100</v>
      </c>
      <c r="O10" s="71">
        <f>IF(B10=0,"",IFERROR(VLOOKUP(B10,'T-ASIG-01'!$B$5:$D$88,3,0),0))</f>
        <v>4.5</v>
      </c>
      <c r="P10" s="72">
        <f>IF(B10=0,"",IFERROR(VLOOKUP(B10,'T-ASIG-02'!$B$5:$D$88,3,0),0))</f>
        <v>0</v>
      </c>
      <c r="Q10" s="72">
        <f>IF(B10=0,"",IFERROR(VLOOKUP(B10,'T-ASIG-03'!$B$5:$D$88,3,0),0))</f>
        <v>4.4000000000000004</v>
      </c>
      <c r="R10" s="72">
        <f>IF(B10=0,"",IFERROR(VLOOKUP(B10,'T-ASIG-04'!$B$5:$D$88,3,0),0))</f>
        <v>4.5</v>
      </c>
      <c r="S10" s="72">
        <f>IF(B10=0,"",IFERROR(VLOOKUP(B10,'T-ASIG-05'!$B$5:$D$88,3,0),0))</f>
        <v>4.6150000000000002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101</v>
      </c>
    </row>
    <row r="11" spans="1:22" ht="15" customHeight="1">
      <c r="A11" s="12">
        <v>7</v>
      </c>
      <c r="B11" s="70" t="str">
        <f>LIDER!C15</f>
        <v>LUIS MARIO MARRUGO DIAZ</v>
      </c>
      <c r="C11" s="64" t="str">
        <f>IF(B11=0,"",IFERROR(VLOOKUP(B11,'S-ASIG-01'!$B$5:$E$88,2,0),0))</f>
        <v>G02</v>
      </c>
      <c r="D11" s="65">
        <f t="shared" si="2"/>
        <v>4.1800000000000006</v>
      </c>
      <c r="E11" s="66">
        <f t="shared" si="3"/>
        <v>4.5037500000000001</v>
      </c>
      <c r="F11" s="47"/>
      <c r="G11" s="71">
        <f>IF(B11=0,"",IFERROR(VLOOKUP(B11,'S-ASIG-01'!$B$5:$E$88,4,0),0))</f>
        <v>4.2</v>
      </c>
      <c r="H11" s="72">
        <f>IF(B11=0,"",IFERROR(VLOOKUP(B11,'S-ASIG-02'!$B$5:$E$88,4,0),0))</f>
        <v>3.87</v>
      </c>
      <c r="I11" s="72">
        <f>IF(B11=0,"",IFERROR(VLOOKUP(B11,'S-ASIG-03'!$B$5:$E$88,4,0),0))</f>
        <v>0</v>
      </c>
      <c r="J11" s="72">
        <f>IF(B11=0,"",IFERROR(VLOOKUP(B11,'S-ASIG-04'!$B$5:$E$88,4,0),0))</f>
        <v>4.4700000000000006</v>
      </c>
      <c r="K11" s="72">
        <f>IF(B11=0,"",IFERROR(VLOOKUP(B11,'S-ASIG-05'!$B$5:$E$88,4,0),0))</f>
        <v>0</v>
      </c>
      <c r="L11" s="72">
        <f>IF(B11=0,"",IFERROR(VLOOKUP(B11,'S-ASIG-06'!$B$5:$E$88,4,0),0))</f>
        <v>0</v>
      </c>
      <c r="M11" s="73">
        <f>IF(B11=0,"",IFERROR(VLOOKUP(B11,'S-ASIG-07'!$B$5:$E$88,4,0),0))</f>
        <v>0</v>
      </c>
      <c r="N11" s="68" t="s">
        <v>100</v>
      </c>
      <c r="O11" s="71">
        <f>IF(B11=0,"",IFERROR(VLOOKUP(B11,'T-ASIG-01'!$B$5:$D$88,3,0),0))</f>
        <v>4.5</v>
      </c>
      <c r="P11" s="72">
        <f>IF(B11=0,"",IFERROR(VLOOKUP(B11,'T-ASIG-02'!$B$5:$D$88,3,0),0))</f>
        <v>0</v>
      </c>
      <c r="Q11" s="72">
        <f>IF(B11=0,"",IFERROR(VLOOKUP(B11,'T-ASIG-03'!$B$5:$D$88,3,0),0))</f>
        <v>4.4000000000000004</v>
      </c>
      <c r="R11" s="72">
        <f>IF(B11=0,"",IFERROR(VLOOKUP(B11,'T-ASIG-04'!$B$5:$D$88,3,0),0))</f>
        <v>4.5</v>
      </c>
      <c r="S11" s="72">
        <f>IF(B11=0,"",IFERROR(VLOOKUP(B11,'T-ASIG-05'!$B$5:$D$88,3,0),0))</f>
        <v>4.6150000000000002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101</v>
      </c>
    </row>
    <row r="12" spans="1:22" ht="15" customHeight="1">
      <c r="A12" s="12">
        <v>8</v>
      </c>
      <c r="B12" s="70" t="str">
        <f>LIDER!C16</f>
        <v>SAMANTA QUICENO CAMPUZANO</v>
      </c>
      <c r="C12" s="64" t="str">
        <f>IF(B12=0,"",IFERROR(VLOOKUP(B12,'S-ASIG-01'!$B$5:$E$88,2,0),0))</f>
        <v>G02</v>
      </c>
      <c r="D12" s="65">
        <f t="shared" si="2"/>
        <v>4.1800000000000006</v>
      </c>
      <c r="E12" s="66">
        <f t="shared" si="3"/>
        <v>4.5287500000000005</v>
      </c>
      <c r="F12" s="47"/>
      <c r="G12" s="71">
        <f>IF(B12=0,"",IFERROR(VLOOKUP(B12,'S-ASIG-01'!$B$5:$E$88,4,0),0))</f>
        <v>4.2</v>
      </c>
      <c r="H12" s="72">
        <f>IF(B12=0,"",IFERROR(VLOOKUP(B12,'S-ASIG-02'!$B$5:$E$88,4,0),0))</f>
        <v>3.87</v>
      </c>
      <c r="I12" s="72">
        <f>IF(B12=0,"",IFERROR(VLOOKUP(B12,'S-ASIG-03'!$B$5:$E$88,4,0),0))</f>
        <v>0</v>
      </c>
      <c r="J12" s="72">
        <f>IF(B12=0,"",IFERROR(VLOOKUP(B12,'S-ASIG-04'!$B$5:$E$88,4,0),0))</f>
        <v>4.4700000000000006</v>
      </c>
      <c r="K12" s="72">
        <f>IF(B12=0,"",IFERROR(VLOOKUP(B12,'S-ASIG-05'!$B$5:$E$88,4,0),0))</f>
        <v>0</v>
      </c>
      <c r="L12" s="72">
        <f>IF(B12=0,"",IFERROR(VLOOKUP(B12,'S-ASIG-06'!$B$5:$E$88,4,0),0))</f>
        <v>0</v>
      </c>
      <c r="M12" s="73">
        <f>IF(B12=0,"",IFERROR(VLOOKUP(B12,'S-ASIG-07'!$B$5:$E$88,4,0),0))</f>
        <v>0</v>
      </c>
      <c r="N12" s="68" t="s">
        <v>100</v>
      </c>
      <c r="O12" s="71">
        <f>IF(B12=0,"",IFERROR(VLOOKUP(B12,'T-ASIG-01'!$B$5:$D$88,3,0),0))</f>
        <v>4.5</v>
      </c>
      <c r="P12" s="72">
        <f>IF(B12=0,"",IFERROR(VLOOKUP(B12,'T-ASIG-02'!$B$5:$D$88,3,0),0))</f>
        <v>0</v>
      </c>
      <c r="Q12" s="72">
        <f>IF(B12=0,"",IFERROR(VLOOKUP(B12,'T-ASIG-03'!$B$5:$D$88,3,0),0))</f>
        <v>4.4000000000000004</v>
      </c>
      <c r="R12" s="72">
        <f>IF(B12=0,"",IFERROR(VLOOKUP(B12,'T-ASIG-04'!$B$5:$D$88,3,0),0))</f>
        <v>4.5999999999999996</v>
      </c>
      <c r="S12" s="72">
        <f>IF(B12=0,"",IFERROR(VLOOKUP(B12,'T-ASIG-05'!$B$5:$D$88,3,0),0))</f>
        <v>4.6150000000000002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101</v>
      </c>
    </row>
    <row r="13" spans="1:22" ht="15" customHeight="1">
      <c r="A13" s="12">
        <v>9</v>
      </c>
      <c r="B13" s="70" t="str">
        <f>LIDER!C17</f>
        <v>ANDRES FELIPE ALFARO LARES</v>
      </c>
      <c r="C13" s="64" t="str">
        <f>IF(B13=0,"",IFERROR(VLOOKUP(B13,'S-ASIG-01'!$B$5:$E$88,2,0),0))</f>
        <v>G03</v>
      </c>
      <c r="D13" s="65">
        <f t="shared" si="2"/>
        <v>3.5133333333333336</v>
      </c>
      <c r="E13" s="66">
        <f t="shared" si="3"/>
        <v>3.9950000000000001</v>
      </c>
      <c r="F13" s="47"/>
      <c r="G13" s="71">
        <f>IF(B13=0,"",IFERROR(VLOOKUP(B13,'S-ASIG-01'!$B$5:$E$88,4,0),0))</f>
        <v>3.5000000000000004</v>
      </c>
      <c r="H13" s="72">
        <f>IF(B13=0,"",IFERROR(VLOOKUP(B13,'S-ASIG-02'!$B$5:$E$88,4,0),0))</f>
        <v>3.6500000000000004</v>
      </c>
      <c r="I13" s="72">
        <f>IF(B13=0,"",IFERROR(VLOOKUP(B13,'S-ASIG-03'!$B$5:$E$88,4,0),0))</f>
        <v>0</v>
      </c>
      <c r="J13" s="72">
        <f>IF(B13=0,"",IFERROR(VLOOKUP(B13,'S-ASIG-04'!$B$5:$E$88,4,0),0))</f>
        <v>3.3900000000000006</v>
      </c>
      <c r="K13" s="72">
        <f>IF(B13=0,"",IFERROR(VLOOKUP(B13,'S-ASIG-05'!$B$5:$E$88,4,0),0))</f>
        <v>0</v>
      </c>
      <c r="L13" s="72">
        <f>IF(B13=0,"",IFERROR(VLOOKUP(B13,'S-ASIG-06'!$B$5:$E$88,4,0),0))</f>
        <v>0</v>
      </c>
      <c r="M13" s="73">
        <f>IF(B13=0,"",IFERROR(VLOOKUP(B13,'S-ASIG-07'!$B$5:$E$88,4,0),0))</f>
        <v>0</v>
      </c>
      <c r="N13" s="68" t="s">
        <v>100</v>
      </c>
      <c r="O13" s="71">
        <f>IF(B13=0,"",IFERROR(VLOOKUP(B13,'T-ASIG-01'!$B$5:$D$88,3,0),0))</f>
        <v>3.8</v>
      </c>
      <c r="P13" s="72">
        <f>IF(B13=0,"",IFERROR(VLOOKUP(B13,'T-ASIG-02'!$B$5:$D$88,3,0),0))</f>
        <v>0</v>
      </c>
      <c r="Q13" s="72">
        <f>IF(B13=0,"",IFERROR(VLOOKUP(B13,'T-ASIG-03'!$B$5:$D$88,3,0),0))</f>
        <v>4.3499999999999996</v>
      </c>
      <c r="R13" s="72">
        <f>IF(B13=0,"",IFERROR(VLOOKUP(B13,'T-ASIG-04'!$B$5:$D$88,3,0),0))</f>
        <v>3.3500000000000005</v>
      </c>
      <c r="S13" s="72">
        <f>IF(B13=0,"",IFERROR(VLOOKUP(B13,'T-ASIG-05'!$B$5:$D$88,3,0),0))</f>
        <v>4.4800000000000004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101</v>
      </c>
    </row>
    <row r="14" spans="1:22" ht="15" customHeight="1">
      <c r="A14" s="12">
        <v>10</v>
      </c>
      <c r="B14" s="70" t="str">
        <f>LIDER!C18</f>
        <v>NICOLE ANDREA BARRAZA CARDOZO</v>
      </c>
      <c r="C14" s="64" t="str">
        <f>IF(B14=0,"",IFERROR(VLOOKUP(B14,'S-ASIG-01'!$B$5:$E$88,2,0),0))</f>
        <v>G03</v>
      </c>
      <c r="D14" s="65">
        <f t="shared" si="2"/>
        <v>3.5133333333333336</v>
      </c>
      <c r="E14" s="66">
        <f t="shared" si="3"/>
        <v>4.0075000000000003</v>
      </c>
      <c r="F14" s="47"/>
      <c r="G14" s="71">
        <f>IF(B14=0,"",IFERROR(VLOOKUP(B14,'S-ASIG-01'!$B$5:$E$88,4,0),0))</f>
        <v>3.5000000000000004</v>
      </c>
      <c r="H14" s="72">
        <f>IF(B14=0,"",IFERROR(VLOOKUP(B14,'S-ASIG-02'!$B$5:$E$88,4,0),0))</f>
        <v>3.6500000000000004</v>
      </c>
      <c r="I14" s="72">
        <f>IF(B14=0,"",IFERROR(VLOOKUP(B14,'S-ASIG-03'!$B$5:$E$88,4,0),0))</f>
        <v>0</v>
      </c>
      <c r="J14" s="72">
        <f>IF(B14=0,"",IFERROR(VLOOKUP(B14,'S-ASIG-04'!$B$5:$E$88,4,0),0))</f>
        <v>3.3900000000000006</v>
      </c>
      <c r="K14" s="72">
        <f>IF(B14=0,"",IFERROR(VLOOKUP(B14,'S-ASIG-05'!$B$5:$E$88,4,0),0))</f>
        <v>0</v>
      </c>
      <c r="L14" s="72">
        <f>IF(B14=0,"",IFERROR(VLOOKUP(B14,'S-ASIG-06'!$B$5:$E$88,4,0),0))</f>
        <v>0</v>
      </c>
      <c r="M14" s="73">
        <f>IF(B14=0,"",IFERROR(VLOOKUP(B14,'S-ASIG-07'!$B$5:$E$88,4,0),0))</f>
        <v>0</v>
      </c>
      <c r="N14" s="68" t="s">
        <v>100</v>
      </c>
      <c r="O14" s="71">
        <f>IF(B14=0,"",IFERROR(VLOOKUP(B14,'T-ASIG-01'!$B$5:$D$88,3,0),0))</f>
        <v>3.8</v>
      </c>
      <c r="P14" s="72">
        <f>IF(B14=0,"",IFERROR(VLOOKUP(B14,'T-ASIG-02'!$B$5:$D$88,3,0),0))</f>
        <v>0</v>
      </c>
      <c r="Q14" s="72">
        <f>IF(B14=0,"",IFERROR(VLOOKUP(B14,'T-ASIG-03'!$B$5:$D$88,3,0),0))</f>
        <v>4.3499999999999996</v>
      </c>
      <c r="R14" s="72">
        <f>IF(B14=0,"",IFERROR(VLOOKUP(B14,'T-ASIG-04'!$B$5:$D$88,3,0),0))</f>
        <v>3.4000000000000004</v>
      </c>
      <c r="S14" s="72">
        <f>IF(B14=0,"",IFERROR(VLOOKUP(B14,'T-ASIG-05'!$B$5:$D$88,3,0),0))</f>
        <v>4.4800000000000004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101</v>
      </c>
    </row>
    <row r="15" spans="1:22" ht="15" customHeight="1">
      <c r="A15" s="12">
        <v>11</v>
      </c>
      <c r="B15" s="70" t="str">
        <f>LIDER!C19</f>
        <v>DANIELA BOLAÑOS CUELLAR</v>
      </c>
      <c r="C15" s="64" t="str">
        <f>IF(B15=0,"",IFERROR(VLOOKUP(B15,'S-ASIG-01'!$B$5:$E$88,2,0),0))</f>
        <v>G03</v>
      </c>
      <c r="D15" s="65">
        <f t="shared" si="2"/>
        <v>3.5133333333333336</v>
      </c>
      <c r="E15" s="66">
        <f t="shared" si="3"/>
        <v>4.0075000000000003</v>
      </c>
      <c r="F15" s="47"/>
      <c r="G15" s="71">
        <f>IF(B15=0,"",IFERROR(VLOOKUP(B15,'S-ASIG-01'!$B$5:$E$88,4,0),0))</f>
        <v>3.5000000000000004</v>
      </c>
      <c r="H15" s="72">
        <f>IF(B15=0,"",IFERROR(VLOOKUP(B15,'S-ASIG-02'!$B$5:$E$88,4,0),0))</f>
        <v>3.6500000000000004</v>
      </c>
      <c r="I15" s="72">
        <f>IF(B15=0,"",IFERROR(VLOOKUP(B15,'S-ASIG-03'!$B$5:$E$88,4,0),0))</f>
        <v>0</v>
      </c>
      <c r="J15" s="72">
        <f>IF(B15=0,"",IFERROR(VLOOKUP(B15,'S-ASIG-04'!$B$5:$E$88,4,0),0))</f>
        <v>3.3900000000000006</v>
      </c>
      <c r="K15" s="72">
        <f>IF(B15=0,"",IFERROR(VLOOKUP(B15,'S-ASIG-05'!$B$5:$E$88,4,0),0))</f>
        <v>0</v>
      </c>
      <c r="L15" s="72">
        <f>IF(B15=0,"",IFERROR(VLOOKUP(B15,'S-ASIG-06'!$B$5:$E$88,4,0),0))</f>
        <v>0</v>
      </c>
      <c r="M15" s="73">
        <f>IF(B15=0,"",IFERROR(VLOOKUP(B15,'S-ASIG-07'!$B$5:$E$88,4,0),0))</f>
        <v>0</v>
      </c>
      <c r="N15" s="68" t="s">
        <v>100</v>
      </c>
      <c r="O15" s="71">
        <f>IF(B15=0,"",IFERROR(VLOOKUP(B15,'T-ASIG-01'!$B$5:$D$88,3,0),0))</f>
        <v>3.8</v>
      </c>
      <c r="P15" s="72">
        <f>IF(B15=0,"",IFERROR(VLOOKUP(B15,'T-ASIG-02'!$B$5:$D$88,3,0),0))</f>
        <v>0</v>
      </c>
      <c r="Q15" s="72">
        <f>IF(B15=0,"",IFERROR(VLOOKUP(B15,'T-ASIG-03'!$B$5:$D$88,3,0),0))</f>
        <v>4.3499999999999996</v>
      </c>
      <c r="R15" s="72">
        <f>IF(B15=0,"",IFERROR(VLOOKUP(B15,'T-ASIG-04'!$B$5:$D$88,3,0),0))</f>
        <v>3.4000000000000004</v>
      </c>
      <c r="S15" s="72">
        <f>IF(B15=0,"",IFERROR(VLOOKUP(B15,'T-ASIG-05'!$B$5:$D$88,3,0),0))</f>
        <v>4.4800000000000004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101</v>
      </c>
    </row>
    <row r="16" spans="1:22" ht="15" customHeight="1">
      <c r="A16" s="12">
        <v>12</v>
      </c>
      <c r="B16" s="70" t="str">
        <f>LIDER!C20</f>
        <v>LAURA VANESSA POLO CARABALLO</v>
      </c>
      <c r="C16" s="64" t="str">
        <f>IF(B16=0,"",IFERROR(VLOOKUP(B16,'S-ASIG-01'!$B$5:$E$88,2,0),0))</f>
        <v>G03</v>
      </c>
      <c r="D16" s="65">
        <f t="shared" si="2"/>
        <v>3.5133333333333336</v>
      </c>
      <c r="E16" s="66">
        <f t="shared" si="3"/>
        <v>4.0075000000000003</v>
      </c>
      <c r="F16" s="47"/>
      <c r="G16" s="71">
        <f>IF(B16=0,"",IFERROR(VLOOKUP(B16,'S-ASIG-01'!$B$5:$E$88,4,0),0))</f>
        <v>3.5000000000000004</v>
      </c>
      <c r="H16" s="72">
        <f>IF(B16=0,"",IFERROR(VLOOKUP(B16,'S-ASIG-02'!$B$5:$E$88,4,0),0))</f>
        <v>3.6500000000000004</v>
      </c>
      <c r="I16" s="72">
        <f>IF(B16=0,"",IFERROR(VLOOKUP(B16,'S-ASIG-03'!$B$5:$E$88,4,0),0))</f>
        <v>0</v>
      </c>
      <c r="J16" s="72">
        <f>IF(B16=0,"",IFERROR(VLOOKUP(B16,'S-ASIG-04'!$B$5:$E$88,4,0),0))</f>
        <v>3.3900000000000006</v>
      </c>
      <c r="K16" s="72">
        <f>IF(B16=0,"",IFERROR(VLOOKUP(B16,'S-ASIG-05'!$B$5:$E$88,4,0),0))</f>
        <v>0</v>
      </c>
      <c r="L16" s="72">
        <f>IF(B16=0,"",IFERROR(VLOOKUP(B16,'S-ASIG-06'!$B$5:$E$88,4,0),0))</f>
        <v>0</v>
      </c>
      <c r="M16" s="73">
        <f>IF(B16=0,"",IFERROR(VLOOKUP(B16,'S-ASIG-07'!$B$5:$E$88,4,0),0))</f>
        <v>0</v>
      </c>
      <c r="N16" s="68" t="s">
        <v>100</v>
      </c>
      <c r="O16" s="71">
        <f>IF(B16=0,"",IFERROR(VLOOKUP(B16,'T-ASIG-01'!$B$5:$D$88,3,0),0))</f>
        <v>3.8</v>
      </c>
      <c r="P16" s="72">
        <f>IF(B16=0,"",IFERROR(VLOOKUP(B16,'T-ASIG-02'!$B$5:$D$88,3,0),0))</f>
        <v>0</v>
      </c>
      <c r="Q16" s="72">
        <f>IF(B16=0,"",IFERROR(VLOOKUP(B16,'T-ASIG-03'!$B$5:$D$88,3,0),0))</f>
        <v>4.3499999999999996</v>
      </c>
      <c r="R16" s="72">
        <f>IF(B16=0,"",IFERROR(VLOOKUP(B16,'T-ASIG-04'!$B$5:$D$88,3,0),0))</f>
        <v>3.4000000000000004</v>
      </c>
      <c r="S16" s="72">
        <f>IF(B16=0,"",IFERROR(VLOOKUP(B16,'T-ASIG-05'!$B$5:$D$88,3,0),0))</f>
        <v>4.4800000000000004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101</v>
      </c>
    </row>
    <row r="17" spans="1:22" ht="15" customHeight="1">
      <c r="A17" s="12">
        <v>13</v>
      </c>
      <c r="B17" s="70" t="str">
        <f>LIDER!C21</f>
        <v>ANDRES FELIPE TOVAR ARRIOLA</v>
      </c>
      <c r="C17" s="64" t="str">
        <f>IF(B17=0,"",IFERROR(VLOOKUP(B17,'S-ASIG-01'!$B$5:$E$88,2,0),0))</f>
        <v>G03</v>
      </c>
      <c r="D17" s="65">
        <f t="shared" si="2"/>
        <v>3.5750000000000002</v>
      </c>
      <c r="E17" s="66">
        <f t="shared" si="3"/>
        <v>4.21</v>
      </c>
      <c r="F17" s="47"/>
      <c r="G17" s="71">
        <f>IF(B17=0,"",IFERROR(VLOOKUP(B17,'S-ASIG-01'!$B$5:$E$88,4,0),0))</f>
        <v>3.5000000000000004</v>
      </c>
      <c r="H17" s="72">
        <f>IF(B17=0,"",IFERROR(VLOOKUP(B17,'S-ASIG-02'!$B$5:$E$88,4,0),0))</f>
        <v>3.6500000000000004</v>
      </c>
      <c r="I17" s="72">
        <f>IF(B17=0,"",IFERROR(VLOOKUP(B17,'S-ASIG-03'!$B$5:$E$88,4,0),0))</f>
        <v>0</v>
      </c>
      <c r="J17" s="72" t="str">
        <f>IF(B17=0,"",IFERROR(VLOOKUP(B17,'S-ASIG-04'!$B$5:$E$88,4,0),0))</f>
        <v>N</v>
      </c>
      <c r="K17" s="72">
        <f>IF(B17=0,"",IFERROR(VLOOKUP(B17,'S-ASIG-05'!$B$5:$E$88,4,0),0))</f>
        <v>0</v>
      </c>
      <c r="L17" s="72">
        <f>IF(B17=0,"",IFERROR(VLOOKUP(B17,'S-ASIG-06'!$B$5:$E$88,4,0),0))</f>
        <v>0</v>
      </c>
      <c r="M17" s="73">
        <f>IF(B17=0,"",IFERROR(VLOOKUP(B17,'S-ASIG-07'!$B$5:$E$88,4,0),0))</f>
        <v>0</v>
      </c>
      <c r="N17" s="68" t="s">
        <v>100</v>
      </c>
      <c r="O17" s="71">
        <f>IF(B17=0,"",IFERROR(VLOOKUP(B17,'T-ASIG-01'!$B$5:$D$88,3,0),0))</f>
        <v>3.8</v>
      </c>
      <c r="P17" s="72">
        <f>IF(B17=0,"",IFERROR(VLOOKUP(B17,'T-ASIG-02'!$B$5:$D$88,3,0),0))</f>
        <v>0</v>
      </c>
      <c r="Q17" s="72">
        <f>IF(B17=0,"",IFERROR(VLOOKUP(B17,'T-ASIG-03'!$B$5:$D$88,3,0),0))</f>
        <v>4.3499999999999996</v>
      </c>
      <c r="R17" s="72" t="str">
        <f>IF(B17=0,"",IFERROR(VLOOKUP(B17,'T-ASIG-04'!$B$5:$D$88,3,0),0))</f>
        <v>N</v>
      </c>
      <c r="S17" s="72">
        <f>IF(B17=0,"",IFERROR(VLOOKUP(B17,'T-ASIG-05'!$B$5:$D$88,3,0),0))</f>
        <v>4.4800000000000004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101</v>
      </c>
    </row>
    <row r="18" spans="1:22" ht="15" customHeight="1">
      <c r="A18" s="12">
        <v>14</v>
      </c>
      <c r="B18" s="70" t="str">
        <f>LIDER!C22</f>
        <v>JESUS DANIEL MOLINA SANCHEZ</v>
      </c>
      <c r="C18" s="64" t="str">
        <f>IF(B18=0,"",IFERROR(VLOOKUP(B18,'S-ASIG-01'!$B$5:$E$88,2,0),0))</f>
        <v>G05</v>
      </c>
      <c r="D18" s="65">
        <f t="shared" si="2"/>
        <v>3.53</v>
      </c>
      <c r="E18" s="66">
        <f t="shared" si="3"/>
        <v>4.6349999999999998</v>
      </c>
      <c r="F18" s="47"/>
      <c r="G18" s="71">
        <f>IF(B18=0,"",IFERROR(VLOOKUP(B18,'S-ASIG-01'!$B$5:$E$88,4,0),0))</f>
        <v>3.8</v>
      </c>
      <c r="H18" s="72">
        <f>IF(B18=0,"",IFERROR(VLOOKUP(B18,'S-ASIG-02'!$B$5:$E$88,4,0),0))</f>
        <v>3.26</v>
      </c>
      <c r="I18" s="72">
        <f>IF(B18=0,"",IFERROR(VLOOKUP(B18,'S-ASIG-03'!$B$5:$E$88,4,0),0))</f>
        <v>0</v>
      </c>
      <c r="J18" s="72">
        <f>IF(B18=0,"",IFERROR(VLOOKUP(B18,'S-ASIG-04'!$B$5:$E$88,4,0),0))</f>
        <v>0</v>
      </c>
      <c r="K18" s="72">
        <f>IF(B18=0,"",IFERROR(VLOOKUP(B18,'S-ASIG-05'!$B$5:$E$88,4,0),0))</f>
        <v>0</v>
      </c>
      <c r="L18" s="72">
        <f>IF(B18=0,"",IFERROR(VLOOKUP(B18,'S-ASIG-06'!$B$5:$E$88,4,0),0))</f>
        <v>0</v>
      </c>
      <c r="M18" s="73">
        <f>IF(B18=0,"",IFERROR(VLOOKUP(B18,'S-ASIG-07'!$B$5:$E$88,4,0),0))</f>
        <v>0</v>
      </c>
      <c r="N18" s="68" t="s">
        <v>100</v>
      </c>
      <c r="O18" s="71">
        <f>IF(B18=0,"",IFERROR(VLOOKUP(B18,'T-ASIG-01'!$B$5:$D$88,3,0),0))</f>
        <v>4.5999999999999996</v>
      </c>
      <c r="P18" s="72">
        <f>IF(B18=0,"",IFERROR(VLOOKUP(B18,'T-ASIG-02'!$B$5:$D$88,3,0),0))</f>
        <v>0</v>
      </c>
      <c r="Q18" s="72">
        <f>IF(B18=0,"",IFERROR(VLOOKUP(B18,'T-ASIG-03'!$B$5:$D$88,3,0),0))</f>
        <v>4.5999999999999996</v>
      </c>
      <c r="R18" s="72">
        <f>IF(B18=0,"",IFERROR(VLOOKUP(B18,'T-ASIG-04'!$B$5:$D$88,3,0),0))</f>
        <v>0</v>
      </c>
      <c r="S18" s="72">
        <f>IF(B18=0,"",IFERROR(VLOOKUP(B18,'T-ASIG-05'!$B$5:$D$88,3,0),0))</f>
        <v>4.7050000000000001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101</v>
      </c>
    </row>
    <row r="19" spans="1:22" ht="15" customHeight="1">
      <c r="A19" s="12">
        <v>15</v>
      </c>
      <c r="B19" s="70" t="str">
        <f>LIDER!C23</f>
        <v>EDER DARIO PEREZ SALGUEDO</v>
      </c>
      <c r="C19" s="64" t="str">
        <f>IF(B19=0,"",IFERROR(VLOOKUP(B19,'S-ASIG-01'!$B$5:$E$88,2,0),0))</f>
        <v>G05</v>
      </c>
      <c r="D19" s="65">
        <f t="shared" si="2"/>
        <v>3.53</v>
      </c>
      <c r="E19" s="66">
        <f t="shared" si="3"/>
        <v>4.6349999999999998</v>
      </c>
      <c r="F19" s="47"/>
      <c r="G19" s="71">
        <f>IF(B19=0,"",IFERROR(VLOOKUP(B19,'S-ASIG-01'!$B$5:$E$88,4,0),0))</f>
        <v>3.8</v>
      </c>
      <c r="H19" s="72">
        <f>IF(B19=0,"",IFERROR(VLOOKUP(B19,'S-ASIG-02'!$B$5:$E$88,4,0),0))</f>
        <v>3.26</v>
      </c>
      <c r="I19" s="72">
        <f>IF(B19=0,"",IFERROR(VLOOKUP(B19,'S-ASIG-03'!$B$5:$E$88,4,0),0))</f>
        <v>0</v>
      </c>
      <c r="J19" s="72">
        <f>IF(B19=0,"",IFERROR(VLOOKUP(B19,'S-ASIG-04'!$B$5:$E$88,4,0),0))</f>
        <v>0</v>
      </c>
      <c r="K19" s="72">
        <f>IF(B19=0,"",IFERROR(VLOOKUP(B19,'S-ASIG-05'!$B$5:$E$88,4,0),0))</f>
        <v>0</v>
      </c>
      <c r="L19" s="72">
        <f>IF(B19=0,"",IFERROR(VLOOKUP(B19,'S-ASIG-06'!$B$5:$E$88,4,0),0))</f>
        <v>0</v>
      </c>
      <c r="M19" s="73">
        <f>IF(B19=0,"",IFERROR(VLOOKUP(B19,'S-ASIG-07'!$B$5:$E$88,4,0),0))</f>
        <v>0</v>
      </c>
      <c r="N19" s="68" t="s">
        <v>100</v>
      </c>
      <c r="O19" s="71">
        <f>IF(B19=0,"",IFERROR(VLOOKUP(B19,'T-ASIG-01'!$B$5:$D$88,3,0),0))</f>
        <v>4.5999999999999996</v>
      </c>
      <c r="P19" s="72">
        <f>IF(B19=0,"",IFERROR(VLOOKUP(B19,'T-ASIG-02'!$B$5:$D$88,3,0),0))</f>
        <v>0</v>
      </c>
      <c r="Q19" s="72">
        <f>IF(B19=0,"",IFERROR(VLOOKUP(B19,'T-ASIG-03'!$B$5:$D$88,3,0),0))</f>
        <v>4.5999999999999996</v>
      </c>
      <c r="R19" s="72">
        <f>IF(B19=0,"",IFERROR(VLOOKUP(B19,'T-ASIG-04'!$B$5:$D$88,3,0),0))</f>
        <v>0</v>
      </c>
      <c r="S19" s="72">
        <f>IF(B19=0,"",IFERROR(VLOOKUP(B19,'T-ASIG-05'!$B$5:$D$88,3,0),0))</f>
        <v>4.7050000000000001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101</v>
      </c>
    </row>
    <row r="20" spans="1:22" ht="15" customHeight="1">
      <c r="A20" s="12">
        <v>16</v>
      </c>
      <c r="B20" s="70" t="str">
        <f>LIDER!C24</f>
        <v>MANUEL ALEJANDRO POLO MARTINEZ</v>
      </c>
      <c r="C20" s="64" t="str">
        <f>IF(B20=0,"",IFERROR(VLOOKUP(B20,'S-ASIG-01'!$B$5:$E$88,2,0),0))</f>
        <v>G05</v>
      </c>
      <c r="D20" s="65">
        <f t="shared" si="2"/>
        <v>3.53</v>
      </c>
      <c r="E20" s="66">
        <f t="shared" si="3"/>
        <v>4.6349999999999998</v>
      </c>
      <c r="F20" s="47"/>
      <c r="G20" s="71">
        <f>IF(B20=0,"",IFERROR(VLOOKUP(B20,'S-ASIG-01'!$B$5:$E$88,4,0),0))</f>
        <v>3.8</v>
      </c>
      <c r="H20" s="72">
        <f>IF(B20=0,"",IFERROR(VLOOKUP(B20,'S-ASIG-02'!$B$5:$E$88,4,0),0))</f>
        <v>3.26</v>
      </c>
      <c r="I20" s="72">
        <f>IF(B20=0,"",IFERROR(VLOOKUP(B20,'S-ASIG-03'!$B$5:$E$88,4,0),0))</f>
        <v>0</v>
      </c>
      <c r="J20" s="72">
        <f>IF(B20=0,"",IFERROR(VLOOKUP(B20,'S-ASIG-04'!$B$5:$E$88,4,0),0))</f>
        <v>0</v>
      </c>
      <c r="K20" s="72">
        <f>IF(B20=0,"",IFERROR(VLOOKUP(B20,'S-ASIG-05'!$B$5:$E$88,4,0),0))</f>
        <v>0</v>
      </c>
      <c r="L20" s="72">
        <f>IF(B20=0,"",IFERROR(VLOOKUP(B20,'S-ASIG-06'!$B$5:$E$88,4,0),0))</f>
        <v>0</v>
      </c>
      <c r="M20" s="73">
        <f>IF(B20=0,"",IFERROR(VLOOKUP(B20,'S-ASIG-07'!$B$5:$E$88,4,0),0))</f>
        <v>0</v>
      </c>
      <c r="N20" s="68" t="s">
        <v>100</v>
      </c>
      <c r="O20" s="71">
        <f>IF(B20=0,"",IFERROR(VLOOKUP(B20,'T-ASIG-01'!$B$5:$D$88,3,0),0))</f>
        <v>4.5999999999999996</v>
      </c>
      <c r="P20" s="72">
        <f>IF(B20=0,"",IFERROR(VLOOKUP(B20,'T-ASIG-02'!$B$5:$D$88,3,0),0))</f>
        <v>0</v>
      </c>
      <c r="Q20" s="72">
        <f>IF(B20=0,"",IFERROR(VLOOKUP(B20,'T-ASIG-03'!$B$5:$D$88,3,0),0))</f>
        <v>4.5999999999999996</v>
      </c>
      <c r="R20" s="72">
        <f>IF(B20=0,"",IFERROR(VLOOKUP(B20,'T-ASIG-04'!$B$5:$D$88,3,0),0))</f>
        <v>0</v>
      </c>
      <c r="S20" s="72">
        <f>IF(B20=0,"",IFERROR(VLOOKUP(B20,'T-ASIG-05'!$B$5:$D$88,3,0),0))</f>
        <v>4.7050000000000001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101</v>
      </c>
    </row>
    <row r="21" spans="1:22" ht="15" customHeight="1">
      <c r="A21" s="12">
        <v>17</v>
      </c>
      <c r="B21" s="70" t="str">
        <f>LIDER!C25</f>
        <v>DANNA JUDITH SOTO CAMARGO</v>
      </c>
      <c r="C21" s="64" t="str">
        <f>IF(B21=0,"",IFERROR(VLOOKUP(B21,'S-ASIG-01'!$B$5:$E$88,2,0),0))</f>
        <v>G05</v>
      </c>
      <c r="D21" s="65">
        <f t="shared" si="2"/>
        <v>3.53</v>
      </c>
      <c r="E21" s="66">
        <f t="shared" si="3"/>
        <v>4.6349999999999998</v>
      </c>
      <c r="F21" s="47"/>
      <c r="G21" s="71">
        <f>IF(B21=0,"",IFERROR(VLOOKUP(B21,'S-ASIG-01'!$B$5:$E$88,4,0),0))</f>
        <v>3.8</v>
      </c>
      <c r="H21" s="72">
        <f>IF(B21=0,"",IFERROR(VLOOKUP(B21,'S-ASIG-02'!$B$5:$E$88,4,0),0))</f>
        <v>3.26</v>
      </c>
      <c r="I21" s="72">
        <f>IF(B21=0,"",IFERROR(VLOOKUP(B21,'S-ASIG-03'!$B$5:$E$88,4,0),0))</f>
        <v>0</v>
      </c>
      <c r="J21" s="72">
        <f>IF(B21=0,"",IFERROR(VLOOKUP(B21,'S-ASIG-04'!$B$5:$E$88,4,0),0))</f>
        <v>0</v>
      </c>
      <c r="K21" s="72">
        <f>IF(B21=0,"",IFERROR(VLOOKUP(B21,'S-ASIG-05'!$B$5:$E$88,4,0),0))</f>
        <v>0</v>
      </c>
      <c r="L21" s="72">
        <f>IF(B21=0,"",IFERROR(VLOOKUP(B21,'S-ASIG-06'!$B$5:$E$88,4,0),0))</f>
        <v>0</v>
      </c>
      <c r="M21" s="73">
        <f>IF(B21=0,"",IFERROR(VLOOKUP(B21,'S-ASIG-07'!$B$5:$E$88,4,0),0))</f>
        <v>0</v>
      </c>
      <c r="N21" s="68" t="s">
        <v>100</v>
      </c>
      <c r="O21" s="71">
        <f>IF(B21=0,"",IFERROR(VLOOKUP(B21,'T-ASIG-01'!$B$5:$D$88,3,0),0))</f>
        <v>4.5999999999999996</v>
      </c>
      <c r="P21" s="72">
        <f>IF(B21=0,"",IFERROR(VLOOKUP(B21,'T-ASIG-02'!$B$5:$D$88,3,0),0))</f>
        <v>0</v>
      </c>
      <c r="Q21" s="72">
        <f>IF(B21=0,"",IFERROR(VLOOKUP(B21,'T-ASIG-03'!$B$5:$D$88,3,0),0))</f>
        <v>4.5999999999999996</v>
      </c>
      <c r="R21" s="72">
        <f>IF(B21=0,"",IFERROR(VLOOKUP(B21,'T-ASIG-04'!$B$5:$D$88,3,0),0))</f>
        <v>0</v>
      </c>
      <c r="S21" s="72">
        <f>IF(B21=0,"",IFERROR(VLOOKUP(B21,'T-ASIG-05'!$B$5:$D$88,3,0),0))</f>
        <v>4.7050000000000001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101</v>
      </c>
    </row>
    <row r="22" spans="1:22" ht="15" customHeight="1">
      <c r="A22" s="12">
        <v>18</v>
      </c>
      <c r="B22" s="70">
        <f>LIDER!C26</f>
        <v>0</v>
      </c>
      <c r="C22" s="64" t="str">
        <f>IF(B22=0,"",IFERROR(VLOOKUP(B22,'S-ASIG-01'!$B$5:$E$88,2,0),0))</f>
        <v/>
      </c>
      <c r="D22" s="65" t="str">
        <f t="shared" si="2"/>
        <v/>
      </c>
      <c r="E22" s="66" t="str">
        <f t="shared" si="3"/>
        <v/>
      </c>
      <c r="F22" s="47"/>
      <c r="G22" s="71" t="str">
        <f>IF(B22=0,"",IFERROR(VLOOKUP(B22,'S-ASIG-01'!$B$5:$E$88,4,0),0))</f>
        <v/>
      </c>
      <c r="H22" s="72" t="str">
        <f>IF(B22=0,"",IFERROR(VLOOKUP(B22,'S-ASIG-02'!$B$5:$E$88,4,0),0))</f>
        <v/>
      </c>
      <c r="I22" s="72" t="str">
        <f>IF(B22=0,"",IFERROR(VLOOKUP(B22,'S-ASIG-03'!$B$5:$E$88,4,0),0))</f>
        <v/>
      </c>
      <c r="J22" s="72" t="str">
        <f>IF(B22=0,"",IFERROR(VLOOKUP(B22,'S-ASIG-04'!$B$5:$E$88,4,0),0))</f>
        <v/>
      </c>
      <c r="K22" s="72" t="str">
        <f>IF(B22=0,"",IFERROR(VLOOKUP(B22,'S-ASIG-05'!$B$5:$E$88,4,0),0))</f>
        <v/>
      </c>
      <c r="L22" s="72" t="str">
        <f>IF(B22=0,"",IFERROR(VLOOKUP(B22,'S-ASIG-06'!$B$5:$E$88,4,0),0))</f>
        <v/>
      </c>
      <c r="M22" s="73" t="str">
        <f>IF(B22=0,"",IFERROR(VLOOKUP(B22,'S-ASIG-07'!$B$5:$E$88,4,0),0))</f>
        <v/>
      </c>
      <c r="N22" s="68" t="s">
        <v>100</v>
      </c>
      <c r="O22" s="71" t="str">
        <f>IF(B22=0,"",IFERROR(VLOOKUP(B22,'T-ASIG-01'!$B$5:$D$88,3,0),0))</f>
        <v/>
      </c>
      <c r="P22" s="72" t="str">
        <f>IF(B22=0,"",IFERROR(VLOOKUP(B22,'T-ASIG-02'!$B$5:$D$88,3,0),0))</f>
        <v/>
      </c>
      <c r="Q22" s="72" t="str">
        <f>IF(B22=0,"",IFERROR(VLOOKUP(B22,'T-ASIG-03'!$B$5:$D$88,3,0),0))</f>
        <v/>
      </c>
      <c r="R22" s="72" t="str">
        <f>IF(B22=0,"",IFERROR(VLOOKUP(B22,'T-ASIG-04'!$B$5:$D$88,3,0),0))</f>
        <v/>
      </c>
      <c r="S22" s="72" t="str">
        <f>IF(B22=0,"",IFERROR(VLOOKUP(B22,'T-ASIG-05'!$B$5:$D$88,3,0),0))</f>
        <v/>
      </c>
      <c r="T22" s="72" t="str">
        <f>IF(B22=0,"",IFERROR(VLOOKUP(B22,'T-ASIG-06'!$B$5:$D$88,3,0),0))</f>
        <v/>
      </c>
      <c r="U22" s="73" t="str">
        <f>IF(B22=0,"",IFERROR(VLOOKUP(B22,'T-ASIG-07'!$B$5:$D$88,3,0),0))</f>
        <v/>
      </c>
      <c r="V22" s="69" t="s">
        <v>101</v>
      </c>
    </row>
    <row r="23" spans="1:22" ht="15" customHeight="1">
      <c r="A23" s="12">
        <v>19</v>
      </c>
      <c r="B23" s="70">
        <f>LIDER!C27</f>
        <v>0</v>
      </c>
      <c r="C23" s="64" t="str">
        <f>IF(B23=0,"",IFERROR(VLOOKUP(B23,'S-ASIG-01'!$B$5:$E$88,2,0),0))</f>
        <v/>
      </c>
      <c r="D23" s="65" t="str">
        <f t="shared" si="2"/>
        <v/>
      </c>
      <c r="E23" s="66" t="str">
        <f t="shared" si="3"/>
        <v/>
      </c>
      <c r="F23" s="47"/>
      <c r="G23" s="71" t="str">
        <f>IF(B23=0,"",IFERROR(VLOOKUP(B23,'S-ASIG-01'!$B$5:$E$88,4,0),0))</f>
        <v/>
      </c>
      <c r="H23" s="72" t="str">
        <f>IF(B23=0,"",IFERROR(VLOOKUP(B23,'S-ASIG-02'!$B$5:$E$88,4,0),0))</f>
        <v/>
      </c>
      <c r="I23" s="72" t="str">
        <f>IF(B23=0,"",IFERROR(VLOOKUP(B23,'S-ASIG-03'!$B$5:$E$88,4,0),0))</f>
        <v/>
      </c>
      <c r="J23" s="72" t="str">
        <f>IF(B23=0,"",IFERROR(VLOOKUP(B23,'S-ASIG-04'!$B$5:$E$88,4,0),0))</f>
        <v/>
      </c>
      <c r="K23" s="72" t="str">
        <f>IF(B23=0,"",IFERROR(VLOOKUP(B23,'S-ASIG-05'!$B$5:$E$88,4,0),0))</f>
        <v/>
      </c>
      <c r="L23" s="72" t="str">
        <f>IF(B23=0,"",IFERROR(VLOOKUP(B23,'S-ASIG-06'!$B$5:$E$88,4,0),0))</f>
        <v/>
      </c>
      <c r="M23" s="73" t="str">
        <f>IF(B23=0,"",IFERROR(VLOOKUP(B23,'S-ASIG-07'!$B$5:$E$88,4,0),0))</f>
        <v/>
      </c>
      <c r="N23" s="68" t="s">
        <v>100</v>
      </c>
      <c r="O23" s="71" t="str">
        <f>IF(B23=0,"",IFERROR(VLOOKUP(B23,'T-ASIG-01'!$B$5:$D$88,3,0),0))</f>
        <v/>
      </c>
      <c r="P23" s="72" t="str">
        <f>IF(B23=0,"",IFERROR(VLOOKUP(B23,'T-ASIG-02'!$B$5:$D$88,3,0),0))</f>
        <v/>
      </c>
      <c r="Q23" s="72" t="str">
        <f>IF(B23=0,"",IFERROR(VLOOKUP(B23,'T-ASIG-03'!$B$5:$D$88,3,0),0))</f>
        <v/>
      </c>
      <c r="R23" s="72" t="str">
        <f>IF(B23=0,"",IFERROR(VLOOKUP(B23,'T-ASIG-04'!$B$5:$D$88,3,0),0))</f>
        <v/>
      </c>
      <c r="S23" s="72" t="str">
        <f>IF(B23=0,"",IFERROR(VLOOKUP(B23,'T-ASIG-05'!$B$5:$D$88,3,0),0))</f>
        <v/>
      </c>
      <c r="T23" s="72" t="str">
        <f>IF(B23=0,"",IFERROR(VLOOKUP(B23,'T-ASIG-06'!$B$5:$D$88,3,0),0))</f>
        <v/>
      </c>
      <c r="U23" s="73" t="str">
        <f>IF(B23=0,"",IFERROR(VLOOKUP(B23,'T-ASIG-07'!$B$5:$D$88,3,0),0))</f>
        <v/>
      </c>
      <c r="V23" s="69" t="s">
        <v>101</v>
      </c>
    </row>
    <row r="24" spans="1:22" ht="15" customHeight="1">
      <c r="A24" s="12">
        <v>20</v>
      </c>
      <c r="B24" s="70">
        <f>LIDER!C28</f>
        <v>0</v>
      </c>
      <c r="C24" s="64" t="str">
        <f>IF(B24=0,"",IFERROR(VLOOKUP(B24,'S-ASIG-01'!$B$5:$E$88,2,0),0))</f>
        <v/>
      </c>
      <c r="D24" s="65" t="str">
        <f t="shared" si="2"/>
        <v/>
      </c>
      <c r="E24" s="66" t="str">
        <f t="shared" si="3"/>
        <v/>
      </c>
      <c r="F24" s="47"/>
      <c r="G24" s="71" t="str">
        <f>IF(B24=0,"",IFERROR(VLOOKUP(B24,'S-ASIG-01'!$B$5:$E$88,4,0),0))</f>
        <v/>
      </c>
      <c r="H24" s="72" t="str">
        <f>IF(B24=0,"",IFERROR(VLOOKUP(B24,'S-ASIG-02'!$B$5:$E$88,4,0),0))</f>
        <v/>
      </c>
      <c r="I24" s="72" t="str">
        <f>IF(B24=0,"",IFERROR(VLOOKUP(B24,'S-ASIG-03'!$B$5:$E$88,4,0),0))</f>
        <v/>
      </c>
      <c r="J24" s="72" t="str">
        <f>IF(B24=0,"",IFERROR(VLOOKUP(B24,'S-ASIG-04'!$B$5:$E$88,4,0),0))</f>
        <v/>
      </c>
      <c r="K24" s="72" t="str">
        <f>IF(B24=0,"",IFERROR(VLOOKUP(B24,'S-ASIG-05'!$B$5:$E$88,4,0),0))</f>
        <v/>
      </c>
      <c r="L24" s="72" t="str">
        <f>IF(B24=0,"",IFERROR(VLOOKUP(B24,'S-ASIG-06'!$B$5:$E$88,4,0),0))</f>
        <v/>
      </c>
      <c r="M24" s="73" t="str">
        <f>IF(B24=0,"",IFERROR(VLOOKUP(B24,'S-ASIG-07'!$B$5:$E$88,4,0),0))</f>
        <v/>
      </c>
      <c r="N24" s="68" t="s">
        <v>100</v>
      </c>
      <c r="O24" s="71" t="str">
        <f>IF(B24=0,"",IFERROR(VLOOKUP(B24,'T-ASIG-01'!$B$5:$D$88,3,0),0))</f>
        <v/>
      </c>
      <c r="P24" s="72" t="str">
        <f>IF(B24=0,"",IFERROR(VLOOKUP(B24,'T-ASIG-02'!$B$5:$D$88,3,0),0))</f>
        <v/>
      </c>
      <c r="Q24" s="72" t="str">
        <f>IF(B24=0,"",IFERROR(VLOOKUP(B24,'T-ASIG-03'!$B$5:$D$88,3,0),0))</f>
        <v/>
      </c>
      <c r="R24" s="72" t="str">
        <f>IF(B24=0,"",IFERROR(VLOOKUP(B24,'T-ASIG-04'!$B$5:$D$88,3,0),0))</f>
        <v/>
      </c>
      <c r="S24" s="72" t="str">
        <f>IF(B24=0,"",IFERROR(VLOOKUP(B24,'T-ASIG-05'!$B$5:$D$88,3,0),0))</f>
        <v/>
      </c>
      <c r="T24" s="72" t="str">
        <f>IF(B24=0,"",IFERROR(VLOOKUP(B24,'T-ASIG-06'!$B$5:$D$88,3,0),0))</f>
        <v/>
      </c>
      <c r="U24" s="73" t="str">
        <f>IF(B24=0,"",IFERROR(VLOOKUP(B24,'T-ASIG-07'!$B$5:$D$88,3,0),0))</f>
        <v/>
      </c>
      <c r="V24" s="69" t="s">
        <v>101</v>
      </c>
    </row>
    <row r="25" spans="1:22" ht="15" customHeight="1">
      <c r="A25" s="12">
        <v>21</v>
      </c>
      <c r="B25" s="70">
        <f>LIDER!C29</f>
        <v>0</v>
      </c>
      <c r="C25" s="64" t="str">
        <f>IF(B25=0,"",IFERROR(VLOOKUP(B25,'S-ASIG-01'!$B$5:$E$88,2,0),0))</f>
        <v/>
      </c>
      <c r="D25" s="65" t="str">
        <f t="shared" si="2"/>
        <v/>
      </c>
      <c r="E25" s="66" t="str">
        <f t="shared" si="3"/>
        <v/>
      </c>
      <c r="F25" s="47"/>
      <c r="G25" s="71" t="str">
        <f>IF(B25=0,"",IFERROR(VLOOKUP(B25,'S-ASIG-01'!$B$5:$E$88,4,0),0))</f>
        <v/>
      </c>
      <c r="H25" s="72" t="str">
        <f>IF(B25=0,"",IFERROR(VLOOKUP(B25,'S-ASIG-02'!$B$5:$E$88,4,0),0))</f>
        <v/>
      </c>
      <c r="I25" s="72" t="str">
        <f>IF(B25=0,"",IFERROR(VLOOKUP(B25,'S-ASIG-03'!$B$5:$E$88,4,0),0))</f>
        <v/>
      </c>
      <c r="J25" s="72" t="str">
        <f>IF(B25=0,"",IFERROR(VLOOKUP(B25,'S-ASIG-04'!$B$5:$E$88,4,0),0))</f>
        <v/>
      </c>
      <c r="K25" s="72" t="str">
        <f>IF(B25=0,"",IFERROR(VLOOKUP(B25,'S-ASIG-05'!$B$5:$E$88,4,0),0))</f>
        <v/>
      </c>
      <c r="L25" s="72" t="str">
        <f>IF(B25=0,"",IFERROR(VLOOKUP(B25,'S-ASIG-06'!$B$5:$E$88,4,0),0))</f>
        <v/>
      </c>
      <c r="M25" s="73" t="str">
        <f>IF(B25=0,"",IFERROR(VLOOKUP(B25,'S-ASIG-07'!$B$5:$E$88,4,0),0))</f>
        <v/>
      </c>
      <c r="N25" s="68" t="s">
        <v>100</v>
      </c>
      <c r="O25" s="71" t="str">
        <f>IF(B25=0,"",IFERROR(VLOOKUP(B25,'T-ASIG-01'!$B$5:$D$88,3,0),0))</f>
        <v/>
      </c>
      <c r="P25" s="72" t="str">
        <f>IF(B25=0,"",IFERROR(VLOOKUP(B25,'T-ASIG-02'!$B$5:$D$88,3,0),0))</f>
        <v/>
      </c>
      <c r="Q25" s="72" t="str">
        <f>IF(B25=0,"",IFERROR(VLOOKUP(B25,'T-ASIG-03'!$B$5:$D$88,3,0),0))</f>
        <v/>
      </c>
      <c r="R25" s="72" t="str">
        <f>IF(B25=0,"",IFERROR(VLOOKUP(B25,'T-ASIG-04'!$B$5:$D$88,3,0),0))</f>
        <v/>
      </c>
      <c r="S25" s="72" t="str">
        <f>IF(B25=0,"",IFERROR(VLOOKUP(B25,'T-ASIG-05'!$B$5:$D$88,3,0),0))</f>
        <v/>
      </c>
      <c r="T25" s="72" t="str">
        <f>IF(B25=0,"",IFERROR(VLOOKUP(B25,'T-ASIG-06'!$B$5:$D$88,3,0),0))</f>
        <v/>
      </c>
      <c r="U25" s="73" t="str">
        <f>IF(B25=0,"",IFERROR(VLOOKUP(B25,'T-ASIG-07'!$B$5:$D$88,3,0),0))</f>
        <v/>
      </c>
      <c r="V25" s="69" t="s">
        <v>101</v>
      </c>
    </row>
    <row r="26" spans="1:22" ht="15" customHeight="1">
      <c r="A26" s="12">
        <v>22</v>
      </c>
      <c r="B26" s="70">
        <f>LIDER!C30</f>
        <v>0</v>
      </c>
      <c r="C26" s="64" t="str">
        <f>IF(B26=0,"",IFERROR(VLOOKUP(B26,'S-ASIG-01'!$B$5:$E$88,2,0),0))</f>
        <v/>
      </c>
      <c r="D26" s="65" t="str">
        <f t="shared" si="2"/>
        <v/>
      </c>
      <c r="E26" s="66" t="str">
        <f t="shared" si="3"/>
        <v/>
      </c>
      <c r="F26" s="47"/>
      <c r="G26" s="71" t="str">
        <f>IF(B26=0,"",IFERROR(VLOOKUP(B26,'S-ASIG-01'!$B$5:$E$88,4,0),0))</f>
        <v/>
      </c>
      <c r="H26" s="72" t="str">
        <f>IF(B26=0,"",IFERROR(VLOOKUP(B26,'S-ASIG-02'!$B$5:$E$88,4,0),0))</f>
        <v/>
      </c>
      <c r="I26" s="72" t="str">
        <f>IF(B26=0,"",IFERROR(VLOOKUP(B26,'S-ASIG-03'!$B$5:$E$88,4,0),0))</f>
        <v/>
      </c>
      <c r="J26" s="72" t="str">
        <f>IF(B26=0,"",IFERROR(VLOOKUP(B26,'S-ASIG-04'!$B$5:$E$88,4,0),0))</f>
        <v/>
      </c>
      <c r="K26" s="72" t="str">
        <f>IF(B26=0,"",IFERROR(VLOOKUP(B26,'S-ASIG-05'!$B$5:$E$88,4,0),0))</f>
        <v/>
      </c>
      <c r="L26" s="72" t="str">
        <f>IF(B26=0,"",IFERROR(VLOOKUP(B26,'S-ASIG-06'!$B$5:$E$88,4,0),0))</f>
        <v/>
      </c>
      <c r="M26" s="73" t="str">
        <f>IF(B26=0,"",IFERROR(VLOOKUP(B26,'S-ASIG-07'!$B$5:$E$88,4,0),0))</f>
        <v/>
      </c>
      <c r="N26" s="68" t="s">
        <v>100</v>
      </c>
      <c r="O26" s="71" t="str">
        <f>IF(B26=0,"",IFERROR(VLOOKUP(B26,'T-ASIG-01'!$B$5:$D$88,3,0),0))</f>
        <v/>
      </c>
      <c r="P26" s="72" t="str">
        <f>IF(B26=0,"",IFERROR(VLOOKUP(B26,'T-ASIG-02'!$B$5:$D$88,3,0),0))</f>
        <v/>
      </c>
      <c r="Q26" s="72" t="str">
        <f>IF(B26=0,"",IFERROR(VLOOKUP(B26,'T-ASIG-03'!$B$5:$D$88,3,0),0))</f>
        <v/>
      </c>
      <c r="R26" s="72" t="str">
        <f>IF(B26=0,"",IFERROR(VLOOKUP(B26,'T-ASIG-04'!$B$5:$D$88,3,0),0))</f>
        <v/>
      </c>
      <c r="S26" s="72" t="str">
        <f>IF(B26=0,"",IFERROR(VLOOKUP(B26,'T-ASIG-05'!$B$5:$D$88,3,0),0))</f>
        <v/>
      </c>
      <c r="T26" s="72" t="str">
        <f>IF(B26=0,"",IFERROR(VLOOKUP(B26,'T-ASIG-06'!$B$5:$D$88,3,0),0))</f>
        <v/>
      </c>
      <c r="U26" s="73" t="str">
        <f>IF(B26=0,"",IFERROR(VLOOKUP(B26,'T-ASIG-07'!$B$5:$D$88,3,0),0))</f>
        <v/>
      </c>
      <c r="V26" s="69" t="s">
        <v>101</v>
      </c>
    </row>
    <row r="27" spans="1:22" ht="15" customHeight="1">
      <c r="A27" s="12">
        <v>23</v>
      </c>
      <c r="B27" s="70">
        <f>LIDER!C31</f>
        <v>0</v>
      </c>
      <c r="C27" s="64" t="str">
        <f>IF(B27=0,"",IFERROR(VLOOKUP(B27,'S-ASIG-01'!$B$5:$E$88,2,0),0))</f>
        <v/>
      </c>
      <c r="D27" s="65" t="str">
        <f t="shared" si="2"/>
        <v/>
      </c>
      <c r="E27" s="66" t="str">
        <f t="shared" si="3"/>
        <v/>
      </c>
      <c r="F27" s="47"/>
      <c r="G27" s="71" t="str">
        <f>IF(B27=0,"",IFERROR(VLOOKUP(B27,'S-ASIG-01'!$B$5:$E$88,4,0),0))</f>
        <v/>
      </c>
      <c r="H27" s="72" t="str">
        <f>IF(B27=0,"",IFERROR(VLOOKUP(B27,'S-ASIG-02'!$B$5:$E$88,4,0),0))</f>
        <v/>
      </c>
      <c r="I27" s="72" t="str">
        <f>IF(B27=0,"",IFERROR(VLOOKUP(B27,'S-ASIG-03'!$B$5:$E$88,4,0),0))</f>
        <v/>
      </c>
      <c r="J27" s="72" t="str">
        <f>IF(B27=0,"",IFERROR(VLOOKUP(B27,'S-ASIG-04'!$B$5:$E$88,4,0),0))</f>
        <v/>
      </c>
      <c r="K27" s="72" t="str">
        <f>IF(B27=0,"",IFERROR(VLOOKUP(B27,'S-ASIG-05'!$B$5:$E$88,4,0),0))</f>
        <v/>
      </c>
      <c r="L27" s="72" t="str">
        <f>IF(B27=0,"",IFERROR(VLOOKUP(B27,'S-ASIG-06'!$B$5:$E$88,4,0),0))</f>
        <v/>
      </c>
      <c r="M27" s="73" t="str">
        <f>IF(B27=0,"",IFERROR(VLOOKUP(B27,'S-ASIG-07'!$B$5:$E$88,4,0),0))</f>
        <v/>
      </c>
      <c r="N27" s="68" t="s">
        <v>100</v>
      </c>
      <c r="O27" s="71" t="str">
        <f>IF(B27=0,"",IFERROR(VLOOKUP(B27,'T-ASIG-01'!$B$5:$D$88,3,0),0))</f>
        <v/>
      </c>
      <c r="P27" s="72" t="str">
        <f>IF(B27=0,"",IFERROR(VLOOKUP(B27,'T-ASIG-02'!$B$5:$D$88,3,0),0))</f>
        <v/>
      </c>
      <c r="Q27" s="72" t="str">
        <f>IF(B27=0,"",IFERROR(VLOOKUP(B27,'T-ASIG-03'!$B$5:$D$88,3,0),0))</f>
        <v/>
      </c>
      <c r="R27" s="72" t="str">
        <f>IF(B27=0,"",IFERROR(VLOOKUP(B27,'T-ASIG-04'!$B$5:$D$88,3,0),0))</f>
        <v/>
      </c>
      <c r="S27" s="72" t="str">
        <f>IF(B27=0,"",IFERROR(VLOOKUP(B27,'T-ASIG-05'!$B$5:$D$88,3,0),0))</f>
        <v/>
      </c>
      <c r="T27" s="72" t="str">
        <f>IF(B27=0,"",IFERROR(VLOOKUP(B27,'T-ASIG-06'!$B$5:$D$88,3,0),0))</f>
        <v/>
      </c>
      <c r="U27" s="73" t="str">
        <f>IF(B27=0,"",IFERROR(VLOOKUP(B27,'T-ASIG-07'!$B$5:$D$88,3,0),0))</f>
        <v/>
      </c>
      <c r="V27" s="69" t="s">
        <v>101</v>
      </c>
    </row>
    <row r="28" spans="1:22" ht="15" customHeight="1">
      <c r="A28" s="12">
        <v>24</v>
      </c>
      <c r="B28" s="70">
        <f>LIDER!C32</f>
        <v>0</v>
      </c>
      <c r="C28" s="64" t="str">
        <f>IF(B28=0,"",IFERROR(VLOOKUP(B28,'S-ASIG-01'!$B$5:$E$88,2,0),0))</f>
        <v/>
      </c>
      <c r="D28" s="65" t="str">
        <f t="shared" si="2"/>
        <v/>
      </c>
      <c r="E28" s="66" t="str">
        <f t="shared" si="3"/>
        <v/>
      </c>
      <c r="F28" s="47"/>
      <c r="G28" s="71" t="str">
        <f>IF(B28=0,"",IFERROR(VLOOKUP(B28,'S-ASIG-01'!$B$5:$E$88,4,0),0))</f>
        <v/>
      </c>
      <c r="H28" s="72" t="str">
        <f>IF(B28=0,"",IFERROR(VLOOKUP(B28,'S-ASIG-02'!$B$5:$E$88,4,0),0))</f>
        <v/>
      </c>
      <c r="I28" s="72" t="str">
        <f>IF(B28=0,"",IFERROR(VLOOKUP(B28,'S-ASIG-03'!$B$5:$E$88,4,0),0))</f>
        <v/>
      </c>
      <c r="J28" s="72" t="str">
        <f>IF(B28=0,"",IFERROR(VLOOKUP(B28,'S-ASIG-04'!$B$5:$E$88,4,0),0))</f>
        <v/>
      </c>
      <c r="K28" s="72" t="str">
        <f>IF(B28=0,"",IFERROR(VLOOKUP(B28,'S-ASIG-05'!$B$5:$E$88,4,0),0))</f>
        <v/>
      </c>
      <c r="L28" s="72" t="str">
        <f>IF(B28=0,"",IFERROR(VLOOKUP(B28,'S-ASIG-06'!$B$5:$E$88,4,0),0))</f>
        <v/>
      </c>
      <c r="M28" s="73" t="str">
        <f>IF(B28=0,"",IFERROR(VLOOKUP(B28,'S-ASIG-07'!$B$5:$E$88,4,0),0))</f>
        <v/>
      </c>
      <c r="N28" s="68" t="s">
        <v>100</v>
      </c>
      <c r="O28" s="71" t="str">
        <f>IF(B28=0,"",IFERROR(VLOOKUP(B28,'T-ASIG-01'!$B$5:$D$88,3,0),0))</f>
        <v/>
      </c>
      <c r="P28" s="72" t="str">
        <f>IF(B28=0,"",IFERROR(VLOOKUP(B28,'T-ASIG-02'!$B$5:$D$88,3,0),0))</f>
        <v/>
      </c>
      <c r="Q28" s="72" t="str">
        <f>IF(B28=0,"",IFERROR(VLOOKUP(B28,'T-ASIG-03'!$B$5:$D$88,3,0),0))</f>
        <v/>
      </c>
      <c r="R28" s="72" t="str">
        <f>IF(B28=0,"",IFERROR(VLOOKUP(B28,'T-ASIG-04'!$B$5:$D$88,3,0),0))</f>
        <v/>
      </c>
      <c r="S28" s="72" t="str">
        <f>IF(B28=0,"",IFERROR(VLOOKUP(B28,'T-ASIG-05'!$B$5:$D$88,3,0),0))</f>
        <v/>
      </c>
      <c r="T28" s="72" t="str">
        <f>IF(B28=0,"",IFERROR(VLOOKUP(B28,'T-ASIG-06'!$B$5:$D$88,3,0),0))</f>
        <v/>
      </c>
      <c r="U28" s="73" t="str">
        <f>IF(B28=0,"",IFERROR(VLOOKUP(B28,'T-ASIG-07'!$B$5:$D$88,3,0),0))</f>
        <v/>
      </c>
      <c r="V28" s="69" t="s">
        <v>101</v>
      </c>
    </row>
    <row r="29" spans="1:22" ht="15" customHeight="1">
      <c r="A29" s="12">
        <v>25</v>
      </c>
      <c r="B29" s="70">
        <f>LIDER!C33</f>
        <v>0</v>
      </c>
      <c r="C29" s="64" t="str">
        <f>IF(B29=0,"",IFERROR(VLOOKUP(B29,'S-ASIG-01'!$B$5:$E$88,2,0),0))</f>
        <v/>
      </c>
      <c r="D29" s="65" t="str">
        <f t="shared" si="2"/>
        <v/>
      </c>
      <c r="E29" s="66" t="str">
        <f t="shared" si="3"/>
        <v/>
      </c>
      <c r="F29" s="47"/>
      <c r="G29" s="71" t="str">
        <f>IF(B29=0,"",IFERROR(VLOOKUP(B29,'S-ASIG-01'!$B$5:$E$88,4,0),0))</f>
        <v/>
      </c>
      <c r="H29" s="72" t="str">
        <f>IF(B29=0,"",IFERROR(VLOOKUP(B29,'S-ASIG-02'!$B$5:$E$88,4,0),0))</f>
        <v/>
      </c>
      <c r="I29" s="72" t="str">
        <f>IF(B29=0,"",IFERROR(VLOOKUP(B29,'S-ASIG-03'!$B$5:$E$88,4,0),0))</f>
        <v/>
      </c>
      <c r="J29" s="72" t="str">
        <f>IF(B29=0,"",IFERROR(VLOOKUP(B29,'S-ASIG-04'!$B$5:$E$88,4,0),0))</f>
        <v/>
      </c>
      <c r="K29" s="72" t="str">
        <f>IF(B29=0,"",IFERROR(VLOOKUP(B29,'S-ASIG-05'!$B$5:$E$88,4,0),0))</f>
        <v/>
      </c>
      <c r="L29" s="72" t="str">
        <f>IF(B29=0,"",IFERROR(VLOOKUP(B29,'S-ASIG-06'!$B$5:$E$88,4,0),0))</f>
        <v/>
      </c>
      <c r="M29" s="73" t="str">
        <f>IF(B29=0,"",IFERROR(VLOOKUP(B29,'S-ASIG-07'!$B$5:$E$88,4,0),0))</f>
        <v/>
      </c>
      <c r="N29" s="68" t="s">
        <v>100</v>
      </c>
      <c r="O29" s="71" t="str">
        <f>IF(B29=0,"",IFERROR(VLOOKUP(B29,'T-ASIG-01'!$B$5:$D$88,3,0),0))</f>
        <v/>
      </c>
      <c r="P29" s="72" t="str">
        <f>IF(B29=0,"",IFERROR(VLOOKUP(B29,'T-ASIG-02'!$B$5:$D$88,3,0),0))</f>
        <v/>
      </c>
      <c r="Q29" s="72" t="str">
        <f>IF(B29=0,"",IFERROR(VLOOKUP(B29,'T-ASIG-03'!$B$5:$D$88,3,0),0))</f>
        <v/>
      </c>
      <c r="R29" s="72" t="str">
        <f>IF(B29=0,"",IFERROR(VLOOKUP(B29,'T-ASIG-04'!$B$5:$D$88,3,0),0))</f>
        <v/>
      </c>
      <c r="S29" s="72" t="str">
        <f>IF(B29=0,"",IFERROR(VLOOKUP(B29,'T-ASIG-05'!$B$5:$D$88,3,0),0))</f>
        <v/>
      </c>
      <c r="T29" s="72" t="str">
        <f>IF(B29=0,"",IFERROR(VLOOKUP(B29,'T-ASIG-06'!$B$5:$D$88,3,0),0))</f>
        <v/>
      </c>
      <c r="U29" s="73" t="str">
        <f>IF(B29=0,"",IFERROR(VLOOKUP(B29,'T-ASIG-07'!$B$5:$D$88,3,0),0))</f>
        <v/>
      </c>
      <c r="V29" s="69" t="s">
        <v>101</v>
      </c>
    </row>
    <row r="30" spans="1:22" ht="15" customHeight="1">
      <c r="A30" s="12">
        <v>26</v>
      </c>
      <c r="B30" s="70">
        <f>LIDER!C34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100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101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100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101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100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101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100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101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100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101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100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101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100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101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100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101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100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101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100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101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100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101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100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101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100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101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100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101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100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101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100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101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100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101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100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101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100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101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100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101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100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101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100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101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100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101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100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101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100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101</v>
      </c>
    </row>
  </sheetData>
  <sheetProtection algorithmName="SHA-512" hashValue="qj1av8hTB3TUup9IbpwJUbO02nvDV0ilFBCK+BVb3EPTniXurEeIpZ4Tkc3KKsf7fWv1s9cgFMxvc3o6Mm2RGg==" saltValue="jaK8ci1GqErqDhjqHaa8Fw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JEYSSON STEEVEN ANILLO</cp:lastModifiedBy>
  <cp:revision/>
  <dcterms:created xsi:type="dcterms:W3CDTF">2025-09-29T20:45:44Z</dcterms:created>
  <dcterms:modified xsi:type="dcterms:W3CDTF">2026-05-28T05:14:36Z</dcterms:modified>
  <cp:category/>
  <cp:contentStatus/>
</cp:coreProperties>
</file>