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4\PRIMERA ENTREGA\"/>
    </mc:Choice>
  </mc:AlternateContent>
  <xr:revisionPtr revIDLastSave="326" documentId="13_ncr:1_{EF86E44F-A84B-4F2A-B48E-0E13F881BF6A}" xr6:coauthVersionLast="47" xr6:coauthVersionMax="47" xr10:uidLastSave="{EC026491-B2AF-410E-BEAA-E5CCACA30DF4}"/>
  <bookViews>
    <workbookView xWindow="-120" yWindow="-120" windowWidth="20730" windowHeight="11040" tabRatio="815" firstSheet="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D9" i="16"/>
  <c r="B9" i="16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D9" i="7"/>
  <c r="B9" i="7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D9" i="6"/>
  <c r="B9" i="6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D9" i="5"/>
  <c r="B9" i="5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D9" i="4"/>
  <c r="B9" i="4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E9" i="12"/>
  <c r="B9" i="12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E9" i="10"/>
  <c r="B9" i="10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6"/>
  <c r="D48" i="7"/>
  <c r="D42" i="3"/>
  <c r="D37" i="4"/>
  <c r="D36" i="6"/>
  <c r="D37" i="16"/>
  <c r="D21" i="4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1" i="8" l="1"/>
  <c r="D41" i="8"/>
  <c r="E40" i="8"/>
  <c r="D40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<sst xmlns="http://schemas.openxmlformats.org/spreadsheetml/2006/main" count="722" uniqueCount="135">
  <si>
    <t>TECNOLOGÍA EN GESTIÓN DE NEGOCIOS INTERN</t>
  </si>
  <si>
    <t>SEMESTRE:</t>
  </si>
  <si>
    <t>SEM-04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</si>
  <si>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</si>
  <si>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</si>
  <si>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</si>
  <si>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</si>
  <si>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</si>
  <si>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</si>
  <si>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</si>
  <si>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</si>
  <si>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ELECTIVA DE PROFUNDIZACION I</t>
  </si>
  <si>
    <t>ETICA</t>
  </si>
  <si>
    <t>IMPORTACIONES Y EXPORTACIONES</t>
  </si>
  <si>
    <t>ESTADÍSTICA</t>
  </si>
  <si>
    <t>FUNDAMENTOS DE MERCADEO</t>
  </si>
  <si>
    <t>FUNDAMENTOS DE FINANZAS</t>
  </si>
  <si>
    <t>SANDRA MILENA CASTAÑO GIRALDO</t>
  </si>
  <si>
    <t>LEIDY ENID QUINTERO SÁNCHEZ</t>
  </si>
  <si>
    <t>REYNALDO ARTURO ROJAS TRILLOS</t>
  </si>
  <si>
    <t>CECILIA PAILLIER GONZALEZ</t>
  </si>
  <si>
    <t>GABRIEL EDUARDO CARDONA TUÑON</t>
  </si>
  <si>
    <t>LEONARDO CARLOS DE ORO BARRIOS</t>
  </si>
  <si>
    <t xml:space="preserve">
1436
 </t>
  </si>
  <si>
    <t>LISTA DE ESTUDIANTES</t>
  </si>
  <si>
    <t>SEGUNDA ENTREGA - CRITERIO DE EVALUACIÓN DOCUMENTO - SEGUNDO CORTE</t>
  </si>
  <si>
    <t>PONDERACIÓN</t>
  </si>
  <si>
    <t>ADMINISTRACIÓN DE EMPRESAS C.I</t>
  </si>
  <si>
    <t>SIARA LUCIA CHAMS CARBALLO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</si>
  <si>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</si>
  <si>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</si>
  <si>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LAUREN CAROLINA MARTINEZ LICONA</t>
  </si>
  <si>
    <t>ANTEPROYECTO: Portada, planteamiento del problema, justificacion del trabajo o proyecto de aula, objetivos, marco teorico, diseño metodologico.</t>
  </si>
  <si>
    <t>CONTADURÍA PÚBLICA</t>
  </si>
  <si>
    <t>ASLLY MARGARITA RINCON MATTOS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</si>
  <si>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</si>
  <si>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</si>
  <si>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HELENA ISABEL ALVAREZ CORTINA</t>
  </si>
  <si>
    <t>BILIOGRAFIA: Las referencias bibliograficas adoptan las normas APA. El documento es producto de un rastreo bibliografico que muestra analisis y sistensis.</t>
  </si>
  <si>
    <t>YEIDER SANTIAGO BOHORQUEZ GONZALEZ</t>
  </si>
  <si>
    <t>ASESORIAS: Anexó la hoja de tutoria firmada ( 3 fimas minmimo).</t>
  </si>
  <si>
    <t>TECNOLOGíA EN GESTION CONTABLE</t>
  </si>
  <si>
    <t>MELANY ANDREA FLÓREZ ALMANZA</t>
  </si>
  <si>
    <t>TECNOLOGÍA EN GESTIÓN DE MARKETING</t>
  </si>
  <si>
    <t>ELIAN MANUEL PACHECO BELTRAN</t>
  </si>
  <si>
    <t>TECNOLOGÍA EN GESTIÓN DEL TALENTO HUMANO</t>
  </si>
  <si>
    <t>VALERIA PASTRANA ARRIETA</t>
  </si>
  <si>
    <t>TECNOLOGÍA EN GESTIÓN FINANCIERA</t>
  </si>
  <si>
    <t>JUAN PABLO QUIJANO GUEVARA</t>
  </si>
  <si>
    <t>TECNOLOGÍA EN GESTIÓN LOGISTICA Y PORTUARIA</t>
  </si>
  <si>
    <t>YURI MAR FUENMAYOR OSORIO</t>
  </si>
  <si>
    <t>ENTREGA FINAL - CRITERIO DE EVALUACIÓN SUSTENTACIÓN - TERCER CORTE</t>
  </si>
  <si>
    <t>TECNOLOGÍA EN GESTIÓN TURISTICA Y HOTELERA</t>
  </si>
  <si>
    <t>YULEIDIS PAOLA MORENO DIAZ</t>
  </si>
  <si>
    <t>Evaluación del Documento Final</t>
  </si>
  <si>
    <t>SHARONE JANNINE ORDOÑEZ ESCUDERO</t>
  </si>
  <si>
    <t>Sustentación de los Resultados: Se refleja un dominio del tema, la  información está delimitada y es clara. Hay una jerarquía y fluidez en las ideas que presenta.</t>
  </si>
  <si>
    <t>JUAN CARLOS BALDIRIS ESPITIA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</si>
  <si>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</si>
  <si>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MARIA CRISTINA CAÑATE MERCADO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</si>
  <si>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</si>
  <si>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KARINA MARRUGO MEZA</t>
  </si>
  <si>
    <t>Tiempo: El uso del tiempo fue apropiado, se ajusta al previsto.
Ofrece una conclusión donde condensa las ideas principales del objetivo general y los específicos.</t>
  </si>
  <si>
    <t>HILARYS CAROLINA PATERNINA DONADO</t>
  </si>
  <si>
    <t>Uso de Recursos Audiovisuales Tecnológicos: La sustentación se acompaña de recursos visuales pertinentes, atractivos y de gran calidad</t>
  </si>
  <si>
    <t>MATEO QUINTANA SERNA</t>
  </si>
  <si>
    <t>JORGE ALBERTO BATISTA TABORDA</t>
  </si>
  <si>
    <t>LAURA DANIELA MANOTAS ACEVEDO</t>
  </si>
  <si>
    <t>JESED ALEJANDRO OBANDO MARSIGLIA</t>
  </si>
  <si>
    <t>TITULOS DE LOS PROYECTOS DE AULA</t>
  </si>
  <si>
    <t>EDITH MARIA RIVERA MENDOZA</t>
  </si>
  <si>
    <t xml:space="preserve">GRUPO#1  COLOMBIAN TANK TOP </t>
  </si>
  <si>
    <t>JEAN CARLOS RODRIGUEZ PEREZ</t>
  </si>
  <si>
    <t xml:space="preserve">GRUPO#2 VITALA </t>
  </si>
  <si>
    <t>ISSAC DAVID ANGULO ZABALETA</t>
  </si>
  <si>
    <t>GRUPO#3</t>
  </si>
  <si>
    <t>ANDRES FELIPE ARROYO PARRA</t>
  </si>
  <si>
    <t xml:space="preserve">GRUPO#4 MISTERY GLOBAL </t>
  </si>
  <si>
    <t>ADRIANO CORDOBA RODRIGUEZ</t>
  </si>
  <si>
    <t xml:space="preserve">GRUPO#5 VINO MUCILAGO DE CACAO </t>
  </si>
  <si>
    <t>RONNY AMEL DE ORO MOLINA</t>
  </si>
  <si>
    <t xml:space="preserve">GRUPO#6 BIOADRON </t>
  </si>
  <si>
    <t>HENRY WILCHES DE LA ROSA</t>
  </si>
  <si>
    <t>GRUPO#7  EMPANADAS ITALIANAS</t>
  </si>
  <si>
    <t>JUAN SEBASTIAN PRENS BOSSIO</t>
  </si>
  <si>
    <t xml:space="preserve">GRUPO#8 GLOBAL GRADE </t>
  </si>
  <si>
    <t>ALEXANDER DUBAN PROTZKAR DE LA HOZ</t>
  </si>
  <si>
    <t>GRUPO#9  SESAMIA</t>
  </si>
  <si>
    <t>JOSE ANGEL VALLEJO REALES</t>
  </si>
  <si>
    <t>GRUPO#10</t>
  </si>
  <si>
    <t>EDINSON ANDRES CASTRO PADILLA</t>
  </si>
  <si>
    <t>GRUPO#11</t>
  </si>
  <si>
    <t>MATEO ANDRÉS CUESTA DÍAZ</t>
  </si>
  <si>
    <t>GRUPO#12</t>
  </si>
  <si>
    <t>LUKASS GIRALDO RAMIREZ</t>
  </si>
  <si>
    <t>LOREINES OSPINO HERNÁNDEZ</t>
  </si>
  <si>
    <t>VALERY DANIELA SAENZ WATTS</t>
  </si>
  <si>
    <t>LINETH MARCELA GONZALEZ LASTRE</t>
  </si>
  <si>
    <t>MARIA JOSE SUAREZ AMARIS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</si>
  <si>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</si>
  <si>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</si>
  <si>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</si>
  <si>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</si>
  <si>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</si>
  <si>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</si>
  <si>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</si>
  <si>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</si>
  <si>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G03</t>
  </si>
  <si>
    <t>GRUPO#4</t>
  </si>
  <si>
    <t>G04</t>
  </si>
  <si>
    <t>GRUPO#5</t>
  </si>
  <si>
    <t>G05</t>
  </si>
  <si>
    <t>4.2</t>
  </si>
  <si>
    <t>4.5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</si>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</sst>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44" zoomScale="95" zoomScaleNormal="95" workbookViewId="0">
      <selection activeCell="E60" sqref="E60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3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2274</v>
      </c>
      <c r="D6" s="134">
        <v>2262</v>
      </c>
      <c r="E6" s="134" t="s">
        <v>23</v>
      </c>
      <c r="F6" s="134">
        <v>1795</v>
      </c>
      <c r="G6" s="134">
        <v>1350</v>
      </c>
      <c r="H6" s="134">
        <v>1473</v>
      </c>
      <c r="I6" s="134"/>
    </row>
    <row r="7" spans="2:9" ht="13.5" thickBot="1"/>
    <row r="8" spans="2:9" ht="20.100000000000001" customHeight="1">
      <c r="B8" s="108"/>
      <c r="C8" s="109" t="s">
        <v>24</v>
      </c>
      <c r="E8" s="153" t="s">
        <v>25</v>
      </c>
      <c r="F8" s="154"/>
      <c r="G8" s="155"/>
      <c r="H8" s="110" t="s">
        <v>26</v>
      </c>
      <c r="I8" s="69" t="s">
        <v>27</v>
      </c>
    </row>
    <row r="9" spans="2:9" ht="15" customHeight="1">
      <c r="B9" s="108">
        <v>1</v>
      </c>
      <c r="C9" s="111" t="s">
        <v>28</v>
      </c>
      <c r="E9" s="156" t="s">
        <v>29</v>
      </c>
      <c r="F9" s="157"/>
      <c r="G9" s="158"/>
      <c r="H9" s="135">
        <v>0.2</v>
      </c>
      <c r="I9" s="69" t="s">
        <v>30</v>
      </c>
    </row>
    <row r="10" spans="2:9" ht="15" customHeight="1">
      <c r="B10" s="108">
        <v>2</v>
      </c>
      <c r="C10" s="111" t="s">
        <v>31</v>
      </c>
      <c r="E10" s="159" t="s">
        <v>32</v>
      </c>
      <c r="F10" s="160"/>
      <c r="G10" s="161"/>
      <c r="H10" s="136">
        <v>0.2</v>
      </c>
      <c r="I10" s="69" t="s">
        <v>33</v>
      </c>
    </row>
    <row r="11" spans="2:9" ht="15" customHeight="1">
      <c r="B11" s="108">
        <v>3</v>
      </c>
      <c r="C11" s="111" t="s">
        <v>34</v>
      </c>
      <c r="E11" s="156" t="s">
        <v>35</v>
      </c>
      <c r="F11" s="157"/>
      <c r="G11" s="158"/>
      <c r="H11" s="135">
        <v>0.3</v>
      </c>
      <c r="I11" s="69" t="s">
        <v>36</v>
      </c>
    </row>
    <row r="12" spans="2:9" ht="15" customHeight="1">
      <c r="B12" s="108">
        <v>4</v>
      </c>
      <c r="C12" s="111" t="s">
        <v>37</v>
      </c>
      <c r="E12" s="159" t="s">
        <v>38</v>
      </c>
      <c r="F12" s="160"/>
      <c r="G12" s="161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39</v>
      </c>
      <c r="E13" s="162" t="s">
        <v>40</v>
      </c>
      <c r="F13" s="163"/>
      <c r="G13" s="164"/>
      <c r="H13" s="135">
        <v>0.1</v>
      </c>
      <c r="I13" s="69" t="s">
        <v>41</v>
      </c>
    </row>
    <row r="14" spans="2:9" ht="15" customHeight="1">
      <c r="B14" s="108">
        <v>6</v>
      </c>
      <c r="C14" s="111" t="s">
        <v>42</v>
      </c>
      <c r="E14" s="165"/>
      <c r="F14" s="166"/>
      <c r="G14" s="167"/>
      <c r="H14" s="136">
        <v>0</v>
      </c>
      <c r="I14" s="69" t="s">
        <v>43</v>
      </c>
    </row>
    <row r="15" spans="2:9" ht="15" customHeight="1" thickBot="1">
      <c r="B15" s="108">
        <v>7</v>
      </c>
      <c r="C15" s="111" t="s">
        <v>44</v>
      </c>
      <c r="E15" s="174"/>
      <c r="F15" s="175"/>
      <c r="G15" s="176"/>
      <c r="H15" s="135">
        <v>0</v>
      </c>
      <c r="I15" s="69" t="s">
        <v>45</v>
      </c>
    </row>
    <row r="16" spans="2:9" ht="15" customHeight="1" thickBot="1">
      <c r="B16" s="108">
        <v>8</v>
      </c>
      <c r="C16" s="111" t="s">
        <v>46</v>
      </c>
      <c r="E16" s="112"/>
      <c r="F16" s="112"/>
      <c r="G16" s="112"/>
      <c r="H16" s="137">
        <f>IF(SUM(H9:H15)&gt;1,"Más del 100%",SUM(H9:H15))</f>
        <v>0.99999999999999989</v>
      </c>
      <c r="I16" s="69" t="s">
        <v>47</v>
      </c>
    </row>
    <row r="17" spans="2:9" ht="15" customHeight="1" thickBot="1">
      <c r="B17" s="108">
        <v>9</v>
      </c>
      <c r="C17" s="111" t="s">
        <v>48</v>
      </c>
      <c r="E17" s="183"/>
      <c r="F17" s="183"/>
      <c r="G17" s="183"/>
      <c r="H17" s="183"/>
      <c r="I17" s="69" t="s">
        <v>49</v>
      </c>
    </row>
    <row r="18" spans="2:9" ht="15" customHeight="1" thickBot="1">
      <c r="B18" s="108">
        <v>10</v>
      </c>
      <c r="C18" s="111" t="s">
        <v>50</v>
      </c>
      <c r="E18" s="190" t="s">
        <v>51</v>
      </c>
      <c r="F18" s="191"/>
      <c r="G18" s="191"/>
      <c r="H18" s="113" t="s">
        <v>26</v>
      </c>
      <c r="I18" s="69" t="s">
        <v>52</v>
      </c>
    </row>
    <row r="19" spans="2:9" ht="15" customHeight="1">
      <c r="B19" s="108">
        <v>11</v>
      </c>
      <c r="C19" s="111" t="s">
        <v>53</v>
      </c>
      <c r="E19" s="180" t="s">
        <v>54</v>
      </c>
      <c r="F19" s="181"/>
      <c r="G19" s="182"/>
      <c r="H19" s="138">
        <v>0.5</v>
      </c>
    </row>
    <row r="20" spans="2:9" ht="15" customHeight="1">
      <c r="B20" s="108">
        <v>12</v>
      </c>
      <c r="C20" s="111" t="s">
        <v>55</v>
      </c>
      <c r="E20" s="184" t="s">
        <v>56</v>
      </c>
      <c r="F20" s="185"/>
      <c r="G20" s="186"/>
      <c r="H20" s="139">
        <v>0.2</v>
      </c>
    </row>
    <row r="21" spans="2:9" ht="15" customHeight="1">
      <c r="B21" s="108">
        <v>13</v>
      </c>
      <c r="C21" s="111" t="s">
        <v>57</v>
      </c>
      <c r="E21" s="192" t="s">
        <v>58</v>
      </c>
      <c r="F21" s="193"/>
      <c r="G21" s="194"/>
      <c r="H21" s="140">
        <v>0.1</v>
      </c>
    </row>
    <row r="22" spans="2:9" ht="15" customHeight="1">
      <c r="B22" s="108">
        <v>14</v>
      </c>
      <c r="C22" s="111" t="s">
        <v>59</v>
      </c>
      <c r="E22" s="184" t="s">
        <v>60</v>
      </c>
      <c r="F22" s="166"/>
      <c r="G22" s="167"/>
      <c r="H22" s="139">
        <v>0.05</v>
      </c>
    </row>
    <row r="23" spans="2:9" ht="15" customHeight="1">
      <c r="B23" s="108">
        <v>15</v>
      </c>
      <c r="C23" s="111" t="s">
        <v>61</v>
      </c>
      <c r="E23" s="192" t="s">
        <v>62</v>
      </c>
      <c r="F23" s="193"/>
      <c r="G23" s="194"/>
      <c r="H23" s="141">
        <v>0.05</v>
      </c>
    </row>
    <row r="24" spans="2:9" ht="15" customHeight="1">
      <c r="B24" s="108">
        <v>16</v>
      </c>
      <c r="C24" s="111" t="s">
        <v>63</v>
      </c>
      <c r="E24" s="184" t="s">
        <v>64</v>
      </c>
      <c r="F24" s="185"/>
      <c r="G24" s="186"/>
      <c r="H24" s="139">
        <v>0.1</v>
      </c>
    </row>
    <row r="25" spans="2:9" ht="15" customHeight="1" thickBot="1">
      <c r="B25" s="108">
        <v>17</v>
      </c>
      <c r="C25" s="111" t="s">
        <v>65</v>
      </c>
      <c r="E25" s="177"/>
      <c r="F25" s="178"/>
      <c r="G25" s="179"/>
      <c r="H25" s="140"/>
    </row>
    <row r="26" spans="2:9" ht="15" customHeight="1" thickBot="1">
      <c r="B26" s="108">
        <v>18</v>
      </c>
      <c r="C26" s="111" t="s">
        <v>66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67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68</v>
      </c>
      <c r="E28" s="187" t="s">
        <v>69</v>
      </c>
      <c r="F28" s="188"/>
      <c r="G28" s="188"/>
      <c r="H28" s="189"/>
    </row>
    <row r="29" spans="2:9" ht="15" customHeight="1" thickBot="1">
      <c r="B29" s="108">
        <v>21</v>
      </c>
      <c r="C29" s="111" t="s">
        <v>70</v>
      </c>
      <c r="E29" s="171" t="s">
        <v>71</v>
      </c>
      <c r="F29" s="172"/>
      <c r="G29" s="172"/>
      <c r="H29" s="173"/>
    </row>
    <row r="30" spans="2:9" ht="15" customHeight="1" thickBot="1">
      <c r="B30" s="108">
        <v>22</v>
      </c>
      <c r="C30" s="111" t="s">
        <v>72</v>
      </c>
      <c r="E30" s="168" t="s">
        <v>73</v>
      </c>
      <c r="F30" s="169"/>
      <c r="G30" s="169"/>
      <c r="H30" s="170"/>
    </row>
    <row r="31" spans="2:9" ht="15" customHeight="1" thickBot="1">
      <c r="B31" s="108">
        <v>23</v>
      </c>
      <c r="C31" s="111" t="s">
        <v>74</v>
      </c>
      <c r="E31" s="171" t="s">
        <v>75</v>
      </c>
      <c r="F31" s="172"/>
      <c r="G31" s="172"/>
      <c r="H31" s="173"/>
    </row>
    <row r="32" spans="2:9" ht="15" customHeight="1" thickBot="1">
      <c r="B32" s="108">
        <v>24</v>
      </c>
      <c r="C32" s="111" t="s">
        <v>76</v>
      </c>
      <c r="E32" s="168" t="s">
        <v>77</v>
      </c>
      <c r="F32" s="169"/>
      <c r="G32" s="169"/>
      <c r="H32" s="170"/>
    </row>
    <row r="33" spans="2:8" ht="15" customHeight="1" thickBot="1">
      <c r="B33" s="108">
        <v>25</v>
      </c>
      <c r="C33" s="111" t="s">
        <v>78</v>
      </c>
      <c r="E33" s="171" t="s">
        <v>79</v>
      </c>
      <c r="F33" s="172"/>
      <c r="G33" s="172"/>
      <c r="H33" s="173"/>
    </row>
    <row r="34" spans="2:8" ht="15" customHeight="1" thickBot="1">
      <c r="B34" s="108">
        <v>26</v>
      </c>
      <c r="C34" s="111" t="s">
        <v>80</v>
      </c>
      <c r="E34" s="168" t="s">
        <v>81</v>
      </c>
      <c r="F34" s="169"/>
      <c r="G34" s="169"/>
      <c r="H34" s="170"/>
    </row>
    <row r="35" spans="2:8" ht="15" customHeight="1" thickBot="1">
      <c r="B35" s="108">
        <v>27</v>
      </c>
      <c r="C35" s="111" t="s">
        <v>82</v>
      </c>
      <c r="E35" s="171" t="s">
        <v>83</v>
      </c>
      <c r="F35" s="172"/>
      <c r="G35" s="172"/>
      <c r="H35" s="173"/>
    </row>
    <row r="36" spans="2:8" ht="15" customHeight="1" thickBot="1">
      <c r="B36" s="108">
        <v>28</v>
      </c>
      <c r="C36" s="111" t="s">
        <v>84</v>
      </c>
      <c r="E36" s="168" t="s">
        <v>85</v>
      </c>
      <c r="F36" s="169"/>
      <c r="G36" s="169"/>
      <c r="H36" s="170"/>
    </row>
    <row r="37" spans="2:8" ht="15" customHeight="1" thickBot="1">
      <c r="B37" s="108">
        <v>29</v>
      </c>
      <c r="C37" s="111" t="s">
        <v>86</v>
      </c>
      <c r="E37" s="171" t="s">
        <v>87</v>
      </c>
      <c r="F37" s="172"/>
      <c r="G37" s="172"/>
      <c r="H37" s="173"/>
    </row>
    <row r="38" spans="2:8" ht="15" customHeight="1" thickBot="1">
      <c r="B38" s="108">
        <v>30</v>
      </c>
      <c r="C38" s="111" t="s">
        <v>88</v>
      </c>
      <c r="E38" s="168" t="s">
        <v>89</v>
      </c>
      <c r="F38" s="169"/>
      <c r="G38" s="169"/>
      <c r="H38" s="170"/>
    </row>
    <row r="39" spans="2:8" ht="15" customHeight="1" thickBot="1">
      <c r="B39" s="108">
        <v>31</v>
      </c>
      <c r="C39" s="111" t="s">
        <v>90</v>
      </c>
      <c r="E39" s="171" t="s">
        <v>91</v>
      </c>
      <c r="F39" s="172"/>
      <c r="G39" s="172"/>
      <c r="H39" s="173"/>
    </row>
    <row r="40" spans="2:8" ht="15" customHeight="1" thickBot="1">
      <c r="B40" s="108">
        <v>32</v>
      </c>
      <c r="C40" s="111" t="s">
        <v>92</v>
      </c>
      <c r="E40" s="168" t="s">
        <v>93</v>
      </c>
      <c r="F40" s="169"/>
      <c r="G40" s="169"/>
      <c r="H40" s="170"/>
    </row>
    <row r="41" spans="2:8" ht="15" customHeight="1" thickBot="1">
      <c r="B41" s="108">
        <v>33</v>
      </c>
      <c r="C41" s="111" t="s">
        <v>94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95</v>
      </c>
      <c r="E42" s="115" t="str">
        <f>MID(E29,1,20)</f>
        <v>GRUPO#1  COLOMBIAN T</v>
      </c>
      <c r="F42" s="116" t="str">
        <f>MID(E30,1,20)</f>
        <v xml:space="preserve">GRUPO#2 VITALA </v>
      </c>
      <c r="G42" s="116" t="str">
        <f>MID(E31,1,20)</f>
        <v>GRUPO#3</v>
      </c>
      <c r="H42" s="117" t="str">
        <f>MID(E32,1,20)</f>
        <v>GRUPO#4 MISTERY GLOB</v>
      </c>
    </row>
    <row r="43" spans="2:8" ht="15" customHeight="1">
      <c r="B43" s="108">
        <v>35</v>
      </c>
      <c r="C43" s="111" t="s">
        <v>96</v>
      </c>
      <c r="E43" s="118" t="s">
        <v>28</v>
      </c>
      <c r="F43" s="119" t="s">
        <v>37</v>
      </c>
      <c r="G43" s="119"/>
      <c r="H43" s="120" t="s">
        <v>57</v>
      </c>
    </row>
    <row r="44" spans="2:8" ht="15" customHeight="1">
      <c r="B44" s="108">
        <v>36</v>
      </c>
      <c r="C44" s="111" t="s">
        <v>97</v>
      </c>
      <c r="E44" s="121" t="s">
        <v>31</v>
      </c>
      <c r="F44" s="122" t="s">
        <v>39</v>
      </c>
      <c r="G44" s="122"/>
      <c r="H44" s="123" t="s">
        <v>59</v>
      </c>
    </row>
    <row r="45" spans="2:8" ht="15" customHeight="1">
      <c r="B45" s="108">
        <v>37</v>
      </c>
      <c r="C45" s="111" t="s">
        <v>98</v>
      </c>
      <c r="E45" s="124" t="s">
        <v>34</v>
      </c>
      <c r="F45" s="125" t="s">
        <v>42</v>
      </c>
      <c r="G45" s="125"/>
      <c r="H45" s="126" t="s">
        <v>61</v>
      </c>
    </row>
    <row r="46" spans="2:8" ht="15" customHeight="1">
      <c r="B46" s="108">
        <v>38</v>
      </c>
      <c r="C46" s="111"/>
      <c r="E46" s="121"/>
      <c r="F46" s="122" t="s">
        <v>44</v>
      </c>
      <c r="G46" s="122"/>
      <c r="H46" s="123" t="s">
        <v>63</v>
      </c>
    </row>
    <row r="47" spans="2:8" ht="15" customHeight="1">
      <c r="B47" s="108">
        <v>39</v>
      </c>
      <c r="C47" s="111"/>
      <c r="E47" s="124"/>
      <c r="F47" s="125" t="s">
        <v>46</v>
      </c>
      <c r="G47" s="125"/>
      <c r="H47" s="126" t="s">
        <v>65</v>
      </c>
    </row>
    <row r="48" spans="2:8" ht="15" customHeight="1" thickBot="1">
      <c r="B48" s="108">
        <v>40</v>
      </c>
      <c r="C48" s="111"/>
      <c r="E48" s="127"/>
      <c r="F48" s="128" t="s">
        <v>48</v>
      </c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VINO MUCILAG</v>
      </c>
      <c r="F50" s="116" t="str">
        <f>MID(E34,1,20)</f>
        <v xml:space="preserve">GRUPO#6 BIOADRON </v>
      </c>
      <c r="G50" s="116" t="str">
        <f>MID(E35,1,20)</f>
        <v>GRUPO#7  EMPANADAS I</v>
      </c>
      <c r="H50" s="117" t="str">
        <f>MID(E36,1,20)</f>
        <v>GRUPO#8 GLOBAL GRADE</v>
      </c>
    </row>
    <row r="51" spans="2:8" ht="15" customHeight="1">
      <c r="B51" s="108">
        <v>43</v>
      </c>
      <c r="C51" s="111"/>
      <c r="E51" s="118" t="s">
        <v>66</v>
      </c>
      <c r="F51" s="119" t="s">
        <v>74</v>
      </c>
      <c r="G51" s="119" t="s">
        <v>84</v>
      </c>
      <c r="H51" s="120" t="s">
        <v>90</v>
      </c>
    </row>
    <row r="52" spans="2:8" ht="15" customHeight="1">
      <c r="B52" s="108">
        <v>44</v>
      </c>
      <c r="C52" s="111"/>
      <c r="E52" s="121" t="s">
        <v>67</v>
      </c>
      <c r="F52" s="122" t="s">
        <v>76</v>
      </c>
      <c r="G52" s="122" t="s">
        <v>86</v>
      </c>
      <c r="H52" s="123" t="s">
        <v>92</v>
      </c>
    </row>
    <row r="53" spans="2:8" ht="15" customHeight="1">
      <c r="B53" s="108">
        <v>45</v>
      </c>
      <c r="C53" s="111"/>
      <c r="E53" s="124" t="s">
        <v>68</v>
      </c>
      <c r="F53" s="125" t="s">
        <v>78</v>
      </c>
      <c r="G53" s="125" t="s">
        <v>88</v>
      </c>
      <c r="H53" s="126" t="s">
        <v>94</v>
      </c>
    </row>
    <row r="54" spans="2:8" ht="15" customHeight="1">
      <c r="B54" s="108">
        <v>46</v>
      </c>
      <c r="C54" s="111"/>
      <c r="E54" s="121" t="s">
        <v>70</v>
      </c>
      <c r="F54" s="122" t="s">
        <v>80</v>
      </c>
      <c r="G54" s="122"/>
      <c r="H54" s="123" t="s">
        <v>95</v>
      </c>
    </row>
    <row r="55" spans="2:8" ht="15" customHeight="1">
      <c r="B55" s="108">
        <v>47</v>
      </c>
      <c r="C55" s="111"/>
      <c r="E55" s="124" t="s">
        <v>72</v>
      </c>
      <c r="F55" s="125" t="s">
        <v>82</v>
      </c>
      <c r="G55" s="125"/>
      <c r="H55" s="126" t="s">
        <v>96</v>
      </c>
    </row>
    <row r="56" spans="2:8" ht="15" customHeight="1" thickBot="1">
      <c r="B56" s="108">
        <v>48</v>
      </c>
      <c r="C56" s="111"/>
      <c r="E56" s="127"/>
      <c r="F56" s="128"/>
      <c r="G56" s="128"/>
      <c r="H56" s="129" t="s">
        <v>55</v>
      </c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  SESAMIA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 t="s">
        <v>97</v>
      </c>
      <c r="F59" s="119"/>
      <c r="G59" s="119"/>
      <c r="H59" s="120"/>
    </row>
    <row r="60" spans="2:8" ht="15" customHeight="1">
      <c r="E60" s="121" t="s">
        <v>98</v>
      </c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BB0Fgynm8Zfn0y/ieTH3oAzgtLm76dCsSfgV5Y1Wv4Mt/YcwS97l0mytk4RPkonvrIF7HgQW7fbwAoxVlvp8Xg==" saltValue="NXQ4jP0zlRwn/HoluwnfaQ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B60" sqref="B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ELECTIVA DE PROFUNDIZACION I</v>
      </c>
      <c r="C2" s="82"/>
      <c r="D2" s="3"/>
      <c r="F2" s="205" t="s">
        <v>99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CONCATENATE(LIDER!C4," - ",LIDER!C6," - ",LIDER!C5)</f>
        <v>ELECTIVA DE PROFUNDIZACION I - 2274 - SANDRA MILENA CASTAÑO GIRALDO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 xml:space="preserve">GRUPO#1  COLOMBIAN TANK TOP 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SIARA LUCIA CHAMS CARBALLO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3.4200000000000004</v>
      </c>
      <c r="F6" s="200">
        <v>3.8</v>
      </c>
      <c r="G6" s="197">
        <v>4</v>
      </c>
      <c r="H6" s="195">
        <v>4.2</v>
      </c>
      <c r="I6" s="197">
        <v>3</v>
      </c>
      <c r="J6" s="195">
        <v>0</v>
      </c>
      <c r="K6" s="197"/>
      <c r="L6" s="195"/>
    </row>
    <row r="7" spans="1:12" s="2" customFormat="1" ht="15" customHeight="1">
      <c r="A7" s="12">
        <v>2</v>
      </c>
      <c r="B7" s="10" t="str">
        <f>LIDER!E44</f>
        <v>LAUREN CAROLINA MARTINEZ LICONA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3.4200000000000004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ASLLY MARGARITA RINCON MATTOS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3.4200000000000004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 xml:space="preserve">GRUPO#2 VITALA 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HELENA ISABEL ALVAREZ CORTINA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2.35</v>
      </c>
      <c r="F13" s="200">
        <v>3</v>
      </c>
      <c r="G13" s="197">
        <v>3</v>
      </c>
      <c r="H13" s="195">
        <v>2.5</v>
      </c>
      <c r="I13" s="197">
        <v>2</v>
      </c>
      <c r="J13" s="195">
        <v>0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YEIDER SANTIAGO BOHORQUEZ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2.35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MELANY ANDREA FLÓREZ ALMANZA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2.35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ELIAN MANUEL PACHECO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2.35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VALERIA PASTRANA ARRIETA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2.35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 t="str">
        <f>LIDER!F48</f>
        <v>JUAN PABLO QUIJANO GUEVARA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2.35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75</v>
      </c>
      <c r="C19" s="88" t="s">
        <v>107</v>
      </c>
      <c r="D19" s="32" t="str">
        <f>D12</f>
        <v>LIST</v>
      </c>
      <c r="E19" s="89" t="s">
        <v>104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>
        <v>0</v>
      </c>
      <c r="G20" s="197">
        <v>0</v>
      </c>
      <c r="H20" s="195">
        <v>0</v>
      </c>
      <c r="I20" s="197">
        <v>0</v>
      </c>
      <c r="J20" s="195">
        <v>0</v>
      </c>
      <c r="K20" s="197"/>
      <c r="L20" s="19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104</v>
      </c>
      <c r="F26" s="199" t="str">
        <f>LIDER!$E$32</f>
        <v xml:space="preserve">GRUPO#4 MISTERY GLOBAL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JUAN CARLOS BALDIRIS ESPITIA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4.43</v>
      </c>
      <c r="F27" s="200">
        <v>4</v>
      </c>
      <c r="G27" s="197">
        <v>4.2</v>
      </c>
      <c r="H27" s="195">
        <v>4.3</v>
      </c>
      <c r="I27" s="197">
        <v>5</v>
      </c>
      <c r="J27" s="195">
        <v>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MARIA CRISTINA CAÑATE MERCADO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4.43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KARINA MARRUGO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4.43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HILARYS CAROLINA PATERNINA DONADO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4.43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MATEO QUINTANA SERNA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4.43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104</v>
      </c>
      <c r="F33" s="199" t="str">
        <f>LIDER!$E$33</f>
        <v xml:space="preserve">GRUPO#5 VINO MUCILAGO DE CACAO 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JORGE ALBERTO BATISTA TABORDA</v>
      </c>
      <c r="C34" s="90" t="str">
        <f>C33</f>
        <v>G05</v>
      </c>
      <c r="D34" s="95"/>
      <c r="E34" s="11" t="e">
        <f>IF(B34=0,0,IF(D34="",$F$34*LIDER!$H$9+$G$34*LIDER!$H$10+$H$34*LIDER!$H$11+$I$34*LIDER!$H$12+$J$34*LIDER!$H$13+$K$34*LIDER!$H$14+$L$34*LIDER!$H$15,"N"))</f>
        <v>#VALUE!</v>
      </c>
      <c r="F34" s="200">
        <v>4</v>
      </c>
      <c r="G34" s="197" t="s">
        <v>112</v>
      </c>
      <c r="H34" s="195" t="s">
        <v>113</v>
      </c>
      <c r="I34" s="197">
        <v>2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LAURA DANIELA MANOTAS ACEVEDO</v>
      </c>
      <c r="C35" s="90" t="str">
        <f t="shared" ref="C35:C39" si="4">C34</f>
        <v>G05</v>
      </c>
      <c r="D35" s="96"/>
      <c r="E35" s="11" t="e">
        <f>IF(B35=0,0,IF(D35="",$F$34*LIDER!$H$9+$G$34*LIDER!$H$10+$H$34*LIDER!$H$11+$I$34*LIDER!$H$12+$J$34*LIDER!$H$13+$K$34*LIDER!$H$14+$L$34*LIDER!$H$15,"N"))</f>
        <v>#VALUE!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JESED ALEJANDRO OBANDO MARSIGLIA</v>
      </c>
      <c r="C36" s="90" t="str">
        <f t="shared" si="4"/>
        <v>G05</v>
      </c>
      <c r="D36" s="96"/>
      <c r="E36" s="11" t="e">
        <f>IF(B36=0,0,IF(D36="",$F$34*LIDER!$H$9+$G$34*LIDER!$H$10+$H$34*LIDER!$H$11+$I$34*LIDER!$H$12+$J$34*LIDER!$H$13+$K$34*LIDER!$H$14+$L$34*LIDER!$H$15,"N"))</f>
        <v>#VALUE!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EDITH MARIA RIVERA MENDOZA</v>
      </c>
      <c r="C37" s="90" t="str">
        <f t="shared" si="4"/>
        <v>G05</v>
      </c>
      <c r="D37" s="96"/>
      <c r="E37" s="11" t="e">
        <f>IF(B37=0,0,IF(D37="",$F$34*LIDER!$H$9+$G$34*LIDER!$H$10+$H$34*LIDER!$H$11+$I$34*LIDER!$H$12+$J$34*LIDER!$H$13+$K$34*LIDER!$H$14+$L$34*LIDER!$H$15,"N"))</f>
        <v>#VALUE!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JEAN CARLOS RODRIGUEZ PEREZ</v>
      </c>
      <c r="C38" s="90" t="str">
        <f t="shared" si="4"/>
        <v>G05</v>
      </c>
      <c r="D38" s="96"/>
      <c r="E38" s="11" t="e">
        <f>IF(B38=0,0,IF(D38="",$F$34*LIDER!$H$9+$G$34*LIDER!$H$10+$H$34*LIDER!$H$11+$I$34*LIDER!$H$12+$J$34*LIDER!$H$13+$K$34*LIDER!$H$14+$L$34*LIDER!$H$15,"N"))</f>
        <v>#VALUE!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114</v>
      </c>
      <c r="C40" s="88" t="s">
        <v>115</v>
      </c>
      <c r="D40" s="32" t="str">
        <f>D33</f>
        <v>LIST</v>
      </c>
      <c r="E40" s="89" t="s">
        <v>104</v>
      </c>
      <c r="F40" s="199" t="str">
        <f>LIDER!$E$34</f>
        <v xml:space="preserve">GRUPO#6 BIOADRON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ISSAC DAVID ANGULO ZABALETA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2.6599999999999997</v>
      </c>
      <c r="F41" s="200">
        <v>3.4</v>
      </c>
      <c r="G41" s="197">
        <v>3.4</v>
      </c>
      <c r="H41" s="195">
        <v>3</v>
      </c>
      <c r="I41" s="197">
        <v>2</v>
      </c>
      <c r="J41" s="195">
        <v>0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ANDRES FELIPE ARROYO PARRA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2.6599999999999997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ADRIANO CORDOBA RODRIGUEZ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2.6599999999999997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RONNY AMEL DE ORO MOLINA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2.6599999999999997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HENRY WILCHES DE LA ROSA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2.6599999999999997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116</v>
      </c>
      <c r="C47" s="88" t="s">
        <v>117</v>
      </c>
      <c r="D47" s="32" t="str">
        <f>D40</f>
        <v>LIST</v>
      </c>
      <c r="E47" s="89" t="s">
        <v>104</v>
      </c>
      <c r="F47" s="199" t="str">
        <f>LIDER!$E$35</f>
        <v>GRUPO#7  EMPANADAS ITALIANAS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JUAN SEBASTIAN PRENS BOSSIO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1.05</v>
      </c>
      <c r="F48" s="200">
        <v>1.5</v>
      </c>
      <c r="G48" s="197">
        <v>1.5</v>
      </c>
      <c r="H48" s="195">
        <v>1.5</v>
      </c>
      <c r="I48" s="197">
        <v>0</v>
      </c>
      <c r="J48" s="195">
        <v>0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ALEXANDER DUBAN PROTZKAR DE LA HOZ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1.05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JOSE ANGEL VALLEJO REALES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1.05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118</v>
      </c>
      <c r="C54" s="88" t="s">
        <v>119</v>
      </c>
      <c r="D54" s="32" t="str">
        <f>D47</f>
        <v>LIST</v>
      </c>
      <c r="E54" s="89" t="s">
        <v>104</v>
      </c>
      <c r="F54" s="199" t="str">
        <f>LIDER!$E$36</f>
        <v xml:space="preserve">GRUPO#8 GLOBAL GRADE 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EDINSON ANDRES CASTRO PADILLA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4.57</v>
      </c>
      <c r="F55" s="200">
        <v>4.2</v>
      </c>
      <c r="G55" s="197">
        <v>4.4000000000000004</v>
      </c>
      <c r="H55" s="195">
        <v>4.5</v>
      </c>
      <c r="I55" s="197">
        <v>5</v>
      </c>
      <c r="J55" s="195">
        <v>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MATEO ANDRÉS CUESTA DÍAZ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4.57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LUKASS GIRALDO RAMIREZ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4.57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LOREINES OSPINO HERNÁNDEZ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4.57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VALERY DANIELA SAENZ WATTS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4.57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SHARONE JANNINE ORDOÑEZ ESCUDERO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4.57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120</v>
      </c>
      <c r="C61" s="88" t="s">
        <v>121</v>
      </c>
      <c r="D61" s="32" t="str">
        <f>D54</f>
        <v>LIST</v>
      </c>
      <c r="E61" s="89" t="s">
        <v>104</v>
      </c>
      <c r="F61" s="199" t="str">
        <f>LIDER!$E$37</f>
        <v>GRUPO#9  SESAMIA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LINETH MARCELA GONZALEZ LASTRE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2.95</v>
      </c>
      <c r="F62" s="200">
        <v>3.5</v>
      </c>
      <c r="G62" s="197">
        <v>3</v>
      </c>
      <c r="H62" s="195">
        <v>3</v>
      </c>
      <c r="I62" s="197">
        <v>2</v>
      </c>
      <c r="J62" s="195">
        <v>3.5</v>
      </c>
      <c r="K62" s="197"/>
      <c r="L62" s="195"/>
    </row>
    <row r="63" spans="1:12" s="2" customFormat="1" ht="15" customHeight="1">
      <c r="A63" s="12">
        <v>2</v>
      </c>
      <c r="B63" s="10" t="str">
        <f>LIDER!E60</f>
        <v>MARIA JOSE SUAREZ AMARIS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2.95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89</v>
      </c>
      <c r="C68" s="88" t="s">
        <v>122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91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93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ETICA</v>
      </c>
      <c r="C2" s="82"/>
      <c r="D2" s="3"/>
      <c r="F2" s="205" t="s">
        <v>99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CONCATENATE(LIDER!D4," - ",LIDER!D6," - ",LIDER!D5)</f>
        <v>ETICA - 2262 - LEIDY ENID QUINTERO SÁNCHEZ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 xml:space="preserve">GRUPO#1  COLOMBIAN TANK TOP 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SIARA LUCIA CHAMS CARBALLO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3.4</v>
      </c>
      <c r="F6" s="200">
        <v>3.8</v>
      </c>
      <c r="G6" s="197">
        <v>4</v>
      </c>
      <c r="H6" s="195">
        <v>4</v>
      </c>
      <c r="I6" s="197">
        <v>3.2</v>
      </c>
      <c r="J6" s="195">
        <v>0</v>
      </c>
      <c r="K6" s="197"/>
      <c r="L6" s="195"/>
    </row>
    <row r="7" spans="1:12" s="2" customFormat="1" ht="15" customHeight="1">
      <c r="A7" s="12">
        <v>2</v>
      </c>
      <c r="B7" s="10" t="str">
        <f>LIDER!E44</f>
        <v>LAUREN CAROLINA MARTINEZ LICONA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3.4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ASLLY MARGARITA RINCON MATTOS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3.4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 xml:space="preserve">GRUPO#2 VITALA 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HELENA ISABEL ALVAREZ CORTINA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2.25</v>
      </c>
      <c r="F13" s="200">
        <v>3</v>
      </c>
      <c r="G13" s="197">
        <v>2.5</v>
      </c>
      <c r="H13" s="195">
        <v>2.5</v>
      </c>
      <c r="I13" s="197">
        <v>2</v>
      </c>
      <c r="J13" s="195">
        <v>0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YEIDER SANTIAGO BOHORQUEZ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2.25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MELANY ANDREA FLÓREZ ALMANZA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2.25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ELIAN MANUEL PACHECO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2.25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VALERIA PASTRANA ARRIETA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2.25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 t="str">
        <f>LIDER!F48</f>
        <v>JUAN PABLO QUIJANO GUEVARA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2.25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75</v>
      </c>
      <c r="C19" s="88" t="s">
        <v>107</v>
      </c>
      <c r="D19" s="32" t="str">
        <f>D12</f>
        <v>LIST</v>
      </c>
      <c r="E19" s="89" t="s">
        <v>104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>
        <v>0</v>
      </c>
      <c r="G20" s="197">
        <v>0</v>
      </c>
      <c r="H20" s="195">
        <v>0</v>
      </c>
      <c r="I20" s="197">
        <v>0</v>
      </c>
      <c r="J20" s="195">
        <v>0</v>
      </c>
      <c r="K20" s="197"/>
      <c r="L20" s="19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104</v>
      </c>
      <c r="F26" s="199" t="str">
        <f>LIDER!$E$32</f>
        <v xml:space="preserve">GRUPO#4 MISTERY GLOBAL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JUAN CARLOS BALDIRIS ESPITIA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4.0599999999999996</v>
      </c>
      <c r="F27" s="200">
        <v>3.8</v>
      </c>
      <c r="G27" s="197">
        <v>4</v>
      </c>
      <c r="H27" s="195">
        <v>4</v>
      </c>
      <c r="I27" s="197">
        <v>4</v>
      </c>
      <c r="J27" s="195">
        <v>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MARIA CRISTINA CAÑATE MERCADO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4.0599999999999996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KARINA MARRUGO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4.0599999999999996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HILARYS CAROLINA PATERNINA DONADO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4.0599999999999996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MATEO QUINTANA SERNA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4.0599999999999996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104</v>
      </c>
      <c r="F33" s="199" t="str">
        <f>LIDER!$E$33</f>
        <v xml:space="preserve">GRUPO#5 VINO MUCILAGO DE CACAO 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JORGE ALBERTO BATISTA TABORDA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3.7600000000000002</v>
      </c>
      <c r="F34" s="200">
        <v>4</v>
      </c>
      <c r="G34" s="197">
        <v>4</v>
      </c>
      <c r="H34" s="195">
        <v>4.2</v>
      </c>
      <c r="I34" s="197">
        <v>2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LAURA DANIELA MANOTAS ACEVEDO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3.7600000000000002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JESED ALEJANDRO OBANDO MARSIGLIA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3.7600000000000002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EDITH MARIA RIVERA MENDOZA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3.7600000000000002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JEAN CARLOS RODRIGUEZ PEREZ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3.7600000000000002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114</v>
      </c>
      <c r="C40" s="88" t="s">
        <v>115</v>
      </c>
      <c r="D40" s="32" t="str">
        <f>D33</f>
        <v>LIST</v>
      </c>
      <c r="E40" s="89" t="s">
        <v>104</v>
      </c>
      <c r="F40" s="199" t="str">
        <f>LIDER!$E$34</f>
        <v xml:space="preserve">GRUPO#6 BIOADRON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ISSAC DAVID ANGULO ZABALETA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2.2999999999999998</v>
      </c>
      <c r="F41" s="200">
        <v>2</v>
      </c>
      <c r="G41" s="197">
        <v>3</v>
      </c>
      <c r="H41" s="195">
        <v>3</v>
      </c>
      <c r="I41" s="197">
        <v>2</v>
      </c>
      <c r="J41" s="195">
        <v>0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ANDRES FELIPE ARROYO PARRA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2.2999999999999998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ADRIANO CORDOBA RODRIGUEZ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2.2999999999999998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RONNY AMEL DE ORO MOLINA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2.2999999999999998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HENRY WILCHES DE LA ROSA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2.2999999999999998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116</v>
      </c>
      <c r="C47" s="88" t="s">
        <v>117</v>
      </c>
      <c r="D47" s="32" t="str">
        <f>D40</f>
        <v>LIST</v>
      </c>
      <c r="E47" s="89" t="s">
        <v>104</v>
      </c>
      <c r="F47" s="199" t="str">
        <f>LIDER!$E$35</f>
        <v>GRUPO#7  EMPANADAS ITALIANAS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JUAN SEBASTIAN PRENS BOSSIO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0.85</v>
      </c>
      <c r="F48" s="200">
        <v>1</v>
      </c>
      <c r="G48" s="197">
        <v>1</v>
      </c>
      <c r="H48" s="195">
        <v>1.5</v>
      </c>
      <c r="I48" s="197">
        <v>0</v>
      </c>
      <c r="J48" s="195">
        <v>0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ALEXANDER DUBAN PROTZKAR DE LA HOZ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0.85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JOSE ANGEL VALLEJO REALES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0.85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118</v>
      </c>
      <c r="C54" s="88" t="s">
        <v>119</v>
      </c>
      <c r="D54" s="32" t="str">
        <f>D47</f>
        <v>LIST</v>
      </c>
      <c r="E54" s="89" t="s">
        <v>104</v>
      </c>
      <c r="F54" s="199" t="str">
        <f>LIDER!$E$36</f>
        <v xml:space="preserve">GRUPO#8 GLOBAL GRADE 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EDINSON ANDRES CASTRO PADILLA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4.4400000000000004</v>
      </c>
      <c r="F55" s="200">
        <v>4.2</v>
      </c>
      <c r="G55" s="197">
        <v>4.2</v>
      </c>
      <c r="H55" s="195">
        <v>4.2</v>
      </c>
      <c r="I55" s="197">
        <v>5</v>
      </c>
      <c r="J55" s="195">
        <v>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MATEO ANDRÉS CUESTA DÍAZ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4.4400000000000004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LUKASS GIRALDO RAMIREZ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4.4400000000000004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LOREINES OSPINO HERNÁNDEZ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4.4400000000000004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VALERY DANIELA SAENZ WATTS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4.4400000000000004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SHARONE JANNINE ORDOÑEZ ESCUDERO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4.4400000000000004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120</v>
      </c>
      <c r="C61" s="88" t="s">
        <v>121</v>
      </c>
      <c r="D61" s="32" t="str">
        <f>D54</f>
        <v>LIST</v>
      </c>
      <c r="E61" s="89" t="s">
        <v>104</v>
      </c>
      <c r="F61" s="199" t="str">
        <f>LIDER!$E$37</f>
        <v>GRUPO#9  SESAMIA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LINETH MARCELA GONZALEZ LASTRE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2.85</v>
      </c>
      <c r="F62" s="200">
        <v>3</v>
      </c>
      <c r="G62" s="197">
        <v>3</v>
      </c>
      <c r="H62" s="195">
        <v>3</v>
      </c>
      <c r="I62" s="197">
        <v>2</v>
      </c>
      <c r="J62" s="195">
        <v>3.5</v>
      </c>
      <c r="K62" s="197"/>
      <c r="L62" s="195"/>
    </row>
    <row r="63" spans="1:12" s="2" customFormat="1" ht="15" customHeight="1">
      <c r="A63" s="12">
        <v>2</v>
      </c>
      <c r="B63" s="10" t="str">
        <f>LIDER!E60</f>
        <v>MARIA JOSE SUAREZ AMARIS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2.85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89</v>
      </c>
      <c r="C68" s="88" t="s">
        <v>122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91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93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60" activePane="bottomRight" state="frozen"/>
      <selection pane="bottomRight" activeCell="H68" sqref="F68:L6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IMPORTACIONES Y EXPORTACIONES</v>
      </c>
      <c r="C2" s="82"/>
      <c r="D2" s="3"/>
      <c r="F2" s="205" t="s">
        <v>99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CONCATENATE(LIDER!E4," - ",LIDER!E6," - ",LIDER!E5)</f>
        <v>IMPORTACIONES Y EXPORTACIONES - 
1436
  - REYNALDO ARTURO ROJAS TRILLOS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 xml:space="preserve">GRUPO#1  COLOMBIAN TANK TOP 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SIARA LUCIA CHAMS CARBALLO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3.1300000000000003</v>
      </c>
      <c r="F6" s="200">
        <v>3</v>
      </c>
      <c r="G6" s="197">
        <v>3.2</v>
      </c>
      <c r="H6" s="195">
        <v>3.3</v>
      </c>
      <c r="I6" s="197">
        <v>3.5</v>
      </c>
      <c r="J6" s="195">
        <v>2</v>
      </c>
      <c r="K6" s="197"/>
      <c r="L6" s="195"/>
    </row>
    <row r="7" spans="1:12" s="2" customFormat="1" ht="15" customHeight="1">
      <c r="A7" s="12">
        <v>2</v>
      </c>
      <c r="B7" s="10" t="str">
        <f>LIDER!E44</f>
        <v>LAUREN CAROLINA MARTINEZ LICONA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3.1300000000000003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ASLLY MARGARITA RINCON MATTOS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3.1300000000000003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 xml:space="preserve">GRUPO#2 VITALA 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HELENA ISABEL ALVAREZ CORTINA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3.0400000000000005</v>
      </c>
      <c r="F13" s="200">
        <v>3</v>
      </c>
      <c r="G13" s="197">
        <v>3</v>
      </c>
      <c r="H13" s="195">
        <v>3.2</v>
      </c>
      <c r="I13" s="197">
        <v>3.4</v>
      </c>
      <c r="J13" s="195">
        <v>2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YEIDER SANTIAGO BOHORQUEZ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3.0400000000000005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MELANY ANDREA FLÓREZ ALMANZA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3.0400000000000005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ELIAN MANUEL PACHECO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3.0400000000000005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VALERIA PASTRANA ARRIETA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3.0400000000000005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 t="str">
        <f>LIDER!F48</f>
        <v>JUAN PABLO QUIJANO GUEVARA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3.0400000000000005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75</v>
      </c>
      <c r="C19" s="88" t="s">
        <v>107</v>
      </c>
      <c r="D19" s="32" t="str">
        <f>D12</f>
        <v>LIST</v>
      </c>
      <c r="E19" s="89" t="s">
        <v>104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104</v>
      </c>
      <c r="F26" s="199" t="str">
        <f>LIDER!$E$32</f>
        <v xml:space="preserve">GRUPO#4 MISTERY GLOBAL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JUAN CARLOS BALDIRIS ESPITIA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3.96</v>
      </c>
      <c r="F27" s="200">
        <v>3.9</v>
      </c>
      <c r="G27" s="197">
        <v>3.7</v>
      </c>
      <c r="H27" s="195">
        <v>3.8</v>
      </c>
      <c r="I27" s="197">
        <v>4</v>
      </c>
      <c r="J27" s="195">
        <v>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MARIA CRISTINA CAÑATE MERCADO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3.96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KARINA MARRUGO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3.96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HILARYS CAROLINA PATERNINA DONADO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3.96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MATEO QUINTANA SERNA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3.96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104</v>
      </c>
      <c r="F33" s="199" t="str">
        <f>LIDER!$E$33</f>
        <v xml:space="preserve">GRUPO#5 VINO MUCILAGO DE CACAO 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JORGE ALBERTO BATISTA TABORDA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3.67</v>
      </c>
      <c r="F34" s="200">
        <v>3.3</v>
      </c>
      <c r="G34" s="197">
        <v>3.4</v>
      </c>
      <c r="H34" s="195">
        <v>3.5</v>
      </c>
      <c r="I34" s="197">
        <v>3.9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LAURA DANIELA MANOTAS ACEVEDO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3.67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JESED ALEJANDRO OBANDO MARSIGLIA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3.67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EDITH MARIA RIVERA MENDOZA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3.67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JEAN CARLOS RODRIGUEZ PEREZ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3.67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114</v>
      </c>
      <c r="C40" s="88" t="s">
        <v>115</v>
      </c>
      <c r="D40" s="32" t="str">
        <f>D33</f>
        <v>LIST</v>
      </c>
      <c r="E40" s="89" t="s">
        <v>104</v>
      </c>
      <c r="F40" s="199" t="str">
        <f>LIDER!$E$34</f>
        <v xml:space="preserve">GRUPO#6 BIOADRON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ISSAC DAVID ANGULO ZABALETA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3.0400000000000005</v>
      </c>
      <c r="F41" s="200">
        <v>2.9</v>
      </c>
      <c r="G41" s="197">
        <v>3</v>
      </c>
      <c r="H41" s="195">
        <v>3.2</v>
      </c>
      <c r="I41" s="197">
        <v>3.5</v>
      </c>
      <c r="J41" s="195">
        <v>2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ANDRES FELIPE ARROYO PARRA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3.0400000000000005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ADRIANO CORDOBA RODRIGUEZ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3.0400000000000005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RONNY AMEL DE ORO MOLINA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3.0400000000000005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HENRY WILCHES DE LA ROSA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3.0400000000000005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116</v>
      </c>
      <c r="C47" s="88" t="s">
        <v>117</v>
      </c>
      <c r="D47" s="32" t="str">
        <f>D40</f>
        <v>LIST</v>
      </c>
      <c r="E47" s="89" t="s">
        <v>104</v>
      </c>
      <c r="F47" s="199" t="str">
        <f>LIDER!$E$35</f>
        <v>GRUPO#7  EMPANADAS ITALIANAS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JUAN SEBASTIAN PRENS BOSSIO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2.7</v>
      </c>
      <c r="F48" s="200">
        <v>2.8</v>
      </c>
      <c r="G48" s="197">
        <v>2.8</v>
      </c>
      <c r="H48" s="195">
        <v>2.6</v>
      </c>
      <c r="I48" s="197">
        <v>3</v>
      </c>
      <c r="J48" s="195">
        <v>2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ALEXANDER DUBAN PROTZKAR DE LA HOZ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2.7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JOSE ANGEL VALLEJO REALES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2.7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118</v>
      </c>
      <c r="C54" s="88" t="s">
        <v>119</v>
      </c>
      <c r="D54" s="32" t="str">
        <f>D47</f>
        <v>LIST</v>
      </c>
      <c r="E54" s="89" t="s">
        <v>104</v>
      </c>
      <c r="F54" s="199" t="str">
        <f>LIDER!$E$36</f>
        <v xml:space="preserve">GRUPO#8 GLOBAL GRADE 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EDINSON ANDRES CASTRO PADILLA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4.01</v>
      </c>
      <c r="F55" s="200">
        <v>3.9</v>
      </c>
      <c r="G55" s="197">
        <v>3.8</v>
      </c>
      <c r="H55" s="195">
        <v>3.9</v>
      </c>
      <c r="I55" s="197">
        <v>4</v>
      </c>
      <c r="J55" s="195">
        <v>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MATEO ANDRÉS CUESTA DÍAZ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4.01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LUKASS GIRALDO RAMIREZ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4.01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LOREINES OSPINO HERNÁNDEZ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4.01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VALERY DANIELA SAENZ WATTS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4.01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SHARONE JANNINE ORDOÑEZ ESCUDERO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4.01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120</v>
      </c>
      <c r="C61" s="88" t="s">
        <v>121</v>
      </c>
      <c r="D61" s="32" t="str">
        <f>D54</f>
        <v>LIST</v>
      </c>
      <c r="E61" s="89" t="s">
        <v>104</v>
      </c>
      <c r="F61" s="199" t="str">
        <f>LIDER!$E$37</f>
        <v>GRUPO#9  SESAMIA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LINETH MARCELA GONZALEZ LASTRE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3.1700000000000004</v>
      </c>
      <c r="F62" s="200">
        <v>3</v>
      </c>
      <c r="G62" s="197">
        <v>3.1</v>
      </c>
      <c r="H62" s="195">
        <v>3</v>
      </c>
      <c r="I62" s="197">
        <v>3.5</v>
      </c>
      <c r="J62" s="195">
        <v>3.5</v>
      </c>
      <c r="K62" s="197"/>
      <c r="L62" s="195"/>
    </row>
    <row r="63" spans="1:12" s="2" customFormat="1" ht="15" customHeight="1">
      <c r="A63" s="12">
        <v>2</v>
      </c>
      <c r="B63" s="10" t="str">
        <f>LIDER!E60</f>
        <v>MARIA JOSE SUAREZ AMARIS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3.1700000000000004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89</v>
      </c>
      <c r="C68" s="88" t="s">
        <v>122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91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93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G54" activePane="bottomRight" state="frozen"/>
      <selection pane="bottomRight" activeCell="K55" sqref="K55:K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ESTADÍSTICA</v>
      </c>
      <c r="C2" s="82"/>
      <c r="D2" s="3"/>
      <c r="F2" s="205" t="s">
        <v>99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CONCATENATE(LIDER!F4," - ",LIDER!F6," - ",LIDER!F5)</f>
        <v>ESTADÍSTICA - 1795 - CECILIA PAILLIER GONZALEZ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 xml:space="preserve">GRUPO#1  COLOMBIAN TANK TOP 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SIARA LUCIA CHAMS CARBALLO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2.5</v>
      </c>
      <c r="F6" s="200">
        <v>2.5</v>
      </c>
      <c r="G6" s="197">
        <v>2.5</v>
      </c>
      <c r="H6" s="195">
        <v>2.5</v>
      </c>
      <c r="I6" s="197">
        <v>2.5</v>
      </c>
      <c r="J6" s="195">
        <v>2.5</v>
      </c>
      <c r="K6" s="197"/>
      <c r="L6" s="195"/>
    </row>
    <row r="7" spans="1:12" s="2" customFormat="1" ht="15" customHeight="1">
      <c r="A7" s="12">
        <v>2</v>
      </c>
      <c r="B7" s="10" t="str">
        <f>LIDER!E44</f>
        <v>LAUREN CAROLINA MARTINEZ LICONA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2.5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ASLLY MARGARITA RINCON MATTOS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2.5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 xml:space="preserve">GRUPO#2 VITALA 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HELENA ISABEL ALVAREZ CORTINA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3.2</v>
      </c>
      <c r="F13" s="200">
        <v>3.2</v>
      </c>
      <c r="G13" s="197">
        <v>3.2</v>
      </c>
      <c r="H13" s="195">
        <v>3.2</v>
      </c>
      <c r="I13" s="197">
        <v>3.2</v>
      </c>
      <c r="J13" s="195">
        <v>3.2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YEIDER SANTIAGO BOHORQUEZ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3.2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MELANY ANDREA FLÓREZ ALMANZA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3.2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ELIAN MANUEL PACHECO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3.2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VALERIA PASTRANA ARRIETA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3.2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 t="str">
        <f>LIDER!F48</f>
        <v>JUAN PABLO QUIJANO GUEVARA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3.2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75</v>
      </c>
      <c r="C19" s="88" t="s">
        <v>107</v>
      </c>
      <c r="D19" s="32" t="str">
        <f>D12</f>
        <v>LIST</v>
      </c>
      <c r="E19" s="89" t="s">
        <v>104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104</v>
      </c>
      <c r="F26" s="199" t="str">
        <f>LIDER!$E$32</f>
        <v xml:space="preserve">GRUPO#4 MISTERY GLOBAL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JUAN CARLOS BALDIRIS ESPITIA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</v>
      </c>
      <c r="F27" s="200">
        <v>4.5</v>
      </c>
      <c r="G27" s="197">
        <v>4.5</v>
      </c>
      <c r="H27" s="195">
        <v>4.5</v>
      </c>
      <c r="I27" s="197">
        <v>4.5</v>
      </c>
      <c r="J27" s="195">
        <v>4.5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MARIA CRISTINA CAÑATE MERCADO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KARINA MARRUGO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HILARYS CAROLINA PATERNINA DONADO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MATEO QUINTANA SERNA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104</v>
      </c>
      <c r="F33" s="199" t="str">
        <f>LIDER!$E$33</f>
        <v xml:space="preserve">GRUPO#5 VINO MUCILAGO DE CACAO 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JORGE ALBERTO BATISTA TABORDA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</v>
      </c>
      <c r="F34" s="200">
        <v>4.5</v>
      </c>
      <c r="G34" s="197">
        <v>4.5</v>
      </c>
      <c r="H34" s="195">
        <v>4.5</v>
      </c>
      <c r="I34" s="197">
        <v>4.5</v>
      </c>
      <c r="J34" s="195">
        <v>4.5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LAURA DANIELA MANOTAS ACEVEDO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JESED ALEJANDRO OBANDO MARSIGLIA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EDITH MARIA RIVERA MENDOZA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JEAN CARLOS RODRIGUEZ PEREZ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114</v>
      </c>
      <c r="C40" s="88" t="s">
        <v>115</v>
      </c>
      <c r="D40" s="32" t="str">
        <f>D33</f>
        <v>LIST</v>
      </c>
      <c r="E40" s="89" t="s">
        <v>104</v>
      </c>
      <c r="F40" s="199" t="str">
        <f>LIDER!$E$34</f>
        <v xml:space="preserve">GRUPO#6 BIOADRON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ISSAC DAVID ANGULO ZABALETA</v>
      </c>
      <c r="C41" s="90" t="str">
        <f>C40</f>
        <v>G06</v>
      </c>
      <c r="D41" s="95" t="s">
        <v>125</v>
      </c>
      <c r="E41" s="11" t="str">
        <f>IF(B41=0,0,IF(D41="",$F$41*LIDER!$H$9+$G$41*LIDER!$H$10+$H$41*LIDER!$H$11+$I$41*LIDER!$H$12+$J$41*LIDER!$H$13+$K$41*LIDER!$H$14+$L$41*LIDER!$H$15,"N"))</f>
        <v>N</v>
      </c>
      <c r="F41" s="200">
        <v>2</v>
      </c>
      <c r="G41" s="197">
        <v>2</v>
      </c>
      <c r="H41" s="195">
        <v>2</v>
      </c>
      <c r="I41" s="197">
        <v>2</v>
      </c>
      <c r="J41" s="195">
        <v>2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ANDRES FELIPE ARROYO PARRA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1.9999999999999998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ADRIANO CORDOBA RODRIGUEZ</v>
      </c>
      <c r="C43" s="90" t="str">
        <f t="shared" si="5"/>
        <v>G06</v>
      </c>
      <c r="D43" s="96" t="s">
        <v>125</v>
      </c>
      <c r="E43" s="11" t="str">
        <f>IF(B43=0,0,IF(D43="",$F$41*LIDER!$H$9+$G$41*LIDER!$H$10+$H$41*LIDER!$H$11+$I$41*LIDER!$H$12+$J$41*LIDER!$H$13+$K$41*LIDER!$H$14+$L$41*LIDER!$H$15,"N"))</f>
        <v>N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RONNY AMEL DE ORO MOLINA</v>
      </c>
      <c r="C44" s="90" t="str">
        <f t="shared" si="5"/>
        <v>G06</v>
      </c>
      <c r="D44" s="96" t="s">
        <v>125</v>
      </c>
      <c r="E44" s="11" t="str">
        <f>IF(B44=0,0,IF(D44="",$F$41*LIDER!$H$9+$G$41*LIDER!$H$10+$H$41*LIDER!$H$11+$I$41*LIDER!$H$12+$J$41*LIDER!$H$13+$K$41*LIDER!$H$14+$L$41*LIDER!$H$15,"N"))</f>
        <v>N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HENRY WILCHES DE LA ROSA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1.9999999999999998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116</v>
      </c>
      <c r="C47" s="88" t="s">
        <v>117</v>
      </c>
      <c r="D47" s="32" t="str">
        <f>D40</f>
        <v>LIST</v>
      </c>
      <c r="E47" s="89" t="s">
        <v>104</v>
      </c>
      <c r="F47" s="199" t="str">
        <f>LIDER!$E$35</f>
        <v>GRUPO#7  EMPANADAS ITALIANAS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JUAN SEBASTIAN PRENS BOSSIO</v>
      </c>
      <c r="C48" s="90" t="str">
        <f>C47</f>
        <v>G07</v>
      </c>
      <c r="D48" s="95" t="s">
        <v>125</v>
      </c>
      <c r="E48" s="11" t="str">
        <f>IF(B48=0,0,IF(D48="",$F$48*LIDER!$H$9+$G$48*LIDER!$H$10+$H$48*LIDER!$H$11+$I$48*LIDER!$H$12+$J$48*LIDER!$H$13+$K$48*LIDER!$H$14+$L$48*LIDER!$H$15,"N"))</f>
        <v>N</v>
      </c>
      <c r="F48" s="200">
        <v>1</v>
      </c>
      <c r="G48" s="197">
        <v>1</v>
      </c>
      <c r="H48" s="195">
        <v>1</v>
      </c>
      <c r="I48" s="197">
        <v>1</v>
      </c>
      <c r="J48" s="195">
        <v>1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ALEXANDER DUBAN PROTZKAR DE LA HOZ</v>
      </c>
      <c r="C49" s="90" t="str">
        <f t="shared" ref="C49:C53" si="6">C48</f>
        <v>G07</v>
      </c>
      <c r="D49" s="96" t="s">
        <v>125</v>
      </c>
      <c r="E49" s="11" t="str">
        <f>IF(B49=0,0,IF(D49="",$F$48*LIDER!$H$9+$G$48*LIDER!$H$10+$H$48*LIDER!$H$11+$I$48*LIDER!$H$12+$J$48*LIDER!$H$13+$K$48*LIDER!$H$14+$L$48*LIDER!$H$15,"N"))</f>
        <v>N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JOSE ANGEL VALLEJO REALES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0.99999999999999989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118</v>
      </c>
      <c r="C54" s="88" t="s">
        <v>119</v>
      </c>
      <c r="D54" s="32" t="str">
        <f>D47</f>
        <v>LIST</v>
      </c>
      <c r="E54" s="89" t="s">
        <v>104</v>
      </c>
      <c r="F54" s="199" t="str">
        <f>LIDER!$E$36</f>
        <v xml:space="preserve">GRUPO#8 GLOBAL GRADE 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EDINSON ANDRES CASTRO PADILLA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3.04</v>
      </c>
      <c r="F55" s="200"/>
      <c r="G55" s="197">
        <v>3.8</v>
      </c>
      <c r="H55" s="195">
        <v>3.8</v>
      </c>
      <c r="I55" s="197">
        <v>3.8</v>
      </c>
      <c r="J55" s="195">
        <v>3.8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MATEO ANDRÉS CUESTA DÍAZ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3.04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LUKASS GIRALDO RAMIREZ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3.04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LOREINES OSPINO HERNÁNDEZ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3.04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VALERY DANIELA SAENZ WATTS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3.04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SHARONE JANNINE ORDOÑEZ ESCUDERO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3.04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120</v>
      </c>
      <c r="C61" s="88" t="s">
        <v>121</v>
      </c>
      <c r="D61" s="32" t="str">
        <f>D54</f>
        <v>LIST</v>
      </c>
      <c r="E61" s="89" t="s">
        <v>104</v>
      </c>
      <c r="F61" s="199" t="str">
        <f>LIDER!$E$37</f>
        <v>GRUPO#9  SESAMIA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LINETH MARCELA GONZALEZ LASTRE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0.99999999999999989</v>
      </c>
      <c r="F62" s="200">
        <v>1</v>
      </c>
      <c r="G62" s="197">
        <v>1</v>
      </c>
      <c r="H62" s="195">
        <v>1</v>
      </c>
      <c r="I62" s="197">
        <v>1</v>
      </c>
      <c r="J62" s="195">
        <v>1</v>
      </c>
      <c r="K62" s="197"/>
      <c r="L62" s="195"/>
    </row>
    <row r="63" spans="1:12" s="2" customFormat="1" ht="15" customHeight="1">
      <c r="A63" s="12">
        <v>2</v>
      </c>
      <c r="B63" s="10" t="str">
        <f>LIDER!E60</f>
        <v>MARIA JOSE SUAREZ AMARIS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0.99999999999999989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89</v>
      </c>
      <c r="C68" s="88" t="s">
        <v>122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91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93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G22" activePane="bottomRight" state="frozen"/>
      <selection pane="bottomRight" activeCell="K55" sqref="K55:K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FUNDAMENTOS DE MERCADEO</v>
      </c>
      <c r="C2" s="82"/>
      <c r="D2" s="3"/>
      <c r="F2" s="205" t="s">
        <v>99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CONCATENATE(LIDER!G4," - ",LIDER!G6," - ",LIDER!G5)</f>
        <v>FUNDAMENTOS DE MERCADEO - 1350 - GABRIEL EDUARDO CARDONA TUÑON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 xml:space="preserve">GRUPO#1  COLOMBIAN TANK TOP 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SIARA LUCIA CHAMS CARBALLO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4.29</v>
      </c>
      <c r="F6" s="200">
        <v>4.5</v>
      </c>
      <c r="G6" s="197">
        <v>4.2</v>
      </c>
      <c r="H6" s="195">
        <v>4.2</v>
      </c>
      <c r="I6" s="197">
        <v>4.2</v>
      </c>
      <c r="J6" s="195">
        <v>4.5</v>
      </c>
      <c r="K6" s="197"/>
      <c r="L6" s="195"/>
    </row>
    <row r="7" spans="1:12" s="2" customFormat="1" ht="15" customHeight="1">
      <c r="A7" s="12">
        <v>2</v>
      </c>
      <c r="B7" s="10" t="str">
        <f>LIDER!E44</f>
        <v>LAUREN CAROLINA MARTINEZ LICONA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4.29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ASLLY MARGARITA RINCON MATTOS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4.29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 xml:space="preserve">GRUPO#2 VITALA 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HELENA ISABEL ALVAREZ CORTINA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2.92</v>
      </c>
      <c r="F13" s="200">
        <v>3.3</v>
      </c>
      <c r="G13" s="197">
        <v>2.8</v>
      </c>
      <c r="H13" s="195">
        <v>2.8</v>
      </c>
      <c r="I13" s="197">
        <v>2.8</v>
      </c>
      <c r="J13" s="195">
        <v>3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YEIDER SANTIAGO BOHORQUEZ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2.92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MELANY ANDREA FLÓREZ ALMANZA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2.92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ELIAN MANUEL PACHECO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2.92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VALERIA PASTRANA ARRIETA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2.92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 t="str">
        <f>LIDER!F48</f>
        <v>JUAN PABLO QUIJANO GUEVARA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2.92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75</v>
      </c>
      <c r="C19" s="88" t="s">
        <v>107</v>
      </c>
      <c r="D19" s="32" t="str">
        <f>D12</f>
        <v>LIST</v>
      </c>
      <c r="E19" s="89" t="s">
        <v>104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104</v>
      </c>
      <c r="F26" s="199" t="str">
        <f>LIDER!$E$32</f>
        <v xml:space="preserve">GRUPO#4 MISTERY GLOBAL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JUAN CARLOS BALDIRIS ESPITIA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4.1500000000000004</v>
      </c>
      <c r="F27" s="200">
        <v>4.5</v>
      </c>
      <c r="G27" s="197">
        <v>4</v>
      </c>
      <c r="H27" s="195">
        <v>4</v>
      </c>
      <c r="I27" s="197">
        <v>4</v>
      </c>
      <c r="J27" s="195">
        <v>4.5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MARIA CRISTINA CAÑATE MERCADO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4.1500000000000004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KARINA MARRUGO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4.1500000000000004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HILARYS CAROLINA PATERNINA DONADO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4.1500000000000004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MATEO QUINTANA SERNA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4.1500000000000004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104</v>
      </c>
      <c r="F33" s="199" t="str">
        <f>LIDER!$E$33</f>
        <v xml:space="preserve">GRUPO#5 VINO MUCILAGO DE CACAO 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JORGE ALBERTO BATISTA TABORDA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 t="str">
        <f>LIDER!E52</f>
        <v>LAURA DANIELA MANOTAS ACEVEDO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JESED ALEJANDRO OBANDO MARSIGLIA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EDITH MARIA RIVERA MENDOZA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JEAN CARLOS RODRIGUEZ PEREZ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114</v>
      </c>
      <c r="C40" s="88" t="s">
        <v>115</v>
      </c>
      <c r="D40" s="32" t="str">
        <f>D33</f>
        <v>LIST</v>
      </c>
      <c r="E40" s="89" t="s">
        <v>104</v>
      </c>
      <c r="F40" s="199" t="str">
        <f>LIDER!$E$34</f>
        <v xml:space="preserve">GRUPO#6 BIOADRON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ISSAC DAVID ANGULO ZABALETA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3.1300000000000003</v>
      </c>
      <c r="F41" s="200">
        <v>3.5</v>
      </c>
      <c r="G41" s="197">
        <v>3</v>
      </c>
      <c r="H41" s="195">
        <v>3</v>
      </c>
      <c r="I41" s="197">
        <v>3</v>
      </c>
      <c r="J41" s="195">
        <v>3.3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ANDRES FELIPE ARROYO PARRA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3.1300000000000003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ADRIANO CORDOBA RODRIGUEZ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3.1300000000000003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RONNY AMEL DE ORO MOLINA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3.1300000000000003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HENRY WILCHES DE LA ROSA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3.1300000000000003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116</v>
      </c>
      <c r="C47" s="88" t="s">
        <v>117</v>
      </c>
      <c r="D47" s="32" t="str">
        <f>D40</f>
        <v>LIST</v>
      </c>
      <c r="E47" s="89" t="s">
        <v>104</v>
      </c>
      <c r="F47" s="199" t="str">
        <f>LIDER!$E$35</f>
        <v>GRUPO#7  EMPANADAS ITALIANAS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JUAN SEBASTIAN PRENS BOSSIO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2.1</v>
      </c>
      <c r="F48" s="200">
        <v>2.5</v>
      </c>
      <c r="G48" s="197">
        <v>2</v>
      </c>
      <c r="H48" s="195">
        <v>2</v>
      </c>
      <c r="I48" s="197">
        <v>2</v>
      </c>
      <c r="J48" s="195">
        <v>2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ALEXANDER DUBAN PROTZKAR DE LA HOZ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2.1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JOSE ANGEL VALLEJO REALES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2.1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118</v>
      </c>
      <c r="C54" s="88" t="s">
        <v>119</v>
      </c>
      <c r="D54" s="32" t="str">
        <f>D47</f>
        <v>LIST</v>
      </c>
      <c r="E54" s="89" t="s">
        <v>104</v>
      </c>
      <c r="F54" s="199" t="str">
        <f>LIDER!$E$36</f>
        <v xml:space="preserve">GRUPO#8 GLOBAL GRADE 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EDINSON ANDRES CASTRO PADILLA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3.66</v>
      </c>
      <c r="F55" s="200">
        <v>3.8</v>
      </c>
      <c r="G55" s="197">
        <v>3.6</v>
      </c>
      <c r="H55" s="195">
        <v>3.6</v>
      </c>
      <c r="I55" s="197">
        <v>3.6</v>
      </c>
      <c r="J55" s="195">
        <v>3.8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MATEO ANDRÉS CUESTA DÍAZ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3.66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LUKASS GIRALDO RAMIREZ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3.66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LOREINES OSPINO HERNÁNDEZ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3.66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VALERY DANIELA SAENZ WATTS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3.66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SHARONE JANNINE ORDOÑEZ ESCUDERO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3.66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120</v>
      </c>
      <c r="C61" s="88" t="s">
        <v>121</v>
      </c>
      <c r="D61" s="32" t="str">
        <f>D54</f>
        <v>LIST</v>
      </c>
      <c r="E61" s="89" t="s">
        <v>104</v>
      </c>
      <c r="F61" s="199" t="str">
        <f>LIDER!$E$37</f>
        <v>GRUPO#9  SESAMIA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LINETH MARCELA GONZALEZ LASTRE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 t="str">
        <f>LIDER!E60</f>
        <v>MARIA JOSE SUAREZ AMARIS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89</v>
      </c>
      <c r="C68" s="88" t="s">
        <v>122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91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93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26" activePane="bottomRight" state="frozen"/>
      <selection pane="bottomRight" activeCell="B20" sqref="B2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LIDER!H4</f>
        <v>FUNDAMENTOS DE FINANZAS</v>
      </c>
      <c r="C2" s="82"/>
      <c r="D2" s="3"/>
      <c r="F2" s="205" t="s">
        <v>99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CONCATENATE(LIDER!H4," - ",LIDER!H6," - ",LIDER!H5)</f>
        <v>FUNDAMENTOS DE FINANZAS - 1473 - LEONARDO CARLOS DE ORO BARRIOS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 xml:space="preserve">GRUPO#1  COLOMBIAN TANK TOP 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SIARA LUCIA CHAMS CARBALLO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3.8800000000000003</v>
      </c>
      <c r="F6" s="200">
        <v>4.2</v>
      </c>
      <c r="G6" s="197">
        <v>4.2</v>
      </c>
      <c r="H6" s="195">
        <v>4.2</v>
      </c>
      <c r="I6" s="197">
        <v>4.2</v>
      </c>
      <c r="J6" s="195">
        <v>1</v>
      </c>
      <c r="K6" s="197"/>
      <c r="L6" s="195"/>
    </row>
    <row r="7" spans="1:12" s="2" customFormat="1" ht="15" customHeight="1">
      <c r="A7" s="12">
        <v>2</v>
      </c>
      <c r="B7" s="10" t="str">
        <f>LIDER!E44</f>
        <v>LAUREN CAROLINA MARTINEZ LICONA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3.8800000000000003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ASLLY MARGARITA RINCON MATTOS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3.8800000000000003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 xml:space="preserve">GRUPO#2 VITALA 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HELENA ISABEL ALVAREZ CORTINA</v>
      </c>
      <c r="C13" s="90" t="str">
        <f>C12</f>
        <v>G02</v>
      </c>
      <c r="D13" s="95" t="s">
        <v>125</v>
      </c>
      <c r="E13" s="11" t="str">
        <f>IF(B13=0,0,IF(D13="",$F$13*LIDER!$H$9+$G$13*LIDER!$H$10+$H$13*LIDER!$H$11+$I$13*LIDER!$H$12+$J$13*LIDER!$H$13+$K$13*LIDER!$H$14+$L$13*LIDER!$H$15,"N"))</f>
        <v>N</v>
      </c>
      <c r="F13" s="200">
        <v>2.5</v>
      </c>
      <c r="G13" s="197">
        <v>3</v>
      </c>
      <c r="H13" s="195">
        <v>3</v>
      </c>
      <c r="I13" s="197">
        <v>3</v>
      </c>
      <c r="J13" s="195">
        <v>1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YEIDER SANTIAGO BOHORQUEZ GONZALEZ</v>
      </c>
      <c r="C14" s="90" t="str">
        <f t="shared" ref="C14:C18" si="1">C13</f>
        <v>G02</v>
      </c>
      <c r="D14" s="96" t="s">
        <v>125</v>
      </c>
      <c r="E14" s="11" t="str">
        <f>IF(B14=0,0,IF(D14="",$F$13*LIDER!$H$9+$G$13*LIDER!$H$10+$H$13*LIDER!$H$11+$I$13*LIDER!$H$12+$J$13*LIDER!$H$13+$K$13*LIDER!$H$14+$L$13*LIDER!$H$15,"N"))</f>
        <v>N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MELANY ANDREA FLÓREZ ALMANZA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2.7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ELIAN MANUEL PACHECO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2.7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VALERIA PASTRANA ARRIETA</v>
      </c>
      <c r="C17" s="90" t="str">
        <f t="shared" si="1"/>
        <v>G02</v>
      </c>
      <c r="D17" s="96" t="s">
        <v>125</v>
      </c>
      <c r="E17" s="11" t="str">
        <f>IF(B17=0,0,IF(D17="",$F$13*LIDER!$H$9+$G$13*LIDER!$H$10+$H$13*LIDER!$H$11+$I$13*LIDER!$H$12+$J$13*LIDER!$H$13+$K$13*LIDER!$H$14+$L$13*LIDER!$H$15,"N"))</f>
        <v>N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 t="str">
        <f>LIDER!F48</f>
        <v>JUAN PABLO QUIJANO GUEVARA</v>
      </c>
      <c r="C18" s="92" t="str">
        <f t="shared" si="1"/>
        <v>G02</v>
      </c>
      <c r="D18" s="97" t="s">
        <v>125</v>
      </c>
      <c r="E18" s="93" t="str">
        <f>IF(B18=0,0,IF(D18="",$F$13*LIDER!$H$9+$G$13*LIDER!$H$10+$H$13*LIDER!$H$11+$I$13*LIDER!$H$12+$J$13*LIDER!$H$13+$K$13*LIDER!$H$14+$L$13*LIDER!$H$15,"N"))</f>
        <v>N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75</v>
      </c>
      <c r="C19" s="88" t="s">
        <v>107</v>
      </c>
      <c r="D19" s="32" t="str">
        <f>D12</f>
        <v>LIST</v>
      </c>
      <c r="E19" s="89" t="s">
        <v>104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>
        <v>1</v>
      </c>
      <c r="G20" s="197">
        <v>1</v>
      </c>
      <c r="H20" s="195">
        <v>1</v>
      </c>
      <c r="I20" s="197">
        <v>1</v>
      </c>
      <c r="J20" s="195">
        <v>1</v>
      </c>
      <c r="K20" s="197"/>
      <c r="L20" s="19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104</v>
      </c>
      <c r="F26" s="199" t="str">
        <f>LIDER!$E$32</f>
        <v xml:space="preserve">GRUPO#4 MISTERY GLOBAL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JUAN CARLOS BALDIRIS ESPITIA</v>
      </c>
      <c r="C27" s="90" t="str">
        <f>C26</f>
        <v>G04</v>
      </c>
      <c r="D27" s="95" t="s">
        <v>125</v>
      </c>
      <c r="E27" s="11" t="str">
        <f>IF(B27=0,0,IF(D27="",$F$27*LIDER!$H$9+$G$27*LIDER!$H$10+$H$27*LIDER!$H$11+$I$27*LIDER!$H$12+$J$27*LIDER!$H$13+$K$27*LIDER!$H$14+$L$27*LIDER!$H$15,"N"))</f>
        <v>N</v>
      </c>
      <c r="F27" s="200">
        <v>3.5</v>
      </c>
      <c r="G27" s="197">
        <v>3.5</v>
      </c>
      <c r="H27" s="195">
        <v>3.5</v>
      </c>
      <c r="I27" s="197">
        <v>3</v>
      </c>
      <c r="J27" s="195">
        <v>4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MARIA CRISTINA CAÑATE MERCADO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3.45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KARINA MARRUGO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3.45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HILARYS CAROLINA PATERNINA DONADO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3.45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MATEO QUINTANA SERNA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3.45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104</v>
      </c>
      <c r="F33" s="199" t="str">
        <f>LIDER!$E$33</f>
        <v xml:space="preserve">GRUPO#5 VINO MUCILAGO DE CACAO 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JORGE ALBERTO BATISTA TABORDA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</v>
      </c>
      <c r="F34" s="200">
        <v>3</v>
      </c>
      <c r="G34" s="197">
        <v>4</v>
      </c>
      <c r="H34" s="195">
        <v>4</v>
      </c>
      <c r="I34" s="197">
        <v>3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LAURA DANIELA MANOTAS ACEVEDO</v>
      </c>
      <c r="C35" s="90" t="str">
        <f t="shared" ref="C35:C39" si="4">C34</f>
        <v>G05</v>
      </c>
      <c r="D35" s="96" t="s">
        <v>125</v>
      </c>
      <c r="E35" s="11" t="str">
        <f>IF(B35=0,0,IF(D35="",$F$34*LIDER!$H$9+$G$34*LIDER!$H$10+$H$34*LIDER!$H$11+$I$34*LIDER!$H$12+$J$34*LIDER!$H$13+$K$34*LIDER!$H$14+$L$34*LIDER!$H$15,"N"))</f>
        <v>N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JESED ALEJANDRO OBANDO MARSIGLIA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EDITH MARIA RIVERA MENDOZA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JEAN CARLOS RODRIGUEZ PEREZ</v>
      </c>
      <c r="C38" s="90" t="str">
        <f t="shared" si="4"/>
        <v>G05</v>
      </c>
      <c r="D38" s="96" t="s">
        <v>125</v>
      </c>
      <c r="E38" s="11" t="str">
        <f>IF(B38=0,0,IF(D38="",$F$34*LIDER!$H$9+$G$34*LIDER!$H$10+$H$34*LIDER!$H$11+$I$34*LIDER!$H$12+$J$34*LIDER!$H$13+$K$34*LIDER!$H$14+$L$34*LIDER!$H$15,"N"))</f>
        <v>N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114</v>
      </c>
      <c r="C40" s="88" t="s">
        <v>115</v>
      </c>
      <c r="D40" s="32" t="str">
        <f>D33</f>
        <v>LIST</v>
      </c>
      <c r="E40" s="89" t="s">
        <v>104</v>
      </c>
      <c r="F40" s="199" t="str">
        <f>LIDER!$E$34</f>
        <v xml:space="preserve">GRUPO#6 BIOADRON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ISSAC DAVID ANGULO ZABALETA</v>
      </c>
      <c r="C41" s="90" t="str">
        <f>C40</f>
        <v>G06</v>
      </c>
      <c r="D41" s="95" t="s">
        <v>125</v>
      </c>
      <c r="E41" s="11" t="str">
        <f>IF(B41=0,0,IF(D41="",$F$41*LIDER!$H$9+$G$41*LIDER!$H$10+$H$41*LIDER!$H$11+$I$41*LIDER!$H$12+$J$41*LIDER!$H$13+$K$41*LIDER!$H$14+$L$41*LIDER!$H$15,"N"))</f>
        <v>N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 t="str">
        <f>LIDER!F52</f>
        <v>ANDRES FELIPE ARROYO PARRA</v>
      </c>
      <c r="C42" s="90" t="str">
        <f t="shared" ref="C42:C46" si="5">C41</f>
        <v>G06</v>
      </c>
      <c r="D42" s="96" t="s">
        <v>125</v>
      </c>
      <c r="E42" s="11" t="str">
        <f>IF(B42=0,0,IF(D42="",$F$41*LIDER!$H$9+$G$41*LIDER!$H$10+$H$41*LIDER!$H$11+$I$41*LIDER!$H$12+$J$41*LIDER!$H$13+$K$41*LIDER!$H$14+$L$41*LIDER!$H$15,"N"))</f>
        <v>N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ADRIANO CORDOBA RODRIGUEZ</v>
      </c>
      <c r="C43" s="90" t="str">
        <f t="shared" si="5"/>
        <v>G06</v>
      </c>
      <c r="D43" s="96" t="s">
        <v>125</v>
      </c>
      <c r="E43" s="11" t="str">
        <f>IF(B43=0,0,IF(D43="",$F$41*LIDER!$H$9+$G$41*LIDER!$H$10+$H$41*LIDER!$H$11+$I$41*LIDER!$H$12+$J$41*LIDER!$H$13+$K$41*LIDER!$H$14+$L$41*LIDER!$H$15,"N"))</f>
        <v>N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RONNY AMEL DE ORO MOLINA</v>
      </c>
      <c r="C44" s="90" t="str">
        <f t="shared" si="5"/>
        <v>G06</v>
      </c>
      <c r="D44" s="96" t="s">
        <v>125</v>
      </c>
      <c r="E44" s="11" t="str">
        <f>IF(B44=0,0,IF(D44="",$F$41*LIDER!$H$9+$G$41*LIDER!$H$10+$H$41*LIDER!$H$11+$I$41*LIDER!$H$12+$J$41*LIDER!$H$13+$K$41*LIDER!$H$14+$L$41*LIDER!$H$15,"N"))</f>
        <v>N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HENRY WILCHES DE LA ROSA</v>
      </c>
      <c r="C45" s="90" t="str">
        <f t="shared" si="5"/>
        <v>G06</v>
      </c>
      <c r="D45" s="96" t="s">
        <v>125</v>
      </c>
      <c r="E45" s="11" t="str">
        <f>IF(B45=0,0,IF(D45="",$F$41*LIDER!$H$9+$G$41*LIDER!$H$10+$H$41*LIDER!$H$11+$I$41*LIDER!$H$12+$J$41*LIDER!$H$13+$K$41*LIDER!$H$14+$L$41*LIDER!$H$15,"N"))</f>
        <v>N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116</v>
      </c>
      <c r="C47" s="88" t="s">
        <v>117</v>
      </c>
      <c r="D47" s="32" t="str">
        <f>D40</f>
        <v>LIST</v>
      </c>
      <c r="E47" s="89" t="s">
        <v>104</v>
      </c>
      <c r="F47" s="199" t="str">
        <f>LIDER!$E$35</f>
        <v>GRUPO#7  EMPANADAS ITALIANAS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JUAN SEBASTIAN PRENS BOSSIO</v>
      </c>
      <c r="C48" s="90" t="str">
        <f>C47</f>
        <v>G07</v>
      </c>
      <c r="D48" s="95" t="s">
        <v>125</v>
      </c>
      <c r="E48" s="11" t="str">
        <f>IF(B48=0,0,IF(D48="",$F$48*LIDER!$H$9+$G$48*LIDER!$H$10+$H$48*LIDER!$H$11+$I$48*LIDER!$H$12+$J$48*LIDER!$H$13+$K$48*LIDER!$H$14+$L$48*LIDER!$H$15,"N"))</f>
        <v>N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 t="str">
        <f>LIDER!G52</f>
        <v>ALEXANDER DUBAN PROTZKAR DE LA HOZ</v>
      </c>
      <c r="C49" s="90" t="str">
        <f t="shared" ref="C49:C53" si="6">C48</f>
        <v>G07</v>
      </c>
      <c r="D49" s="96" t="s">
        <v>125</v>
      </c>
      <c r="E49" s="11" t="str">
        <f>IF(B49=0,0,IF(D49="",$F$48*LIDER!$H$9+$G$48*LIDER!$H$10+$H$48*LIDER!$H$11+$I$48*LIDER!$H$12+$J$48*LIDER!$H$13+$K$48*LIDER!$H$14+$L$48*LIDER!$H$15,"N"))</f>
        <v>N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JOSE ANGEL VALLEJO REALES</v>
      </c>
      <c r="C50" s="90" t="str">
        <f t="shared" si="6"/>
        <v>G07</v>
      </c>
      <c r="D50" s="96" t="s">
        <v>125</v>
      </c>
      <c r="E50" s="11" t="str">
        <f>IF(B50=0,0,IF(D50="",$F$48*LIDER!$H$9+$G$48*LIDER!$H$10+$H$48*LIDER!$H$11+$I$48*LIDER!$H$12+$J$48*LIDER!$H$13+$K$48*LIDER!$H$14+$L$48*LIDER!$H$15,"N"))</f>
        <v>N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118</v>
      </c>
      <c r="C54" s="88" t="s">
        <v>119</v>
      </c>
      <c r="D54" s="32" t="str">
        <f>D47</f>
        <v>LIST</v>
      </c>
      <c r="E54" s="89" t="s">
        <v>104</v>
      </c>
      <c r="F54" s="199" t="str">
        <f>LIDER!$E$36</f>
        <v xml:space="preserve">GRUPO#8 GLOBAL GRADE 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EDINSON ANDRES CASTRO PADILLA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3.8000000000000003</v>
      </c>
      <c r="F55" s="200">
        <v>3</v>
      </c>
      <c r="G55" s="197">
        <v>4</v>
      </c>
      <c r="H55" s="195">
        <v>4</v>
      </c>
      <c r="I55" s="197">
        <v>3.5</v>
      </c>
      <c r="J55" s="195">
        <v>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MATEO ANDRÉS CUESTA DÍAZ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3.8000000000000003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LUKASS GIRALDO RAMIREZ</v>
      </c>
      <c r="C57" s="90" t="str">
        <f t="shared" si="7"/>
        <v>G08</v>
      </c>
      <c r="D57" s="96" t="s">
        <v>125</v>
      </c>
      <c r="E57" s="11" t="str">
        <f>IF(B57=0,0,IF(D57="",$F$55*LIDER!$H$9+$G$55*LIDER!$H$10+$H$55*LIDER!$H$11+$I$55*LIDER!$H$12+$J$55*LIDER!$H$13+$K$55*LIDER!$H$14+$L$55*LIDER!$H$15,"N"))</f>
        <v>N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LOREINES OSPINO HERNÁNDEZ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3.8000000000000003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VALERY DANIELA SAENZ WATTS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3.8000000000000003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SHARONE JANNINE ORDOÑEZ ESCUDERO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3.8000000000000003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120</v>
      </c>
      <c r="C61" s="88" t="s">
        <v>121</v>
      </c>
      <c r="D61" s="32" t="str">
        <f>D54</f>
        <v>LIST</v>
      </c>
      <c r="E61" s="89" t="s">
        <v>104</v>
      </c>
      <c r="F61" s="199" t="str">
        <f>LIDER!$E$37</f>
        <v>GRUPO#9  SESAMIA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LINETH MARCELA GONZALEZ LASTRE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2.8</v>
      </c>
      <c r="F62" s="200">
        <v>2.5</v>
      </c>
      <c r="G62" s="197">
        <v>3</v>
      </c>
      <c r="H62" s="195">
        <v>3</v>
      </c>
      <c r="I62" s="197">
        <v>2</v>
      </c>
      <c r="J62" s="195">
        <v>4</v>
      </c>
      <c r="K62" s="197"/>
      <c r="L62" s="195"/>
    </row>
    <row r="63" spans="1:12" s="2" customFormat="1" ht="15" customHeight="1">
      <c r="A63" s="12">
        <v>2</v>
      </c>
      <c r="B63" s="10" t="str">
        <f>LIDER!E60</f>
        <v>MARIA JOSE SUAREZ AMARIS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2.8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89</v>
      </c>
      <c r="C68" s="88" t="s">
        <v>122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91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93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205" t="s">
        <v>99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CONCATENATE(LIDER!I4," - ",LIDER!I6," - ",LIDER!I5)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 xml:space="preserve">GRUPO#1  COLOMBIAN TANK TOP 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SIARA LUCIA CHAMS CARBALLO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LAUREN CAROLINA MARTINEZ LICONA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ASLLY MARGARITA RINCON MATTOS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 xml:space="preserve">GRUPO#2 VITALA 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HELENA ISABEL ALVAREZ CORTINA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YEIDER SANTIAGO BOHORQUEZ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MELANY ANDREA FLÓREZ ALMANZA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ELIAN MANUEL PACHECO BELTRAN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VALERIA PASTRANA ARRIETA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 t="str">
        <f>LIDER!F48</f>
        <v>JUAN PABLO QUIJANO GUEVARA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75</v>
      </c>
      <c r="C19" s="88" t="s">
        <v>107</v>
      </c>
      <c r="D19" s="32" t="str">
        <f>D12</f>
        <v>LIST</v>
      </c>
      <c r="E19" s="89" t="s">
        <v>104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>
        <f>LIDER!G43</f>
        <v>0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>
        <f>LIDER!G44</f>
        <v>0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104</v>
      </c>
      <c r="F26" s="199" t="str">
        <f>LIDER!$E$32</f>
        <v xml:space="preserve">GRUPO#4 MISTERY GLOBAL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JUAN CARLOS BALDIRIS ESPITIA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MARIA CRISTINA CAÑATE MERCADO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KARINA MARRUGO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HILARYS CAROLINA PATERNINA DONADO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MATEO QUINTANA SERNA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104</v>
      </c>
      <c r="F33" s="199" t="str">
        <f>LIDER!$E$33</f>
        <v xml:space="preserve">GRUPO#5 VINO MUCILAGO DE CACAO 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JORGE ALBERTO BATISTA TABORDA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 t="str">
        <f>LIDER!E52</f>
        <v>LAURA DANIELA MANOTAS ACEVEDO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JESED ALEJANDRO OBANDO MARSIGLIA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EDITH MARIA RIVERA MENDOZA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 t="str">
        <f>LIDER!E55</f>
        <v>JEAN CARLOS RODRIGUEZ PEREZ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114</v>
      </c>
      <c r="C40" s="88" t="s">
        <v>115</v>
      </c>
      <c r="D40" s="32" t="str">
        <f>D33</f>
        <v>LIST</v>
      </c>
      <c r="E40" s="89" t="s">
        <v>104</v>
      </c>
      <c r="F40" s="199" t="str">
        <f>LIDER!$E$34</f>
        <v xml:space="preserve">GRUPO#6 BIOADRON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ISSAC DAVID ANGULO ZABALETA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 t="str">
        <f>LIDER!F52</f>
        <v>ANDRES FELIPE ARROYO PARRA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ADRIANO CORDOBA RODRIGUEZ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RONNY AMEL DE ORO MOLINA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HENRY WILCHES DE LA ROSA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116</v>
      </c>
      <c r="C47" s="88" t="s">
        <v>117</v>
      </c>
      <c r="D47" s="32" t="str">
        <f>D40</f>
        <v>LIST</v>
      </c>
      <c r="E47" s="89" t="s">
        <v>104</v>
      </c>
      <c r="F47" s="199" t="str">
        <f>LIDER!$E$35</f>
        <v>GRUPO#7  EMPANADAS ITALIANAS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JUAN SEBASTIAN PRENS BOSSIO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 t="str">
        <f>LIDER!G52</f>
        <v>ALEXANDER DUBAN PROTZKAR DE LA HOZ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JOSE ANGEL VALLEJO REALES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118</v>
      </c>
      <c r="C54" s="88" t="s">
        <v>119</v>
      </c>
      <c r="D54" s="32" t="str">
        <f>D47</f>
        <v>LIST</v>
      </c>
      <c r="E54" s="89" t="s">
        <v>104</v>
      </c>
      <c r="F54" s="199" t="str">
        <f>LIDER!$E$36</f>
        <v xml:space="preserve">GRUPO#8 GLOBAL GRADE 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EDINSON ANDRES CASTRO PADILLA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 t="str">
        <f>LIDER!H52</f>
        <v>MATEO ANDRÉS CUESTA DÍAZ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LUKASS GIRALDO RAMIREZ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LOREINES OSPINO HERNÁNDEZ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VALERY DANIELA SAENZ WATTS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SHARONE JANNINE ORDOÑEZ ESCUDERO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120</v>
      </c>
      <c r="C61" s="88" t="s">
        <v>121</v>
      </c>
      <c r="D61" s="32" t="str">
        <f>D54</f>
        <v>LIST</v>
      </c>
      <c r="E61" s="89" t="s">
        <v>104</v>
      </c>
      <c r="F61" s="199" t="str">
        <f>LIDER!$E$37</f>
        <v>GRUPO#9  SESAMIA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LINETH MARCELA GONZALEZ LASTRE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 t="str">
        <f>LIDER!E60</f>
        <v>MARIA JOSE SUAREZ AMARIS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89</v>
      </c>
      <c r="C68" s="88" t="s">
        <v>122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91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93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ELECTIVA DE PROFUNDIZACION I</v>
      </c>
      <c r="C2" s="3"/>
      <c r="E2" s="210" t="s">
        <v>99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CONCATENATE(LIDER!C4," - ",LIDER!C6," - ",LIDER!C5)</f>
        <v>ELECTIVA DE PROFUNDIZACION I - 2274 - SANDRA MILENA CASTAÑO GIRALDO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101</v>
      </c>
      <c r="C5" s="32" t="str">
        <f>IF('S-ASIG-01'!D5="","",'S-ASIG-01'!D5)</f>
        <v>LIST</v>
      </c>
      <c r="D5" s="35" t="s">
        <v>104</v>
      </c>
      <c r="E5" s="213" t="str">
        <f>LIDER!$E$29</f>
        <v xml:space="preserve">GRUPO#1  COLOMBIAN TANK TOP 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SIARA LUCIA CHAMS CARBALLO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LAUREN CAROLINA MARTINEZ LICONA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ASLLY MARGARITA RINCON MATTOS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IF('S-ASIG-01'!D12="","",'S-ASIG-01'!D12)</f>
        <v>LIST</v>
      </c>
      <c r="D12" s="35" t="s">
        <v>104</v>
      </c>
      <c r="E12" s="213" t="str">
        <f>LIDER!$E$30</f>
        <v xml:space="preserve">GRUPO#2 VITALA 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HELENA ISABEL ALVAREZ CORTINA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YEIDER SANTIAGO BOHORQUEZ GONZALEZ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MELANY ANDREA FLÓREZ ALMANZA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ELIAN MANUEL PACHECO BELTRAN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VALERIA PASTRANA ARRIETA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PABLO QUIJANO GUEVARA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0</v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IF('S-ASIG-01'!D19="","",'S-ASIG-01'!D19)</f>
        <v>LIST</v>
      </c>
      <c r="D19" s="35" t="s">
        <v>104</v>
      </c>
      <c r="E19" s="213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>
        <f>LIDER!G43</f>
        <v>0</v>
      </c>
      <c r="C20" s="33" t="str">
        <f>IF('S-ASIG-01'!D20="","",'S-ASIG-01'!D20)</f>
        <v/>
      </c>
      <c r="D20" s="30" t="str">
        <f>IF(B20=0,"",IF(C20="",$E$20*LIDER!$H$19+F20*LIDER!$H$20+G20*LIDER!$H$21+H20*LIDER!$H$22+I20*LIDER!$H$23+J20*LIDER!$H$24+K20*LIDER!$H$25,"N"))</f>
        <v/>
      </c>
      <c r="E20" s="20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IF('S-ASIG-01'!D21="","",'S-ASIG-01'!D21)</f>
        <v/>
      </c>
      <c r="D21" s="30" t="str">
        <f>IF(B21=0,"",IF(C21="",$E$20*LIDER!$H$19+F21*LIDER!$H$20+G21*LIDER!$H$21+H21*LIDER!$H$22+I21*LIDER!$H$23+J21*LIDER!$H$24+K21*LIDER!$H$25,"N"))</f>
        <v/>
      </c>
      <c r="E21" s="20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IF('S-ASIG-01'!D22="","",'S-ASIG-01'!D22)</f>
        <v/>
      </c>
      <c r="D22" s="30" t="str">
        <f>IF(B22=0,"",IF(C22="",$E$20*LIDER!$H$19+F22*LIDER!$H$20+G22*LIDER!$H$21+H22*LIDER!$H$22+I22*LIDER!$H$23+J22*LIDER!$H$24+K22*LIDER!$H$25,"N"))</f>
        <v/>
      </c>
      <c r="E22" s="20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0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IF('S-ASIG-01'!D26="","",'S-ASIG-01'!D26)</f>
        <v>LIST</v>
      </c>
      <c r="D26" s="35" t="s">
        <v>104</v>
      </c>
      <c r="E26" s="213" t="str">
        <f>LIDER!$E$32</f>
        <v xml:space="preserve">GRUPO#4 MISTERY GLOBAL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JUAN CARLOS BALDIRIS ESPITIA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MARIA CRISTINA CAÑATE MERCADO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KARINA MARRUGO MEZA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HILARYS CAROLINA PATERNINA DONADO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MATEO QUINTANA SERNA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IF('S-ASIG-01'!D33="","",'S-ASIG-01'!D33)</f>
        <v>LIST</v>
      </c>
      <c r="D33" s="35" t="s">
        <v>104</v>
      </c>
      <c r="E33" s="213" t="str">
        <f>LIDER!$E$33</f>
        <v xml:space="preserve">GRUPO#5 VINO MUCILAGO DE CACAO 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JORGE ALBERTO BATISTA TABORDA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LAURA DANIELA MANOTAS ACEVEDO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JESED ALEJANDRO OBANDO MARSIGLIA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EDITH MARIA RIVERA MENDOZA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JEAN CARLOS RODRIGUEZ PEREZ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114</v>
      </c>
      <c r="C40" s="32" t="str">
        <f>IF('S-ASIG-01'!D40="","",'S-ASIG-01'!D40)</f>
        <v>LIST</v>
      </c>
      <c r="D40" s="35" t="s">
        <v>104</v>
      </c>
      <c r="E40" s="213" t="str">
        <f>LIDER!$E$34</f>
        <v xml:space="preserve">GRUPO#6 BIOADRON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ISSAC DAVID ANGULO ZABALETA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ANDRES FELIPE ARROYO PARRA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ADRIANO CORDOBA RODRIGUEZ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RONNY AMEL DE ORO MOLINA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HENRY WILCHES DE LA ROSA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0</v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116</v>
      </c>
      <c r="C47" s="32" t="str">
        <f>IF('S-ASIG-01'!D47="","",'S-ASIG-01'!D47)</f>
        <v>LIST</v>
      </c>
      <c r="D47" s="35" t="s">
        <v>104</v>
      </c>
      <c r="E47" s="213" t="str">
        <f>LIDER!$E$35</f>
        <v>GRUPO#7  EMPANADAS ITALIANAS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JUAN SEBASTIAN PRENS BOSSIO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ALEXANDER DUBAN PROTZKAR DE LA HOZ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JOSE ANGEL VALLEJO REALES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118</v>
      </c>
      <c r="C54" s="32" t="str">
        <f>IF('S-ASIG-01'!D54="","",'S-ASIG-01'!D54)</f>
        <v>LIST</v>
      </c>
      <c r="D54" s="35" t="s">
        <v>104</v>
      </c>
      <c r="E54" s="213" t="str">
        <f>LIDER!$E$36</f>
        <v xml:space="preserve">GRUPO#8 GLOBAL GRADE 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EDINSON ANDRES CASTRO PADILLA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0</v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MATEO ANDRÉS CUESTA DÍAZ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0</v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LUKASS GIRALDO RAMIREZ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0</v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LOREINES OSPINO HERNÁNDEZ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0</v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VALERY DANIELA SAENZ WATTS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0</v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SHARONE JANNINE ORDOÑEZ ESCUDERO</v>
      </c>
      <c r="C60" s="33" t="str">
        <f>IF('S-ASIG-01'!D60="","",'S-ASIG-01'!D60)</f>
        <v/>
      </c>
      <c r="D60" s="30">
        <f>IF(B60=0,"",IF(C60="",$E$55*LIDER!$H$19+F60*LIDER!$H$20+G60*LIDER!$H$21+H60*LIDER!$H$22+I60*LIDER!$H$23+J60*LIDER!$H$24+K60*LIDER!$H$25,"N"))</f>
        <v>0</v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120</v>
      </c>
      <c r="C61" s="32" t="str">
        <f>IF('S-ASIG-01'!D61="","",'S-ASIG-01'!D61)</f>
        <v>LIST</v>
      </c>
      <c r="D61" s="35" t="s">
        <v>104</v>
      </c>
      <c r="E61" s="213" t="str">
        <f>LIDER!$E$37</f>
        <v>GRUPO#9  SESAMIA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LINETH MARCELA GONZALEZ LASTRE</v>
      </c>
      <c r="C62" s="33" t="str">
        <f>IF('S-ASIG-01'!D62="","",'S-ASIG-01'!D62)</f>
        <v/>
      </c>
      <c r="D62" s="30">
        <f>IF(B62=0,"",IF(C62="",$E$62*LIDER!$H$19+F62*LIDER!$H$20+G62*LIDER!$H$21+H62*LIDER!$H$22+I62*LIDER!$H$23+J62*LIDER!$H$24+K62*LIDER!$H$25,"N"))</f>
        <v>0</v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MARIA JOSE SUAREZ AMARIS</v>
      </c>
      <c r="C63" s="33" t="str">
        <f>IF('S-ASIG-01'!D63="","",'S-ASIG-01'!D63)</f>
        <v/>
      </c>
      <c r="D63" s="30">
        <f>IF(B63=0,"",IF(C63="",$E$62*LIDER!$H$19+F63*LIDER!$H$20+G63*LIDER!$H$21+H63*LIDER!$H$22+I63*LIDER!$H$23+J63*LIDER!$H$24+K63*LIDER!$H$25,"N"))</f>
        <v>0</v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IF('S-ASIG-01'!D68="","",'S-ASIG-01'!D68)</f>
        <v>LIST</v>
      </c>
      <c r="D68" s="35" t="s">
        <v>104</v>
      </c>
      <c r="E68" s="213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IF('S-ASIG-01'!D75="","",'S-ASIG-01'!D75)</f>
        <v>LIST</v>
      </c>
      <c r="D75" s="35" t="s">
        <v>104</v>
      </c>
      <c r="E75" s="213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IF('S-ASIG-01'!D82="","",'S-ASIG-01'!D82)</f>
        <v>LIST</v>
      </c>
      <c r="D82" s="35" t="s">
        <v>104</v>
      </c>
      <c r="E82" s="213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4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ETICA</v>
      </c>
      <c r="C2" s="3"/>
      <c r="E2" s="210" t="s">
        <v>99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CONCATENATE(LIDER!D4," - ",LIDER!D6," - ",LIDER!D5)</f>
        <v>ETICA - 2262 - LEIDY ENID QUINTERO SÁNCHEZ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101</v>
      </c>
      <c r="C5" s="34" t="str">
        <f>IF('S-ASIG-02'!D5="","",'S-ASIG-02'!D5)</f>
        <v>LIST</v>
      </c>
      <c r="D5" s="35" t="s">
        <v>104</v>
      </c>
      <c r="E5" s="199" t="str">
        <f>LIDER!$E$29</f>
        <v xml:space="preserve">GRUPO#1  COLOMBIAN TANK TOP 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SIARA LUCIA CHAMS CARBALLO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LAUREN CAROLINA MARTINEZ LICONA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ASLLY MARGARITA RINCON MATTOS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IF('S-ASIG-02'!D12="","",'S-ASIG-02'!D12)</f>
        <v>LIST</v>
      </c>
      <c r="D12" s="35" t="s">
        <v>104</v>
      </c>
      <c r="E12" s="199" t="str">
        <f>LIDER!$E$30</f>
        <v xml:space="preserve">GRUPO#2 VITALA 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HELENA ISABEL ALVAREZ CORTINA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YEIDER SANTIAGO BOHORQUEZ GONZALEZ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MELANY ANDREA FLÓREZ ALMANZA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ELIAN MANUEL PACHECO BELTRAN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VALERIA PASTRANA ARRIETA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PABLO QUIJANO GUEVARA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0</v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IF('S-ASIG-02'!D19="","",'S-ASIG-02'!D19)</f>
        <v>LIST</v>
      </c>
      <c r="D19" s="35" t="s">
        <v>104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>
        <f>LIDER!G43</f>
        <v>0</v>
      </c>
      <c r="C20" s="33" t="str">
        <f>IF('S-ASIG-02'!D20="","",'S-ASIG-02'!D20)</f>
        <v/>
      </c>
      <c r="D20" s="30" t="str">
        <f>IF(B20=0,"",IF(C20="",$E$20*LIDER!$H$19+F20*LIDER!$H$20+G20*LIDER!$H$21+H20*LIDER!$H$22+I20*LIDER!$H$23+J20*LIDER!$H$24+K20*LIDER!$H$25,"N"))</f>
        <v/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IF('S-ASIG-02'!D21="","",'S-ASIG-02'!D21)</f>
        <v/>
      </c>
      <c r="D21" s="30" t="str">
        <f>IF(B21=0,"",IF(C21="",$E$20*LIDER!$H$19+F21*LIDER!$H$20+G21*LIDER!$H$21+H21*LIDER!$H$22+I21*LIDER!$H$23+J21*LIDER!$H$24+K21*LIDER!$H$25,"N"))</f>
        <v/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IF('S-ASIG-02'!D22="","",'S-ASIG-02'!D22)</f>
        <v/>
      </c>
      <c r="D22" s="30" t="str">
        <f>IF(B22=0,"",IF(C22="",$E$20*LIDER!$H$19+F22*LIDER!$H$20+G22*LIDER!$H$21+H22*LIDER!$H$22+I22*LIDER!$H$23+J22*LIDER!$H$24+K22*LIDER!$H$25,"N"))</f>
        <v/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IF('S-ASIG-02'!D26="","",'S-ASIG-02'!D26)</f>
        <v>LIST</v>
      </c>
      <c r="D26" s="35" t="s">
        <v>104</v>
      </c>
      <c r="E26" s="199" t="str">
        <f>LIDER!$E$32</f>
        <v xml:space="preserve">GRUPO#4 MISTERY GLOBAL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JUAN CARLOS BALDIRIS ESPITIA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MARIA CRISTINA CAÑATE MERCADO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KARINA MARRUGO MEZA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HILARYS CAROLINA PATERNINA DONADO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MATEO QUINTANA SERNA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IF('S-ASIG-02'!D33="","",'S-ASIG-02'!D33)</f>
        <v>LIST</v>
      </c>
      <c r="D33" s="35" t="s">
        <v>104</v>
      </c>
      <c r="E33" s="199" t="str">
        <f>LIDER!$E$33</f>
        <v xml:space="preserve">GRUPO#5 VINO MUCILAGO DE CACAO 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JORGE ALBERTO BATISTA TABORDA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LAURA DANIELA MANOTAS ACEVEDO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JESED ALEJANDRO OBANDO MARSIGLIA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EDITH MARIA RIVERA MENDOZA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JEAN CARLOS RODRIGUEZ PEREZ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114</v>
      </c>
      <c r="C40" s="32" t="str">
        <f>IF('S-ASIG-02'!D40="","",'S-ASIG-02'!D40)</f>
        <v>LIST</v>
      </c>
      <c r="D40" s="35" t="s">
        <v>104</v>
      </c>
      <c r="E40" s="199" t="str">
        <f>LIDER!$E$34</f>
        <v xml:space="preserve">GRUPO#6 BIOADRON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ISSAC DAVID ANGULO ZABALETA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ANDRES FELIPE ARROYO PARRA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ADRIANO CORDOBA RODRIGUEZ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RONNY AMEL DE ORO MOLINA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HENRY WILCHES DE LA ROSA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116</v>
      </c>
      <c r="C47" s="32" t="str">
        <f>IF('S-ASIG-02'!D47="","",'S-ASIG-02'!D47)</f>
        <v>LIST</v>
      </c>
      <c r="D47" s="35" t="s">
        <v>104</v>
      </c>
      <c r="E47" s="199" t="str">
        <f>LIDER!$E$35</f>
        <v>GRUPO#7  EMPANADAS ITALIANAS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JUAN SEBASTIAN PRENS BOSSIO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ALEXANDER DUBAN PROTZKAR DE LA HOZ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JOSE ANGEL VALLEJO REALES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118</v>
      </c>
      <c r="C54" s="32" t="str">
        <f>IF('S-ASIG-02'!D54="","",'S-ASIG-02'!D54)</f>
        <v>LIST</v>
      </c>
      <c r="D54" s="35" t="s">
        <v>104</v>
      </c>
      <c r="E54" s="199" t="str">
        <f>LIDER!$E$36</f>
        <v xml:space="preserve">GRUPO#8 GLOBAL GRADE 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EDINSON ANDRES CASTRO PADILLA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MATEO ANDRÉS CUESTA DÍAZ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LUKASS GIRALDO RAMIREZ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LOREINES OSPINO HERNÁNDEZ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VALERY DANIELA SAENZ WATTS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SHARONE JANNINE ORDOÑEZ ESCUDERO</v>
      </c>
      <c r="C60" s="33" t="str">
        <f>IF('S-ASIG-02'!D60="","",'S-ASIG-02'!D60)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120</v>
      </c>
      <c r="C61" s="32" t="str">
        <f>IF('S-ASIG-02'!D61="","",'S-ASIG-02'!D61)</f>
        <v>LIST</v>
      </c>
      <c r="D61" s="35" t="s">
        <v>104</v>
      </c>
      <c r="E61" s="199" t="str">
        <f>LIDER!$E$37</f>
        <v>GRUPO#9  SESAMIA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LINETH MARCELA GONZALEZ LASTRE</v>
      </c>
      <c r="C62" s="33" t="str">
        <f>IF('S-ASIG-02'!D62="","",'S-ASIG-02'!D62)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MARIA JOSE SUAREZ AMARIS</v>
      </c>
      <c r="C63" s="33" t="str">
        <f>IF('S-ASIG-02'!D63="","",'S-ASIG-02'!D63)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IF('S-ASIG-02'!D68="","",'S-ASIG-02'!D68)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IF('S-ASIG-02'!D75="","",'S-ASIG-02'!D75)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IF('S-ASIG-02'!D82="","",'S-ASIG-02'!D82)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IMPORTACIONES Y EXPORTACIONES</v>
      </c>
      <c r="C2" s="3"/>
      <c r="E2" s="210" t="s">
        <v>99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CONCATENATE(LIDER!E4," - ",LIDER!E6," - ",LIDER!E5)</f>
        <v>IMPORTACIONES Y EXPORTACIONES - 
1436
  - REYNALDO ARTURO ROJAS TRILLOS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101</v>
      </c>
      <c r="C5" s="34" t="str">
        <f>IF('S-ASIG-03'!D5="","",'S-ASIG-03'!D5)</f>
        <v>LIST</v>
      </c>
      <c r="D5" s="35" t="s">
        <v>104</v>
      </c>
      <c r="E5" s="199" t="str">
        <f>LIDER!$E$29</f>
        <v xml:space="preserve">GRUPO#1  COLOMBIAN TANK TOP 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SIARA LUCIA CHAMS CARBALLO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LAUREN CAROLINA MARTINEZ LICONA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ASLLY MARGARITA RINCON MATTOS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IF('S-ASIG-03'!D12="","",'S-ASIG-03'!D12)</f>
        <v>LIST</v>
      </c>
      <c r="D12" s="35" t="s">
        <v>104</v>
      </c>
      <c r="E12" s="199" t="str">
        <f>LIDER!$E$30</f>
        <v xml:space="preserve">GRUPO#2 VITALA 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HELENA ISABEL ALVAREZ CORTINA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YEIDER SANTIAGO BOHORQUEZ GONZALEZ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MELANY ANDREA FLÓREZ ALMANZA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ELIAN MANUEL PACHECO BELTRAN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VALERIA PASTRANA ARRIETA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PABLO QUIJANO GUEVARA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0</v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IF('S-ASIG-03'!D19="","",'S-ASIG-03'!D19)</f>
        <v>LIST</v>
      </c>
      <c r="D19" s="35" t="s">
        <v>104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>
        <f>LIDER!G43</f>
        <v>0</v>
      </c>
      <c r="C20" s="33" t="str">
        <f>IF('S-ASIG-03'!D20="","",'S-ASIG-03'!D20)</f>
        <v/>
      </c>
      <c r="D20" s="30" t="str">
        <f>IF(B20=0,"",IF(C20="",$E$20*LIDER!$H$19+F20*LIDER!$H$20+G20*LIDER!$H$21+H20*LIDER!$H$22+I20*LIDER!$H$23+J20*LIDER!$H$24+K20*LIDER!$H$25,"N"))</f>
        <v/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IF('S-ASIG-03'!D21="","",'S-ASIG-03'!D21)</f>
        <v/>
      </c>
      <c r="D21" s="30" t="str">
        <f>IF(B21=0,"",IF(C21="",$E$20*LIDER!$H$19+F21*LIDER!$H$20+G21*LIDER!$H$21+H21*LIDER!$H$22+I21*LIDER!$H$23+J21*LIDER!$H$24+K21*LIDER!$H$25,"N"))</f>
        <v/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IF('S-ASIG-03'!D22="","",'S-ASIG-03'!D22)</f>
        <v/>
      </c>
      <c r="D22" s="30" t="str">
        <f>IF(B22=0,"",IF(C22="",$E$20*LIDER!$H$19+F22*LIDER!$H$20+G22*LIDER!$H$21+H22*LIDER!$H$22+I22*LIDER!$H$23+J22*LIDER!$H$24+K22*LIDER!$H$25,"N"))</f>
        <v/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IF('S-ASIG-03'!D26="","",'S-ASIG-03'!D26)</f>
        <v>LIST</v>
      </c>
      <c r="D26" s="35" t="s">
        <v>104</v>
      </c>
      <c r="E26" s="199" t="str">
        <f>LIDER!$E$32</f>
        <v xml:space="preserve">GRUPO#4 MISTERY GLOBAL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JUAN CARLOS BALDIRIS ESPITIA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MARIA CRISTINA CAÑATE MERCADO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KARINA MARRUGO MEZA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HILARYS CAROLINA PATERNINA DONADO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MATEO QUINTANA SERNA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IF('S-ASIG-03'!D33="","",'S-ASIG-03'!D33)</f>
        <v>LIST</v>
      </c>
      <c r="D33" s="35" t="s">
        <v>104</v>
      </c>
      <c r="E33" s="199" t="str">
        <f>LIDER!$E$33</f>
        <v xml:space="preserve">GRUPO#5 VINO MUCILAGO DE CACAO 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JORGE ALBERTO BATISTA TABORDA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LAURA DANIELA MANOTAS ACEVEDO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JESED ALEJANDRO OBANDO MARSIGLIA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EDITH MARIA RIVERA MENDOZA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JEAN CARLOS RODRIGUEZ PEREZ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114</v>
      </c>
      <c r="C40" s="32" t="str">
        <f>IF('S-ASIG-03'!D40="","",'S-ASIG-03'!D40)</f>
        <v>LIST</v>
      </c>
      <c r="D40" s="35" t="s">
        <v>104</v>
      </c>
      <c r="E40" s="199" t="str">
        <f>LIDER!$E$34</f>
        <v xml:space="preserve">GRUPO#6 BIOADRON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ISSAC DAVID ANGULO ZABALETA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ANDRES FELIPE ARROYO PARRA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ADRIANO CORDOBA RODRIGUEZ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RONNY AMEL DE ORO MOLINA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HENRY WILCHES DE LA ROSA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116</v>
      </c>
      <c r="C47" s="32" t="str">
        <f>IF('S-ASIG-03'!D47="","",'S-ASIG-03'!D47)</f>
        <v>LIST</v>
      </c>
      <c r="D47" s="35" t="s">
        <v>104</v>
      </c>
      <c r="E47" s="199" t="str">
        <f>LIDER!$E$35</f>
        <v>GRUPO#7  EMPANADAS ITALIANAS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JUAN SEBASTIAN PRENS BOSSIO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ALEXANDER DUBAN PROTZKAR DE LA HOZ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JOSE ANGEL VALLEJO REALES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118</v>
      </c>
      <c r="C54" s="32" t="str">
        <f>IF('S-ASIG-03'!D54="","",'S-ASIG-03'!D54)</f>
        <v>LIST</v>
      </c>
      <c r="D54" s="35" t="s">
        <v>104</v>
      </c>
      <c r="E54" s="199" t="str">
        <f>LIDER!$E$36</f>
        <v xml:space="preserve">GRUPO#8 GLOBAL GRADE 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EDINSON ANDRES CASTRO PADILLA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MATEO ANDRÉS CUESTA DÍAZ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LUKASS GIRALDO RAMIREZ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LOREINES OSPINO HERNÁNDEZ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VALERY DANIELA SAENZ WATTS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SHARONE JANNINE ORDOÑEZ ESCUDERO</v>
      </c>
      <c r="C60" s="33" t="str">
        <f>IF('S-ASIG-03'!D60="","",'S-ASIG-03'!D60)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120</v>
      </c>
      <c r="C61" s="32" t="str">
        <f>IF('S-ASIG-03'!D61="","",'S-ASIG-03'!D61)</f>
        <v>LIST</v>
      </c>
      <c r="D61" s="35" t="s">
        <v>104</v>
      </c>
      <c r="E61" s="199" t="str">
        <f>LIDER!$E$37</f>
        <v>GRUPO#9  SESAMIA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LINETH MARCELA GONZALEZ LASTRE</v>
      </c>
      <c r="C62" s="33" t="str">
        <f>IF('S-ASIG-03'!D62="","",'S-ASIG-03'!D62)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MARIA JOSE SUAREZ AMARIS</v>
      </c>
      <c r="C63" s="33" t="str">
        <f>IF('S-ASIG-03'!D63="","",'S-ASIG-03'!D63)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IF('S-ASIG-03'!D68="","",'S-ASIG-03'!D68)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IF('S-ASIG-03'!D75="","",'S-ASIG-03'!D75)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IF('S-ASIG-03'!D82="","",'S-ASIG-03'!D82)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ESTADÍSTICA</v>
      </c>
      <c r="C2" s="3"/>
      <c r="E2" s="210" t="s">
        <v>99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CONCATENATE(LIDER!F4," - ",LIDER!F6," - ",LIDER!F5)</f>
        <v>ESTADÍSTICA - 1795 - CECILIA PAILLIER GONZALEZ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101</v>
      </c>
      <c r="C5" s="34" t="str">
        <f>IF('S-ASIG-04'!D5="","",'S-ASIG-04'!D5)</f>
        <v>LIST</v>
      </c>
      <c r="D5" s="35" t="s">
        <v>104</v>
      </c>
      <c r="E5" s="199" t="str">
        <f>LIDER!$E$29</f>
        <v xml:space="preserve">GRUPO#1  COLOMBIAN TANK TOP 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SIARA LUCIA CHAMS CARBALLO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LAUREN CAROLINA MARTINEZ LICONA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ASLLY MARGARITA RINCON MATTOS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IF('S-ASIG-04'!D12="","",'S-ASIG-04'!D12)</f>
        <v>LIST</v>
      </c>
      <c r="D12" s="35" t="s">
        <v>104</v>
      </c>
      <c r="E12" s="199" t="str">
        <f>LIDER!$E$30</f>
        <v xml:space="preserve">GRUPO#2 VITALA 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HELENA ISABEL ALVAREZ CORTINA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YEIDER SANTIAGO BOHORQUEZ GONZALEZ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MELANY ANDREA FLÓREZ ALMANZA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ELIAN MANUEL PACHECO BELTRAN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VALERIA PASTRANA ARRIETA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PABLO QUIJANO GUEVARA</v>
      </c>
      <c r="C18" s="33" t="str">
        <f>IF('S-ASIG-04'!D18="","",'S-ASIG-04'!D18)</f>
        <v/>
      </c>
      <c r="D18" s="30">
        <f>IF(B18=0,"",IF(C18="",$E$13*LIDER!$H$19+F18*LIDER!$H$20+G18*LIDER!$H$21+H18*LIDER!$H$22+I18*LIDER!$H$23+J18*LIDER!$H$24+K18*LIDER!$H$25,"N"))</f>
        <v>0</v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IF('S-ASIG-04'!D19="","",'S-ASIG-04'!D19)</f>
        <v>LIST</v>
      </c>
      <c r="D19" s="35" t="s">
        <v>104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>
        <f>LIDER!G43</f>
        <v>0</v>
      </c>
      <c r="C20" s="33" t="str">
        <f>IF('S-ASIG-04'!D20="","",'S-ASIG-04'!D20)</f>
        <v/>
      </c>
      <c r="D20" s="30" t="str">
        <f>IF(B20=0,"",IF(C20="",$E$20*LIDER!$H$19+F20*LIDER!$H$20+G20*LIDER!$H$21+H20*LIDER!$H$22+I20*LIDER!$H$23+J20*LIDER!$H$24+K20*LIDER!$H$25,"N"))</f>
        <v/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IF('S-ASIG-04'!D21="","",'S-ASIG-04'!D21)</f>
        <v/>
      </c>
      <c r="D21" s="30" t="str">
        <f>IF(B21=0,"",IF(C21="",$E$20*LIDER!$H$19+F21*LIDER!$H$20+G21*LIDER!$H$21+H21*LIDER!$H$22+I21*LIDER!$H$23+J21*LIDER!$H$24+K21*LIDER!$H$25,"N"))</f>
        <v/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IF('S-ASIG-04'!D22="","",'S-ASIG-04'!D22)</f>
        <v/>
      </c>
      <c r="D22" s="30" t="str">
        <f>IF(B22=0,"",IF(C22="",$E$20*LIDER!$H$19+F22*LIDER!$H$20+G22*LIDER!$H$21+H22*LIDER!$H$22+I22*LIDER!$H$23+J22*LIDER!$H$24+K22*LIDER!$H$25,"N"))</f>
        <v/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IF('S-ASIG-04'!D26="","",'S-ASIG-04'!D26)</f>
        <v>LIST</v>
      </c>
      <c r="D26" s="35" t="s">
        <v>104</v>
      </c>
      <c r="E26" s="199" t="str">
        <f>LIDER!$E$32</f>
        <v xml:space="preserve">GRUPO#4 MISTERY GLOBAL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JUAN CARLOS BALDIRIS ESPITIA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MARIA CRISTINA CAÑATE MERCADO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KARINA MARRUGO MEZA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HILARYS CAROLINA PATERNINA DONADO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MATEO QUINTANA SERNA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IF('S-ASIG-04'!D33="","",'S-ASIG-04'!D33)</f>
        <v>LIST</v>
      </c>
      <c r="D33" s="35" t="s">
        <v>104</v>
      </c>
      <c r="E33" s="199" t="str">
        <f>LIDER!$E$33</f>
        <v xml:space="preserve">GRUPO#5 VINO MUCILAGO DE CACAO 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JORGE ALBERTO BATISTA TABORDA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LAURA DANIELA MANOTAS ACEVEDO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JESED ALEJANDRO OBANDO MARSIGLIA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EDITH MARIA RIVERA MENDOZA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JEAN CARLOS RODRIGUEZ PEREZ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114</v>
      </c>
      <c r="C40" s="32" t="str">
        <f>IF('S-ASIG-04'!D40="","",'S-ASIG-04'!D40)</f>
        <v>LIST</v>
      </c>
      <c r="D40" s="35" t="s">
        <v>104</v>
      </c>
      <c r="E40" s="199" t="str">
        <f>LIDER!$E$34</f>
        <v xml:space="preserve">GRUPO#6 BIOADRON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ISSAC DAVID ANGULO ZABALETA</v>
      </c>
      <c r="C41" s="33" t="str">
        <f>IF('S-ASIG-04'!D41="","",'S-ASIG-04'!D41)</f>
        <v>N</v>
      </c>
      <c r="D41" s="30" t="str">
        <f>IF(B41=0,"",IF(C41="",$E$41*LIDER!$H$19+F41*LIDER!$H$20+G41*LIDER!$H$21+H41*LIDER!$H$22+I41*LIDER!$H$23+J41*LIDER!$H$24+K41*LIDER!$H$25,"N"))</f>
        <v>N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ANDRES FELIPE ARROYO PARRA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ADRIANO CORDOBA RODRIGUEZ</v>
      </c>
      <c r="C43" s="33" t="str">
        <f>IF('S-ASIG-04'!D43="","",'S-ASIG-04'!D43)</f>
        <v>N</v>
      </c>
      <c r="D43" s="30" t="str">
        <f>IF(B43=0,"",IF(C43="",$E$41*LIDER!$H$19+F43*LIDER!$H$20+G43*LIDER!$H$21+H43*LIDER!$H$22+I43*LIDER!$H$23+J43*LIDER!$H$24+K43*LIDER!$H$25,"N"))</f>
        <v>N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RONNY AMEL DE ORO MOLINA</v>
      </c>
      <c r="C44" s="33" t="str">
        <f>IF('S-ASIG-04'!D44="","",'S-ASIG-04'!D44)</f>
        <v>N</v>
      </c>
      <c r="D44" s="30" t="str">
        <f>IF(B44=0,"",IF(C44="",$E$41*LIDER!$H$19+F44*LIDER!$H$20+G44*LIDER!$H$21+H44*LIDER!$H$22+I44*LIDER!$H$23+J44*LIDER!$H$24+K44*LIDER!$H$25,"N"))</f>
        <v>N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HENRY WILCHES DE LA ROSA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116</v>
      </c>
      <c r="C47" s="32" t="str">
        <f>IF('S-ASIG-04'!D47="","",'S-ASIG-04'!D47)</f>
        <v>LIST</v>
      </c>
      <c r="D47" s="35" t="s">
        <v>104</v>
      </c>
      <c r="E47" s="199" t="str">
        <f>LIDER!$E$35</f>
        <v>GRUPO#7  EMPANADAS ITALIANAS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JUAN SEBASTIAN PRENS BOSSIO</v>
      </c>
      <c r="C48" s="33" t="str">
        <f>IF('S-ASIG-04'!D48="","",'S-ASIG-04'!D48)</f>
        <v>N</v>
      </c>
      <c r="D48" s="30" t="str">
        <f>IF(B48=0,"",IF(C48="",$E$48*LIDER!$H$19+F48*LIDER!$H$20+G48*LIDER!$H$21+H48*LIDER!$H$22+I48*LIDER!$H$23+J48*LIDER!$H$24+K48*LIDER!$H$25,"N"))</f>
        <v>N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ALEXANDER DUBAN PROTZKAR DE LA HOZ</v>
      </c>
      <c r="C49" s="33" t="str">
        <f>IF('S-ASIG-04'!D49="","",'S-ASIG-04'!D49)</f>
        <v>N</v>
      </c>
      <c r="D49" s="30" t="str">
        <f>IF(B49=0,"",IF(C49="",$E$48*LIDER!$H$19+F49*LIDER!$H$20+G49*LIDER!$H$21+H49*LIDER!$H$22+I49*LIDER!$H$23+J49*LIDER!$H$24+K49*LIDER!$H$25,"N"))</f>
        <v>N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JOSE ANGEL VALLEJO REALES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118</v>
      </c>
      <c r="C54" s="32" t="str">
        <f>IF('S-ASIG-04'!D54="","",'S-ASIG-04'!D54)</f>
        <v>LIST</v>
      </c>
      <c r="D54" s="35" t="s">
        <v>104</v>
      </c>
      <c r="E54" s="199" t="str">
        <f>LIDER!$E$36</f>
        <v xml:space="preserve">GRUPO#8 GLOBAL GRADE 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EDINSON ANDRES CASTRO PADILLA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MATEO ANDRÉS CUESTA DÍAZ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LUKASS GIRALDO RAMIREZ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LOREINES OSPINO HERNÁNDEZ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VALERY DANIELA SAENZ WATTS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SHARONE JANNINE ORDOÑEZ ESCUDERO</v>
      </c>
      <c r="C60" s="33" t="str">
        <f>IF('S-ASIG-04'!D60="","",'S-ASIG-04'!D60)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120</v>
      </c>
      <c r="C61" s="32" t="str">
        <f>IF('S-ASIG-04'!D61="","",'S-ASIG-04'!D61)</f>
        <v>LIST</v>
      </c>
      <c r="D61" s="35" t="s">
        <v>104</v>
      </c>
      <c r="E61" s="199" t="str">
        <f>LIDER!$E$37</f>
        <v>GRUPO#9  SESAMIA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LINETH MARCELA GONZALEZ LASTRE</v>
      </c>
      <c r="C62" s="33" t="str">
        <f>IF('S-ASIG-04'!D62="","",'S-ASIG-04'!D62)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MARIA JOSE SUAREZ AMARIS</v>
      </c>
      <c r="C63" s="33" t="str">
        <f>IF('S-ASIG-04'!D63="","",'S-ASIG-04'!D63)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IF('S-ASIG-04'!D68="","",'S-ASIG-04'!D68)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IF('S-ASIG-04'!D75="","",'S-ASIG-04'!D75)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IF('S-ASIG-04'!D82="","",'S-ASIG-04'!D82)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210" t="s">
        <v>99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CONCATENATE(LIDER!G4," - ",LIDER!G6," - ",LIDER!G5)</f>
        <v>FUNDAMENTOS DE MERCADEO - 1350 - GABRIEL EDUARDO CARDONA TUÑON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101</v>
      </c>
      <c r="C5" s="34" t="str">
        <f>IF('S-ASIG-05'!D5="","",'S-ASIG-05'!D5)</f>
        <v>LIST</v>
      </c>
      <c r="D5" s="35" t="s">
        <v>104</v>
      </c>
      <c r="E5" s="199" t="str">
        <f>LIDER!$E$29</f>
        <v xml:space="preserve">GRUPO#1  COLOMBIAN TANK TOP 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SIARA LUCIA CHAMS CARBALLO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LAUREN CAROLINA MARTINEZ LICONA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ASLLY MARGARITA RINCON MATTOS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IF('S-ASIG-05'!D12="","",'S-ASIG-05'!D12)</f>
        <v>LIST</v>
      </c>
      <c r="D12" s="35" t="s">
        <v>104</v>
      </c>
      <c r="E12" s="199" t="str">
        <f>LIDER!$E$30</f>
        <v xml:space="preserve">GRUPO#2 VITALA 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HELENA ISABEL ALVAREZ CORTINA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YEIDER SANTIAGO BOHORQUEZ GONZALEZ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MELANY ANDREA FLÓREZ ALMANZA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ELIAN MANUEL PACHECO BELTRAN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VALERIA PASTRANA ARRIETA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PABLO QUIJANO GUEVARA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0</v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IF('S-ASIG-05'!D19="","",'S-ASIG-05'!D19)</f>
        <v>LIST</v>
      </c>
      <c r="D19" s="35" t="s">
        <v>104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>
        <f>LIDER!G43</f>
        <v>0</v>
      </c>
      <c r="C20" s="33" t="str">
        <f>IF('S-ASIG-05'!D20="","",'S-ASIG-05'!D20)</f>
        <v/>
      </c>
      <c r="D20" s="30" t="str">
        <f>IF(B20=0,"",IF(C20="",$E$20*LIDER!$H$19+F20*LIDER!$H$20+G20*LIDER!$H$21+H20*LIDER!$H$22+I20*LIDER!$H$23+J20*LIDER!$H$24+K20*LIDER!$H$25,"N"))</f>
        <v/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IF('S-ASIG-05'!D21="","",'S-ASIG-05'!D21)</f>
        <v/>
      </c>
      <c r="D21" s="30" t="str">
        <f>IF(B21=0,"",IF(C21="",$E$20*LIDER!$H$19+F21*LIDER!$H$20+G21*LIDER!$H$21+H21*LIDER!$H$22+I21*LIDER!$H$23+J21*LIDER!$H$24+K21*LIDER!$H$25,"N"))</f>
        <v/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IF('S-ASIG-05'!D22="","",'S-ASIG-05'!D22)</f>
        <v/>
      </c>
      <c r="D22" s="30" t="str">
        <f>IF(B22=0,"",IF(C22="",$E$20*LIDER!$H$19+F22*LIDER!$H$20+G22*LIDER!$H$21+H22*LIDER!$H$22+I22*LIDER!$H$23+J22*LIDER!$H$24+K22*LIDER!$H$25,"N"))</f>
        <v/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IF('S-ASIG-05'!D26="","",'S-ASIG-05'!D26)</f>
        <v>LIST</v>
      </c>
      <c r="D26" s="35" t="s">
        <v>104</v>
      </c>
      <c r="E26" s="199" t="str">
        <f>LIDER!$E$32</f>
        <v xml:space="preserve">GRUPO#4 MISTERY GLOBAL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JUAN CARLOS BALDIRIS ESPITIA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MARIA CRISTINA CAÑATE MERCADO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KARINA MARRUGO MEZA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HILARYS CAROLINA PATERNINA DONADO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MATEO QUINTANA SERNA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IF('S-ASIG-05'!D33="","",'S-ASIG-05'!D33)</f>
        <v>LIST</v>
      </c>
      <c r="D33" s="35" t="s">
        <v>104</v>
      </c>
      <c r="E33" s="199" t="str">
        <f>LIDER!$E$33</f>
        <v xml:space="preserve">GRUPO#5 VINO MUCILAGO DE CACAO 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JORGE ALBERTO BATISTA TABORDA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LAURA DANIELA MANOTAS ACEVEDO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JESED ALEJANDRO OBANDO MARSIGLIA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EDITH MARIA RIVERA MENDOZA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JEAN CARLOS RODRIGUEZ PEREZ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114</v>
      </c>
      <c r="C40" s="32" t="str">
        <f>IF('S-ASIG-05'!D40="","",'S-ASIG-05'!D40)</f>
        <v>LIST</v>
      </c>
      <c r="D40" s="35" t="s">
        <v>104</v>
      </c>
      <c r="E40" s="199" t="str">
        <f>LIDER!$E$34</f>
        <v xml:space="preserve">GRUPO#6 BIOADRON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ISSAC DAVID ANGULO ZABALETA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ANDRES FELIPE ARROYO PARRA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ADRIANO CORDOBA RODRIGUEZ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RONNY AMEL DE ORO MOLINA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HENRY WILCHES DE LA ROSA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116</v>
      </c>
      <c r="C47" s="32" t="str">
        <f>IF('S-ASIG-05'!D47="","",'S-ASIG-05'!D47)</f>
        <v>LIST</v>
      </c>
      <c r="D47" s="35" t="s">
        <v>104</v>
      </c>
      <c r="E47" s="199" t="str">
        <f>LIDER!$E$35</f>
        <v>GRUPO#7  EMPANADAS ITALIANAS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JUAN SEBASTIAN PRENS BOSSIO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ALEXANDER DUBAN PROTZKAR DE LA HOZ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JOSE ANGEL VALLEJO REALES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118</v>
      </c>
      <c r="C54" s="32" t="str">
        <f>IF('S-ASIG-05'!D54="","",'S-ASIG-05'!D54)</f>
        <v>LIST</v>
      </c>
      <c r="D54" s="35" t="s">
        <v>104</v>
      </c>
      <c r="E54" s="199" t="str">
        <f>LIDER!$E$36</f>
        <v xml:space="preserve">GRUPO#8 GLOBAL GRADE 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EDINSON ANDRES CASTRO PADILLA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MATEO ANDRÉS CUESTA DÍAZ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LUKASS GIRALDO RAMIREZ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LOREINES OSPINO HERNÁNDEZ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VALERY DANIELA SAENZ WATTS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SHARONE JANNINE ORDOÑEZ ESCUDERO</v>
      </c>
      <c r="C60" s="33" t="str">
        <f>IF('S-ASIG-05'!D60="","",'S-ASIG-05'!D60)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120</v>
      </c>
      <c r="C61" s="32" t="str">
        <f>IF('S-ASIG-05'!D61="","",'S-ASIG-05'!D61)</f>
        <v>LIST</v>
      </c>
      <c r="D61" s="35" t="s">
        <v>104</v>
      </c>
      <c r="E61" s="199" t="str">
        <f>LIDER!$E$37</f>
        <v>GRUPO#9  SESAMIA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LINETH MARCELA GONZALEZ LASTRE</v>
      </c>
      <c r="C62" s="33" t="str">
        <f>IF('S-ASIG-05'!D62="","",'S-ASIG-05'!D62)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MARIA JOSE SUAREZ AMARIS</v>
      </c>
      <c r="C63" s="33" t="str">
        <f>IF('S-ASIG-05'!D63="","",'S-ASIG-05'!D63)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IF('S-ASIG-05'!D68="","",'S-ASIG-05'!D68)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IF('S-ASIG-05'!D75="","",'S-ASIG-05'!D75)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IF('S-ASIG-05'!D82="","",'S-ASIG-05'!D82)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210" t="s">
        <v>99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CONCATENATE(LIDER!H4," - ",LIDER!H6," - ",LIDER!H5)</f>
        <v>FUNDAMENTOS DE FINANZAS - 1473 - LEONARDO CARLOS DE ORO BARRIOS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101</v>
      </c>
      <c r="C5" s="34" t="str">
        <f>IF('S-ASIG-06'!D5="","",'S-ASIG-06'!D5)</f>
        <v>LIST</v>
      </c>
      <c r="D5" s="35" t="s">
        <v>104</v>
      </c>
      <c r="E5" s="199" t="str">
        <f>LIDER!$E$29</f>
        <v xml:space="preserve">GRUPO#1  COLOMBIAN TANK TOP 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SIARA LUCIA CHAMS CARBALLO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LAUREN CAROLINA MARTINEZ LICONA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ASLLY MARGARITA RINCON MATTOS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IF('S-ASIG-06'!D12="","",'S-ASIG-06'!D12)</f>
        <v>LIST</v>
      </c>
      <c r="D12" s="35" t="s">
        <v>104</v>
      </c>
      <c r="E12" s="199" t="str">
        <f>LIDER!$E$30</f>
        <v xml:space="preserve">GRUPO#2 VITALA 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HELENA ISABEL ALVAREZ CORTINA</v>
      </c>
      <c r="C13" s="33" t="str">
        <f>IF('S-ASIG-06'!D13="","",'S-ASIG-06'!D13)</f>
        <v>N</v>
      </c>
      <c r="D13" s="30" t="str">
        <f>IF(B13=0,"",IF(C13="",$E$13*LIDER!$H$19+F13*LIDER!$H$20+G13*LIDER!$H$21+H13*LIDER!$H$22+I13*LIDER!$H$23+J13*LIDER!$H$24+K13*LIDER!$H$25,"N"))</f>
        <v>N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YEIDER SANTIAGO BOHORQUEZ GONZALEZ</v>
      </c>
      <c r="C14" s="33" t="str">
        <f>IF('S-ASIG-06'!D14="","",'S-ASIG-06'!D14)</f>
        <v>N</v>
      </c>
      <c r="D14" s="30" t="str">
        <f>IF(B14=0,"",IF(C14="",$E$13*LIDER!$H$19+F14*LIDER!$H$20+G14*LIDER!$H$21+H14*LIDER!$H$22+I14*LIDER!$H$23+J14*LIDER!$H$24+K14*LIDER!$H$25,"N"))</f>
        <v>N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MELANY ANDREA FLÓREZ ALMANZA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ELIAN MANUEL PACHECO BELTRAN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VALERIA PASTRANA ARRIETA</v>
      </c>
      <c r="C17" s="33" t="str">
        <f>IF('S-ASIG-06'!D17="","",'S-ASIG-06'!D17)</f>
        <v>N</v>
      </c>
      <c r="D17" s="30" t="str">
        <f>IF(B17=0,"",IF(C17="",$E$13*LIDER!$H$19+F17*LIDER!$H$20+G17*LIDER!$H$21+H17*LIDER!$H$22+I17*LIDER!$H$23+J17*LIDER!$H$24+K17*LIDER!$H$25,"N"))</f>
        <v>N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PABLO QUIJANO GUEVARA</v>
      </c>
      <c r="C18" s="33" t="str">
        <f>IF('S-ASIG-06'!D18="","",'S-ASIG-06'!D18)</f>
        <v>N</v>
      </c>
      <c r="D18" s="30" t="str">
        <f>IF(B18=0,"",IF(C18="",$E$13*LIDER!$H$19+F18*LIDER!$H$20+G18*LIDER!$H$21+H18*LIDER!$H$22+I18*LIDER!$H$23+J18*LIDER!$H$24+K18*LIDER!$H$25,"N"))</f>
        <v>N</v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IF('S-ASIG-06'!D19="","",'S-ASIG-06'!D19)</f>
        <v>LIST</v>
      </c>
      <c r="D19" s="35" t="s">
        <v>104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>
        <f>LIDER!G43</f>
        <v>0</v>
      </c>
      <c r="C20" s="33" t="str">
        <f>IF('S-ASIG-06'!D20="","",'S-ASIG-06'!D20)</f>
        <v/>
      </c>
      <c r="D20" s="30" t="str">
        <f>IF(B20=0,"",IF(C20="",$E$20*LIDER!$H$19+F20*LIDER!$H$20+G20*LIDER!$H$21+H20*LIDER!$H$22+I20*LIDER!$H$23+J20*LIDER!$H$24+K20*LIDER!$H$25,"N"))</f>
        <v/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IF('S-ASIG-06'!D21="","",'S-ASIG-06'!D21)</f>
        <v/>
      </c>
      <c r="D21" s="30" t="str">
        <f>IF(B21=0,"",IF(C21="",$E$20*LIDER!$H$19+F21*LIDER!$H$20+G21*LIDER!$H$21+H21*LIDER!$H$22+I21*LIDER!$H$23+J21*LIDER!$H$24+K21*LIDER!$H$25,"N"))</f>
        <v/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IF('S-ASIG-06'!D22="","",'S-ASIG-06'!D22)</f>
        <v/>
      </c>
      <c r="D22" s="30" t="str">
        <f>IF(B22=0,"",IF(C22="",$E$20*LIDER!$H$19+F22*LIDER!$H$20+G22*LIDER!$H$21+H22*LIDER!$H$22+I22*LIDER!$H$23+J22*LIDER!$H$24+K22*LIDER!$H$25,"N"))</f>
        <v/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IF('S-ASIG-06'!D26="","",'S-ASIG-06'!D26)</f>
        <v>LIST</v>
      </c>
      <c r="D26" s="35" t="s">
        <v>104</v>
      </c>
      <c r="E26" s="199" t="str">
        <f>LIDER!$E$32</f>
        <v xml:space="preserve">GRUPO#4 MISTERY GLOBAL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JUAN CARLOS BALDIRIS ESPITIA</v>
      </c>
      <c r="C27" s="33" t="str">
        <f>IF('S-ASIG-06'!D27="","",'S-ASIG-06'!D27)</f>
        <v>N</v>
      </c>
      <c r="D27" s="30" t="str">
        <f>IF(B27=0,"",IF(C27="",$E$27*LIDER!$H$19+F27*LIDER!$H$20+G27*LIDER!$H$21+H27*LIDER!$H$22+I27*LIDER!$H$23+J27*LIDER!$H$24+K27*LIDER!$H$25,"N"))</f>
        <v>N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MARIA CRISTINA CAÑATE MERCADO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KARINA MARRUGO MEZA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HILARYS CAROLINA PATERNINA DONADO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MATEO QUINTANA SERNA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IF('S-ASIG-06'!D33="","",'S-ASIG-06'!D33)</f>
        <v>LIST</v>
      </c>
      <c r="D33" s="35" t="s">
        <v>104</v>
      </c>
      <c r="E33" s="199" t="str">
        <f>LIDER!$E$33</f>
        <v xml:space="preserve">GRUPO#5 VINO MUCILAGO DE CACAO 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JORGE ALBERTO BATISTA TABORDA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LAURA DANIELA MANOTAS ACEVEDO</v>
      </c>
      <c r="C35" s="33" t="str">
        <f>IF('S-ASIG-06'!D35="","",'S-ASIG-06'!D35)</f>
        <v>N</v>
      </c>
      <c r="D35" s="30" t="str">
        <f>IF(B35=0,"",IF(C35="",$E$34*LIDER!$H$19+F35*LIDER!$H$20+G35*LIDER!$H$21+H35*LIDER!$H$22+I35*LIDER!$H$23+J35*LIDER!$H$24+K35*LIDER!$H$25,"N"))</f>
        <v>N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JESED ALEJANDRO OBANDO MARSIGLIA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EDITH MARIA RIVERA MENDOZA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JEAN CARLOS RODRIGUEZ PEREZ</v>
      </c>
      <c r="C38" s="33" t="str">
        <f>IF('S-ASIG-06'!D38="","",'S-ASIG-06'!D38)</f>
        <v>N</v>
      </c>
      <c r="D38" s="30" t="str">
        <f>IF(B38=0,"",IF(C38="",$E$34*LIDER!$H$19+F38*LIDER!$H$20+G38*LIDER!$H$21+H38*LIDER!$H$22+I38*LIDER!$H$23+J38*LIDER!$H$24+K38*LIDER!$H$25,"N"))</f>
        <v>N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114</v>
      </c>
      <c r="C40" s="32" t="str">
        <f>IF('S-ASIG-06'!D40="","",'S-ASIG-06'!D40)</f>
        <v>LIST</v>
      </c>
      <c r="D40" s="35" t="s">
        <v>104</v>
      </c>
      <c r="E40" s="199" t="str">
        <f>LIDER!$E$34</f>
        <v xml:space="preserve">GRUPO#6 BIOADRON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ISSAC DAVID ANGULO ZABALETA</v>
      </c>
      <c r="C41" s="33" t="str">
        <f>IF('S-ASIG-06'!D41="","",'S-ASIG-06'!D41)</f>
        <v>N</v>
      </c>
      <c r="D41" s="30" t="str">
        <f>IF(B41=0,"",IF(C41="",$E$41*LIDER!$H$19+F41*LIDER!$H$20+G41*LIDER!$H$21+H41*LIDER!$H$22+I41*LIDER!$H$23+J41*LIDER!$H$24+K41*LIDER!$H$25,"N"))</f>
        <v>N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ANDRES FELIPE ARROYO PARRA</v>
      </c>
      <c r="C42" s="33" t="str">
        <f>IF('S-ASIG-06'!D42="","",'S-ASIG-06'!D42)</f>
        <v>N</v>
      </c>
      <c r="D42" s="30" t="str">
        <f>IF(B42=0,"",IF(C42="",$E$41*LIDER!$H$19+F42*LIDER!$H$20+G42*LIDER!$H$21+H42*LIDER!$H$22+I42*LIDER!$H$23+J42*LIDER!$H$24+K42*LIDER!$H$25,"N"))</f>
        <v>N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ADRIANO CORDOBA RODRIGUEZ</v>
      </c>
      <c r="C43" s="33" t="str">
        <f>IF('S-ASIG-06'!D43="","",'S-ASIG-06'!D43)</f>
        <v>N</v>
      </c>
      <c r="D43" s="30" t="str">
        <f>IF(B43=0,"",IF(C43="",$E$41*LIDER!$H$19+F43*LIDER!$H$20+G43*LIDER!$H$21+H43*LIDER!$H$22+I43*LIDER!$H$23+J43*LIDER!$H$24+K43*LIDER!$H$25,"N"))</f>
        <v>N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RONNY AMEL DE ORO MOLINA</v>
      </c>
      <c r="C44" s="33" t="str">
        <f>IF('S-ASIG-06'!D44="","",'S-ASIG-06'!D44)</f>
        <v>N</v>
      </c>
      <c r="D44" s="30" t="str">
        <f>IF(B44=0,"",IF(C44="",$E$41*LIDER!$H$19+F44*LIDER!$H$20+G44*LIDER!$H$21+H44*LIDER!$H$22+I44*LIDER!$H$23+J44*LIDER!$H$24+K44*LIDER!$H$25,"N"))</f>
        <v>N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HENRY WILCHES DE LA ROSA</v>
      </c>
      <c r="C45" s="33" t="str">
        <f>IF('S-ASIG-06'!D45="","",'S-ASIG-06'!D45)</f>
        <v>N</v>
      </c>
      <c r="D45" s="30" t="str">
        <f>IF(B45=0,"",IF(C45="",$E$41*LIDER!$H$19+F45*LIDER!$H$20+G45*LIDER!$H$21+H45*LIDER!$H$22+I45*LIDER!$H$23+J45*LIDER!$H$24+K45*LIDER!$H$25,"N"))</f>
        <v>N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116</v>
      </c>
      <c r="C47" s="32" t="str">
        <f>IF('S-ASIG-06'!D47="","",'S-ASIG-06'!D47)</f>
        <v>LIST</v>
      </c>
      <c r="D47" s="35" t="s">
        <v>104</v>
      </c>
      <c r="E47" s="199" t="str">
        <f>LIDER!$E$35</f>
        <v>GRUPO#7  EMPANADAS ITALIANAS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JUAN SEBASTIAN PRENS BOSSIO</v>
      </c>
      <c r="C48" s="33" t="str">
        <f>IF('S-ASIG-06'!D48="","",'S-ASIG-06'!D48)</f>
        <v>N</v>
      </c>
      <c r="D48" s="30" t="str">
        <f>IF(B48=0,"",IF(C48="",$E$48*LIDER!$H$19+F48*LIDER!$H$20+G48*LIDER!$H$21+H48*LIDER!$H$22+I48*LIDER!$H$23+J48*LIDER!$H$24+K48*LIDER!$H$25,"N"))</f>
        <v>N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ALEXANDER DUBAN PROTZKAR DE LA HOZ</v>
      </c>
      <c r="C49" s="33" t="str">
        <f>IF('S-ASIG-06'!D49="","",'S-ASIG-06'!D49)</f>
        <v>N</v>
      </c>
      <c r="D49" s="30" t="str">
        <f>IF(B49=0,"",IF(C49="",$E$48*LIDER!$H$19+F49*LIDER!$H$20+G49*LIDER!$H$21+H49*LIDER!$H$22+I49*LIDER!$H$23+J49*LIDER!$H$24+K49*LIDER!$H$25,"N"))</f>
        <v>N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JOSE ANGEL VALLEJO REALES</v>
      </c>
      <c r="C50" s="33" t="str">
        <f>IF('S-ASIG-06'!D50="","",'S-ASIG-06'!D50)</f>
        <v>N</v>
      </c>
      <c r="D50" s="30" t="str">
        <f>IF(B50=0,"",IF(C50="",$E$48*LIDER!$H$19+F50*LIDER!$H$20+G50*LIDER!$H$21+H50*LIDER!$H$22+I50*LIDER!$H$23+J50*LIDER!$H$24+K50*LIDER!$H$25,"N"))</f>
        <v>N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118</v>
      </c>
      <c r="C54" s="32" t="str">
        <f>IF('S-ASIG-06'!D54="","",'S-ASIG-06'!D54)</f>
        <v>LIST</v>
      </c>
      <c r="D54" s="35" t="s">
        <v>104</v>
      </c>
      <c r="E54" s="199" t="str">
        <f>LIDER!$E$36</f>
        <v xml:space="preserve">GRUPO#8 GLOBAL GRADE 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EDINSON ANDRES CASTRO PADILLA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MATEO ANDRÉS CUESTA DÍAZ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LUKASS GIRALDO RAMIREZ</v>
      </c>
      <c r="C57" s="33" t="str">
        <f>IF('S-ASIG-06'!D57="","",'S-ASIG-06'!D57)</f>
        <v>N</v>
      </c>
      <c r="D57" s="30" t="str">
        <f>IF(B57=0,"",IF(C57="",$E$55*LIDER!$H$19+F57*LIDER!$H$20+G57*LIDER!$H$21+H57*LIDER!$H$22+I57*LIDER!$H$23+J57*LIDER!$H$24+K57*LIDER!$H$25,"N"))</f>
        <v>N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LOREINES OSPINO HERNÁNDEZ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VALERY DANIELA SAENZ WATTS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SHARONE JANNINE ORDOÑEZ ESCUDERO</v>
      </c>
      <c r="C60" s="33" t="str">
        <f>IF('S-ASIG-06'!D60="","",'S-ASIG-06'!D60)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120</v>
      </c>
      <c r="C61" s="32" t="str">
        <f>IF('S-ASIG-06'!D61="","",'S-ASIG-06'!D61)</f>
        <v>LIST</v>
      </c>
      <c r="D61" s="35" t="s">
        <v>104</v>
      </c>
      <c r="E61" s="199" t="str">
        <f>LIDER!$E$37</f>
        <v>GRUPO#9  SESAMIA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LINETH MARCELA GONZALEZ LASTRE</v>
      </c>
      <c r="C62" s="33" t="str">
        <f>IF('S-ASIG-06'!D62="","",'S-ASIG-06'!D62)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MARIA JOSE SUAREZ AMARIS</v>
      </c>
      <c r="C63" s="33" t="str">
        <f>IF('S-ASIG-06'!D63="","",'S-ASIG-06'!D63)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IF('S-ASIG-06'!D68="","",'S-ASIG-06'!D68)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IF('S-ASIG-06'!D75="","",'S-ASIG-06'!D75)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IF('S-ASIG-06'!D82="","",'S-ASIG-06'!D82)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210" t="s">
        <v>99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CONCATENATE(LIDER!I4," - ",LIDER!I6," - ",LIDER!I5)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101</v>
      </c>
      <c r="C5" s="34" t="str">
        <f>IF('S-ASIG-07'!D5="","",'S-ASIG-07'!D5)</f>
        <v>LIST</v>
      </c>
      <c r="D5" s="35" t="s">
        <v>104</v>
      </c>
      <c r="E5" s="199" t="str">
        <f>LIDER!$E$29</f>
        <v xml:space="preserve">GRUPO#1  COLOMBIAN TANK TOP 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SIARA LUCIA CHAMS CARBALLO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LAUREN CAROLINA MARTINEZ LICONA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ASLLY MARGARITA RINCON MATTOS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IF('S-ASIG-07'!D12="","",'S-ASIG-07'!D12)</f>
        <v>LIST</v>
      </c>
      <c r="D12" s="35" t="s">
        <v>104</v>
      </c>
      <c r="E12" s="199" t="str">
        <f>LIDER!$E$30</f>
        <v xml:space="preserve">GRUPO#2 VITALA 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HELENA ISABEL ALVAREZ CORTINA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YEIDER SANTIAGO BOHORQUEZ GONZALEZ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MELANY ANDREA FLÓREZ ALMANZA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ELIAN MANUEL PACHECO BELTRAN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VALERIA PASTRANA ARRIETA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PABLO QUIJANO GUEVARA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IF('S-ASIG-07'!D19="","",'S-ASIG-07'!D19)</f>
        <v>LIST</v>
      </c>
      <c r="D19" s="35" t="s">
        <v>104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>
        <f>LIDER!G43</f>
        <v>0</v>
      </c>
      <c r="C20" s="33" t="str">
        <f>IF('S-ASIG-07'!D20="","",'S-ASIG-07'!D20)</f>
        <v/>
      </c>
      <c r="D20" s="30" t="str">
        <f>IF(B20=0,"",IF(C20="",$E$20*LIDER!$H$19+F20*LIDER!$H$20+G20*LIDER!$H$21+H20*LIDER!$H$22+I20*LIDER!$H$23+J20*LIDER!$H$24+K20*LIDER!$H$25,"N"))</f>
        <v/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>
        <f>LIDER!G44</f>
        <v>0</v>
      </c>
      <c r="C21" s="33" t="str">
        <f>IF('S-ASIG-07'!D21="","",'S-ASIG-07'!D21)</f>
        <v/>
      </c>
      <c r="D21" s="30" t="str">
        <f>IF(B21=0,"",IF(C21="",$E$20*LIDER!$H$19+F21*LIDER!$H$20+G21*LIDER!$H$21+H21*LIDER!$H$22+I21*LIDER!$H$23+J21*LIDER!$H$24+K21*LIDER!$H$25,"N"))</f>
        <v/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IF('S-ASIG-07'!D22="","",'S-ASIG-07'!D22)</f>
        <v/>
      </c>
      <c r="D22" s="30" t="str">
        <f>IF(B22=0,"",IF(C22="",$E$20*LIDER!$H$19+F22*LIDER!$H$20+G22*LIDER!$H$21+H22*LIDER!$H$22+I22*LIDER!$H$23+J22*LIDER!$H$24+K22*LIDER!$H$25,"N"))</f>
        <v/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IF('S-ASIG-07'!D26="","",'S-ASIG-07'!D26)</f>
        <v>LIST</v>
      </c>
      <c r="D26" s="35" t="s">
        <v>104</v>
      </c>
      <c r="E26" s="199" t="str">
        <f>LIDER!$E$32</f>
        <v xml:space="preserve">GRUPO#4 MISTERY GLOBAL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JUAN CARLOS BALDIRIS ESPITIA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MARIA CRISTINA CAÑATE MERCADO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KARINA MARRUGO MEZA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HILARYS CAROLINA PATERNINA DONADO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MATEO QUINTANA SERNA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IF('S-ASIG-07'!D33="","",'S-ASIG-07'!D33)</f>
        <v>LIST</v>
      </c>
      <c r="D33" s="35" t="s">
        <v>104</v>
      </c>
      <c r="E33" s="199" t="str">
        <f>LIDER!$E$33</f>
        <v xml:space="preserve">GRUPO#5 VINO MUCILAGO DE CACAO 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JORGE ALBERTO BATISTA TABORDA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LAURA DANIELA MANOTAS ACEVEDO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JESED ALEJANDRO OBANDO MARSIGLIA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EDITH MARIA RIVERA MENDOZA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JEAN CARLOS RODRIGUEZ PEREZ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114</v>
      </c>
      <c r="C40" s="32" t="str">
        <f>IF('S-ASIG-07'!D40="","",'S-ASIG-07'!D40)</f>
        <v>LIST</v>
      </c>
      <c r="D40" s="35" t="s">
        <v>104</v>
      </c>
      <c r="E40" s="199" t="str">
        <f>LIDER!$E$34</f>
        <v xml:space="preserve">GRUPO#6 BIOADRON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ISSAC DAVID ANGULO ZABALETA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ANDRES FELIPE ARROYO PARRA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ADRIANO CORDOBA RODRIGUEZ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RONNY AMEL DE ORO MOLINA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HENRY WILCHES DE LA ROSA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116</v>
      </c>
      <c r="C47" s="32" t="str">
        <f>IF('S-ASIG-07'!D47="","",'S-ASIG-07'!D47)</f>
        <v>LIST</v>
      </c>
      <c r="D47" s="35" t="s">
        <v>104</v>
      </c>
      <c r="E47" s="199" t="str">
        <f>LIDER!$E$35</f>
        <v>GRUPO#7  EMPANADAS ITALIANAS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JUAN SEBASTIAN PRENS BOSSIO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ALEXANDER DUBAN PROTZKAR DE LA HOZ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JOSE ANGEL VALLEJO REALES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118</v>
      </c>
      <c r="C54" s="32" t="str">
        <f>IF('S-ASIG-07'!D54="","",'S-ASIG-07'!D54)</f>
        <v>LIST</v>
      </c>
      <c r="D54" s="35" t="s">
        <v>104</v>
      </c>
      <c r="E54" s="199" t="str">
        <f>LIDER!$E$36</f>
        <v xml:space="preserve">GRUPO#8 GLOBAL GRADE 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EDINSON ANDRES CASTRO PADILLA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MATEO ANDRÉS CUESTA DÍAZ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LUKASS GIRALDO RAMIREZ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LOREINES OSPINO HERNÁNDEZ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VALERY DANIELA SAENZ WATTS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SHARONE JANNINE ORDOÑEZ ESCUDERO</v>
      </c>
      <c r="C60" s="33" t="str">
        <f>IF('S-ASIG-07'!D60="","",'S-ASIG-07'!D60)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120</v>
      </c>
      <c r="C61" s="32" t="str">
        <f>IF('S-ASIG-07'!D61="","",'S-ASIG-07'!D61)</f>
        <v>LIST</v>
      </c>
      <c r="D61" s="35" t="s">
        <v>104</v>
      </c>
      <c r="E61" s="199" t="str">
        <f>LIDER!$E$37</f>
        <v>GRUPO#9  SESAMIA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LINETH MARCELA GONZALEZ LASTRE</v>
      </c>
      <c r="C62" s="33" t="str">
        <f>IF('S-ASIG-07'!D62="","",'S-ASIG-07'!D62)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MARIA JOSE SUAREZ AMARIS</v>
      </c>
      <c r="C63" s="33" t="str">
        <f>IF('S-ASIG-07'!D63="","",'S-ASIG-07'!D63)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IF('S-ASIG-07'!D68="","",'S-ASIG-07'!D68)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IF('S-ASIG-07'!D75="","",'S-ASIG-07'!D75)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IF('S-ASIG-07'!D82="","",'S-ASIG-07'!D82)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J12" sqref="J12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SEM-04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142" t="s">
        <v>126</v>
      </c>
      <c r="H2" s="143"/>
      <c r="I2" s="143"/>
      <c r="J2" s="143"/>
      <c r="K2" s="143"/>
      <c r="L2" s="143"/>
      <c r="M2" s="144"/>
      <c r="N2" s="2"/>
      <c r="O2" s="147" t="s">
        <v>127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2274</v>
      </c>
      <c r="H3" s="49" t="str">
        <f>CONCATENATE("N° : ",LIDER!D6)</f>
        <v>N° : 2262</v>
      </c>
      <c r="I3" s="49" t="str">
        <f>CONCATENATE("N° : ",LIDER!E6)</f>
        <v xml:space="preserve">N° : 
1436
 </v>
      </c>
      <c r="J3" s="49" t="str">
        <f>CONCATENATE("N° : ",LIDER!F6)</f>
        <v>N° : 1795</v>
      </c>
      <c r="K3" s="49" t="str">
        <f>CONCATENATE("N° : ",LIDER!G6)</f>
        <v>N° : 1350</v>
      </c>
      <c r="L3" s="49" t="str">
        <f>CONCATENATE("N° : ",LIDER!H6)</f>
        <v>N° : 1473</v>
      </c>
      <c r="M3" s="50" t="str">
        <f>CONCATENATE("N° : ",LIDER!I6)</f>
        <v xml:space="preserve">N° : </v>
      </c>
      <c r="O3" s="48" t="str">
        <f>G3</f>
        <v>N° : 2274</v>
      </c>
      <c r="P3" s="49" t="str">
        <f t="shared" ref="P3:U3" si="0">H3</f>
        <v>N° : 2262</v>
      </c>
      <c r="Q3" s="49" t="str">
        <f t="shared" si="0"/>
        <v xml:space="preserve">N° : 
1436
 </v>
      </c>
      <c r="R3" s="49" t="str">
        <f t="shared" si="0"/>
        <v>N° : 1795</v>
      </c>
      <c r="S3" s="49" t="str">
        <f t="shared" si="0"/>
        <v>N° : 1350</v>
      </c>
      <c r="T3" s="49" t="str">
        <f t="shared" si="0"/>
        <v>N° : 1473</v>
      </c>
      <c r="U3" s="50" t="str">
        <f t="shared" si="0"/>
        <v xml:space="preserve">N° : </v>
      </c>
    </row>
    <row r="4" spans="1:22" ht="30" customHeight="1" thickBot="1">
      <c r="A4" s="51"/>
      <c r="B4" s="52" t="s">
        <v>24</v>
      </c>
      <c r="C4" s="53" t="s">
        <v>128</v>
      </c>
      <c r="D4" s="54" t="s">
        <v>129</v>
      </c>
      <c r="E4" s="55" t="s">
        <v>130</v>
      </c>
      <c r="G4" s="56" t="str">
        <f>MID(LIDER!C4,1,9)</f>
        <v xml:space="preserve">ELECTIVA </v>
      </c>
      <c r="H4" s="57" t="str">
        <f>MID(LIDER!D4,1,9)</f>
        <v>ETICA</v>
      </c>
      <c r="I4" s="57" t="str">
        <f>MID(LIDER!E4,1,9)</f>
        <v>IMPORTACI</v>
      </c>
      <c r="J4" s="57" t="str">
        <f>MID(LIDER!F4,1,9)</f>
        <v>ESTADÍSTI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131</v>
      </c>
      <c r="O4" s="60" t="str">
        <f t="shared" ref="O4:U4" si="1">G4</f>
        <v xml:space="preserve">ELECTIVA </v>
      </c>
      <c r="P4" s="61" t="str">
        <f t="shared" si="1"/>
        <v>ETICA</v>
      </c>
      <c r="Q4" s="61" t="str">
        <f t="shared" si="1"/>
        <v>IMPORTACI</v>
      </c>
      <c r="R4" s="61" t="str">
        <f t="shared" si="1"/>
        <v>ESTADÍSTI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132</v>
      </c>
    </row>
    <row r="5" spans="1:22" ht="15" customHeight="1">
      <c r="A5" s="12">
        <v>1</v>
      </c>
      <c r="B5" s="63" t="str">
        <f>LIDER!C9</f>
        <v>SIARA LUCIA CHAMS CARBALLO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3.436666666666667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3.4200000000000004</v>
      </c>
      <c r="H5" s="65">
        <f>IF(B5=0,"",IFERROR(VLOOKUP(B5,'S-ASIG-02'!$B$5:$E$88,4,0),0))</f>
        <v>3.4</v>
      </c>
      <c r="I5" s="65">
        <f>IF(B5=0,"",IFERROR(VLOOKUP(B5,'S-ASIG-03'!$B$5:$E$88,4,0),0))</f>
        <v>3.1300000000000003</v>
      </c>
      <c r="J5" s="65">
        <f>IF(B5=0,"",IFERROR(VLOOKUP(B5,'S-ASIG-04'!$B$5:$E$88,4,0),0))</f>
        <v>2.5</v>
      </c>
      <c r="K5" s="65">
        <f>IF(B5=0,"",IFERROR(VLOOKUP(B5,'S-ASIG-05'!$B$5:$E$88,4,0),0))</f>
        <v>4.29</v>
      </c>
      <c r="L5" s="65">
        <f>IF(B5=0,"",IFERROR(VLOOKUP(B5,'S-ASIG-06'!$B$5:$E$88,4,0),0))</f>
        <v>3.8800000000000003</v>
      </c>
      <c r="M5" s="66">
        <f>IF(B5=0,"",IFERROR(VLOOKUP(B5,'S-ASIG-07'!$B$5:$E$88,4,0),0))</f>
        <v>0</v>
      </c>
      <c r="N5" s="68" t="s">
        <v>133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134</v>
      </c>
    </row>
    <row r="6" spans="1:22" ht="15" customHeight="1">
      <c r="A6" s="12">
        <v>2</v>
      </c>
      <c r="B6" s="70" t="str">
        <f>LIDER!C10</f>
        <v>LAUREN CAROLINA MARTINEZ LICONA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3.436666666666667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3.4200000000000004</v>
      </c>
      <c r="H6" s="72">
        <f>IF(B6=0,"",IFERROR(VLOOKUP(B6,'S-ASIG-02'!$B$5:$E$88,4,0),0))</f>
        <v>3.4</v>
      </c>
      <c r="I6" s="72">
        <f>IF(B6=0,"",IFERROR(VLOOKUP(B6,'S-ASIG-03'!$B$5:$E$88,4,0),0))</f>
        <v>3.1300000000000003</v>
      </c>
      <c r="J6" s="72">
        <f>IF(B6=0,"",IFERROR(VLOOKUP(B6,'S-ASIG-04'!$B$5:$E$88,4,0),0))</f>
        <v>2.5</v>
      </c>
      <c r="K6" s="72">
        <f>IF(B6=0,"",IFERROR(VLOOKUP(B6,'S-ASIG-05'!$B$5:$E$88,4,0),0))</f>
        <v>4.29</v>
      </c>
      <c r="L6" s="72">
        <f>IF(B6=0,"",IFERROR(VLOOKUP(B6,'S-ASIG-06'!$B$5:$E$88,4,0),0))</f>
        <v>3.8800000000000003</v>
      </c>
      <c r="M6" s="73">
        <f>IF(B6=0,"",IFERROR(VLOOKUP(B6,'S-ASIG-07'!$B$5:$E$88,4,0),0))</f>
        <v>0</v>
      </c>
      <c r="N6" s="68" t="s">
        <v>133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134</v>
      </c>
    </row>
    <row r="7" spans="1:22" ht="15" customHeight="1">
      <c r="A7" s="12">
        <v>3</v>
      </c>
      <c r="B7" s="70" t="str">
        <f>LIDER!C11</f>
        <v>ASLLY MARGARITA RINCON MATTOS</v>
      </c>
      <c r="C7" s="64" t="str">
        <f>IF(B7=0,"",IFERROR(VLOOKUP(B7,'S-ASIG-01'!$B$5:$E$88,2,0),0))</f>
        <v>G01</v>
      </c>
      <c r="D7" s="65">
        <f t="shared" si="2"/>
        <v>3.436666666666667</v>
      </c>
      <c r="E7" s="66">
        <f t="shared" si="3"/>
        <v>0</v>
      </c>
      <c r="F7" s="47"/>
      <c r="G7" s="71">
        <f>IF(B7=0,"",IFERROR(VLOOKUP(B7,'S-ASIG-01'!$B$5:$E$88,4,0),0))</f>
        <v>3.4200000000000004</v>
      </c>
      <c r="H7" s="72">
        <f>IF(B7=0,"",IFERROR(VLOOKUP(B7,'S-ASIG-02'!$B$5:$E$88,4,0),0))</f>
        <v>3.4</v>
      </c>
      <c r="I7" s="72">
        <f>IF(B7=0,"",IFERROR(VLOOKUP(B7,'S-ASIG-03'!$B$5:$E$88,4,0),0))</f>
        <v>3.1300000000000003</v>
      </c>
      <c r="J7" s="72">
        <f>IF(B7=0,"",IFERROR(VLOOKUP(B7,'S-ASIG-04'!$B$5:$E$88,4,0),0))</f>
        <v>2.5</v>
      </c>
      <c r="K7" s="72">
        <f>IF(B7=0,"",IFERROR(VLOOKUP(B7,'S-ASIG-05'!$B$5:$E$88,4,0),0))</f>
        <v>4.29</v>
      </c>
      <c r="L7" s="72">
        <f>IF(B7=0,"",IFERROR(VLOOKUP(B7,'S-ASIG-06'!$B$5:$E$88,4,0),0))</f>
        <v>3.8800000000000003</v>
      </c>
      <c r="M7" s="73">
        <f>IF(B7=0,"",IFERROR(VLOOKUP(B7,'S-ASIG-07'!$B$5:$E$88,4,0),0))</f>
        <v>0</v>
      </c>
      <c r="N7" s="68" t="s">
        <v>133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134</v>
      </c>
    </row>
    <row r="8" spans="1:22" ht="15" customHeight="1">
      <c r="A8" s="12">
        <v>4</v>
      </c>
      <c r="B8" s="70" t="str">
        <f>LIDER!C12</f>
        <v>HELENA ISABEL ALVAREZ CORTINA</v>
      </c>
      <c r="C8" s="64" t="str">
        <f>IF(B8=0,"",IFERROR(VLOOKUP(B8,'S-ASIG-01'!$B$5:$E$88,2,0),0))</f>
        <v>G02</v>
      </c>
      <c r="D8" s="65">
        <f t="shared" si="2"/>
        <v>2.7519999999999998</v>
      </c>
      <c r="E8" s="66">
        <f t="shared" si="3"/>
        <v>0</v>
      </c>
      <c r="F8" s="47"/>
      <c r="G8" s="71">
        <f>IF(B8=0,"",IFERROR(VLOOKUP(B8,'S-ASIG-01'!$B$5:$E$88,4,0),0))</f>
        <v>2.35</v>
      </c>
      <c r="H8" s="72">
        <f>IF(B8=0,"",IFERROR(VLOOKUP(B8,'S-ASIG-02'!$B$5:$E$88,4,0),0))</f>
        <v>2.25</v>
      </c>
      <c r="I8" s="72">
        <f>IF(B8=0,"",IFERROR(VLOOKUP(B8,'S-ASIG-03'!$B$5:$E$88,4,0),0))</f>
        <v>3.0400000000000005</v>
      </c>
      <c r="J8" s="72">
        <f>IF(B8=0,"",IFERROR(VLOOKUP(B8,'S-ASIG-04'!$B$5:$E$88,4,0),0))</f>
        <v>3.2</v>
      </c>
      <c r="K8" s="72">
        <f>IF(B8=0,"",IFERROR(VLOOKUP(B8,'S-ASIG-05'!$B$5:$E$88,4,0),0))</f>
        <v>2.92</v>
      </c>
      <c r="L8" s="72" t="str">
        <f>IF(B8=0,"",IFERROR(VLOOKUP(B8,'S-ASIG-06'!$B$5:$E$88,4,0),0))</f>
        <v>N</v>
      </c>
      <c r="M8" s="73">
        <f>IF(B8=0,"",IFERROR(VLOOKUP(B8,'S-ASIG-07'!$B$5:$E$88,4,0),0))</f>
        <v>0</v>
      </c>
      <c r="N8" s="68" t="s">
        <v>133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 t="str">
        <f>IF(B8=0,"",IFERROR(VLOOKUP(B8,'T-ASIG-06'!$B$5:$D$88,3,0),0))</f>
        <v>N</v>
      </c>
      <c r="U8" s="73">
        <f>IF(B8=0,"",IFERROR(VLOOKUP(B8,'T-ASIG-07'!$B$5:$D$88,3,0),0))</f>
        <v>0</v>
      </c>
      <c r="V8" s="69" t="s">
        <v>134</v>
      </c>
    </row>
    <row r="9" spans="1:22" ht="15" customHeight="1">
      <c r="A9" s="12">
        <v>5</v>
      </c>
      <c r="B9" s="70" t="str">
        <f>LIDER!C13</f>
        <v>YEIDER SANTIAGO BOHORQUEZ GONZALEZ</v>
      </c>
      <c r="C9" s="64" t="str">
        <f>IF(B9=0,"",IFERROR(VLOOKUP(B9,'S-ASIG-01'!$B$5:$E$88,2,0),0))</f>
        <v>G02</v>
      </c>
      <c r="D9" s="65">
        <f t="shared" si="2"/>
        <v>2.7519999999999998</v>
      </c>
      <c r="E9" s="66">
        <f t="shared" si="3"/>
        <v>0</v>
      </c>
      <c r="F9" s="47"/>
      <c r="G9" s="71">
        <f>IF(B9=0,"",IFERROR(VLOOKUP(B9,'S-ASIG-01'!$B$5:$E$88,4,0),0))</f>
        <v>2.35</v>
      </c>
      <c r="H9" s="72">
        <f>IF(B9=0,"",IFERROR(VLOOKUP(B9,'S-ASIG-02'!$B$5:$E$88,4,0),0))</f>
        <v>2.25</v>
      </c>
      <c r="I9" s="72">
        <f>IF(B9=0,"",IFERROR(VLOOKUP(B9,'S-ASIG-03'!$B$5:$E$88,4,0),0))</f>
        <v>3.0400000000000005</v>
      </c>
      <c r="J9" s="72">
        <f>IF(B9=0,"",IFERROR(VLOOKUP(B9,'S-ASIG-04'!$B$5:$E$88,4,0),0))</f>
        <v>3.2</v>
      </c>
      <c r="K9" s="72">
        <f>IF(B9=0,"",IFERROR(VLOOKUP(B9,'S-ASIG-05'!$B$5:$E$88,4,0),0))</f>
        <v>2.92</v>
      </c>
      <c r="L9" s="72" t="str">
        <f>IF(B9=0,"",IFERROR(VLOOKUP(B9,'S-ASIG-06'!$B$5:$E$88,4,0),0))</f>
        <v>N</v>
      </c>
      <c r="M9" s="73">
        <f>IF(B9=0,"",IFERROR(VLOOKUP(B9,'S-ASIG-07'!$B$5:$E$88,4,0),0))</f>
        <v>0</v>
      </c>
      <c r="N9" s="68" t="s">
        <v>133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 t="str">
        <f>IF(B9=0,"",IFERROR(VLOOKUP(B9,'T-ASIG-06'!$B$5:$D$88,3,0),0))</f>
        <v>N</v>
      </c>
      <c r="U9" s="73">
        <f>IF(B9=0,"",IFERROR(VLOOKUP(B9,'T-ASIG-07'!$B$5:$D$88,3,0),0))</f>
        <v>0</v>
      </c>
      <c r="V9" s="69" t="s">
        <v>134</v>
      </c>
    </row>
    <row r="10" spans="1:22" ht="15" customHeight="1">
      <c r="A10" s="12">
        <v>6</v>
      </c>
      <c r="B10" s="70" t="str">
        <f>LIDER!C14</f>
        <v>MELANY ANDREA FLÓREZ ALMANZA</v>
      </c>
      <c r="C10" s="64" t="str">
        <f>IF(B10=0,"",IFERROR(VLOOKUP(B10,'S-ASIG-01'!$B$5:$E$88,2,0),0))</f>
        <v>G02</v>
      </c>
      <c r="D10" s="65">
        <f t="shared" si="2"/>
        <v>2.7433333333333336</v>
      </c>
      <c r="E10" s="66">
        <f t="shared" si="3"/>
        <v>0</v>
      </c>
      <c r="F10" s="47"/>
      <c r="G10" s="71">
        <f>IF(B10=0,"",IFERROR(VLOOKUP(B10,'S-ASIG-01'!$B$5:$E$88,4,0),0))</f>
        <v>2.35</v>
      </c>
      <c r="H10" s="72">
        <f>IF(B10=0,"",IFERROR(VLOOKUP(B10,'S-ASIG-02'!$B$5:$E$88,4,0),0))</f>
        <v>2.25</v>
      </c>
      <c r="I10" s="72">
        <f>IF(B10=0,"",IFERROR(VLOOKUP(B10,'S-ASIG-03'!$B$5:$E$88,4,0),0))</f>
        <v>3.0400000000000005</v>
      </c>
      <c r="J10" s="72">
        <f>IF(B10=0,"",IFERROR(VLOOKUP(B10,'S-ASIG-04'!$B$5:$E$88,4,0),0))</f>
        <v>3.2</v>
      </c>
      <c r="K10" s="72">
        <f>IF(B10=0,"",IFERROR(VLOOKUP(B10,'S-ASIG-05'!$B$5:$E$88,4,0),0))</f>
        <v>2.92</v>
      </c>
      <c r="L10" s="72">
        <f>IF(B10=0,"",IFERROR(VLOOKUP(B10,'S-ASIG-06'!$B$5:$E$88,4,0),0))</f>
        <v>2.7</v>
      </c>
      <c r="M10" s="73">
        <f>IF(B10=0,"",IFERROR(VLOOKUP(B10,'S-ASIG-07'!$B$5:$E$88,4,0),0))</f>
        <v>0</v>
      </c>
      <c r="N10" s="68" t="s">
        <v>133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134</v>
      </c>
    </row>
    <row r="11" spans="1:22" ht="15" customHeight="1">
      <c r="A11" s="12">
        <v>7</v>
      </c>
      <c r="B11" s="70" t="str">
        <f>LIDER!C15</f>
        <v>ELIAN MANUEL PACHECO BELTRAN</v>
      </c>
      <c r="C11" s="64" t="str">
        <f>IF(B11=0,"",IFERROR(VLOOKUP(B11,'S-ASIG-01'!$B$5:$E$88,2,0),0))</f>
        <v>G02</v>
      </c>
      <c r="D11" s="65">
        <f t="shared" si="2"/>
        <v>2.7433333333333336</v>
      </c>
      <c r="E11" s="66">
        <f t="shared" si="3"/>
        <v>0</v>
      </c>
      <c r="F11" s="47"/>
      <c r="G11" s="71">
        <f>IF(B11=0,"",IFERROR(VLOOKUP(B11,'S-ASIG-01'!$B$5:$E$88,4,0),0))</f>
        <v>2.35</v>
      </c>
      <c r="H11" s="72">
        <f>IF(B11=0,"",IFERROR(VLOOKUP(B11,'S-ASIG-02'!$B$5:$E$88,4,0),0))</f>
        <v>2.25</v>
      </c>
      <c r="I11" s="72">
        <f>IF(B11=0,"",IFERROR(VLOOKUP(B11,'S-ASIG-03'!$B$5:$E$88,4,0),0))</f>
        <v>3.0400000000000005</v>
      </c>
      <c r="J11" s="72">
        <f>IF(B11=0,"",IFERROR(VLOOKUP(B11,'S-ASIG-04'!$B$5:$E$88,4,0),0))</f>
        <v>3.2</v>
      </c>
      <c r="K11" s="72">
        <f>IF(B11=0,"",IFERROR(VLOOKUP(B11,'S-ASIG-05'!$B$5:$E$88,4,0),0))</f>
        <v>2.92</v>
      </c>
      <c r="L11" s="72">
        <f>IF(B11=0,"",IFERROR(VLOOKUP(B11,'S-ASIG-06'!$B$5:$E$88,4,0),0))</f>
        <v>2.7</v>
      </c>
      <c r="M11" s="73">
        <f>IF(B11=0,"",IFERROR(VLOOKUP(B11,'S-ASIG-07'!$B$5:$E$88,4,0),0))</f>
        <v>0</v>
      </c>
      <c r="N11" s="68" t="s">
        <v>133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134</v>
      </c>
    </row>
    <row r="12" spans="1:22" ht="15" customHeight="1">
      <c r="A12" s="12">
        <v>8</v>
      </c>
      <c r="B12" s="70" t="str">
        <f>LIDER!C16</f>
        <v>VALERIA PASTRANA ARRIETA</v>
      </c>
      <c r="C12" s="64" t="str">
        <f>IF(B12=0,"",IFERROR(VLOOKUP(B12,'S-ASIG-01'!$B$5:$E$88,2,0),0))</f>
        <v>G02</v>
      </c>
      <c r="D12" s="65">
        <f t="shared" si="2"/>
        <v>2.7519999999999998</v>
      </c>
      <c r="E12" s="66">
        <f t="shared" si="3"/>
        <v>0</v>
      </c>
      <c r="F12" s="47"/>
      <c r="G12" s="71">
        <f>IF(B12=0,"",IFERROR(VLOOKUP(B12,'S-ASIG-01'!$B$5:$E$88,4,0),0))</f>
        <v>2.35</v>
      </c>
      <c r="H12" s="72">
        <f>IF(B12=0,"",IFERROR(VLOOKUP(B12,'S-ASIG-02'!$B$5:$E$88,4,0),0))</f>
        <v>2.25</v>
      </c>
      <c r="I12" s="72">
        <f>IF(B12=0,"",IFERROR(VLOOKUP(B12,'S-ASIG-03'!$B$5:$E$88,4,0),0))</f>
        <v>3.0400000000000005</v>
      </c>
      <c r="J12" s="72">
        <f>IF(B12=0,"",IFERROR(VLOOKUP(B12,'S-ASIG-04'!$B$5:$E$88,4,0),0))</f>
        <v>3.2</v>
      </c>
      <c r="K12" s="72">
        <f>IF(B12=0,"",IFERROR(VLOOKUP(B12,'S-ASIG-05'!$B$5:$E$88,4,0),0))</f>
        <v>2.92</v>
      </c>
      <c r="L12" s="72" t="str">
        <f>IF(B12=0,"",IFERROR(VLOOKUP(B12,'S-ASIG-06'!$B$5:$E$88,4,0),0))</f>
        <v>N</v>
      </c>
      <c r="M12" s="73">
        <f>IF(B12=0,"",IFERROR(VLOOKUP(B12,'S-ASIG-07'!$B$5:$E$88,4,0),0))</f>
        <v>0</v>
      </c>
      <c r="N12" s="68" t="s">
        <v>133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 t="str">
        <f>IF(B12=0,"",IFERROR(VLOOKUP(B12,'T-ASIG-06'!$B$5:$D$88,3,0),0))</f>
        <v>N</v>
      </c>
      <c r="U12" s="73">
        <f>IF(B12=0,"",IFERROR(VLOOKUP(B12,'T-ASIG-07'!$B$5:$D$88,3,0),0))</f>
        <v>0</v>
      </c>
      <c r="V12" s="69" t="s">
        <v>134</v>
      </c>
    </row>
    <row r="13" spans="1:22" ht="15" customHeight="1">
      <c r="A13" s="12">
        <v>9</v>
      </c>
      <c r="B13" s="70" t="str">
        <f>LIDER!C17</f>
        <v>JUAN PABLO QUIJANO GUEVARA</v>
      </c>
      <c r="C13" s="64" t="str">
        <f>IF(B13=0,"",IFERROR(VLOOKUP(B13,'S-ASIG-01'!$B$5:$E$88,2,0),0))</f>
        <v>G02</v>
      </c>
      <c r="D13" s="65">
        <f t="shared" si="2"/>
        <v>2.7519999999999998</v>
      </c>
      <c r="E13" s="66">
        <f t="shared" si="3"/>
        <v>0</v>
      </c>
      <c r="F13" s="47"/>
      <c r="G13" s="71">
        <f>IF(B13=0,"",IFERROR(VLOOKUP(B13,'S-ASIG-01'!$B$5:$E$88,4,0),0))</f>
        <v>2.35</v>
      </c>
      <c r="H13" s="72">
        <f>IF(B13=0,"",IFERROR(VLOOKUP(B13,'S-ASIG-02'!$B$5:$E$88,4,0),0))</f>
        <v>2.25</v>
      </c>
      <c r="I13" s="72">
        <f>IF(B13=0,"",IFERROR(VLOOKUP(B13,'S-ASIG-03'!$B$5:$E$88,4,0),0))</f>
        <v>3.0400000000000005</v>
      </c>
      <c r="J13" s="72">
        <f>IF(B13=0,"",IFERROR(VLOOKUP(B13,'S-ASIG-04'!$B$5:$E$88,4,0),0))</f>
        <v>3.2</v>
      </c>
      <c r="K13" s="72">
        <f>IF(B13=0,"",IFERROR(VLOOKUP(B13,'S-ASIG-05'!$B$5:$E$88,4,0),0))</f>
        <v>2.92</v>
      </c>
      <c r="L13" s="72" t="str">
        <f>IF(B13=0,"",IFERROR(VLOOKUP(B13,'S-ASIG-06'!$B$5:$E$88,4,0),0))</f>
        <v>N</v>
      </c>
      <c r="M13" s="73">
        <f>IF(B13=0,"",IFERROR(VLOOKUP(B13,'S-ASIG-07'!$B$5:$E$88,4,0),0))</f>
        <v>0</v>
      </c>
      <c r="N13" s="68" t="s">
        <v>133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 t="str">
        <f>IF(B13=0,"",IFERROR(VLOOKUP(B13,'T-ASIG-06'!$B$5:$D$88,3,0),0))</f>
        <v>N</v>
      </c>
      <c r="U13" s="73">
        <f>IF(B13=0,"",IFERROR(VLOOKUP(B13,'T-ASIG-07'!$B$5:$D$88,3,0),0))</f>
        <v>0</v>
      </c>
      <c r="V13" s="69" t="s">
        <v>134</v>
      </c>
    </row>
    <row r="14" spans="1:22" ht="15" customHeight="1">
      <c r="A14" s="12">
        <v>10</v>
      </c>
      <c r="B14" s="70" t="str">
        <f>LIDER!C18</f>
        <v>YURI MAR FUENMAYOR OSORIO</v>
      </c>
      <c r="C14" s="64">
        <f>IF(B14=0,"",IFERROR(VLOOKUP(B14,'S-ASIG-01'!$B$5:$E$88,2,0),0))</f>
        <v>0</v>
      </c>
      <c r="D14" s="65">
        <f t="shared" si="2"/>
        <v>0</v>
      </c>
      <c r="E14" s="66">
        <f t="shared" si="3"/>
        <v>0</v>
      </c>
      <c r="F14" s="47"/>
      <c r="G14" s="71">
        <f>IF(B14=0,"",IFERROR(VLOOKUP(B14,'S-ASIG-01'!$B$5:$E$88,4,0),0))</f>
        <v>0</v>
      </c>
      <c r="H14" s="72">
        <f>IF(B14=0,"",IFERROR(VLOOKUP(B14,'S-ASIG-02'!$B$5:$E$88,4,0),0))</f>
        <v>0</v>
      </c>
      <c r="I14" s="72">
        <f>IF(B14=0,"",IFERROR(VLOOKUP(B14,'S-ASIG-03'!$B$5:$E$88,4,0),0))</f>
        <v>0</v>
      </c>
      <c r="J14" s="72">
        <f>IF(B14=0,"",IFERROR(VLOOKUP(B14,'S-ASIG-04'!$B$5:$E$88,4,0),0))</f>
        <v>0</v>
      </c>
      <c r="K14" s="72">
        <f>IF(B14=0,"",IFERROR(VLOOKUP(B14,'S-ASIG-05'!$B$5:$E$88,4,0),0))</f>
        <v>0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133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134</v>
      </c>
    </row>
    <row r="15" spans="1:22" ht="15" customHeight="1">
      <c r="A15" s="12">
        <v>11</v>
      </c>
      <c r="B15" s="70" t="str">
        <f>LIDER!C19</f>
        <v>YULEIDIS PAOLA MORENO DIAZ</v>
      </c>
      <c r="C15" s="64">
        <f>IF(B15=0,"",IFERROR(VLOOKUP(B15,'S-ASIG-01'!$B$5:$E$88,2,0),0))</f>
        <v>0</v>
      </c>
      <c r="D15" s="65">
        <f t="shared" si="2"/>
        <v>0</v>
      </c>
      <c r="E15" s="66">
        <f t="shared" si="3"/>
        <v>0</v>
      </c>
      <c r="F15" s="47"/>
      <c r="G15" s="71">
        <f>IF(B15=0,"",IFERROR(VLOOKUP(B15,'S-ASIG-01'!$B$5:$E$88,4,0),0))</f>
        <v>0</v>
      </c>
      <c r="H15" s="72">
        <f>IF(B15=0,"",IFERROR(VLOOKUP(B15,'S-ASIG-02'!$B$5:$E$88,4,0),0))</f>
        <v>0</v>
      </c>
      <c r="I15" s="72">
        <f>IF(B15=0,"",IFERROR(VLOOKUP(B15,'S-ASIG-03'!$B$5:$E$88,4,0),0))</f>
        <v>0</v>
      </c>
      <c r="J15" s="72">
        <f>IF(B15=0,"",IFERROR(VLOOKUP(B15,'S-ASIG-04'!$B$5:$E$88,4,0),0))</f>
        <v>0</v>
      </c>
      <c r="K15" s="72">
        <f>IF(B15=0,"",IFERROR(VLOOKUP(B15,'S-ASIG-05'!$B$5:$E$88,4,0),0))</f>
        <v>0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133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134</v>
      </c>
    </row>
    <row r="16" spans="1:22" ht="15" customHeight="1">
      <c r="A16" s="12">
        <v>12</v>
      </c>
      <c r="B16" s="70" t="str">
        <f>LIDER!C20</f>
        <v>SHARONE JANNINE ORDOÑEZ ESCUDERO</v>
      </c>
      <c r="C16" s="64" t="str">
        <f>IF(B16=0,"",IFERROR(VLOOKUP(B16,'S-ASIG-01'!$B$5:$E$88,2,0),0))</f>
        <v>G08</v>
      </c>
      <c r="D16" s="65">
        <f t="shared" si="2"/>
        <v>3.9200000000000004</v>
      </c>
      <c r="E16" s="66">
        <f t="shared" si="3"/>
        <v>0</v>
      </c>
      <c r="F16" s="47"/>
      <c r="G16" s="71">
        <f>IF(B16=0,"",IFERROR(VLOOKUP(B16,'S-ASIG-01'!$B$5:$E$88,4,0),0))</f>
        <v>4.57</v>
      </c>
      <c r="H16" s="72">
        <f>IF(B16=0,"",IFERROR(VLOOKUP(B16,'S-ASIG-02'!$B$5:$E$88,4,0),0))</f>
        <v>4.4400000000000004</v>
      </c>
      <c r="I16" s="72">
        <f>IF(B16=0,"",IFERROR(VLOOKUP(B16,'S-ASIG-03'!$B$5:$E$88,4,0),0))</f>
        <v>4.01</v>
      </c>
      <c r="J16" s="72">
        <f>IF(B16=0,"",IFERROR(VLOOKUP(B16,'S-ASIG-04'!$B$5:$E$88,4,0),0))</f>
        <v>3.04</v>
      </c>
      <c r="K16" s="72">
        <f>IF(B16=0,"",IFERROR(VLOOKUP(B16,'S-ASIG-05'!$B$5:$E$88,4,0),0))</f>
        <v>3.66</v>
      </c>
      <c r="L16" s="72">
        <f>IF(B16=0,"",IFERROR(VLOOKUP(B16,'S-ASIG-06'!$B$5:$E$88,4,0),0))</f>
        <v>3.8000000000000003</v>
      </c>
      <c r="M16" s="73">
        <f>IF(B16=0,"",IFERROR(VLOOKUP(B16,'S-ASIG-07'!$B$5:$E$88,4,0),0))</f>
        <v>0</v>
      </c>
      <c r="N16" s="68" t="s">
        <v>133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134</v>
      </c>
    </row>
    <row r="17" spans="1:22" ht="15" customHeight="1">
      <c r="A17" s="12">
        <v>13</v>
      </c>
      <c r="B17" s="70" t="str">
        <f>LIDER!C21</f>
        <v>JUAN CARLOS BALDIRIS ESPITIA</v>
      </c>
      <c r="C17" s="64" t="str">
        <f>IF(B17=0,"",IFERROR(VLOOKUP(B17,'S-ASIG-01'!$B$5:$E$88,2,0),0))</f>
        <v>G04</v>
      </c>
      <c r="D17" s="65">
        <f t="shared" si="2"/>
        <v>4.2200000000000006</v>
      </c>
      <c r="E17" s="66">
        <f t="shared" si="3"/>
        <v>0</v>
      </c>
      <c r="F17" s="47"/>
      <c r="G17" s="71">
        <f>IF(B17=0,"",IFERROR(VLOOKUP(B17,'S-ASIG-01'!$B$5:$E$88,4,0),0))</f>
        <v>4.43</v>
      </c>
      <c r="H17" s="72">
        <f>IF(B17=0,"",IFERROR(VLOOKUP(B17,'S-ASIG-02'!$B$5:$E$88,4,0),0))</f>
        <v>4.0599999999999996</v>
      </c>
      <c r="I17" s="72">
        <f>IF(B17=0,"",IFERROR(VLOOKUP(B17,'S-ASIG-03'!$B$5:$E$88,4,0),0))</f>
        <v>3.96</v>
      </c>
      <c r="J17" s="72">
        <f>IF(B17=0,"",IFERROR(VLOOKUP(B17,'S-ASIG-04'!$B$5:$E$88,4,0),0))</f>
        <v>4.5</v>
      </c>
      <c r="K17" s="72">
        <f>IF(B17=0,"",IFERROR(VLOOKUP(B17,'S-ASIG-05'!$B$5:$E$88,4,0),0))</f>
        <v>4.1500000000000004</v>
      </c>
      <c r="L17" s="72" t="str">
        <f>IF(B17=0,"",IFERROR(VLOOKUP(B17,'S-ASIG-06'!$B$5:$E$88,4,0),0))</f>
        <v>N</v>
      </c>
      <c r="M17" s="73">
        <f>IF(B17=0,"",IFERROR(VLOOKUP(B17,'S-ASIG-07'!$B$5:$E$88,4,0),0))</f>
        <v>0</v>
      </c>
      <c r="N17" s="68" t="s">
        <v>133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 t="str">
        <f>IF(B17=0,"",IFERROR(VLOOKUP(B17,'T-ASIG-06'!$B$5:$D$88,3,0),0))</f>
        <v>N</v>
      </c>
      <c r="U17" s="73">
        <f>IF(B17=0,"",IFERROR(VLOOKUP(B17,'T-ASIG-07'!$B$5:$D$88,3,0),0))</f>
        <v>0</v>
      </c>
      <c r="V17" s="69" t="s">
        <v>134</v>
      </c>
    </row>
    <row r="18" spans="1:22" ht="15" customHeight="1">
      <c r="A18" s="12">
        <v>14</v>
      </c>
      <c r="B18" s="70" t="str">
        <f>LIDER!C22</f>
        <v>MARIA CRISTINA CAÑATE MERCADO</v>
      </c>
      <c r="C18" s="64" t="str">
        <f>IF(B18=0,"",IFERROR(VLOOKUP(B18,'S-ASIG-01'!$B$5:$E$88,2,0),0))</f>
        <v>G04</v>
      </c>
      <c r="D18" s="65">
        <f t="shared" si="2"/>
        <v>4.0916666666666668</v>
      </c>
      <c r="E18" s="66">
        <f t="shared" si="3"/>
        <v>0</v>
      </c>
      <c r="F18" s="47"/>
      <c r="G18" s="71">
        <f>IF(B18=0,"",IFERROR(VLOOKUP(B18,'S-ASIG-01'!$B$5:$E$88,4,0),0))</f>
        <v>4.43</v>
      </c>
      <c r="H18" s="72">
        <f>IF(B18=0,"",IFERROR(VLOOKUP(B18,'S-ASIG-02'!$B$5:$E$88,4,0),0))</f>
        <v>4.0599999999999996</v>
      </c>
      <c r="I18" s="72">
        <f>IF(B18=0,"",IFERROR(VLOOKUP(B18,'S-ASIG-03'!$B$5:$E$88,4,0),0))</f>
        <v>3.96</v>
      </c>
      <c r="J18" s="72">
        <f>IF(B18=0,"",IFERROR(VLOOKUP(B18,'S-ASIG-04'!$B$5:$E$88,4,0),0))</f>
        <v>4.5</v>
      </c>
      <c r="K18" s="72">
        <f>IF(B18=0,"",IFERROR(VLOOKUP(B18,'S-ASIG-05'!$B$5:$E$88,4,0),0))</f>
        <v>4.1500000000000004</v>
      </c>
      <c r="L18" s="72">
        <f>IF(B18=0,"",IFERROR(VLOOKUP(B18,'S-ASIG-06'!$B$5:$E$88,4,0),0))</f>
        <v>3.45</v>
      </c>
      <c r="M18" s="73">
        <f>IF(B18=0,"",IFERROR(VLOOKUP(B18,'S-ASIG-07'!$B$5:$E$88,4,0),0))</f>
        <v>0</v>
      </c>
      <c r="N18" s="68" t="s">
        <v>133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134</v>
      </c>
    </row>
    <row r="19" spans="1:22" ht="15" customHeight="1">
      <c r="A19" s="12">
        <v>15</v>
      </c>
      <c r="B19" s="70" t="str">
        <f>LIDER!C23</f>
        <v>KARINA MARRUGO MEZA</v>
      </c>
      <c r="C19" s="64" t="str">
        <f>IF(B19=0,"",IFERROR(VLOOKUP(B19,'S-ASIG-01'!$B$5:$E$88,2,0),0))</f>
        <v>G04</v>
      </c>
      <c r="D19" s="65">
        <f t="shared" si="2"/>
        <v>4.0916666666666668</v>
      </c>
      <c r="E19" s="66">
        <f t="shared" si="3"/>
        <v>0</v>
      </c>
      <c r="F19" s="47"/>
      <c r="G19" s="71">
        <f>IF(B19=0,"",IFERROR(VLOOKUP(B19,'S-ASIG-01'!$B$5:$E$88,4,0),0))</f>
        <v>4.43</v>
      </c>
      <c r="H19" s="72">
        <f>IF(B19=0,"",IFERROR(VLOOKUP(B19,'S-ASIG-02'!$B$5:$E$88,4,0),0))</f>
        <v>4.0599999999999996</v>
      </c>
      <c r="I19" s="72">
        <f>IF(B19=0,"",IFERROR(VLOOKUP(B19,'S-ASIG-03'!$B$5:$E$88,4,0),0))</f>
        <v>3.96</v>
      </c>
      <c r="J19" s="72">
        <f>IF(B19=0,"",IFERROR(VLOOKUP(B19,'S-ASIG-04'!$B$5:$E$88,4,0),0))</f>
        <v>4.5</v>
      </c>
      <c r="K19" s="72">
        <f>IF(B19=0,"",IFERROR(VLOOKUP(B19,'S-ASIG-05'!$B$5:$E$88,4,0),0))</f>
        <v>4.1500000000000004</v>
      </c>
      <c r="L19" s="72">
        <f>IF(B19=0,"",IFERROR(VLOOKUP(B19,'S-ASIG-06'!$B$5:$E$88,4,0),0))</f>
        <v>3.45</v>
      </c>
      <c r="M19" s="73">
        <f>IF(B19=0,"",IFERROR(VLOOKUP(B19,'S-ASIG-07'!$B$5:$E$88,4,0),0))</f>
        <v>0</v>
      </c>
      <c r="N19" s="68" t="s">
        <v>133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134</v>
      </c>
    </row>
    <row r="20" spans="1:22" ht="15" customHeight="1">
      <c r="A20" s="12">
        <v>16</v>
      </c>
      <c r="B20" s="70" t="str">
        <f>LIDER!C24</f>
        <v>HILARYS CAROLINA PATERNINA DONADO</v>
      </c>
      <c r="C20" s="64" t="str">
        <f>IF(B20=0,"",IFERROR(VLOOKUP(B20,'S-ASIG-01'!$B$5:$E$88,2,0),0))</f>
        <v>G04</v>
      </c>
      <c r="D20" s="65">
        <f t="shared" si="2"/>
        <v>4.0916666666666668</v>
      </c>
      <c r="E20" s="66">
        <f t="shared" si="3"/>
        <v>0</v>
      </c>
      <c r="F20" s="47"/>
      <c r="G20" s="71">
        <f>IF(B20=0,"",IFERROR(VLOOKUP(B20,'S-ASIG-01'!$B$5:$E$88,4,0),0))</f>
        <v>4.43</v>
      </c>
      <c r="H20" s="72">
        <f>IF(B20=0,"",IFERROR(VLOOKUP(B20,'S-ASIG-02'!$B$5:$E$88,4,0),0))</f>
        <v>4.0599999999999996</v>
      </c>
      <c r="I20" s="72">
        <f>IF(B20=0,"",IFERROR(VLOOKUP(B20,'S-ASIG-03'!$B$5:$E$88,4,0),0))</f>
        <v>3.96</v>
      </c>
      <c r="J20" s="72">
        <f>IF(B20=0,"",IFERROR(VLOOKUP(B20,'S-ASIG-04'!$B$5:$E$88,4,0),0))</f>
        <v>4.5</v>
      </c>
      <c r="K20" s="72">
        <f>IF(B20=0,"",IFERROR(VLOOKUP(B20,'S-ASIG-05'!$B$5:$E$88,4,0),0))</f>
        <v>4.1500000000000004</v>
      </c>
      <c r="L20" s="72">
        <f>IF(B20=0,"",IFERROR(VLOOKUP(B20,'S-ASIG-06'!$B$5:$E$88,4,0),0))</f>
        <v>3.45</v>
      </c>
      <c r="M20" s="73">
        <f>IF(B20=0,"",IFERROR(VLOOKUP(B20,'S-ASIG-07'!$B$5:$E$88,4,0),0))</f>
        <v>0</v>
      </c>
      <c r="N20" s="68" t="s">
        <v>133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134</v>
      </c>
    </row>
    <row r="21" spans="1:22" ht="15" customHeight="1">
      <c r="A21" s="12">
        <v>17</v>
      </c>
      <c r="B21" s="70" t="str">
        <f>LIDER!C25</f>
        <v>MATEO QUINTANA SERNA</v>
      </c>
      <c r="C21" s="64" t="str">
        <f>IF(B21=0,"",IFERROR(VLOOKUP(B21,'S-ASIG-01'!$B$5:$E$88,2,0),0))</f>
        <v>G04</v>
      </c>
      <c r="D21" s="65">
        <f t="shared" si="2"/>
        <v>4.0916666666666668</v>
      </c>
      <c r="E21" s="66">
        <f t="shared" si="3"/>
        <v>0</v>
      </c>
      <c r="F21" s="47"/>
      <c r="G21" s="71">
        <f>IF(B21=0,"",IFERROR(VLOOKUP(B21,'S-ASIG-01'!$B$5:$E$88,4,0),0))</f>
        <v>4.43</v>
      </c>
      <c r="H21" s="72">
        <f>IF(B21=0,"",IFERROR(VLOOKUP(B21,'S-ASIG-02'!$B$5:$E$88,4,0),0))</f>
        <v>4.0599999999999996</v>
      </c>
      <c r="I21" s="72">
        <f>IF(B21=0,"",IFERROR(VLOOKUP(B21,'S-ASIG-03'!$B$5:$E$88,4,0),0))</f>
        <v>3.96</v>
      </c>
      <c r="J21" s="72">
        <f>IF(B21=0,"",IFERROR(VLOOKUP(B21,'S-ASIG-04'!$B$5:$E$88,4,0),0))</f>
        <v>4.5</v>
      </c>
      <c r="K21" s="72">
        <f>IF(B21=0,"",IFERROR(VLOOKUP(B21,'S-ASIG-05'!$B$5:$E$88,4,0),0))</f>
        <v>4.1500000000000004</v>
      </c>
      <c r="L21" s="72">
        <f>IF(B21=0,"",IFERROR(VLOOKUP(B21,'S-ASIG-06'!$B$5:$E$88,4,0),0))</f>
        <v>3.45</v>
      </c>
      <c r="M21" s="73">
        <f>IF(B21=0,"",IFERROR(VLOOKUP(B21,'S-ASIG-07'!$B$5:$E$88,4,0),0))</f>
        <v>0</v>
      </c>
      <c r="N21" s="68" t="s">
        <v>133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134</v>
      </c>
    </row>
    <row r="22" spans="1:22" ht="15" customHeight="1">
      <c r="A22" s="12">
        <v>18</v>
      </c>
      <c r="B22" s="70" t="str">
        <f>LIDER!C26</f>
        <v>JORGE ALBERTO BATISTA TABORDA</v>
      </c>
      <c r="C22" s="64" t="str">
        <f>IF(B22=0,"",IFERROR(VLOOKUP(B22,'S-ASIG-01'!$B$5:$E$88,2,0),0))</f>
        <v>G05</v>
      </c>
      <c r="D22" s="65">
        <f t="shared" si="2"/>
        <v>3.9074999999999998</v>
      </c>
      <c r="E22" s="66">
        <f t="shared" si="3"/>
        <v>0</v>
      </c>
      <c r="F22" s="47"/>
      <c r="G22" s="71">
        <f>IF(B22=0,"",IFERROR(VLOOKUP(B22,'S-ASIG-01'!$B$5:$E$88,4,0),0))</f>
        <v>0</v>
      </c>
      <c r="H22" s="72">
        <f>IF(B22=0,"",IFERROR(VLOOKUP(B22,'S-ASIG-02'!$B$5:$E$88,4,0),0))</f>
        <v>3.7600000000000002</v>
      </c>
      <c r="I22" s="72">
        <f>IF(B22=0,"",IFERROR(VLOOKUP(B22,'S-ASIG-03'!$B$5:$E$88,4,0),0))</f>
        <v>3.67</v>
      </c>
      <c r="J22" s="72">
        <f>IF(B22=0,"",IFERROR(VLOOKUP(B22,'S-ASIG-04'!$B$5:$E$88,4,0),0))</f>
        <v>4.5</v>
      </c>
      <c r="K22" s="72">
        <f>IF(B22=0,"",IFERROR(VLOOKUP(B22,'S-ASIG-05'!$B$5:$E$88,4,0),0))</f>
        <v>0</v>
      </c>
      <c r="L22" s="72">
        <f>IF(B22=0,"",IFERROR(VLOOKUP(B22,'S-ASIG-06'!$B$5:$E$88,4,0),0))</f>
        <v>3.7</v>
      </c>
      <c r="M22" s="73">
        <f>IF(B22=0,"",IFERROR(VLOOKUP(B22,'S-ASIG-07'!$B$5:$E$88,4,0),0))</f>
        <v>0</v>
      </c>
      <c r="N22" s="68" t="s">
        <v>133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134</v>
      </c>
    </row>
    <row r="23" spans="1:22" ht="15" customHeight="1">
      <c r="A23" s="12">
        <v>19</v>
      </c>
      <c r="B23" s="70" t="str">
        <f>LIDER!C27</f>
        <v>LAURA DANIELA MANOTAS ACEVEDO</v>
      </c>
      <c r="C23" s="64" t="str">
        <f>IF(B23=0,"",IFERROR(VLOOKUP(B23,'S-ASIG-01'!$B$5:$E$88,2,0),0))</f>
        <v>G05</v>
      </c>
      <c r="D23" s="65">
        <f t="shared" si="2"/>
        <v>3.9766666666666666</v>
      </c>
      <c r="E23" s="66">
        <f t="shared" si="3"/>
        <v>0</v>
      </c>
      <c r="F23" s="47"/>
      <c r="G23" s="71">
        <f>IF(B23=0,"",IFERROR(VLOOKUP(B23,'S-ASIG-01'!$B$5:$E$88,4,0),0))</f>
        <v>0</v>
      </c>
      <c r="H23" s="72">
        <f>IF(B23=0,"",IFERROR(VLOOKUP(B23,'S-ASIG-02'!$B$5:$E$88,4,0),0))</f>
        <v>3.7600000000000002</v>
      </c>
      <c r="I23" s="72">
        <f>IF(B23=0,"",IFERROR(VLOOKUP(B23,'S-ASIG-03'!$B$5:$E$88,4,0),0))</f>
        <v>3.67</v>
      </c>
      <c r="J23" s="72">
        <f>IF(B23=0,"",IFERROR(VLOOKUP(B23,'S-ASIG-04'!$B$5:$E$88,4,0),0))</f>
        <v>4.5</v>
      </c>
      <c r="K23" s="72">
        <f>IF(B23=0,"",IFERROR(VLOOKUP(B23,'S-ASIG-05'!$B$5:$E$88,4,0),0))</f>
        <v>0</v>
      </c>
      <c r="L23" s="72" t="str">
        <f>IF(B23=0,"",IFERROR(VLOOKUP(B23,'S-ASIG-06'!$B$5:$E$88,4,0),0))</f>
        <v>N</v>
      </c>
      <c r="M23" s="73">
        <f>IF(B23=0,"",IFERROR(VLOOKUP(B23,'S-ASIG-07'!$B$5:$E$88,4,0),0))</f>
        <v>0</v>
      </c>
      <c r="N23" s="68" t="s">
        <v>133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 t="str">
        <f>IF(B23=0,"",IFERROR(VLOOKUP(B23,'T-ASIG-06'!$B$5:$D$88,3,0),0))</f>
        <v>N</v>
      </c>
      <c r="U23" s="73">
        <f>IF(B23=0,"",IFERROR(VLOOKUP(B23,'T-ASIG-07'!$B$5:$D$88,3,0),0))</f>
        <v>0</v>
      </c>
      <c r="V23" s="69" t="s">
        <v>134</v>
      </c>
    </row>
    <row r="24" spans="1:22" ht="15" customHeight="1">
      <c r="A24" s="12">
        <v>20</v>
      </c>
      <c r="B24" s="70" t="str">
        <f>LIDER!C28</f>
        <v>JESED ALEJANDRO OBANDO MARSIGLIA</v>
      </c>
      <c r="C24" s="64" t="str">
        <f>IF(B24=0,"",IFERROR(VLOOKUP(B24,'S-ASIG-01'!$B$5:$E$88,2,0),0))</f>
        <v>G05</v>
      </c>
      <c r="D24" s="65">
        <f t="shared" si="2"/>
        <v>3.9074999999999998</v>
      </c>
      <c r="E24" s="66">
        <f t="shared" si="3"/>
        <v>0</v>
      </c>
      <c r="F24" s="47"/>
      <c r="G24" s="71">
        <f>IF(B24=0,"",IFERROR(VLOOKUP(B24,'S-ASIG-01'!$B$5:$E$88,4,0),0))</f>
        <v>0</v>
      </c>
      <c r="H24" s="72">
        <f>IF(B24=0,"",IFERROR(VLOOKUP(B24,'S-ASIG-02'!$B$5:$E$88,4,0),0))</f>
        <v>3.7600000000000002</v>
      </c>
      <c r="I24" s="72">
        <f>IF(B24=0,"",IFERROR(VLOOKUP(B24,'S-ASIG-03'!$B$5:$E$88,4,0),0))</f>
        <v>3.67</v>
      </c>
      <c r="J24" s="72">
        <f>IF(B24=0,"",IFERROR(VLOOKUP(B24,'S-ASIG-04'!$B$5:$E$88,4,0),0))</f>
        <v>4.5</v>
      </c>
      <c r="K24" s="72">
        <f>IF(B24=0,"",IFERROR(VLOOKUP(B24,'S-ASIG-05'!$B$5:$E$88,4,0),0))</f>
        <v>0</v>
      </c>
      <c r="L24" s="72">
        <f>IF(B24=0,"",IFERROR(VLOOKUP(B24,'S-ASIG-06'!$B$5:$E$88,4,0),0))</f>
        <v>3.7</v>
      </c>
      <c r="M24" s="73">
        <f>IF(B24=0,"",IFERROR(VLOOKUP(B24,'S-ASIG-07'!$B$5:$E$88,4,0),0))</f>
        <v>0</v>
      </c>
      <c r="N24" s="68" t="s">
        <v>133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134</v>
      </c>
    </row>
    <row r="25" spans="1:22" ht="15" customHeight="1">
      <c r="A25" s="12">
        <v>21</v>
      </c>
      <c r="B25" s="70" t="str">
        <f>LIDER!C29</f>
        <v>EDITH MARIA RIVERA MENDOZA</v>
      </c>
      <c r="C25" s="64" t="str">
        <f>IF(B25=0,"",IFERROR(VLOOKUP(B25,'S-ASIG-01'!$B$5:$E$88,2,0),0))</f>
        <v>G05</v>
      </c>
      <c r="D25" s="65">
        <f t="shared" si="2"/>
        <v>3.9074999999999998</v>
      </c>
      <c r="E25" s="66">
        <f t="shared" si="3"/>
        <v>0</v>
      </c>
      <c r="F25" s="47"/>
      <c r="G25" s="71">
        <f>IF(B25=0,"",IFERROR(VLOOKUP(B25,'S-ASIG-01'!$B$5:$E$88,4,0),0))</f>
        <v>0</v>
      </c>
      <c r="H25" s="72">
        <f>IF(B25=0,"",IFERROR(VLOOKUP(B25,'S-ASIG-02'!$B$5:$E$88,4,0),0))</f>
        <v>3.7600000000000002</v>
      </c>
      <c r="I25" s="72">
        <f>IF(B25=0,"",IFERROR(VLOOKUP(B25,'S-ASIG-03'!$B$5:$E$88,4,0),0))</f>
        <v>3.67</v>
      </c>
      <c r="J25" s="72">
        <f>IF(B25=0,"",IFERROR(VLOOKUP(B25,'S-ASIG-04'!$B$5:$E$88,4,0),0))</f>
        <v>4.5</v>
      </c>
      <c r="K25" s="72">
        <f>IF(B25=0,"",IFERROR(VLOOKUP(B25,'S-ASIG-05'!$B$5:$E$88,4,0),0))</f>
        <v>0</v>
      </c>
      <c r="L25" s="72">
        <f>IF(B25=0,"",IFERROR(VLOOKUP(B25,'S-ASIG-06'!$B$5:$E$88,4,0),0))</f>
        <v>3.7</v>
      </c>
      <c r="M25" s="73">
        <f>IF(B25=0,"",IFERROR(VLOOKUP(B25,'S-ASIG-07'!$B$5:$E$88,4,0),0))</f>
        <v>0</v>
      </c>
      <c r="N25" s="68" t="s">
        <v>133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134</v>
      </c>
    </row>
    <row r="26" spans="1:22" ht="15" customHeight="1">
      <c r="A26" s="12">
        <v>22</v>
      </c>
      <c r="B26" s="70" t="str">
        <f>LIDER!C30</f>
        <v>JEAN CARLOS RODRIGUEZ PEREZ</v>
      </c>
      <c r="C26" s="64" t="str">
        <f>IF(B26=0,"",IFERROR(VLOOKUP(B26,'S-ASIG-01'!$B$5:$E$88,2,0),0))</f>
        <v>G05</v>
      </c>
      <c r="D26" s="65">
        <f t="shared" si="2"/>
        <v>3.9766666666666666</v>
      </c>
      <c r="E26" s="66">
        <f t="shared" si="3"/>
        <v>0</v>
      </c>
      <c r="F26" s="47"/>
      <c r="G26" s="71">
        <f>IF(B26=0,"",IFERROR(VLOOKUP(B26,'S-ASIG-01'!$B$5:$E$88,4,0),0))</f>
        <v>0</v>
      </c>
      <c r="H26" s="72">
        <f>IF(B26=0,"",IFERROR(VLOOKUP(B26,'S-ASIG-02'!$B$5:$E$88,4,0),0))</f>
        <v>3.7600000000000002</v>
      </c>
      <c r="I26" s="72">
        <f>IF(B26=0,"",IFERROR(VLOOKUP(B26,'S-ASIG-03'!$B$5:$E$88,4,0),0))</f>
        <v>3.67</v>
      </c>
      <c r="J26" s="72">
        <f>IF(B26=0,"",IFERROR(VLOOKUP(B26,'S-ASIG-04'!$B$5:$E$88,4,0),0))</f>
        <v>4.5</v>
      </c>
      <c r="K26" s="72">
        <f>IF(B26=0,"",IFERROR(VLOOKUP(B26,'S-ASIG-05'!$B$5:$E$88,4,0),0))</f>
        <v>0</v>
      </c>
      <c r="L26" s="72" t="str">
        <f>IF(B26=0,"",IFERROR(VLOOKUP(B26,'S-ASIG-06'!$B$5:$E$88,4,0),0))</f>
        <v>N</v>
      </c>
      <c r="M26" s="73">
        <f>IF(B26=0,"",IFERROR(VLOOKUP(B26,'S-ASIG-07'!$B$5:$E$88,4,0),0))</f>
        <v>0</v>
      </c>
      <c r="N26" s="68" t="s">
        <v>133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 t="str">
        <f>IF(B26=0,"",IFERROR(VLOOKUP(B26,'T-ASIG-06'!$B$5:$D$88,3,0),0))</f>
        <v>N</v>
      </c>
      <c r="U26" s="73">
        <f>IF(B26=0,"",IFERROR(VLOOKUP(B26,'T-ASIG-07'!$B$5:$D$88,3,0),0))</f>
        <v>0</v>
      </c>
      <c r="V26" s="69" t="s">
        <v>134</v>
      </c>
    </row>
    <row r="27" spans="1:22" ht="15" customHeight="1">
      <c r="A27" s="12">
        <v>23</v>
      </c>
      <c r="B27" s="70" t="str">
        <f>LIDER!C31</f>
        <v>ISSAC DAVID ANGULO ZABALETA</v>
      </c>
      <c r="C27" s="64" t="str">
        <f>IF(B27=0,"",IFERROR(VLOOKUP(B27,'S-ASIG-01'!$B$5:$E$88,2,0),0))</f>
        <v>G06</v>
      </c>
      <c r="D27" s="65">
        <f t="shared" si="2"/>
        <v>2.7825000000000002</v>
      </c>
      <c r="E27" s="66">
        <f t="shared" si="3"/>
        <v>0</v>
      </c>
      <c r="F27" s="47"/>
      <c r="G27" s="71">
        <f>IF(B27=0,"",IFERROR(VLOOKUP(B27,'S-ASIG-01'!$B$5:$E$88,4,0),0))</f>
        <v>2.6599999999999997</v>
      </c>
      <c r="H27" s="72">
        <f>IF(B27=0,"",IFERROR(VLOOKUP(B27,'S-ASIG-02'!$B$5:$E$88,4,0),0))</f>
        <v>2.2999999999999998</v>
      </c>
      <c r="I27" s="72">
        <f>IF(B27=0,"",IFERROR(VLOOKUP(B27,'S-ASIG-03'!$B$5:$E$88,4,0),0))</f>
        <v>3.0400000000000005</v>
      </c>
      <c r="J27" s="72" t="str">
        <f>IF(B27=0,"",IFERROR(VLOOKUP(B27,'S-ASIG-04'!$B$5:$E$88,4,0),0))</f>
        <v>N</v>
      </c>
      <c r="K27" s="72">
        <f>IF(B27=0,"",IFERROR(VLOOKUP(B27,'S-ASIG-05'!$B$5:$E$88,4,0),0))</f>
        <v>3.1300000000000003</v>
      </c>
      <c r="L27" s="72" t="str">
        <f>IF(B27=0,"",IFERROR(VLOOKUP(B27,'S-ASIG-06'!$B$5:$E$88,4,0),0))</f>
        <v>N</v>
      </c>
      <c r="M27" s="73">
        <f>IF(B27=0,"",IFERROR(VLOOKUP(B27,'S-ASIG-07'!$B$5:$E$88,4,0),0))</f>
        <v>0</v>
      </c>
      <c r="N27" s="68" t="s">
        <v>133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 t="str">
        <f>IF(B27=0,"",IFERROR(VLOOKUP(B27,'T-ASIG-04'!$B$5:$D$88,3,0),0))</f>
        <v>N</v>
      </c>
      <c r="S27" s="72">
        <f>IF(B27=0,"",IFERROR(VLOOKUP(B27,'T-ASIG-05'!$B$5:$D$88,3,0),0))</f>
        <v>0</v>
      </c>
      <c r="T27" s="72" t="str">
        <f>IF(B27=0,"",IFERROR(VLOOKUP(B27,'T-ASIG-06'!$B$5:$D$88,3,0),0))</f>
        <v>N</v>
      </c>
      <c r="U27" s="73">
        <f>IF(B27=0,"",IFERROR(VLOOKUP(B27,'T-ASIG-07'!$B$5:$D$88,3,0),0))</f>
        <v>0</v>
      </c>
      <c r="V27" s="69" t="s">
        <v>134</v>
      </c>
    </row>
    <row r="28" spans="1:22" ht="15" customHeight="1">
      <c r="A28" s="12">
        <v>24</v>
      </c>
      <c r="B28" s="70" t="str">
        <f>LIDER!C32</f>
        <v>ANDRES FELIPE ARROYO PARRA</v>
      </c>
      <c r="C28" s="64" t="str">
        <f>IF(B28=0,"",IFERROR(VLOOKUP(B28,'S-ASIG-01'!$B$5:$E$88,2,0),0))</f>
        <v>G06</v>
      </c>
      <c r="D28" s="65">
        <f t="shared" si="2"/>
        <v>2.6260000000000003</v>
      </c>
      <c r="E28" s="66">
        <f t="shared" si="3"/>
        <v>0</v>
      </c>
      <c r="F28" s="47"/>
      <c r="G28" s="71">
        <f>IF(B28=0,"",IFERROR(VLOOKUP(B28,'S-ASIG-01'!$B$5:$E$88,4,0),0))</f>
        <v>2.6599999999999997</v>
      </c>
      <c r="H28" s="72">
        <f>IF(B28=0,"",IFERROR(VLOOKUP(B28,'S-ASIG-02'!$B$5:$E$88,4,0),0))</f>
        <v>2.2999999999999998</v>
      </c>
      <c r="I28" s="72">
        <f>IF(B28=0,"",IFERROR(VLOOKUP(B28,'S-ASIG-03'!$B$5:$E$88,4,0),0))</f>
        <v>3.0400000000000005</v>
      </c>
      <c r="J28" s="72">
        <f>IF(B28=0,"",IFERROR(VLOOKUP(B28,'S-ASIG-04'!$B$5:$E$88,4,0),0))</f>
        <v>1.9999999999999998</v>
      </c>
      <c r="K28" s="72">
        <f>IF(B28=0,"",IFERROR(VLOOKUP(B28,'S-ASIG-05'!$B$5:$E$88,4,0),0))</f>
        <v>3.1300000000000003</v>
      </c>
      <c r="L28" s="72" t="str">
        <f>IF(B28=0,"",IFERROR(VLOOKUP(B28,'S-ASIG-06'!$B$5:$E$88,4,0),0))</f>
        <v>N</v>
      </c>
      <c r="M28" s="73">
        <f>IF(B28=0,"",IFERROR(VLOOKUP(B28,'S-ASIG-07'!$B$5:$E$88,4,0),0))</f>
        <v>0</v>
      </c>
      <c r="N28" s="68" t="s">
        <v>133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 t="str">
        <f>IF(B28=0,"",IFERROR(VLOOKUP(B28,'T-ASIG-06'!$B$5:$D$88,3,0),0))</f>
        <v>N</v>
      </c>
      <c r="U28" s="73">
        <f>IF(B28=0,"",IFERROR(VLOOKUP(B28,'T-ASIG-07'!$B$5:$D$88,3,0),0))</f>
        <v>0</v>
      </c>
      <c r="V28" s="69" t="s">
        <v>134</v>
      </c>
    </row>
    <row r="29" spans="1:22" ht="15" customHeight="1">
      <c r="A29" s="12">
        <v>25</v>
      </c>
      <c r="B29" s="70" t="str">
        <f>LIDER!C33</f>
        <v>ADRIANO CORDOBA RODRIGUEZ</v>
      </c>
      <c r="C29" s="64" t="str">
        <f>IF(B29=0,"",IFERROR(VLOOKUP(B29,'S-ASIG-01'!$B$5:$E$88,2,0),0))</f>
        <v>G06</v>
      </c>
      <c r="D29" s="65">
        <f t="shared" si="2"/>
        <v>2.7825000000000002</v>
      </c>
      <c r="E29" s="66">
        <f t="shared" si="3"/>
        <v>0</v>
      </c>
      <c r="F29" s="47"/>
      <c r="G29" s="71">
        <f>IF(B29=0,"",IFERROR(VLOOKUP(B29,'S-ASIG-01'!$B$5:$E$88,4,0),0))</f>
        <v>2.6599999999999997</v>
      </c>
      <c r="H29" s="72">
        <f>IF(B29=0,"",IFERROR(VLOOKUP(B29,'S-ASIG-02'!$B$5:$E$88,4,0),0))</f>
        <v>2.2999999999999998</v>
      </c>
      <c r="I29" s="72">
        <f>IF(B29=0,"",IFERROR(VLOOKUP(B29,'S-ASIG-03'!$B$5:$E$88,4,0),0))</f>
        <v>3.0400000000000005</v>
      </c>
      <c r="J29" s="72" t="str">
        <f>IF(B29=0,"",IFERROR(VLOOKUP(B29,'S-ASIG-04'!$B$5:$E$88,4,0),0))</f>
        <v>N</v>
      </c>
      <c r="K29" s="72">
        <f>IF(B29=0,"",IFERROR(VLOOKUP(B29,'S-ASIG-05'!$B$5:$E$88,4,0),0))</f>
        <v>3.1300000000000003</v>
      </c>
      <c r="L29" s="72" t="str">
        <f>IF(B29=0,"",IFERROR(VLOOKUP(B29,'S-ASIG-06'!$B$5:$E$88,4,0),0))</f>
        <v>N</v>
      </c>
      <c r="M29" s="73">
        <f>IF(B29=0,"",IFERROR(VLOOKUP(B29,'S-ASIG-07'!$B$5:$E$88,4,0),0))</f>
        <v>0</v>
      </c>
      <c r="N29" s="68" t="s">
        <v>133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 t="str">
        <f>IF(B29=0,"",IFERROR(VLOOKUP(B29,'T-ASIG-04'!$B$5:$D$88,3,0),0))</f>
        <v>N</v>
      </c>
      <c r="S29" s="72">
        <f>IF(B29=0,"",IFERROR(VLOOKUP(B29,'T-ASIG-05'!$B$5:$D$88,3,0),0))</f>
        <v>0</v>
      </c>
      <c r="T29" s="72" t="str">
        <f>IF(B29=0,"",IFERROR(VLOOKUP(B29,'T-ASIG-06'!$B$5:$D$88,3,0),0))</f>
        <v>N</v>
      </c>
      <c r="U29" s="73">
        <f>IF(B29=0,"",IFERROR(VLOOKUP(B29,'T-ASIG-07'!$B$5:$D$88,3,0),0))</f>
        <v>0</v>
      </c>
      <c r="V29" s="69" t="s">
        <v>134</v>
      </c>
    </row>
    <row r="30" spans="1:22" ht="15" customHeight="1">
      <c r="A30" s="12">
        <v>26</v>
      </c>
      <c r="B30" s="70" t="str">
        <f>LIDER!C34</f>
        <v>RONNY AMEL DE ORO MOLINA</v>
      </c>
      <c r="C30" s="64" t="str">
        <f>IF(B30=0,"",IFERROR(VLOOKUP(B30,'S-ASIG-01'!$B$5:$E$88,2,0),0))</f>
        <v>G06</v>
      </c>
      <c r="D30" s="65">
        <f t="shared" si="2"/>
        <v>2.7825000000000002</v>
      </c>
      <c r="E30" s="66">
        <f t="shared" si="3"/>
        <v>0</v>
      </c>
      <c r="F30" s="47"/>
      <c r="G30" s="71">
        <f>IF(B30=0,"",IFERROR(VLOOKUP(B30,'S-ASIG-01'!$B$5:$E$88,4,0),0))</f>
        <v>2.6599999999999997</v>
      </c>
      <c r="H30" s="72">
        <f>IF(B30=0,"",IFERROR(VLOOKUP(B30,'S-ASIG-02'!$B$5:$E$88,4,0),0))</f>
        <v>2.2999999999999998</v>
      </c>
      <c r="I30" s="72">
        <f>IF(B30=0,"",IFERROR(VLOOKUP(B30,'S-ASIG-03'!$B$5:$E$88,4,0),0))</f>
        <v>3.0400000000000005</v>
      </c>
      <c r="J30" s="72" t="str">
        <f>IF(B30=0,"",IFERROR(VLOOKUP(B30,'S-ASIG-04'!$B$5:$E$88,4,0),0))</f>
        <v>N</v>
      </c>
      <c r="K30" s="72">
        <f>IF(B30=0,"",IFERROR(VLOOKUP(B30,'S-ASIG-05'!$B$5:$E$88,4,0),0))</f>
        <v>3.1300000000000003</v>
      </c>
      <c r="L30" s="72" t="str">
        <f>IF(B30=0,"",IFERROR(VLOOKUP(B30,'S-ASIG-06'!$B$5:$E$88,4,0),0))</f>
        <v>N</v>
      </c>
      <c r="M30" s="73">
        <f>IF(B30=0,"",IFERROR(VLOOKUP(B30,'S-ASIG-07'!$B$5:$E$88,4,0),0))</f>
        <v>0</v>
      </c>
      <c r="N30" s="68" t="s">
        <v>133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 t="str">
        <f>IF(B30=0,"",IFERROR(VLOOKUP(B30,'T-ASIG-04'!$B$5:$D$88,3,0),0))</f>
        <v>N</v>
      </c>
      <c r="S30" s="72">
        <f>IF(B30=0,"",IFERROR(VLOOKUP(B30,'T-ASIG-05'!$B$5:$D$88,3,0),0))</f>
        <v>0</v>
      </c>
      <c r="T30" s="72" t="str">
        <f>IF(B30=0,"",IFERROR(VLOOKUP(B30,'T-ASIG-06'!$B$5:$D$88,3,0),0))</f>
        <v>N</v>
      </c>
      <c r="U30" s="73">
        <f>IF(B30=0,"",IFERROR(VLOOKUP(B30,'T-ASIG-07'!$B$5:$D$88,3,0),0))</f>
        <v>0</v>
      </c>
      <c r="V30" s="69" t="s">
        <v>134</v>
      </c>
    </row>
    <row r="31" spans="1:22" ht="15" customHeight="1">
      <c r="A31" s="12">
        <v>27</v>
      </c>
      <c r="B31" s="70" t="str">
        <f>LIDER!C35</f>
        <v>HENRY WILCHES DE LA ROSA</v>
      </c>
      <c r="C31" s="64" t="str">
        <f>IF(B31=0,"",IFERROR(VLOOKUP(B31,'S-ASIG-01'!$B$5:$E$88,2,0),0))</f>
        <v>G06</v>
      </c>
      <c r="D31" s="65">
        <f t="shared" si="2"/>
        <v>2.6260000000000003</v>
      </c>
      <c r="E31" s="66">
        <f t="shared" si="3"/>
        <v>0</v>
      </c>
      <c r="F31" s="47"/>
      <c r="G31" s="71">
        <f>IF(B31=0,"",IFERROR(VLOOKUP(B31,'S-ASIG-01'!$B$5:$E$88,4,0),0))</f>
        <v>2.6599999999999997</v>
      </c>
      <c r="H31" s="72">
        <f>IF(B31=0,"",IFERROR(VLOOKUP(B31,'S-ASIG-02'!$B$5:$E$88,4,0),0))</f>
        <v>2.2999999999999998</v>
      </c>
      <c r="I31" s="72">
        <f>IF(B31=0,"",IFERROR(VLOOKUP(B31,'S-ASIG-03'!$B$5:$E$88,4,0),0))</f>
        <v>3.0400000000000005</v>
      </c>
      <c r="J31" s="72">
        <f>IF(B31=0,"",IFERROR(VLOOKUP(B31,'S-ASIG-04'!$B$5:$E$88,4,0),0))</f>
        <v>1.9999999999999998</v>
      </c>
      <c r="K31" s="72">
        <f>IF(B31=0,"",IFERROR(VLOOKUP(B31,'S-ASIG-05'!$B$5:$E$88,4,0),0))</f>
        <v>3.1300000000000003</v>
      </c>
      <c r="L31" s="72" t="str">
        <f>IF(B31=0,"",IFERROR(VLOOKUP(B31,'S-ASIG-06'!$B$5:$E$88,4,0),0))</f>
        <v>N</v>
      </c>
      <c r="M31" s="73">
        <f>IF(B31=0,"",IFERROR(VLOOKUP(B31,'S-ASIG-07'!$B$5:$E$88,4,0),0))</f>
        <v>0</v>
      </c>
      <c r="N31" s="68" t="s">
        <v>133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 t="str">
        <f>IF(B31=0,"",IFERROR(VLOOKUP(B31,'T-ASIG-06'!$B$5:$D$88,3,0),0))</f>
        <v>N</v>
      </c>
      <c r="U31" s="73">
        <f>IF(B31=0,"",IFERROR(VLOOKUP(B31,'T-ASIG-07'!$B$5:$D$88,3,0),0))</f>
        <v>0</v>
      </c>
      <c r="V31" s="69" t="s">
        <v>134</v>
      </c>
    </row>
    <row r="32" spans="1:22" ht="15" customHeight="1">
      <c r="A32" s="12">
        <v>28</v>
      </c>
      <c r="B32" s="70" t="str">
        <f>LIDER!C36</f>
        <v>JUAN SEBASTIAN PRENS BOSSIO</v>
      </c>
      <c r="C32" s="64" t="str">
        <f>IF(B32=0,"",IFERROR(VLOOKUP(B32,'S-ASIG-01'!$B$5:$E$88,2,0),0))</f>
        <v>G07</v>
      </c>
      <c r="D32" s="65">
        <f t="shared" si="2"/>
        <v>1.6749999999999998</v>
      </c>
      <c r="E32" s="66">
        <f t="shared" si="3"/>
        <v>0</v>
      </c>
      <c r="F32" s="47"/>
      <c r="G32" s="71">
        <f>IF(B32=0,"",IFERROR(VLOOKUP(B32,'S-ASIG-01'!$B$5:$E$88,4,0),0))</f>
        <v>1.05</v>
      </c>
      <c r="H32" s="72">
        <f>IF(B32=0,"",IFERROR(VLOOKUP(B32,'S-ASIG-02'!$B$5:$E$88,4,0),0))</f>
        <v>0.85</v>
      </c>
      <c r="I32" s="72">
        <f>IF(B32=0,"",IFERROR(VLOOKUP(B32,'S-ASIG-03'!$B$5:$E$88,4,0),0))</f>
        <v>2.7</v>
      </c>
      <c r="J32" s="72" t="str">
        <f>IF(B32=0,"",IFERROR(VLOOKUP(B32,'S-ASIG-04'!$B$5:$E$88,4,0),0))</f>
        <v>N</v>
      </c>
      <c r="K32" s="72">
        <f>IF(B32=0,"",IFERROR(VLOOKUP(B32,'S-ASIG-05'!$B$5:$E$88,4,0),0))</f>
        <v>2.1</v>
      </c>
      <c r="L32" s="72" t="str">
        <f>IF(B32=0,"",IFERROR(VLOOKUP(B32,'S-ASIG-06'!$B$5:$E$88,4,0),0))</f>
        <v>N</v>
      </c>
      <c r="M32" s="73">
        <f>IF(B32=0,"",IFERROR(VLOOKUP(B32,'S-ASIG-07'!$B$5:$E$88,4,0),0))</f>
        <v>0</v>
      </c>
      <c r="N32" s="68" t="s">
        <v>133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 t="str">
        <f>IF(B32=0,"",IFERROR(VLOOKUP(B32,'T-ASIG-04'!$B$5:$D$88,3,0),0))</f>
        <v>N</v>
      </c>
      <c r="S32" s="72">
        <f>IF(B32=0,"",IFERROR(VLOOKUP(B32,'T-ASIG-05'!$B$5:$D$88,3,0),0))</f>
        <v>0</v>
      </c>
      <c r="T32" s="72" t="str">
        <f>IF(B32=0,"",IFERROR(VLOOKUP(B32,'T-ASIG-06'!$B$5:$D$88,3,0),0))</f>
        <v>N</v>
      </c>
      <c r="U32" s="73">
        <f>IF(B32=0,"",IFERROR(VLOOKUP(B32,'T-ASIG-07'!$B$5:$D$88,3,0),0))</f>
        <v>0</v>
      </c>
      <c r="V32" s="69" t="s">
        <v>134</v>
      </c>
    </row>
    <row r="33" spans="1:22" ht="15" customHeight="1">
      <c r="A33" s="12">
        <v>29</v>
      </c>
      <c r="B33" s="70" t="str">
        <f>LIDER!C37</f>
        <v>ALEXANDER DUBAN PROTZKAR DE LA HOZ</v>
      </c>
      <c r="C33" s="64" t="str">
        <f>IF(B33=0,"",IFERROR(VLOOKUP(B33,'S-ASIG-01'!$B$5:$E$88,2,0),0))</f>
        <v>G07</v>
      </c>
      <c r="D33" s="65">
        <f t="shared" si="2"/>
        <v>1.6749999999999998</v>
      </c>
      <c r="E33" s="66">
        <f t="shared" si="3"/>
        <v>0</v>
      </c>
      <c r="F33" s="47"/>
      <c r="G33" s="71">
        <f>IF(B33=0,"",IFERROR(VLOOKUP(B33,'S-ASIG-01'!$B$5:$E$88,4,0),0))</f>
        <v>1.05</v>
      </c>
      <c r="H33" s="72">
        <f>IF(B33=0,"",IFERROR(VLOOKUP(B33,'S-ASIG-02'!$B$5:$E$88,4,0),0))</f>
        <v>0.85</v>
      </c>
      <c r="I33" s="72">
        <f>IF(B33=0,"",IFERROR(VLOOKUP(B33,'S-ASIG-03'!$B$5:$E$88,4,0),0))</f>
        <v>2.7</v>
      </c>
      <c r="J33" s="72" t="str">
        <f>IF(B33=0,"",IFERROR(VLOOKUP(B33,'S-ASIG-04'!$B$5:$E$88,4,0),0))</f>
        <v>N</v>
      </c>
      <c r="K33" s="72">
        <f>IF(B33=0,"",IFERROR(VLOOKUP(B33,'S-ASIG-05'!$B$5:$E$88,4,0),0))</f>
        <v>2.1</v>
      </c>
      <c r="L33" s="72" t="str">
        <f>IF(B33=0,"",IFERROR(VLOOKUP(B33,'S-ASIG-06'!$B$5:$E$88,4,0),0))</f>
        <v>N</v>
      </c>
      <c r="M33" s="73">
        <f>IF(B33=0,"",IFERROR(VLOOKUP(B33,'S-ASIG-07'!$B$5:$E$88,4,0),0))</f>
        <v>0</v>
      </c>
      <c r="N33" s="68" t="s">
        <v>133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 t="str">
        <f>IF(B33=0,"",IFERROR(VLOOKUP(B33,'T-ASIG-04'!$B$5:$D$88,3,0),0))</f>
        <v>N</v>
      </c>
      <c r="S33" s="72">
        <f>IF(B33=0,"",IFERROR(VLOOKUP(B33,'T-ASIG-05'!$B$5:$D$88,3,0),0))</f>
        <v>0</v>
      </c>
      <c r="T33" s="72" t="str">
        <f>IF(B33=0,"",IFERROR(VLOOKUP(B33,'T-ASIG-06'!$B$5:$D$88,3,0),0))</f>
        <v>N</v>
      </c>
      <c r="U33" s="73">
        <f>IF(B33=0,"",IFERROR(VLOOKUP(B33,'T-ASIG-07'!$B$5:$D$88,3,0),0))</f>
        <v>0</v>
      </c>
      <c r="V33" s="69" t="s">
        <v>134</v>
      </c>
    </row>
    <row r="34" spans="1:22" ht="15" customHeight="1">
      <c r="A34" s="12">
        <v>30</v>
      </c>
      <c r="B34" s="70" t="str">
        <f>LIDER!C38</f>
        <v>JOSE ANGEL VALLEJO REALES</v>
      </c>
      <c r="C34" s="64" t="str">
        <f>IF(B34=0,"",IFERROR(VLOOKUP(B34,'S-ASIG-01'!$B$5:$E$88,2,0),0))</f>
        <v>G07</v>
      </c>
      <c r="D34" s="65">
        <f t="shared" si="2"/>
        <v>1.5399999999999998</v>
      </c>
      <c r="E34" s="66">
        <f t="shared" si="3"/>
        <v>0</v>
      </c>
      <c r="F34" s="47"/>
      <c r="G34" s="71">
        <f>IF(B34=0,"",IFERROR(VLOOKUP(B34,'S-ASIG-01'!$B$5:$E$88,4,0),0))</f>
        <v>1.05</v>
      </c>
      <c r="H34" s="72">
        <f>IF(B34=0,"",IFERROR(VLOOKUP(B34,'S-ASIG-02'!$B$5:$E$88,4,0),0))</f>
        <v>0.85</v>
      </c>
      <c r="I34" s="72">
        <f>IF(B34=0,"",IFERROR(VLOOKUP(B34,'S-ASIG-03'!$B$5:$E$88,4,0),0))</f>
        <v>2.7</v>
      </c>
      <c r="J34" s="72">
        <f>IF(B34=0,"",IFERROR(VLOOKUP(B34,'S-ASIG-04'!$B$5:$E$88,4,0),0))</f>
        <v>0.99999999999999989</v>
      </c>
      <c r="K34" s="72">
        <f>IF(B34=0,"",IFERROR(VLOOKUP(B34,'S-ASIG-05'!$B$5:$E$88,4,0),0))</f>
        <v>2.1</v>
      </c>
      <c r="L34" s="72" t="str">
        <f>IF(B34=0,"",IFERROR(VLOOKUP(B34,'S-ASIG-06'!$B$5:$E$88,4,0),0))</f>
        <v>N</v>
      </c>
      <c r="M34" s="73">
        <f>IF(B34=0,"",IFERROR(VLOOKUP(B34,'S-ASIG-07'!$B$5:$E$88,4,0),0))</f>
        <v>0</v>
      </c>
      <c r="N34" s="68" t="s">
        <v>133</v>
      </c>
      <c r="O34" s="71">
        <f>IF(B34=0,"",IFERROR(VLOOKUP(B34,'T-ASIG-01'!$B$5:$D$88,3,0),0))</f>
        <v>0</v>
      </c>
      <c r="P34" s="72">
        <f>IF(B34=0,"",IFERROR(VLOOKUP(B34,'T-ASIG-02'!$B$5:$D$88,3,0),0))</f>
        <v>0</v>
      </c>
      <c r="Q34" s="72">
        <f>IF(B34=0,"",IFERROR(VLOOKUP(B34,'T-ASIG-03'!$B$5:$D$88,3,0),0))</f>
        <v>0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 t="str">
        <f>IF(B34=0,"",IFERROR(VLOOKUP(B34,'T-ASIG-06'!$B$5:$D$88,3,0),0))</f>
        <v>N</v>
      </c>
      <c r="U34" s="73">
        <f>IF(B34=0,"",IFERROR(VLOOKUP(B34,'T-ASIG-07'!$B$5:$D$88,3,0),0))</f>
        <v>0</v>
      </c>
      <c r="V34" s="69" t="s">
        <v>134</v>
      </c>
    </row>
    <row r="35" spans="1:22" ht="15" customHeight="1">
      <c r="A35" s="12">
        <v>31</v>
      </c>
      <c r="B35" s="70" t="str">
        <f>LIDER!C39</f>
        <v>EDINSON ANDRES CASTRO PADILLA</v>
      </c>
      <c r="C35" s="64" t="str">
        <f>IF(B35=0,"",IFERROR(VLOOKUP(B35,'S-ASIG-01'!$B$5:$E$88,2,0),0))</f>
        <v>G08</v>
      </c>
      <c r="D35" s="65">
        <f t="shared" si="2"/>
        <v>3.9200000000000004</v>
      </c>
      <c r="E35" s="66">
        <f t="shared" si="3"/>
        <v>0</v>
      </c>
      <c r="F35" s="47"/>
      <c r="G35" s="71">
        <f>IF(B35=0,"",IFERROR(VLOOKUP(B35,'S-ASIG-01'!$B$5:$E$88,4,0),0))</f>
        <v>4.57</v>
      </c>
      <c r="H35" s="72">
        <f>IF(B35=0,"",IFERROR(VLOOKUP(B35,'S-ASIG-02'!$B$5:$E$88,4,0),0))</f>
        <v>4.4400000000000004</v>
      </c>
      <c r="I35" s="72">
        <f>IF(B35=0,"",IFERROR(VLOOKUP(B35,'S-ASIG-03'!$B$5:$E$88,4,0),0))</f>
        <v>4.01</v>
      </c>
      <c r="J35" s="72">
        <f>IF(B35=0,"",IFERROR(VLOOKUP(B35,'S-ASIG-04'!$B$5:$E$88,4,0),0))</f>
        <v>3.04</v>
      </c>
      <c r="K35" s="72">
        <f>IF(B35=0,"",IFERROR(VLOOKUP(B35,'S-ASIG-05'!$B$5:$E$88,4,0),0))</f>
        <v>3.66</v>
      </c>
      <c r="L35" s="72">
        <f>IF(B35=0,"",IFERROR(VLOOKUP(B35,'S-ASIG-06'!$B$5:$E$88,4,0),0))</f>
        <v>3.8000000000000003</v>
      </c>
      <c r="M35" s="73">
        <f>IF(B35=0,"",IFERROR(VLOOKUP(B35,'S-ASIG-07'!$B$5:$E$88,4,0),0))</f>
        <v>0</v>
      </c>
      <c r="N35" s="68" t="s">
        <v>133</v>
      </c>
      <c r="O35" s="71">
        <f>IF(B35=0,"",IFERROR(VLOOKUP(B35,'T-ASIG-01'!$B$5:$D$88,3,0),0))</f>
        <v>0</v>
      </c>
      <c r="P35" s="72">
        <f>IF(B35=0,"",IFERROR(VLOOKUP(B35,'T-ASIG-02'!$B$5:$D$88,3,0),0))</f>
        <v>0</v>
      </c>
      <c r="Q35" s="72">
        <f>IF(B35=0,"",IFERROR(VLOOKUP(B35,'T-ASIG-03'!$B$5:$D$88,3,0),0))</f>
        <v>0</v>
      </c>
      <c r="R35" s="72">
        <f>IF(B35=0,"",IFERROR(VLOOKUP(B35,'T-ASIG-04'!$B$5:$D$88,3,0),0))</f>
        <v>0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134</v>
      </c>
    </row>
    <row r="36" spans="1:22" ht="15" customHeight="1">
      <c r="A36" s="12">
        <v>32</v>
      </c>
      <c r="B36" s="70" t="str">
        <f>LIDER!C40</f>
        <v>MATEO ANDRÉS CUESTA DÍAZ</v>
      </c>
      <c r="C36" s="64" t="str">
        <f>IF(B36=0,"",IFERROR(VLOOKUP(B36,'S-ASIG-01'!$B$5:$E$88,2,0),0))</f>
        <v>G08</v>
      </c>
      <c r="D36" s="65">
        <f t="shared" si="2"/>
        <v>3.9200000000000004</v>
      </c>
      <c r="E36" s="66">
        <f t="shared" si="3"/>
        <v>0</v>
      </c>
      <c r="F36" s="47"/>
      <c r="G36" s="71">
        <f>IF(B36=0,"",IFERROR(VLOOKUP(B36,'S-ASIG-01'!$B$5:$E$88,4,0),0))</f>
        <v>4.57</v>
      </c>
      <c r="H36" s="72">
        <f>IF(B36=0,"",IFERROR(VLOOKUP(B36,'S-ASIG-02'!$B$5:$E$88,4,0),0))</f>
        <v>4.4400000000000004</v>
      </c>
      <c r="I36" s="72">
        <f>IF(B36=0,"",IFERROR(VLOOKUP(B36,'S-ASIG-03'!$B$5:$E$88,4,0),0))</f>
        <v>4.01</v>
      </c>
      <c r="J36" s="72">
        <f>IF(B36=0,"",IFERROR(VLOOKUP(B36,'S-ASIG-04'!$B$5:$E$88,4,0),0))</f>
        <v>3.04</v>
      </c>
      <c r="K36" s="72">
        <f>IF(B36=0,"",IFERROR(VLOOKUP(B36,'S-ASIG-05'!$B$5:$E$88,4,0),0))</f>
        <v>3.66</v>
      </c>
      <c r="L36" s="72">
        <f>IF(B36=0,"",IFERROR(VLOOKUP(B36,'S-ASIG-06'!$B$5:$E$88,4,0),0))</f>
        <v>3.8000000000000003</v>
      </c>
      <c r="M36" s="73">
        <f>IF(B36=0,"",IFERROR(VLOOKUP(B36,'S-ASIG-07'!$B$5:$E$88,4,0),0))</f>
        <v>0</v>
      </c>
      <c r="N36" s="68" t="s">
        <v>133</v>
      </c>
      <c r="O36" s="71">
        <f>IF(B36=0,"",IFERROR(VLOOKUP(B36,'T-ASIG-01'!$B$5:$D$88,3,0),0))</f>
        <v>0</v>
      </c>
      <c r="P36" s="72">
        <f>IF(B36=0,"",IFERROR(VLOOKUP(B36,'T-ASIG-02'!$B$5:$D$88,3,0),0))</f>
        <v>0</v>
      </c>
      <c r="Q36" s="72">
        <f>IF(B36=0,"",IFERROR(VLOOKUP(B36,'T-ASIG-03'!$B$5:$D$88,3,0),0))</f>
        <v>0</v>
      </c>
      <c r="R36" s="72">
        <f>IF(B36=0,"",IFERROR(VLOOKUP(B36,'T-ASIG-04'!$B$5:$D$88,3,0),0))</f>
        <v>0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134</v>
      </c>
    </row>
    <row r="37" spans="1:22" ht="15" customHeight="1">
      <c r="A37" s="12">
        <v>33</v>
      </c>
      <c r="B37" s="70" t="str">
        <f>LIDER!C41</f>
        <v>LUKASS GIRALDO RAMIREZ</v>
      </c>
      <c r="C37" s="64" t="str">
        <f>IF(B37=0,"",IFERROR(VLOOKUP(B37,'S-ASIG-01'!$B$5:$E$88,2,0),0))</f>
        <v>G08</v>
      </c>
      <c r="D37" s="65">
        <f t="shared" si="2"/>
        <v>3.9440000000000004</v>
      </c>
      <c r="E37" s="66">
        <f t="shared" si="3"/>
        <v>0</v>
      </c>
      <c r="F37" s="47"/>
      <c r="G37" s="71">
        <f>IF(B37=0,"",IFERROR(VLOOKUP(B37,'S-ASIG-01'!$B$5:$E$88,4,0),0))</f>
        <v>4.57</v>
      </c>
      <c r="H37" s="72">
        <f>IF(B37=0,"",IFERROR(VLOOKUP(B37,'S-ASIG-02'!$B$5:$E$88,4,0),0))</f>
        <v>4.4400000000000004</v>
      </c>
      <c r="I37" s="72">
        <f>IF(B37=0,"",IFERROR(VLOOKUP(B37,'S-ASIG-03'!$B$5:$E$88,4,0),0))</f>
        <v>4.01</v>
      </c>
      <c r="J37" s="72">
        <f>IF(B37=0,"",IFERROR(VLOOKUP(B37,'S-ASIG-04'!$B$5:$E$88,4,0),0))</f>
        <v>3.04</v>
      </c>
      <c r="K37" s="72">
        <f>IF(B37=0,"",IFERROR(VLOOKUP(B37,'S-ASIG-05'!$B$5:$E$88,4,0),0))</f>
        <v>3.66</v>
      </c>
      <c r="L37" s="72" t="str">
        <f>IF(B37=0,"",IFERROR(VLOOKUP(B37,'S-ASIG-06'!$B$5:$E$88,4,0),0))</f>
        <v>N</v>
      </c>
      <c r="M37" s="73">
        <f>IF(B37=0,"",IFERROR(VLOOKUP(B37,'S-ASIG-07'!$B$5:$E$88,4,0),0))</f>
        <v>0</v>
      </c>
      <c r="N37" s="68" t="s">
        <v>133</v>
      </c>
      <c r="O37" s="71">
        <f>IF(B37=0,"",IFERROR(VLOOKUP(B37,'T-ASIG-01'!$B$5:$D$88,3,0),0))</f>
        <v>0</v>
      </c>
      <c r="P37" s="72">
        <f>IF(B37=0,"",IFERROR(VLOOKUP(B37,'T-ASIG-02'!$B$5:$D$88,3,0),0))</f>
        <v>0</v>
      </c>
      <c r="Q37" s="72">
        <f>IF(B37=0,"",IFERROR(VLOOKUP(B37,'T-ASIG-03'!$B$5:$D$88,3,0),0))</f>
        <v>0</v>
      </c>
      <c r="R37" s="72">
        <f>IF(B37=0,"",IFERROR(VLOOKUP(B37,'T-ASIG-04'!$B$5:$D$88,3,0),0))</f>
        <v>0</v>
      </c>
      <c r="S37" s="72">
        <f>IF(B37=0,"",IFERROR(VLOOKUP(B37,'T-ASIG-05'!$B$5:$D$88,3,0),0))</f>
        <v>0</v>
      </c>
      <c r="T37" s="72" t="str">
        <f>IF(B37=0,"",IFERROR(VLOOKUP(B37,'T-ASIG-06'!$B$5:$D$88,3,0),0))</f>
        <v>N</v>
      </c>
      <c r="U37" s="73">
        <f>IF(B37=0,"",IFERROR(VLOOKUP(B37,'T-ASIG-07'!$B$5:$D$88,3,0),0))</f>
        <v>0</v>
      </c>
      <c r="V37" s="69" t="s">
        <v>134</v>
      </c>
    </row>
    <row r="38" spans="1:22" ht="15" customHeight="1">
      <c r="A38" s="12">
        <v>34</v>
      </c>
      <c r="B38" s="70" t="str">
        <f>LIDER!C42</f>
        <v>LOREINES OSPINO HERNÁNDEZ</v>
      </c>
      <c r="C38" s="64" t="str">
        <f>IF(B38=0,"",IFERROR(VLOOKUP(B38,'S-ASIG-01'!$B$5:$E$88,2,0),0))</f>
        <v>G08</v>
      </c>
      <c r="D38" s="65">
        <f t="shared" si="2"/>
        <v>3.9200000000000004</v>
      </c>
      <c r="E38" s="66">
        <f t="shared" si="3"/>
        <v>0</v>
      </c>
      <c r="F38" s="47"/>
      <c r="G38" s="71">
        <f>IF(B38=0,"",IFERROR(VLOOKUP(B38,'S-ASIG-01'!$B$5:$E$88,4,0),0))</f>
        <v>4.57</v>
      </c>
      <c r="H38" s="72">
        <f>IF(B38=0,"",IFERROR(VLOOKUP(B38,'S-ASIG-02'!$B$5:$E$88,4,0),0))</f>
        <v>4.4400000000000004</v>
      </c>
      <c r="I38" s="72">
        <f>IF(B38=0,"",IFERROR(VLOOKUP(B38,'S-ASIG-03'!$B$5:$E$88,4,0),0))</f>
        <v>4.01</v>
      </c>
      <c r="J38" s="72">
        <f>IF(B38=0,"",IFERROR(VLOOKUP(B38,'S-ASIG-04'!$B$5:$E$88,4,0),0))</f>
        <v>3.04</v>
      </c>
      <c r="K38" s="72">
        <f>IF(B38=0,"",IFERROR(VLOOKUP(B38,'S-ASIG-05'!$B$5:$E$88,4,0),0))</f>
        <v>3.66</v>
      </c>
      <c r="L38" s="72">
        <f>IF(B38=0,"",IFERROR(VLOOKUP(B38,'S-ASIG-06'!$B$5:$E$88,4,0),0))</f>
        <v>3.8000000000000003</v>
      </c>
      <c r="M38" s="73">
        <f>IF(B38=0,"",IFERROR(VLOOKUP(B38,'S-ASIG-07'!$B$5:$E$88,4,0),0))</f>
        <v>0</v>
      </c>
      <c r="N38" s="68" t="s">
        <v>133</v>
      </c>
      <c r="O38" s="71">
        <f>IF(B38=0,"",IFERROR(VLOOKUP(B38,'T-ASIG-01'!$B$5:$D$88,3,0),0))</f>
        <v>0</v>
      </c>
      <c r="P38" s="72">
        <f>IF(B38=0,"",IFERROR(VLOOKUP(B38,'T-ASIG-02'!$B$5:$D$88,3,0),0))</f>
        <v>0</v>
      </c>
      <c r="Q38" s="72">
        <f>IF(B38=0,"",IFERROR(VLOOKUP(B38,'T-ASIG-03'!$B$5:$D$88,3,0),0))</f>
        <v>0</v>
      </c>
      <c r="R38" s="72">
        <f>IF(B38=0,"",IFERROR(VLOOKUP(B38,'T-ASIG-04'!$B$5:$D$88,3,0),0))</f>
        <v>0</v>
      </c>
      <c r="S38" s="72">
        <f>IF(B38=0,"",IFERROR(VLOOKUP(B38,'T-ASIG-05'!$B$5:$D$88,3,0),0))</f>
        <v>0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134</v>
      </c>
    </row>
    <row r="39" spans="1:22" ht="15" customHeight="1">
      <c r="A39" s="12">
        <v>35</v>
      </c>
      <c r="B39" s="70" t="str">
        <f>LIDER!C43</f>
        <v>VALERY DANIELA SAENZ WATTS</v>
      </c>
      <c r="C39" s="64" t="str">
        <f>IF(B39=0,"",IFERROR(VLOOKUP(B39,'S-ASIG-01'!$B$5:$E$88,2,0),0))</f>
        <v>G08</v>
      </c>
      <c r="D39" s="65">
        <f t="shared" si="2"/>
        <v>3.9200000000000004</v>
      </c>
      <c r="E39" s="66">
        <f t="shared" si="3"/>
        <v>0</v>
      </c>
      <c r="F39" s="47"/>
      <c r="G39" s="71">
        <f>IF(B39=0,"",IFERROR(VLOOKUP(B39,'S-ASIG-01'!$B$5:$E$88,4,0),0))</f>
        <v>4.57</v>
      </c>
      <c r="H39" s="72">
        <f>IF(B39=0,"",IFERROR(VLOOKUP(B39,'S-ASIG-02'!$B$5:$E$88,4,0),0))</f>
        <v>4.4400000000000004</v>
      </c>
      <c r="I39" s="72">
        <f>IF(B39=0,"",IFERROR(VLOOKUP(B39,'S-ASIG-03'!$B$5:$E$88,4,0),0))</f>
        <v>4.01</v>
      </c>
      <c r="J39" s="72">
        <f>IF(B39=0,"",IFERROR(VLOOKUP(B39,'S-ASIG-04'!$B$5:$E$88,4,0),0))</f>
        <v>3.04</v>
      </c>
      <c r="K39" s="72">
        <f>IF(B39=0,"",IFERROR(VLOOKUP(B39,'S-ASIG-05'!$B$5:$E$88,4,0),0))</f>
        <v>3.66</v>
      </c>
      <c r="L39" s="72">
        <f>IF(B39=0,"",IFERROR(VLOOKUP(B39,'S-ASIG-06'!$B$5:$E$88,4,0),0))</f>
        <v>3.8000000000000003</v>
      </c>
      <c r="M39" s="73">
        <f>IF(B39=0,"",IFERROR(VLOOKUP(B39,'S-ASIG-07'!$B$5:$E$88,4,0),0))</f>
        <v>0</v>
      </c>
      <c r="N39" s="68" t="s">
        <v>133</v>
      </c>
      <c r="O39" s="71">
        <f>IF(B39=0,"",IFERROR(VLOOKUP(B39,'T-ASIG-01'!$B$5:$D$88,3,0),0))</f>
        <v>0</v>
      </c>
      <c r="P39" s="72">
        <f>IF(B39=0,"",IFERROR(VLOOKUP(B39,'T-ASIG-02'!$B$5:$D$88,3,0),0))</f>
        <v>0</v>
      </c>
      <c r="Q39" s="72">
        <f>IF(B39=0,"",IFERROR(VLOOKUP(B39,'T-ASIG-03'!$B$5:$D$88,3,0),0))</f>
        <v>0</v>
      </c>
      <c r="R39" s="72">
        <f>IF(B39=0,"",IFERROR(VLOOKUP(B39,'T-ASIG-04'!$B$5:$D$88,3,0),0))</f>
        <v>0</v>
      </c>
      <c r="S39" s="72">
        <f>IF(B39=0,"",IFERROR(VLOOKUP(B39,'T-ASIG-05'!$B$5:$D$88,3,0),0))</f>
        <v>0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134</v>
      </c>
    </row>
    <row r="40" spans="1:22" ht="15" customHeight="1">
      <c r="A40" s="12">
        <v>36</v>
      </c>
      <c r="B40" s="70" t="str">
        <f>LIDER!C44</f>
        <v>LINETH MARCELA GONZALEZ LASTRE</v>
      </c>
      <c r="C40" s="64" t="str">
        <f>IF(B40=0,"",IFERROR(VLOOKUP(B40,'S-ASIG-01'!$B$5:$E$88,2,0),0))</f>
        <v>G09</v>
      </c>
      <c r="D40" s="65">
        <f t="shared" si="2"/>
        <v>2.5539999999999998</v>
      </c>
      <c r="E40" s="66">
        <f t="shared" si="3"/>
        <v>0</v>
      </c>
      <c r="F40" s="47"/>
      <c r="G40" s="71">
        <f>IF(B40=0,"",IFERROR(VLOOKUP(B40,'S-ASIG-01'!$B$5:$E$88,4,0),0))</f>
        <v>2.95</v>
      </c>
      <c r="H40" s="72">
        <f>IF(B40=0,"",IFERROR(VLOOKUP(B40,'S-ASIG-02'!$B$5:$E$88,4,0),0))</f>
        <v>2.85</v>
      </c>
      <c r="I40" s="72">
        <f>IF(B40=0,"",IFERROR(VLOOKUP(B40,'S-ASIG-03'!$B$5:$E$88,4,0),0))</f>
        <v>3.1700000000000004</v>
      </c>
      <c r="J40" s="72">
        <f>IF(B40=0,"",IFERROR(VLOOKUP(B40,'S-ASIG-04'!$B$5:$E$88,4,0),0))</f>
        <v>0.99999999999999989</v>
      </c>
      <c r="K40" s="72">
        <f>IF(B40=0,"",IFERROR(VLOOKUP(B40,'S-ASIG-05'!$B$5:$E$88,4,0),0))</f>
        <v>0</v>
      </c>
      <c r="L40" s="72">
        <f>IF(B40=0,"",IFERROR(VLOOKUP(B40,'S-ASIG-06'!$B$5:$E$88,4,0),0))</f>
        <v>2.8</v>
      </c>
      <c r="M40" s="73">
        <f>IF(B40=0,"",IFERROR(VLOOKUP(B40,'S-ASIG-07'!$B$5:$E$88,4,0),0))</f>
        <v>0</v>
      </c>
      <c r="N40" s="68" t="s">
        <v>133</v>
      </c>
      <c r="O40" s="71">
        <f>IF(B40=0,"",IFERROR(VLOOKUP(B40,'T-ASIG-01'!$B$5:$D$88,3,0),0))</f>
        <v>0</v>
      </c>
      <c r="P40" s="72">
        <f>IF(B40=0,"",IFERROR(VLOOKUP(B40,'T-ASIG-02'!$B$5:$D$88,3,0),0))</f>
        <v>0</v>
      </c>
      <c r="Q40" s="72">
        <f>IF(B40=0,"",IFERROR(VLOOKUP(B40,'T-ASIG-03'!$B$5:$D$88,3,0),0))</f>
        <v>0</v>
      </c>
      <c r="R40" s="72">
        <f>IF(B40=0,"",IFERROR(VLOOKUP(B40,'T-ASIG-04'!$B$5:$D$88,3,0),0))</f>
        <v>0</v>
      </c>
      <c r="S40" s="72">
        <f>IF(B40=0,"",IFERROR(VLOOKUP(B40,'T-ASIG-05'!$B$5:$D$88,3,0),0))</f>
        <v>0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134</v>
      </c>
    </row>
    <row r="41" spans="1:22" ht="15" customHeight="1">
      <c r="A41" s="12">
        <v>37</v>
      </c>
      <c r="B41" s="70" t="str">
        <f>LIDER!C45</f>
        <v>MARIA JOSE SUAREZ AMARIS</v>
      </c>
      <c r="C41" s="64" t="str">
        <f>IF(B41=0,"",IFERROR(VLOOKUP(B41,'S-ASIG-01'!$B$5:$E$88,2,0),0))</f>
        <v>G09</v>
      </c>
      <c r="D41" s="65">
        <f t="shared" si="2"/>
        <v>2.5539999999999998</v>
      </c>
      <c r="E41" s="66">
        <f t="shared" si="3"/>
        <v>0</v>
      </c>
      <c r="F41" s="47"/>
      <c r="G41" s="71">
        <f>IF(B41=0,"",IFERROR(VLOOKUP(B41,'S-ASIG-01'!$B$5:$E$88,4,0),0))</f>
        <v>2.95</v>
      </c>
      <c r="H41" s="72">
        <f>IF(B41=0,"",IFERROR(VLOOKUP(B41,'S-ASIG-02'!$B$5:$E$88,4,0),0))</f>
        <v>2.85</v>
      </c>
      <c r="I41" s="72">
        <f>IF(B41=0,"",IFERROR(VLOOKUP(B41,'S-ASIG-03'!$B$5:$E$88,4,0),0))</f>
        <v>3.1700000000000004</v>
      </c>
      <c r="J41" s="72">
        <f>IF(B41=0,"",IFERROR(VLOOKUP(B41,'S-ASIG-04'!$B$5:$E$88,4,0),0))</f>
        <v>0.99999999999999989</v>
      </c>
      <c r="K41" s="72">
        <f>IF(B41=0,"",IFERROR(VLOOKUP(B41,'S-ASIG-05'!$B$5:$E$88,4,0),0))</f>
        <v>0</v>
      </c>
      <c r="L41" s="72">
        <f>IF(B41=0,"",IFERROR(VLOOKUP(B41,'S-ASIG-06'!$B$5:$E$88,4,0),0))</f>
        <v>2.8</v>
      </c>
      <c r="M41" s="73">
        <f>IF(B41=0,"",IFERROR(VLOOKUP(B41,'S-ASIG-07'!$B$5:$E$88,4,0),0))</f>
        <v>0</v>
      </c>
      <c r="N41" s="68" t="s">
        <v>133</v>
      </c>
      <c r="O41" s="71">
        <f>IF(B41=0,"",IFERROR(VLOOKUP(B41,'T-ASIG-01'!$B$5:$D$88,3,0),0))</f>
        <v>0</v>
      </c>
      <c r="P41" s="72">
        <f>IF(B41=0,"",IFERROR(VLOOKUP(B41,'T-ASIG-02'!$B$5:$D$88,3,0),0))</f>
        <v>0</v>
      </c>
      <c r="Q41" s="72">
        <f>IF(B41=0,"",IFERROR(VLOOKUP(B41,'T-ASIG-03'!$B$5:$D$88,3,0),0))</f>
        <v>0</v>
      </c>
      <c r="R41" s="72">
        <f>IF(B41=0,"",IFERROR(VLOOKUP(B41,'T-ASIG-04'!$B$5:$D$88,3,0),0))</f>
        <v>0</v>
      </c>
      <c r="S41" s="72">
        <f>IF(B41=0,"",IFERROR(VLOOKUP(B41,'T-ASIG-05'!$B$5:$D$88,3,0),0))</f>
        <v>0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134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133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134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133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134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133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134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133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134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133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134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133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134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133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134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133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134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133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134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133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134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133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134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133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134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133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134</v>
      </c>
    </row>
  </sheetData>
  <sheetProtection algorithmName="SHA-512" hashValue="UXS0e+CzTqMITxfpdCNtttDLHAEXnuv3IkR9kG5qbfoCAMPDTRT7QEXbhmeDL9VsFcy6n5JcJNmJYQ/E8/y8mg==" saltValue="lfDn/fBtGNDs1mr/PZfNu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2026-10-15T17:02:51Z</dcterms:modified>
  <cp:category/>
  <cp:contentStatus/>
</cp:coreProperties>
</file>