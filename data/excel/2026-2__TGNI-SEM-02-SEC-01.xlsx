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288" documentId="13_ncr:1_{A12A4407-1BBA-4D87-9E09-34BB5DC0ECC4}" xr6:coauthVersionLast="47" xr6:coauthVersionMax="47" xr10:uidLastSave="{690525DA-D3FA-44F9-A43A-CE5D4D6278FB}"/>
  <bookViews>
    <workbookView xWindow="-120" yWindow="-120" windowWidth="20730" windowHeight="11040" tabRatio="720" firstSheet="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D24" i="16"/>
  <c r="B24" i="16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D24" i="6"/>
  <c r="B24" i="6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D24" i="3"/>
  <c r="B24" i="3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7"/>
  <c r="D22" i="3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<sst xmlns="http://schemas.openxmlformats.org/spreadsheetml/2006/main" count="690" uniqueCount="126">
  <si>
    <t>TECNOLOGÍA EN GESTIÓN DE NEGOCIOS INTERN</t>
  </si>
  <si>
    <t>SEMESTRE:</t>
  </si>
  <si>
    <t>SEM-02</t>
  </si>
  <si>
    <t>SECCIÓN:</t>
  </si>
  <si>
    <t>LIDER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</si>
  <si>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</si>
  <si>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</si>
  <si>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</si>
  <si>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</si>
  <si>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</si>
  <si>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</si>
  <si>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</si>
  <si>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</si>
  <si>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</si>
  <si>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SEMINARIO INVESTIGATIVO</t>
  </si>
  <si>
    <t>ECONOMÍA GENERAL</t>
  </si>
  <si>
    <t>PROCESO ADMINISTRATIVO</t>
  </si>
  <si>
    <t>TATIANA MILENA ROJAS AROCA</t>
  </si>
  <si>
    <t>OSVALDO SEGUNDO MORALES SANCHEZ</t>
  </si>
  <si>
    <t>HAROLD ANTONIO CUADRO VELASQUEZ</t>
  </si>
  <si>
    <t>JAIME EDUARDO GONZALEZ DIAZ</t>
  </si>
  <si>
    <t>GENIS PATRON ANTEQUERA</t>
  </si>
  <si>
    <t>JAFET GOMEZ IZQUIERDO</t>
  </si>
  <si>
    <t>LISTA DE ESTUDIANTES</t>
  </si>
  <si>
    <t>SEGUNDA ENTREGA - CRITERIOS DE EVALUACIÓN DOCUMENTO - SEGUNDO CORTE</t>
  </si>
  <si>
    <t>PONDERACIÓN</t>
  </si>
  <si>
    <t>ADMINISTRACIÓN DE EMPRESAS C.I</t>
  </si>
  <si>
    <t>LUIS ALBERTO ANAYA CONQUETT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</si>
  <si>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</si>
  <si>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</si>
  <si>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JOSE DE LA CRUZ CARDENAS BALLECILLA</t>
  </si>
  <si>
    <t>ANTEPROYECTO: Portada, planteamiento del problema, justificacion del trabajo o proyecto de aula, objetivos, marco teorico, diseño metodologico.</t>
  </si>
  <si>
    <t>CONTADURÍA PÚBLICA</t>
  </si>
  <si>
    <t>STEPHANY LISSETH GARCIA CARRILLO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</si>
  <si>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</si>
  <si>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</si>
  <si>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JOSE ANGEL PEREZ BLANQUICETT</t>
  </si>
  <si>
    <t>BILIOGRAFIA: Las referencias bibliograficas: adoptan las normas APA. El documento es producto de un rastreo bibliografico que muestra analisis y sistensis.</t>
  </si>
  <si>
    <t>VALERY JOHANA YOUNG LOPEZ</t>
  </si>
  <si>
    <t>ASESORIAS: Anexó la hoja de tutoria firmada ( 3 fimas minmimo).</t>
  </si>
  <si>
    <t>TECNOLOGíA EN GESTION CONTABLE</t>
  </si>
  <si>
    <t>MARIA JULIANA BARBOSA ARDILA</t>
  </si>
  <si>
    <t>TECNOLOGÍA EN GESTIÓN DE MARKETING</t>
  </si>
  <si>
    <t>ADRIANA SOFIA GARCIA MERCADO</t>
  </si>
  <si>
    <t>TECNOLOGÍA EN GESTIÓN DEL TALENTO HUMANO</t>
  </si>
  <si>
    <t>SARA LUCIA MARTINEZ SAENZ</t>
  </si>
  <si>
    <t>TECNOLOGÍA EN GESTIÓN FINANCIERA</t>
  </si>
  <si>
    <t>LUZ DEL CARMEN MORA VALERA</t>
  </si>
  <si>
    <t>TECNOLOGÍA EN GESTIÓN LOGISTICA Y PORTUARIA</t>
  </si>
  <si>
    <t>ISABELLA TEHERAN MENDOZA</t>
  </si>
  <si>
    <t>ENTREGA FINAL - CRITERIO DE EVALUACIÓN SUSTENTACIÓN - TERCER CORTE</t>
  </si>
  <si>
    <t>TECNOLOGÍA EN GESTIÓN TURISTICA Y HOTELERA</t>
  </si>
  <si>
    <t>TALIANA DALIETH BLANQUICETT MARTÍNEZ</t>
  </si>
  <si>
    <t>Evaluación del Documento Final</t>
  </si>
  <si>
    <t>GABRIELA VALENTINA GONZALEZ NAVAS</t>
  </si>
  <si>
    <t>Sustentación de los Resultados: Se refleja un dominio del tema, la  información está delimitada y es clara. Hay una jerarquía y fluidez en las ideas que presenta.</t>
  </si>
  <si>
    <t>SARAY OROZCO SEPULVEDA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</si>
  <si>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</si>
  <si>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ALEJANDRA SOFIA PARADA LOPEZ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</si>
  <si>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</si>
  <si>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LUIS JOSE AGUILAR RAMOS</t>
  </si>
  <si>
    <t>Tiempo: El uso del tiempo fue apropiado, se ajusta al previsto.
Ofrece una conclusión donde condensa las ideas principales del objetivo general y los específicos.</t>
  </si>
  <si>
    <t>JUAN SEBASTIÁN BARRIOS RAMIREZ</t>
  </si>
  <si>
    <t>Uso de Recursos Audiovisuales Tecnológicos: La sustentación se acompaña de recursos visuales pertinentes, atractivos y de gran calidad</t>
  </si>
  <si>
    <t>VICTORIA GONZALEZ ALVAREZ</t>
  </si>
  <si>
    <t>ANGEL ESTEBAN REYES GONZALEZ</t>
  </si>
  <si>
    <t>LEDA ROSA BERNAL OSPINO</t>
  </si>
  <si>
    <t>JAIRO RAFAEL MARRUGO MATHIEU</t>
  </si>
  <si>
    <t>TITULOS DE LOS PROYECTOS DE AULA</t>
  </si>
  <si>
    <t>KLIVER DE JESUS ROMERO OSPINA</t>
  </si>
  <si>
    <t>DRUMMOND Y CERREJON</t>
  </si>
  <si>
    <t>VALENTINA MERCEDES TÁMARA GUZMÁN</t>
  </si>
  <si>
    <t>KENVUE &amp; PROCTER AND GAMBLE</t>
  </si>
  <si>
    <t>SOFIA ISABEL AHUMADA VILLALOBOS</t>
  </si>
  <si>
    <t>APPLE &amp; SAMSUNG</t>
  </si>
  <si>
    <t>EDINSON JOSE GARCIA ZUÑIGA</t>
  </si>
  <si>
    <t>ZARA &amp; H&amp;M</t>
  </si>
  <si>
    <t>ANGELYS SOFÍA GUARDO PÁJARO</t>
  </si>
  <si>
    <t>ELCA &amp; LOREAL</t>
  </si>
  <si>
    <t>AMALY FERNANDA SANTOS MEDINA</t>
  </si>
  <si>
    <t>PEPSI &amp; COCA COLA</t>
  </si>
  <si>
    <t>YENERIS CAICEDO ROMERO</t>
  </si>
  <si>
    <t>ARGOS &amp; CEMEX</t>
  </si>
  <si>
    <t>NATALIA PAOLA GOMEZ PAREDES</t>
  </si>
  <si>
    <t>MC DONALD &amp; BURGUER KING</t>
  </si>
  <si>
    <t>DANA SOFIA JARABA MURILLO</t>
  </si>
  <si>
    <t>GRUPO#9</t>
  </si>
  <si>
    <t>VALERIA VALENTINA CARRASQUILLA MARRUGO</t>
  </si>
  <si>
    <t>GRUPO#10</t>
  </si>
  <si>
    <t>SHIRLY YULIANA RAMOS CASTRO</t>
  </si>
  <si>
    <t>GRUPO#11</t>
  </si>
  <si>
    <t>NICOLE DE JESUS ROQUEME ARELLANO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</si>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</sst>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A26" zoomScale="86" zoomScaleNormal="86" workbookViewId="0">
      <selection activeCell="E37" sqref="E37:H37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2338</v>
      </c>
      <c r="D6" s="141">
        <v>2210</v>
      </c>
      <c r="E6" s="141">
        <v>2230</v>
      </c>
      <c r="F6" s="141">
        <v>1925</v>
      </c>
      <c r="G6" s="141">
        <v>1414</v>
      </c>
      <c r="H6" s="141">
        <v>1327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3" t="s">
        <v>24</v>
      </c>
      <c r="F8" s="154"/>
      <c r="G8" s="15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6" t="s">
        <v>28</v>
      </c>
      <c r="F9" s="157"/>
      <c r="G9" s="158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9" t="s">
        <v>31</v>
      </c>
      <c r="F10" s="160"/>
      <c r="G10" s="161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6" t="s">
        <v>34</v>
      </c>
      <c r="F11" s="157"/>
      <c r="G11" s="158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59" t="s">
        <v>37</v>
      </c>
      <c r="F12" s="160"/>
      <c r="G12" s="161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2" t="s">
        <v>39</v>
      </c>
      <c r="F13" s="163"/>
      <c r="G13" s="164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5"/>
      <c r="F14" s="166"/>
      <c r="G14" s="167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4"/>
      <c r="F15" s="175"/>
      <c r="G15" s="176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3"/>
      <c r="F17" s="183"/>
      <c r="G17" s="183"/>
      <c r="H17" s="183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0" t="s">
        <v>50</v>
      </c>
      <c r="F18" s="191"/>
      <c r="G18" s="191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0" t="s">
        <v>53</v>
      </c>
      <c r="F19" s="181"/>
      <c r="G19" s="182"/>
      <c r="H19" s="133">
        <v>0.5</v>
      </c>
    </row>
    <row r="20" spans="2:9" ht="15" customHeight="1">
      <c r="B20" s="108">
        <v>12</v>
      </c>
      <c r="C20" s="111" t="s">
        <v>54</v>
      </c>
      <c r="E20" s="184" t="s">
        <v>55</v>
      </c>
      <c r="F20" s="185"/>
      <c r="G20" s="186"/>
      <c r="H20" s="134">
        <v>0.2</v>
      </c>
    </row>
    <row r="21" spans="2:9" ht="15" customHeight="1">
      <c r="B21" s="108">
        <v>13</v>
      </c>
      <c r="C21" s="111" t="s">
        <v>56</v>
      </c>
      <c r="E21" s="192" t="s">
        <v>57</v>
      </c>
      <c r="F21" s="193"/>
      <c r="G21" s="194"/>
      <c r="H21" s="135">
        <v>0.1</v>
      </c>
    </row>
    <row r="22" spans="2:9" ht="15" customHeight="1">
      <c r="B22" s="108">
        <v>14</v>
      </c>
      <c r="C22" s="111" t="s">
        <v>58</v>
      </c>
      <c r="E22" s="184" t="s">
        <v>59</v>
      </c>
      <c r="F22" s="166"/>
      <c r="G22" s="167"/>
      <c r="H22" s="134">
        <v>0.05</v>
      </c>
    </row>
    <row r="23" spans="2:9" ht="15" customHeight="1">
      <c r="B23" s="108">
        <v>15</v>
      </c>
      <c r="C23" s="111" t="s">
        <v>60</v>
      </c>
      <c r="E23" s="192" t="s">
        <v>61</v>
      </c>
      <c r="F23" s="193"/>
      <c r="G23" s="194"/>
      <c r="H23" s="136">
        <v>0.05</v>
      </c>
    </row>
    <row r="24" spans="2:9" ht="15" customHeight="1">
      <c r="B24" s="108">
        <v>16</v>
      </c>
      <c r="C24" s="111" t="s">
        <v>62</v>
      </c>
      <c r="E24" s="184" t="s">
        <v>63</v>
      </c>
      <c r="F24" s="185"/>
      <c r="G24" s="186"/>
      <c r="H24" s="134">
        <v>0.1</v>
      </c>
    </row>
    <row r="25" spans="2:9" ht="15" customHeight="1" thickBot="1">
      <c r="B25" s="108">
        <v>17</v>
      </c>
      <c r="C25" s="111" t="s">
        <v>64</v>
      </c>
      <c r="E25" s="177"/>
      <c r="F25" s="178"/>
      <c r="G25" s="179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87" t="s">
        <v>68</v>
      </c>
      <c r="F28" s="188"/>
      <c r="G28" s="188"/>
      <c r="H28" s="189"/>
    </row>
    <row r="29" spans="2:9" ht="15" customHeight="1" thickBot="1">
      <c r="B29" s="108">
        <v>21</v>
      </c>
      <c r="C29" s="111" t="s">
        <v>69</v>
      </c>
      <c r="E29" s="171" t="s">
        <v>70</v>
      </c>
      <c r="F29" s="172"/>
      <c r="G29" s="172"/>
      <c r="H29" s="173"/>
    </row>
    <row r="30" spans="2:9" ht="15" customHeight="1" thickBot="1">
      <c r="B30" s="108">
        <v>22</v>
      </c>
      <c r="C30" s="111" t="s">
        <v>71</v>
      </c>
      <c r="E30" s="168" t="s">
        <v>72</v>
      </c>
      <c r="F30" s="169"/>
      <c r="G30" s="169"/>
      <c r="H30" s="170"/>
    </row>
    <row r="31" spans="2:9" ht="15" customHeight="1" thickBot="1">
      <c r="B31" s="108">
        <v>23</v>
      </c>
      <c r="C31" s="111" t="s">
        <v>73</v>
      </c>
      <c r="E31" s="171" t="s">
        <v>74</v>
      </c>
      <c r="F31" s="172"/>
      <c r="G31" s="172"/>
      <c r="H31" s="173"/>
    </row>
    <row r="32" spans="2:9" ht="15" customHeight="1" thickBot="1">
      <c r="B32" s="108">
        <v>24</v>
      </c>
      <c r="C32" s="111" t="s">
        <v>75</v>
      </c>
      <c r="E32" s="168" t="s">
        <v>76</v>
      </c>
      <c r="F32" s="169"/>
      <c r="G32" s="169"/>
      <c r="H32" s="170"/>
    </row>
    <row r="33" spans="2:8" ht="15" customHeight="1" thickBot="1">
      <c r="B33" s="108">
        <v>25</v>
      </c>
      <c r="C33" s="111" t="s">
        <v>77</v>
      </c>
      <c r="E33" s="171" t="s">
        <v>78</v>
      </c>
      <c r="F33" s="172"/>
      <c r="G33" s="172"/>
      <c r="H33" s="173"/>
    </row>
    <row r="34" spans="2:8" ht="15" customHeight="1" thickBot="1">
      <c r="B34" s="108">
        <v>26</v>
      </c>
      <c r="C34" s="111" t="s">
        <v>79</v>
      </c>
      <c r="E34" s="168" t="s">
        <v>80</v>
      </c>
      <c r="F34" s="169"/>
      <c r="G34" s="169"/>
      <c r="H34" s="170"/>
    </row>
    <row r="35" spans="2:8" ht="15" customHeight="1" thickBot="1">
      <c r="B35" s="108">
        <v>27</v>
      </c>
      <c r="C35" s="111" t="s">
        <v>81</v>
      </c>
      <c r="E35" s="171" t="s">
        <v>82</v>
      </c>
      <c r="F35" s="172"/>
      <c r="G35" s="172"/>
      <c r="H35" s="173"/>
    </row>
    <row r="36" spans="2:8" ht="15" customHeight="1" thickBot="1">
      <c r="B36" s="108">
        <v>28</v>
      </c>
      <c r="C36" s="111" t="s">
        <v>83</v>
      </c>
      <c r="E36" s="168" t="s">
        <v>84</v>
      </c>
      <c r="F36" s="169"/>
      <c r="G36" s="169"/>
      <c r="H36" s="170"/>
    </row>
    <row r="37" spans="2:8" ht="15" customHeight="1" thickBot="1">
      <c r="B37" s="108">
        <v>29</v>
      </c>
      <c r="C37" s="111" t="s">
        <v>85</v>
      </c>
      <c r="E37" s="171" t="s">
        <v>86</v>
      </c>
      <c r="F37" s="172"/>
      <c r="G37" s="172"/>
      <c r="H37" s="173"/>
    </row>
    <row r="38" spans="2:8" ht="15" customHeight="1" thickBot="1">
      <c r="B38" s="108">
        <v>30</v>
      </c>
      <c r="C38" s="111" t="s">
        <v>87</v>
      </c>
      <c r="E38" s="168" t="s">
        <v>88</v>
      </c>
      <c r="F38" s="169"/>
      <c r="G38" s="169"/>
      <c r="H38" s="170"/>
    </row>
    <row r="39" spans="2:8" ht="15" customHeight="1" thickBot="1">
      <c r="B39" s="108">
        <v>31</v>
      </c>
      <c r="C39" s="111" t="s">
        <v>89</v>
      </c>
      <c r="E39" s="171" t="s">
        <v>90</v>
      </c>
      <c r="F39" s="172"/>
      <c r="G39" s="172"/>
      <c r="H39" s="173"/>
    </row>
    <row r="40" spans="2:8" ht="15" customHeight="1" thickBot="1">
      <c r="B40" s="108">
        <v>32</v>
      </c>
      <c r="C40" s="111" t="s">
        <v>91</v>
      </c>
      <c r="E40" s="168" t="s">
        <v>92</v>
      </c>
      <c r="F40" s="169"/>
      <c r="G40" s="169"/>
      <c r="H40" s="170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DRUMMOND Y CERREJON</v>
      </c>
      <c r="F42" s="116" t="str">
        <f>MID(E30,1,20)</f>
        <v>KENVUE &amp; PROCTER AND</v>
      </c>
      <c r="G42" s="116" t="str">
        <f>MID(E31,1,20)</f>
        <v>APPLE &amp; SAMSUNG</v>
      </c>
      <c r="H42" s="117" t="str">
        <f>MID(E32,1,20)</f>
        <v>ZARA &amp; H&amp;M</v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52</v>
      </c>
      <c r="H43" s="120" t="s">
        <v>60</v>
      </c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 t="s">
        <v>62</v>
      </c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56</v>
      </c>
      <c r="H45" s="126" t="s">
        <v>64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 t="s">
        <v>58</v>
      </c>
      <c r="H46" s="123" t="s">
        <v>65</v>
      </c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/>
      <c r="H47" s="126"/>
    </row>
    <row r="48" spans="2:8" ht="15" customHeight="1" thickBot="1">
      <c r="B48" s="108">
        <v>40</v>
      </c>
      <c r="C48" s="111"/>
      <c r="E48" s="127"/>
      <c r="F48" s="128"/>
      <c r="G48" s="128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ELCA &amp; LOREAL</v>
      </c>
      <c r="F50" s="116" t="str">
        <f>MID(E34,1,20)</f>
        <v>PEPSI &amp; COCA COLA</v>
      </c>
      <c r="G50" s="116" t="str">
        <f>MID(E35,1,20)</f>
        <v>ARGOS &amp; CEMEX</v>
      </c>
      <c r="H50" s="117" t="str">
        <f>MID(E36,1,20)</f>
        <v xml:space="preserve">MC DONALD &amp; BURGUER </v>
      </c>
    </row>
    <row r="51" spans="2:8" ht="15" customHeight="1">
      <c r="B51" s="108">
        <v>43</v>
      </c>
      <c r="C51" s="111"/>
      <c r="E51" s="118" t="s">
        <v>66</v>
      </c>
      <c r="F51" s="119" t="s">
        <v>73</v>
      </c>
      <c r="G51" s="119" t="s">
        <v>81</v>
      </c>
      <c r="H51" s="120" t="s">
        <v>87</v>
      </c>
    </row>
    <row r="52" spans="2:8" ht="15" customHeight="1">
      <c r="B52" s="108">
        <v>44</v>
      </c>
      <c r="C52" s="111"/>
      <c r="E52" s="121" t="s">
        <v>67</v>
      </c>
      <c r="F52" s="122" t="s">
        <v>75</v>
      </c>
      <c r="G52" s="122" t="s">
        <v>83</v>
      </c>
      <c r="H52" s="123" t="s">
        <v>89</v>
      </c>
    </row>
    <row r="53" spans="2:8" ht="15" customHeight="1">
      <c r="B53" s="108">
        <v>45</v>
      </c>
      <c r="C53" s="111"/>
      <c r="E53" s="124" t="s">
        <v>69</v>
      </c>
      <c r="F53" s="125" t="s">
        <v>77</v>
      </c>
      <c r="G53" s="125" t="s">
        <v>85</v>
      </c>
      <c r="H53" s="126" t="s">
        <v>91</v>
      </c>
    </row>
    <row r="54" spans="2:8" ht="15" customHeight="1">
      <c r="B54" s="108">
        <v>46</v>
      </c>
      <c r="C54" s="111"/>
      <c r="E54" s="121" t="s">
        <v>71</v>
      </c>
      <c r="F54" s="122" t="s">
        <v>79</v>
      </c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TIFP7mtPrkx2V1NMFe0Zn321/exasV3hIRVRgD9uW44wY3CVm3xALvWCKgeM7C7RovRhTMx/UWeC8U1HOcQYww==" saltValue="Gd2/CTeeNSCStMyxmZNfnw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J61" sqref="F61:L6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CONCATENATE(LIDER!C4," - ",LIDER!C6," - ",LIDER!C5)</f>
        <v>INTRODUCCIÓN A LOS NEGOCIOS IN - 2338 - TATIANA MILENA ROJAS AROCA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0">
        <v>4.0999999999999996</v>
      </c>
      <c r="G6" s="197">
        <v>4.0999999999999996</v>
      </c>
      <c r="H6" s="195">
        <v>4.0999999999999996</v>
      </c>
      <c r="I6" s="197">
        <v>4.0999999999999996</v>
      </c>
      <c r="J6" s="195">
        <v>4.0999999999999996</v>
      </c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0">
        <v>4.0999999999999996</v>
      </c>
      <c r="G13" s="197">
        <v>4.0999999999999996</v>
      </c>
      <c r="H13" s="195">
        <v>4.0999999999999996</v>
      </c>
      <c r="I13" s="197">
        <v>4.0999999999999996</v>
      </c>
      <c r="J13" s="195">
        <v>4.0999999999999996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0">
        <v>4</v>
      </c>
      <c r="G20" s="197">
        <v>4</v>
      </c>
      <c r="H20" s="195">
        <v>4</v>
      </c>
      <c r="I20" s="197">
        <v>4</v>
      </c>
      <c r="J20" s="195">
        <v>4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3.5000000000000004</v>
      </c>
      <c r="F27" s="200">
        <v>3.5</v>
      </c>
      <c r="G27" s="197">
        <v>3.5</v>
      </c>
      <c r="H27" s="195">
        <v>3.5</v>
      </c>
      <c r="I27" s="197">
        <v>3.5</v>
      </c>
      <c r="J27" s="195">
        <v>3.5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3.5000000000000004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3.5000000000000004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3.5000000000000004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3.5000000000000004</v>
      </c>
      <c r="F34" s="200">
        <v>3.5</v>
      </c>
      <c r="G34" s="197">
        <v>3.5</v>
      </c>
      <c r="H34" s="195">
        <v>3.5</v>
      </c>
      <c r="I34" s="197">
        <v>3.5</v>
      </c>
      <c r="J34" s="195">
        <v>3.5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3.5000000000000004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3.5000000000000004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3.5000000000000004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3.5000000000000004</v>
      </c>
      <c r="F41" s="200">
        <v>3.5</v>
      </c>
      <c r="G41" s="197">
        <v>3.5</v>
      </c>
      <c r="H41" s="195">
        <v>3.5</v>
      </c>
      <c r="I41" s="197">
        <v>3.5</v>
      </c>
      <c r="J41" s="195">
        <v>3.5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3.5000000000000004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3.5000000000000004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3.5000000000000004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3.9999999999999996</v>
      </c>
      <c r="F48" s="200">
        <v>4</v>
      </c>
      <c r="G48" s="197">
        <v>4</v>
      </c>
      <c r="H48" s="195">
        <v>4</v>
      </c>
      <c r="I48" s="197">
        <v>4</v>
      </c>
      <c r="J48" s="195">
        <v>4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3.9999999999999996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3.9999999999999996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2.5</v>
      </c>
      <c r="F55" s="200">
        <v>2.5</v>
      </c>
      <c r="G55" s="197">
        <v>2.5</v>
      </c>
      <c r="H55" s="195">
        <v>2.5</v>
      </c>
      <c r="I55" s="197">
        <v>2.5</v>
      </c>
      <c r="J55" s="195">
        <v>2.5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2.5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2.5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55" sqref="F55:F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CONCATENATE(LIDER!D4," - ",LIDER!D6," - ",LIDER!D5)</f>
        <v>COSTOS Y PRESUPUESTO - 2210 - OSVALDO SEGUNDO MORALES SANCHEZ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3.5500000000000003</v>
      </c>
      <c r="F6" s="200">
        <v>3.5</v>
      </c>
      <c r="G6" s="197">
        <v>3.5</v>
      </c>
      <c r="H6" s="195">
        <v>3.5</v>
      </c>
      <c r="I6" s="197">
        <v>3.5</v>
      </c>
      <c r="J6" s="195">
        <v>4</v>
      </c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3.5500000000000003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3.5500000000000003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3.5500000000000003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3.5500000000000003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</v>
      </c>
      <c r="F13" s="200">
        <v>4.5</v>
      </c>
      <c r="G13" s="197">
        <v>4.5</v>
      </c>
      <c r="H13" s="195">
        <v>4.5</v>
      </c>
      <c r="I13" s="197">
        <v>4.5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3.9499999999999997</v>
      </c>
      <c r="F20" s="200">
        <v>4</v>
      </c>
      <c r="G20" s="197">
        <v>4</v>
      </c>
      <c r="H20" s="195">
        <v>4</v>
      </c>
      <c r="I20" s="197">
        <v>4</v>
      </c>
      <c r="J20" s="195">
        <v>3.5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3.9499999999999997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3.9499999999999997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3.9499999999999997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</v>
      </c>
      <c r="F27" s="200">
        <v>3</v>
      </c>
      <c r="G27" s="197">
        <v>3</v>
      </c>
      <c r="H27" s="195">
        <v>3</v>
      </c>
      <c r="I27" s="197">
        <v>3</v>
      </c>
      <c r="J27" s="195">
        <v>3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3.6500000000000004</v>
      </c>
      <c r="F34" s="200">
        <v>3.5</v>
      </c>
      <c r="G34" s="197">
        <v>3.5</v>
      </c>
      <c r="H34" s="195">
        <v>3.5</v>
      </c>
      <c r="I34" s="197">
        <v>3.5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3.6500000000000004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3.6500000000000004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3.6500000000000004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3.1</v>
      </c>
      <c r="F41" s="200">
        <v>3</v>
      </c>
      <c r="G41" s="197">
        <v>3</v>
      </c>
      <c r="H41" s="195">
        <v>3</v>
      </c>
      <c r="I41" s="197">
        <v>3</v>
      </c>
      <c r="J41" s="195">
        <v>4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3.1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3.1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3.1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3.1</v>
      </c>
      <c r="F48" s="200">
        <v>3</v>
      </c>
      <c r="G48" s="197">
        <v>3</v>
      </c>
      <c r="H48" s="195">
        <v>3</v>
      </c>
      <c r="I48" s="197">
        <v>3</v>
      </c>
      <c r="J48" s="195">
        <v>4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3.1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3.1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1.9999999999999998</v>
      </c>
      <c r="F55" s="200">
        <v>2</v>
      </c>
      <c r="G55" s="197">
        <v>2</v>
      </c>
      <c r="H55" s="195">
        <v>2</v>
      </c>
      <c r="I55" s="197">
        <v>2</v>
      </c>
      <c r="J55" s="195">
        <v>2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1.9999999999999998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1.9999999999999998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J1" sqref="J1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CONCATENATE(LIDER!E4," - ",LIDER!E6," - ",LIDER!E5)</f>
        <v>LEGISLACION EMPRESARIAL - 2230 - HAROLD ANTONIO CUADRO VELASQUEZ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0">
        <v>4</v>
      </c>
      <c r="G6" s="197">
        <v>4</v>
      </c>
      <c r="H6" s="195">
        <v>4.5</v>
      </c>
      <c r="I6" s="197">
        <v>4</v>
      </c>
      <c r="J6" s="195">
        <v>4.5</v>
      </c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4.2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3.65</v>
      </c>
      <c r="F13" s="200">
        <v>3.5</v>
      </c>
      <c r="G13" s="197">
        <v>3.5</v>
      </c>
      <c r="H13" s="195">
        <v>3</v>
      </c>
      <c r="I13" s="197">
        <v>4.5</v>
      </c>
      <c r="J13" s="195">
        <v>4.5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3.65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3.95</v>
      </c>
      <c r="F20" s="200">
        <v>3.8</v>
      </c>
      <c r="G20" s="197">
        <v>3.8</v>
      </c>
      <c r="H20" s="195">
        <v>3.8</v>
      </c>
      <c r="I20" s="197">
        <v>4.2</v>
      </c>
      <c r="J20" s="195">
        <v>4.5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3.95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3.95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3.95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3.2</v>
      </c>
      <c r="F27" s="200">
        <v>3.5</v>
      </c>
      <c r="G27" s="197">
        <v>3.2</v>
      </c>
      <c r="H27" s="195">
        <v>2.8</v>
      </c>
      <c r="I27" s="197">
        <v>3</v>
      </c>
      <c r="J27" s="195">
        <v>4.2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3.2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3.2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3.2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3.9000000000000004</v>
      </c>
      <c r="F34" s="200">
        <v>4</v>
      </c>
      <c r="G34" s="197">
        <v>4</v>
      </c>
      <c r="H34" s="195">
        <v>3.5</v>
      </c>
      <c r="I34" s="197">
        <v>4</v>
      </c>
      <c r="J34" s="195">
        <v>4.5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3.9000000000000004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3.9000000000000004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3.9000000000000004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3.46</v>
      </c>
      <c r="F41" s="200">
        <v>3.8</v>
      </c>
      <c r="G41" s="197">
        <v>3.5</v>
      </c>
      <c r="H41" s="195">
        <v>3.5</v>
      </c>
      <c r="I41" s="197">
        <v>2.5</v>
      </c>
      <c r="J41" s="195">
        <v>4.5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3.46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3.46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3.46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3.91</v>
      </c>
      <c r="F48" s="200">
        <v>4</v>
      </c>
      <c r="G48" s="197">
        <v>4</v>
      </c>
      <c r="H48" s="195">
        <v>3.2</v>
      </c>
      <c r="I48" s="197">
        <v>4.5</v>
      </c>
      <c r="J48" s="195">
        <v>4.5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3.91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3.91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3.1900000000000004</v>
      </c>
      <c r="F55" s="200">
        <v>3</v>
      </c>
      <c r="G55" s="197">
        <v>3</v>
      </c>
      <c r="H55" s="195">
        <v>3</v>
      </c>
      <c r="I55" s="197">
        <v>3.2</v>
      </c>
      <c r="J55" s="195">
        <v>4.5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3.1900000000000004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3.1900000000000004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6" activePane="bottomRight" state="frozen"/>
      <selection pane="bottomRight" activeCell="G55" sqref="G55:J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CONCATENATE(LIDER!F4," - ",LIDER!F6," - ",LIDER!F5)</f>
        <v>SEMINARIO INVESTIGATIVO - 1925 - JAIME EDUARDO GONZALEZ DIAZ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0">
        <v>4.0999999999999996</v>
      </c>
      <c r="G6" s="197">
        <v>4.0999999999999996</v>
      </c>
      <c r="H6" s="195">
        <v>4.0999999999999996</v>
      </c>
      <c r="I6" s="197">
        <v>4.0999999999999996</v>
      </c>
      <c r="J6" s="195">
        <v>4.0999999999999996</v>
      </c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4.0999999999999996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0">
        <v>4.0999999999999996</v>
      </c>
      <c r="G13" s="197">
        <v>4.0999999999999996</v>
      </c>
      <c r="H13" s="195">
        <v>4.0999999999999996</v>
      </c>
      <c r="I13" s="197">
        <v>4.0999999999999996</v>
      </c>
      <c r="J13" s="195">
        <v>4.0999999999999996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0">
        <v>4</v>
      </c>
      <c r="G20" s="197">
        <v>4</v>
      </c>
      <c r="H20" s="195">
        <v>4</v>
      </c>
      <c r="I20" s="197">
        <v>4</v>
      </c>
      <c r="J20" s="195">
        <v>4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3.5000000000000004</v>
      </c>
      <c r="F27" s="200">
        <v>3.5</v>
      </c>
      <c r="G27" s="197">
        <v>3.5</v>
      </c>
      <c r="H27" s="195">
        <v>3.5</v>
      </c>
      <c r="I27" s="197">
        <v>3.5</v>
      </c>
      <c r="J27" s="195">
        <v>3.5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3.5000000000000004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3.5000000000000004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3.5000000000000004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3.7000000000000006</v>
      </c>
      <c r="F34" s="200">
        <v>3.7</v>
      </c>
      <c r="G34" s="197">
        <v>3.7</v>
      </c>
      <c r="H34" s="195">
        <v>3.7</v>
      </c>
      <c r="I34" s="197">
        <v>3.7</v>
      </c>
      <c r="J34" s="195">
        <v>3.7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3.7000000000000006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3.7000000000000006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3.7000000000000006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3.7000000000000006</v>
      </c>
      <c r="F41" s="200">
        <v>3.7</v>
      </c>
      <c r="G41" s="197">
        <v>3.7</v>
      </c>
      <c r="H41" s="195">
        <v>3.7</v>
      </c>
      <c r="I41" s="197">
        <v>3.7</v>
      </c>
      <c r="J41" s="195">
        <v>3.7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3.7000000000000006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3.7000000000000006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3.7000000000000006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3.9999999999999996</v>
      </c>
      <c r="F48" s="200">
        <v>4</v>
      </c>
      <c r="G48" s="197">
        <v>4</v>
      </c>
      <c r="H48" s="195">
        <v>4</v>
      </c>
      <c r="I48" s="197">
        <v>4</v>
      </c>
      <c r="J48" s="195">
        <v>4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3.9999999999999996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3.9999999999999996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3.5000000000000004</v>
      </c>
      <c r="F55" s="200">
        <v>3.5</v>
      </c>
      <c r="G55" s="197">
        <v>3.5</v>
      </c>
      <c r="H55" s="195">
        <v>3.5</v>
      </c>
      <c r="I55" s="197">
        <v>3.5</v>
      </c>
      <c r="J55" s="195">
        <v>3.5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3.5000000000000004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3.5000000000000004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K55" sqref="K55:K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CONCATENATE(LIDER!G4," - ",LIDER!G6," - ",LIDER!G5)</f>
        <v>ECONOMÍA GENERAL - 1414 - GENIS PATRON ANTEQUERA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4.1399999999999997</v>
      </c>
      <c r="F6" s="200">
        <v>4</v>
      </c>
      <c r="G6" s="197">
        <v>4.2</v>
      </c>
      <c r="H6" s="195">
        <v>4</v>
      </c>
      <c r="I6" s="197">
        <v>4</v>
      </c>
      <c r="J6" s="195">
        <v>5</v>
      </c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4.1399999999999997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4.1399999999999997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4.1399999999999997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4.1399999999999997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3.6500000000000004</v>
      </c>
      <c r="F13" s="200">
        <v>3.5</v>
      </c>
      <c r="G13" s="197">
        <v>3.5</v>
      </c>
      <c r="H13" s="195">
        <v>3.5</v>
      </c>
      <c r="I13" s="197">
        <v>3.5</v>
      </c>
      <c r="J13" s="195">
        <v>5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3.6500000000000004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3.6500000000000004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3.6500000000000004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3.6500000000000004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3.3200000000000003</v>
      </c>
      <c r="F20" s="200">
        <v>3.4</v>
      </c>
      <c r="G20" s="197">
        <v>3.2</v>
      </c>
      <c r="H20" s="195">
        <v>3.2</v>
      </c>
      <c r="I20" s="197">
        <v>3.2</v>
      </c>
      <c r="J20" s="195">
        <v>4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3.3200000000000003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3.3200000000000003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3.3200000000000003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3.3200000000000003</v>
      </c>
      <c r="F27" s="200">
        <v>3.4</v>
      </c>
      <c r="G27" s="197">
        <v>3.2</v>
      </c>
      <c r="H27" s="195">
        <v>3.2</v>
      </c>
      <c r="I27" s="197">
        <v>3.2</v>
      </c>
      <c r="J27" s="195">
        <v>4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3.3200000000000003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3.3200000000000003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3.3200000000000003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3.5900000000000003</v>
      </c>
      <c r="F34" s="200">
        <v>3.5</v>
      </c>
      <c r="G34" s="197">
        <v>3.5</v>
      </c>
      <c r="H34" s="195">
        <v>3.5</v>
      </c>
      <c r="I34" s="197">
        <v>3.2</v>
      </c>
      <c r="J34" s="195">
        <v>5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3.5900000000000003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3.5900000000000003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3.5900000000000003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3.5900000000000003</v>
      </c>
      <c r="F41" s="200">
        <v>3.5</v>
      </c>
      <c r="G41" s="197">
        <v>3.5</v>
      </c>
      <c r="H41" s="195">
        <v>3.5</v>
      </c>
      <c r="I41" s="197">
        <v>3.2</v>
      </c>
      <c r="J41" s="195">
        <v>5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3.5900000000000003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3.5900000000000003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3.5900000000000003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4.0999999999999996</v>
      </c>
      <c r="F48" s="200">
        <v>4</v>
      </c>
      <c r="G48" s="197">
        <v>4</v>
      </c>
      <c r="H48" s="195">
        <v>4</v>
      </c>
      <c r="I48" s="197">
        <v>4</v>
      </c>
      <c r="J48" s="195">
        <v>5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4.0999999999999996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4.0999999999999996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2.5</v>
      </c>
      <c r="F55" s="200">
        <v>2.5</v>
      </c>
      <c r="G55" s="197">
        <v>2.5</v>
      </c>
      <c r="H55" s="195">
        <v>2.5</v>
      </c>
      <c r="I55" s="197">
        <v>2.5</v>
      </c>
      <c r="J55" s="195">
        <v>2.5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2.5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2.5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55" sqref="F55:J6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CONCATENATE(LIDER!H4," - ",LIDER!H6," - ",LIDER!H5)</f>
        <v>PROCESO ADMINISTRATIVO - 1327 - JAFET GOMEZ IZQUIERDO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3.65</v>
      </c>
      <c r="F6" s="200">
        <v>3.5</v>
      </c>
      <c r="G6" s="197">
        <v>3.5</v>
      </c>
      <c r="H6" s="195">
        <v>3.5</v>
      </c>
      <c r="I6" s="197">
        <v>4</v>
      </c>
      <c r="J6" s="195">
        <v>4</v>
      </c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3.65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3.65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3.65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3.65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3.65</v>
      </c>
      <c r="F13" s="200">
        <v>3.5</v>
      </c>
      <c r="G13" s="197">
        <v>3.5</v>
      </c>
      <c r="H13" s="195">
        <v>3.5</v>
      </c>
      <c r="I13" s="197">
        <v>4</v>
      </c>
      <c r="J13" s="195">
        <v>4</v>
      </c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3.65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3.65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3.65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3.65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0">
        <v>4</v>
      </c>
      <c r="G20" s="197">
        <v>4</v>
      </c>
      <c r="H20" s="195">
        <v>4</v>
      </c>
      <c r="I20" s="197">
        <v>4</v>
      </c>
      <c r="J20" s="195">
        <v>4</v>
      </c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3.65</v>
      </c>
      <c r="F27" s="200">
        <v>3.5</v>
      </c>
      <c r="G27" s="197">
        <v>3.5</v>
      </c>
      <c r="H27" s="195">
        <v>3.5</v>
      </c>
      <c r="I27" s="197">
        <v>4</v>
      </c>
      <c r="J27" s="195">
        <v>4</v>
      </c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3.65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3.65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3.65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3.65</v>
      </c>
      <c r="F34" s="200">
        <v>3.5</v>
      </c>
      <c r="G34" s="197">
        <v>3.5</v>
      </c>
      <c r="H34" s="195">
        <v>3.5</v>
      </c>
      <c r="I34" s="197">
        <v>4</v>
      </c>
      <c r="J34" s="195">
        <v>4</v>
      </c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3.65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3.65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3.65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0">
        <v>4</v>
      </c>
      <c r="G41" s="197">
        <v>4</v>
      </c>
      <c r="H41" s="195">
        <v>4</v>
      </c>
      <c r="I41" s="197">
        <v>4</v>
      </c>
      <c r="J41" s="195">
        <v>4</v>
      </c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3.65</v>
      </c>
      <c r="F48" s="200">
        <v>3.5</v>
      </c>
      <c r="G48" s="197">
        <v>3.5</v>
      </c>
      <c r="H48" s="195">
        <v>3.5</v>
      </c>
      <c r="I48" s="197">
        <v>4</v>
      </c>
      <c r="J48" s="195">
        <v>4</v>
      </c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3.65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3.65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3.65</v>
      </c>
      <c r="F55" s="200">
        <v>3.5</v>
      </c>
      <c r="G55" s="197">
        <v>3.5</v>
      </c>
      <c r="H55" s="195">
        <v>3.5</v>
      </c>
      <c r="I55" s="197">
        <v>4</v>
      </c>
      <c r="J55" s="195">
        <v>4</v>
      </c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3.65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3.65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B7" sqref="B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3"/>
      <c r="H1" s="204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5" t="s">
        <v>93</v>
      </c>
      <c r="G2" s="206"/>
      <c r="H2" s="206"/>
      <c r="I2" s="206"/>
      <c r="J2" s="206"/>
      <c r="K2" s="206"/>
      <c r="L2" s="207"/>
    </row>
    <row r="3" spans="1:12" s="2" customFormat="1" ht="145.5" customHeight="1">
      <c r="B3" s="83" t="s">
        <v>94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8" t="str">
        <f>CONCATENATE(LIDER!I4," - ",LIDER!I6," - ",LIDER!I5)</f>
        <v xml:space="preserve"> -  - </v>
      </c>
      <c r="G4" s="208"/>
      <c r="H4" s="208"/>
      <c r="I4" s="208"/>
      <c r="J4" s="208"/>
      <c r="K4" s="208"/>
      <c r="L4" s="208"/>
    </row>
    <row r="5" spans="1:12" s="2" customFormat="1" ht="15.75" customHeight="1" thickBot="1">
      <c r="A5" s="8"/>
      <c r="B5" s="25" t="s">
        <v>95</v>
      </c>
      <c r="C5" s="88" t="s">
        <v>96</v>
      </c>
      <c r="D5" s="32" t="s">
        <v>97</v>
      </c>
      <c r="E5" s="89" t="s">
        <v>98</v>
      </c>
      <c r="F5" s="199" t="str">
        <f>LIDER!$E$29</f>
        <v>DRUMMOND Y CERREJON</v>
      </c>
      <c r="G5" s="199"/>
      <c r="H5" s="199"/>
      <c r="I5" s="199"/>
      <c r="J5" s="199"/>
      <c r="K5" s="199"/>
      <c r="L5" s="199"/>
    </row>
    <row r="6" spans="1:12" s="2" customFormat="1" ht="12.75">
      <c r="A6" s="9">
        <v>1</v>
      </c>
      <c r="B6" s="10" t="str">
        <f>LIDER!E43</f>
        <v>LUIS ALBERTO ANAYA CONQUETT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97"/>
      <c r="H6" s="195"/>
      <c r="I6" s="197"/>
      <c r="J6" s="195"/>
      <c r="K6" s="197"/>
      <c r="L6" s="195"/>
    </row>
    <row r="7" spans="1:12" s="2" customFormat="1" ht="15" customHeight="1">
      <c r="A7" s="12">
        <v>2</v>
      </c>
      <c r="B7" s="10" t="str">
        <f>LIDER!E44</f>
        <v>JOSE DE LA CRUZ CARDENAS BALLECILLA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97"/>
      <c r="H7" s="195"/>
      <c r="I7" s="197"/>
      <c r="J7" s="195"/>
      <c r="K7" s="197"/>
      <c r="L7" s="195"/>
    </row>
    <row r="8" spans="1:12" s="2" customFormat="1" ht="15" customHeight="1">
      <c r="A8" s="12">
        <v>3</v>
      </c>
      <c r="B8" s="10" t="str">
        <f>LIDER!E45</f>
        <v>STEPHANY LISSETH GARCIA CARRILLO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97"/>
      <c r="H8" s="195"/>
      <c r="I8" s="197"/>
      <c r="J8" s="195"/>
      <c r="K8" s="197"/>
      <c r="L8" s="195"/>
    </row>
    <row r="9" spans="1:12" s="2" customFormat="1" ht="15" customHeight="1">
      <c r="A9" s="12">
        <v>4</v>
      </c>
      <c r="B9" s="10" t="str">
        <f>LIDER!E46</f>
        <v>JOSE ANGEL PEREZ BLANQUICETT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97"/>
      <c r="H9" s="195"/>
      <c r="I9" s="197"/>
      <c r="J9" s="195"/>
      <c r="K9" s="197"/>
      <c r="L9" s="195"/>
    </row>
    <row r="10" spans="1:12" s="2" customFormat="1" ht="15" customHeight="1">
      <c r="A10" s="12">
        <v>5</v>
      </c>
      <c r="B10" s="10" t="str">
        <f>LIDER!E47</f>
        <v>VALERY JOHANA YOUNG LOPEZ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97"/>
      <c r="H10" s="195"/>
      <c r="I10" s="197"/>
      <c r="J10" s="195"/>
      <c r="K10" s="197"/>
      <c r="L10" s="19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97"/>
      <c r="H11" s="195"/>
      <c r="I11" s="197"/>
      <c r="J11" s="195"/>
      <c r="K11" s="197"/>
      <c r="L11" s="195"/>
    </row>
    <row r="12" spans="1:12" s="2" customFormat="1" ht="15.75" customHeight="1" thickBot="1">
      <c r="A12" s="8"/>
      <c r="B12" s="25" t="s">
        <v>99</v>
      </c>
      <c r="C12" s="88" t="s">
        <v>100</v>
      </c>
      <c r="D12" s="32" t="str">
        <f>D5</f>
        <v>LIST</v>
      </c>
      <c r="E12" s="89" t="s">
        <v>98</v>
      </c>
      <c r="F12" s="199" t="str">
        <f>LIDER!$E$30</f>
        <v>KENVUE &amp; PROCTER AND GAMBLE</v>
      </c>
      <c r="G12" s="199"/>
      <c r="H12" s="199"/>
      <c r="I12" s="199"/>
      <c r="J12" s="199"/>
      <c r="K12" s="199"/>
      <c r="L12" s="199"/>
    </row>
    <row r="13" spans="1:12" s="2" customFormat="1" ht="12.75">
      <c r="A13" s="9">
        <v>1</v>
      </c>
      <c r="B13" s="10" t="str">
        <f>LIDER!F43</f>
        <v>MARIA JULIANA BARBOSA ARDILA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97"/>
      <c r="H13" s="195"/>
      <c r="I13" s="197"/>
      <c r="J13" s="195"/>
      <c r="K13" s="197"/>
      <c r="L13" s="195"/>
    </row>
    <row r="14" spans="1:12" s="2" customFormat="1" ht="15" customHeight="1">
      <c r="A14" s="12">
        <v>2</v>
      </c>
      <c r="B14" s="10" t="str">
        <f>LIDER!F44</f>
        <v>ADRIANA SOFIA GARCIA MERCADO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97"/>
      <c r="H14" s="195"/>
      <c r="I14" s="197"/>
      <c r="J14" s="195"/>
      <c r="K14" s="197"/>
      <c r="L14" s="195"/>
    </row>
    <row r="15" spans="1:12" s="2" customFormat="1" ht="15" customHeight="1">
      <c r="A15" s="12">
        <v>3</v>
      </c>
      <c r="B15" s="10" t="str">
        <f>LIDER!F45</f>
        <v>SARA LUCIA MARTINEZ SAENZ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97"/>
      <c r="H15" s="195"/>
      <c r="I15" s="197"/>
      <c r="J15" s="195"/>
      <c r="K15" s="197"/>
      <c r="L15" s="195"/>
    </row>
    <row r="16" spans="1:12" s="2" customFormat="1" ht="15" customHeight="1">
      <c r="A16" s="12">
        <v>4</v>
      </c>
      <c r="B16" s="10" t="str">
        <f>LIDER!F46</f>
        <v>LUZ DEL CARMEN MORA VALERA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97"/>
      <c r="H16" s="195"/>
      <c r="I16" s="197"/>
      <c r="J16" s="195"/>
      <c r="K16" s="197"/>
      <c r="L16" s="195"/>
    </row>
    <row r="17" spans="1:12" s="2" customFormat="1" ht="15" customHeight="1">
      <c r="A17" s="12">
        <v>5</v>
      </c>
      <c r="B17" s="10" t="str">
        <f>LIDER!F47</f>
        <v>ISABELLA TEHERAN MENDOZA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97"/>
      <c r="H17" s="195"/>
      <c r="I17" s="197"/>
      <c r="J17" s="195"/>
      <c r="K17" s="197"/>
      <c r="L17" s="19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97"/>
      <c r="H18" s="195"/>
      <c r="I18" s="197"/>
      <c r="J18" s="195"/>
      <c r="K18" s="197"/>
      <c r="L18" s="195"/>
    </row>
    <row r="19" spans="1:12" s="2" customFormat="1" ht="15.75" customHeight="1">
      <c r="A19" s="14"/>
      <c r="B19" s="25" t="s">
        <v>101</v>
      </c>
      <c r="C19" s="88" t="s">
        <v>102</v>
      </c>
      <c r="D19" s="32" t="str">
        <f>D12</f>
        <v>LIST</v>
      </c>
      <c r="E19" s="89" t="s">
        <v>98</v>
      </c>
      <c r="F19" s="199" t="str">
        <f>LIDER!$E$31</f>
        <v>APPLE &amp; SAMSUNG</v>
      </c>
      <c r="G19" s="199"/>
      <c r="H19" s="199"/>
      <c r="I19" s="199"/>
      <c r="J19" s="199"/>
      <c r="K19" s="199"/>
      <c r="L19" s="199"/>
    </row>
    <row r="20" spans="1:12" s="2" customFormat="1" ht="12.75">
      <c r="A20" s="9">
        <v>1</v>
      </c>
      <c r="B20" s="10" t="str">
        <f>LIDER!G43</f>
        <v>TALIANA DALIETH BLANQUICETT MARTÍNEZ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97"/>
      <c r="H20" s="195"/>
      <c r="I20" s="197"/>
      <c r="J20" s="195"/>
      <c r="K20" s="197"/>
      <c r="L20" s="195"/>
    </row>
    <row r="21" spans="1:12" s="2" customFormat="1" ht="15" customHeight="1">
      <c r="A21" s="12">
        <v>2</v>
      </c>
      <c r="B21" s="10" t="str">
        <f>LIDER!G44</f>
        <v>GABRIELA VALENTINA GONZALEZ NAVAS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97"/>
      <c r="H21" s="195"/>
      <c r="I21" s="197"/>
      <c r="J21" s="195"/>
      <c r="K21" s="197"/>
      <c r="L21" s="195"/>
    </row>
    <row r="22" spans="1:12" s="2" customFormat="1" ht="15" customHeight="1">
      <c r="A22" s="12">
        <v>3</v>
      </c>
      <c r="B22" s="10" t="str">
        <f>LIDER!G45</f>
        <v>SARAY OROZCO SEPULVEDA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97"/>
      <c r="H22" s="195"/>
      <c r="I22" s="197"/>
      <c r="J22" s="195"/>
      <c r="K22" s="197"/>
      <c r="L22" s="195"/>
    </row>
    <row r="23" spans="1:12" s="2" customFormat="1" ht="15" customHeight="1">
      <c r="A23" s="12">
        <v>4</v>
      </c>
      <c r="B23" s="10" t="str">
        <f>LIDER!G46</f>
        <v>ALEJANDRA SOFIA PARADA LOPEZ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97"/>
      <c r="H23" s="195"/>
      <c r="I23" s="197"/>
      <c r="J23" s="195"/>
      <c r="K23" s="197"/>
      <c r="L23" s="195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97"/>
      <c r="H24" s="195"/>
      <c r="I24" s="197"/>
      <c r="J24" s="195"/>
      <c r="K24" s="197"/>
      <c r="L24" s="19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97"/>
      <c r="H25" s="195"/>
      <c r="I25" s="197"/>
      <c r="J25" s="195"/>
      <c r="K25" s="197"/>
      <c r="L25" s="195"/>
    </row>
    <row r="26" spans="1:12" s="2" customFormat="1" ht="15.75" customHeight="1">
      <c r="A26" s="14"/>
      <c r="B26" s="25" t="s">
        <v>103</v>
      </c>
      <c r="C26" s="88" t="s">
        <v>104</v>
      </c>
      <c r="D26" s="32" t="str">
        <f>D19</f>
        <v>LIST</v>
      </c>
      <c r="E26" s="89" t="s">
        <v>98</v>
      </c>
      <c r="F26" s="199" t="str">
        <f>LIDER!$E$32</f>
        <v>ZARA &amp; H&amp;M</v>
      </c>
      <c r="G26" s="199"/>
      <c r="H26" s="199"/>
      <c r="I26" s="199"/>
      <c r="J26" s="199"/>
      <c r="K26" s="199"/>
      <c r="L26" s="199"/>
    </row>
    <row r="27" spans="1:12" s="2" customFormat="1" ht="12.75">
      <c r="A27" s="9">
        <v>1</v>
      </c>
      <c r="B27" s="10" t="str">
        <f>LIDER!H43</f>
        <v>LUIS JOSE AGUILAR RAMOS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97"/>
      <c r="H27" s="195"/>
      <c r="I27" s="197"/>
      <c r="J27" s="195"/>
      <c r="K27" s="197"/>
      <c r="L27" s="195"/>
    </row>
    <row r="28" spans="1:12" s="2" customFormat="1" ht="15" customHeight="1">
      <c r="A28" s="12">
        <v>2</v>
      </c>
      <c r="B28" s="10" t="str">
        <f>LIDER!H44</f>
        <v>JUAN SEBASTIÁN BARRIOS RAMIREZ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97"/>
      <c r="H28" s="195"/>
      <c r="I28" s="197"/>
      <c r="J28" s="195"/>
      <c r="K28" s="197"/>
      <c r="L28" s="195"/>
    </row>
    <row r="29" spans="1:12" s="2" customFormat="1" ht="15" customHeight="1">
      <c r="A29" s="12">
        <v>3</v>
      </c>
      <c r="B29" s="10" t="str">
        <f>LIDER!H45</f>
        <v>VICTORIA GONZALEZ ALVAREZ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97"/>
      <c r="H29" s="195"/>
      <c r="I29" s="197"/>
      <c r="J29" s="195"/>
      <c r="K29" s="197"/>
      <c r="L29" s="195"/>
    </row>
    <row r="30" spans="1:12" s="2" customFormat="1" ht="15" customHeight="1">
      <c r="A30" s="12">
        <v>4</v>
      </c>
      <c r="B30" s="10" t="str">
        <f>LIDER!H46</f>
        <v>ANGEL ESTEBAN REYES GONZALEZ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97"/>
      <c r="H30" s="195"/>
      <c r="I30" s="197"/>
      <c r="J30" s="195"/>
      <c r="K30" s="197"/>
      <c r="L30" s="195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97"/>
      <c r="H31" s="195"/>
      <c r="I31" s="197"/>
      <c r="J31" s="195"/>
      <c r="K31" s="197"/>
      <c r="L31" s="19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97"/>
      <c r="H32" s="195"/>
      <c r="I32" s="197"/>
      <c r="J32" s="195"/>
      <c r="K32" s="197"/>
      <c r="L32" s="195"/>
    </row>
    <row r="33" spans="1:12" s="2" customFormat="1" ht="15.75" customHeight="1">
      <c r="A33" s="14"/>
      <c r="B33" s="25" t="s">
        <v>105</v>
      </c>
      <c r="C33" s="88" t="s">
        <v>106</v>
      </c>
      <c r="D33" s="32" t="str">
        <f>D26</f>
        <v>LIST</v>
      </c>
      <c r="E33" s="89" t="s">
        <v>98</v>
      </c>
      <c r="F33" s="199" t="str">
        <f>LIDER!$E$33</f>
        <v>ELCA &amp; LOREAL</v>
      </c>
      <c r="G33" s="199"/>
      <c r="H33" s="199"/>
      <c r="I33" s="199"/>
      <c r="J33" s="199"/>
      <c r="K33" s="199"/>
      <c r="L33" s="199"/>
    </row>
    <row r="34" spans="1:12" s="2" customFormat="1" ht="12.75">
      <c r="A34" s="9">
        <v>1</v>
      </c>
      <c r="B34" s="10" t="str">
        <f>LIDER!E51</f>
        <v>LEDA ROSA BERNAL OSPINO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97"/>
      <c r="H34" s="195"/>
      <c r="I34" s="197"/>
      <c r="J34" s="195"/>
      <c r="K34" s="197"/>
      <c r="L34" s="195"/>
    </row>
    <row r="35" spans="1:12" s="2" customFormat="1" ht="15" customHeight="1">
      <c r="A35" s="12">
        <v>2</v>
      </c>
      <c r="B35" s="10" t="str">
        <f>LIDER!E52</f>
        <v>JAIRO RAFAEL MARRUGO MATHIEU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97"/>
      <c r="H35" s="195"/>
      <c r="I35" s="197"/>
      <c r="J35" s="195"/>
      <c r="K35" s="197"/>
      <c r="L35" s="195"/>
    </row>
    <row r="36" spans="1:12" s="2" customFormat="1" ht="15" customHeight="1">
      <c r="A36" s="12">
        <v>3</v>
      </c>
      <c r="B36" s="10" t="str">
        <f>LIDER!E53</f>
        <v>KLIVER DE JESUS ROMERO OSPINA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97"/>
      <c r="H36" s="195"/>
      <c r="I36" s="197"/>
      <c r="J36" s="195"/>
      <c r="K36" s="197"/>
      <c r="L36" s="195"/>
    </row>
    <row r="37" spans="1:12" s="2" customFormat="1" ht="15" customHeight="1">
      <c r="A37" s="12">
        <v>4</v>
      </c>
      <c r="B37" s="10" t="str">
        <f>LIDER!E54</f>
        <v>VALENTINA MERCEDES TÁMARA GUZMÁN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97"/>
      <c r="H37" s="195"/>
      <c r="I37" s="197"/>
      <c r="J37" s="195"/>
      <c r="K37" s="197"/>
      <c r="L37" s="19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97"/>
      <c r="H38" s="195"/>
      <c r="I38" s="197"/>
      <c r="J38" s="195"/>
      <c r="K38" s="197"/>
      <c r="L38" s="19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97"/>
      <c r="H39" s="195"/>
      <c r="I39" s="197"/>
      <c r="J39" s="195"/>
      <c r="K39" s="197"/>
      <c r="L39" s="195"/>
    </row>
    <row r="40" spans="1:12" s="2" customFormat="1" ht="15.75" customHeight="1">
      <c r="A40" s="14"/>
      <c r="B40" s="25" t="s">
        <v>107</v>
      </c>
      <c r="C40" s="88" t="s">
        <v>108</v>
      </c>
      <c r="D40" s="32" t="str">
        <f>D33</f>
        <v>LIST</v>
      </c>
      <c r="E40" s="89" t="s">
        <v>98</v>
      </c>
      <c r="F40" s="199" t="str">
        <f>LIDER!$E$34</f>
        <v>PEPSI &amp; COCA COLA</v>
      </c>
      <c r="G40" s="199"/>
      <c r="H40" s="199"/>
      <c r="I40" s="199"/>
      <c r="J40" s="199"/>
      <c r="K40" s="199"/>
      <c r="L40" s="199"/>
    </row>
    <row r="41" spans="1:12" s="2" customFormat="1" ht="12.75">
      <c r="A41" s="9">
        <v>1</v>
      </c>
      <c r="B41" s="10" t="str">
        <f>LIDER!F51</f>
        <v>SOFIA ISABEL AHUMADA VILLALOBOS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97"/>
      <c r="H41" s="195"/>
      <c r="I41" s="197"/>
      <c r="J41" s="195"/>
      <c r="K41" s="197"/>
      <c r="L41" s="195"/>
    </row>
    <row r="42" spans="1:12" s="2" customFormat="1" ht="15" customHeight="1">
      <c r="A42" s="12">
        <v>2</v>
      </c>
      <c r="B42" s="10" t="str">
        <f>LIDER!F52</f>
        <v>EDINSON JOSE GARCIA ZUÑIGA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97"/>
      <c r="H42" s="195"/>
      <c r="I42" s="197"/>
      <c r="J42" s="195"/>
      <c r="K42" s="197"/>
      <c r="L42" s="195"/>
    </row>
    <row r="43" spans="1:12" s="2" customFormat="1" ht="15" customHeight="1">
      <c r="A43" s="12">
        <v>3</v>
      </c>
      <c r="B43" s="10" t="str">
        <f>LIDER!F53</f>
        <v>ANGELYS SOFÍA GUARDO PÁJARO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97"/>
      <c r="H43" s="195"/>
      <c r="I43" s="197"/>
      <c r="J43" s="195"/>
      <c r="K43" s="197"/>
      <c r="L43" s="195"/>
    </row>
    <row r="44" spans="1:12" s="2" customFormat="1" ht="15" customHeight="1">
      <c r="A44" s="12">
        <v>4</v>
      </c>
      <c r="B44" s="10" t="str">
        <f>LIDER!F54</f>
        <v>AMALY FERNANDA SANTOS MEDINA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97"/>
      <c r="H44" s="195"/>
      <c r="I44" s="197"/>
      <c r="J44" s="195"/>
      <c r="K44" s="197"/>
      <c r="L44" s="19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97"/>
      <c r="H45" s="195"/>
      <c r="I45" s="197"/>
      <c r="J45" s="195"/>
      <c r="K45" s="197"/>
      <c r="L45" s="19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97"/>
      <c r="H46" s="195"/>
      <c r="I46" s="197"/>
      <c r="J46" s="195"/>
      <c r="K46" s="197"/>
      <c r="L46" s="195"/>
    </row>
    <row r="47" spans="1:12" s="2" customFormat="1" ht="15.75" customHeight="1">
      <c r="A47" s="14"/>
      <c r="B47" s="25" t="s">
        <v>109</v>
      </c>
      <c r="C47" s="88" t="s">
        <v>110</v>
      </c>
      <c r="D47" s="32" t="str">
        <f>D40</f>
        <v>LIST</v>
      </c>
      <c r="E47" s="89" t="s">
        <v>98</v>
      </c>
      <c r="F47" s="199" t="str">
        <f>LIDER!$E$35</f>
        <v>ARGOS &amp; CEMEX</v>
      </c>
      <c r="G47" s="199"/>
      <c r="H47" s="199"/>
      <c r="I47" s="199"/>
      <c r="J47" s="199"/>
      <c r="K47" s="199"/>
      <c r="L47" s="199"/>
    </row>
    <row r="48" spans="1:12" s="2" customFormat="1" ht="12.75">
      <c r="A48" s="9">
        <v>1</v>
      </c>
      <c r="B48" s="10" t="str">
        <f>LIDER!G51</f>
        <v>YENERIS CAICEDO ROMERO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97"/>
      <c r="H48" s="195"/>
      <c r="I48" s="197"/>
      <c r="J48" s="195"/>
      <c r="K48" s="197"/>
      <c r="L48" s="195"/>
    </row>
    <row r="49" spans="1:12" s="2" customFormat="1" ht="15" customHeight="1">
      <c r="A49" s="12">
        <v>2</v>
      </c>
      <c r="B49" s="10" t="str">
        <f>LIDER!G52</f>
        <v>NATALIA PAOLA GOMEZ PAREDES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97"/>
      <c r="H49" s="195"/>
      <c r="I49" s="197"/>
      <c r="J49" s="195"/>
      <c r="K49" s="197"/>
      <c r="L49" s="195"/>
    </row>
    <row r="50" spans="1:12" s="2" customFormat="1" ht="15" customHeight="1">
      <c r="A50" s="12">
        <v>3</v>
      </c>
      <c r="B50" s="10" t="str">
        <f>LIDER!G53</f>
        <v>DANA SOFIA JARABA MURILLO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97"/>
      <c r="H50" s="195"/>
      <c r="I50" s="197"/>
      <c r="J50" s="195"/>
      <c r="K50" s="197"/>
      <c r="L50" s="19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97"/>
      <c r="H51" s="195"/>
      <c r="I51" s="197"/>
      <c r="J51" s="195"/>
      <c r="K51" s="197"/>
      <c r="L51" s="19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97"/>
      <c r="H52" s="195"/>
      <c r="I52" s="197"/>
      <c r="J52" s="195"/>
      <c r="K52" s="197"/>
      <c r="L52" s="19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97"/>
      <c r="H53" s="195"/>
      <c r="I53" s="197"/>
      <c r="J53" s="195"/>
      <c r="K53" s="197"/>
      <c r="L53" s="195"/>
    </row>
    <row r="54" spans="1:12" s="2" customFormat="1" ht="15.75" customHeight="1">
      <c r="A54" s="14"/>
      <c r="B54" s="25" t="s">
        <v>111</v>
      </c>
      <c r="C54" s="88" t="s">
        <v>112</v>
      </c>
      <c r="D54" s="32" t="str">
        <f>D47</f>
        <v>LIST</v>
      </c>
      <c r="E54" s="89" t="s">
        <v>98</v>
      </c>
      <c r="F54" s="199" t="str">
        <f>LIDER!$E$36</f>
        <v>MC DONALD &amp; BURGUER KING</v>
      </c>
      <c r="G54" s="199"/>
      <c r="H54" s="199"/>
      <c r="I54" s="199"/>
      <c r="J54" s="199"/>
      <c r="K54" s="199"/>
      <c r="L54" s="199"/>
    </row>
    <row r="55" spans="1:12" s="2" customFormat="1" ht="12.75">
      <c r="A55" s="9">
        <v>1</v>
      </c>
      <c r="B55" s="10" t="str">
        <f>LIDER!H51</f>
        <v>VALERIA VALENTINA CARRASQUILLA MARRUGO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97"/>
      <c r="H55" s="195"/>
      <c r="I55" s="197"/>
      <c r="J55" s="195"/>
      <c r="K55" s="197"/>
      <c r="L55" s="195"/>
    </row>
    <row r="56" spans="1:12" s="2" customFormat="1" ht="15" customHeight="1">
      <c r="A56" s="12">
        <v>2</v>
      </c>
      <c r="B56" s="10" t="str">
        <f>LIDER!H52</f>
        <v>SHIRLY YULIANA RAMOS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97"/>
      <c r="H56" s="195"/>
      <c r="I56" s="197"/>
      <c r="J56" s="195"/>
      <c r="K56" s="197"/>
      <c r="L56" s="195"/>
    </row>
    <row r="57" spans="1:12" s="2" customFormat="1" ht="15" customHeight="1">
      <c r="A57" s="12">
        <v>3</v>
      </c>
      <c r="B57" s="10" t="str">
        <f>LIDER!H53</f>
        <v>NICOLE DE JESUS ROQUEME ARELLANO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97"/>
      <c r="H57" s="195"/>
      <c r="I57" s="197"/>
      <c r="J57" s="195"/>
      <c r="K57" s="197"/>
      <c r="L57" s="19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97"/>
      <c r="H58" s="195"/>
      <c r="I58" s="197"/>
      <c r="J58" s="195"/>
      <c r="K58" s="197"/>
      <c r="L58" s="19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97"/>
      <c r="H59" s="195"/>
      <c r="I59" s="197"/>
      <c r="J59" s="195"/>
      <c r="K59" s="197"/>
      <c r="L59" s="19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97"/>
      <c r="H60" s="195"/>
      <c r="I60" s="197"/>
      <c r="J60" s="195"/>
      <c r="K60" s="197"/>
      <c r="L60" s="195"/>
    </row>
    <row r="61" spans="1:12" s="2" customFormat="1" ht="15.75" customHeight="1">
      <c r="A61" s="14"/>
      <c r="B61" s="25" t="s">
        <v>86</v>
      </c>
      <c r="C61" s="88" t="s">
        <v>113</v>
      </c>
      <c r="D61" s="32" t="str">
        <f>D54</f>
        <v>LIST</v>
      </c>
      <c r="E61" s="89" t="s">
        <v>98</v>
      </c>
      <c r="F61" s="199" t="str">
        <f>LIDER!$E$37</f>
        <v>GRUPO#9</v>
      </c>
      <c r="G61" s="199"/>
      <c r="H61" s="199"/>
      <c r="I61" s="199"/>
      <c r="J61" s="199"/>
      <c r="K61" s="199"/>
      <c r="L61" s="199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97"/>
      <c r="H62" s="195"/>
      <c r="I62" s="197"/>
      <c r="J62" s="195"/>
      <c r="K62" s="197"/>
      <c r="L62" s="19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97"/>
      <c r="H63" s="195"/>
      <c r="I63" s="197"/>
      <c r="J63" s="195"/>
      <c r="K63" s="197"/>
      <c r="L63" s="19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97"/>
      <c r="H64" s="195"/>
      <c r="I64" s="197"/>
      <c r="J64" s="195"/>
      <c r="K64" s="197"/>
      <c r="L64" s="19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97"/>
      <c r="H65" s="195"/>
      <c r="I65" s="197"/>
      <c r="J65" s="195"/>
      <c r="K65" s="197"/>
      <c r="L65" s="19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97"/>
      <c r="H66" s="195"/>
      <c r="I66" s="197"/>
      <c r="J66" s="195"/>
      <c r="K66" s="197"/>
      <c r="L66" s="19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97"/>
      <c r="H67" s="195"/>
      <c r="I67" s="197"/>
      <c r="J67" s="195"/>
      <c r="K67" s="197"/>
      <c r="L67" s="195"/>
    </row>
    <row r="68" spans="1:12" s="2" customFormat="1" ht="15.75" customHeight="1">
      <c r="A68" s="14"/>
      <c r="B68" s="25" t="s">
        <v>88</v>
      </c>
      <c r="C68" s="88" t="s">
        <v>114</v>
      </c>
      <c r="D68" s="32" t="str">
        <f>D61</f>
        <v>LIST</v>
      </c>
      <c r="E68" s="89" t="s">
        <v>98</v>
      </c>
      <c r="F68" s="199" t="str">
        <f>LIDER!$E$38</f>
        <v>GRUPO#10</v>
      </c>
      <c r="G68" s="199"/>
      <c r="H68" s="199"/>
      <c r="I68" s="199"/>
      <c r="J68" s="199"/>
      <c r="K68" s="199"/>
      <c r="L68" s="199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97"/>
      <c r="H69" s="195"/>
      <c r="I69" s="197"/>
      <c r="J69" s="195"/>
      <c r="K69" s="197"/>
      <c r="L69" s="19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97"/>
      <c r="H70" s="195"/>
      <c r="I70" s="197"/>
      <c r="J70" s="195"/>
      <c r="K70" s="197"/>
      <c r="L70" s="19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97"/>
      <c r="H71" s="195"/>
      <c r="I71" s="197"/>
      <c r="J71" s="195"/>
      <c r="K71" s="197"/>
      <c r="L71" s="19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97"/>
      <c r="H72" s="195"/>
      <c r="I72" s="197"/>
      <c r="J72" s="195"/>
      <c r="K72" s="197"/>
      <c r="L72" s="19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97"/>
      <c r="H73" s="195"/>
      <c r="I73" s="197"/>
      <c r="J73" s="195"/>
      <c r="K73" s="197"/>
      <c r="L73" s="19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97"/>
      <c r="H74" s="195"/>
      <c r="I74" s="197"/>
      <c r="J74" s="195"/>
      <c r="K74" s="197"/>
      <c r="L74" s="195"/>
    </row>
    <row r="75" spans="1:12" s="2" customFormat="1" ht="15.75" customHeight="1">
      <c r="A75" s="14"/>
      <c r="B75" s="25" t="s">
        <v>90</v>
      </c>
      <c r="C75" s="88" t="s">
        <v>115</v>
      </c>
      <c r="D75" s="32" t="str">
        <f>D68</f>
        <v>LIST</v>
      </c>
      <c r="E75" s="89" t="s">
        <v>98</v>
      </c>
      <c r="F75" s="199" t="str">
        <f>LIDER!$E$39</f>
        <v>GRUPO#11</v>
      </c>
      <c r="G75" s="199"/>
      <c r="H75" s="199"/>
      <c r="I75" s="199"/>
      <c r="J75" s="199"/>
      <c r="K75" s="199"/>
      <c r="L75" s="199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97"/>
      <c r="H76" s="195"/>
      <c r="I76" s="197"/>
      <c r="J76" s="195"/>
      <c r="K76" s="197"/>
      <c r="L76" s="19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97"/>
      <c r="H77" s="195"/>
      <c r="I77" s="197"/>
      <c r="J77" s="195"/>
      <c r="K77" s="197"/>
      <c r="L77" s="19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97"/>
      <c r="H78" s="195"/>
      <c r="I78" s="197"/>
      <c r="J78" s="195"/>
      <c r="K78" s="197"/>
      <c r="L78" s="19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97"/>
      <c r="H79" s="195"/>
      <c r="I79" s="197"/>
      <c r="J79" s="195"/>
      <c r="K79" s="197"/>
      <c r="L79" s="19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97"/>
      <c r="H80" s="195"/>
      <c r="I80" s="197"/>
      <c r="J80" s="195"/>
      <c r="K80" s="197"/>
      <c r="L80" s="19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97"/>
      <c r="H81" s="195"/>
      <c r="I81" s="197"/>
      <c r="J81" s="195"/>
      <c r="K81" s="197"/>
      <c r="L81" s="195"/>
    </row>
    <row r="82" spans="1:12" s="2" customFormat="1" ht="15.75" customHeight="1">
      <c r="A82" s="14"/>
      <c r="B82" s="25" t="s">
        <v>92</v>
      </c>
      <c r="C82" s="88" t="s">
        <v>116</v>
      </c>
      <c r="D82" s="32" t="str">
        <f>D75</f>
        <v>LIST</v>
      </c>
      <c r="E82" s="89" t="s">
        <v>98</v>
      </c>
      <c r="F82" s="199" t="str">
        <f>LIDER!$E$40</f>
        <v>GRUPO#12</v>
      </c>
      <c r="G82" s="199"/>
      <c r="H82" s="199"/>
      <c r="I82" s="199"/>
      <c r="J82" s="199"/>
      <c r="K82" s="199"/>
      <c r="L82" s="199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97"/>
      <c r="H83" s="195"/>
      <c r="I83" s="197"/>
      <c r="J83" s="195"/>
      <c r="K83" s="197"/>
      <c r="L83" s="19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97"/>
      <c r="H84" s="195"/>
      <c r="I84" s="197"/>
      <c r="J84" s="195"/>
      <c r="K84" s="197"/>
      <c r="L84" s="19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97"/>
      <c r="H85" s="195"/>
      <c r="I85" s="197"/>
      <c r="J85" s="195"/>
      <c r="K85" s="197"/>
      <c r="L85" s="19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97"/>
      <c r="H86" s="195"/>
      <c r="I86" s="197"/>
      <c r="J86" s="195"/>
      <c r="K86" s="197"/>
      <c r="L86" s="19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97"/>
      <c r="H87" s="195"/>
      <c r="I87" s="197"/>
      <c r="J87" s="195"/>
      <c r="K87" s="197"/>
      <c r="L87" s="19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1"/>
      <c r="G88" s="198"/>
      <c r="H88" s="196"/>
      <c r="I88" s="198"/>
      <c r="J88" s="196"/>
      <c r="K88" s="198"/>
      <c r="L88" s="19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CONCATENATE(LIDER!C4," - ",LIDER!C6," - ",LIDER!C5)</f>
        <v>INTRODUCCIÓN A LOS NEGOCIOS IN - 2338 - TATIANA MILENA ROJAS AROCA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2" t="str">
        <f>IF('S-ASIG-01'!D5="","",'S-ASIG-01'!D5)</f>
        <v>LIST</v>
      </c>
      <c r="D5" s="35" t="s">
        <v>98</v>
      </c>
      <c r="E5" s="213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IF('S-ASIG-01'!D12="","",'S-ASIG-01'!D12)</f>
        <v>LIST</v>
      </c>
      <c r="D12" s="35" t="s">
        <v>98</v>
      </c>
      <c r="E12" s="213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IF('S-ASIG-01'!D19="","",'S-ASIG-01'!D19)</f>
        <v>LIST</v>
      </c>
      <c r="D19" s="35" t="s">
        <v>98</v>
      </c>
      <c r="E19" s="213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IF('S-ASIG-01'!D26="","",'S-ASIG-01'!D26)</f>
        <v>LIST</v>
      </c>
      <c r="D26" s="35" t="s">
        <v>98</v>
      </c>
      <c r="E26" s="213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IF('S-ASIG-01'!D33="","",'S-ASIG-01'!D33)</f>
        <v>LIST</v>
      </c>
      <c r="D33" s="35" t="s">
        <v>98</v>
      </c>
      <c r="E33" s="213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IF('S-ASIG-01'!D40="","",'S-ASIG-01'!D40)</f>
        <v>LIST</v>
      </c>
      <c r="D40" s="35" t="s">
        <v>98</v>
      </c>
      <c r="E40" s="213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IF('S-ASIG-01'!D47="","",'S-ASIG-01'!D47)</f>
        <v>LIST</v>
      </c>
      <c r="D47" s="35" t="s">
        <v>98</v>
      </c>
      <c r="E47" s="213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IF('S-ASIG-01'!D54="","",'S-ASIG-01'!D54)</f>
        <v>LIST</v>
      </c>
      <c r="D54" s="35" t="s">
        <v>98</v>
      </c>
      <c r="E54" s="213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0</v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0</v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0</v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98</v>
      </c>
      <c r="E61" s="213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IF('S-ASIG-01'!D68="","",'S-ASIG-01'!D68)</f>
        <v>LIST</v>
      </c>
      <c r="D68" s="35" t="s">
        <v>98</v>
      </c>
      <c r="E68" s="213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IF('S-ASIG-01'!D75="","",'S-ASIG-01'!D75)</f>
        <v>LIST</v>
      </c>
      <c r="D75" s="35" t="s">
        <v>98</v>
      </c>
      <c r="E75" s="213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IF('S-ASIG-01'!D82="","",'S-ASIG-01'!D82)</f>
        <v>LIST</v>
      </c>
      <c r="D82" s="35" t="s">
        <v>98</v>
      </c>
      <c r="E82" s="213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4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CONCATENATE(LIDER!D4," - ",LIDER!D6," - ",LIDER!D5)</f>
        <v>COSTOS Y PRESUPUESTO - 2210 - OSVALDO SEGUNDO MORALES SANCHEZ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4" t="str">
        <f>IF('S-ASIG-02'!D5="","",'S-ASIG-02'!D5)</f>
        <v>LIST</v>
      </c>
      <c r="D5" s="35" t="s">
        <v>98</v>
      </c>
      <c r="E5" s="199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IF('S-ASIG-02'!D12="","",'S-ASIG-02'!D12)</f>
        <v>LIST</v>
      </c>
      <c r="D12" s="35" t="s">
        <v>98</v>
      </c>
      <c r="E12" s="199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IF('S-ASIG-02'!D19="","",'S-ASIG-02'!D19)</f>
        <v>LIST</v>
      </c>
      <c r="D19" s="35" t="s">
        <v>98</v>
      </c>
      <c r="E19" s="199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IF('S-ASIG-02'!D26="","",'S-ASIG-02'!D26)</f>
        <v>LIST</v>
      </c>
      <c r="D26" s="35" t="s">
        <v>98</v>
      </c>
      <c r="E26" s="199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IF('S-ASIG-02'!D33="","",'S-ASIG-02'!D33)</f>
        <v>LIST</v>
      </c>
      <c r="D33" s="35" t="s">
        <v>98</v>
      </c>
      <c r="E33" s="199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IF('S-ASIG-02'!D40="","",'S-ASIG-02'!D40)</f>
        <v>LIST</v>
      </c>
      <c r="D40" s="35" t="s">
        <v>98</v>
      </c>
      <c r="E40" s="199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IF('S-ASIG-02'!D47="","",'S-ASIG-02'!D47)</f>
        <v>LIST</v>
      </c>
      <c r="D47" s="35" t="s">
        <v>98</v>
      </c>
      <c r="E47" s="199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IF('S-ASIG-02'!D54="","",'S-ASIG-02'!D54)</f>
        <v>LIST</v>
      </c>
      <c r="D54" s="35" t="s">
        <v>98</v>
      </c>
      <c r="E54" s="199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98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IF('S-ASIG-02'!D68="","",'S-ASIG-02'!D68)</f>
        <v>LIST</v>
      </c>
      <c r="D68" s="35" t="s">
        <v>98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IF('S-ASIG-02'!D75="","",'S-ASIG-02'!D75)</f>
        <v>LIST</v>
      </c>
      <c r="D75" s="35" t="s">
        <v>98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IF('S-ASIG-02'!D82="","",'S-ASIG-02'!D82)</f>
        <v>LIST</v>
      </c>
      <c r="D82" s="35" t="s">
        <v>98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CONCATENATE(LIDER!E4," - ",LIDER!E6," - ",LIDER!E5)</f>
        <v>LEGISLACION EMPRESARIAL - 2230 - HAROLD ANTONIO CUADRO VELASQUEZ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4" t="str">
        <f>IF('S-ASIG-03'!D5="","",'S-ASIG-03'!D5)</f>
        <v>LIST</v>
      </c>
      <c r="D5" s="35" t="s">
        <v>98</v>
      </c>
      <c r="E5" s="199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IF('S-ASIG-03'!D12="","",'S-ASIG-03'!D12)</f>
        <v>LIST</v>
      </c>
      <c r="D12" s="35" t="s">
        <v>98</v>
      </c>
      <c r="E12" s="199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IF('S-ASIG-03'!D19="","",'S-ASIG-03'!D19)</f>
        <v>LIST</v>
      </c>
      <c r="D19" s="35" t="s">
        <v>98</v>
      </c>
      <c r="E19" s="199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IF('S-ASIG-03'!D26="","",'S-ASIG-03'!D26)</f>
        <v>LIST</v>
      </c>
      <c r="D26" s="35" t="s">
        <v>98</v>
      </c>
      <c r="E26" s="199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IF('S-ASIG-03'!D33="","",'S-ASIG-03'!D33)</f>
        <v>LIST</v>
      </c>
      <c r="D33" s="35" t="s">
        <v>98</v>
      </c>
      <c r="E33" s="199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IF('S-ASIG-03'!D40="","",'S-ASIG-03'!D40)</f>
        <v>LIST</v>
      </c>
      <c r="D40" s="35" t="s">
        <v>98</v>
      </c>
      <c r="E40" s="199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IF('S-ASIG-03'!D47="","",'S-ASIG-03'!D47)</f>
        <v>LIST</v>
      </c>
      <c r="D47" s="35" t="s">
        <v>98</v>
      </c>
      <c r="E47" s="199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IF('S-ASIG-03'!D54="","",'S-ASIG-03'!D54)</f>
        <v>LIST</v>
      </c>
      <c r="D54" s="35" t="s">
        <v>98</v>
      </c>
      <c r="E54" s="199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98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IF('S-ASIG-03'!D68="","",'S-ASIG-03'!D68)</f>
        <v>LIST</v>
      </c>
      <c r="D68" s="35" t="s">
        <v>98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IF('S-ASIG-03'!D75="","",'S-ASIG-03'!D75)</f>
        <v>LIST</v>
      </c>
      <c r="D75" s="35" t="s">
        <v>98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IF('S-ASIG-03'!D82="","",'S-ASIG-03'!D82)</f>
        <v>LIST</v>
      </c>
      <c r="D82" s="35" t="s">
        <v>98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70" zoomScaleNormal="7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CONCATENATE(LIDER!F4," - ",LIDER!F6," - ",LIDER!F5)</f>
        <v>SEMINARIO INVESTIGATIVO - 1925 - JAIME EDUARDO GONZALEZ DIAZ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4" t="str">
        <f>IF('S-ASIG-04'!D5="","",'S-ASIG-04'!D5)</f>
        <v>LIST</v>
      </c>
      <c r="D5" s="35" t="s">
        <v>98</v>
      </c>
      <c r="E5" s="199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IF('S-ASIG-04'!D12="","",'S-ASIG-04'!D12)</f>
        <v>LIST</v>
      </c>
      <c r="D12" s="35" t="s">
        <v>98</v>
      </c>
      <c r="E12" s="199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IF('S-ASIG-04'!D19="","",'S-ASIG-04'!D19)</f>
        <v>LIST</v>
      </c>
      <c r="D19" s="35" t="s">
        <v>98</v>
      </c>
      <c r="E19" s="199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IF('S-ASIG-04'!D26="","",'S-ASIG-04'!D26)</f>
        <v>LIST</v>
      </c>
      <c r="D26" s="35" t="s">
        <v>98</v>
      </c>
      <c r="E26" s="199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IF('S-ASIG-04'!D33="","",'S-ASIG-04'!D33)</f>
        <v>LIST</v>
      </c>
      <c r="D33" s="35" t="s">
        <v>98</v>
      </c>
      <c r="E33" s="199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IF('S-ASIG-04'!D40="","",'S-ASIG-04'!D40)</f>
        <v>LIST</v>
      </c>
      <c r="D40" s="35" t="s">
        <v>98</v>
      </c>
      <c r="E40" s="199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IF('S-ASIG-04'!D47="","",'S-ASIG-04'!D47)</f>
        <v>LIST</v>
      </c>
      <c r="D47" s="35" t="s">
        <v>98</v>
      </c>
      <c r="E47" s="199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IF('S-ASIG-04'!D54="","",'S-ASIG-04'!D54)</f>
        <v>LIST</v>
      </c>
      <c r="D54" s="35" t="s">
        <v>98</v>
      </c>
      <c r="E54" s="199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IF('S-ASIG-04'!D57="","",'S-ASIG-04'!D57)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98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IF('S-ASIG-04'!D68="","",'S-ASIG-04'!D68)</f>
        <v>LIST</v>
      </c>
      <c r="D68" s="35" t="s">
        <v>98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IF('S-ASIG-04'!D75="","",'S-ASIG-04'!D75)</f>
        <v>LIST</v>
      </c>
      <c r="D75" s="35" t="s">
        <v>98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IF('S-ASIG-04'!D82="","",'S-ASIG-04'!D82)</f>
        <v>LIST</v>
      </c>
      <c r="D82" s="35" t="s">
        <v>98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ECONOMÍA GENERAL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CONCATENATE(LIDER!G4," - ",LIDER!G6," - ",LIDER!G5)</f>
        <v>ECONOMÍA GENERAL - 1414 - GENIS PATRON ANTEQUERA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4" t="str">
        <f>IF('S-ASIG-05'!D5="","",'S-ASIG-05'!D5)</f>
        <v>LIST</v>
      </c>
      <c r="D5" s="35" t="s">
        <v>98</v>
      </c>
      <c r="E5" s="199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IF('S-ASIG-05'!D12="","",'S-ASIG-05'!D12)</f>
        <v>LIST</v>
      </c>
      <c r="D12" s="35" t="s">
        <v>98</v>
      </c>
      <c r="E12" s="199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IF('S-ASIG-05'!D19="","",'S-ASIG-05'!D19)</f>
        <v>LIST</v>
      </c>
      <c r="D19" s="35" t="s">
        <v>98</v>
      </c>
      <c r="E19" s="199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IF('S-ASIG-05'!D26="","",'S-ASIG-05'!D26)</f>
        <v>LIST</v>
      </c>
      <c r="D26" s="35" t="s">
        <v>98</v>
      </c>
      <c r="E26" s="199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IF('S-ASIG-05'!D33="","",'S-ASIG-05'!D33)</f>
        <v>LIST</v>
      </c>
      <c r="D33" s="35" t="s">
        <v>98</v>
      </c>
      <c r="E33" s="199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IF('S-ASIG-05'!D40="","",'S-ASIG-05'!D40)</f>
        <v>LIST</v>
      </c>
      <c r="D40" s="35" t="s">
        <v>98</v>
      </c>
      <c r="E40" s="199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IF('S-ASIG-05'!D47="","",'S-ASIG-05'!D47)</f>
        <v>LIST</v>
      </c>
      <c r="D47" s="35" t="s">
        <v>98</v>
      </c>
      <c r="E47" s="199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IF('S-ASIG-05'!D54="","",'S-ASIG-05'!D54)</f>
        <v>LIST</v>
      </c>
      <c r="D54" s="35" t="s">
        <v>98</v>
      </c>
      <c r="E54" s="199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98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IF('S-ASIG-05'!D68="","",'S-ASIG-05'!D68)</f>
        <v>LIST</v>
      </c>
      <c r="D68" s="35" t="s">
        <v>98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IF('S-ASIG-05'!D75="","",'S-ASIG-05'!D75)</f>
        <v>LIST</v>
      </c>
      <c r="D75" s="35" t="s">
        <v>98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IF('S-ASIG-05'!D82="","",'S-ASIG-05'!D82)</f>
        <v>LIST</v>
      </c>
      <c r="D82" s="35" t="s">
        <v>98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70" zoomScaleNormal="7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CONCATENATE(LIDER!H4," - ",LIDER!H6," - ",LIDER!H5)</f>
        <v>PROCESO ADMINISTRATIVO - 1327 - JAFET GOMEZ IZQUIERDO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4" t="str">
        <f>IF('S-ASIG-06'!D5="","",'S-ASIG-06'!D5)</f>
        <v>LIST</v>
      </c>
      <c r="D5" s="35" t="s">
        <v>98</v>
      </c>
      <c r="E5" s="199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IF('S-ASIG-06'!D12="","",'S-ASIG-06'!D12)</f>
        <v>LIST</v>
      </c>
      <c r="D12" s="35" t="s">
        <v>98</v>
      </c>
      <c r="E12" s="199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IF('S-ASIG-06'!D19="","",'S-ASIG-06'!D19)</f>
        <v>LIST</v>
      </c>
      <c r="D19" s="35" t="s">
        <v>98</v>
      </c>
      <c r="E19" s="199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IF('S-ASIG-06'!D26="","",'S-ASIG-06'!D26)</f>
        <v>LIST</v>
      </c>
      <c r="D26" s="35" t="s">
        <v>98</v>
      </c>
      <c r="E26" s="199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IF('S-ASIG-06'!D33="","",'S-ASIG-06'!D33)</f>
        <v>LIST</v>
      </c>
      <c r="D33" s="35" t="s">
        <v>98</v>
      </c>
      <c r="E33" s="199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IF('S-ASIG-06'!D40="","",'S-ASIG-06'!D40)</f>
        <v>LIST</v>
      </c>
      <c r="D40" s="35" t="s">
        <v>98</v>
      </c>
      <c r="E40" s="199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IF('S-ASIG-06'!D47="","",'S-ASIG-06'!D47)</f>
        <v>LIST</v>
      </c>
      <c r="D47" s="35" t="s">
        <v>98</v>
      </c>
      <c r="E47" s="199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IF('S-ASIG-06'!D54="","",'S-ASIG-06'!D54)</f>
        <v>LIST</v>
      </c>
      <c r="D54" s="35" t="s">
        <v>98</v>
      </c>
      <c r="E54" s="199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98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IF('S-ASIG-06'!D68="","",'S-ASIG-06'!D68)</f>
        <v>LIST</v>
      </c>
      <c r="D68" s="35" t="s">
        <v>98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IF('S-ASIG-06'!D75="","",'S-ASIG-06'!D75)</f>
        <v>LIST</v>
      </c>
      <c r="D75" s="35" t="s">
        <v>98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IF('S-ASIG-06'!D82="","",'S-ASIG-06'!D82)</f>
        <v>LIST</v>
      </c>
      <c r="D82" s="35" t="s">
        <v>98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60" zoomScaleNormal="6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2" t="str">
        <f>LIDER!B2</f>
        <v>TECNOLOGÍA EN GESTIÓN DE NEGOCIOS INTERN</v>
      </c>
      <c r="B1" s="203"/>
      <c r="C1" s="203"/>
      <c r="D1" s="203"/>
      <c r="E1" s="203"/>
      <c r="F1" s="203"/>
      <c r="G1" s="204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10" t="s">
        <v>93</v>
      </c>
      <c r="F2" s="211"/>
      <c r="G2" s="211"/>
      <c r="H2" s="211"/>
      <c r="I2" s="211"/>
      <c r="J2" s="211"/>
      <c r="K2" s="212"/>
    </row>
    <row r="3" spans="1:11" s="2" customFormat="1" ht="145.5" customHeight="1" thickBot="1">
      <c r="B3" s="4" t="s">
        <v>94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5" t="str">
        <f>CONCATENATE(LIDER!I4," - ",LIDER!I6," - ",LIDER!I5)</f>
        <v xml:space="preserve"> -  - </v>
      </c>
      <c r="F4" s="216"/>
      <c r="G4" s="216"/>
      <c r="H4" s="216"/>
      <c r="I4" s="216"/>
      <c r="J4" s="216"/>
      <c r="K4" s="217"/>
    </row>
    <row r="5" spans="1:11" s="2" customFormat="1" ht="15.75" customHeight="1" thickBot="1">
      <c r="A5" s="8"/>
      <c r="B5" s="27" t="s">
        <v>95</v>
      </c>
      <c r="C5" s="34" t="str">
        <f>IF('S-ASIG-07'!D5="","",'S-ASIG-07'!D5)</f>
        <v>LIST</v>
      </c>
      <c r="D5" s="35" t="s">
        <v>98</v>
      </c>
      <c r="E5" s="199" t="str">
        <f>LIDER!$E$29</f>
        <v>DRUMMOND Y CERREJON</v>
      </c>
      <c r="F5" s="199"/>
      <c r="G5" s="199"/>
      <c r="H5" s="199"/>
      <c r="I5" s="199"/>
      <c r="J5" s="199"/>
      <c r="K5" s="199"/>
    </row>
    <row r="6" spans="1:11" s="2" customFormat="1" ht="12.75">
      <c r="A6" s="9">
        <v>1</v>
      </c>
      <c r="B6" s="28" t="str">
        <f>LIDER!E43</f>
        <v>LUIS ALBERTO ANAYA CONQUETT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7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JOSE DE LA CRUZ CARDENAS BALLECILLA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7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STEPHANY LISSETH GARCIA CARRILLO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7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JOSE ANGEL PEREZ BLANQUICETT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7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VALERY JOHANA YOUNG LOPEZ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7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99</v>
      </c>
      <c r="C12" s="32" t="str">
        <f>IF('S-ASIG-07'!D12="","",'S-ASIG-07'!D12)</f>
        <v>LIST</v>
      </c>
      <c r="D12" s="35" t="s">
        <v>98</v>
      </c>
      <c r="E12" s="199" t="str">
        <f>LIDER!$E$30</f>
        <v>KENVUE &amp; PROCTER AND GAMBLE</v>
      </c>
      <c r="F12" s="199"/>
      <c r="G12" s="199"/>
      <c r="H12" s="199"/>
      <c r="I12" s="199"/>
      <c r="J12" s="199"/>
      <c r="K12" s="199"/>
    </row>
    <row r="13" spans="1:11" s="2" customFormat="1" ht="12.75">
      <c r="A13" s="9">
        <v>1</v>
      </c>
      <c r="B13" s="28" t="str">
        <f>LIDER!F43</f>
        <v>MARIA JULIANA BARBOSA ARDILA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7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ADRIANA SOFIA GARCIA MERCADO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7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SARA LUCIA MARTINEZ SAENZ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7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LUZ DEL CARMEN MORA VALERA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7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ISABELLA TEHERAN MENDOZA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101</v>
      </c>
      <c r="C19" s="32" t="str">
        <f>IF('S-ASIG-07'!D19="","",'S-ASIG-07'!D19)</f>
        <v>LIST</v>
      </c>
      <c r="D19" s="35" t="s">
        <v>98</v>
      </c>
      <c r="E19" s="199" t="str">
        <f>LIDER!$E$31</f>
        <v>APPLE &amp; SAMSUNG</v>
      </c>
      <c r="F19" s="199"/>
      <c r="G19" s="199"/>
      <c r="H19" s="199"/>
      <c r="I19" s="199"/>
      <c r="J19" s="199"/>
      <c r="K19" s="199"/>
    </row>
    <row r="20" spans="1:11" s="2" customFormat="1" ht="12.75">
      <c r="A20" s="9">
        <v>1</v>
      </c>
      <c r="B20" s="28" t="str">
        <f>LIDER!G43</f>
        <v>TALIANA DALIETH BLANQUICETT MARTÍNEZ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7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GABRIELA VALENTINA GONZALEZ NAVAS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7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SARAY OROZCO SEPULVEDA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7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ALEJANDRA SOFIA PARADA LOPEZ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7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103</v>
      </c>
      <c r="C26" s="32" t="str">
        <f>IF('S-ASIG-07'!D26="","",'S-ASIG-07'!D26)</f>
        <v>LIST</v>
      </c>
      <c r="D26" s="35" t="s">
        <v>98</v>
      </c>
      <c r="E26" s="199" t="str">
        <f>LIDER!$E$32</f>
        <v>ZARA &amp; H&amp;M</v>
      </c>
      <c r="F26" s="199"/>
      <c r="G26" s="199"/>
      <c r="H26" s="199"/>
      <c r="I26" s="199"/>
      <c r="J26" s="199"/>
      <c r="K26" s="199"/>
    </row>
    <row r="27" spans="1:11" s="2" customFormat="1" ht="12.75">
      <c r="A27" s="9">
        <v>1</v>
      </c>
      <c r="B27" s="28" t="str">
        <f>LIDER!H43</f>
        <v>LUIS JOSE AGUILAR RAMOS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7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JUAN SEBASTIÁN BARRIOS RAMIREZ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7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VICTORIA GONZALEZ ALVAREZ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7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ANGEL ESTEBAN REYES GONZALEZ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7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7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105</v>
      </c>
      <c r="C33" s="32" t="str">
        <f>IF('S-ASIG-07'!D33="","",'S-ASIG-07'!D33)</f>
        <v>LIST</v>
      </c>
      <c r="D33" s="35" t="s">
        <v>98</v>
      </c>
      <c r="E33" s="199" t="str">
        <f>LIDER!$E$33</f>
        <v>ELCA &amp; LOREAL</v>
      </c>
      <c r="F33" s="199"/>
      <c r="G33" s="199"/>
      <c r="H33" s="199"/>
      <c r="I33" s="199"/>
      <c r="J33" s="199"/>
      <c r="K33" s="199"/>
    </row>
    <row r="34" spans="1:11" s="2" customFormat="1" ht="12.75">
      <c r="A34" s="9">
        <v>1</v>
      </c>
      <c r="B34" s="28" t="str">
        <f>LIDER!E51</f>
        <v>LEDA ROSA BERNAL OSPINO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7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JAIRO RAFAEL MARRUGO MATHIEU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7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KLIVER DE JESUS ROMERO OSPINA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7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VALENTINA MERCEDES TÁMARA GUZMÁN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7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7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107</v>
      </c>
      <c r="C40" s="32" t="str">
        <f>IF('S-ASIG-07'!D40="","",'S-ASIG-07'!D40)</f>
        <v>LIST</v>
      </c>
      <c r="D40" s="35" t="s">
        <v>98</v>
      </c>
      <c r="E40" s="199" t="str">
        <f>LIDER!$E$34</f>
        <v>PEPSI &amp; COCA COLA</v>
      </c>
      <c r="F40" s="199"/>
      <c r="G40" s="199"/>
      <c r="H40" s="199"/>
      <c r="I40" s="199"/>
      <c r="J40" s="199"/>
      <c r="K40" s="199"/>
    </row>
    <row r="41" spans="1:11" s="2" customFormat="1" ht="12.75">
      <c r="A41" s="9">
        <v>1</v>
      </c>
      <c r="B41" s="28" t="str">
        <f>LIDER!F51</f>
        <v>SOFIA ISABEL AHUMADA VILLALOBOS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EDINSON JOSE GARCIA ZUÑIGA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ANGELYS SOFÍA GUARDO PÁJARO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AMALY FERNANDA SANTOS MEDINA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109</v>
      </c>
      <c r="C47" s="32" t="str">
        <f>IF('S-ASIG-07'!D47="","",'S-ASIG-07'!D47)</f>
        <v>LIST</v>
      </c>
      <c r="D47" s="35" t="s">
        <v>98</v>
      </c>
      <c r="E47" s="199" t="str">
        <f>LIDER!$E$35</f>
        <v>ARGOS &amp; CEMEX</v>
      </c>
      <c r="F47" s="199"/>
      <c r="G47" s="199"/>
      <c r="H47" s="199"/>
      <c r="I47" s="199"/>
      <c r="J47" s="199"/>
      <c r="K47" s="199"/>
    </row>
    <row r="48" spans="1:11" s="2" customFormat="1" ht="12.75">
      <c r="A48" s="9">
        <v>1</v>
      </c>
      <c r="B48" s="28" t="str">
        <f>LIDER!G51</f>
        <v>YENERIS CAICEDO ROMERO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NATALIA PAOLA GOMEZ PAREDES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DANA SOFIA JARABA MURILLO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111</v>
      </c>
      <c r="C54" s="32" t="str">
        <f>IF('S-ASIG-07'!D54="","",'S-ASIG-07'!D54)</f>
        <v>LIST</v>
      </c>
      <c r="D54" s="35" t="s">
        <v>98</v>
      </c>
      <c r="E54" s="199" t="str">
        <f>LIDER!$E$36</f>
        <v>MC DONALD &amp; BURGUER KING</v>
      </c>
      <c r="F54" s="199"/>
      <c r="G54" s="199"/>
      <c r="H54" s="199"/>
      <c r="I54" s="199"/>
      <c r="J54" s="199"/>
      <c r="K54" s="199"/>
    </row>
    <row r="55" spans="1:11" s="2" customFormat="1" ht="12.75">
      <c r="A55" s="9">
        <v>1</v>
      </c>
      <c r="B55" s="28" t="str">
        <f>LIDER!H51</f>
        <v>VALERIA VALENTINA CARRASQUILLA MARRUGO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SHIRLY YULIANA RAMOS CASTRO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NICOLE DE JESUS ROQUEME ARELLANO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98</v>
      </c>
      <c r="E61" s="199" t="str">
        <f>LIDER!$E$37</f>
        <v>GRUPO#9</v>
      </c>
      <c r="F61" s="199"/>
      <c r="G61" s="199"/>
      <c r="H61" s="199"/>
      <c r="I61" s="199"/>
      <c r="J61" s="199"/>
      <c r="K61" s="199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IF('S-ASIG-07'!D68="","",'S-ASIG-07'!D68)</f>
        <v>LIST</v>
      </c>
      <c r="D68" s="35" t="s">
        <v>98</v>
      </c>
      <c r="E68" s="199" t="str">
        <f>LIDER!$E$38</f>
        <v>GRUPO#10</v>
      </c>
      <c r="F68" s="199"/>
      <c r="G68" s="199"/>
      <c r="H68" s="199"/>
      <c r="I68" s="199"/>
      <c r="J68" s="199"/>
      <c r="K68" s="199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IF('S-ASIG-07'!D75="","",'S-ASIG-07'!D75)</f>
        <v>LIST</v>
      </c>
      <c r="D75" s="35" t="s">
        <v>98</v>
      </c>
      <c r="E75" s="199" t="str">
        <f>LIDER!$E$39</f>
        <v>GRUPO#11</v>
      </c>
      <c r="F75" s="199"/>
      <c r="G75" s="199"/>
      <c r="H75" s="199"/>
      <c r="I75" s="199"/>
      <c r="J75" s="199"/>
      <c r="K75" s="199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IF('S-ASIG-07'!D82="","",'S-ASIG-07'!D82)</f>
        <v>LIST</v>
      </c>
      <c r="D82" s="35" t="s">
        <v>98</v>
      </c>
      <c r="E82" s="199" t="str">
        <f>LIDER!$E$40</f>
        <v>GRUPO#12</v>
      </c>
      <c r="F82" s="199"/>
      <c r="G82" s="199"/>
      <c r="H82" s="199"/>
      <c r="I82" s="199"/>
      <c r="J82" s="199"/>
      <c r="K82" s="199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8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L21" sqref="L21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142" t="s">
        <v>117</v>
      </c>
      <c r="H2" s="143"/>
      <c r="I2" s="143"/>
      <c r="J2" s="143"/>
      <c r="K2" s="143"/>
      <c r="L2" s="143"/>
      <c r="M2" s="144"/>
      <c r="N2" s="2"/>
      <c r="O2" s="147" t="s">
        <v>118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2338</v>
      </c>
      <c r="H3" s="49" t="str">
        <f>CONCATENATE("N° : ",LIDER!D6)</f>
        <v>N° : 2210</v>
      </c>
      <c r="I3" s="49" t="str">
        <f>CONCATENATE("N° : ",LIDER!E6)</f>
        <v>N° : 2230</v>
      </c>
      <c r="J3" s="49" t="str">
        <f>CONCATENATE("N° : ",LIDER!F6)</f>
        <v>N° : 1925</v>
      </c>
      <c r="K3" s="49" t="str">
        <f>CONCATENATE("N° : ",LIDER!G6)</f>
        <v>N° : 1414</v>
      </c>
      <c r="L3" s="49" t="str">
        <f>CONCATENATE("N° : ",LIDER!H6)</f>
        <v>N° : 1327</v>
      </c>
      <c r="M3" s="50" t="str">
        <f>CONCATENATE("N° : ",LIDER!I6)</f>
        <v xml:space="preserve">N° : </v>
      </c>
      <c r="O3" s="48" t="str">
        <f>G3</f>
        <v>N° : 2338</v>
      </c>
      <c r="P3" s="49" t="str">
        <f t="shared" ref="P3:U3" si="0">H3</f>
        <v>N° : 2210</v>
      </c>
      <c r="Q3" s="49" t="str">
        <f t="shared" si="0"/>
        <v>N° : 2230</v>
      </c>
      <c r="R3" s="49" t="str">
        <f t="shared" si="0"/>
        <v>N° : 1925</v>
      </c>
      <c r="S3" s="49" t="str">
        <f t="shared" si="0"/>
        <v>N° : 1414</v>
      </c>
      <c r="T3" s="49" t="str">
        <f t="shared" si="0"/>
        <v>N° : 1327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119</v>
      </c>
      <c r="D4" s="54" t="s">
        <v>120</v>
      </c>
      <c r="E4" s="55" t="s">
        <v>121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122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123</v>
      </c>
    </row>
    <row r="5" spans="1:22" ht="15" customHeight="1">
      <c r="A5" s="12">
        <v>1</v>
      </c>
      <c r="B5" s="63" t="str">
        <f>LIDER!C9</f>
        <v>LUIS ALBERTO ANAYA CONQUETT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3.9566666666666666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4.0999999999999996</v>
      </c>
      <c r="H5" s="65">
        <f>IF(B5=0,"",IFERROR(VLOOKUP(B5,'S-ASIG-02'!$B$5:$E$88,4,0),0))</f>
        <v>3.5500000000000003</v>
      </c>
      <c r="I5" s="65">
        <f>IF(B5=0,"",IFERROR(VLOOKUP(B5,'S-ASIG-03'!$B$5:$E$88,4,0),0))</f>
        <v>4.2</v>
      </c>
      <c r="J5" s="65">
        <f>IF(B5=0,"",IFERROR(VLOOKUP(B5,'S-ASIG-04'!$B$5:$E$88,4,0),0))</f>
        <v>4.0999999999999996</v>
      </c>
      <c r="K5" s="65">
        <f>IF(B5=0,"",IFERROR(VLOOKUP(B5,'S-ASIG-05'!$B$5:$E$88,4,0),0))</f>
        <v>4.1399999999999997</v>
      </c>
      <c r="L5" s="65">
        <f>IF(B5=0,"",IFERROR(VLOOKUP(B5,'S-ASIG-06'!$B$5:$E$88,4,0),0))</f>
        <v>3.65</v>
      </c>
      <c r="M5" s="66">
        <f>IF(B5=0,"",IFERROR(VLOOKUP(B5,'S-ASIG-07'!$B$5:$E$88,4,0),0))</f>
        <v>0</v>
      </c>
      <c r="N5" s="68" t="s">
        <v>124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125</v>
      </c>
    </row>
    <row r="6" spans="1:22" ht="15" customHeight="1">
      <c r="A6" s="12">
        <v>2</v>
      </c>
      <c r="B6" s="70" t="str">
        <f>LIDER!C10</f>
        <v>JOSE DE LA CRUZ CARDENAS BALLECILLA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3.9566666666666666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4.0999999999999996</v>
      </c>
      <c r="H6" s="72">
        <f>IF(B6=0,"",IFERROR(VLOOKUP(B6,'S-ASIG-02'!$B$5:$E$88,4,0),0))</f>
        <v>3.5500000000000003</v>
      </c>
      <c r="I6" s="72">
        <f>IF(B6=0,"",IFERROR(VLOOKUP(B6,'S-ASIG-03'!$B$5:$E$88,4,0),0))</f>
        <v>4.2</v>
      </c>
      <c r="J6" s="72">
        <f>IF(B6=0,"",IFERROR(VLOOKUP(B6,'S-ASIG-04'!$B$5:$E$88,4,0),0))</f>
        <v>4.0999999999999996</v>
      </c>
      <c r="K6" s="72">
        <f>IF(B6=0,"",IFERROR(VLOOKUP(B6,'S-ASIG-05'!$B$5:$E$88,4,0),0))</f>
        <v>4.1399999999999997</v>
      </c>
      <c r="L6" s="72">
        <f>IF(B6=0,"",IFERROR(VLOOKUP(B6,'S-ASIG-06'!$B$5:$E$88,4,0),0))</f>
        <v>3.65</v>
      </c>
      <c r="M6" s="73">
        <f>IF(B6=0,"",IFERROR(VLOOKUP(B6,'S-ASIG-07'!$B$5:$E$88,4,0),0))</f>
        <v>0</v>
      </c>
      <c r="N6" s="68" t="s">
        <v>124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125</v>
      </c>
    </row>
    <row r="7" spans="1:22" ht="15" customHeight="1">
      <c r="A7" s="12">
        <v>3</v>
      </c>
      <c r="B7" s="70" t="str">
        <f>LIDER!C11</f>
        <v>STEPHANY LISSETH GARCIA CARRILLO</v>
      </c>
      <c r="C7" s="64" t="str">
        <f>IF(B7=0,"",IFERROR(VLOOKUP(B7,'S-ASIG-01'!$B$5:$E$88,2,0),0))</f>
        <v>G01</v>
      </c>
      <c r="D7" s="65">
        <f t="shared" si="2"/>
        <v>3.9566666666666666</v>
      </c>
      <c r="E7" s="66">
        <f t="shared" si="3"/>
        <v>0</v>
      </c>
      <c r="F7" s="47"/>
      <c r="G7" s="71">
        <f>IF(B7=0,"",IFERROR(VLOOKUP(B7,'S-ASIG-01'!$B$5:$E$88,4,0),0))</f>
        <v>4.0999999999999996</v>
      </c>
      <c r="H7" s="72">
        <f>IF(B7=0,"",IFERROR(VLOOKUP(B7,'S-ASIG-02'!$B$5:$E$88,4,0),0))</f>
        <v>3.5500000000000003</v>
      </c>
      <c r="I7" s="72">
        <f>IF(B7=0,"",IFERROR(VLOOKUP(B7,'S-ASIG-03'!$B$5:$E$88,4,0),0))</f>
        <v>4.2</v>
      </c>
      <c r="J7" s="72">
        <f>IF(B7=0,"",IFERROR(VLOOKUP(B7,'S-ASIG-04'!$B$5:$E$88,4,0),0))</f>
        <v>4.0999999999999996</v>
      </c>
      <c r="K7" s="72">
        <f>IF(B7=0,"",IFERROR(VLOOKUP(B7,'S-ASIG-05'!$B$5:$E$88,4,0),0))</f>
        <v>4.1399999999999997</v>
      </c>
      <c r="L7" s="72">
        <f>IF(B7=0,"",IFERROR(VLOOKUP(B7,'S-ASIG-06'!$B$5:$E$88,4,0),0))</f>
        <v>3.65</v>
      </c>
      <c r="M7" s="73">
        <f>IF(B7=0,"",IFERROR(VLOOKUP(B7,'S-ASIG-07'!$B$5:$E$88,4,0),0))</f>
        <v>0</v>
      </c>
      <c r="N7" s="68" t="s">
        <v>124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125</v>
      </c>
    </row>
    <row r="8" spans="1:22" ht="15" customHeight="1">
      <c r="A8" s="12">
        <v>4</v>
      </c>
      <c r="B8" s="70" t="str">
        <f>LIDER!C12</f>
        <v>JOSE ANGEL PEREZ BLANQUICETT</v>
      </c>
      <c r="C8" s="64" t="str">
        <f>IF(B8=0,"",IFERROR(VLOOKUP(B8,'S-ASIG-01'!$B$5:$E$88,2,0),0))</f>
        <v>G01</v>
      </c>
      <c r="D8" s="65">
        <f t="shared" si="2"/>
        <v>3.9566666666666666</v>
      </c>
      <c r="E8" s="66">
        <f t="shared" si="3"/>
        <v>0</v>
      </c>
      <c r="F8" s="47"/>
      <c r="G8" s="71">
        <f>IF(B8=0,"",IFERROR(VLOOKUP(B8,'S-ASIG-01'!$B$5:$E$88,4,0),0))</f>
        <v>4.0999999999999996</v>
      </c>
      <c r="H8" s="72">
        <f>IF(B8=0,"",IFERROR(VLOOKUP(B8,'S-ASIG-02'!$B$5:$E$88,4,0),0))</f>
        <v>3.5500000000000003</v>
      </c>
      <c r="I8" s="72">
        <f>IF(B8=0,"",IFERROR(VLOOKUP(B8,'S-ASIG-03'!$B$5:$E$88,4,0),0))</f>
        <v>4.2</v>
      </c>
      <c r="J8" s="72">
        <f>IF(B8=0,"",IFERROR(VLOOKUP(B8,'S-ASIG-04'!$B$5:$E$88,4,0),0))</f>
        <v>4.0999999999999996</v>
      </c>
      <c r="K8" s="72">
        <f>IF(B8=0,"",IFERROR(VLOOKUP(B8,'S-ASIG-05'!$B$5:$E$88,4,0),0))</f>
        <v>4.1399999999999997</v>
      </c>
      <c r="L8" s="72">
        <f>IF(B8=0,"",IFERROR(VLOOKUP(B8,'S-ASIG-06'!$B$5:$E$88,4,0),0))</f>
        <v>3.65</v>
      </c>
      <c r="M8" s="73">
        <f>IF(B8=0,"",IFERROR(VLOOKUP(B8,'S-ASIG-07'!$B$5:$E$88,4,0),0))</f>
        <v>0</v>
      </c>
      <c r="N8" s="68" t="s">
        <v>124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125</v>
      </c>
    </row>
    <row r="9" spans="1:22" ht="15" customHeight="1">
      <c r="A9" s="12">
        <v>5</v>
      </c>
      <c r="B9" s="70" t="str">
        <f>LIDER!C13</f>
        <v>VALERY JOHANA YOUNG LOPEZ</v>
      </c>
      <c r="C9" s="64" t="str">
        <f>IF(B9=0,"",IFERROR(VLOOKUP(B9,'S-ASIG-01'!$B$5:$E$88,2,0),0))</f>
        <v>G01</v>
      </c>
      <c r="D9" s="65">
        <f t="shared" si="2"/>
        <v>3.9566666666666666</v>
      </c>
      <c r="E9" s="66">
        <f t="shared" si="3"/>
        <v>0</v>
      </c>
      <c r="F9" s="47"/>
      <c r="G9" s="71">
        <f>IF(B9=0,"",IFERROR(VLOOKUP(B9,'S-ASIG-01'!$B$5:$E$88,4,0),0))</f>
        <v>4.0999999999999996</v>
      </c>
      <c r="H9" s="72">
        <f>IF(B9=0,"",IFERROR(VLOOKUP(B9,'S-ASIG-02'!$B$5:$E$88,4,0),0))</f>
        <v>3.5500000000000003</v>
      </c>
      <c r="I9" s="72">
        <f>IF(B9=0,"",IFERROR(VLOOKUP(B9,'S-ASIG-03'!$B$5:$E$88,4,0),0))</f>
        <v>4.2</v>
      </c>
      <c r="J9" s="72">
        <f>IF(B9=0,"",IFERROR(VLOOKUP(B9,'S-ASIG-04'!$B$5:$E$88,4,0),0))</f>
        <v>4.0999999999999996</v>
      </c>
      <c r="K9" s="72">
        <f>IF(B9=0,"",IFERROR(VLOOKUP(B9,'S-ASIG-05'!$B$5:$E$88,4,0),0))</f>
        <v>4.1399999999999997</v>
      </c>
      <c r="L9" s="72">
        <f>IF(B9=0,"",IFERROR(VLOOKUP(B9,'S-ASIG-06'!$B$5:$E$88,4,0),0))</f>
        <v>3.65</v>
      </c>
      <c r="M9" s="73">
        <f>IF(B9=0,"",IFERROR(VLOOKUP(B9,'S-ASIG-07'!$B$5:$E$88,4,0),0))</f>
        <v>0</v>
      </c>
      <c r="N9" s="68" t="s">
        <v>124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125</v>
      </c>
    </row>
    <row r="10" spans="1:22" ht="15" customHeight="1">
      <c r="A10" s="12">
        <v>6</v>
      </c>
      <c r="B10" s="70" t="str">
        <f>LIDER!C14</f>
        <v>MARIA JULIANA BARBOSA ARDILA</v>
      </c>
      <c r="C10" s="64" t="str">
        <f>IF(B10=0,"",IFERROR(VLOOKUP(B10,'S-ASIG-01'!$B$5:$E$88,2,0),0))</f>
        <v>G02</v>
      </c>
      <c r="D10" s="65">
        <f t="shared" si="2"/>
        <v>3.9499999999999993</v>
      </c>
      <c r="E10" s="66">
        <f t="shared" si="3"/>
        <v>0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4.55</v>
      </c>
      <c r="I10" s="72">
        <f>IF(B10=0,"",IFERROR(VLOOKUP(B10,'S-ASIG-03'!$B$5:$E$88,4,0),0))</f>
        <v>3.65</v>
      </c>
      <c r="J10" s="72">
        <f>IF(B10=0,"",IFERROR(VLOOKUP(B10,'S-ASIG-04'!$B$5:$E$88,4,0),0))</f>
        <v>4.0999999999999996</v>
      </c>
      <c r="K10" s="72">
        <f>IF(B10=0,"",IFERROR(VLOOKUP(B10,'S-ASIG-05'!$B$5:$E$88,4,0),0))</f>
        <v>3.6500000000000004</v>
      </c>
      <c r="L10" s="72">
        <f>IF(B10=0,"",IFERROR(VLOOKUP(B10,'S-ASIG-06'!$B$5:$E$88,4,0),0))</f>
        <v>3.65</v>
      </c>
      <c r="M10" s="73">
        <f>IF(B10=0,"",IFERROR(VLOOKUP(B10,'S-ASIG-07'!$B$5:$E$88,4,0),0))</f>
        <v>0</v>
      </c>
      <c r="N10" s="68" t="s">
        <v>124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125</v>
      </c>
    </row>
    <row r="11" spans="1:22" ht="15" customHeight="1">
      <c r="A11" s="12">
        <v>7</v>
      </c>
      <c r="B11" s="70" t="str">
        <f>LIDER!C15</f>
        <v>ADRIANA SOFIA GARCIA MERCADO</v>
      </c>
      <c r="C11" s="64" t="str">
        <f>IF(B11=0,"",IFERROR(VLOOKUP(B11,'S-ASIG-01'!$B$5:$E$88,2,0),0))</f>
        <v>G02</v>
      </c>
      <c r="D11" s="65">
        <f t="shared" si="2"/>
        <v>3.9499999999999993</v>
      </c>
      <c r="E11" s="66">
        <f t="shared" si="3"/>
        <v>0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4.55</v>
      </c>
      <c r="I11" s="72">
        <f>IF(B11=0,"",IFERROR(VLOOKUP(B11,'S-ASIG-03'!$B$5:$E$88,4,0),0))</f>
        <v>3.65</v>
      </c>
      <c r="J11" s="72">
        <f>IF(B11=0,"",IFERROR(VLOOKUP(B11,'S-ASIG-04'!$B$5:$E$88,4,0),0))</f>
        <v>4.0999999999999996</v>
      </c>
      <c r="K11" s="72">
        <f>IF(B11=0,"",IFERROR(VLOOKUP(B11,'S-ASIG-05'!$B$5:$E$88,4,0),0))</f>
        <v>3.6500000000000004</v>
      </c>
      <c r="L11" s="72">
        <f>IF(B11=0,"",IFERROR(VLOOKUP(B11,'S-ASIG-06'!$B$5:$E$88,4,0),0))</f>
        <v>3.65</v>
      </c>
      <c r="M11" s="73">
        <f>IF(B11=0,"",IFERROR(VLOOKUP(B11,'S-ASIG-07'!$B$5:$E$88,4,0),0))</f>
        <v>0</v>
      </c>
      <c r="N11" s="68" t="s">
        <v>124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125</v>
      </c>
    </row>
    <row r="12" spans="1:22" ht="15" customHeight="1">
      <c r="A12" s="12">
        <v>8</v>
      </c>
      <c r="B12" s="70" t="str">
        <f>LIDER!C16</f>
        <v>SARA LUCIA MARTINEZ SAENZ</v>
      </c>
      <c r="C12" s="64" t="str">
        <f>IF(B12=0,"",IFERROR(VLOOKUP(B12,'S-ASIG-01'!$B$5:$E$88,2,0),0))</f>
        <v>G02</v>
      </c>
      <c r="D12" s="65">
        <f t="shared" si="2"/>
        <v>3.9499999999999993</v>
      </c>
      <c r="E12" s="66">
        <f t="shared" si="3"/>
        <v>0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4.55</v>
      </c>
      <c r="I12" s="72">
        <f>IF(B12=0,"",IFERROR(VLOOKUP(B12,'S-ASIG-03'!$B$5:$E$88,4,0),0))</f>
        <v>3.65</v>
      </c>
      <c r="J12" s="72">
        <f>IF(B12=0,"",IFERROR(VLOOKUP(B12,'S-ASIG-04'!$B$5:$E$88,4,0),0))</f>
        <v>4.0999999999999996</v>
      </c>
      <c r="K12" s="72">
        <f>IF(B12=0,"",IFERROR(VLOOKUP(B12,'S-ASIG-05'!$B$5:$E$88,4,0),0))</f>
        <v>3.6500000000000004</v>
      </c>
      <c r="L12" s="72">
        <f>IF(B12=0,"",IFERROR(VLOOKUP(B12,'S-ASIG-06'!$B$5:$E$88,4,0),0))</f>
        <v>3.65</v>
      </c>
      <c r="M12" s="73">
        <f>IF(B12=0,"",IFERROR(VLOOKUP(B12,'S-ASIG-07'!$B$5:$E$88,4,0),0))</f>
        <v>0</v>
      </c>
      <c r="N12" s="68" t="s">
        <v>124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125</v>
      </c>
    </row>
    <row r="13" spans="1:22" ht="15" customHeight="1">
      <c r="A13" s="12">
        <v>9</v>
      </c>
      <c r="B13" s="70" t="str">
        <f>LIDER!C17</f>
        <v>LUZ DEL CARMEN MORA VALERA</v>
      </c>
      <c r="C13" s="64" t="str">
        <f>IF(B13=0,"",IFERROR(VLOOKUP(B13,'S-ASIG-01'!$B$5:$E$88,2,0),0))</f>
        <v>G02</v>
      </c>
      <c r="D13" s="65">
        <f t="shared" si="2"/>
        <v>3.9499999999999993</v>
      </c>
      <c r="E13" s="66">
        <f t="shared" si="3"/>
        <v>0</v>
      </c>
      <c r="F13" s="47"/>
      <c r="G13" s="71">
        <f>IF(B13=0,"",IFERROR(VLOOKUP(B13,'S-ASIG-01'!$B$5:$E$88,4,0),0))</f>
        <v>4.0999999999999996</v>
      </c>
      <c r="H13" s="72">
        <f>IF(B13=0,"",IFERROR(VLOOKUP(B13,'S-ASIG-02'!$B$5:$E$88,4,0),0))</f>
        <v>4.55</v>
      </c>
      <c r="I13" s="72">
        <f>IF(B13=0,"",IFERROR(VLOOKUP(B13,'S-ASIG-03'!$B$5:$E$88,4,0),0))</f>
        <v>3.65</v>
      </c>
      <c r="J13" s="72">
        <f>IF(B13=0,"",IFERROR(VLOOKUP(B13,'S-ASIG-04'!$B$5:$E$88,4,0),0))</f>
        <v>4.0999999999999996</v>
      </c>
      <c r="K13" s="72">
        <f>IF(B13=0,"",IFERROR(VLOOKUP(B13,'S-ASIG-05'!$B$5:$E$88,4,0),0))</f>
        <v>3.6500000000000004</v>
      </c>
      <c r="L13" s="72">
        <f>IF(B13=0,"",IFERROR(VLOOKUP(B13,'S-ASIG-06'!$B$5:$E$88,4,0),0))</f>
        <v>3.65</v>
      </c>
      <c r="M13" s="73">
        <f>IF(B13=0,"",IFERROR(VLOOKUP(B13,'S-ASIG-07'!$B$5:$E$88,4,0),0))</f>
        <v>0</v>
      </c>
      <c r="N13" s="68" t="s">
        <v>124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125</v>
      </c>
    </row>
    <row r="14" spans="1:22" ht="15" customHeight="1">
      <c r="A14" s="12">
        <v>10</v>
      </c>
      <c r="B14" s="70" t="str">
        <f>LIDER!C18</f>
        <v>ISABELLA TEHERAN MENDOZA</v>
      </c>
      <c r="C14" s="64" t="str">
        <f>IF(B14=0,"",IFERROR(VLOOKUP(B14,'S-ASIG-01'!$B$5:$E$88,2,0),0))</f>
        <v>G02</v>
      </c>
      <c r="D14" s="65">
        <f t="shared" si="2"/>
        <v>3.9499999999999993</v>
      </c>
      <c r="E14" s="66">
        <f t="shared" si="3"/>
        <v>0</v>
      </c>
      <c r="F14" s="47"/>
      <c r="G14" s="71">
        <f>IF(B14=0,"",IFERROR(VLOOKUP(B14,'S-ASIG-01'!$B$5:$E$88,4,0),0))</f>
        <v>4.0999999999999996</v>
      </c>
      <c r="H14" s="72">
        <f>IF(B14=0,"",IFERROR(VLOOKUP(B14,'S-ASIG-02'!$B$5:$E$88,4,0),0))</f>
        <v>4.55</v>
      </c>
      <c r="I14" s="72">
        <f>IF(B14=0,"",IFERROR(VLOOKUP(B14,'S-ASIG-03'!$B$5:$E$88,4,0),0))</f>
        <v>3.65</v>
      </c>
      <c r="J14" s="72">
        <f>IF(B14=0,"",IFERROR(VLOOKUP(B14,'S-ASIG-04'!$B$5:$E$88,4,0),0))</f>
        <v>4.0999999999999996</v>
      </c>
      <c r="K14" s="72">
        <f>IF(B14=0,"",IFERROR(VLOOKUP(B14,'S-ASIG-05'!$B$5:$E$88,4,0),0))</f>
        <v>3.6500000000000004</v>
      </c>
      <c r="L14" s="72">
        <f>IF(B14=0,"",IFERROR(VLOOKUP(B14,'S-ASIG-06'!$B$5:$E$88,4,0),0))</f>
        <v>3.65</v>
      </c>
      <c r="M14" s="73">
        <f>IF(B14=0,"",IFERROR(VLOOKUP(B14,'S-ASIG-07'!$B$5:$E$88,4,0),0))</f>
        <v>0</v>
      </c>
      <c r="N14" s="68" t="s">
        <v>124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125</v>
      </c>
    </row>
    <row r="15" spans="1:22" ht="15" customHeight="1">
      <c r="A15" s="12">
        <v>11</v>
      </c>
      <c r="B15" s="70" t="str">
        <f>LIDER!C19</f>
        <v>TALIANA DALIETH BLANQUICETT MARTÍNEZ</v>
      </c>
      <c r="C15" s="64" t="str">
        <f>IF(B15=0,"",IFERROR(VLOOKUP(B15,'S-ASIG-01'!$B$5:$E$88,2,0),0))</f>
        <v>G03</v>
      </c>
      <c r="D15" s="65">
        <f t="shared" si="2"/>
        <v>3.8699999999999997</v>
      </c>
      <c r="E15" s="66">
        <f t="shared" si="3"/>
        <v>0</v>
      </c>
      <c r="F15" s="47"/>
      <c r="G15" s="71">
        <f>IF(B15=0,"",IFERROR(VLOOKUP(B15,'S-ASIG-01'!$B$5:$E$88,4,0),0))</f>
        <v>3.9999999999999996</v>
      </c>
      <c r="H15" s="72">
        <f>IF(B15=0,"",IFERROR(VLOOKUP(B15,'S-ASIG-02'!$B$5:$E$88,4,0),0))</f>
        <v>3.9499999999999997</v>
      </c>
      <c r="I15" s="72">
        <f>IF(B15=0,"",IFERROR(VLOOKUP(B15,'S-ASIG-03'!$B$5:$E$88,4,0),0))</f>
        <v>3.95</v>
      </c>
      <c r="J15" s="72">
        <f>IF(B15=0,"",IFERROR(VLOOKUP(B15,'S-ASIG-04'!$B$5:$E$88,4,0),0))</f>
        <v>3.9999999999999996</v>
      </c>
      <c r="K15" s="72">
        <f>IF(B15=0,"",IFERROR(VLOOKUP(B15,'S-ASIG-05'!$B$5:$E$88,4,0),0))</f>
        <v>3.3200000000000003</v>
      </c>
      <c r="L15" s="72">
        <f>IF(B15=0,"",IFERROR(VLOOKUP(B15,'S-ASIG-06'!$B$5:$E$88,4,0),0))</f>
        <v>3.9999999999999996</v>
      </c>
      <c r="M15" s="73">
        <f>IF(B15=0,"",IFERROR(VLOOKUP(B15,'S-ASIG-07'!$B$5:$E$88,4,0),0))</f>
        <v>0</v>
      </c>
      <c r="N15" s="68" t="s">
        <v>124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125</v>
      </c>
    </row>
    <row r="16" spans="1:22" ht="15" customHeight="1">
      <c r="A16" s="12">
        <v>12</v>
      </c>
      <c r="B16" s="70" t="str">
        <f>LIDER!C20</f>
        <v>GABRIELA VALENTINA GONZALEZ NAVAS</v>
      </c>
      <c r="C16" s="64" t="str">
        <f>IF(B16=0,"",IFERROR(VLOOKUP(B16,'S-ASIG-01'!$B$5:$E$88,2,0),0))</f>
        <v>G03</v>
      </c>
      <c r="D16" s="65">
        <f t="shared" si="2"/>
        <v>3.8699999999999997</v>
      </c>
      <c r="E16" s="66">
        <f t="shared" si="3"/>
        <v>0</v>
      </c>
      <c r="F16" s="47"/>
      <c r="G16" s="71">
        <f>IF(B16=0,"",IFERROR(VLOOKUP(B16,'S-ASIG-01'!$B$5:$E$88,4,0),0))</f>
        <v>3.9999999999999996</v>
      </c>
      <c r="H16" s="72">
        <f>IF(B16=0,"",IFERROR(VLOOKUP(B16,'S-ASIG-02'!$B$5:$E$88,4,0),0))</f>
        <v>3.9499999999999997</v>
      </c>
      <c r="I16" s="72">
        <f>IF(B16=0,"",IFERROR(VLOOKUP(B16,'S-ASIG-03'!$B$5:$E$88,4,0),0))</f>
        <v>3.95</v>
      </c>
      <c r="J16" s="72">
        <f>IF(B16=0,"",IFERROR(VLOOKUP(B16,'S-ASIG-04'!$B$5:$E$88,4,0),0))</f>
        <v>3.9999999999999996</v>
      </c>
      <c r="K16" s="72">
        <f>IF(B16=0,"",IFERROR(VLOOKUP(B16,'S-ASIG-05'!$B$5:$E$88,4,0),0))</f>
        <v>3.3200000000000003</v>
      </c>
      <c r="L16" s="72">
        <f>IF(B16=0,"",IFERROR(VLOOKUP(B16,'S-ASIG-06'!$B$5:$E$88,4,0),0))</f>
        <v>3.9999999999999996</v>
      </c>
      <c r="M16" s="73">
        <f>IF(B16=0,"",IFERROR(VLOOKUP(B16,'S-ASIG-07'!$B$5:$E$88,4,0),0))</f>
        <v>0</v>
      </c>
      <c r="N16" s="68" t="s">
        <v>124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125</v>
      </c>
    </row>
    <row r="17" spans="1:22" ht="15" customHeight="1">
      <c r="A17" s="12">
        <v>13</v>
      </c>
      <c r="B17" s="70" t="str">
        <f>LIDER!C21</f>
        <v>SARAY OROZCO SEPULVEDA</v>
      </c>
      <c r="C17" s="64" t="str">
        <f>IF(B17=0,"",IFERROR(VLOOKUP(B17,'S-ASIG-01'!$B$5:$E$88,2,0),0))</f>
        <v>G03</v>
      </c>
      <c r="D17" s="65">
        <f t="shared" si="2"/>
        <v>3.8699999999999997</v>
      </c>
      <c r="E17" s="66">
        <f t="shared" si="3"/>
        <v>0</v>
      </c>
      <c r="F17" s="47"/>
      <c r="G17" s="71">
        <f>IF(B17=0,"",IFERROR(VLOOKUP(B17,'S-ASIG-01'!$B$5:$E$88,4,0),0))</f>
        <v>3.9999999999999996</v>
      </c>
      <c r="H17" s="72">
        <f>IF(B17=0,"",IFERROR(VLOOKUP(B17,'S-ASIG-02'!$B$5:$E$88,4,0),0))</f>
        <v>3.9499999999999997</v>
      </c>
      <c r="I17" s="72">
        <f>IF(B17=0,"",IFERROR(VLOOKUP(B17,'S-ASIG-03'!$B$5:$E$88,4,0),0))</f>
        <v>3.95</v>
      </c>
      <c r="J17" s="72">
        <f>IF(B17=0,"",IFERROR(VLOOKUP(B17,'S-ASIG-04'!$B$5:$E$88,4,0),0))</f>
        <v>3.9999999999999996</v>
      </c>
      <c r="K17" s="72">
        <f>IF(B17=0,"",IFERROR(VLOOKUP(B17,'S-ASIG-05'!$B$5:$E$88,4,0),0))</f>
        <v>3.3200000000000003</v>
      </c>
      <c r="L17" s="72">
        <f>IF(B17=0,"",IFERROR(VLOOKUP(B17,'S-ASIG-06'!$B$5:$E$88,4,0),0))</f>
        <v>3.9999999999999996</v>
      </c>
      <c r="M17" s="73">
        <f>IF(B17=0,"",IFERROR(VLOOKUP(B17,'S-ASIG-07'!$B$5:$E$88,4,0),0))</f>
        <v>0</v>
      </c>
      <c r="N17" s="68" t="s">
        <v>124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125</v>
      </c>
    </row>
    <row r="18" spans="1:22" ht="15" customHeight="1">
      <c r="A18" s="12">
        <v>14</v>
      </c>
      <c r="B18" s="70" t="str">
        <f>LIDER!C22</f>
        <v>ALEJANDRA SOFIA PARADA LOPEZ</v>
      </c>
      <c r="C18" s="64" t="str">
        <f>IF(B18=0,"",IFERROR(VLOOKUP(B18,'S-ASIG-01'!$B$5:$E$88,2,0),0))</f>
        <v>G03</v>
      </c>
      <c r="D18" s="65">
        <f t="shared" si="2"/>
        <v>3.8699999999999997</v>
      </c>
      <c r="E18" s="66">
        <f t="shared" si="3"/>
        <v>0</v>
      </c>
      <c r="F18" s="47"/>
      <c r="G18" s="71">
        <f>IF(B18=0,"",IFERROR(VLOOKUP(B18,'S-ASIG-01'!$B$5:$E$88,4,0),0))</f>
        <v>3.9999999999999996</v>
      </c>
      <c r="H18" s="72">
        <f>IF(B18=0,"",IFERROR(VLOOKUP(B18,'S-ASIG-02'!$B$5:$E$88,4,0),0))</f>
        <v>3.9499999999999997</v>
      </c>
      <c r="I18" s="72">
        <f>IF(B18=0,"",IFERROR(VLOOKUP(B18,'S-ASIG-03'!$B$5:$E$88,4,0),0))</f>
        <v>3.95</v>
      </c>
      <c r="J18" s="72">
        <f>IF(B18=0,"",IFERROR(VLOOKUP(B18,'S-ASIG-04'!$B$5:$E$88,4,0),0))</f>
        <v>3.9999999999999996</v>
      </c>
      <c r="K18" s="72">
        <f>IF(B18=0,"",IFERROR(VLOOKUP(B18,'S-ASIG-05'!$B$5:$E$88,4,0),0))</f>
        <v>3.3200000000000003</v>
      </c>
      <c r="L18" s="72">
        <f>IF(B18=0,"",IFERROR(VLOOKUP(B18,'S-ASIG-06'!$B$5:$E$88,4,0),0))</f>
        <v>3.9999999999999996</v>
      </c>
      <c r="M18" s="73">
        <f>IF(B18=0,"",IFERROR(VLOOKUP(B18,'S-ASIG-07'!$B$5:$E$88,4,0),0))</f>
        <v>0</v>
      </c>
      <c r="N18" s="68" t="s">
        <v>124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125</v>
      </c>
    </row>
    <row r="19" spans="1:22" ht="15" customHeight="1">
      <c r="A19" s="12">
        <v>15</v>
      </c>
      <c r="B19" s="70" t="str">
        <f>LIDER!C23</f>
        <v>LUIS JOSE AGUILAR RAMOS</v>
      </c>
      <c r="C19" s="64" t="str">
        <f>IF(B19=0,"",IFERROR(VLOOKUP(B19,'S-ASIG-01'!$B$5:$E$88,2,0),0))</f>
        <v>G04</v>
      </c>
      <c r="D19" s="65">
        <f t="shared" si="2"/>
        <v>3.3616666666666664</v>
      </c>
      <c r="E19" s="66">
        <f t="shared" si="3"/>
        <v>0</v>
      </c>
      <c r="F19" s="47"/>
      <c r="G19" s="71">
        <f>IF(B19=0,"",IFERROR(VLOOKUP(B19,'S-ASIG-01'!$B$5:$E$88,4,0),0))</f>
        <v>3.5000000000000004</v>
      </c>
      <c r="H19" s="72">
        <f>IF(B19=0,"",IFERROR(VLOOKUP(B19,'S-ASIG-02'!$B$5:$E$88,4,0),0))</f>
        <v>3</v>
      </c>
      <c r="I19" s="72">
        <f>IF(B19=0,"",IFERROR(VLOOKUP(B19,'S-ASIG-03'!$B$5:$E$88,4,0),0))</f>
        <v>3.2</v>
      </c>
      <c r="J19" s="72">
        <f>IF(B19=0,"",IFERROR(VLOOKUP(B19,'S-ASIG-04'!$B$5:$E$88,4,0),0))</f>
        <v>3.5000000000000004</v>
      </c>
      <c r="K19" s="72">
        <f>IF(B19=0,"",IFERROR(VLOOKUP(B19,'S-ASIG-05'!$B$5:$E$88,4,0),0))</f>
        <v>3.3200000000000003</v>
      </c>
      <c r="L19" s="72">
        <f>IF(B19=0,"",IFERROR(VLOOKUP(B19,'S-ASIG-06'!$B$5:$E$88,4,0),0))</f>
        <v>3.65</v>
      </c>
      <c r="M19" s="73">
        <f>IF(B19=0,"",IFERROR(VLOOKUP(B19,'S-ASIG-07'!$B$5:$E$88,4,0),0))</f>
        <v>0</v>
      </c>
      <c r="N19" s="68" t="s">
        <v>124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125</v>
      </c>
    </row>
    <row r="20" spans="1:22" ht="15" customHeight="1">
      <c r="A20" s="12">
        <v>16</v>
      </c>
      <c r="B20" s="70" t="str">
        <f>LIDER!C24</f>
        <v>JUAN SEBASTIÁN BARRIOS RAMIREZ</v>
      </c>
      <c r="C20" s="64" t="str">
        <f>IF(B20=0,"",IFERROR(VLOOKUP(B20,'S-ASIG-01'!$B$5:$E$88,2,0),0))</f>
        <v>G04</v>
      </c>
      <c r="D20" s="65">
        <f t="shared" si="2"/>
        <v>3.3616666666666664</v>
      </c>
      <c r="E20" s="66">
        <f t="shared" si="3"/>
        <v>0</v>
      </c>
      <c r="F20" s="47"/>
      <c r="G20" s="71">
        <f>IF(B20=0,"",IFERROR(VLOOKUP(B20,'S-ASIG-01'!$B$5:$E$88,4,0),0))</f>
        <v>3.5000000000000004</v>
      </c>
      <c r="H20" s="72">
        <f>IF(B20=0,"",IFERROR(VLOOKUP(B20,'S-ASIG-02'!$B$5:$E$88,4,0),0))</f>
        <v>3</v>
      </c>
      <c r="I20" s="72">
        <f>IF(B20=0,"",IFERROR(VLOOKUP(B20,'S-ASIG-03'!$B$5:$E$88,4,0),0))</f>
        <v>3.2</v>
      </c>
      <c r="J20" s="72">
        <f>IF(B20=0,"",IFERROR(VLOOKUP(B20,'S-ASIG-04'!$B$5:$E$88,4,0),0))</f>
        <v>3.5000000000000004</v>
      </c>
      <c r="K20" s="72">
        <f>IF(B20=0,"",IFERROR(VLOOKUP(B20,'S-ASIG-05'!$B$5:$E$88,4,0),0))</f>
        <v>3.3200000000000003</v>
      </c>
      <c r="L20" s="72">
        <f>IF(B20=0,"",IFERROR(VLOOKUP(B20,'S-ASIG-06'!$B$5:$E$88,4,0),0))</f>
        <v>3.65</v>
      </c>
      <c r="M20" s="73">
        <f>IF(B20=0,"",IFERROR(VLOOKUP(B20,'S-ASIG-07'!$B$5:$E$88,4,0),0))</f>
        <v>0</v>
      </c>
      <c r="N20" s="68" t="s">
        <v>124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125</v>
      </c>
    </row>
    <row r="21" spans="1:22" ht="15" customHeight="1">
      <c r="A21" s="12">
        <v>17</v>
      </c>
      <c r="B21" s="70" t="str">
        <f>LIDER!C25</f>
        <v>VICTORIA GONZALEZ ALVAREZ</v>
      </c>
      <c r="C21" s="64" t="str">
        <f>IF(B21=0,"",IFERROR(VLOOKUP(B21,'S-ASIG-01'!$B$5:$E$88,2,0),0))</f>
        <v>G04</v>
      </c>
      <c r="D21" s="65">
        <f t="shared" si="2"/>
        <v>3.3616666666666664</v>
      </c>
      <c r="E21" s="66">
        <f t="shared" si="3"/>
        <v>0</v>
      </c>
      <c r="F21" s="47"/>
      <c r="G21" s="71">
        <f>IF(B21=0,"",IFERROR(VLOOKUP(B21,'S-ASIG-01'!$B$5:$E$88,4,0),0))</f>
        <v>3.5000000000000004</v>
      </c>
      <c r="H21" s="72">
        <f>IF(B21=0,"",IFERROR(VLOOKUP(B21,'S-ASIG-02'!$B$5:$E$88,4,0),0))</f>
        <v>3</v>
      </c>
      <c r="I21" s="72">
        <f>IF(B21=0,"",IFERROR(VLOOKUP(B21,'S-ASIG-03'!$B$5:$E$88,4,0),0))</f>
        <v>3.2</v>
      </c>
      <c r="J21" s="72">
        <f>IF(B21=0,"",IFERROR(VLOOKUP(B21,'S-ASIG-04'!$B$5:$E$88,4,0),0))</f>
        <v>3.5000000000000004</v>
      </c>
      <c r="K21" s="72">
        <f>IF(B21=0,"",IFERROR(VLOOKUP(B21,'S-ASIG-05'!$B$5:$E$88,4,0),0))</f>
        <v>3.3200000000000003</v>
      </c>
      <c r="L21" s="72">
        <f>IF(B21=0,"",IFERROR(VLOOKUP(B21,'S-ASIG-06'!$B$5:$E$88,4,0),0))</f>
        <v>3.65</v>
      </c>
      <c r="M21" s="73">
        <f>IF(B21=0,"",IFERROR(VLOOKUP(B21,'S-ASIG-07'!$B$5:$E$88,4,0),0))</f>
        <v>0</v>
      </c>
      <c r="N21" s="68" t="s">
        <v>124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125</v>
      </c>
    </row>
    <row r="22" spans="1:22" ht="15" customHeight="1">
      <c r="A22" s="12">
        <v>18</v>
      </c>
      <c r="B22" s="70" t="str">
        <f>LIDER!C26</f>
        <v>ANGEL ESTEBAN REYES GONZALEZ</v>
      </c>
      <c r="C22" s="64" t="str">
        <f>IF(B22=0,"",IFERROR(VLOOKUP(B22,'S-ASIG-01'!$B$5:$E$88,2,0),0))</f>
        <v>G04</v>
      </c>
      <c r="D22" s="65">
        <f t="shared" si="2"/>
        <v>3.3616666666666664</v>
      </c>
      <c r="E22" s="66">
        <f t="shared" si="3"/>
        <v>0</v>
      </c>
      <c r="F22" s="47"/>
      <c r="G22" s="71">
        <f>IF(B22=0,"",IFERROR(VLOOKUP(B22,'S-ASIG-01'!$B$5:$E$88,4,0),0))</f>
        <v>3.5000000000000004</v>
      </c>
      <c r="H22" s="72">
        <f>IF(B22=0,"",IFERROR(VLOOKUP(B22,'S-ASIG-02'!$B$5:$E$88,4,0),0))</f>
        <v>3</v>
      </c>
      <c r="I22" s="72">
        <f>IF(B22=0,"",IFERROR(VLOOKUP(B22,'S-ASIG-03'!$B$5:$E$88,4,0),0))</f>
        <v>3.2</v>
      </c>
      <c r="J22" s="72">
        <f>IF(B22=0,"",IFERROR(VLOOKUP(B22,'S-ASIG-04'!$B$5:$E$88,4,0),0))</f>
        <v>3.5000000000000004</v>
      </c>
      <c r="K22" s="72">
        <f>IF(B22=0,"",IFERROR(VLOOKUP(B22,'S-ASIG-05'!$B$5:$E$88,4,0),0))</f>
        <v>3.3200000000000003</v>
      </c>
      <c r="L22" s="72">
        <f>IF(B22=0,"",IFERROR(VLOOKUP(B22,'S-ASIG-06'!$B$5:$E$88,4,0),0))</f>
        <v>3.65</v>
      </c>
      <c r="M22" s="73">
        <f>IF(B22=0,"",IFERROR(VLOOKUP(B22,'S-ASIG-07'!$B$5:$E$88,4,0),0))</f>
        <v>0</v>
      </c>
      <c r="N22" s="68" t="s">
        <v>124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125</v>
      </c>
    </row>
    <row r="23" spans="1:22" ht="15" customHeight="1">
      <c r="A23" s="12">
        <v>19</v>
      </c>
      <c r="B23" s="70" t="str">
        <f>LIDER!C27</f>
        <v>LEDA ROSA BERNAL OSPINO</v>
      </c>
      <c r="C23" s="64" t="str">
        <f>IF(B23=0,"",IFERROR(VLOOKUP(B23,'S-ASIG-01'!$B$5:$E$88,2,0),0))</f>
        <v>G05</v>
      </c>
      <c r="D23" s="65">
        <f t="shared" si="2"/>
        <v>3.6650000000000005</v>
      </c>
      <c r="E23" s="66">
        <f t="shared" si="3"/>
        <v>0</v>
      </c>
      <c r="F23" s="47"/>
      <c r="G23" s="71">
        <f>IF(B23=0,"",IFERROR(VLOOKUP(B23,'S-ASIG-01'!$B$5:$E$88,4,0),0))</f>
        <v>3.5000000000000004</v>
      </c>
      <c r="H23" s="72">
        <f>IF(B23=0,"",IFERROR(VLOOKUP(B23,'S-ASIG-02'!$B$5:$E$88,4,0),0))</f>
        <v>3.6500000000000004</v>
      </c>
      <c r="I23" s="72">
        <f>IF(B23=0,"",IFERROR(VLOOKUP(B23,'S-ASIG-03'!$B$5:$E$88,4,0),0))</f>
        <v>3.9000000000000004</v>
      </c>
      <c r="J23" s="72">
        <f>IF(B23=0,"",IFERROR(VLOOKUP(B23,'S-ASIG-04'!$B$5:$E$88,4,0),0))</f>
        <v>3.7000000000000006</v>
      </c>
      <c r="K23" s="72">
        <f>IF(B23=0,"",IFERROR(VLOOKUP(B23,'S-ASIG-05'!$B$5:$E$88,4,0),0))</f>
        <v>3.5900000000000003</v>
      </c>
      <c r="L23" s="72">
        <f>IF(B23=0,"",IFERROR(VLOOKUP(B23,'S-ASIG-06'!$B$5:$E$88,4,0),0))</f>
        <v>3.65</v>
      </c>
      <c r="M23" s="73">
        <f>IF(B23=0,"",IFERROR(VLOOKUP(B23,'S-ASIG-07'!$B$5:$E$88,4,0),0))</f>
        <v>0</v>
      </c>
      <c r="N23" s="68" t="s">
        <v>124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125</v>
      </c>
    </row>
    <row r="24" spans="1:22" ht="15" customHeight="1">
      <c r="A24" s="12">
        <v>20</v>
      </c>
      <c r="B24" s="70" t="str">
        <f>LIDER!C28</f>
        <v>JAIRO RAFAEL MARRUGO MATHIEU</v>
      </c>
      <c r="C24" s="64" t="str">
        <f>IF(B24=0,"",IFERROR(VLOOKUP(B24,'S-ASIG-01'!$B$5:$E$88,2,0),0))</f>
        <v>G05</v>
      </c>
      <c r="D24" s="65">
        <f t="shared" si="2"/>
        <v>3.6650000000000005</v>
      </c>
      <c r="E24" s="66">
        <f t="shared" si="3"/>
        <v>0</v>
      </c>
      <c r="F24" s="47"/>
      <c r="G24" s="71">
        <f>IF(B24=0,"",IFERROR(VLOOKUP(B24,'S-ASIG-01'!$B$5:$E$88,4,0),0))</f>
        <v>3.5000000000000004</v>
      </c>
      <c r="H24" s="72">
        <f>IF(B24=0,"",IFERROR(VLOOKUP(B24,'S-ASIG-02'!$B$5:$E$88,4,0),0))</f>
        <v>3.6500000000000004</v>
      </c>
      <c r="I24" s="72">
        <f>IF(B24=0,"",IFERROR(VLOOKUP(B24,'S-ASIG-03'!$B$5:$E$88,4,0),0))</f>
        <v>3.9000000000000004</v>
      </c>
      <c r="J24" s="72">
        <f>IF(B24=0,"",IFERROR(VLOOKUP(B24,'S-ASIG-04'!$B$5:$E$88,4,0),0))</f>
        <v>3.7000000000000006</v>
      </c>
      <c r="K24" s="72">
        <f>IF(B24=0,"",IFERROR(VLOOKUP(B24,'S-ASIG-05'!$B$5:$E$88,4,0),0))</f>
        <v>3.5900000000000003</v>
      </c>
      <c r="L24" s="72">
        <f>IF(B24=0,"",IFERROR(VLOOKUP(B24,'S-ASIG-06'!$B$5:$E$88,4,0),0))</f>
        <v>3.65</v>
      </c>
      <c r="M24" s="73">
        <f>IF(B24=0,"",IFERROR(VLOOKUP(B24,'S-ASIG-07'!$B$5:$E$88,4,0),0))</f>
        <v>0</v>
      </c>
      <c r="N24" s="68" t="s">
        <v>124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125</v>
      </c>
    </row>
    <row r="25" spans="1:22" ht="15" customHeight="1">
      <c r="A25" s="12">
        <v>21</v>
      </c>
      <c r="B25" s="70" t="str">
        <f>LIDER!C29</f>
        <v>KLIVER DE JESUS ROMERO OSPINA</v>
      </c>
      <c r="C25" s="64" t="str">
        <f>IF(B25=0,"",IFERROR(VLOOKUP(B25,'S-ASIG-01'!$B$5:$E$88,2,0),0))</f>
        <v>G05</v>
      </c>
      <c r="D25" s="65">
        <f t="shared" si="2"/>
        <v>3.6650000000000005</v>
      </c>
      <c r="E25" s="66">
        <f t="shared" si="3"/>
        <v>0</v>
      </c>
      <c r="F25" s="47"/>
      <c r="G25" s="71">
        <f>IF(B25=0,"",IFERROR(VLOOKUP(B25,'S-ASIG-01'!$B$5:$E$88,4,0),0))</f>
        <v>3.5000000000000004</v>
      </c>
      <c r="H25" s="72">
        <f>IF(B25=0,"",IFERROR(VLOOKUP(B25,'S-ASIG-02'!$B$5:$E$88,4,0),0))</f>
        <v>3.6500000000000004</v>
      </c>
      <c r="I25" s="72">
        <f>IF(B25=0,"",IFERROR(VLOOKUP(B25,'S-ASIG-03'!$B$5:$E$88,4,0),0))</f>
        <v>3.9000000000000004</v>
      </c>
      <c r="J25" s="72">
        <f>IF(B25=0,"",IFERROR(VLOOKUP(B25,'S-ASIG-04'!$B$5:$E$88,4,0),0))</f>
        <v>3.7000000000000006</v>
      </c>
      <c r="K25" s="72">
        <f>IF(B25=0,"",IFERROR(VLOOKUP(B25,'S-ASIG-05'!$B$5:$E$88,4,0),0))</f>
        <v>3.5900000000000003</v>
      </c>
      <c r="L25" s="72">
        <f>IF(B25=0,"",IFERROR(VLOOKUP(B25,'S-ASIG-06'!$B$5:$E$88,4,0),0))</f>
        <v>3.65</v>
      </c>
      <c r="M25" s="73">
        <f>IF(B25=0,"",IFERROR(VLOOKUP(B25,'S-ASIG-07'!$B$5:$E$88,4,0),0))</f>
        <v>0</v>
      </c>
      <c r="N25" s="68" t="s">
        <v>124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125</v>
      </c>
    </row>
    <row r="26" spans="1:22" ht="15" customHeight="1">
      <c r="A26" s="12">
        <v>22</v>
      </c>
      <c r="B26" s="70" t="str">
        <f>LIDER!C30</f>
        <v>VALENTINA MERCEDES TÁMARA GUZMÁN</v>
      </c>
      <c r="C26" s="64" t="str">
        <f>IF(B26=0,"",IFERROR(VLOOKUP(B26,'S-ASIG-01'!$B$5:$E$88,2,0),0))</f>
        <v>G05</v>
      </c>
      <c r="D26" s="65">
        <f t="shared" si="2"/>
        <v>3.6650000000000005</v>
      </c>
      <c r="E26" s="66">
        <f t="shared" si="3"/>
        <v>0</v>
      </c>
      <c r="F26" s="47"/>
      <c r="G26" s="71">
        <f>IF(B26=0,"",IFERROR(VLOOKUP(B26,'S-ASIG-01'!$B$5:$E$88,4,0),0))</f>
        <v>3.5000000000000004</v>
      </c>
      <c r="H26" s="72">
        <f>IF(B26=0,"",IFERROR(VLOOKUP(B26,'S-ASIG-02'!$B$5:$E$88,4,0),0))</f>
        <v>3.6500000000000004</v>
      </c>
      <c r="I26" s="72">
        <f>IF(B26=0,"",IFERROR(VLOOKUP(B26,'S-ASIG-03'!$B$5:$E$88,4,0),0))</f>
        <v>3.9000000000000004</v>
      </c>
      <c r="J26" s="72">
        <f>IF(B26=0,"",IFERROR(VLOOKUP(B26,'S-ASIG-04'!$B$5:$E$88,4,0),0))</f>
        <v>3.7000000000000006</v>
      </c>
      <c r="K26" s="72">
        <f>IF(B26=0,"",IFERROR(VLOOKUP(B26,'S-ASIG-05'!$B$5:$E$88,4,0),0))</f>
        <v>3.5900000000000003</v>
      </c>
      <c r="L26" s="72">
        <f>IF(B26=0,"",IFERROR(VLOOKUP(B26,'S-ASIG-06'!$B$5:$E$88,4,0),0))</f>
        <v>3.65</v>
      </c>
      <c r="M26" s="73">
        <f>IF(B26=0,"",IFERROR(VLOOKUP(B26,'S-ASIG-07'!$B$5:$E$88,4,0),0))</f>
        <v>0</v>
      </c>
      <c r="N26" s="68" t="s">
        <v>124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125</v>
      </c>
    </row>
    <row r="27" spans="1:22" ht="15" customHeight="1">
      <c r="A27" s="12">
        <v>23</v>
      </c>
      <c r="B27" s="70" t="str">
        <f>LIDER!C31</f>
        <v>SOFIA ISABEL AHUMADA VILLALOBOS</v>
      </c>
      <c r="C27" s="64" t="str">
        <f>IF(B27=0,"",IFERROR(VLOOKUP(B27,'S-ASIG-01'!$B$5:$E$88,2,0),0))</f>
        <v>G06</v>
      </c>
      <c r="D27" s="65">
        <f t="shared" si="2"/>
        <v>3.5583333333333336</v>
      </c>
      <c r="E27" s="66">
        <f t="shared" si="3"/>
        <v>0</v>
      </c>
      <c r="F27" s="47"/>
      <c r="G27" s="71">
        <f>IF(B27=0,"",IFERROR(VLOOKUP(B27,'S-ASIG-01'!$B$5:$E$88,4,0),0))</f>
        <v>3.5000000000000004</v>
      </c>
      <c r="H27" s="72">
        <f>IF(B27=0,"",IFERROR(VLOOKUP(B27,'S-ASIG-02'!$B$5:$E$88,4,0),0))</f>
        <v>3.1</v>
      </c>
      <c r="I27" s="72">
        <f>IF(B27=0,"",IFERROR(VLOOKUP(B27,'S-ASIG-03'!$B$5:$E$88,4,0),0))</f>
        <v>3.46</v>
      </c>
      <c r="J27" s="72">
        <f>IF(B27=0,"",IFERROR(VLOOKUP(B27,'S-ASIG-04'!$B$5:$E$88,4,0),0))</f>
        <v>3.7000000000000006</v>
      </c>
      <c r="K27" s="72">
        <f>IF(B27=0,"",IFERROR(VLOOKUP(B27,'S-ASIG-05'!$B$5:$E$88,4,0),0))</f>
        <v>3.5900000000000003</v>
      </c>
      <c r="L27" s="72">
        <f>IF(B27=0,"",IFERROR(VLOOKUP(B27,'S-ASIG-06'!$B$5:$E$88,4,0),0))</f>
        <v>3.9999999999999996</v>
      </c>
      <c r="M27" s="73">
        <f>IF(B27=0,"",IFERROR(VLOOKUP(B27,'S-ASIG-07'!$B$5:$E$88,4,0),0))</f>
        <v>0</v>
      </c>
      <c r="N27" s="68" t="s">
        <v>124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125</v>
      </c>
    </row>
    <row r="28" spans="1:22" ht="15" customHeight="1">
      <c r="A28" s="12">
        <v>24</v>
      </c>
      <c r="B28" s="70" t="str">
        <f>LIDER!C32</f>
        <v>EDINSON JOSE GARCIA ZUÑIGA</v>
      </c>
      <c r="C28" s="64" t="str">
        <f>IF(B28=0,"",IFERROR(VLOOKUP(B28,'S-ASIG-01'!$B$5:$E$88,2,0),0))</f>
        <v>G06</v>
      </c>
      <c r="D28" s="65">
        <f t="shared" si="2"/>
        <v>3.5583333333333336</v>
      </c>
      <c r="E28" s="66">
        <f t="shared" si="3"/>
        <v>0</v>
      </c>
      <c r="F28" s="47"/>
      <c r="G28" s="71">
        <f>IF(B28=0,"",IFERROR(VLOOKUP(B28,'S-ASIG-01'!$B$5:$E$88,4,0),0))</f>
        <v>3.5000000000000004</v>
      </c>
      <c r="H28" s="72">
        <f>IF(B28=0,"",IFERROR(VLOOKUP(B28,'S-ASIG-02'!$B$5:$E$88,4,0),0))</f>
        <v>3.1</v>
      </c>
      <c r="I28" s="72">
        <f>IF(B28=0,"",IFERROR(VLOOKUP(B28,'S-ASIG-03'!$B$5:$E$88,4,0),0))</f>
        <v>3.46</v>
      </c>
      <c r="J28" s="72">
        <f>IF(B28=0,"",IFERROR(VLOOKUP(B28,'S-ASIG-04'!$B$5:$E$88,4,0),0))</f>
        <v>3.7000000000000006</v>
      </c>
      <c r="K28" s="72">
        <f>IF(B28=0,"",IFERROR(VLOOKUP(B28,'S-ASIG-05'!$B$5:$E$88,4,0),0))</f>
        <v>3.5900000000000003</v>
      </c>
      <c r="L28" s="72">
        <f>IF(B28=0,"",IFERROR(VLOOKUP(B28,'S-ASIG-06'!$B$5:$E$88,4,0),0))</f>
        <v>3.9999999999999996</v>
      </c>
      <c r="M28" s="73">
        <f>IF(B28=0,"",IFERROR(VLOOKUP(B28,'S-ASIG-07'!$B$5:$E$88,4,0),0))</f>
        <v>0</v>
      </c>
      <c r="N28" s="68" t="s">
        <v>124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125</v>
      </c>
    </row>
    <row r="29" spans="1:22" ht="15" customHeight="1">
      <c r="A29" s="12">
        <v>25</v>
      </c>
      <c r="B29" s="70" t="str">
        <f>LIDER!C33</f>
        <v>ANGELYS SOFÍA GUARDO PÁJARO</v>
      </c>
      <c r="C29" s="64" t="str">
        <f>IF(B29=0,"",IFERROR(VLOOKUP(B29,'S-ASIG-01'!$B$5:$E$88,2,0),0))</f>
        <v>G06</v>
      </c>
      <c r="D29" s="65">
        <f t="shared" si="2"/>
        <v>3.5583333333333336</v>
      </c>
      <c r="E29" s="66">
        <f t="shared" si="3"/>
        <v>0</v>
      </c>
      <c r="F29" s="47"/>
      <c r="G29" s="71">
        <f>IF(B29=0,"",IFERROR(VLOOKUP(B29,'S-ASIG-01'!$B$5:$E$88,4,0),0))</f>
        <v>3.5000000000000004</v>
      </c>
      <c r="H29" s="72">
        <f>IF(B29=0,"",IFERROR(VLOOKUP(B29,'S-ASIG-02'!$B$5:$E$88,4,0),0))</f>
        <v>3.1</v>
      </c>
      <c r="I29" s="72">
        <f>IF(B29=0,"",IFERROR(VLOOKUP(B29,'S-ASIG-03'!$B$5:$E$88,4,0),0))</f>
        <v>3.46</v>
      </c>
      <c r="J29" s="72">
        <f>IF(B29=0,"",IFERROR(VLOOKUP(B29,'S-ASIG-04'!$B$5:$E$88,4,0),0))</f>
        <v>3.7000000000000006</v>
      </c>
      <c r="K29" s="72">
        <f>IF(B29=0,"",IFERROR(VLOOKUP(B29,'S-ASIG-05'!$B$5:$E$88,4,0),0))</f>
        <v>3.5900000000000003</v>
      </c>
      <c r="L29" s="72">
        <f>IF(B29=0,"",IFERROR(VLOOKUP(B29,'S-ASIG-06'!$B$5:$E$88,4,0),0))</f>
        <v>3.9999999999999996</v>
      </c>
      <c r="M29" s="73">
        <f>IF(B29=0,"",IFERROR(VLOOKUP(B29,'S-ASIG-07'!$B$5:$E$88,4,0),0))</f>
        <v>0</v>
      </c>
      <c r="N29" s="68" t="s">
        <v>124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125</v>
      </c>
    </row>
    <row r="30" spans="1:22" ht="15" customHeight="1">
      <c r="A30" s="12">
        <v>26</v>
      </c>
      <c r="B30" s="70" t="str">
        <f>LIDER!C34</f>
        <v>AMALY FERNANDA SANTOS MEDINA</v>
      </c>
      <c r="C30" s="64" t="str">
        <f>IF(B30=0,"",IFERROR(VLOOKUP(B30,'S-ASIG-01'!$B$5:$E$88,2,0),0))</f>
        <v>G06</v>
      </c>
      <c r="D30" s="65">
        <f t="shared" si="2"/>
        <v>3.5583333333333336</v>
      </c>
      <c r="E30" s="66">
        <f t="shared" si="3"/>
        <v>0</v>
      </c>
      <c r="F30" s="47"/>
      <c r="G30" s="71">
        <f>IF(B30=0,"",IFERROR(VLOOKUP(B30,'S-ASIG-01'!$B$5:$E$88,4,0),0))</f>
        <v>3.5000000000000004</v>
      </c>
      <c r="H30" s="72">
        <f>IF(B30=0,"",IFERROR(VLOOKUP(B30,'S-ASIG-02'!$B$5:$E$88,4,0),0))</f>
        <v>3.1</v>
      </c>
      <c r="I30" s="72">
        <f>IF(B30=0,"",IFERROR(VLOOKUP(B30,'S-ASIG-03'!$B$5:$E$88,4,0),0))</f>
        <v>3.46</v>
      </c>
      <c r="J30" s="72">
        <f>IF(B30=0,"",IFERROR(VLOOKUP(B30,'S-ASIG-04'!$B$5:$E$88,4,0),0))</f>
        <v>3.7000000000000006</v>
      </c>
      <c r="K30" s="72">
        <f>IF(B30=0,"",IFERROR(VLOOKUP(B30,'S-ASIG-05'!$B$5:$E$88,4,0),0))</f>
        <v>3.5900000000000003</v>
      </c>
      <c r="L30" s="72">
        <f>IF(B30=0,"",IFERROR(VLOOKUP(B30,'S-ASIG-06'!$B$5:$E$88,4,0),0))</f>
        <v>3.9999999999999996</v>
      </c>
      <c r="M30" s="73">
        <f>IF(B30=0,"",IFERROR(VLOOKUP(B30,'S-ASIG-07'!$B$5:$E$88,4,0),0))</f>
        <v>0</v>
      </c>
      <c r="N30" s="68" t="s">
        <v>124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125</v>
      </c>
    </row>
    <row r="31" spans="1:22" ht="15" customHeight="1">
      <c r="A31" s="12">
        <v>27</v>
      </c>
      <c r="B31" s="70" t="str">
        <f>LIDER!C35</f>
        <v>YENERIS CAICEDO ROMERO</v>
      </c>
      <c r="C31" s="64" t="str">
        <f>IF(B31=0,"",IFERROR(VLOOKUP(B31,'S-ASIG-01'!$B$5:$E$88,2,0),0))</f>
        <v>G07</v>
      </c>
      <c r="D31" s="65">
        <f t="shared" si="2"/>
        <v>3.793333333333333</v>
      </c>
      <c r="E31" s="66">
        <f t="shared" si="3"/>
        <v>0</v>
      </c>
      <c r="F31" s="47"/>
      <c r="G31" s="71">
        <f>IF(B31=0,"",IFERROR(VLOOKUP(B31,'S-ASIG-01'!$B$5:$E$88,4,0),0))</f>
        <v>3.9999999999999996</v>
      </c>
      <c r="H31" s="72">
        <f>IF(B31=0,"",IFERROR(VLOOKUP(B31,'S-ASIG-02'!$B$5:$E$88,4,0),0))</f>
        <v>3.1</v>
      </c>
      <c r="I31" s="72">
        <f>IF(B31=0,"",IFERROR(VLOOKUP(B31,'S-ASIG-03'!$B$5:$E$88,4,0),0))</f>
        <v>3.91</v>
      </c>
      <c r="J31" s="72">
        <f>IF(B31=0,"",IFERROR(VLOOKUP(B31,'S-ASIG-04'!$B$5:$E$88,4,0),0))</f>
        <v>3.9999999999999996</v>
      </c>
      <c r="K31" s="72">
        <f>IF(B31=0,"",IFERROR(VLOOKUP(B31,'S-ASIG-05'!$B$5:$E$88,4,0),0))</f>
        <v>4.0999999999999996</v>
      </c>
      <c r="L31" s="72">
        <f>IF(B31=0,"",IFERROR(VLOOKUP(B31,'S-ASIG-06'!$B$5:$E$88,4,0),0))</f>
        <v>3.65</v>
      </c>
      <c r="M31" s="73">
        <f>IF(B31=0,"",IFERROR(VLOOKUP(B31,'S-ASIG-07'!$B$5:$E$88,4,0),0))</f>
        <v>0</v>
      </c>
      <c r="N31" s="68" t="s">
        <v>124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125</v>
      </c>
    </row>
    <row r="32" spans="1:22" ht="15" customHeight="1">
      <c r="A32" s="12">
        <v>28</v>
      </c>
      <c r="B32" s="70" t="str">
        <f>LIDER!C36</f>
        <v>NATALIA PAOLA GOMEZ PAREDES</v>
      </c>
      <c r="C32" s="64" t="str">
        <f>IF(B32=0,"",IFERROR(VLOOKUP(B32,'S-ASIG-01'!$B$5:$E$88,2,0),0))</f>
        <v>G07</v>
      </c>
      <c r="D32" s="65">
        <f t="shared" si="2"/>
        <v>3.793333333333333</v>
      </c>
      <c r="E32" s="66">
        <f t="shared" si="3"/>
        <v>0</v>
      </c>
      <c r="F32" s="47"/>
      <c r="G32" s="71">
        <f>IF(B32=0,"",IFERROR(VLOOKUP(B32,'S-ASIG-01'!$B$5:$E$88,4,0),0))</f>
        <v>3.9999999999999996</v>
      </c>
      <c r="H32" s="72">
        <f>IF(B32=0,"",IFERROR(VLOOKUP(B32,'S-ASIG-02'!$B$5:$E$88,4,0),0))</f>
        <v>3.1</v>
      </c>
      <c r="I32" s="72">
        <f>IF(B32=0,"",IFERROR(VLOOKUP(B32,'S-ASIG-03'!$B$5:$E$88,4,0),0))</f>
        <v>3.91</v>
      </c>
      <c r="J32" s="72">
        <f>IF(B32=0,"",IFERROR(VLOOKUP(B32,'S-ASIG-04'!$B$5:$E$88,4,0),0))</f>
        <v>3.9999999999999996</v>
      </c>
      <c r="K32" s="72">
        <f>IF(B32=0,"",IFERROR(VLOOKUP(B32,'S-ASIG-05'!$B$5:$E$88,4,0),0))</f>
        <v>4.0999999999999996</v>
      </c>
      <c r="L32" s="72">
        <f>IF(B32=0,"",IFERROR(VLOOKUP(B32,'S-ASIG-06'!$B$5:$E$88,4,0),0))</f>
        <v>3.65</v>
      </c>
      <c r="M32" s="73">
        <f>IF(B32=0,"",IFERROR(VLOOKUP(B32,'S-ASIG-07'!$B$5:$E$88,4,0),0))</f>
        <v>0</v>
      </c>
      <c r="N32" s="68" t="s">
        <v>124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125</v>
      </c>
    </row>
    <row r="33" spans="1:22" ht="15" customHeight="1">
      <c r="A33" s="12">
        <v>29</v>
      </c>
      <c r="B33" s="70" t="str">
        <f>LIDER!C37</f>
        <v>DANA SOFIA JARABA MURILLO</v>
      </c>
      <c r="C33" s="64" t="str">
        <f>IF(B33=0,"",IFERROR(VLOOKUP(B33,'S-ASIG-01'!$B$5:$E$88,2,0),0))</f>
        <v>G07</v>
      </c>
      <c r="D33" s="65">
        <f t="shared" si="2"/>
        <v>3.793333333333333</v>
      </c>
      <c r="E33" s="66">
        <f t="shared" si="3"/>
        <v>0</v>
      </c>
      <c r="F33" s="47"/>
      <c r="G33" s="71">
        <f>IF(B33=0,"",IFERROR(VLOOKUP(B33,'S-ASIG-01'!$B$5:$E$88,4,0),0))</f>
        <v>3.9999999999999996</v>
      </c>
      <c r="H33" s="72">
        <f>IF(B33=0,"",IFERROR(VLOOKUP(B33,'S-ASIG-02'!$B$5:$E$88,4,0),0))</f>
        <v>3.1</v>
      </c>
      <c r="I33" s="72">
        <f>IF(B33=0,"",IFERROR(VLOOKUP(B33,'S-ASIG-03'!$B$5:$E$88,4,0),0))</f>
        <v>3.91</v>
      </c>
      <c r="J33" s="72">
        <f>IF(B33=0,"",IFERROR(VLOOKUP(B33,'S-ASIG-04'!$B$5:$E$88,4,0),0))</f>
        <v>3.9999999999999996</v>
      </c>
      <c r="K33" s="72">
        <f>IF(B33=0,"",IFERROR(VLOOKUP(B33,'S-ASIG-05'!$B$5:$E$88,4,0),0))</f>
        <v>4.0999999999999996</v>
      </c>
      <c r="L33" s="72">
        <f>IF(B33=0,"",IFERROR(VLOOKUP(B33,'S-ASIG-06'!$B$5:$E$88,4,0),0))</f>
        <v>3.65</v>
      </c>
      <c r="M33" s="73">
        <f>IF(B33=0,"",IFERROR(VLOOKUP(B33,'S-ASIG-07'!$B$5:$E$88,4,0),0))</f>
        <v>0</v>
      </c>
      <c r="N33" s="68" t="s">
        <v>124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125</v>
      </c>
    </row>
    <row r="34" spans="1:22" ht="15" customHeight="1">
      <c r="A34" s="12">
        <v>30</v>
      </c>
      <c r="B34" s="70" t="str">
        <f>LIDER!C38</f>
        <v>VALERIA VALENTINA CARRASQUILLA MARRUGO</v>
      </c>
      <c r="C34" s="64" t="str">
        <f>IF(B34=0,"",IFERROR(VLOOKUP(B34,'S-ASIG-01'!$B$5:$E$88,2,0),0))</f>
        <v>G08</v>
      </c>
      <c r="D34" s="65">
        <f t="shared" si="2"/>
        <v>2.89</v>
      </c>
      <c r="E34" s="66">
        <f t="shared" si="3"/>
        <v>0</v>
      </c>
      <c r="F34" s="47"/>
      <c r="G34" s="71">
        <f>IF(B34=0,"",IFERROR(VLOOKUP(B34,'S-ASIG-01'!$B$5:$E$88,4,0),0))</f>
        <v>2.5</v>
      </c>
      <c r="H34" s="72">
        <f>IF(B34=0,"",IFERROR(VLOOKUP(B34,'S-ASIG-02'!$B$5:$E$88,4,0),0))</f>
        <v>1.9999999999999998</v>
      </c>
      <c r="I34" s="72">
        <f>IF(B34=0,"",IFERROR(VLOOKUP(B34,'S-ASIG-03'!$B$5:$E$88,4,0),0))</f>
        <v>3.1900000000000004</v>
      </c>
      <c r="J34" s="72">
        <f>IF(B34=0,"",IFERROR(VLOOKUP(B34,'S-ASIG-04'!$B$5:$E$88,4,0),0))</f>
        <v>3.5000000000000004</v>
      </c>
      <c r="K34" s="72">
        <f>IF(B34=0,"",IFERROR(VLOOKUP(B34,'S-ASIG-05'!$B$5:$E$88,4,0),0))</f>
        <v>2.5</v>
      </c>
      <c r="L34" s="72">
        <f>IF(B34=0,"",IFERROR(VLOOKUP(B34,'S-ASIG-06'!$B$5:$E$88,4,0),0))</f>
        <v>3.65</v>
      </c>
      <c r="M34" s="73">
        <f>IF(B34=0,"",IFERROR(VLOOKUP(B34,'S-ASIG-07'!$B$5:$E$88,4,0),0))</f>
        <v>0</v>
      </c>
      <c r="N34" s="68" t="s">
        <v>124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125</v>
      </c>
    </row>
    <row r="35" spans="1:22" ht="15" customHeight="1">
      <c r="A35" s="12">
        <v>31</v>
      </c>
      <c r="B35" s="70" t="str">
        <f>LIDER!C39</f>
        <v>SHIRLY YULIANA RAMOS CASTRO</v>
      </c>
      <c r="C35" s="64" t="str">
        <f>IF(B35=0,"",IFERROR(VLOOKUP(B35,'S-ASIG-01'!$B$5:$E$88,2,0),0))</f>
        <v>G08</v>
      </c>
      <c r="D35" s="65">
        <f t="shared" si="2"/>
        <v>2.89</v>
      </c>
      <c r="E35" s="66">
        <f t="shared" si="3"/>
        <v>0</v>
      </c>
      <c r="F35" s="47"/>
      <c r="G35" s="71">
        <f>IF(B35=0,"",IFERROR(VLOOKUP(B35,'S-ASIG-01'!$B$5:$E$88,4,0),0))</f>
        <v>2.5</v>
      </c>
      <c r="H35" s="72">
        <f>IF(B35=0,"",IFERROR(VLOOKUP(B35,'S-ASIG-02'!$B$5:$E$88,4,0),0))</f>
        <v>1.9999999999999998</v>
      </c>
      <c r="I35" s="72">
        <f>IF(B35=0,"",IFERROR(VLOOKUP(B35,'S-ASIG-03'!$B$5:$E$88,4,0),0))</f>
        <v>3.1900000000000004</v>
      </c>
      <c r="J35" s="72">
        <f>IF(B35=0,"",IFERROR(VLOOKUP(B35,'S-ASIG-04'!$B$5:$E$88,4,0),0))</f>
        <v>3.5000000000000004</v>
      </c>
      <c r="K35" s="72">
        <f>IF(B35=0,"",IFERROR(VLOOKUP(B35,'S-ASIG-05'!$B$5:$E$88,4,0),0))</f>
        <v>2.5</v>
      </c>
      <c r="L35" s="72">
        <f>IF(B35=0,"",IFERROR(VLOOKUP(B35,'S-ASIG-06'!$B$5:$E$88,4,0),0))</f>
        <v>3.65</v>
      </c>
      <c r="M35" s="73">
        <f>IF(B35=0,"",IFERROR(VLOOKUP(B35,'S-ASIG-07'!$B$5:$E$88,4,0),0))</f>
        <v>0</v>
      </c>
      <c r="N35" s="68" t="s">
        <v>124</v>
      </c>
      <c r="O35" s="71">
        <f>IF(B35=0,"",IFERROR(VLOOKUP(B35,'T-ASIG-01'!$B$5:$D$88,3,0),0))</f>
        <v>0</v>
      </c>
      <c r="P35" s="72">
        <f>IF(B35=0,"",IFERROR(VLOOKUP(B35,'T-ASIG-02'!$B$5:$D$88,3,0),0))</f>
        <v>0</v>
      </c>
      <c r="Q35" s="72">
        <f>IF(B35=0,"",IFERROR(VLOOKUP(B35,'T-ASIG-03'!$B$5:$D$88,3,0),0))</f>
        <v>0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125</v>
      </c>
    </row>
    <row r="36" spans="1:22" ht="15" customHeight="1">
      <c r="A36" s="12">
        <v>32</v>
      </c>
      <c r="B36" s="70" t="str">
        <f>LIDER!C40</f>
        <v>NICOLE DE JESUS ROQUEME ARELLANO</v>
      </c>
      <c r="C36" s="64" t="str">
        <f>IF(B36=0,"",IFERROR(VLOOKUP(B36,'S-ASIG-01'!$B$5:$E$88,2,0),0))</f>
        <v>G08</v>
      </c>
      <c r="D36" s="65">
        <f t="shared" si="2"/>
        <v>2.89</v>
      </c>
      <c r="E36" s="66">
        <f t="shared" si="3"/>
        <v>0</v>
      </c>
      <c r="F36" s="47"/>
      <c r="G36" s="71">
        <f>IF(B36=0,"",IFERROR(VLOOKUP(B36,'S-ASIG-01'!$B$5:$E$88,4,0),0))</f>
        <v>2.5</v>
      </c>
      <c r="H36" s="72">
        <f>IF(B36=0,"",IFERROR(VLOOKUP(B36,'S-ASIG-02'!$B$5:$E$88,4,0),0))</f>
        <v>1.9999999999999998</v>
      </c>
      <c r="I36" s="72">
        <f>IF(B36=0,"",IFERROR(VLOOKUP(B36,'S-ASIG-03'!$B$5:$E$88,4,0),0))</f>
        <v>3.1900000000000004</v>
      </c>
      <c r="J36" s="72">
        <f>IF(B36=0,"",IFERROR(VLOOKUP(B36,'S-ASIG-04'!$B$5:$E$88,4,0),0))</f>
        <v>3.5000000000000004</v>
      </c>
      <c r="K36" s="72">
        <f>IF(B36=0,"",IFERROR(VLOOKUP(B36,'S-ASIG-05'!$B$5:$E$88,4,0),0))</f>
        <v>2.5</v>
      </c>
      <c r="L36" s="72">
        <f>IF(B36=0,"",IFERROR(VLOOKUP(B36,'S-ASIG-06'!$B$5:$E$88,4,0),0))</f>
        <v>3.65</v>
      </c>
      <c r="M36" s="73">
        <f>IF(B36=0,"",IFERROR(VLOOKUP(B36,'S-ASIG-07'!$B$5:$E$88,4,0),0))</f>
        <v>0</v>
      </c>
      <c r="N36" s="68" t="s">
        <v>124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125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124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125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124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125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124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125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124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125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124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125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124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125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124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125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124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125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124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125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124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125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124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125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124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125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124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125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124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125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124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125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124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125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124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125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124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125</v>
      </c>
    </row>
  </sheetData>
  <sheetProtection algorithmName="SHA-512" hashValue="uHl2lKw3d/VVTJamQ/89mixBIw2mE54uGmnIj625Yp+CKud1PM+jvJ6nSKUHjAALBHaDf9QZ3uy1XD8c4cjQFg==" saltValue="Ri9DZYvE5DVVlkmLsXMl9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JAFET GOMEZ</cp:lastModifiedBy>
  <cp:revision/>
  <dcterms:created xsi:type="dcterms:W3CDTF">2025-09-29T20:45:44Z</dcterms:created>
  <dcterms:modified xsi:type="dcterms:W3CDTF">2026-10-16T03:57:09Z</dcterms:modified>
  <cp:category/>
  <cp:contentStatus/>
</cp:coreProperties>
</file>