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3/"/>
    </mc:Choice>
  </mc:AlternateContent>
  <xr:revisionPtr revIDLastSave="315" documentId="13_ncr:1_{655DFA3D-DDEC-4A36-8267-6FACAE423F1A}" xr6:coauthVersionLast="47" xr6:coauthVersionMax="47" xr10:uidLastSave="{811E2081-43C5-4F1D-9E4D-D547EF7CEB4E}"/>
  <bookViews>
    <workbookView xWindow="-120" yWindow="-120" windowWidth="20730" windowHeight="11040" tabRatio="815" firstSheet="12" activeTab="13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7" sheetId="16" r:id="rId12"/>
    <sheet name="T-ASIG-04" sheetId="5" r:id="rId13"/>
    <sheet name="T-ASIG-05" sheetId="6" r:id="rId14"/>
    <sheet name="T-ASIG-06" sheetId="7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D36" i="16" s="1"/>
  <c r="C37" i="16"/>
  <c r="D37" i="16" s="1"/>
  <c r="C38" i="16"/>
  <c r="C39" i="16"/>
  <c r="C40" i="16"/>
  <c r="C41" i="16"/>
  <c r="C42" i="16"/>
  <c r="C43" i="16"/>
  <c r="C44" i="16"/>
  <c r="C45" i="16"/>
  <c r="C46" i="16"/>
  <c r="C47" i="16"/>
  <c r="C48" i="16"/>
  <c r="D48" i="16" s="1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D60" i="16"/>
  <c r="B60" i="16"/>
  <c r="D59" i="16"/>
  <c r="B59" i="16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D28" i="16"/>
  <c r="B28" i="16"/>
  <c r="B27" i="16"/>
  <c r="D27" i="16" s="1"/>
  <c r="D25" i="16"/>
  <c r="B25" i="16"/>
  <c r="D24" i="16"/>
  <c r="B24" i="16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D34" i="7" s="1"/>
  <c r="C35" i="7"/>
  <c r="C36" i="7"/>
  <c r="C37" i="7"/>
  <c r="C38" i="7"/>
  <c r="C39" i="7"/>
  <c r="C40" i="7"/>
  <c r="C41" i="7"/>
  <c r="C42" i="7"/>
  <c r="C43" i="7"/>
  <c r="D43" i="7" s="1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D53" i="7"/>
  <c r="B53" i="7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D42" i="7"/>
  <c r="B42" i="7"/>
  <c r="B41" i="7"/>
  <c r="D41" i="7" s="1"/>
  <c r="B39" i="7"/>
  <c r="D39" i="7" s="1"/>
  <c r="B38" i="7"/>
  <c r="B37" i="7"/>
  <c r="D37" i="7" s="1"/>
  <c r="D36" i="7"/>
  <c r="B36" i="7"/>
  <c r="D35" i="7"/>
  <c r="B35" i="7"/>
  <c r="B34" i="7"/>
  <c r="B32" i="7"/>
  <c r="D32" i="7" s="1"/>
  <c r="D31" i="7"/>
  <c r="B31" i="7"/>
  <c r="D30" i="7"/>
  <c r="B30" i="7"/>
  <c r="B29" i="7"/>
  <c r="D29" i="7" s="1"/>
  <c r="D28" i="7"/>
  <c r="B28" i="7"/>
  <c r="D27" i="7"/>
  <c r="B27" i="7"/>
  <c r="D25" i="7"/>
  <c r="B25" i="7"/>
  <c r="D24" i="7"/>
  <c r="B24" i="7"/>
  <c r="B23" i="7"/>
  <c r="D23" i="7" s="1"/>
  <c r="B22" i="7"/>
  <c r="B21" i="7"/>
  <c r="B20" i="7"/>
  <c r="D20" i="7" s="1"/>
  <c r="D18" i="7"/>
  <c r="B18" i="7"/>
  <c r="D17" i="7"/>
  <c r="B17" i="7"/>
  <c r="B16" i="7"/>
  <c r="D16" i="7" s="1"/>
  <c r="B15" i="7"/>
  <c r="D15" i="7" s="1"/>
  <c r="B14" i="7"/>
  <c r="D14" i="7" s="1"/>
  <c r="B13" i="7"/>
  <c r="D13" i="7" s="1"/>
  <c r="D11" i="7"/>
  <c r="B11" i="7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D36" i="6" s="1"/>
  <c r="C37" i="6"/>
  <c r="D37" i="6" s="1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D43" i="6"/>
  <c r="B43" i="6"/>
  <c r="D42" i="6"/>
  <c r="B42" i="6"/>
  <c r="B41" i="6"/>
  <c r="B39" i="6"/>
  <c r="D39" i="6" s="1"/>
  <c r="B38" i="6"/>
  <c r="B37" i="6"/>
  <c r="B36" i="6"/>
  <c r="B35" i="6"/>
  <c r="B34" i="6"/>
  <c r="D34" i="6" s="1"/>
  <c r="B32" i="6"/>
  <c r="D32" i="6" s="1"/>
  <c r="D31" i="6"/>
  <c r="B31" i="6"/>
  <c r="D30" i="6"/>
  <c r="B30" i="6"/>
  <c r="B29" i="6"/>
  <c r="D29" i="6" s="1"/>
  <c r="B28" i="6"/>
  <c r="D28" i="6" s="1"/>
  <c r="D27" i="6"/>
  <c r="B27" i="6"/>
  <c r="D25" i="6"/>
  <c r="B25" i="6"/>
  <c r="D24" i="6"/>
  <c r="B24" i="6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D42" i="5" s="1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D34" i="5"/>
  <c r="B34" i="5"/>
  <c r="B32" i="5"/>
  <c r="D32" i="5" s="1"/>
  <c r="B31" i="5"/>
  <c r="D31" i="5" s="1"/>
  <c r="B30" i="5"/>
  <c r="D30" i="5" s="1"/>
  <c r="B29" i="5"/>
  <c r="D29" i="5" s="1"/>
  <c r="D28" i="5"/>
  <c r="B28" i="5"/>
  <c r="D27" i="5"/>
  <c r="B27" i="5"/>
  <c r="B25" i="5"/>
  <c r="D25" i="5" s="1"/>
  <c r="D24" i="5"/>
  <c r="B24" i="5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D36" i="4" s="1"/>
  <c r="C37" i="4"/>
  <c r="D37" i="4" s="1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D49" i="4" s="1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D59" i="4"/>
  <c r="B59" i="4"/>
  <c r="B58" i="4"/>
  <c r="D58" i="4" s="1"/>
  <c r="B57" i="4"/>
  <c r="D57" i="4" s="1"/>
  <c r="B56" i="4"/>
  <c r="D56" i="4" s="1"/>
  <c r="D55" i="4"/>
  <c r="B55" i="4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D42" i="4"/>
  <c r="B42" i="4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D28" i="4"/>
  <c r="B28" i="4"/>
  <c r="D27" i="4"/>
  <c r="B27" i="4"/>
  <c r="D25" i="4"/>
  <c r="B25" i="4"/>
  <c r="D24" i="4"/>
  <c r="B24" i="4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D42" i="3" s="1"/>
  <c r="C43" i="3"/>
  <c r="C44" i="3"/>
  <c r="C45" i="3"/>
  <c r="C46" i="3"/>
  <c r="C47" i="3"/>
  <c r="C48" i="3"/>
  <c r="C49" i="3"/>
  <c r="D49" i="3" s="1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D36" i="3"/>
  <c r="D30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D55" i="3"/>
  <c r="B55" i="3"/>
  <c r="D53" i="3"/>
  <c r="B53" i="3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B35" i="3"/>
  <c r="B34" i="3"/>
  <c r="D34" i="3" s="1"/>
  <c r="B32" i="3"/>
  <c r="D32" i="3" s="1"/>
  <c r="B31" i="3"/>
  <c r="D31" i="3" s="1"/>
  <c r="B30" i="3"/>
  <c r="B29" i="3"/>
  <c r="D29" i="3" s="1"/>
  <c r="B28" i="3"/>
  <c r="D28" i="3" s="1"/>
  <c r="B27" i="3"/>
  <c r="D27" i="3" s="1"/>
  <c r="D25" i="3"/>
  <c r="B25" i="3"/>
  <c r="D24" i="3"/>
  <c r="B24" i="3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E51" i="15"/>
  <c r="B51" i="15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E29" i="15"/>
  <c r="B29" i="15"/>
  <c r="C28" i="15"/>
  <c r="C29" i="15" s="1"/>
  <c r="C30" i="15" s="1"/>
  <c r="C31" i="15" s="1"/>
  <c r="C32" i="15" s="1"/>
  <c r="B28" i="15"/>
  <c r="E28" i="15" s="1"/>
  <c r="E27" i="15"/>
  <c r="C27" i="15"/>
  <c r="B27" i="15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E62" i="14"/>
  <c r="C62" i="14"/>
  <c r="C63" i="14" s="1"/>
  <c r="C64" i="14" s="1"/>
  <c r="C65" i="14" s="1"/>
  <c r="C66" i="14" s="1"/>
  <c r="C67" i="14" s="1"/>
  <c r="B62" i="14"/>
  <c r="F61" i="14"/>
  <c r="B60" i="14"/>
  <c r="E60" i="14" s="1"/>
  <c r="E59" i="14"/>
  <c r="B59" i="14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E51" i="14"/>
  <c r="B51" i="14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E37" i="14"/>
  <c r="B37" i="14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E27" i="14"/>
  <c r="C27" i="14"/>
  <c r="B27" i="14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E17" i="14"/>
  <c r="B17" i="14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E51" i="13"/>
  <c r="B51" i="13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E53" i="12"/>
  <c r="B53" i="12"/>
  <c r="B52" i="12"/>
  <c r="E52" i="12" s="1"/>
  <c r="B51" i="12"/>
  <c r="E51" i="12" s="1"/>
  <c r="C50" i="12"/>
  <c r="C51" i="12" s="1"/>
  <c r="C52" i="12" s="1"/>
  <c r="C53" i="12" s="1"/>
  <c r="B50" i="12"/>
  <c r="E50" i="12" s="1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E43" i="12"/>
  <c r="C43" i="12"/>
  <c r="B43" i="12"/>
  <c r="C42" i="12"/>
  <c r="B42" i="12"/>
  <c r="E42" i="12" s="1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E30" i="12"/>
  <c r="B30" i="12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E60" i="11"/>
  <c r="B60" i="11"/>
  <c r="E59" i="11"/>
  <c r="B59" i="1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E52" i="11"/>
  <c r="B52" i="11"/>
  <c r="B51" i="11"/>
  <c r="E51" i="11" s="1"/>
  <c r="B50" i="11"/>
  <c r="E50" i="11" s="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E43" i="11"/>
  <c r="B43" i="1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E35" i="11"/>
  <c r="B35" i="1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E29" i="11"/>
  <c r="B29" i="11"/>
  <c r="E28" i="11"/>
  <c r="C28" i="11"/>
  <c r="C29" i="11" s="1"/>
  <c r="C30" i="11" s="1"/>
  <c r="C31" i="11" s="1"/>
  <c r="C32" i="11" s="1"/>
  <c r="B28" i="11"/>
  <c r="C27" i="11"/>
  <c r="B27" i="11"/>
  <c r="E27" i="11" s="1"/>
  <c r="F26" i="11"/>
  <c r="B25" i="11"/>
  <c r="E25" i="11" s="1"/>
  <c r="E24" i="11"/>
  <c r="B24" i="1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E53" i="10"/>
  <c r="B53" i="10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E27" i="10"/>
  <c r="C27" i="10"/>
  <c r="B27" i="10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U3" i="8"/>
  <c r="H3" i="8"/>
  <c r="P3" i="8" s="1"/>
  <c r="I3" i="8"/>
  <c r="Q3" i="8" s="1"/>
  <c r="J3" i="8"/>
  <c r="R3" i="8" s="1"/>
  <c r="K3" i="8"/>
  <c r="S3" i="8" s="1"/>
  <c r="L3" i="8"/>
  <c r="T3" i="8" s="1"/>
  <c r="M3" i="8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2" i="3" l="1"/>
  <c r="D22" i="4"/>
  <c r="D22" i="5"/>
  <c r="D21" i="5"/>
  <c r="D22" i="7"/>
  <c r="D21" i="7"/>
  <c r="D22" i="16"/>
  <c r="D21" i="16"/>
  <c r="D64" i="6"/>
  <c r="D48" i="6"/>
  <c r="D49" i="7"/>
  <c r="D48" i="7"/>
  <c r="D49" i="16"/>
  <c r="D48" i="3"/>
  <c r="D34" i="4"/>
  <c r="D34" i="16"/>
  <c r="D37" i="3"/>
  <c r="D36" i="5"/>
  <c r="D20" i="5"/>
  <c r="D21" i="4"/>
  <c r="D21" i="6"/>
  <c r="D10" i="4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H6" i="8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<sst xmlns="http://schemas.openxmlformats.org/spreadsheetml/2006/main" count="649" uniqueCount="99">
  <si>
    <t>TECNOLOGÍA EN GESTIÓN DE NEGOCIOS INTERN</t>
  </si>
  <si>
    <t>SEMESTRE:</t>
  </si>
  <si>
    <t>SEM-03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</si>
  <si>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</si>
  <si>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</si>
  <si>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</si>
  <si>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</si>
  <si>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</si>
  <si>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</si>
  <si>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</si>
  <si>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</si>
  <si>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TECNOLOGIA APLICADA</t>
  </si>
  <si>
    <t>INTERNACIONALIZACION</t>
  </si>
  <si>
    <t>LEGISLACION PARA EL COMERCIO</t>
  </si>
  <si>
    <t>MACROECONOMÍA</t>
  </si>
  <si>
    <t>MATEMÁTICAS FINANCIERAS</t>
  </si>
  <si>
    <t>JOHAN RAFAEL HURTADO CASTRO</t>
  </si>
  <si>
    <t>TATIANA MILENA ROJAS AROCA</t>
  </si>
  <si>
    <t>ELENA MELENDEZ TAPIA</t>
  </si>
  <si>
    <t>ANDRES PAJARO CASTRO</t>
  </si>
  <si>
    <t>HECTOR DARIO BALSEIRO BARRIOS</t>
  </si>
  <si>
    <t>LISTA DE ESTUDIANTES</t>
  </si>
  <si>
    <t>SEGUNDA ENTREGA - CRITERIO DE EVALUACIÓN DOCUMENTO - SEGUNDO CORTE</t>
  </si>
  <si>
    <t>PONDERACIÓN</t>
  </si>
  <si>
    <t>ADMINISTRACIÓN DE EMPRESAS C.I</t>
  </si>
  <si>
    <t>MIGUEL ANTONIO BARON REVOLLO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</si>
  <si>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</si>
  <si>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</si>
  <si>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GREISY JULIANA MENDOZA MORALES</t>
  </si>
  <si>
    <t>ANTEPROYECTO: Portada, planteamiento del problema, justificacion del trabajo o proyecto de aula, objetivos, marco teorico, diseño metodologico.</t>
  </si>
  <si>
    <t>CONTADURÍA PÚBLICA</t>
  </si>
  <si>
    <t>DINA LUZ TAPIA ARRIETA</t>
  </si>
  <si>
    <t>RESULTADOS:  Analiza, integra y aplica de manera coherente los aspectos legales-tributarios, administrativos y tecnológicos en el desarrollo de la propuesta investigativa, evidenciando capacidad para generar soluciones viables, pertinentes y sostenibles.</t>
  </si>
  <si>
    <t>NEGOCIOS INTERNACIONALES PROFESIONAL</t>
  </si>
  <si>
    <t>CAMILA ANDREA VALENCIA TEHERAN</t>
  </si>
  <si>
    <t>BILIOGRAFIA: Las referencias bibliograficas: adoptan las normas APA. El documento es producto de un rastreo bibliografico que muestra analisis y sistensis.</t>
  </si>
  <si>
    <t>SANTIAGO ANDRES BRAVO MARTINEZ</t>
  </si>
  <si>
    <t>ASESORIAS: Anexó la hoja de tutoria firmada ( 3 fimas minmimo).</t>
  </si>
  <si>
    <t>TECNOLOGíA EN GESTION CONTABLE</t>
  </si>
  <si>
    <t>MATTHIAS MATTHIAS CAMPO PASSO</t>
  </si>
  <si>
    <t>TECNOLOGÍA EN GESTIÓN DE MARKETING</t>
  </si>
  <si>
    <t>HANNA XILENA FERNÁNDEZ RUIZ</t>
  </si>
  <si>
    <t>TECNOLOGÍA EN GESTIÓN DEL TALENTO HUMANO</t>
  </si>
  <si>
    <t>MOISES RAFAEL LOPEZ HERNANDEZ</t>
  </si>
  <si>
    <t>TECNOLOGÍA EN GESTIÓN FINANCIERA</t>
  </si>
  <si>
    <t>VALENTINA CARO HERNANDEZ</t>
  </si>
  <si>
    <t>TECNOLOGÍA EN GESTIÓN LOGISTICA Y PORTUARIA</t>
  </si>
  <si>
    <t>YULIANIS MICHEAL CORDOBA SUAREZ</t>
  </si>
  <si>
    <t>ENTREGA FINAL - CRITERIO DE EVALUACIÓN SUSTENTACIÓN - TERCER CORTE</t>
  </si>
  <si>
    <t>TECNOLOGÍA EN GESTIÓN TURISTICA Y HOTELERA</t>
  </si>
  <si>
    <t>VALERIA YOHANA MEDRANO MORALES</t>
  </si>
  <si>
    <t>Evaluación del Documento Final</t>
  </si>
  <si>
    <t>VALERY MARIA SALAZAR OROZCO</t>
  </si>
  <si>
    <t>Sustentación de los Resultados: Se refleja un dominio del tema, la  información está delimitada y es clara. Hay una jerarquía y fluidez en las ideas que presenta.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</si>
  <si>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</si>
  <si>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</si>
  <si>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Tiempo: El uso del tiempo fue apropiado, se ajusta al previsto.
Ofrece una conclusión donde condensa las ideas principales del objetivo general y los específicos.</t>
  </si>
  <si>
    <t>Uso de Recursos Audiovisuales Tecnológicos: La sustentación se acompaña de recursos visuales pertinentes, atractivos y de gran calidad</t>
  </si>
  <si>
    <t>TITULOS DE LOS PROYECTOS DE AULA</t>
  </si>
  <si>
    <t>GRUPO#1: PERFIL INTERNACIONAL DE ECOPETROL- ESTUDIO LEGAL, TRIBUTARIO, ADMINISTRATIVO, MACROECONÓMICO, ADUANERO Y TECNOLÓGICO</t>
  </si>
  <si>
    <t>GRUPO#2: Aspectos legales, tributarios, administrativos, macroeconómicos, aduaneros, tecnológicos e inter.que definen el de perfil Ecopetrol S.A . En los negocios inter.</t>
  </si>
  <si>
    <t xml:space="preserve">GRUPO#3: ¿Cuáles son los aspectos legales, tributarios, administrativos, macroeconómicos, aduaneros, tecnológicos e inter. el perfil de COLOMBINA S.A. En los negocios inter.  </t>
  </si>
  <si>
    <t>GRUPO#4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</si>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</sst>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  <font>
      <sz val="11"/>
      <color rgb="FF242424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5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29" fillId="0" borderId="0" xfId="0" applyFont="1"/>
    <xf numFmtId="164" fontId="19" fillId="0" borderId="46" xfId="0" applyNumberFormat="1" applyFont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 wrapText="1"/>
      <protection locked="0"/>
    </xf>
    <xf numFmtId="0" fontId="4" fillId="0" borderId="17" xfId="0" applyFont="1" applyBorder="1" applyAlignment="1" applyProtection="1">
      <alignment vertical="center" wrapText="1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6" borderId="27" xfId="0" applyNumberFormat="1" applyFont="1" applyFill="1" applyBorder="1" applyAlignment="1" applyProtection="1">
      <alignment horizontal="center" vertical="center"/>
      <protection locked="0"/>
    </xf>
    <xf numFmtId="164" fontId="19" fillId="6" borderId="25" xfId="0" applyNumberFormat="1" applyFont="1" applyFill="1" applyBorder="1" applyAlignment="1" applyProtection="1">
      <alignment horizontal="center" vertical="center"/>
      <protection locked="0"/>
    </xf>
    <xf numFmtId="164" fontId="19" fillId="0" borderId="27" xfId="0" applyNumberFormat="1" applyFont="1" applyBorder="1" applyAlignment="1" applyProtection="1">
      <alignment horizontal="center" vertical="center"/>
      <protection locked="0"/>
    </xf>
    <xf numFmtId="164" fontId="19" fillId="0" borderId="25" xfId="0" applyNumberFormat="1" applyFont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91" zoomScaleNormal="91" workbookViewId="0"/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5" t="s">
        <v>0</v>
      </c>
      <c r="C2" s="156"/>
      <c r="D2" s="157"/>
      <c r="E2" s="101" t="s">
        <v>1</v>
      </c>
      <c r="F2" s="102" t="s">
        <v>2</v>
      </c>
      <c r="G2" s="101" t="s">
        <v>3</v>
      </c>
      <c r="H2" s="41">
        <v>5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2385</v>
      </c>
      <c r="D6" s="134">
        <v>2479</v>
      </c>
      <c r="E6" s="134">
        <v>2487</v>
      </c>
      <c r="F6" s="134">
        <v>1529</v>
      </c>
      <c r="G6" s="134">
        <v>1409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58" t="s">
        <v>22</v>
      </c>
      <c r="F8" s="159"/>
      <c r="G8" s="160"/>
      <c r="H8" s="110" t="s">
        <v>23</v>
      </c>
      <c r="I8" s="69" t="s">
        <v>24</v>
      </c>
    </row>
    <row r="9" spans="2:9" ht="15" customHeight="1">
      <c r="B9" s="108">
        <v>1</v>
      </c>
      <c r="C9" s="111" t="s">
        <v>25</v>
      </c>
      <c r="E9" s="161" t="s">
        <v>26</v>
      </c>
      <c r="F9" s="162"/>
      <c r="G9" s="163"/>
      <c r="H9" s="135">
        <v>0.2</v>
      </c>
      <c r="I9" s="69" t="s">
        <v>27</v>
      </c>
    </row>
    <row r="10" spans="2:9" ht="15" customHeight="1">
      <c r="B10" s="108">
        <v>2</v>
      </c>
      <c r="C10" s="111" t="s">
        <v>28</v>
      </c>
      <c r="E10" s="164" t="s">
        <v>29</v>
      </c>
      <c r="F10" s="165"/>
      <c r="G10" s="166"/>
      <c r="H10" s="136">
        <v>0.2</v>
      </c>
      <c r="I10" s="69" t="s">
        <v>30</v>
      </c>
    </row>
    <row r="11" spans="2:9" ht="15" customHeight="1">
      <c r="B11" s="108">
        <v>3</v>
      </c>
      <c r="C11" s="111" t="s">
        <v>31</v>
      </c>
      <c r="E11" s="161" t="s">
        <v>32</v>
      </c>
      <c r="F11" s="162"/>
      <c r="G11" s="163"/>
      <c r="H11" s="135">
        <v>0.3</v>
      </c>
      <c r="I11" s="69" t="s">
        <v>33</v>
      </c>
    </row>
    <row r="12" spans="2:9" ht="15" customHeight="1">
      <c r="B12" s="108">
        <v>4</v>
      </c>
      <c r="C12" s="111" t="s">
        <v>34</v>
      </c>
      <c r="E12" s="164" t="s">
        <v>35</v>
      </c>
      <c r="F12" s="165"/>
      <c r="G12" s="166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36</v>
      </c>
      <c r="E13" s="167" t="s">
        <v>37</v>
      </c>
      <c r="F13" s="168"/>
      <c r="G13" s="169"/>
      <c r="H13" s="135">
        <v>0.1</v>
      </c>
      <c r="I13" s="69" t="s">
        <v>38</v>
      </c>
    </row>
    <row r="14" spans="2:9" ht="15" customHeight="1">
      <c r="B14" s="108">
        <v>6</v>
      </c>
      <c r="C14" s="111" t="s">
        <v>39</v>
      </c>
      <c r="E14" s="170"/>
      <c r="F14" s="171"/>
      <c r="G14" s="172"/>
      <c r="H14" s="136">
        <v>0</v>
      </c>
      <c r="I14" s="69" t="s">
        <v>40</v>
      </c>
    </row>
    <row r="15" spans="2:9" ht="15" customHeight="1">
      <c r="B15" s="108">
        <v>7</v>
      </c>
      <c r="C15" s="111" t="s">
        <v>41</v>
      </c>
      <c r="E15" s="179"/>
      <c r="F15" s="180"/>
      <c r="G15" s="181"/>
      <c r="H15" s="135">
        <v>0</v>
      </c>
      <c r="I15" s="69" t="s">
        <v>42</v>
      </c>
    </row>
    <row r="16" spans="2:9" ht="15" customHeight="1">
      <c r="B16" s="108">
        <v>8</v>
      </c>
      <c r="C16" s="111" t="s">
        <v>43</v>
      </c>
      <c r="E16" s="112"/>
      <c r="F16" s="112"/>
      <c r="G16" s="112"/>
      <c r="H16" s="137">
        <f>IF(SUM(H9:H15)&gt;1,"Más del 100%",SUM(H9:H15))</f>
        <v>0.99999999999999989</v>
      </c>
      <c r="I16" s="69" t="s">
        <v>44</v>
      </c>
    </row>
    <row r="17" spans="2:9" ht="15" customHeight="1">
      <c r="B17" s="108">
        <v>9</v>
      </c>
      <c r="C17" s="111" t="s">
        <v>45</v>
      </c>
      <c r="E17" s="188"/>
      <c r="F17" s="188"/>
      <c r="G17" s="188"/>
      <c r="H17" s="188"/>
      <c r="I17" s="69" t="s">
        <v>46</v>
      </c>
    </row>
    <row r="18" spans="2:9" ht="15" customHeight="1">
      <c r="B18" s="108">
        <v>10</v>
      </c>
      <c r="C18" s="111" t="s">
        <v>47</v>
      </c>
      <c r="E18" s="195" t="s">
        <v>48</v>
      </c>
      <c r="F18" s="196"/>
      <c r="G18" s="196"/>
      <c r="H18" s="113" t="s">
        <v>23</v>
      </c>
      <c r="I18" s="69" t="s">
        <v>49</v>
      </c>
    </row>
    <row r="19" spans="2:9" ht="15" customHeight="1">
      <c r="B19" s="108">
        <v>11</v>
      </c>
      <c r="C19" s="111" t="s">
        <v>50</v>
      </c>
      <c r="E19" s="185" t="s">
        <v>51</v>
      </c>
      <c r="F19" s="186"/>
      <c r="G19" s="187"/>
      <c r="H19" s="138">
        <v>0.5</v>
      </c>
    </row>
    <row r="20" spans="2:9" ht="15" customHeight="1">
      <c r="B20" s="108">
        <v>12</v>
      </c>
      <c r="C20" s="111" t="s">
        <v>52</v>
      </c>
      <c r="E20" s="189" t="s">
        <v>53</v>
      </c>
      <c r="F20" s="190"/>
      <c r="G20" s="191"/>
      <c r="H20" s="139">
        <v>0.2</v>
      </c>
    </row>
    <row r="21" spans="2:9" ht="15" customHeight="1">
      <c r="B21" s="108">
        <v>13</v>
      </c>
      <c r="C21" s="111"/>
      <c r="E21" s="197" t="s">
        <v>54</v>
      </c>
      <c r="F21" s="198"/>
      <c r="G21" s="199"/>
      <c r="H21" s="140">
        <v>0.1</v>
      </c>
    </row>
    <row r="22" spans="2:9" ht="15" customHeight="1">
      <c r="B22" s="108">
        <v>14</v>
      </c>
      <c r="C22" s="111"/>
      <c r="E22" s="189" t="s">
        <v>55</v>
      </c>
      <c r="F22" s="171"/>
      <c r="G22" s="172"/>
      <c r="H22" s="139">
        <v>0.05</v>
      </c>
    </row>
    <row r="23" spans="2:9" ht="15" customHeight="1">
      <c r="B23" s="108">
        <v>15</v>
      </c>
      <c r="C23" s="111"/>
      <c r="E23" s="197" t="s">
        <v>56</v>
      </c>
      <c r="F23" s="198"/>
      <c r="G23" s="199"/>
      <c r="H23" s="141">
        <v>0.05</v>
      </c>
    </row>
    <row r="24" spans="2:9" ht="15" customHeight="1">
      <c r="B24" s="108">
        <v>16</v>
      </c>
      <c r="C24" s="111"/>
      <c r="E24" s="189" t="s">
        <v>57</v>
      </c>
      <c r="F24" s="190"/>
      <c r="G24" s="191"/>
      <c r="H24" s="139">
        <v>0.1</v>
      </c>
    </row>
    <row r="25" spans="2:9" ht="15" customHeight="1" thickBot="1">
      <c r="B25" s="108">
        <v>17</v>
      </c>
      <c r="C25" s="111"/>
      <c r="E25" s="182"/>
      <c r="F25" s="183"/>
      <c r="G25" s="184"/>
      <c r="H25" s="140"/>
    </row>
    <row r="26" spans="2:9" ht="15" customHeight="1" thickBot="1">
      <c r="B26" s="108">
        <v>18</v>
      </c>
      <c r="C26" s="111"/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92" t="s">
        <v>58</v>
      </c>
      <c r="F28" s="193"/>
      <c r="G28" s="193"/>
      <c r="H28" s="194"/>
    </row>
    <row r="29" spans="2:9" ht="15" customHeight="1" thickBot="1">
      <c r="B29" s="108">
        <v>21</v>
      </c>
      <c r="C29" s="111"/>
      <c r="E29" s="176" t="s">
        <v>59</v>
      </c>
      <c r="F29" s="177"/>
      <c r="G29" s="177"/>
      <c r="H29" s="178"/>
    </row>
    <row r="30" spans="2:9" ht="15" customHeight="1">
      <c r="B30" s="108">
        <v>22</v>
      </c>
      <c r="C30" s="111"/>
      <c r="E30" s="200" t="s">
        <v>60</v>
      </c>
      <c r="F30" s="174"/>
      <c r="G30" s="174"/>
      <c r="H30" s="175"/>
    </row>
    <row r="31" spans="2:9" ht="15" customHeight="1">
      <c r="B31" s="108">
        <v>23</v>
      </c>
      <c r="C31" s="111"/>
      <c r="E31" s="201" t="s">
        <v>61</v>
      </c>
      <c r="F31" s="177"/>
      <c r="G31" s="177"/>
      <c r="H31" s="178"/>
    </row>
    <row r="32" spans="2:9" ht="15" customHeight="1" thickBot="1">
      <c r="B32" s="108">
        <v>24</v>
      </c>
      <c r="C32" s="111"/>
      <c r="E32" s="173" t="s">
        <v>62</v>
      </c>
      <c r="F32" s="174"/>
      <c r="G32" s="174"/>
      <c r="H32" s="175"/>
    </row>
    <row r="33" spans="2:8" ht="15" customHeight="1" thickBot="1">
      <c r="B33" s="108">
        <v>25</v>
      </c>
      <c r="C33" s="111"/>
      <c r="E33" s="176" t="s">
        <v>63</v>
      </c>
      <c r="F33" s="177"/>
      <c r="G33" s="177"/>
      <c r="H33" s="178"/>
    </row>
    <row r="34" spans="2:8" ht="15" customHeight="1" thickBot="1">
      <c r="B34" s="108">
        <v>26</v>
      </c>
      <c r="C34" s="111"/>
      <c r="E34" s="173" t="s">
        <v>64</v>
      </c>
      <c r="F34" s="174"/>
      <c r="G34" s="174"/>
      <c r="H34" s="175"/>
    </row>
    <row r="35" spans="2:8" ht="15" customHeight="1" thickBot="1">
      <c r="B35" s="108">
        <v>27</v>
      </c>
      <c r="C35" s="111"/>
      <c r="E35" s="176" t="s">
        <v>65</v>
      </c>
      <c r="F35" s="177"/>
      <c r="G35" s="177"/>
      <c r="H35" s="178"/>
    </row>
    <row r="36" spans="2:8" ht="15" customHeight="1" thickBot="1">
      <c r="B36" s="108">
        <v>28</v>
      </c>
      <c r="C36" s="111"/>
      <c r="E36" s="173" t="s">
        <v>66</v>
      </c>
      <c r="F36" s="174"/>
      <c r="G36" s="174"/>
      <c r="H36" s="175"/>
    </row>
    <row r="37" spans="2:8" ht="15" customHeight="1" thickBot="1">
      <c r="B37" s="108">
        <v>29</v>
      </c>
      <c r="C37" s="111"/>
      <c r="E37" s="176" t="s">
        <v>67</v>
      </c>
      <c r="F37" s="177"/>
      <c r="G37" s="177"/>
      <c r="H37" s="178"/>
    </row>
    <row r="38" spans="2:8" ht="15" customHeight="1" thickBot="1">
      <c r="B38" s="108">
        <v>30</v>
      </c>
      <c r="C38" s="111"/>
      <c r="E38" s="173" t="s">
        <v>68</v>
      </c>
      <c r="F38" s="174"/>
      <c r="G38" s="174"/>
      <c r="H38" s="175"/>
    </row>
    <row r="39" spans="2:8" ht="15" customHeight="1" thickBot="1">
      <c r="B39" s="108">
        <v>31</v>
      </c>
      <c r="C39" s="111"/>
      <c r="E39" s="176" t="s">
        <v>69</v>
      </c>
      <c r="F39" s="177"/>
      <c r="G39" s="177"/>
      <c r="H39" s="178"/>
    </row>
    <row r="40" spans="2:8" ht="15" customHeight="1" thickBot="1">
      <c r="B40" s="108">
        <v>32</v>
      </c>
      <c r="C40" s="111"/>
      <c r="E40" s="173" t="s">
        <v>70</v>
      </c>
      <c r="F40" s="174"/>
      <c r="G40" s="174"/>
      <c r="H40" s="175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GRUPO#1: PERFIL INTE</v>
      </c>
      <c r="F42" s="116" t="str">
        <f>MID(E30,1,20)</f>
        <v>GRUPO#2: Aspectos le</v>
      </c>
      <c r="G42" s="116" t="str">
        <f>MID(E31,1,20)</f>
        <v>GRUPO#3: ¿Cuáles son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25</v>
      </c>
      <c r="F43" s="119" t="s">
        <v>36</v>
      </c>
      <c r="G43" s="119" t="s">
        <v>45</v>
      </c>
      <c r="H43" s="120"/>
    </row>
    <row r="44" spans="2:8" ht="15" customHeight="1">
      <c r="B44" s="108">
        <v>36</v>
      </c>
      <c r="C44" s="111"/>
      <c r="E44" s="121" t="s">
        <v>28</v>
      </c>
      <c r="F44" s="122" t="s">
        <v>39</v>
      </c>
      <c r="G44" s="122" t="s">
        <v>47</v>
      </c>
      <c r="H44" s="123"/>
    </row>
    <row r="45" spans="2:8" ht="15" customHeight="1">
      <c r="B45" s="108">
        <v>37</v>
      </c>
      <c r="C45" s="111"/>
      <c r="E45" s="124" t="s">
        <v>31</v>
      </c>
      <c r="F45" s="125" t="s">
        <v>41</v>
      </c>
      <c r="G45" s="125" t="s">
        <v>50</v>
      </c>
      <c r="H45" s="126"/>
    </row>
    <row r="46" spans="2:8" ht="15" customHeight="1">
      <c r="B46" s="108">
        <v>38</v>
      </c>
      <c r="C46" s="111"/>
      <c r="E46" s="121" t="s">
        <v>34</v>
      </c>
      <c r="F46" s="122" t="s">
        <v>43</v>
      </c>
      <c r="G46" s="122" t="s">
        <v>52</v>
      </c>
      <c r="H46" s="123"/>
    </row>
    <row r="47" spans="2:8" ht="15" customHeight="1">
      <c r="B47" s="108">
        <v>39</v>
      </c>
      <c r="C47" s="111"/>
      <c r="E47" s="124"/>
      <c r="F47" s="125"/>
      <c r="G47" s="125"/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VazjxTQbyifdPzSpLF7HlL0jU6M+nx8/8PiDCpB0N0dCFFdcbE5lVLkFq2o/xu0iamprDhUXj9pppB/c78NDnQ==" saltValue="mwCNVuB8bnORWZhvZAaS3Q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zoomScale="91" zoomScaleNormal="91" workbookViewId="0">
      <pane xSplit="5" ySplit="3" topLeftCell="F4" activePane="bottomRight" state="frozen"/>
      <selection pane="bottomRight" activeCell="I13" sqref="I13:I18"/>
      <selection pane="bottomLeft" activeCell="I13" sqref="I13:I18"/>
      <selection pane="topRight" activeCell="I13" sqref="I13:I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4" t="str">
        <f>LIDER!B2</f>
        <v>TECNOLOGÍA EN GESTIÓN DE NEGOCIOS INTERN</v>
      </c>
      <c r="B1" s="145"/>
      <c r="C1" s="145"/>
      <c r="D1" s="145"/>
      <c r="E1" s="145"/>
      <c r="F1" s="145"/>
      <c r="G1" s="145"/>
      <c r="H1" s="14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LIDER!C4</f>
        <v>TECNOLOGIA APLICADA</v>
      </c>
      <c r="C2" s="82"/>
      <c r="D2" s="3"/>
      <c r="F2" s="210" t="s">
        <v>71</v>
      </c>
      <c r="G2" s="211"/>
      <c r="H2" s="211"/>
      <c r="I2" s="211"/>
      <c r="J2" s="211"/>
      <c r="K2" s="211"/>
      <c r="L2" s="212"/>
    </row>
    <row r="3" spans="1:12" s="2" customFormat="1" ht="145.5" customHeight="1">
      <c r="B3" s="83" t="s">
        <v>72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3" t="str">
        <f>CONCATENATE(LIDER!C4," - ",LIDER!C6," - ",LIDER!C5)</f>
        <v>TECNOLOGIA APLICADA - 2385 - JOHAN RAFAEL HURTADO CASTRO</v>
      </c>
      <c r="G4" s="213"/>
      <c r="H4" s="213"/>
      <c r="I4" s="213"/>
      <c r="J4" s="213"/>
      <c r="K4" s="213"/>
      <c r="L4" s="213"/>
    </row>
    <row r="5" spans="1:12" s="2" customFormat="1" ht="15.75" customHeight="1">
      <c r="A5" s="8"/>
      <c r="B5" s="25" t="s">
        <v>73</v>
      </c>
      <c r="C5" s="88" t="s">
        <v>74</v>
      </c>
      <c r="D5" s="32" t="s">
        <v>75</v>
      </c>
      <c r="E5" s="89" t="s">
        <v>76</v>
      </c>
      <c r="F5" s="147" t="str">
        <f>LIDER!$E$29</f>
        <v>GRUPO#1: PERFIL INTERNACIONAL DE ECOPETROL- ESTUDIO LEGAL, TRIBUTARIO, ADMINISTRATIVO, MACROECONÓMICO, ADUANERO Y TECNOLÓGICO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MIGUEL ANTONIO BARON REVOLLO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4.0500000000000007</v>
      </c>
      <c r="F6" s="206">
        <v>4.2</v>
      </c>
      <c r="G6" s="208">
        <v>4.2</v>
      </c>
      <c r="H6" s="206">
        <v>3.5</v>
      </c>
      <c r="I6" s="208">
        <v>4.2</v>
      </c>
      <c r="J6" s="202">
        <v>4.8</v>
      </c>
      <c r="K6" s="143"/>
      <c r="L6" s="202"/>
    </row>
    <row r="7" spans="1:12" s="2" customFormat="1" ht="15" customHeight="1">
      <c r="A7" s="12">
        <v>2</v>
      </c>
      <c r="B7" s="10" t="str">
        <f>LIDER!E44</f>
        <v>GREISY JULIANA MENDOZA MORALES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4.0500000000000007</v>
      </c>
      <c r="F7" s="202"/>
      <c r="G7" s="143"/>
      <c r="H7" s="202"/>
      <c r="I7" s="143"/>
      <c r="J7" s="202"/>
      <c r="K7" s="143"/>
      <c r="L7" s="202"/>
    </row>
    <row r="8" spans="1:12" s="2" customFormat="1" ht="15" customHeight="1">
      <c r="A8" s="12">
        <v>3</v>
      </c>
      <c r="B8" s="10" t="str">
        <f>LIDER!E45</f>
        <v>DINA LUZ TAPIA ARRIETA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4.0500000000000007</v>
      </c>
      <c r="F8" s="202"/>
      <c r="G8" s="143"/>
      <c r="H8" s="202"/>
      <c r="I8" s="143"/>
      <c r="J8" s="202"/>
      <c r="K8" s="143"/>
      <c r="L8" s="202"/>
    </row>
    <row r="9" spans="1:12" s="2" customFormat="1" ht="15" customHeight="1">
      <c r="A9" s="12">
        <v>4</v>
      </c>
      <c r="B9" s="10" t="str">
        <f>LIDER!E46</f>
        <v>CAMILA ANDREA VALENCIA TEHERAN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4.0500000000000007</v>
      </c>
      <c r="F9" s="202"/>
      <c r="G9" s="143"/>
      <c r="H9" s="202"/>
      <c r="I9" s="143"/>
      <c r="J9" s="202"/>
      <c r="K9" s="143"/>
      <c r="L9" s="20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143"/>
      <c r="H10" s="202"/>
      <c r="I10" s="143"/>
      <c r="J10" s="202"/>
      <c r="K10" s="143"/>
      <c r="L10" s="202"/>
    </row>
    <row r="11" spans="1:12" s="2" customFormat="1" ht="15.75" customHeigh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7"/>
      <c r="G11" s="209"/>
      <c r="H11" s="207"/>
      <c r="I11" s="209"/>
      <c r="J11" s="202"/>
      <c r="K11" s="143"/>
      <c r="L11" s="202"/>
    </row>
    <row r="12" spans="1:12" s="2" customFormat="1" ht="15.75" customHeight="1">
      <c r="A12" s="8"/>
      <c r="B12" s="25" t="s">
        <v>77</v>
      </c>
      <c r="C12" s="88" t="s">
        <v>78</v>
      </c>
      <c r="D12" s="32" t="str">
        <f>D5</f>
        <v>LIST</v>
      </c>
      <c r="E12" s="89" t="s">
        <v>76</v>
      </c>
      <c r="F12" s="147" t="str">
        <f>LIDER!$E$30</f>
        <v>GRUPO#2: Aspectos legales, tributarios, administrativos, macroeconómicos, aduaneros, tecnológicos e inter.que definen el de perfil Ecopetrol S.A . En los negocios inter.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SANTIAGO ANDRES BRAVO MARTINEZ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3.45</v>
      </c>
      <c r="F13" s="206">
        <v>3.8</v>
      </c>
      <c r="G13" s="208">
        <v>3.8</v>
      </c>
      <c r="H13" s="206">
        <v>3.5</v>
      </c>
      <c r="I13" s="208">
        <v>2</v>
      </c>
      <c r="J13" s="202">
        <v>4.8</v>
      </c>
      <c r="K13" s="143"/>
      <c r="L13" s="202"/>
    </row>
    <row r="14" spans="1:12" s="2" customFormat="1" ht="15" customHeight="1">
      <c r="A14" s="12">
        <v>2</v>
      </c>
      <c r="B14" s="10" t="str">
        <f>LIDER!F44</f>
        <v>MATTHIAS MATTHIAS CAMPO PASSO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3.45</v>
      </c>
      <c r="F14" s="202"/>
      <c r="G14" s="143"/>
      <c r="H14" s="202"/>
      <c r="I14" s="143"/>
      <c r="J14" s="202"/>
      <c r="K14" s="143"/>
      <c r="L14" s="202"/>
    </row>
    <row r="15" spans="1:12" s="2" customFormat="1" ht="15" customHeight="1">
      <c r="A15" s="12">
        <v>3</v>
      </c>
      <c r="B15" s="10" t="str">
        <f>LIDER!F45</f>
        <v>HANNA XILENA FERNÁNDEZ RUIZ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3.45</v>
      </c>
      <c r="F15" s="202"/>
      <c r="G15" s="143"/>
      <c r="H15" s="202"/>
      <c r="I15" s="143"/>
      <c r="J15" s="202"/>
      <c r="K15" s="143"/>
      <c r="L15" s="202"/>
    </row>
    <row r="16" spans="1:12" s="2" customFormat="1" ht="15" customHeight="1">
      <c r="A16" s="12">
        <v>4</v>
      </c>
      <c r="B16" s="10" t="str">
        <f>LIDER!F46</f>
        <v>MOISES RAFAEL LOPEZ HERNANDEZ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3.45</v>
      </c>
      <c r="F16" s="202"/>
      <c r="G16" s="143"/>
      <c r="H16" s="202"/>
      <c r="I16" s="143"/>
      <c r="J16" s="202"/>
      <c r="K16" s="143"/>
      <c r="L16" s="20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143"/>
      <c r="H17" s="202"/>
      <c r="I17" s="143"/>
      <c r="J17" s="202"/>
      <c r="K17" s="143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7"/>
      <c r="G18" s="209"/>
      <c r="H18" s="207"/>
      <c r="I18" s="209"/>
      <c r="J18" s="202"/>
      <c r="K18" s="143"/>
      <c r="L18" s="202"/>
    </row>
    <row r="19" spans="1:12" s="2" customFormat="1" ht="15.75" customHeight="1">
      <c r="A19" s="14"/>
      <c r="B19" s="25" t="s">
        <v>79</v>
      </c>
      <c r="C19" s="88" t="s">
        <v>80</v>
      </c>
      <c r="D19" s="32" t="str">
        <f>D12</f>
        <v>LIST</v>
      </c>
      <c r="E19" s="89" t="s">
        <v>76</v>
      </c>
      <c r="F19" s="147" t="str">
        <f>LIDER!$E$31</f>
        <v xml:space="preserve">GRUPO#3: ¿Cuáles son los aspectos legales, tributarios, administrativos, macroeconómicos, aduaneros, tecnológicos e inter. el perfil de COLOMBINA S.A. En los negocios inter.  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VALENTINA CARO HERNANDEZ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4.03</v>
      </c>
      <c r="F20" s="204">
        <v>4</v>
      </c>
      <c r="G20" s="143">
        <v>4</v>
      </c>
      <c r="H20" s="202">
        <v>3.5</v>
      </c>
      <c r="I20" s="143">
        <v>4.5</v>
      </c>
      <c r="J20" s="202">
        <v>4.8</v>
      </c>
      <c r="K20" s="143"/>
      <c r="L20" s="202"/>
    </row>
    <row r="21" spans="1:12" s="2" customFormat="1" ht="15" customHeight="1">
      <c r="A21" s="12">
        <v>2</v>
      </c>
      <c r="B21" s="10" t="str">
        <f>LIDER!G44</f>
        <v>YULIANIS MICHEAL CORDOBA SUAREZ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4.03</v>
      </c>
      <c r="F21" s="204"/>
      <c r="G21" s="143"/>
      <c r="H21" s="202"/>
      <c r="I21" s="143"/>
      <c r="J21" s="202"/>
      <c r="K21" s="143"/>
      <c r="L21" s="202"/>
    </row>
    <row r="22" spans="1:12" s="2" customFormat="1" ht="15" customHeight="1">
      <c r="A22" s="12">
        <v>3</v>
      </c>
      <c r="B22" s="10" t="str">
        <f>LIDER!G45</f>
        <v>VALERIA YOHANA MEDRANO MORALES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4.03</v>
      </c>
      <c r="F22" s="204"/>
      <c r="G22" s="143"/>
      <c r="H22" s="202"/>
      <c r="I22" s="143"/>
      <c r="J22" s="202"/>
      <c r="K22" s="143"/>
      <c r="L22" s="202"/>
    </row>
    <row r="23" spans="1:12" s="2" customFormat="1" ht="15" customHeight="1">
      <c r="A23" s="12">
        <v>4</v>
      </c>
      <c r="B23" s="10" t="str">
        <f>LIDER!G46</f>
        <v>VALERY MARIA SALAZAR OROZCO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4.03</v>
      </c>
      <c r="F23" s="204"/>
      <c r="G23" s="143"/>
      <c r="H23" s="202"/>
      <c r="I23" s="143"/>
      <c r="J23" s="202"/>
      <c r="K23" s="143"/>
      <c r="L23" s="202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143"/>
      <c r="H24" s="202"/>
      <c r="I24" s="143"/>
      <c r="J24" s="202"/>
      <c r="K24" s="143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143"/>
      <c r="H25" s="202"/>
      <c r="I25" s="143"/>
      <c r="J25" s="202"/>
      <c r="K25" s="143"/>
      <c r="L25" s="202"/>
    </row>
    <row r="26" spans="1:12" s="2" customFormat="1" ht="15.75" customHeight="1">
      <c r="A26" s="14"/>
      <c r="B26" s="25" t="s">
        <v>62</v>
      </c>
      <c r="C26" s="88" t="s">
        <v>81</v>
      </c>
      <c r="D26" s="32" t="str">
        <f>D19</f>
        <v>LIST</v>
      </c>
      <c r="E26" s="89" t="s">
        <v>76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143"/>
      <c r="H27" s="202"/>
      <c r="I27" s="143"/>
      <c r="J27" s="202"/>
      <c r="K27" s="143"/>
      <c r="L27" s="202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143"/>
      <c r="H28" s="202"/>
      <c r="I28" s="143"/>
      <c r="J28" s="202"/>
      <c r="K28" s="143"/>
      <c r="L28" s="202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143"/>
      <c r="H29" s="202"/>
      <c r="I29" s="143"/>
      <c r="J29" s="202"/>
      <c r="K29" s="143"/>
      <c r="L29" s="202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143"/>
      <c r="H30" s="202"/>
      <c r="I30" s="143"/>
      <c r="J30" s="202"/>
      <c r="K30" s="143"/>
      <c r="L30" s="20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143"/>
      <c r="H31" s="202"/>
      <c r="I31" s="143"/>
      <c r="J31" s="202"/>
      <c r="K31" s="143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143"/>
      <c r="H32" s="202"/>
      <c r="I32" s="143"/>
      <c r="J32" s="202"/>
      <c r="K32" s="143"/>
      <c r="L32" s="202"/>
    </row>
    <row r="33" spans="1:12" s="2" customFormat="1" ht="15.75" customHeight="1">
      <c r="A33" s="14"/>
      <c r="B33" s="25" t="s">
        <v>63</v>
      </c>
      <c r="C33" s="88" t="s">
        <v>82</v>
      </c>
      <c r="D33" s="32" t="str">
        <f>D26</f>
        <v>LIST</v>
      </c>
      <c r="E33" s="89" t="s">
        <v>76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143"/>
      <c r="H34" s="202"/>
      <c r="I34" s="143"/>
      <c r="J34" s="202"/>
      <c r="K34" s="143"/>
      <c r="L34" s="202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143"/>
      <c r="H35" s="202"/>
      <c r="I35" s="143"/>
      <c r="J35" s="202"/>
      <c r="K35" s="143"/>
      <c r="L35" s="202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143"/>
      <c r="H36" s="202"/>
      <c r="I36" s="143"/>
      <c r="J36" s="202"/>
      <c r="K36" s="143"/>
      <c r="L36" s="202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143"/>
      <c r="H37" s="202"/>
      <c r="I37" s="143"/>
      <c r="J37" s="202"/>
      <c r="K37" s="143"/>
      <c r="L37" s="202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143"/>
      <c r="H38" s="202"/>
      <c r="I38" s="143"/>
      <c r="J38" s="202"/>
      <c r="K38" s="143"/>
      <c r="L38" s="20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143"/>
      <c r="H39" s="202"/>
      <c r="I39" s="143"/>
      <c r="J39" s="202"/>
      <c r="K39" s="143"/>
      <c r="L39" s="202"/>
    </row>
    <row r="40" spans="1:12" s="2" customFormat="1" ht="15.75" customHeight="1">
      <c r="A40" s="14"/>
      <c r="B40" s="25" t="s">
        <v>64</v>
      </c>
      <c r="C40" s="88" t="s">
        <v>83</v>
      </c>
      <c r="D40" s="32" t="str">
        <f>D33</f>
        <v>LIST</v>
      </c>
      <c r="E40" s="89" t="s">
        <v>76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143"/>
      <c r="H41" s="202"/>
      <c r="I41" s="143"/>
      <c r="J41" s="202"/>
      <c r="K41" s="143"/>
      <c r="L41" s="20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143"/>
      <c r="H42" s="202"/>
      <c r="I42" s="143"/>
      <c r="J42" s="202"/>
      <c r="K42" s="143"/>
      <c r="L42" s="20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143"/>
      <c r="H43" s="202"/>
      <c r="I43" s="143"/>
      <c r="J43" s="202"/>
      <c r="K43" s="143"/>
      <c r="L43" s="20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143"/>
      <c r="H44" s="202"/>
      <c r="I44" s="143"/>
      <c r="J44" s="202"/>
      <c r="K44" s="143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143"/>
      <c r="H45" s="202"/>
      <c r="I45" s="143"/>
      <c r="J45" s="202"/>
      <c r="K45" s="143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143"/>
      <c r="H46" s="202"/>
      <c r="I46" s="143"/>
      <c r="J46" s="202"/>
      <c r="K46" s="143"/>
      <c r="L46" s="202"/>
    </row>
    <row r="47" spans="1:12" s="2" customFormat="1" ht="15.75" customHeight="1">
      <c r="A47" s="14"/>
      <c r="B47" s="25" t="s">
        <v>65</v>
      </c>
      <c r="C47" s="88" t="s">
        <v>84</v>
      </c>
      <c r="D47" s="32" t="str">
        <f>D40</f>
        <v>LIST</v>
      </c>
      <c r="E47" s="89" t="s">
        <v>76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143"/>
      <c r="H48" s="202"/>
      <c r="I48" s="143"/>
      <c r="J48" s="202"/>
      <c r="K48" s="143"/>
      <c r="L48" s="20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143"/>
      <c r="H49" s="202"/>
      <c r="I49" s="143"/>
      <c r="J49" s="202"/>
      <c r="K49" s="143"/>
      <c r="L49" s="20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143"/>
      <c r="H50" s="202"/>
      <c r="I50" s="143"/>
      <c r="J50" s="202"/>
      <c r="K50" s="143"/>
      <c r="L50" s="20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143"/>
      <c r="H51" s="202"/>
      <c r="I51" s="143"/>
      <c r="J51" s="202"/>
      <c r="K51" s="143"/>
      <c r="L51" s="20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143"/>
      <c r="H52" s="202"/>
      <c r="I52" s="143"/>
      <c r="J52" s="202"/>
      <c r="K52" s="143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143"/>
      <c r="H53" s="202"/>
      <c r="I53" s="143"/>
      <c r="J53" s="202"/>
      <c r="K53" s="143"/>
      <c r="L53" s="202"/>
    </row>
    <row r="54" spans="1:12" s="2" customFormat="1" ht="15.75" customHeight="1">
      <c r="A54" s="14"/>
      <c r="B54" s="25" t="s">
        <v>66</v>
      </c>
      <c r="C54" s="88" t="s">
        <v>85</v>
      </c>
      <c r="D54" s="32" t="str">
        <f>D47</f>
        <v>LIST</v>
      </c>
      <c r="E54" s="89" t="s">
        <v>76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143"/>
      <c r="H55" s="202"/>
      <c r="I55" s="143"/>
      <c r="J55" s="202"/>
      <c r="K55" s="143"/>
      <c r="L55" s="20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143"/>
      <c r="H56" s="202"/>
      <c r="I56" s="143"/>
      <c r="J56" s="202"/>
      <c r="K56" s="143"/>
      <c r="L56" s="20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143"/>
      <c r="H57" s="202"/>
      <c r="I57" s="143"/>
      <c r="J57" s="202"/>
      <c r="K57" s="143"/>
      <c r="L57" s="20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143"/>
      <c r="H58" s="202"/>
      <c r="I58" s="143"/>
      <c r="J58" s="202"/>
      <c r="K58" s="143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143"/>
      <c r="H59" s="202"/>
      <c r="I59" s="143"/>
      <c r="J59" s="202"/>
      <c r="K59" s="143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143"/>
      <c r="H60" s="202"/>
      <c r="I60" s="143"/>
      <c r="J60" s="202"/>
      <c r="K60" s="143"/>
      <c r="L60" s="202"/>
    </row>
    <row r="61" spans="1:12" s="2" customFormat="1" ht="15.75" customHeight="1">
      <c r="A61" s="14"/>
      <c r="B61" s="25" t="s">
        <v>67</v>
      </c>
      <c r="C61" s="88" t="s">
        <v>86</v>
      </c>
      <c r="D61" s="32" t="str">
        <f>D54</f>
        <v>LIST</v>
      </c>
      <c r="E61" s="89" t="s">
        <v>76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143"/>
      <c r="H62" s="202"/>
      <c r="I62" s="143"/>
      <c r="J62" s="202"/>
      <c r="K62" s="143"/>
      <c r="L62" s="20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143"/>
      <c r="H63" s="202"/>
      <c r="I63" s="143"/>
      <c r="J63" s="202"/>
      <c r="K63" s="143"/>
      <c r="L63" s="20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143"/>
      <c r="H64" s="202"/>
      <c r="I64" s="143"/>
      <c r="J64" s="202"/>
      <c r="K64" s="143"/>
      <c r="L64" s="20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143"/>
      <c r="H65" s="202"/>
      <c r="I65" s="143"/>
      <c r="J65" s="202"/>
      <c r="K65" s="143"/>
      <c r="L65" s="20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143"/>
      <c r="H66" s="202"/>
      <c r="I66" s="143"/>
      <c r="J66" s="202"/>
      <c r="K66" s="143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143"/>
      <c r="H67" s="202"/>
      <c r="I67" s="143"/>
      <c r="J67" s="202"/>
      <c r="K67" s="143"/>
      <c r="L67" s="202"/>
    </row>
    <row r="68" spans="1:12" s="2" customFormat="1" ht="15.75" customHeight="1">
      <c r="A68" s="14"/>
      <c r="B68" s="25" t="s">
        <v>68</v>
      </c>
      <c r="C68" s="88" t="s">
        <v>87</v>
      </c>
      <c r="D68" s="32" t="str">
        <f>D61</f>
        <v>LIST</v>
      </c>
      <c r="E68" s="89" t="s">
        <v>76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143"/>
      <c r="H69" s="202"/>
      <c r="I69" s="143"/>
      <c r="J69" s="202"/>
      <c r="K69" s="143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143"/>
      <c r="H70" s="202"/>
      <c r="I70" s="143"/>
      <c r="J70" s="202"/>
      <c r="K70" s="143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143"/>
      <c r="H71" s="202"/>
      <c r="I71" s="143"/>
      <c r="J71" s="202"/>
      <c r="K71" s="143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143"/>
      <c r="H72" s="202"/>
      <c r="I72" s="143"/>
      <c r="J72" s="202"/>
      <c r="K72" s="143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143"/>
      <c r="H73" s="202"/>
      <c r="I73" s="143"/>
      <c r="J73" s="202"/>
      <c r="K73" s="143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143"/>
      <c r="H74" s="202"/>
      <c r="I74" s="143"/>
      <c r="J74" s="202"/>
      <c r="K74" s="143"/>
      <c r="L74" s="202"/>
    </row>
    <row r="75" spans="1:12" s="2" customFormat="1" ht="15.75" customHeight="1">
      <c r="A75" s="14"/>
      <c r="B75" s="25" t="s">
        <v>69</v>
      </c>
      <c r="C75" s="88" t="s">
        <v>88</v>
      </c>
      <c r="D75" s="32" t="str">
        <f>D68</f>
        <v>LIST</v>
      </c>
      <c r="E75" s="89" t="s">
        <v>76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143"/>
      <c r="H76" s="202"/>
      <c r="I76" s="143"/>
      <c r="J76" s="202"/>
      <c r="K76" s="143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143"/>
      <c r="H77" s="202"/>
      <c r="I77" s="143"/>
      <c r="J77" s="202"/>
      <c r="K77" s="143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143"/>
      <c r="H78" s="202"/>
      <c r="I78" s="143"/>
      <c r="J78" s="202"/>
      <c r="K78" s="143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143"/>
      <c r="H79" s="202"/>
      <c r="I79" s="143"/>
      <c r="J79" s="202"/>
      <c r="K79" s="143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143"/>
      <c r="H80" s="202"/>
      <c r="I80" s="143"/>
      <c r="J80" s="202"/>
      <c r="K80" s="143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143"/>
      <c r="H81" s="202"/>
      <c r="I81" s="143"/>
      <c r="J81" s="202"/>
      <c r="K81" s="143"/>
      <c r="L81" s="202"/>
    </row>
    <row r="82" spans="1:12" s="2" customFormat="1" ht="15.75" customHeight="1">
      <c r="A82" s="14"/>
      <c r="B82" s="25" t="s">
        <v>70</v>
      </c>
      <c r="C82" s="88" t="s">
        <v>89</v>
      </c>
      <c r="D82" s="32" t="str">
        <f>D75</f>
        <v>LIST</v>
      </c>
      <c r="E82" s="89" t="s">
        <v>76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143"/>
      <c r="H83" s="202"/>
      <c r="I83" s="143"/>
      <c r="J83" s="202"/>
      <c r="K83" s="143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143"/>
      <c r="H84" s="202"/>
      <c r="I84" s="143"/>
      <c r="J84" s="202"/>
      <c r="K84" s="143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143"/>
      <c r="H85" s="202"/>
      <c r="I85" s="143"/>
      <c r="J85" s="202"/>
      <c r="K85" s="143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143"/>
      <c r="H86" s="202"/>
      <c r="I86" s="143"/>
      <c r="J86" s="202"/>
      <c r="K86" s="143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143"/>
      <c r="H87" s="202"/>
      <c r="I87" s="143"/>
      <c r="J87" s="202"/>
      <c r="K87" s="143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54"/>
      <c r="H88" s="203"/>
      <c r="I88" s="154"/>
      <c r="J88" s="203"/>
      <c r="K88" s="154"/>
      <c r="L88" s="203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I13" sqref="I13:I18"/>
      <selection pane="bottomLeft" activeCell="I13" sqref="I13:I18"/>
      <selection pane="topRight" activeCell="I13" sqref="I13:I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4" t="str">
        <f>LIDER!B2</f>
        <v>TECNOLOGÍA EN GESTIÓN DE NEGOCIOS INTERN</v>
      </c>
      <c r="B1" s="145"/>
      <c r="C1" s="145"/>
      <c r="D1" s="145"/>
      <c r="E1" s="145"/>
      <c r="F1" s="145"/>
      <c r="G1" s="145"/>
      <c r="H1" s="14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LIDER!D4</f>
        <v>INTERNACIONALIZACION</v>
      </c>
      <c r="C2" s="82"/>
      <c r="D2" s="3"/>
      <c r="F2" s="210" t="s">
        <v>71</v>
      </c>
      <c r="G2" s="211"/>
      <c r="H2" s="211"/>
      <c r="I2" s="211"/>
      <c r="J2" s="211"/>
      <c r="K2" s="211"/>
      <c r="L2" s="212"/>
    </row>
    <row r="3" spans="1:12" s="2" customFormat="1" ht="145.5" customHeight="1">
      <c r="B3" s="83" t="s">
        <v>72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3" t="str">
        <f>CONCATENATE(LIDER!D4," - ",LIDER!D6," - ",LIDER!D5)</f>
        <v>INTERNACIONALIZACION - 2479 - TATIANA MILENA ROJAS AROCA</v>
      </c>
      <c r="G4" s="213"/>
      <c r="H4" s="213"/>
      <c r="I4" s="213"/>
      <c r="J4" s="213"/>
      <c r="K4" s="213"/>
      <c r="L4" s="213"/>
    </row>
    <row r="5" spans="1:12" s="2" customFormat="1" ht="15.75" customHeight="1" thickBot="1">
      <c r="A5" s="8"/>
      <c r="B5" s="25" t="s">
        <v>73</v>
      </c>
      <c r="C5" s="88" t="s">
        <v>74</v>
      </c>
      <c r="D5" s="32" t="s">
        <v>75</v>
      </c>
      <c r="E5" s="89" t="s">
        <v>76</v>
      </c>
      <c r="F5" s="147" t="str">
        <f>LIDER!$E$29</f>
        <v>GRUPO#1: PERFIL INTERNACIONAL DE ECOPETROL- ESTUDIO LEGAL, TRIBUTARIO, ADMINISTRATIVO, MACROECONÓMICO, ADUANERO Y TECNOLÓGICO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MIGUEL ANTONIO BARON REVOLLO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204">
        <v>4.0999999999999996</v>
      </c>
      <c r="G6" s="143">
        <v>4.0999999999999996</v>
      </c>
      <c r="H6" s="202">
        <v>4.0999999999999996</v>
      </c>
      <c r="I6" s="143">
        <v>4.0999999999999996</v>
      </c>
      <c r="J6" s="202">
        <v>4.0999999999999996</v>
      </c>
      <c r="K6" s="143"/>
      <c r="L6" s="202"/>
    </row>
    <row r="7" spans="1:12" s="2" customFormat="1" ht="15" customHeight="1">
      <c r="A7" s="12">
        <v>2</v>
      </c>
      <c r="B7" s="10" t="str">
        <f>LIDER!E44</f>
        <v>GREISY JULIANA MENDOZA MORALES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204"/>
      <c r="G7" s="143"/>
      <c r="H7" s="202"/>
      <c r="I7" s="143"/>
      <c r="J7" s="202"/>
      <c r="K7" s="143"/>
      <c r="L7" s="202"/>
    </row>
    <row r="8" spans="1:12" s="2" customFormat="1" ht="15" customHeight="1">
      <c r="A8" s="12">
        <v>3</v>
      </c>
      <c r="B8" s="10" t="str">
        <f>LIDER!E45</f>
        <v>DINA LUZ TAPIA ARRIETA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204"/>
      <c r="G8" s="143"/>
      <c r="H8" s="202"/>
      <c r="I8" s="143"/>
      <c r="J8" s="202"/>
      <c r="K8" s="143"/>
      <c r="L8" s="202"/>
    </row>
    <row r="9" spans="1:12" s="2" customFormat="1" ht="15" customHeight="1">
      <c r="A9" s="12">
        <v>4</v>
      </c>
      <c r="B9" s="10" t="str">
        <f>LIDER!E46</f>
        <v>CAMILA ANDREA VALENCIA TEHERAN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4.0999999999999996</v>
      </c>
      <c r="F9" s="204"/>
      <c r="G9" s="143"/>
      <c r="H9" s="202"/>
      <c r="I9" s="143"/>
      <c r="J9" s="202"/>
      <c r="K9" s="143"/>
      <c r="L9" s="20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4"/>
      <c r="G10" s="143"/>
      <c r="H10" s="202"/>
      <c r="I10" s="143"/>
      <c r="J10" s="202"/>
      <c r="K10" s="143"/>
      <c r="L10" s="20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4"/>
      <c r="G11" s="143"/>
      <c r="H11" s="202"/>
      <c r="I11" s="143"/>
      <c r="J11" s="202"/>
      <c r="K11" s="143"/>
      <c r="L11" s="202"/>
    </row>
    <row r="12" spans="1:12" s="2" customFormat="1" ht="15.75" customHeight="1" thickBot="1">
      <c r="A12" s="8"/>
      <c r="B12" s="25" t="s">
        <v>77</v>
      </c>
      <c r="C12" s="88" t="s">
        <v>78</v>
      </c>
      <c r="D12" s="32" t="str">
        <f>D5</f>
        <v>LIST</v>
      </c>
      <c r="E12" s="89" t="s">
        <v>76</v>
      </c>
      <c r="F12" s="147" t="str">
        <f>LIDER!$E$30</f>
        <v>GRUPO#2: Aspectos legales, tributarios, administrativos, macroeconómicos, aduaneros, tecnológicos e inter.que definen el de perfil Ecopetrol S.A . En los negocios inter.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SANTIAGO ANDRES BRAVO MARTINEZ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3.5000000000000004</v>
      </c>
      <c r="F13" s="204">
        <v>3.5</v>
      </c>
      <c r="G13" s="143">
        <v>3.5</v>
      </c>
      <c r="H13" s="202">
        <v>3.5</v>
      </c>
      <c r="I13" s="143">
        <v>3.5</v>
      </c>
      <c r="J13" s="202">
        <v>3.5</v>
      </c>
      <c r="K13" s="143"/>
      <c r="L13" s="202"/>
    </row>
    <row r="14" spans="1:12" s="2" customFormat="1" ht="15" customHeight="1">
      <c r="A14" s="12">
        <v>2</v>
      </c>
      <c r="B14" s="10" t="str">
        <f>LIDER!F44</f>
        <v>MATTHIAS MATTHIAS CAMPO PASSO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3.5000000000000004</v>
      </c>
      <c r="F14" s="204"/>
      <c r="G14" s="143"/>
      <c r="H14" s="202"/>
      <c r="I14" s="143"/>
      <c r="J14" s="202"/>
      <c r="K14" s="143"/>
      <c r="L14" s="202"/>
    </row>
    <row r="15" spans="1:12" s="2" customFormat="1" ht="15" customHeight="1">
      <c r="A15" s="12">
        <v>3</v>
      </c>
      <c r="B15" s="10" t="str">
        <f>LIDER!F45</f>
        <v>HANNA XILENA FERNÁNDEZ RUIZ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3.5000000000000004</v>
      </c>
      <c r="F15" s="204"/>
      <c r="G15" s="143"/>
      <c r="H15" s="202"/>
      <c r="I15" s="143"/>
      <c r="J15" s="202"/>
      <c r="K15" s="143"/>
      <c r="L15" s="202"/>
    </row>
    <row r="16" spans="1:12" s="2" customFormat="1" ht="15" customHeight="1">
      <c r="A16" s="12">
        <v>4</v>
      </c>
      <c r="B16" s="10" t="str">
        <f>LIDER!F46</f>
        <v>MOISES RAFAEL LOPEZ HERNANDEZ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3.5000000000000004</v>
      </c>
      <c r="F16" s="204"/>
      <c r="G16" s="143"/>
      <c r="H16" s="202"/>
      <c r="I16" s="143"/>
      <c r="J16" s="202"/>
      <c r="K16" s="143"/>
      <c r="L16" s="20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4"/>
      <c r="G17" s="143"/>
      <c r="H17" s="202"/>
      <c r="I17" s="143"/>
      <c r="J17" s="202"/>
      <c r="K17" s="143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143"/>
      <c r="H18" s="202"/>
      <c r="I18" s="143"/>
      <c r="J18" s="202"/>
      <c r="K18" s="143"/>
      <c r="L18" s="202"/>
    </row>
    <row r="19" spans="1:12" s="2" customFormat="1" ht="15.75" customHeight="1">
      <c r="A19" s="14"/>
      <c r="B19" s="25" t="s">
        <v>79</v>
      </c>
      <c r="C19" s="88" t="s">
        <v>80</v>
      </c>
      <c r="D19" s="32" t="str">
        <f>D12</f>
        <v>LIST</v>
      </c>
      <c r="E19" s="89" t="s">
        <v>76</v>
      </c>
      <c r="F19" s="147" t="str">
        <f>LIDER!$E$31</f>
        <v xml:space="preserve">GRUPO#3: ¿Cuáles son los aspectos legales, tributarios, administrativos, macroeconómicos, aduaneros, tecnológicos e inter. el perfil de COLOMBINA S.A. En los negocios inter.  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VALENTINA CARO HERNANDEZ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204">
        <v>4</v>
      </c>
      <c r="G20" s="143">
        <v>4</v>
      </c>
      <c r="H20" s="202">
        <v>4</v>
      </c>
      <c r="I20" s="143">
        <v>4</v>
      </c>
      <c r="J20" s="202">
        <v>4</v>
      </c>
      <c r="K20" s="143"/>
      <c r="L20" s="202"/>
    </row>
    <row r="21" spans="1:12" s="2" customFormat="1" ht="15" customHeight="1">
      <c r="A21" s="12">
        <v>2</v>
      </c>
      <c r="B21" s="10" t="str">
        <f>LIDER!G44</f>
        <v>YULIANIS MICHEAL CORDOBA SUAREZ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204"/>
      <c r="G21" s="143"/>
      <c r="H21" s="202"/>
      <c r="I21" s="143"/>
      <c r="J21" s="202"/>
      <c r="K21" s="143"/>
      <c r="L21" s="202"/>
    </row>
    <row r="22" spans="1:12" s="2" customFormat="1" ht="15" customHeight="1">
      <c r="A22" s="12">
        <v>3</v>
      </c>
      <c r="B22" s="10" t="str">
        <f>LIDER!G45</f>
        <v>VALERIA YOHANA MEDRANO MORALES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204"/>
      <c r="G22" s="143"/>
      <c r="H22" s="202"/>
      <c r="I22" s="143"/>
      <c r="J22" s="202"/>
      <c r="K22" s="143"/>
      <c r="L22" s="202"/>
    </row>
    <row r="23" spans="1:12" s="2" customFormat="1" ht="15" customHeight="1">
      <c r="A23" s="12">
        <v>4</v>
      </c>
      <c r="B23" s="10" t="str">
        <f>LIDER!G46</f>
        <v>VALERY MARIA SALAZAR OROZCO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204"/>
      <c r="G23" s="143"/>
      <c r="H23" s="202"/>
      <c r="I23" s="143"/>
      <c r="J23" s="202"/>
      <c r="K23" s="143"/>
      <c r="L23" s="202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143"/>
      <c r="H24" s="202"/>
      <c r="I24" s="143"/>
      <c r="J24" s="202"/>
      <c r="K24" s="143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143"/>
      <c r="H25" s="202"/>
      <c r="I25" s="143"/>
      <c r="J25" s="202"/>
      <c r="K25" s="143"/>
      <c r="L25" s="202"/>
    </row>
    <row r="26" spans="1:12" s="2" customFormat="1" ht="15.75" customHeight="1">
      <c r="A26" s="14"/>
      <c r="B26" s="25" t="s">
        <v>62</v>
      </c>
      <c r="C26" s="88" t="s">
        <v>81</v>
      </c>
      <c r="D26" s="32" t="str">
        <f>D19</f>
        <v>LIST</v>
      </c>
      <c r="E26" s="89" t="s">
        <v>76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143"/>
      <c r="H27" s="202"/>
      <c r="I27" s="143"/>
      <c r="J27" s="202"/>
      <c r="K27" s="143"/>
      <c r="L27" s="202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143"/>
      <c r="H28" s="202"/>
      <c r="I28" s="143"/>
      <c r="J28" s="202"/>
      <c r="K28" s="143"/>
      <c r="L28" s="202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143"/>
      <c r="H29" s="202"/>
      <c r="I29" s="143"/>
      <c r="J29" s="202"/>
      <c r="K29" s="143"/>
      <c r="L29" s="202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143"/>
      <c r="H30" s="202"/>
      <c r="I30" s="143"/>
      <c r="J30" s="202"/>
      <c r="K30" s="143"/>
      <c r="L30" s="20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143"/>
      <c r="H31" s="202"/>
      <c r="I31" s="143"/>
      <c r="J31" s="202"/>
      <c r="K31" s="143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143"/>
      <c r="H32" s="202"/>
      <c r="I32" s="143"/>
      <c r="J32" s="202"/>
      <c r="K32" s="143"/>
      <c r="L32" s="202"/>
    </row>
    <row r="33" spans="1:12" s="2" customFormat="1" ht="15.75" customHeight="1">
      <c r="A33" s="14"/>
      <c r="B33" s="25" t="s">
        <v>63</v>
      </c>
      <c r="C33" s="88" t="s">
        <v>82</v>
      </c>
      <c r="D33" s="32" t="str">
        <f>D26</f>
        <v>LIST</v>
      </c>
      <c r="E33" s="89" t="s">
        <v>76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143"/>
      <c r="H34" s="202"/>
      <c r="I34" s="143"/>
      <c r="J34" s="202"/>
      <c r="K34" s="143"/>
      <c r="L34" s="202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143"/>
      <c r="H35" s="202"/>
      <c r="I35" s="143"/>
      <c r="J35" s="202"/>
      <c r="K35" s="143"/>
      <c r="L35" s="202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143"/>
      <c r="H36" s="202"/>
      <c r="I36" s="143"/>
      <c r="J36" s="202"/>
      <c r="K36" s="143"/>
      <c r="L36" s="202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143"/>
      <c r="H37" s="202"/>
      <c r="I37" s="143"/>
      <c r="J37" s="202"/>
      <c r="K37" s="143"/>
      <c r="L37" s="202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143"/>
      <c r="H38" s="202"/>
      <c r="I38" s="143"/>
      <c r="J38" s="202"/>
      <c r="K38" s="143"/>
      <c r="L38" s="20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143"/>
      <c r="H39" s="202"/>
      <c r="I39" s="143"/>
      <c r="J39" s="202"/>
      <c r="K39" s="143"/>
      <c r="L39" s="202"/>
    </row>
    <row r="40" spans="1:12" s="2" customFormat="1" ht="15.75" customHeight="1">
      <c r="A40" s="14"/>
      <c r="B40" s="25" t="s">
        <v>64</v>
      </c>
      <c r="C40" s="88" t="s">
        <v>83</v>
      </c>
      <c r="D40" s="32" t="str">
        <f>D33</f>
        <v>LIST</v>
      </c>
      <c r="E40" s="89" t="s">
        <v>76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143"/>
      <c r="H41" s="202"/>
      <c r="I41" s="143"/>
      <c r="J41" s="202"/>
      <c r="K41" s="143"/>
      <c r="L41" s="20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143"/>
      <c r="H42" s="202"/>
      <c r="I42" s="143"/>
      <c r="J42" s="202"/>
      <c r="K42" s="143"/>
      <c r="L42" s="20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143"/>
      <c r="H43" s="202"/>
      <c r="I43" s="143"/>
      <c r="J43" s="202"/>
      <c r="K43" s="143"/>
      <c r="L43" s="20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143"/>
      <c r="H44" s="202"/>
      <c r="I44" s="143"/>
      <c r="J44" s="202"/>
      <c r="K44" s="143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143"/>
      <c r="H45" s="202"/>
      <c r="I45" s="143"/>
      <c r="J45" s="202"/>
      <c r="K45" s="143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143"/>
      <c r="H46" s="202"/>
      <c r="I46" s="143"/>
      <c r="J46" s="202"/>
      <c r="K46" s="143"/>
      <c r="L46" s="202"/>
    </row>
    <row r="47" spans="1:12" s="2" customFormat="1" ht="15.75" customHeight="1">
      <c r="A47" s="14"/>
      <c r="B47" s="25" t="s">
        <v>65</v>
      </c>
      <c r="C47" s="88" t="s">
        <v>84</v>
      </c>
      <c r="D47" s="32" t="str">
        <f>D40</f>
        <v>LIST</v>
      </c>
      <c r="E47" s="89" t="s">
        <v>76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143"/>
      <c r="H48" s="202"/>
      <c r="I48" s="143"/>
      <c r="J48" s="202"/>
      <c r="K48" s="143"/>
      <c r="L48" s="20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143"/>
      <c r="H49" s="202"/>
      <c r="I49" s="143"/>
      <c r="J49" s="202"/>
      <c r="K49" s="143"/>
      <c r="L49" s="20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143"/>
      <c r="H50" s="202"/>
      <c r="I50" s="143"/>
      <c r="J50" s="202"/>
      <c r="K50" s="143"/>
      <c r="L50" s="20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143"/>
      <c r="H51" s="202"/>
      <c r="I51" s="143"/>
      <c r="J51" s="202"/>
      <c r="K51" s="143"/>
      <c r="L51" s="20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143"/>
      <c r="H52" s="202"/>
      <c r="I52" s="143"/>
      <c r="J52" s="202"/>
      <c r="K52" s="143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143"/>
      <c r="H53" s="202"/>
      <c r="I53" s="143"/>
      <c r="J53" s="202"/>
      <c r="K53" s="143"/>
      <c r="L53" s="202"/>
    </row>
    <row r="54" spans="1:12" s="2" customFormat="1" ht="15.75" customHeight="1">
      <c r="A54" s="14"/>
      <c r="B54" s="25" t="s">
        <v>66</v>
      </c>
      <c r="C54" s="88" t="s">
        <v>85</v>
      </c>
      <c r="D54" s="32" t="str">
        <f>D47</f>
        <v>LIST</v>
      </c>
      <c r="E54" s="89" t="s">
        <v>76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143"/>
      <c r="H55" s="202"/>
      <c r="I55" s="143"/>
      <c r="J55" s="202"/>
      <c r="K55" s="143"/>
      <c r="L55" s="20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143"/>
      <c r="H56" s="202"/>
      <c r="I56" s="143"/>
      <c r="J56" s="202"/>
      <c r="K56" s="143"/>
      <c r="L56" s="20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143"/>
      <c r="H57" s="202"/>
      <c r="I57" s="143"/>
      <c r="J57" s="202"/>
      <c r="K57" s="143"/>
      <c r="L57" s="20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143"/>
      <c r="H58" s="202"/>
      <c r="I58" s="143"/>
      <c r="J58" s="202"/>
      <c r="K58" s="143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143"/>
      <c r="H59" s="202"/>
      <c r="I59" s="143"/>
      <c r="J59" s="202"/>
      <c r="K59" s="143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143"/>
      <c r="H60" s="202"/>
      <c r="I60" s="143"/>
      <c r="J60" s="202"/>
      <c r="K60" s="143"/>
      <c r="L60" s="202"/>
    </row>
    <row r="61" spans="1:12" s="2" customFormat="1" ht="15.75" customHeight="1">
      <c r="A61" s="14"/>
      <c r="B61" s="25" t="s">
        <v>67</v>
      </c>
      <c r="C61" s="88" t="s">
        <v>86</v>
      </c>
      <c r="D61" s="32" t="str">
        <f>D54</f>
        <v>LIST</v>
      </c>
      <c r="E61" s="89" t="s">
        <v>76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143"/>
      <c r="H62" s="202"/>
      <c r="I62" s="143"/>
      <c r="J62" s="202"/>
      <c r="K62" s="143"/>
      <c r="L62" s="20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143"/>
      <c r="H63" s="202"/>
      <c r="I63" s="143"/>
      <c r="J63" s="202"/>
      <c r="K63" s="143"/>
      <c r="L63" s="20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143"/>
      <c r="H64" s="202"/>
      <c r="I64" s="143"/>
      <c r="J64" s="202"/>
      <c r="K64" s="143"/>
      <c r="L64" s="20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143"/>
      <c r="H65" s="202"/>
      <c r="I65" s="143"/>
      <c r="J65" s="202"/>
      <c r="K65" s="143"/>
      <c r="L65" s="20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143"/>
      <c r="H66" s="202"/>
      <c r="I66" s="143"/>
      <c r="J66" s="202"/>
      <c r="K66" s="143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143"/>
      <c r="H67" s="202"/>
      <c r="I67" s="143"/>
      <c r="J67" s="202"/>
      <c r="K67" s="143"/>
      <c r="L67" s="202"/>
    </row>
    <row r="68" spans="1:12" s="2" customFormat="1" ht="15.75" customHeight="1">
      <c r="A68" s="14"/>
      <c r="B68" s="25" t="s">
        <v>68</v>
      </c>
      <c r="C68" s="88" t="s">
        <v>87</v>
      </c>
      <c r="D68" s="32" t="str">
        <f>D61</f>
        <v>LIST</v>
      </c>
      <c r="E68" s="89" t="s">
        <v>76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143"/>
      <c r="H69" s="202"/>
      <c r="I69" s="143"/>
      <c r="J69" s="202"/>
      <c r="K69" s="143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143"/>
      <c r="H70" s="202"/>
      <c r="I70" s="143"/>
      <c r="J70" s="202"/>
      <c r="K70" s="143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143"/>
      <c r="H71" s="202"/>
      <c r="I71" s="143"/>
      <c r="J71" s="202"/>
      <c r="K71" s="143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143"/>
      <c r="H72" s="202"/>
      <c r="I72" s="143"/>
      <c r="J72" s="202"/>
      <c r="K72" s="143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143"/>
      <c r="H73" s="202"/>
      <c r="I73" s="143"/>
      <c r="J73" s="202"/>
      <c r="K73" s="143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143"/>
      <c r="H74" s="202"/>
      <c r="I74" s="143"/>
      <c r="J74" s="202"/>
      <c r="K74" s="143"/>
      <c r="L74" s="202"/>
    </row>
    <row r="75" spans="1:12" s="2" customFormat="1" ht="15.75" customHeight="1">
      <c r="A75" s="14"/>
      <c r="B75" s="25" t="s">
        <v>69</v>
      </c>
      <c r="C75" s="88" t="s">
        <v>88</v>
      </c>
      <c r="D75" s="32" t="str">
        <f>D68</f>
        <v>LIST</v>
      </c>
      <c r="E75" s="89" t="s">
        <v>76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143"/>
      <c r="H76" s="202"/>
      <c r="I76" s="143"/>
      <c r="J76" s="202"/>
      <c r="K76" s="143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143"/>
      <c r="H77" s="202"/>
      <c r="I77" s="143"/>
      <c r="J77" s="202"/>
      <c r="K77" s="143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143"/>
      <c r="H78" s="202"/>
      <c r="I78" s="143"/>
      <c r="J78" s="202"/>
      <c r="K78" s="143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143"/>
      <c r="H79" s="202"/>
      <c r="I79" s="143"/>
      <c r="J79" s="202"/>
      <c r="K79" s="143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143"/>
      <c r="H80" s="202"/>
      <c r="I80" s="143"/>
      <c r="J80" s="202"/>
      <c r="K80" s="143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143"/>
      <c r="H81" s="202"/>
      <c r="I81" s="143"/>
      <c r="J81" s="202"/>
      <c r="K81" s="143"/>
      <c r="L81" s="202"/>
    </row>
    <row r="82" spans="1:12" s="2" customFormat="1" ht="15.75" customHeight="1">
      <c r="A82" s="14"/>
      <c r="B82" s="25" t="s">
        <v>70</v>
      </c>
      <c r="C82" s="88" t="s">
        <v>89</v>
      </c>
      <c r="D82" s="32" t="str">
        <f>D75</f>
        <v>LIST</v>
      </c>
      <c r="E82" s="89" t="s">
        <v>76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143"/>
      <c r="H83" s="202"/>
      <c r="I83" s="143"/>
      <c r="J83" s="202"/>
      <c r="K83" s="143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143"/>
      <c r="H84" s="202"/>
      <c r="I84" s="143"/>
      <c r="J84" s="202"/>
      <c r="K84" s="143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143"/>
      <c r="H85" s="202"/>
      <c r="I85" s="143"/>
      <c r="J85" s="202"/>
      <c r="K85" s="143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143"/>
      <c r="H86" s="202"/>
      <c r="I86" s="143"/>
      <c r="J86" s="202"/>
      <c r="K86" s="143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143"/>
      <c r="H87" s="202"/>
      <c r="I87" s="143"/>
      <c r="J87" s="202"/>
      <c r="K87" s="143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54"/>
      <c r="H88" s="203"/>
      <c r="I88" s="154"/>
      <c r="J88" s="203"/>
      <c r="K88" s="154"/>
      <c r="L88" s="203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I13" sqref="I13:I18"/>
      <selection pane="bottomLeft" activeCell="I13" sqref="I13:I18"/>
      <selection pane="topRight" activeCell="I13" sqref="I13:I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4" t="str">
        <f>LIDER!B2</f>
        <v>TECNOLOGÍA EN GESTIÓN DE NEGOCIOS INTERN</v>
      </c>
      <c r="B1" s="145"/>
      <c r="C1" s="145"/>
      <c r="D1" s="145"/>
      <c r="E1" s="145"/>
      <c r="F1" s="145"/>
      <c r="G1" s="145"/>
      <c r="H1" s="14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LIDER!E4</f>
        <v>LEGISLACION PARA EL COMERCIO</v>
      </c>
      <c r="C2" s="82"/>
      <c r="D2" s="3"/>
      <c r="F2" s="210" t="s">
        <v>71</v>
      </c>
      <c r="G2" s="211"/>
      <c r="H2" s="211"/>
      <c r="I2" s="211"/>
      <c r="J2" s="211"/>
      <c r="K2" s="211"/>
      <c r="L2" s="212"/>
    </row>
    <row r="3" spans="1:12" s="2" customFormat="1" ht="145.5" customHeight="1">
      <c r="B3" s="83" t="s">
        <v>72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3" t="str">
        <f>CONCATENATE(LIDER!E4," - ",LIDER!E6," - ",LIDER!E5)</f>
        <v>LEGISLACION PARA EL COMERCIO - 2487 - ELENA MELENDEZ TAPIA</v>
      </c>
      <c r="G4" s="213"/>
      <c r="H4" s="213"/>
      <c r="I4" s="213"/>
      <c r="J4" s="213"/>
      <c r="K4" s="213"/>
      <c r="L4" s="213"/>
    </row>
    <row r="5" spans="1:12" s="2" customFormat="1" ht="15.75" customHeight="1" thickBot="1">
      <c r="A5" s="8"/>
      <c r="B5" s="25" t="s">
        <v>73</v>
      </c>
      <c r="C5" s="88" t="s">
        <v>74</v>
      </c>
      <c r="D5" s="32" t="s">
        <v>75</v>
      </c>
      <c r="E5" s="89" t="s">
        <v>76</v>
      </c>
      <c r="F5" s="147" t="str">
        <f>LIDER!$E$29</f>
        <v>GRUPO#1: PERFIL INTERNACIONAL DE ECOPETROL- ESTUDIO LEGAL, TRIBUTARIO, ADMINISTRATIVO, MACROECONÓMICO, ADUANERO Y TECNOLÓGICO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MIGUEL ANTONIO BARON REVOLLO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4.6500000000000004</v>
      </c>
      <c r="F6" s="204">
        <v>4.5</v>
      </c>
      <c r="G6" s="143">
        <v>5</v>
      </c>
      <c r="H6" s="202">
        <v>4.5</v>
      </c>
      <c r="I6" s="143">
        <v>4.5</v>
      </c>
      <c r="J6" s="202">
        <v>5</v>
      </c>
      <c r="K6" s="143"/>
      <c r="L6" s="202"/>
    </row>
    <row r="7" spans="1:12" s="2" customFormat="1" ht="15" customHeight="1">
      <c r="A7" s="12">
        <v>2</v>
      </c>
      <c r="B7" s="10" t="str">
        <f>LIDER!E44</f>
        <v>GREISY JULIANA MENDOZA MORALES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4.6500000000000004</v>
      </c>
      <c r="F7" s="204"/>
      <c r="G7" s="143"/>
      <c r="H7" s="202"/>
      <c r="I7" s="143"/>
      <c r="J7" s="202"/>
      <c r="K7" s="143"/>
      <c r="L7" s="202"/>
    </row>
    <row r="8" spans="1:12" s="2" customFormat="1" ht="15" customHeight="1">
      <c r="A8" s="12">
        <v>3</v>
      </c>
      <c r="B8" s="10" t="str">
        <f>LIDER!E45</f>
        <v>DINA LUZ TAPIA ARRIETA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4.6500000000000004</v>
      </c>
      <c r="F8" s="204"/>
      <c r="G8" s="143"/>
      <c r="H8" s="202"/>
      <c r="I8" s="143"/>
      <c r="J8" s="202"/>
      <c r="K8" s="143"/>
      <c r="L8" s="202"/>
    </row>
    <row r="9" spans="1:12" s="2" customFormat="1" ht="15" customHeight="1">
      <c r="A9" s="12">
        <v>4</v>
      </c>
      <c r="B9" s="10" t="str">
        <f>LIDER!E46</f>
        <v>CAMILA ANDREA VALENCIA TEHERAN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4.6500000000000004</v>
      </c>
      <c r="F9" s="204"/>
      <c r="G9" s="143"/>
      <c r="H9" s="202"/>
      <c r="I9" s="143"/>
      <c r="J9" s="202"/>
      <c r="K9" s="143"/>
      <c r="L9" s="20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4"/>
      <c r="G10" s="143"/>
      <c r="H10" s="202"/>
      <c r="I10" s="143"/>
      <c r="J10" s="202"/>
      <c r="K10" s="143"/>
      <c r="L10" s="20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4"/>
      <c r="G11" s="143"/>
      <c r="H11" s="202"/>
      <c r="I11" s="143"/>
      <c r="J11" s="202"/>
      <c r="K11" s="143"/>
      <c r="L11" s="202"/>
    </row>
    <row r="12" spans="1:12" s="2" customFormat="1" ht="15.75" customHeight="1" thickBot="1">
      <c r="A12" s="8"/>
      <c r="B12" s="25" t="s">
        <v>77</v>
      </c>
      <c r="C12" s="88" t="s">
        <v>78</v>
      </c>
      <c r="D12" s="32" t="str">
        <f>D5</f>
        <v>LIST</v>
      </c>
      <c r="E12" s="89" t="s">
        <v>76</v>
      </c>
      <c r="F12" s="147" t="str">
        <f>LIDER!$E$30</f>
        <v>GRUPO#2: Aspectos legales, tributarios, administrativos, macroeconómicos, aduaneros, tecnológicos e inter.que definen el de perfil Ecopetrol S.A . En los negocios inter.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SANTIAGO ANDRES BRAVO MARTINEZ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2.0999999999999996</v>
      </c>
      <c r="F13" s="204">
        <v>2</v>
      </c>
      <c r="G13" s="143">
        <v>2</v>
      </c>
      <c r="H13" s="202">
        <v>2</v>
      </c>
      <c r="I13" s="143">
        <v>1</v>
      </c>
      <c r="J13" s="202">
        <v>5</v>
      </c>
      <c r="K13" s="143"/>
      <c r="L13" s="202"/>
    </row>
    <row r="14" spans="1:12" s="2" customFormat="1" ht="15" customHeight="1">
      <c r="A14" s="12">
        <v>2</v>
      </c>
      <c r="B14" s="10" t="str">
        <f>LIDER!F44</f>
        <v>MATTHIAS MATTHIAS CAMPO PASSO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2.0999999999999996</v>
      </c>
      <c r="F14" s="204"/>
      <c r="G14" s="143"/>
      <c r="H14" s="202"/>
      <c r="I14" s="143"/>
      <c r="J14" s="202"/>
      <c r="K14" s="143"/>
      <c r="L14" s="202"/>
    </row>
    <row r="15" spans="1:12" s="2" customFormat="1" ht="15" customHeight="1">
      <c r="A15" s="12">
        <v>3</v>
      </c>
      <c r="B15" s="10" t="str">
        <f>LIDER!F45</f>
        <v>HANNA XILENA FERNÁNDEZ RUIZ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2.0999999999999996</v>
      </c>
      <c r="F15" s="204"/>
      <c r="G15" s="143"/>
      <c r="H15" s="202"/>
      <c r="I15" s="143"/>
      <c r="J15" s="202"/>
      <c r="K15" s="143"/>
      <c r="L15" s="202"/>
    </row>
    <row r="16" spans="1:12" s="2" customFormat="1" ht="15" customHeight="1">
      <c r="A16" s="12">
        <v>4</v>
      </c>
      <c r="B16" s="10" t="str">
        <f>LIDER!F46</f>
        <v>MOISES RAFAEL LOPEZ HERNANDEZ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2.0999999999999996</v>
      </c>
      <c r="F16" s="204"/>
      <c r="G16" s="143"/>
      <c r="H16" s="202"/>
      <c r="I16" s="143"/>
      <c r="J16" s="202"/>
      <c r="K16" s="143"/>
      <c r="L16" s="20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4"/>
      <c r="G17" s="143"/>
      <c r="H17" s="202"/>
      <c r="I17" s="143"/>
      <c r="J17" s="202"/>
      <c r="K17" s="143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143"/>
      <c r="H18" s="202"/>
      <c r="I18" s="143"/>
      <c r="J18" s="202"/>
      <c r="K18" s="143"/>
      <c r="L18" s="202"/>
    </row>
    <row r="19" spans="1:12" s="2" customFormat="1" ht="15.75" customHeight="1">
      <c r="A19" s="14"/>
      <c r="B19" s="25" t="s">
        <v>79</v>
      </c>
      <c r="C19" s="88" t="s">
        <v>80</v>
      </c>
      <c r="D19" s="32" t="str">
        <f>D12</f>
        <v>LIST</v>
      </c>
      <c r="E19" s="89" t="s">
        <v>76</v>
      </c>
      <c r="F19" s="147" t="str">
        <f>LIDER!$E$31</f>
        <v xml:space="preserve">GRUPO#3: ¿Cuáles son los aspectos legales, tributarios, administrativos, macroeconómicos, aduaneros, tecnológicos e inter. el perfil de COLOMBINA S.A. En los negocios inter.  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VALENTINA CARO HERNANDEZ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3.8600000000000003</v>
      </c>
      <c r="F20" s="204">
        <v>3.8</v>
      </c>
      <c r="G20" s="143">
        <v>3.5</v>
      </c>
      <c r="H20" s="202">
        <v>4</v>
      </c>
      <c r="I20" s="143">
        <v>3.5</v>
      </c>
      <c r="J20" s="202">
        <v>5</v>
      </c>
      <c r="K20" s="143"/>
      <c r="L20" s="202"/>
    </row>
    <row r="21" spans="1:12" s="2" customFormat="1" ht="15" customHeight="1">
      <c r="A21" s="12">
        <v>2</v>
      </c>
      <c r="B21" s="10" t="str">
        <f>LIDER!G44</f>
        <v>YULIANIS MICHEAL CORDOBA SUAREZ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3.8600000000000003</v>
      </c>
      <c r="F21" s="204"/>
      <c r="G21" s="143"/>
      <c r="H21" s="202"/>
      <c r="I21" s="143"/>
      <c r="J21" s="202"/>
      <c r="K21" s="143"/>
      <c r="L21" s="202"/>
    </row>
    <row r="22" spans="1:12" s="2" customFormat="1" ht="15" customHeight="1">
      <c r="A22" s="12">
        <v>3</v>
      </c>
      <c r="B22" s="10" t="str">
        <f>LIDER!G45</f>
        <v>VALERIA YOHANA MEDRANO MORALES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3.8600000000000003</v>
      </c>
      <c r="F22" s="204"/>
      <c r="G22" s="143"/>
      <c r="H22" s="202"/>
      <c r="I22" s="143"/>
      <c r="J22" s="202"/>
      <c r="K22" s="143"/>
      <c r="L22" s="202"/>
    </row>
    <row r="23" spans="1:12" s="2" customFormat="1" ht="15" customHeight="1">
      <c r="A23" s="12">
        <v>4</v>
      </c>
      <c r="B23" s="10" t="str">
        <f>LIDER!G46</f>
        <v>VALERY MARIA SALAZAR OROZCO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3.8600000000000003</v>
      </c>
      <c r="F23" s="204"/>
      <c r="G23" s="143"/>
      <c r="H23" s="202"/>
      <c r="I23" s="143"/>
      <c r="J23" s="202"/>
      <c r="K23" s="143"/>
      <c r="L23" s="202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143"/>
      <c r="H24" s="202"/>
      <c r="I24" s="143"/>
      <c r="J24" s="202"/>
      <c r="K24" s="143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143"/>
      <c r="H25" s="202"/>
      <c r="I25" s="143"/>
      <c r="J25" s="202"/>
      <c r="K25" s="143"/>
      <c r="L25" s="202"/>
    </row>
    <row r="26" spans="1:12" s="2" customFormat="1" ht="15.75" customHeight="1">
      <c r="A26" s="14"/>
      <c r="B26" s="25" t="s">
        <v>62</v>
      </c>
      <c r="C26" s="88" t="s">
        <v>81</v>
      </c>
      <c r="D26" s="32" t="str">
        <f>D19</f>
        <v>LIST</v>
      </c>
      <c r="E26" s="89" t="s">
        <v>76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143"/>
      <c r="H27" s="202"/>
      <c r="I27" s="143"/>
      <c r="J27" s="202"/>
      <c r="K27" s="143"/>
      <c r="L27" s="202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143"/>
      <c r="H28" s="202"/>
      <c r="I28" s="143"/>
      <c r="J28" s="202"/>
      <c r="K28" s="143"/>
      <c r="L28" s="202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143"/>
      <c r="H29" s="202"/>
      <c r="I29" s="143"/>
      <c r="J29" s="202"/>
      <c r="K29" s="143"/>
      <c r="L29" s="202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143"/>
      <c r="H30" s="202"/>
      <c r="I30" s="143"/>
      <c r="J30" s="202"/>
      <c r="K30" s="143"/>
      <c r="L30" s="20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143"/>
      <c r="H31" s="202"/>
      <c r="I31" s="143"/>
      <c r="J31" s="202"/>
      <c r="K31" s="143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143"/>
      <c r="H32" s="202"/>
      <c r="I32" s="143"/>
      <c r="J32" s="202"/>
      <c r="K32" s="143"/>
      <c r="L32" s="202"/>
    </row>
    <row r="33" spans="1:12" s="2" customFormat="1" ht="15.75" customHeight="1">
      <c r="A33" s="14"/>
      <c r="B33" s="25" t="s">
        <v>63</v>
      </c>
      <c r="C33" s="88" t="s">
        <v>82</v>
      </c>
      <c r="D33" s="32" t="str">
        <f>D26</f>
        <v>LIST</v>
      </c>
      <c r="E33" s="89" t="s">
        <v>76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143"/>
      <c r="H34" s="202"/>
      <c r="I34" s="143"/>
      <c r="J34" s="202"/>
      <c r="K34" s="143"/>
      <c r="L34" s="202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143"/>
      <c r="H35" s="202"/>
      <c r="I35" s="143"/>
      <c r="J35" s="202"/>
      <c r="K35" s="143"/>
      <c r="L35" s="202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143"/>
      <c r="H36" s="202"/>
      <c r="I36" s="143"/>
      <c r="J36" s="202"/>
      <c r="K36" s="143"/>
      <c r="L36" s="202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143"/>
      <c r="H37" s="202"/>
      <c r="I37" s="143"/>
      <c r="J37" s="202"/>
      <c r="K37" s="143"/>
      <c r="L37" s="202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143"/>
      <c r="H38" s="202"/>
      <c r="I38" s="143"/>
      <c r="J38" s="202"/>
      <c r="K38" s="143"/>
      <c r="L38" s="20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143"/>
      <c r="H39" s="202"/>
      <c r="I39" s="143"/>
      <c r="J39" s="202"/>
      <c r="K39" s="143"/>
      <c r="L39" s="202"/>
    </row>
    <row r="40" spans="1:12" s="2" customFormat="1" ht="15.75" customHeight="1">
      <c r="A40" s="14"/>
      <c r="B40" s="25" t="s">
        <v>64</v>
      </c>
      <c r="C40" s="88" t="s">
        <v>83</v>
      </c>
      <c r="D40" s="32" t="str">
        <f>D33</f>
        <v>LIST</v>
      </c>
      <c r="E40" s="89" t="s">
        <v>76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143"/>
      <c r="H41" s="202"/>
      <c r="I41" s="143"/>
      <c r="J41" s="202"/>
      <c r="K41" s="143"/>
      <c r="L41" s="20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143"/>
      <c r="H42" s="202"/>
      <c r="I42" s="143"/>
      <c r="J42" s="202"/>
      <c r="K42" s="143"/>
      <c r="L42" s="20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143"/>
      <c r="H43" s="202"/>
      <c r="I43" s="143"/>
      <c r="J43" s="202"/>
      <c r="K43" s="143"/>
      <c r="L43" s="20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143"/>
      <c r="H44" s="202"/>
      <c r="I44" s="143"/>
      <c r="J44" s="202"/>
      <c r="K44" s="143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143"/>
      <c r="H45" s="202"/>
      <c r="I45" s="143"/>
      <c r="J45" s="202"/>
      <c r="K45" s="143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143"/>
      <c r="H46" s="202"/>
      <c r="I46" s="143"/>
      <c r="J46" s="202"/>
      <c r="K46" s="143"/>
      <c r="L46" s="202"/>
    </row>
    <row r="47" spans="1:12" s="2" customFormat="1" ht="15.75" customHeight="1">
      <c r="A47" s="14"/>
      <c r="B47" s="25" t="s">
        <v>65</v>
      </c>
      <c r="C47" s="88" t="s">
        <v>84</v>
      </c>
      <c r="D47" s="32" t="str">
        <f>D40</f>
        <v>LIST</v>
      </c>
      <c r="E47" s="89" t="s">
        <v>76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143"/>
      <c r="H48" s="202"/>
      <c r="I48" s="143"/>
      <c r="J48" s="202"/>
      <c r="K48" s="143"/>
      <c r="L48" s="20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143"/>
      <c r="H49" s="202"/>
      <c r="I49" s="143"/>
      <c r="J49" s="202"/>
      <c r="K49" s="143"/>
      <c r="L49" s="20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143"/>
      <c r="H50" s="202"/>
      <c r="I50" s="143"/>
      <c r="J50" s="202"/>
      <c r="K50" s="143"/>
      <c r="L50" s="20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143"/>
      <c r="H51" s="202"/>
      <c r="I51" s="143"/>
      <c r="J51" s="202"/>
      <c r="K51" s="143"/>
      <c r="L51" s="20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143"/>
      <c r="H52" s="202"/>
      <c r="I52" s="143"/>
      <c r="J52" s="202"/>
      <c r="K52" s="143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143"/>
      <c r="H53" s="202"/>
      <c r="I53" s="143"/>
      <c r="J53" s="202"/>
      <c r="K53" s="143"/>
      <c r="L53" s="202"/>
    </row>
    <row r="54" spans="1:12" s="2" customFormat="1" ht="15.75" customHeight="1">
      <c r="A54" s="14"/>
      <c r="B54" s="25" t="s">
        <v>66</v>
      </c>
      <c r="C54" s="88" t="s">
        <v>85</v>
      </c>
      <c r="D54" s="32" t="str">
        <f>D47</f>
        <v>LIST</v>
      </c>
      <c r="E54" s="89" t="s">
        <v>76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143"/>
      <c r="H55" s="202"/>
      <c r="I55" s="143"/>
      <c r="J55" s="202"/>
      <c r="K55" s="143"/>
      <c r="L55" s="20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143"/>
      <c r="H56" s="202"/>
      <c r="I56" s="143"/>
      <c r="J56" s="202"/>
      <c r="K56" s="143"/>
      <c r="L56" s="20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143"/>
      <c r="H57" s="202"/>
      <c r="I57" s="143"/>
      <c r="J57" s="202"/>
      <c r="K57" s="143"/>
      <c r="L57" s="20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143"/>
      <c r="H58" s="202"/>
      <c r="I58" s="143"/>
      <c r="J58" s="202"/>
      <c r="K58" s="143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143"/>
      <c r="H59" s="202"/>
      <c r="I59" s="143"/>
      <c r="J59" s="202"/>
      <c r="K59" s="143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143"/>
      <c r="H60" s="202"/>
      <c r="I60" s="143"/>
      <c r="J60" s="202"/>
      <c r="K60" s="143"/>
      <c r="L60" s="202"/>
    </row>
    <row r="61" spans="1:12" s="2" customFormat="1" ht="15.75" customHeight="1">
      <c r="A61" s="14"/>
      <c r="B61" s="25" t="s">
        <v>67</v>
      </c>
      <c r="C61" s="88" t="s">
        <v>86</v>
      </c>
      <c r="D61" s="32" t="str">
        <f>D54</f>
        <v>LIST</v>
      </c>
      <c r="E61" s="89" t="s">
        <v>76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143"/>
      <c r="H62" s="202"/>
      <c r="I62" s="143"/>
      <c r="J62" s="202"/>
      <c r="K62" s="143"/>
      <c r="L62" s="20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143"/>
      <c r="H63" s="202"/>
      <c r="I63" s="143"/>
      <c r="J63" s="202"/>
      <c r="K63" s="143"/>
      <c r="L63" s="20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143"/>
      <c r="H64" s="202"/>
      <c r="I64" s="143"/>
      <c r="J64" s="202"/>
      <c r="K64" s="143"/>
      <c r="L64" s="20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143"/>
      <c r="H65" s="202"/>
      <c r="I65" s="143"/>
      <c r="J65" s="202"/>
      <c r="K65" s="143"/>
      <c r="L65" s="20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143"/>
      <c r="H66" s="202"/>
      <c r="I66" s="143"/>
      <c r="J66" s="202"/>
      <c r="K66" s="143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143"/>
      <c r="H67" s="202"/>
      <c r="I67" s="143"/>
      <c r="J67" s="202"/>
      <c r="K67" s="143"/>
      <c r="L67" s="202"/>
    </row>
    <row r="68" spans="1:12" s="2" customFormat="1" ht="15.75" customHeight="1">
      <c r="A68" s="14"/>
      <c r="B68" s="25" t="s">
        <v>68</v>
      </c>
      <c r="C68" s="88" t="s">
        <v>87</v>
      </c>
      <c r="D68" s="32" t="str">
        <f>D61</f>
        <v>LIST</v>
      </c>
      <c r="E68" s="89" t="s">
        <v>76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143"/>
      <c r="H69" s="202"/>
      <c r="I69" s="143"/>
      <c r="J69" s="202"/>
      <c r="K69" s="143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143"/>
      <c r="H70" s="202"/>
      <c r="I70" s="143"/>
      <c r="J70" s="202"/>
      <c r="K70" s="143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143"/>
      <c r="H71" s="202"/>
      <c r="I71" s="143"/>
      <c r="J71" s="202"/>
      <c r="K71" s="143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143"/>
      <c r="H72" s="202"/>
      <c r="I72" s="143"/>
      <c r="J72" s="202"/>
      <c r="K72" s="143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143"/>
      <c r="H73" s="202"/>
      <c r="I73" s="143"/>
      <c r="J73" s="202"/>
      <c r="K73" s="143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143"/>
      <c r="H74" s="202"/>
      <c r="I74" s="143"/>
      <c r="J74" s="202"/>
      <c r="K74" s="143"/>
      <c r="L74" s="202"/>
    </row>
    <row r="75" spans="1:12" s="2" customFormat="1" ht="15.75" customHeight="1">
      <c r="A75" s="14"/>
      <c r="B75" s="25" t="s">
        <v>69</v>
      </c>
      <c r="C75" s="88" t="s">
        <v>88</v>
      </c>
      <c r="D75" s="32" t="str">
        <f>D68</f>
        <v>LIST</v>
      </c>
      <c r="E75" s="89" t="s">
        <v>76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143"/>
      <c r="H76" s="202"/>
      <c r="I76" s="143"/>
      <c r="J76" s="202"/>
      <c r="K76" s="143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143"/>
      <c r="H77" s="202"/>
      <c r="I77" s="143"/>
      <c r="J77" s="202"/>
      <c r="K77" s="143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143"/>
      <c r="H78" s="202"/>
      <c r="I78" s="143"/>
      <c r="J78" s="202"/>
      <c r="K78" s="143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143"/>
      <c r="H79" s="202"/>
      <c r="I79" s="143"/>
      <c r="J79" s="202"/>
      <c r="K79" s="143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143"/>
      <c r="H80" s="202"/>
      <c r="I80" s="143"/>
      <c r="J80" s="202"/>
      <c r="K80" s="143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143"/>
      <c r="H81" s="202"/>
      <c r="I81" s="143"/>
      <c r="J81" s="202"/>
      <c r="K81" s="143"/>
      <c r="L81" s="202"/>
    </row>
    <row r="82" spans="1:12" s="2" customFormat="1" ht="15.75" customHeight="1">
      <c r="A82" s="14"/>
      <c r="B82" s="25" t="s">
        <v>70</v>
      </c>
      <c r="C82" s="88" t="s">
        <v>89</v>
      </c>
      <c r="D82" s="32" t="str">
        <f>D75</f>
        <v>LIST</v>
      </c>
      <c r="E82" s="89" t="s">
        <v>76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143"/>
      <c r="H83" s="202"/>
      <c r="I83" s="143"/>
      <c r="J83" s="202"/>
      <c r="K83" s="143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143"/>
      <c r="H84" s="202"/>
      <c r="I84" s="143"/>
      <c r="J84" s="202"/>
      <c r="K84" s="143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143"/>
      <c r="H85" s="202"/>
      <c r="I85" s="143"/>
      <c r="J85" s="202"/>
      <c r="K85" s="143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143"/>
      <c r="H86" s="202"/>
      <c r="I86" s="143"/>
      <c r="J86" s="202"/>
      <c r="K86" s="143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143"/>
      <c r="H87" s="202"/>
      <c r="I87" s="143"/>
      <c r="J87" s="202"/>
      <c r="K87" s="143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54"/>
      <c r="H88" s="203"/>
      <c r="I88" s="154"/>
      <c r="J88" s="203"/>
      <c r="K88" s="154"/>
      <c r="L88" s="203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I13" sqref="I13:I18"/>
      <selection pane="bottomLeft" activeCell="I13" sqref="I13:I18"/>
      <selection pane="topRight" activeCell="I13" sqref="I13:I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4" t="str">
        <f>LIDER!B2</f>
        <v>TECNOLOGÍA EN GESTIÓN DE NEGOCIOS INTERN</v>
      </c>
      <c r="B1" s="145"/>
      <c r="C1" s="145"/>
      <c r="D1" s="145"/>
      <c r="E1" s="145"/>
      <c r="F1" s="145"/>
      <c r="G1" s="145"/>
      <c r="H1" s="14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LIDER!F4</f>
        <v>MACROECONOMÍA</v>
      </c>
      <c r="C2" s="82"/>
      <c r="D2" s="3"/>
      <c r="F2" s="210" t="s">
        <v>71</v>
      </c>
      <c r="G2" s="211"/>
      <c r="H2" s="211"/>
      <c r="I2" s="211"/>
      <c r="J2" s="211"/>
      <c r="K2" s="211"/>
      <c r="L2" s="212"/>
    </row>
    <row r="3" spans="1:12" s="2" customFormat="1" ht="145.5" customHeight="1">
      <c r="B3" s="83" t="s">
        <v>72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3" t="str">
        <f>CONCATENATE(LIDER!F4," - ",LIDER!F6," - ",LIDER!F5)</f>
        <v>MACROECONOMÍA - 1529 - ANDRES PAJARO CASTRO</v>
      </c>
      <c r="G4" s="213"/>
      <c r="H4" s="213"/>
      <c r="I4" s="213"/>
      <c r="J4" s="213"/>
      <c r="K4" s="213"/>
      <c r="L4" s="213"/>
    </row>
    <row r="5" spans="1:12" s="2" customFormat="1" ht="15.75" customHeight="1" thickBot="1">
      <c r="A5" s="8"/>
      <c r="B5" s="25" t="s">
        <v>73</v>
      </c>
      <c r="C5" s="88" t="s">
        <v>74</v>
      </c>
      <c r="D5" s="32" t="s">
        <v>75</v>
      </c>
      <c r="E5" s="89" t="s">
        <v>76</v>
      </c>
      <c r="F5" s="147" t="str">
        <f>LIDER!$E$29</f>
        <v>GRUPO#1: PERFIL INTERNACIONAL DE ECOPETROL- ESTUDIO LEGAL, TRIBUTARIO, ADMINISTRATIVO, MACROECONÓMICO, ADUANERO Y TECNOLÓGICO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MIGUEL ANTONIO BARON REVOLLO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4"/>
      <c r="G6" s="143"/>
      <c r="H6" s="202"/>
      <c r="I6" s="143"/>
      <c r="J6" s="202"/>
      <c r="K6" s="143"/>
      <c r="L6" s="202"/>
    </row>
    <row r="7" spans="1:12" s="2" customFormat="1" ht="15" customHeight="1">
      <c r="A7" s="12">
        <v>2</v>
      </c>
      <c r="B7" s="10" t="str">
        <f>LIDER!E44</f>
        <v>GREISY JULIANA MENDOZA MORALES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4"/>
      <c r="G7" s="143"/>
      <c r="H7" s="202"/>
      <c r="I7" s="143"/>
      <c r="J7" s="202"/>
      <c r="K7" s="143"/>
      <c r="L7" s="202"/>
    </row>
    <row r="8" spans="1:12" s="2" customFormat="1" ht="15" customHeight="1">
      <c r="A8" s="12">
        <v>3</v>
      </c>
      <c r="B8" s="10" t="str">
        <f>LIDER!E45</f>
        <v>DINA LUZ TAPIA ARRIETA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4"/>
      <c r="G8" s="143"/>
      <c r="H8" s="202"/>
      <c r="I8" s="143"/>
      <c r="J8" s="202"/>
      <c r="K8" s="143"/>
      <c r="L8" s="202"/>
    </row>
    <row r="9" spans="1:12" s="2" customFormat="1" ht="15" customHeight="1">
      <c r="A9" s="12">
        <v>4</v>
      </c>
      <c r="B9" s="10" t="str">
        <f>LIDER!E46</f>
        <v>CAMILA ANDREA VALENCIA TEHERAN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4"/>
      <c r="G9" s="143"/>
      <c r="H9" s="202"/>
      <c r="I9" s="143"/>
      <c r="J9" s="202"/>
      <c r="K9" s="143"/>
      <c r="L9" s="20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4"/>
      <c r="G10" s="143"/>
      <c r="H10" s="202"/>
      <c r="I10" s="143"/>
      <c r="J10" s="202"/>
      <c r="K10" s="143"/>
      <c r="L10" s="20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4"/>
      <c r="G11" s="143"/>
      <c r="H11" s="202"/>
      <c r="I11" s="143"/>
      <c r="J11" s="202"/>
      <c r="K11" s="143"/>
      <c r="L11" s="202"/>
    </row>
    <row r="12" spans="1:12" s="2" customFormat="1" ht="15.75" customHeight="1" thickBot="1">
      <c r="A12" s="8"/>
      <c r="B12" s="25" t="s">
        <v>77</v>
      </c>
      <c r="C12" s="88" t="s">
        <v>78</v>
      </c>
      <c r="D12" s="32" t="str">
        <f>D5</f>
        <v>LIST</v>
      </c>
      <c r="E12" s="89" t="s">
        <v>76</v>
      </c>
      <c r="F12" s="147" t="str">
        <f>LIDER!$E$30</f>
        <v>GRUPO#2: Aspectos legales, tributarios, administrativos, macroeconómicos, aduaneros, tecnológicos e inter.que definen el de perfil Ecopetrol S.A . En los negocios inter.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SANTIAGO ANDRES BRAVO MARTINEZ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4"/>
      <c r="G13" s="143"/>
      <c r="H13" s="202"/>
      <c r="I13" s="143"/>
      <c r="J13" s="202"/>
      <c r="K13" s="143"/>
      <c r="L13" s="202"/>
    </row>
    <row r="14" spans="1:12" s="2" customFormat="1" ht="15" customHeight="1">
      <c r="A14" s="12">
        <v>2</v>
      </c>
      <c r="B14" s="10" t="str">
        <f>LIDER!F44</f>
        <v>MATTHIAS MATTHIAS CAMPO PASSO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4"/>
      <c r="G14" s="143"/>
      <c r="H14" s="202"/>
      <c r="I14" s="143"/>
      <c r="J14" s="202"/>
      <c r="K14" s="143"/>
      <c r="L14" s="202"/>
    </row>
    <row r="15" spans="1:12" s="2" customFormat="1" ht="15" customHeight="1">
      <c r="A15" s="12">
        <v>3</v>
      </c>
      <c r="B15" s="10" t="str">
        <f>LIDER!F45</f>
        <v>HANNA XILENA FERNÁNDEZ RUIZ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4"/>
      <c r="G15" s="143"/>
      <c r="H15" s="202"/>
      <c r="I15" s="143"/>
      <c r="J15" s="202"/>
      <c r="K15" s="143"/>
      <c r="L15" s="202"/>
    </row>
    <row r="16" spans="1:12" s="2" customFormat="1" ht="15" customHeight="1">
      <c r="A16" s="12">
        <v>4</v>
      </c>
      <c r="B16" s="10" t="str">
        <f>LIDER!F46</f>
        <v>MOISES RAFAEL LOPEZ HERNANDEZ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4"/>
      <c r="G16" s="143"/>
      <c r="H16" s="202"/>
      <c r="I16" s="143"/>
      <c r="J16" s="202"/>
      <c r="K16" s="143"/>
      <c r="L16" s="20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4"/>
      <c r="G17" s="143"/>
      <c r="H17" s="202"/>
      <c r="I17" s="143"/>
      <c r="J17" s="202"/>
      <c r="K17" s="143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143"/>
      <c r="H18" s="202"/>
      <c r="I18" s="143"/>
      <c r="J18" s="202"/>
      <c r="K18" s="143"/>
      <c r="L18" s="202"/>
    </row>
    <row r="19" spans="1:12" s="2" customFormat="1" ht="15.75" customHeight="1">
      <c r="A19" s="14"/>
      <c r="B19" s="25" t="s">
        <v>79</v>
      </c>
      <c r="C19" s="88" t="s">
        <v>80</v>
      </c>
      <c r="D19" s="32" t="str">
        <f>D12</f>
        <v>LIST</v>
      </c>
      <c r="E19" s="89" t="s">
        <v>76</v>
      </c>
      <c r="F19" s="147" t="str">
        <f>LIDER!$E$31</f>
        <v xml:space="preserve">GRUPO#3: ¿Cuáles son los aspectos legales, tributarios, administrativos, macroeconómicos, aduaneros, tecnológicos e inter. el perfil de COLOMBINA S.A. En los negocios inter.  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VALENTINA CARO HERNANDEZ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4"/>
      <c r="G20" s="143"/>
      <c r="H20" s="202"/>
      <c r="I20" s="143"/>
      <c r="J20" s="202"/>
      <c r="K20" s="143"/>
      <c r="L20" s="202"/>
    </row>
    <row r="21" spans="1:12" s="2" customFormat="1" ht="15" customHeight="1">
      <c r="A21" s="12">
        <v>2</v>
      </c>
      <c r="B21" s="10" t="str">
        <f>LIDER!G44</f>
        <v>YULIANIS MICHEAL CORDOBA SUAREZ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4"/>
      <c r="G21" s="143"/>
      <c r="H21" s="202"/>
      <c r="I21" s="143"/>
      <c r="J21" s="202"/>
      <c r="K21" s="143"/>
      <c r="L21" s="202"/>
    </row>
    <row r="22" spans="1:12" s="2" customFormat="1" ht="15" customHeight="1">
      <c r="A22" s="12">
        <v>3</v>
      </c>
      <c r="B22" s="10" t="str">
        <f>LIDER!G45</f>
        <v>VALERIA YOHANA MEDRANO MORALES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4"/>
      <c r="G22" s="143"/>
      <c r="H22" s="202"/>
      <c r="I22" s="143"/>
      <c r="J22" s="202"/>
      <c r="K22" s="143"/>
      <c r="L22" s="202"/>
    </row>
    <row r="23" spans="1:12" s="2" customFormat="1" ht="15" customHeight="1">
      <c r="A23" s="12">
        <v>4</v>
      </c>
      <c r="B23" s="10" t="str">
        <f>LIDER!G46</f>
        <v>VALERY MARIA SALAZAR OROZCO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4"/>
      <c r="G23" s="143"/>
      <c r="H23" s="202"/>
      <c r="I23" s="143"/>
      <c r="J23" s="202"/>
      <c r="K23" s="143"/>
      <c r="L23" s="202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143"/>
      <c r="H24" s="202"/>
      <c r="I24" s="143"/>
      <c r="J24" s="202"/>
      <c r="K24" s="143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143"/>
      <c r="H25" s="202"/>
      <c r="I25" s="143"/>
      <c r="J25" s="202"/>
      <c r="K25" s="143"/>
      <c r="L25" s="202"/>
    </row>
    <row r="26" spans="1:12" s="2" customFormat="1" ht="15.75" customHeight="1">
      <c r="A26" s="14"/>
      <c r="B26" s="25" t="s">
        <v>62</v>
      </c>
      <c r="C26" s="88" t="s">
        <v>81</v>
      </c>
      <c r="D26" s="32" t="str">
        <f>D19</f>
        <v>LIST</v>
      </c>
      <c r="E26" s="89" t="s">
        <v>76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143"/>
      <c r="H27" s="202"/>
      <c r="I27" s="143"/>
      <c r="J27" s="202"/>
      <c r="K27" s="143"/>
      <c r="L27" s="202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143"/>
      <c r="H28" s="202"/>
      <c r="I28" s="143"/>
      <c r="J28" s="202"/>
      <c r="K28" s="143"/>
      <c r="L28" s="202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143"/>
      <c r="H29" s="202"/>
      <c r="I29" s="143"/>
      <c r="J29" s="202"/>
      <c r="K29" s="143"/>
      <c r="L29" s="202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143"/>
      <c r="H30" s="202"/>
      <c r="I30" s="143"/>
      <c r="J30" s="202"/>
      <c r="K30" s="143"/>
      <c r="L30" s="20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143"/>
      <c r="H31" s="202"/>
      <c r="I31" s="143"/>
      <c r="J31" s="202"/>
      <c r="K31" s="143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143"/>
      <c r="H32" s="202"/>
      <c r="I32" s="143"/>
      <c r="J32" s="202"/>
      <c r="K32" s="143"/>
      <c r="L32" s="202"/>
    </row>
    <row r="33" spans="1:12" s="2" customFormat="1" ht="15.75" customHeight="1">
      <c r="A33" s="14"/>
      <c r="B33" s="25" t="s">
        <v>63</v>
      </c>
      <c r="C33" s="88" t="s">
        <v>82</v>
      </c>
      <c r="D33" s="32" t="str">
        <f>D26</f>
        <v>LIST</v>
      </c>
      <c r="E33" s="89" t="s">
        <v>76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143"/>
      <c r="H34" s="202"/>
      <c r="I34" s="143"/>
      <c r="J34" s="202"/>
      <c r="K34" s="143"/>
      <c r="L34" s="202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143"/>
      <c r="H35" s="202"/>
      <c r="I35" s="143"/>
      <c r="J35" s="202"/>
      <c r="K35" s="143"/>
      <c r="L35" s="202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143"/>
      <c r="H36" s="202"/>
      <c r="I36" s="143"/>
      <c r="J36" s="202"/>
      <c r="K36" s="143"/>
      <c r="L36" s="202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143"/>
      <c r="H37" s="202"/>
      <c r="I37" s="143"/>
      <c r="J37" s="202"/>
      <c r="K37" s="143"/>
      <c r="L37" s="202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143"/>
      <c r="H38" s="202"/>
      <c r="I38" s="143"/>
      <c r="J38" s="202"/>
      <c r="K38" s="143"/>
      <c r="L38" s="20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143"/>
      <c r="H39" s="202"/>
      <c r="I39" s="143"/>
      <c r="J39" s="202"/>
      <c r="K39" s="143"/>
      <c r="L39" s="202"/>
    </row>
    <row r="40" spans="1:12" s="2" customFormat="1" ht="15.75" customHeight="1">
      <c r="A40" s="14"/>
      <c r="B40" s="25" t="s">
        <v>64</v>
      </c>
      <c r="C40" s="88" t="s">
        <v>83</v>
      </c>
      <c r="D40" s="32" t="str">
        <f>D33</f>
        <v>LIST</v>
      </c>
      <c r="E40" s="89" t="s">
        <v>76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143"/>
      <c r="H41" s="202"/>
      <c r="I41" s="143"/>
      <c r="J41" s="202"/>
      <c r="K41" s="143"/>
      <c r="L41" s="20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143"/>
      <c r="H42" s="202"/>
      <c r="I42" s="143"/>
      <c r="J42" s="202"/>
      <c r="K42" s="143"/>
      <c r="L42" s="20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143"/>
      <c r="H43" s="202"/>
      <c r="I43" s="143"/>
      <c r="J43" s="202"/>
      <c r="K43" s="143"/>
      <c r="L43" s="20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143"/>
      <c r="H44" s="202"/>
      <c r="I44" s="143"/>
      <c r="J44" s="202"/>
      <c r="K44" s="143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143"/>
      <c r="H45" s="202"/>
      <c r="I45" s="143"/>
      <c r="J45" s="202"/>
      <c r="K45" s="143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143"/>
      <c r="H46" s="202"/>
      <c r="I46" s="143"/>
      <c r="J46" s="202"/>
      <c r="K46" s="143"/>
      <c r="L46" s="202"/>
    </row>
    <row r="47" spans="1:12" s="2" customFormat="1" ht="15.75" customHeight="1">
      <c r="A47" s="14"/>
      <c r="B47" s="25" t="s">
        <v>65</v>
      </c>
      <c r="C47" s="88" t="s">
        <v>84</v>
      </c>
      <c r="D47" s="32" t="str">
        <f>D40</f>
        <v>LIST</v>
      </c>
      <c r="E47" s="89" t="s">
        <v>76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143"/>
      <c r="H48" s="202"/>
      <c r="I48" s="143"/>
      <c r="J48" s="202"/>
      <c r="K48" s="143"/>
      <c r="L48" s="20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143"/>
      <c r="H49" s="202"/>
      <c r="I49" s="143"/>
      <c r="J49" s="202"/>
      <c r="K49" s="143"/>
      <c r="L49" s="20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143"/>
      <c r="H50" s="202"/>
      <c r="I50" s="143"/>
      <c r="J50" s="202"/>
      <c r="K50" s="143"/>
      <c r="L50" s="20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143"/>
      <c r="H51" s="202"/>
      <c r="I51" s="143"/>
      <c r="J51" s="202"/>
      <c r="K51" s="143"/>
      <c r="L51" s="20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143"/>
      <c r="H52" s="202"/>
      <c r="I52" s="143"/>
      <c r="J52" s="202"/>
      <c r="K52" s="143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143"/>
      <c r="H53" s="202"/>
      <c r="I53" s="143"/>
      <c r="J53" s="202"/>
      <c r="K53" s="143"/>
      <c r="L53" s="202"/>
    </row>
    <row r="54" spans="1:12" s="2" customFormat="1" ht="15.75" customHeight="1">
      <c r="A54" s="14"/>
      <c r="B54" s="25" t="s">
        <v>66</v>
      </c>
      <c r="C54" s="88" t="s">
        <v>85</v>
      </c>
      <c r="D54" s="32" t="str">
        <f>D47</f>
        <v>LIST</v>
      </c>
      <c r="E54" s="89" t="s">
        <v>76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143"/>
      <c r="H55" s="202"/>
      <c r="I55" s="143"/>
      <c r="J55" s="202"/>
      <c r="K55" s="143"/>
      <c r="L55" s="20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143"/>
      <c r="H56" s="202"/>
      <c r="I56" s="143"/>
      <c r="J56" s="202"/>
      <c r="K56" s="143"/>
      <c r="L56" s="20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143"/>
      <c r="H57" s="202"/>
      <c r="I57" s="143"/>
      <c r="J57" s="202"/>
      <c r="K57" s="143"/>
      <c r="L57" s="20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143"/>
      <c r="H58" s="202"/>
      <c r="I58" s="143"/>
      <c r="J58" s="202"/>
      <c r="K58" s="143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143"/>
      <c r="H59" s="202"/>
      <c r="I59" s="143"/>
      <c r="J59" s="202"/>
      <c r="K59" s="143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143"/>
      <c r="H60" s="202"/>
      <c r="I60" s="143"/>
      <c r="J60" s="202"/>
      <c r="K60" s="143"/>
      <c r="L60" s="202"/>
    </row>
    <row r="61" spans="1:12" s="2" customFormat="1" ht="15.75" customHeight="1">
      <c r="A61" s="14"/>
      <c r="B61" s="25" t="s">
        <v>67</v>
      </c>
      <c r="C61" s="88" t="s">
        <v>86</v>
      </c>
      <c r="D61" s="32" t="str">
        <f>D54</f>
        <v>LIST</v>
      </c>
      <c r="E61" s="89" t="s">
        <v>76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143"/>
      <c r="H62" s="202"/>
      <c r="I62" s="143"/>
      <c r="J62" s="202"/>
      <c r="K62" s="143"/>
      <c r="L62" s="20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143"/>
      <c r="H63" s="202"/>
      <c r="I63" s="143"/>
      <c r="J63" s="202"/>
      <c r="K63" s="143"/>
      <c r="L63" s="20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143"/>
      <c r="H64" s="202"/>
      <c r="I64" s="143"/>
      <c r="J64" s="202"/>
      <c r="K64" s="143"/>
      <c r="L64" s="20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143"/>
      <c r="H65" s="202"/>
      <c r="I65" s="143"/>
      <c r="J65" s="202"/>
      <c r="K65" s="143"/>
      <c r="L65" s="20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143"/>
      <c r="H66" s="202"/>
      <c r="I66" s="143"/>
      <c r="J66" s="202"/>
      <c r="K66" s="143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143"/>
      <c r="H67" s="202"/>
      <c r="I67" s="143"/>
      <c r="J67" s="202"/>
      <c r="K67" s="143"/>
      <c r="L67" s="202"/>
    </row>
    <row r="68" spans="1:12" s="2" customFormat="1" ht="15.75" customHeight="1">
      <c r="A68" s="14"/>
      <c r="B68" s="25" t="s">
        <v>68</v>
      </c>
      <c r="C68" s="88" t="s">
        <v>87</v>
      </c>
      <c r="D68" s="32" t="str">
        <f>D61</f>
        <v>LIST</v>
      </c>
      <c r="E68" s="89" t="s">
        <v>76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143"/>
      <c r="H69" s="202"/>
      <c r="I69" s="143"/>
      <c r="J69" s="202"/>
      <c r="K69" s="143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143"/>
      <c r="H70" s="202"/>
      <c r="I70" s="143"/>
      <c r="J70" s="202"/>
      <c r="K70" s="143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143"/>
      <c r="H71" s="202"/>
      <c r="I71" s="143"/>
      <c r="J71" s="202"/>
      <c r="K71" s="143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143"/>
      <c r="H72" s="202"/>
      <c r="I72" s="143"/>
      <c r="J72" s="202"/>
      <c r="K72" s="143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143"/>
      <c r="H73" s="202"/>
      <c r="I73" s="143"/>
      <c r="J73" s="202"/>
      <c r="K73" s="143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143"/>
      <c r="H74" s="202"/>
      <c r="I74" s="143"/>
      <c r="J74" s="202"/>
      <c r="K74" s="143"/>
      <c r="L74" s="202"/>
    </row>
    <row r="75" spans="1:12" s="2" customFormat="1" ht="15.75" customHeight="1">
      <c r="A75" s="14"/>
      <c r="B75" s="25" t="s">
        <v>69</v>
      </c>
      <c r="C75" s="88" t="s">
        <v>88</v>
      </c>
      <c r="D75" s="32" t="str">
        <f>D68</f>
        <v>LIST</v>
      </c>
      <c r="E75" s="89" t="s">
        <v>76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143"/>
      <c r="H76" s="202"/>
      <c r="I76" s="143"/>
      <c r="J76" s="202"/>
      <c r="K76" s="143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143"/>
      <c r="H77" s="202"/>
      <c r="I77" s="143"/>
      <c r="J77" s="202"/>
      <c r="K77" s="143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143"/>
      <c r="H78" s="202"/>
      <c r="I78" s="143"/>
      <c r="J78" s="202"/>
      <c r="K78" s="143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143"/>
      <c r="H79" s="202"/>
      <c r="I79" s="143"/>
      <c r="J79" s="202"/>
      <c r="K79" s="143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143"/>
      <c r="H80" s="202"/>
      <c r="I80" s="143"/>
      <c r="J80" s="202"/>
      <c r="K80" s="143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143"/>
      <c r="H81" s="202"/>
      <c r="I81" s="143"/>
      <c r="J81" s="202"/>
      <c r="K81" s="143"/>
      <c r="L81" s="202"/>
    </row>
    <row r="82" spans="1:12" s="2" customFormat="1" ht="15.75" customHeight="1">
      <c r="A82" s="14"/>
      <c r="B82" s="25" t="s">
        <v>70</v>
      </c>
      <c r="C82" s="88" t="s">
        <v>89</v>
      </c>
      <c r="D82" s="32" t="str">
        <f>D75</f>
        <v>LIST</v>
      </c>
      <c r="E82" s="89" t="s">
        <v>76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143"/>
      <c r="H83" s="202"/>
      <c r="I83" s="143"/>
      <c r="J83" s="202"/>
      <c r="K83" s="143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143"/>
      <c r="H84" s="202"/>
      <c r="I84" s="143"/>
      <c r="J84" s="202"/>
      <c r="K84" s="143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143"/>
      <c r="H85" s="202"/>
      <c r="I85" s="143"/>
      <c r="J85" s="202"/>
      <c r="K85" s="143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143"/>
      <c r="H86" s="202"/>
      <c r="I86" s="143"/>
      <c r="J86" s="202"/>
      <c r="K86" s="143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143"/>
      <c r="H87" s="202"/>
      <c r="I87" s="143"/>
      <c r="J87" s="202"/>
      <c r="K87" s="143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54"/>
      <c r="H88" s="203"/>
      <c r="I88" s="154"/>
      <c r="J88" s="203"/>
      <c r="K88" s="154"/>
      <c r="L88" s="203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I13" sqref="I13:I18"/>
      <selection pane="bottomLeft" activeCell="I13" sqref="I13:I18"/>
      <selection pane="topRight" activeCell="I13" sqref="I13:I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4" t="str">
        <f>LIDER!B2</f>
        <v>TECNOLOGÍA EN GESTIÓN DE NEGOCIOS INTERN</v>
      </c>
      <c r="B1" s="145"/>
      <c r="C1" s="145"/>
      <c r="D1" s="145"/>
      <c r="E1" s="145"/>
      <c r="F1" s="145"/>
      <c r="G1" s="145"/>
      <c r="H1" s="14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LIDER!G4</f>
        <v>MATEMÁTICAS FINANCIERAS</v>
      </c>
      <c r="C2" s="82"/>
      <c r="D2" s="3"/>
      <c r="F2" s="210" t="s">
        <v>71</v>
      </c>
      <c r="G2" s="211"/>
      <c r="H2" s="211"/>
      <c r="I2" s="211"/>
      <c r="J2" s="211"/>
      <c r="K2" s="211"/>
      <c r="L2" s="212"/>
    </row>
    <row r="3" spans="1:12" s="2" customFormat="1" ht="145.5" customHeight="1">
      <c r="B3" s="83" t="s">
        <v>72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3" t="str">
        <f>CONCATENATE(LIDER!G4," - ",LIDER!G6," - ",LIDER!G5)</f>
        <v>MATEMÁTICAS FINANCIERAS - 1409 - HECTOR DARIO BALSEIRO BARRIOS</v>
      </c>
      <c r="G4" s="213"/>
      <c r="H4" s="213"/>
      <c r="I4" s="213"/>
      <c r="J4" s="213"/>
      <c r="K4" s="213"/>
      <c r="L4" s="213"/>
    </row>
    <row r="5" spans="1:12" s="2" customFormat="1" ht="15.75" customHeight="1" thickBot="1">
      <c r="A5" s="8"/>
      <c r="B5" s="25" t="s">
        <v>73</v>
      </c>
      <c r="C5" s="88" t="s">
        <v>74</v>
      </c>
      <c r="D5" s="32" t="s">
        <v>75</v>
      </c>
      <c r="E5" s="89" t="s">
        <v>76</v>
      </c>
      <c r="F5" s="147" t="str">
        <f>LIDER!$E$29</f>
        <v>GRUPO#1: PERFIL INTERNACIONAL DE ECOPETROL- ESTUDIO LEGAL, TRIBUTARIO, ADMINISTRATIVO, MACROECONÓMICO, ADUANERO Y TECNOLÓGICO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MIGUEL ANTONIO BARON REVOLLO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4.59</v>
      </c>
      <c r="F6" s="204">
        <v>4</v>
      </c>
      <c r="G6" s="143">
        <v>5</v>
      </c>
      <c r="H6" s="202">
        <v>4.3</v>
      </c>
      <c r="I6" s="143">
        <v>5</v>
      </c>
      <c r="J6" s="202">
        <v>5</v>
      </c>
      <c r="K6" s="143"/>
      <c r="L6" s="202"/>
    </row>
    <row r="7" spans="1:12" s="2" customFormat="1" ht="15" customHeight="1">
      <c r="A7" s="12">
        <v>2</v>
      </c>
      <c r="B7" s="10" t="str">
        <f>LIDER!E44</f>
        <v>GREISY JULIANA MENDOZA MORALES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4.59</v>
      </c>
      <c r="F7" s="204"/>
      <c r="G7" s="143"/>
      <c r="H7" s="202"/>
      <c r="I7" s="143"/>
      <c r="J7" s="202"/>
      <c r="K7" s="143"/>
      <c r="L7" s="202"/>
    </row>
    <row r="8" spans="1:12" s="2" customFormat="1" ht="15" customHeight="1">
      <c r="A8" s="12">
        <v>3</v>
      </c>
      <c r="B8" s="10" t="str">
        <f>LIDER!E45</f>
        <v>DINA LUZ TAPIA ARRIETA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4.59</v>
      </c>
      <c r="F8" s="204"/>
      <c r="G8" s="143"/>
      <c r="H8" s="202"/>
      <c r="I8" s="143"/>
      <c r="J8" s="202"/>
      <c r="K8" s="143"/>
      <c r="L8" s="202"/>
    </row>
    <row r="9" spans="1:12" s="2" customFormat="1" ht="15" customHeight="1">
      <c r="A9" s="12">
        <v>4</v>
      </c>
      <c r="B9" s="10" t="str">
        <f>LIDER!E46</f>
        <v>CAMILA ANDREA VALENCIA TEHERAN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4.59</v>
      </c>
      <c r="F9" s="204"/>
      <c r="G9" s="143"/>
      <c r="H9" s="202"/>
      <c r="I9" s="143"/>
      <c r="J9" s="202"/>
      <c r="K9" s="143"/>
      <c r="L9" s="20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4"/>
      <c r="G10" s="143"/>
      <c r="H10" s="202"/>
      <c r="I10" s="143"/>
      <c r="J10" s="202"/>
      <c r="K10" s="143"/>
      <c r="L10" s="20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4"/>
      <c r="G11" s="143"/>
      <c r="H11" s="202"/>
      <c r="I11" s="143"/>
      <c r="J11" s="202"/>
      <c r="K11" s="143"/>
      <c r="L11" s="202"/>
    </row>
    <row r="12" spans="1:12" s="2" customFormat="1" ht="15.75" customHeight="1" thickBot="1">
      <c r="A12" s="8"/>
      <c r="B12" s="25" t="s">
        <v>77</v>
      </c>
      <c r="C12" s="88" t="s">
        <v>78</v>
      </c>
      <c r="D12" s="32" t="str">
        <f>D5</f>
        <v>LIST</v>
      </c>
      <c r="E12" s="89" t="s">
        <v>76</v>
      </c>
      <c r="F12" s="147" t="str">
        <f>LIDER!$E$30</f>
        <v>GRUPO#2: Aspectos legales, tributarios, administrativos, macroeconómicos, aduaneros, tecnológicos e inter.que definen el de perfil Ecopetrol S.A . En los negocios inter.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SANTIAGO ANDRES BRAVO MARTINEZ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2.8000000000000003</v>
      </c>
      <c r="F13" s="204">
        <v>3</v>
      </c>
      <c r="G13" s="143">
        <v>3</v>
      </c>
      <c r="H13" s="202">
        <v>3</v>
      </c>
      <c r="I13" s="143">
        <v>1</v>
      </c>
      <c r="J13" s="202">
        <v>5</v>
      </c>
      <c r="K13" s="143"/>
      <c r="L13" s="202"/>
    </row>
    <row r="14" spans="1:12" s="2" customFormat="1" ht="15" customHeight="1">
      <c r="A14" s="12">
        <v>2</v>
      </c>
      <c r="B14" s="10" t="str">
        <f>LIDER!F44</f>
        <v>MATTHIAS MATTHIAS CAMPO PASSO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2.8000000000000003</v>
      </c>
      <c r="F14" s="204"/>
      <c r="G14" s="143"/>
      <c r="H14" s="202"/>
      <c r="I14" s="143"/>
      <c r="J14" s="202"/>
      <c r="K14" s="143"/>
      <c r="L14" s="202"/>
    </row>
    <row r="15" spans="1:12" s="2" customFormat="1" ht="15" customHeight="1">
      <c r="A15" s="12">
        <v>3</v>
      </c>
      <c r="B15" s="10" t="str">
        <f>LIDER!F45</f>
        <v>HANNA XILENA FERNÁNDEZ RUIZ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2.8000000000000003</v>
      </c>
      <c r="F15" s="204"/>
      <c r="G15" s="143"/>
      <c r="H15" s="202"/>
      <c r="I15" s="143"/>
      <c r="J15" s="202"/>
      <c r="K15" s="143"/>
      <c r="L15" s="202"/>
    </row>
    <row r="16" spans="1:12" s="2" customFormat="1" ht="15" customHeight="1">
      <c r="A16" s="12">
        <v>4</v>
      </c>
      <c r="B16" s="10" t="str">
        <f>LIDER!F46</f>
        <v>MOISES RAFAEL LOPEZ HERNANDEZ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2.8000000000000003</v>
      </c>
      <c r="F16" s="204"/>
      <c r="G16" s="143"/>
      <c r="H16" s="202"/>
      <c r="I16" s="143"/>
      <c r="J16" s="202"/>
      <c r="K16" s="143"/>
      <c r="L16" s="20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4"/>
      <c r="G17" s="143"/>
      <c r="H17" s="202"/>
      <c r="I17" s="143"/>
      <c r="J17" s="202"/>
      <c r="K17" s="143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143"/>
      <c r="H18" s="202"/>
      <c r="I18" s="143"/>
      <c r="J18" s="202"/>
      <c r="K18" s="143"/>
      <c r="L18" s="202"/>
    </row>
    <row r="19" spans="1:12" s="2" customFormat="1" ht="15.75" customHeight="1">
      <c r="A19" s="14"/>
      <c r="B19" s="25" t="s">
        <v>79</v>
      </c>
      <c r="C19" s="88" t="s">
        <v>80</v>
      </c>
      <c r="D19" s="32" t="str">
        <f>D12</f>
        <v>LIST</v>
      </c>
      <c r="E19" s="89" t="s">
        <v>76</v>
      </c>
      <c r="F19" s="147" t="str">
        <f>LIDER!$E$31</f>
        <v xml:space="preserve">GRUPO#3: ¿Cuáles son los aspectos legales, tributarios, administrativos, macroeconómicos, aduaneros, tecnológicos e inter. el perfil de COLOMBINA S.A. En los negocios inter.  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VALENTINA CARO HERNANDEZ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3.6</v>
      </c>
      <c r="F20" s="204">
        <v>3</v>
      </c>
      <c r="G20" s="143">
        <v>3.5</v>
      </c>
      <c r="H20" s="202">
        <v>4</v>
      </c>
      <c r="I20" s="143">
        <v>3</v>
      </c>
      <c r="J20" s="202">
        <v>5</v>
      </c>
      <c r="K20" s="143"/>
      <c r="L20" s="202"/>
    </row>
    <row r="21" spans="1:12" s="2" customFormat="1" ht="15" customHeight="1">
      <c r="A21" s="12">
        <v>2</v>
      </c>
      <c r="B21" s="10" t="str">
        <f>LIDER!G44</f>
        <v>YULIANIS MICHEAL CORDOBA SUAREZ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3.6</v>
      </c>
      <c r="F21" s="204"/>
      <c r="G21" s="143"/>
      <c r="H21" s="202"/>
      <c r="I21" s="143"/>
      <c r="J21" s="202"/>
      <c r="K21" s="143"/>
      <c r="L21" s="202"/>
    </row>
    <row r="22" spans="1:12" s="2" customFormat="1" ht="15" customHeight="1">
      <c r="A22" s="12">
        <v>3</v>
      </c>
      <c r="B22" s="10" t="str">
        <f>LIDER!G45</f>
        <v>VALERIA YOHANA MEDRANO MORALES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3.6</v>
      </c>
      <c r="F22" s="204"/>
      <c r="G22" s="143"/>
      <c r="H22" s="202"/>
      <c r="I22" s="143"/>
      <c r="J22" s="202"/>
      <c r="K22" s="143"/>
      <c r="L22" s="202"/>
    </row>
    <row r="23" spans="1:12" s="2" customFormat="1" ht="15" customHeight="1">
      <c r="A23" s="12">
        <v>4</v>
      </c>
      <c r="B23" s="10" t="str">
        <f>LIDER!G46</f>
        <v>VALERY MARIA SALAZAR OROZCO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3.6</v>
      </c>
      <c r="F23" s="204"/>
      <c r="G23" s="143"/>
      <c r="H23" s="202"/>
      <c r="I23" s="143"/>
      <c r="J23" s="202"/>
      <c r="K23" s="143"/>
      <c r="L23" s="202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143"/>
      <c r="H24" s="202"/>
      <c r="I24" s="143"/>
      <c r="J24" s="202"/>
      <c r="K24" s="143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143"/>
      <c r="H25" s="202"/>
      <c r="I25" s="143"/>
      <c r="J25" s="202"/>
      <c r="K25" s="143"/>
      <c r="L25" s="202"/>
    </row>
    <row r="26" spans="1:12" s="2" customFormat="1" ht="15.75" customHeight="1">
      <c r="A26" s="14"/>
      <c r="B26" s="25" t="s">
        <v>62</v>
      </c>
      <c r="C26" s="88" t="s">
        <v>81</v>
      </c>
      <c r="D26" s="32" t="str">
        <f>D19</f>
        <v>LIST</v>
      </c>
      <c r="E26" s="89" t="s">
        <v>76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143"/>
      <c r="H27" s="202"/>
      <c r="I27" s="143"/>
      <c r="J27" s="202"/>
      <c r="K27" s="143"/>
      <c r="L27" s="202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143"/>
      <c r="H28" s="202"/>
      <c r="I28" s="143"/>
      <c r="J28" s="202"/>
      <c r="K28" s="143"/>
      <c r="L28" s="202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143"/>
      <c r="H29" s="202"/>
      <c r="I29" s="143"/>
      <c r="J29" s="202"/>
      <c r="K29" s="143"/>
      <c r="L29" s="202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143"/>
      <c r="H30" s="202"/>
      <c r="I30" s="143"/>
      <c r="J30" s="202"/>
      <c r="K30" s="143"/>
      <c r="L30" s="20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143"/>
      <c r="H31" s="202"/>
      <c r="I31" s="143"/>
      <c r="J31" s="202"/>
      <c r="K31" s="143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143"/>
      <c r="H32" s="202"/>
      <c r="I32" s="143"/>
      <c r="J32" s="202"/>
      <c r="K32" s="143"/>
      <c r="L32" s="202"/>
    </row>
    <row r="33" spans="1:12" s="2" customFormat="1" ht="15.75" customHeight="1">
      <c r="A33" s="14"/>
      <c r="B33" s="25" t="s">
        <v>63</v>
      </c>
      <c r="C33" s="88" t="s">
        <v>82</v>
      </c>
      <c r="D33" s="32" t="str">
        <f>D26</f>
        <v>LIST</v>
      </c>
      <c r="E33" s="89" t="s">
        <v>76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143"/>
      <c r="H34" s="202"/>
      <c r="I34" s="143"/>
      <c r="J34" s="202"/>
      <c r="K34" s="143"/>
      <c r="L34" s="202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143"/>
      <c r="H35" s="202"/>
      <c r="I35" s="143"/>
      <c r="J35" s="202"/>
      <c r="K35" s="143"/>
      <c r="L35" s="202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143"/>
      <c r="H36" s="202"/>
      <c r="I36" s="143"/>
      <c r="J36" s="202"/>
      <c r="K36" s="143"/>
      <c r="L36" s="202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143"/>
      <c r="H37" s="202"/>
      <c r="I37" s="143"/>
      <c r="J37" s="202"/>
      <c r="K37" s="143"/>
      <c r="L37" s="202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143"/>
      <c r="H38" s="202"/>
      <c r="I38" s="143"/>
      <c r="J38" s="202"/>
      <c r="K38" s="143"/>
      <c r="L38" s="20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143"/>
      <c r="H39" s="202"/>
      <c r="I39" s="143"/>
      <c r="J39" s="202"/>
      <c r="K39" s="143"/>
      <c r="L39" s="202"/>
    </row>
    <row r="40" spans="1:12" s="2" customFormat="1" ht="15.75" customHeight="1">
      <c r="A40" s="14"/>
      <c r="B40" s="25" t="s">
        <v>64</v>
      </c>
      <c r="C40" s="88" t="s">
        <v>83</v>
      </c>
      <c r="D40" s="32" t="str">
        <f>D33</f>
        <v>LIST</v>
      </c>
      <c r="E40" s="89" t="s">
        <v>76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143"/>
      <c r="H41" s="202"/>
      <c r="I41" s="143"/>
      <c r="J41" s="202"/>
      <c r="K41" s="143"/>
      <c r="L41" s="20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143"/>
      <c r="H42" s="202"/>
      <c r="I42" s="143"/>
      <c r="J42" s="202"/>
      <c r="K42" s="143"/>
      <c r="L42" s="20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143"/>
      <c r="H43" s="202"/>
      <c r="I43" s="143"/>
      <c r="J43" s="202"/>
      <c r="K43" s="143"/>
      <c r="L43" s="20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143"/>
      <c r="H44" s="202"/>
      <c r="I44" s="143"/>
      <c r="J44" s="202"/>
      <c r="K44" s="143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143"/>
      <c r="H45" s="202"/>
      <c r="I45" s="143"/>
      <c r="J45" s="202"/>
      <c r="K45" s="143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143"/>
      <c r="H46" s="202"/>
      <c r="I46" s="143"/>
      <c r="J46" s="202"/>
      <c r="K46" s="143"/>
      <c r="L46" s="202"/>
    </row>
    <row r="47" spans="1:12" s="2" customFormat="1" ht="15.75" customHeight="1">
      <c r="A47" s="14"/>
      <c r="B47" s="25" t="s">
        <v>65</v>
      </c>
      <c r="C47" s="88" t="s">
        <v>84</v>
      </c>
      <c r="D47" s="32" t="str">
        <f>D40</f>
        <v>LIST</v>
      </c>
      <c r="E47" s="89" t="s">
        <v>76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143"/>
      <c r="H48" s="202"/>
      <c r="I48" s="143"/>
      <c r="J48" s="202"/>
      <c r="K48" s="143"/>
      <c r="L48" s="20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143"/>
      <c r="H49" s="202"/>
      <c r="I49" s="143"/>
      <c r="J49" s="202"/>
      <c r="K49" s="143"/>
      <c r="L49" s="20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143"/>
      <c r="H50" s="202"/>
      <c r="I50" s="143"/>
      <c r="J50" s="202"/>
      <c r="K50" s="143"/>
      <c r="L50" s="20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143"/>
      <c r="H51" s="202"/>
      <c r="I51" s="143"/>
      <c r="J51" s="202"/>
      <c r="K51" s="143"/>
      <c r="L51" s="20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143"/>
      <c r="H52" s="202"/>
      <c r="I52" s="143"/>
      <c r="J52" s="202"/>
      <c r="K52" s="143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143"/>
      <c r="H53" s="202"/>
      <c r="I53" s="143"/>
      <c r="J53" s="202"/>
      <c r="K53" s="143"/>
      <c r="L53" s="202"/>
    </row>
    <row r="54" spans="1:12" s="2" customFormat="1" ht="15.75" customHeight="1">
      <c r="A54" s="14"/>
      <c r="B54" s="25" t="s">
        <v>66</v>
      </c>
      <c r="C54" s="88" t="s">
        <v>85</v>
      </c>
      <c r="D54" s="32" t="str">
        <f>D47</f>
        <v>LIST</v>
      </c>
      <c r="E54" s="89" t="s">
        <v>76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143"/>
      <c r="H55" s="202"/>
      <c r="I55" s="143"/>
      <c r="J55" s="202"/>
      <c r="K55" s="143"/>
      <c r="L55" s="20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143"/>
      <c r="H56" s="202"/>
      <c r="I56" s="143"/>
      <c r="J56" s="202"/>
      <c r="K56" s="143"/>
      <c r="L56" s="20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143"/>
      <c r="H57" s="202"/>
      <c r="I57" s="143"/>
      <c r="J57" s="202"/>
      <c r="K57" s="143"/>
      <c r="L57" s="20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143"/>
      <c r="H58" s="202"/>
      <c r="I58" s="143"/>
      <c r="J58" s="202"/>
      <c r="K58" s="143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143"/>
      <c r="H59" s="202"/>
      <c r="I59" s="143"/>
      <c r="J59" s="202"/>
      <c r="K59" s="143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143"/>
      <c r="H60" s="202"/>
      <c r="I60" s="143"/>
      <c r="J60" s="202"/>
      <c r="K60" s="143"/>
      <c r="L60" s="202"/>
    </row>
    <row r="61" spans="1:12" s="2" customFormat="1" ht="15.75" customHeight="1">
      <c r="A61" s="14"/>
      <c r="B61" s="25" t="s">
        <v>67</v>
      </c>
      <c r="C61" s="88" t="s">
        <v>86</v>
      </c>
      <c r="D61" s="32" t="str">
        <f>D54</f>
        <v>LIST</v>
      </c>
      <c r="E61" s="89" t="s">
        <v>76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143"/>
      <c r="H62" s="202"/>
      <c r="I62" s="143"/>
      <c r="J62" s="202"/>
      <c r="K62" s="143"/>
      <c r="L62" s="20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143"/>
      <c r="H63" s="202"/>
      <c r="I63" s="143"/>
      <c r="J63" s="202"/>
      <c r="K63" s="143"/>
      <c r="L63" s="20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143"/>
      <c r="H64" s="202"/>
      <c r="I64" s="143"/>
      <c r="J64" s="202"/>
      <c r="K64" s="143"/>
      <c r="L64" s="20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143"/>
      <c r="H65" s="202"/>
      <c r="I65" s="143"/>
      <c r="J65" s="202"/>
      <c r="K65" s="143"/>
      <c r="L65" s="20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143"/>
      <c r="H66" s="202"/>
      <c r="I66" s="143"/>
      <c r="J66" s="202"/>
      <c r="K66" s="143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143"/>
      <c r="H67" s="202"/>
      <c r="I67" s="143"/>
      <c r="J67" s="202"/>
      <c r="K67" s="143"/>
      <c r="L67" s="202"/>
    </row>
    <row r="68" spans="1:12" s="2" customFormat="1" ht="15.75" customHeight="1">
      <c r="A68" s="14"/>
      <c r="B68" s="25" t="s">
        <v>68</v>
      </c>
      <c r="C68" s="88" t="s">
        <v>87</v>
      </c>
      <c r="D68" s="32" t="str">
        <f>D61</f>
        <v>LIST</v>
      </c>
      <c r="E68" s="89" t="s">
        <v>76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143"/>
      <c r="H69" s="202"/>
      <c r="I69" s="143"/>
      <c r="J69" s="202"/>
      <c r="K69" s="143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143"/>
      <c r="H70" s="202"/>
      <c r="I70" s="143"/>
      <c r="J70" s="202"/>
      <c r="K70" s="143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143"/>
      <c r="H71" s="202"/>
      <c r="I71" s="143"/>
      <c r="J71" s="202"/>
      <c r="K71" s="143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143"/>
      <c r="H72" s="202"/>
      <c r="I72" s="143"/>
      <c r="J72" s="202"/>
      <c r="K72" s="143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143"/>
      <c r="H73" s="202"/>
      <c r="I73" s="143"/>
      <c r="J73" s="202"/>
      <c r="K73" s="143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143"/>
      <c r="H74" s="202"/>
      <c r="I74" s="143"/>
      <c r="J74" s="202"/>
      <c r="K74" s="143"/>
      <c r="L74" s="202"/>
    </row>
    <row r="75" spans="1:12" s="2" customFormat="1" ht="15.75" customHeight="1">
      <c r="A75" s="14"/>
      <c r="B75" s="25" t="s">
        <v>69</v>
      </c>
      <c r="C75" s="88" t="s">
        <v>88</v>
      </c>
      <c r="D75" s="32" t="str">
        <f>D68</f>
        <v>LIST</v>
      </c>
      <c r="E75" s="89" t="s">
        <v>76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143"/>
      <c r="H76" s="202"/>
      <c r="I76" s="143"/>
      <c r="J76" s="202"/>
      <c r="K76" s="143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143"/>
      <c r="H77" s="202"/>
      <c r="I77" s="143"/>
      <c r="J77" s="202"/>
      <c r="K77" s="143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143"/>
      <c r="H78" s="202"/>
      <c r="I78" s="143"/>
      <c r="J78" s="202"/>
      <c r="K78" s="143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143"/>
      <c r="H79" s="202"/>
      <c r="I79" s="143"/>
      <c r="J79" s="202"/>
      <c r="K79" s="143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143"/>
      <c r="H80" s="202"/>
      <c r="I80" s="143"/>
      <c r="J80" s="202"/>
      <c r="K80" s="143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143"/>
      <c r="H81" s="202"/>
      <c r="I81" s="143"/>
      <c r="J81" s="202"/>
      <c r="K81" s="143"/>
      <c r="L81" s="202"/>
    </row>
    <row r="82" spans="1:12" s="2" customFormat="1" ht="15.75" customHeight="1">
      <c r="A82" s="14"/>
      <c r="B82" s="25" t="s">
        <v>70</v>
      </c>
      <c r="C82" s="88" t="s">
        <v>89</v>
      </c>
      <c r="D82" s="32" t="str">
        <f>D75</f>
        <v>LIST</v>
      </c>
      <c r="E82" s="89" t="s">
        <v>76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143"/>
      <c r="H83" s="202"/>
      <c r="I83" s="143"/>
      <c r="J83" s="202"/>
      <c r="K83" s="143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143"/>
      <c r="H84" s="202"/>
      <c r="I84" s="143"/>
      <c r="J84" s="202"/>
      <c r="K84" s="143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143"/>
      <c r="H85" s="202"/>
      <c r="I85" s="143"/>
      <c r="J85" s="202"/>
      <c r="K85" s="143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143"/>
      <c r="H86" s="202"/>
      <c r="I86" s="143"/>
      <c r="J86" s="202"/>
      <c r="K86" s="143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143"/>
      <c r="H87" s="202"/>
      <c r="I87" s="143"/>
      <c r="J87" s="202"/>
      <c r="K87" s="143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54"/>
      <c r="H88" s="203"/>
      <c r="I88" s="154"/>
      <c r="J88" s="203"/>
      <c r="K88" s="154"/>
      <c r="L88" s="203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I13" sqref="I13:I18"/>
      <selection pane="bottomLeft" activeCell="I13" sqref="I13:I18"/>
      <selection pane="topRight" activeCell="I13" sqref="I13:I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4" t="str">
        <f>LIDER!B2</f>
        <v>TECNOLOGÍA EN GESTIÓN DE NEGOCIOS INTERN</v>
      </c>
      <c r="B1" s="145"/>
      <c r="C1" s="145"/>
      <c r="D1" s="145"/>
      <c r="E1" s="145"/>
      <c r="F1" s="145"/>
      <c r="G1" s="145"/>
      <c r="H1" s="14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>
        <f>LIDER!H4</f>
        <v>0</v>
      </c>
      <c r="C2" s="82"/>
      <c r="D2" s="3"/>
      <c r="F2" s="210" t="s">
        <v>71</v>
      </c>
      <c r="G2" s="211"/>
      <c r="H2" s="211"/>
      <c r="I2" s="211"/>
      <c r="J2" s="211"/>
      <c r="K2" s="211"/>
      <c r="L2" s="212"/>
    </row>
    <row r="3" spans="1:12" s="2" customFormat="1" ht="145.5" customHeight="1">
      <c r="B3" s="83" t="s">
        <v>72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3" t="str">
        <f>CONCATENATE(LIDER!H4," - ",LIDER!H6," - ",LIDER!H5)</f>
        <v xml:space="preserve"> -  - </v>
      </c>
      <c r="G4" s="213"/>
      <c r="H4" s="213"/>
      <c r="I4" s="213"/>
      <c r="J4" s="213"/>
      <c r="K4" s="213"/>
      <c r="L4" s="213"/>
    </row>
    <row r="5" spans="1:12" s="2" customFormat="1" ht="15.75" customHeight="1" thickBot="1">
      <c r="A5" s="8"/>
      <c r="B5" s="25" t="s">
        <v>73</v>
      </c>
      <c r="C5" s="88" t="s">
        <v>74</v>
      </c>
      <c r="D5" s="32" t="s">
        <v>75</v>
      </c>
      <c r="E5" s="89" t="s">
        <v>76</v>
      </c>
      <c r="F5" s="147" t="str">
        <f>LIDER!$E$29</f>
        <v>GRUPO#1: PERFIL INTERNACIONAL DE ECOPETROL- ESTUDIO LEGAL, TRIBUTARIO, ADMINISTRATIVO, MACROECONÓMICO, ADUANERO Y TECNOLÓGICO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MIGUEL ANTONIO BARON REVOLLO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4"/>
      <c r="G6" s="143"/>
      <c r="H6" s="202"/>
      <c r="I6" s="143"/>
      <c r="J6" s="202"/>
      <c r="K6" s="143"/>
      <c r="L6" s="202"/>
    </row>
    <row r="7" spans="1:12" s="2" customFormat="1" ht="15" customHeight="1">
      <c r="A7" s="12">
        <v>2</v>
      </c>
      <c r="B7" s="10" t="str">
        <f>LIDER!E44</f>
        <v>GREISY JULIANA MENDOZA MORALES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4"/>
      <c r="G7" s="143"/>
      <c r="H7" s="202"/>
      <c r="I7" s="143"/>
      <c r="J7" s="202"/>
      <c r="K7" s="143"/>
      <c r="L7" s="202"/>
    </row>
    <row r="8" spans="1:12" s="2" customFormat="1" ht="15" customHeight="1">
      <c r="A8" s="12">
        <v>3</v>
      </c>
      <c r="B8" s="10" t="str">
        <f>LIDER!E45</f>
        <v>DINA LUZ TAPIA ARRIETA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4"/>
      <c r="G8" s="143"/>
      <c r="H8" s="202"/>
      <c r="I8" s="143"/>
      <c r="J8" s="202"/>
      <c r="K8" s="143"/>
      <c r="L8" s="202"/>
    </row>
    <row r="9" spans="1:12" s="2" customFormat="1" ht="15" customHeight="1">
      <c r="A9" s="12">
        <v>4</v>
      </c>
      <c r="B9" s="10" t="str">
        <f>LIDER!E46</f>
        <v>CAMILA ANDREA VALENCIA TEHERAN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4"/>
      <c r="G9" s="143"/>
      <c r="H9" s="202"/>
      <c r="I9" s="143"/>
      <c r="J9" s="202"/>
      <c r="K9" s="143"/>
      <c r="L9" s="20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4"/>
      <c r="G10" s="143"/>
      <c r="H10" s="202"/>
      <c r="I10" s="143"/>
      <c r="J10" s="202"/>
      <c r="K10" s="143"/>
      <c r="L10" s="20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4"/>
      <c r="G11" s="143"/>
      <c r="H11" s="202"/>
      <c r="I11" s="143"/>
      <c r="J11" s="202"/>
      <c r="K11" s="143"/>
      <c r="L11" s="202"/>
    </row>
    <row r="12" spans="1:12" s="2" customFormat="1" ht="15.75" customHeight="1" thickBot="1">
      <c r="A12" s="8"/>
      <c r="B12" s="25" t="s">
        <v>77</v>
      </c>
      <c r="C12" s="88" t="s">
        <v>78</v>
      </c>
      <c r="D12" s="32" t="str">
        <f>D5</f>
        <v>LIST</v>
      </c>
      <c r="E12" s="89" t="s">
        <v>76</v>
      </c>
      <c r="F12" s="147" t="str">
        <f>LIDER!$E$30</f>
        <v>GRUPO#2: Aspectos legales, tributarios, administrativos, macroeconómicos, aduaneros, tecnológicos e inter.que definen el de perfil Ecopetrol S.A . En los negocios inter.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SANTIAGO ANDRES BRAVO MARTINEZ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4"/>
      <c r="G13" s="143"/>
      <c r="H13" s="202"/>
      <c r="I13" s="143"/>
      <c r="J13" s="202"/>
      <c r="K13" s="143"/>
      <c r="L13" s="202"/>
    </row>
    <row r="14" spans="1:12" s="2" customFormat="1" ht="15" customHeight="1">
      <c r="A14" s="12">
        <v>2</v>
      </c>
      <c r="B14" s="10" t="str">
        <f>LIDER!F44</f>
        <v>MATTHIAS MATTHIAS CAMPO PASSO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4"/>
      <c r="G14" s="143"/>
      <c r="H14" s="202"/>
      <c r="I14" s="143"/>
      <c r="J14" s="202"/>
      <c r="K14" s="143"/>
      <c r="L14" s="202"/>
    </row>
    <row r="15" spans="1:12" s="2" customFormat="1" ht="15" customHeight="1">
      <c r="A15" s="12">
        <v>3</v>
      </c>
      <c r="B15" s="10" t="str">
        <f>LIDER!F45</f>
        <v>HANNA XILENA FERNÁNDEZ RUIZ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4"/>
      <c r="G15" s="143"/>
      <c r="H15" s="202"/>
      <c r="I15" s="143"/>
      <c r="J15" s="202"/>
      <c r="K15" s="143"/>
      <c r="L15" s="202"/>
    </row>
    <row r="16" spans="1:12" s="2" customFormat="1" ht="15" customHeight="1">
      <c r="A16" s="12">
        <v>4</v>
      </c>
      <c r="B16" s="10" t="str">
        <f>LIDER!F46</f>
        <v>MOISES RAFAEL LOPEZ HERNANDEZ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4"/>
      <c r="G16" s="143"/>
      <c r="H16" s="202"/>
      <c r="I16" s="143"/>
      <c r="J16" s="202"/>
      <c r="K16" s="143"/>
      <c r="L16" s="20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4"/>
      <c r="G17" s="143"/>
      <c r="H17" s="202"/>
      <c r="I17" s="143"/>
      <c r="J17" s="202"/>
      <c r="K17" s="143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143"/>
      <c r="H18" s="202"/>
      <c r="I18" s="143"/>
      <c r="J18" s="202"/>
      <c r="K18" s="143"/>
      <c r="L18" s="202"/>
    </row>
    <row r="19" spans="1:12" s="2" customFormat="1" ht="15.75" customHeight="1">
      <c r="A19" s="14"/>
      <c r="B19" s="25" t="s">
        <v>79</v>
      </c>
      <c r="C19" s="88" t="s">
        <v>80</v>
      </c>
      <c r="D19" s="32" t="str">
        <f>D12</f>
        <v>LIST</v>
      </c>
      <c r="E19" s="89" t="s">
        <v>76</v>
      </c>
      <c r="F19" s="147" t="str">
        <f>LIDER!$E$31</f>
        <v xml:space="preserve">GRUPO#3: ¿Cuáles son los aspectos legales, tributarios, administrativos, macroeconómicos, aduaneros, tecnológicos e inter. el perfil de COLOMBINA S.A. En los negocios inter.  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VALENTINA CARO HERNANDEZ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4"/>
      <c r="G20" s="143"/>
      <c r="H20" s="202"/>
      <c r="I20" s="143"/>
      <c r="J20" s="202"/>
      <c r="K20" s="143"/>
      <c r="L20" s="202"/>
    </row>
    <row r="21" spans="1:12" s="2" customFormat="1" ht="15" customHeight="1">
      <c r="A21" s="12">
        <v>2</v>
      </c>
      <c r="B21" s="10" t="str">
        <f>LIDER!G44</f>
        <v>YULIANIS MICHEAL CORDOBA SUAREZ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4"/>
      <c r="G21" s="143"/>
      <c r="H21" s="202"/>
      <c r="I21" s="143"/>
      <c r="J21" s="202"/>
      <c r="K21" s="143"/>
      <c r="L21" s="202"/>
    </row>
    <row r="22" spans="1:12" s="2" customFormat="1" ht="15" customHeight="1">
      <c r="A22" s="12">
        <v>3</v>
      </c>
      <c r="B22" s="10" t="str">
        <f>LIDER!G45</f>
        <v>VALERIA YOHANA MEDRANO MORALES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4"/>
      <c r="G22" s="143"/>
      <c r="H22" s="202"/>
      <c r="I22" s="143"/>
      <c r="J22" s="202"/>
      <c r="K22" s="143"/>
      <c r="L22" s="202"/>
    </row>
    <row r="23" spans="1:12" s="2" customFormat="1" ht="15" customHeight="1">
      <c r="A23" s="12">
        <v>4</v>
      </c>
      <c r="B23" s="10" t="str">
        <f>LIDER!G46</f>
        <v>VALERY MARIA SALAZAR OROZCO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4"/>
      <c r="G23" s="143"/>
      <c r="H23" s="202"/>
      <c r="I23" s="143"/>
      <c r="J23" s="202"/>
      <c r="K23" s="143"/>
      <c r="L23" s="202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143"/>
      <c r="H24" s="202"/>
      <c r="I24" s="143"/>
      <c r="J24" s="202"/>
      <c r="K24" s="143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143"/>
      <c r="H25" s="202"/>
      <c r="I25" s="143"/>
      <c r="J25" s="202"/>
      <c r="K25" s="143"/>
      <c r="L25" s="202"/>
    </row>
    <row r="26" spans="1:12" s="2" customFormat="1" ht="15.75" customHeight="1">
      <c r="A26" s="14"/>
      <c r="B26" s="25" t="s">
        <v>62</v>
      </c>
      <c r="C26" s="88" t="s">
        <v>81</v>
      </c>
      <c r="D26" s="32" t="str">
        <f>D19</f>
        <v>LIST</v>
      </c>
      <c r="E26" s="89" t="s">
        <v>76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143"/>
      <c r="H27" s="202"/>
      <c r="I27" s="143"/>
      <c r="J27" s="202"/>
      <c r="K27" s="143"/>
      <c r="L27" s="202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143"/>
      <c r="H28" s="202"/>
      <c r="I28" s="143"/>
      <c r="J28" s="202"/>
      <c r="K28" s="143"/>
      <c r="L28" s="202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143"/>
      <c r="H29" s="202"/>
      <c r="I29" s="143"/>
      <c r="J29" s="202"/>
      <c r="K29" s="143"/>
      <c r="L29" s="202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143"/>
      <c r="H30" s="202"/>
      <c r="I30" s="143"/>
      <c r="J30" s="202"/>
      <c r="K30" s="143"/>
      <c r="L30" s="20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143"/>
      <c r="H31" s="202"/>
      <c r="I31" s="143"/>
      <c r="J31" s="202"/>
      <c r="K31" s="143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143"/>
      <c r="H32" s="202"/>
      <c r="I32" s="143"/>
      <c r="J32" s="202"/>
      <c r="K32" s="143"/>
      <c r="L32" s="202"/>
    </row>
    <row r="33" spans="1:12" s="2" customFormat="1" ht="15.75" customHeight="1">
      <c r="A33" s="14"/>
      <c r="B33" s="25" t="s">
        <v>63</v>
      </c>
      <c r="C33" s="88" t="s">
        <v>82</v>
      </c>
      <c r="D33" s="32" t="str">
        <f>D26</f>
        <v>LIST</v>
      </c>
      <c r="E33" s="89" t="s">
        <v>76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143"/>
      <c r="H34" s="202"/>
      <c r="I34" s="143"/>
      <c r="J34" s="202"/>
      <c r="K34" s="143"/>
      <c r="L34" s="202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143"/>
      <c r="H35" s="202"/>
      <c r="I35" s="143"/>
      <c r="J35" s="202"/>
      <c r="K35" s="143"/>
      <c r="L35" s="202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143"/>
      <c r="H36" s="202"/>
      <c r="I36" s="143"/>
      <c r="J36" s="202"/>
      <c r="K36" s="143"/>
      <c r="L36" s="202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143"/>
      <c r="H37" s="202"/>
      <c r="I37" s="143"/>
      <c r="J37" s="202"/>
      <c r="K37" s="143"/>
      <c r="L37" s="202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143"/>
      <c r="H38" s="202"/>
      <c r="I38" s="143"/>
      <c r="J38" s="202"/>
      <c r="K38" s="143"/>
      <c r="L38" s="20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143"/>
      <c r="H39" s="202"/>
      <c r="I39" s="143"/>
      <c r="J39" s="202"/>
      <c r="K39" s="143"/>
      <c r="L39" s="202"/>
    </row>
    <row r="40" spans="1:12" s="2" customFormat="1" ht="15.75" customHeight="1">
      <c r="A40" s="14"/>
      <c r="B40" s="25" t="s">
        <v>64</v>
      </c>
      <c r="C40" s="88" t="s">
        <v>83</v>
      </c>
      <c r="D40" s="32" t="str">
        <f>D33</f>
        <v>LIST</v>
      </c>
      <c r="E40" s="89" t="s">
        <v>76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143"/>
      <c r="H41" s="202"/>
      <c r="I41" s="143"/>
      <c r="J41" s="202"/>
      <c r="K41" s="143"/>
      <c r="L41" s="20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143"/>
      <c r="H42" s="202"/>
      <c r="I42" s="143"/>
      <c r="J42" s="202"/>
      <c r="K42" s="143"/>
      <c r="L42" s="20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143"/>
      <c r="H43" s="202"/>
      <c r="I43" s="143"/>
      <c r="J43" s="202"/>
      <c r="K43" s="143"/>
      <c r="L43" s="20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143"/>
      <c r="H44" s="202"/>
      <c r="I44" s="143"/>
      <c r="J44" s="202"/>
      <c r="K44" s="143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143"/>
      <c r="H45" s="202"/>
      <c r="I45" s="143"/>
      <c r="J45" s="202"/>
      <c r="K45" s="143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143"/>
      <c r="H46" s="202"/>
      <c r="I46" s="143"/>
      <c r="J46" s="202"/>
      <c r="K46" s="143"/>
      <c r="L46" s="202"/>
    </row>
    <row r="47" spans="1:12" s="2" customFormat="1" ht="15.75" customHeight="1">
      <c r="A47" s="14"/>
      <c r="B47" s="25" t="s">
        <v>65</v>
      </c>
      <c r="C47" s="88" t="s">
        <v>84</v>
      </c>
      <c r="D47" s="32" t="str">
        <f>D40</f>
        <v>LIST</v>
      </c>
      <c r="E47" s="89" t="s">
        <v>76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143"/>
      <c r="H48" s="202"/>
      <c r="I48" s="143"/>
      <c r="J48" s="202"/>
      <c r="K48" s="143"/>
      <c r="L48" s="20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143"/>
      <c r="H49" s="202"/>
      <c r="I49" s="143"/>
      <c r="J49" s="202"/>
      <c r="K49" s="143"/>
      <c r="L49" s="20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143"/>
      <c r="H50" s="202"/>
      <c r="I50" s="143"/>
      <c r="J50" s="202"/>
      <c r="K50" s="143"/>
      <c r="L50" s="20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143"/>
      <c r="H51" s="202"/>
      <c r="I51" s="143"/>
      <c r="J51" s="202"/>
      <c r="K51" s="143"/>
      <c r="L51" s="20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143"/>
      <c r="H52" s="202"/>
      <c r="I52" s="143"/>
      <c r="J52" s="202"/>
      <c r="K52" s="143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143"/>
      <c r="H53" s="202"/>
      <c r="I53" s="143"/>
      <c r="J53" s="202"/>
      <c r="K53" s="143"/>
      <c r="L53" s="202"/>
    </row>
    <row r="54" spans="1:12" s="2" customFormat="1" ht="15.75" customHeight="1">
      <c r="A54" s="14"/>
      <c r="B54" s="25" t="s">
        <v>66</v>
      </c>
      <c r="C54" s="88" t="s">
        <v>85</v>
      </c>
      <c r="D54" s="32" t="str">
        <f>D47</f>
        <v>LIST</v>
      </c>
      <c r="E54" s="89" t="s">
        <v>76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143"/>
      <c r="H55" s="202"/>
      <c r="I55" s="143"/>
      <c r="J55" s="202"/>
      <c r="K55" s="143"/>
      <c r="L55" s="20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143"/>
      <c r="H56" s="202"/>
      <c r="I56" s="143"/>
      <c r="J56" s="202"/>
      <c r="K56" s="143"/>
      <c r="L56" s="20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143"/>
      <c r="H57" s="202"/>
      <c r="I57" s="143"/>
      <c r="J57" s="202"/>
      <c r="K57" s="143"/>
      <c r="L57" s="20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143"/>
      <c r="H58" s="202"/>
      <c r="I58" s="143"/>
      <c r="J58" s="202"/>
      <c r="K58" s="143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143"/>
      <c r="H59" s="202"/>
      <c r="I59" s="143"/>
      <c r="J59" s="202"/>
      <c r="K59" s="143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143"/>
      <c r="H60" s="202"/>
      <c r="I60" s="143"/>
      <c r="J60" s="202"/>
      <c r="K60" s="143"/>
      <c r="L60" s="202"/>
    </row>
    <row r="61" spans="1:12" s="2" customFormat="1" ht="15.75" customHeight="1">
      <c r="A61" s="14"/>
      <c r="B61" s="25" t="s">
        <v>67</v>
      </c>
      <c r="C61" s="88" t="s">
        <v>86</v>
      </c>
      <c r="D61" s="32" t="str">
        <f>D54</f>
        <v>LIST</v>
      </c>
      <c r="E61" s="89" t="s">
        <v>76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143"/>
      <c r="H62" s="202"/>
      <c r="I62" s="143"/>
      <c r="J62" s="202"/>
      <c r="K62" s="143"/>
      <c r="L62" s="20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143"/>
      <c r="H63" s="202"/>
      <c r="I63" s="143"/>
      <c r="J63" s="202"/>
      <c r="K63" s="143"/>
      <c r="L63" s="20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143"/>
      <c r="H64" s="202"/>
      <c r="I64" s="143"/>
      <c r="J64" s="202"/>
      <c r="K64" s="143"/>
      <c r="L64" s="20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143"/>
      <c r="H65" s="202"/>
      <c r="I65" s="143"/>
      <c r="J65" s="202"/>
      <c r="K65" s="143"/>
      <c r="L65" s="20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143"/>
      <c r="H66" s="202"/>
      <c r="I66" s="143"/>
      <c r="J66" s="202"/>
      <c r="K66" s="143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143"/>
      <c r="H67" s="202"/>
      <c r="I67" s="143"/>
      <c r="J67" s="202"/>
      <c r="K67" s="143"/>
      <c r="L67" s="202"/>
    </row>
    <row r="68" spans="1:12" s="2" customFormat="1" ht="15.75" customHeight="1">
      <c r="A68" s="14"/>
      <c r="B68" s="25" t="s">
        <v>68</v>
      </c>
      <c r="C68" s="88" t="s">
        <v>87</v>
      </c>
      <c r="D68" s="32" t="str">
        <f>D61</f>
        <v>LIST</v>
      </c>
      <c r="E68" s="89" t="s">
        <v>76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143"/>
      <c r="H69" s="202"/>
      <c r="I69" s="143"/>
      <c r="J69" s="202"/>
      <c r="K69" s="143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143"/>
      <c r="H70" s="202"/>
      <c r="I70" s="143"/>
      <c r="J70" s="202"/>
      <c r="K70" s="143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143"/>
      <c r="H71" s="202"/>
      <c r="I71" s="143"/>
      <c r="J71" s="202"/>
      <c r="K71" s="143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143"/>
      <c r="H72" s="202"/>
      <c r="I72" s="143"/>
      <c r="J72" s="202"/>
      <c r="K72" s="143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143"/>
      <c r="H73" s="202"/>
      <c r="I73" s="143"/>
      <c r="J73" s="202"/>
      <c r="K73" s="143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143"/>
      <c r="H74" s="202"/>
      <c r="I74" s="143"/>
      <c r="J74" s="202"/>
      <c r="K74" s="143"/>
      <c r="L74" s="202"/>
    </row>
    <row r="75" spans="1:12" s="2" customFormat="1" ht="15.75" customHeight="1">
      <c r="A75" s="14"/>
      <c r="B75" s="25" t="s">
        <v>69</v>
      </c>
      <c r="C75" s="88" t="s">
        <v>88</v>
      </c>
      <c r="D75" s="32" t="str">
        <f>D68</f>
        <v>LIST</v>
      </c>
      <c r="E75" s="89" t="s">
        <v>76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143"/>
      <c r="H76" s="202"/>
      <c r="I76" s="143"/>
      <c r="J76" s="202"/>
      <c r="K76" s="143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143"/>
      <c r="H77" s="202"/>
      <c r="I77" s="143"/>
      <c r="J77" s="202"/>
      <c r="K77" s="143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143"/>
      <c r="H78" s="202"/>
      <c r="I78" s="143"/>
      <c r="J78" s="202"/>
      <c r="K78" s="143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143"/>
      <c r="H79" s="202"/>
      <c r="I79" s="143"/>
      <c r="J79" s="202"/>
      <c r="K79" s="143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143"/>
      <c r="H80" s="202"/>
      <c r="I80" s="143"/>
      <c r="J80" s="202"/>
      <c r="K80" s="143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143"/>
      <c r="H81" s="202"/>
      <c r="I81" s="143"/>
      <c r="J81" s="202"/>
      <c r="K81" s="143"/>
      <c r="L81" s="202"/>
    </row>
    <row r="82" spans="1:12" s="2" customFormat="1" ht="15.75" customHeight="1">
      <c r="A82" s="14"/>
      <c r="B82" s="25" t="s">
        <v>70</v>
      </c>
      <c r="C82" s="88" t="s">
        <v>89</v>
      </c>
      <c r="D82" s="32" t="str">
        <f>D75</f>
        <v>LIST</v>
      </c>
      <c r="E82" s="89" t="s">
        <v>76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143"/>
      <c r="H83" s="202"/>
      <c r="I83" s="143"/>
      <c r="J83" s="202"/>
      <c r="K83" s="143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143"/>
      <c r="H84" s="202"/>
      <c r="I84" s="143"/>
      <c r="J84" s="202"/>
      <c r="K84" s="143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143"/>
      <c r="H85" s="202"/>
      <c r="I85" s="143"/>
      <c r="J85" s="202"/>
      <c r="K85" s="143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143"/>
      <c r="H86" s="202"/>
      <c r="I86" s="143"/>
      <c r="J86" s="202"/>
      <c r="K86" s="143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143"/>
      <c r="H87" s="202"/>
      <c r="I87" s="143"/>
      <c r="J87" s="202"/>
      <c r="K87" s="143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54"/>
      <c r="H88" s="203"/>
      <c r="I88" s="154"/>
      <c r="J88" s="203"/>
      <c r="K88" s="154"/>
      <c r="L88" s="203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I13" sqref="I13:I18"/>
      <selection pane="bottomLeft" activeCell="I13" sqref="I13:I18"/>
      <selection pane="topRight" activeCell="I13" sqref="I13:I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4" t="str">
        <f>LIDER!B2</f>
        <v>TECNOLOGÍA EN GESTIÓN DE NEGOCIOS INTERN</v>
      </c>
      <c r="B1" s="145"/>
      <c r="C1" s="145"/>
      <c r="D1" s="145"/>
      <c r="E1" s="145"/>
      <c r="F1" s="145"/>
      <c r="G1" s="145"/>
      <c r="H1" s="14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>
        <f>LIDER!I4</f>
        <v>0</v>
      </c>
      <c r="C2" s="82"/>
      <c r="D2" s="3"/>
      <c r="F2" s="210" t="s">
        <v>71</v>
      </c>
      <c r="G2" s="211"/>
      <c r="H2" s="211"/>
      <c r="I2" s="211"/>
      <c r="J2" s="211"/>
      <c r="K2" s="211"/>
      <c r="L2" s="212"/>
    </row>
    <row r="3" spans="1:12" s="2" customFormat="1" ht="145.5" customHeight="1">
      <c r="B3" s="83" t="s">
        <v>72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3" t="str">
        <f>CONCATENATE(LIDER!I4," - ",LIDER!I6," - ",LIDER!I5)</f>
        <v xml:space="preserve"> -  - </v>
      </c>
      <c r="G4" s="213"/>
      <c r="H4" s="213"/>
      <c r="I4" s="213"/>
      <c r="J4" s="213"/>
      <c r="K4" s="213"/>
      <c r="L4" s="213"/>
    </row>
    <row r="5" spans="1:12" s="2" customFormat="1" ht="15.75" customHeight="1" thickBot="1">
      <c r="A5" s="8"/>
      <c r="B5" s="25" t="s">
        <v>73</v>
      </c>
      <c r="C5" s="88" t="s">
        <v>74</v>
      </c>
      <c r="D5" s="32" t="s">
        <v>75</v>
      </c>
      <c r="E5" s="89" t="s">
        <v>76</v>
      </c>
      <c r="F5" s="147" t="str">
        <f>LIDER!$E$29</f>
        <v>GRUPO#1: PERFIL INTERNACIONAL DE ECOPETROL- ESTUDIO LEGAL, TRIBUTARIO, ADMINISTRATIVO, MACROECONÓMICO, ADUANERO Y TECNOLÓGICO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MIGUEL ANTONIO BARON REVOLLO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4"/>
      <c r="G6" s="143"/>
      <c r="H6" s="202"/>
      <c r="I6" s="143"/>
      <c r="J6" s="202"/>
      <c r="K6" s="143"/>
      <c r="L6" s="202"/>
    </row>
    <row r="7" spans="1:12" s="2" customFormat="1" ht="15" customHeight="1">
      <c r="A7" s="12">
        <v>2</v>
      </c>
      <c r="B7" s="10" t="str">
        <f>LIDER!E44</f>
        <v>GREISY JULIANA MENDOZA MORALES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4"/>
      <c r="G7" s="143"/>
      <c r="H7" s="202"/>
      <c r="I7" s="143"/>
      <c r="J7" s="202"/>
      <c r="K7" s="143"/>
      <c r="L7" s="202"/>
    </row>
    <row r="8" spans="1:12" s="2" customFormat="1" ht="15" customHeight="1">
      <c r="A8" s="12">
        <v>3</v>
      </c>
      <c r="B8" s="10" t="str">
        <f>LIDER!E45</f>
        <v>DINA LUZ TAPIA ARRIETA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4"/>
      <c r="G8" s="143"/>
      <c r="H8" s="202"/>
      <c r="I8" s="143"/>
      <c r="J8" s="202"/>
      <c r="K8" s="143"/>
      <c r="L8" s="202"/>
    </row>
    <row r="9" spans="1:12" s="2" customFormat="1" ht="15" customHeight="1">
      <c r="A9" s="12">
        <v>4</v>
      </c>
      <c r="B9" s="10" t="str">
        <f>LIDER!E46</f>
        <v>CAMILA ANDREA VALENCIA TEHERAN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4"/>
      <c r="G9" s="143"/>
      <c r="H9" s="202"/>
      <c r="I9" s="143"/>
      <c r="J9" s="202"/>
      <c r="K9" s="143"/>
      <c r="L9" s="20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4"/>
      <c r="G10" s="143"/>
      <c r="H10" s="202"/>
      <c r="I10" s="143"/>
      <c r="J10" s="202"/>
      <c r="K10" s="143"/>
      <c r="L10" s="20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4"/>
      <c r="G11" s="143"/>
      <c r="H11" s="202"/>
      <c r="I11" s="143"/>
      <c r="J11" s="202"/>
      <c r="K11" s="143"/>
      <c r="L11" s="202"/>
    </row>
    <row r="12" spans="1:12" s="2" customFormat="1" ht="15.75" customHeight="1" thickBot="1">
      <c r="A12" s="8"/>
      <c r="B12" s="25" t="s">
        <v>77</v>
      </c>
      <c r="C12" s="88" t="s">
        <v>78</v>
      </c>
      <c r="D12" s="32" t="str">
        <f>D5</f>
        <v>LIST</v>
      </c>
      <c r="E12" s="89" t="s">
        <v>76</v>
      </c>
      <c r="F12" s="147" t="str">
        <f>LIDER!$E$30</f>
        <v>GRUPO#2: Aspectos legales, tributarios, administrativos, macroeconómicos, aduaneros, tecnológicos e inter.que definen el de perfil Ecopetrol S.A . En los negocios inter.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SANTIAGO ANDRES BRAVO MARTINEZ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4"/>
      <c r="G13" s="143"/>
      <c r="H13" s="202"/>
      <c r="I13" s="143"/>
      <c r="J13" s="202"/>
      <c r="K13" s="143"/>
      <c r="L13" s="202"/>
    </row>
    <row r="14" spans="1:12" s="2" customFormat="1" ht="15" customHeight="1">
      <c r="A14" s="12">
        <v>2</v>
      </c>
      <c r="B14" s="10" t="str">
        <f>LIDER!F44</f>
        <v>MATTHIAS MATTHIAS CAMPO PASSO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4"/>
      <c r="G14" s="143"/>
      <c r="H14" s="202"/>
      <c r="I14" s="143"/>
      <c r="J14" s="202"/>
      <c r="K14" s="143"/>
      <c r="L14" s="202"/>
    </row>
    <row r="15" spans="1:12" s="2" customFormat="1" ht="15" customHeight="1">
      <c r="A15" s="12">
        <v>3</v>
      </c>
      <c r="B15" s="10" t="str">
        <f>LIDER!F45</f>
        <v>HANNA XILENA FERNÁNDEZ RUIZ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4"/>
      <c r="G15" s="143"/>
      <c r="H15" s="202"/>
      <c r="I15" s="143"/>
      <c r="J15" s="202"/>
      <c r="K15" s="143"/>
      <c r="L15" s="202"/>
    </row>
    <row r="16" spans="1:12" s="2" customFormat="1" ht="15" customHeight="1">
      <c r="A16" s="12">
        <v>4</v>
      </c>
      <c r="B16" s="10" t="str">
        <f>LIDER!F46</f>
        <v>MOISES RAFAEL LOPEZ HERNANDEZ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4"/>
      <c r="G16" s="143"/>
      <c r="H16" s="202"/>
      <c r="I16" s="143"/>
      <c r="J16" s="202"/>
      <c r="K16" s="143"/>
      <c r="L16" s="20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4"/>
      <c r="G17" s="143"/>
      <c r="H17" s="202"/>
      <c r="I17" s="143"/>
      <c r="J17" s="202"/>
      <c r="K17" s="143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143"/>
      <c r="H18" s="202"/>
      <c r="I18" s="143"/>
      <c r="J18" s="202"/>
      <c r="K18" s="143"/>
      <c r="L18" s="202"/>
    </row>
    <row r="19" spans="1:12" s="2" customFormat="1" ht="15.75" customHeight="1">
      <c r="A19" s="14"/>
      <c r="B19" s="25" t="s">
        <v>79</v>
      </c>
      <c r="C19" s="88" t="s">
        <v>80</v>
      </c>
      <c r="D19" s="32" t="str">
        <f>D12</f>
        <v>LIST</v>
      </c>
      <c r="E19" s="89" t="s">
        <v>76</v>
      </c>
      <c r="F19" s="147" t="str">
        <f>LIDER!$E$31</f>
        <v xml:space="preserve">GRUPO#3: ¿Cuáles son los aspectos legales, tributarios, administrativos, macroeconómicos, aduaneros, tecnológicos e inter. el perfil de COLOMBINA S.A. En los negocios inter.  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VALENTINA CARO HERNANDEZ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4"/>
      <c r="G20" s="143"/>
      <c r="H20" s="202"/>
      <c r="I20" s="143"/>
      <c r="J20" s="202"/>
      <c r="K20" s="143"/>
      <c r="L20" s="202"/>
    </row>
    <row r="21" spans="1:12" s="2" customFormat="1" ht="15" customHeight="1">
      <c r="A21" s="12">
        <v>2</v>
      </c>
      <c r="B21" s="10" t="str">
        <f>LIDER!G44</f>
        <v>YULIANIS MICHEAL CORDOBA SUAREZ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4"/>
      <c r="G21" s="143"/>
      <c r="H21" s="202"/>
      <c r="I21" s="143"/>
      <c r="J21" s="202"/>
      <c r="K21" s="143"/>
      <c r="L21" s="202"/>
    </row>
    <row r="22" spans="1:12" s="2" customFormat="1" ht="15" customHeight="1">
      <c r="A22" s="12">
        <v>3</v>
      </c>
      <c r="B22" s="10" t="str">
        <f>LIDER!G45</f>
        <v>VALERIA YOHANA MEDRANO MORALES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4"/>
      <c r="G22" s="143"/>
      <c r="H22" s="202"/>
      <c r="I22" s="143"/>
      <c r="J22" s="202"/>
      <c r="K22" s="143"/>
      <c r="L22" s="202"/>
    </row>
    <row r="23" spans="1:12" s="2" customFormat="1" ht="15" customHeight="1">
      <c r="A23" s="12">
        <v>4</v>
      </c>
      <c r="B23" s="10" t="str">
        <f>LIDER!G46</f>
        <v>VALERY MARIA SALAZAR OROZCO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4"/>
      <c r="G23" s="143"/>
      <c r="H23" s="202"/>
      <c r="I23" s="143"/>
      <c r="J23" s="202"/>
      <c r="K23" s="143"/>
      <c r="L23" s="202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143"/>
      <c r="H24" s="202"/>
      <c r="I24" s="143"/>
      <c r="J24" s="202"/>
      <c r="K24" s="143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143"/>
      <c r="H25" s="202"/>
      <c r="I25" s="143"/>
      <c r="J25" s="202"/>
      <c r="K25" s="143"/>
      <c r="L25" s="202"/>
    </row>
    <row r="26" spans="1:12" s="2" customFormat="1" ht="15.75" customHeight="1">
      <c r="A26" s="14"/>
      <c r="B26" s="25" t="s">
        <v>62</v>
      </c>
      <c r="C26" s="88" t="s">
        <v>81</v>
      </c>
      <c r="D26" s="32" t="str">
        <f>D19</f>
        <v>LIST</v>
      </c>
      <c r="E26" s="89" t="s">
        <v>76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143"/>
      <c r="H27" s="202"/>
      <c r="I27" s="143"/>
      <c r="J27" s="202"/>
      <c r="K27" s="143"/>
      <c r="L27" s="202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143"/>
      <c r="H28" s="202"/>
      <c r="I28" s="143"/>
      <c r="J28" s="202"/>
      <c r="K28" s="143"/>
      <c r="L28" s="202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143"/>
      <c r="H29" s="202"/>
      <c r="I29" s="143"/>
      <c r="J29" s="202"/>
      <c r="K29" s="143"/>
      <c r="L29" s="202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143"/>
      <c r="H30" s="202"/>
      <c r="I30" s="143"/>
      <c r="J30" s="202"/>
      <c r="K30" s="143"/>
      <c r="L30" s="20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143"/>
      <c r="H31" s="202"/>
      <c r="I31" s="143"/>
      <c r="J31" s="202"/>
      <c r="K31" s="143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143"/>
      <c r="H32" s="202"/>
      <c r="I32" s="143"/>
      <c r="J32" s="202"/>
      <c r="K32" s="143"/>
      <c r="L32" s="202"/>
    </row>
    <row r="33" spans="1:12" s="2" customFormat="1" ht="15.75" customHeight="1">
      <c r="A33" s="14"/>
      <c r="B33" s="25" t="s">
        <v>63</v>
      </c>
      <c r="C33" s="88" t="s">
        <v>82</v>
      </c>
      <c r="D33" s="32" t="str">
        <f>D26</f>
        <v>LIST</v>
      </c>
      <c r="E33" s="89" t="s">
        <v>76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143"/>
      <c r="H34" s="202"/>
      <c r="I34" s="143"/>
      <c r="J34" s="202"/>
      <c r="K34" s="143"/>
      <c r="L34" s="202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143"/>
      <c r="H35" s="202"/>
      <c r="I35" s="143"/>
      <c r="J35" s="202"/>
      <c r="K35" s="143"/>
      <c r="L35" s="202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143"/>
      <c r="H36" s="202"/>
      <c r="I36" s="143"/>
      <c r="J36" s="202"/>
      <c r="K36" s="143"/>
      <c r="L36" s="202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143"/>
      <c r="H37" s="202"/>
      <c r="I37" s="143"/>
      <c r="J37" s="202"/>
      <c r="K37" s="143"/>
      <c r="L37" s="202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143"/>
      <c r="H38" s="202"/>
      <c r="I38" s="143"/>
      <c r="J38" s="202"/>
      <c r="K38" s="143"/>
      <c r="L38" s="20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143"/>
      <c r="H39" s="202"/>
      <c r="I39" s="143"/>
      <c r="J39" s="202"/>
      <c r="K39" s="143"/>
      <c r="L39" s="202"/>
    </row>
    <row r="40" spans="1:12" s="2" customFormat="1" ht="15.75" customHeight="1">
      <c r="A40" s="14"/>
      <c r="B40" s="25" t="s">
        <v>64</v>
      </c>
      <c r="C40" s="88" t="s">
        <v>83</v>
      </c>
      <c r="D40" s="32" t="str">
        <f>D33</f>
        <v>LIST</v>
      </c>
      <c r="E40" s="89" t="s">
        <v>76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143"/>
      <c r="H41" s="202"/>
      <c r="I41" s="143"/>
      <c r="J41" s="202"/>
      <c r="K41" s="143"/>
      <c r="L41" s="20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143"/>
      <c r="H42" s="202"/>
      <c r="I42" s="143"/>
      <c r="J42" s="202"/>
      <c r="K42" s="143"/>
      <c r="L42" s="20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143"/>
      <c r="H43" s="202"/>
      <c r="I43" s="143"/>
      <c r="J43" s="202"/>
      <c r="K43" s="143"/>
      <c r="L43" s="20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143"/>
      <c r="H44" s="202"/>
      <c r="I44" s="143"/>
      <c r="J44" s="202"/>
      <c r="K44" s="143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143"/>
      <c r="H45" s="202"/>
      <c r="I45" s="143"/>
      <c r="J45" s="202"/>
      <c r="K45" s="143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143"/>
      <c r="H46" s="202"/>
      <c r="I46" s="143"/>
      <c r="J46" s="202"/>
      <c r="K46" s="143"/>
      <c r="L46" s="202"/>
    </row>
    <row r="47" spans="1:12" s="2" customFormat="1" ht="15.75" customHeight="1">
      <c r="A47" s="14"/>
      <c r="B47" s="25" t="s">
        <v>65</v>
      </c>
      <c r="C47" s="88" t="s">
        <v>84</v>
      </c>
      <c r="D47" s="32" t="str">
        <f>D40</f>
        <v>LIST</v>
      </c>
      <c r="E47" s="89" t="s">
        <v>76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143"/>
      <c r="H48" s="202"/>
      <c r="I48" s="143"/>
      <c r="J48" s="202"/>
      <c r="K48" s="143"/>
      <c r="L48" s="20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143"/>
      <c r="H49" s="202"/>
      <c r="I49" s="143"/>
      <c r="J49" s="202"/>
      <c r="K49" s="143"/>
      <c r="L49" s="20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143"/>
      <c r="H50" s="202"/>
      <c r="I50" s="143"/>
      <c r="J50" s="202"/>
      <c r="K50" s="143"/>
      <c r="L50" s="20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143"/>
      <c r="H51" s="202"/>
      <c r="I51" s="143"/>
      <c r="J51" s="202"/>
      <c r="K51" s="143"/>
      <c r="L51" s="20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143"/>
      <c r="H52" s="202"/>
      <c r="I52" s="143"/>
      <c r="J52" s="202"/>
      <c r="K52" s="143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143"/>
      <c r="H53" s="202"/>
      <c r="I53" s="143"/>
      <c r="J53" s="202"/>
      <c r="K53" s="143"/>
      <c r="L53" s="202"/>
    </row>
    <row r="54" spans="1:12" s="2" customFormat="1" ht="15.75" customHeight="1">
      <c r="A54" s="14"/>
      <c r="B54" s="25" t="s">
        <v>66</v>
      </c>
      <c r="C54" s="88" t="s">
        <v>85</v>
      </c>
      <c r="D54" s="32" t="str">
        <f>D47</f>
        <v>LIST</v>
      </c>
      <c r="E54" s="89" t="s">
        <v>76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143"/>
      <c r="H55" s="202"/>
      <c r="I55" s="143"/>
      <c r="J55" s="202"/>
      <c r="K55" s="143"/>
      <c r="L55" s="20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143"/>
      <c r="H56" s="202"/>
      <c r="I56" s="143"/>
      <c r="J56" s="202"/>
      <c r="K56" s="143"/>
      <c r="L56" s="20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143"/>
      <c r="H57" s="202"/>
      <c r="I57" s="143"/>
      <c r="J57" s="202"/>
      <c r="K57" s="143"/>
      <c r="L57" s="20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143"/>
      <c r="H58" s="202"/>
      <c r="I58" s="143"/>
      <c r="J58" s="202"/>
      <c r="K58" s="143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143"/>
      <c r="H59" s="202"/>
      <c r="I59" s="143"/>
      <c r="J59" s="202"/>
      <c r="K59" s="143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143"/>
      <c r="H60" s="202"/>
      <c r="I60" s="143"/>
      <c r="J60" s="202"/>
      <c r="K60" s="143"/>
      <c r="L60" s="202"/>
    </row>
    <row r="61" spans="1:12" s="2" customFormat="1" ht="15.75" customHeight="1">
      <c r="A61" s="14"/>
      <c r="B61" s="25" t="s">
        <v>67</v>
      </c>
      <c r="C61" s="88" t="s">
        <v>86</v>
      </c>
      <c r="D61" s="32" t="str">
        <f>D54</f>
        <v>LIST</v>
      </c>
      <c r="E61" s="89" t="s">
        <v>76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143"/>
      <c r="H62" s="202"/>
      <c r="I62" s="143"/>
      <c r="J62" s="202"/>
      <c r="K62" s="143"/>
      <c r="L62" s="20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143"/>
      <c r="H63" s="202"/>
      <c r="I63" s="143"/>
      <c r="J63" s="202"/>
      <c r="K63" s="143"/>
      <c r="L63" s="20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143"/>
      <c r="H64" s="202"/>
      <c r="I64" s="143"/>
      <c r="J64" s="202"/>
      <c r="K64" s="143"/>
      <c r="L64" s="20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143"/>
      <c r="H65" s="202"/>
      <c r="I65" s="143"/>
      <c r="J65" s="202"/>
      <c r="K65" s="143"/>
      <c r="L65" s="20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143"/>
      <c r="H66" s="202"/>
      <c r="I66" s="143"/>
      <c r="J66" s="202"/>
      <c r="K66" s="143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143"/>
      <c r="H67" s="202"/>
      <c r="I67" s="143"/>
      <c r="J67" s="202"/>
      <c r="K67" s="143"/>
      <c r="L67" s="202"/>
    </row>
    <row r="68" spans="1:12" s="2" customFormat="1" ht="15.75" customHeight="1">
      <c r="A68" s="14"/>
      <c r="B68" s="25" t="s">
        <v>68</v>
      </c>
      <c r="C68" s="88" t="s">
        <v>87</v>
      </c>
      <c r="D68" s="32" t="str">
        <f>D61</f>
        <v>LIST</v>
      </c>
      <c r="E68" s="89" t="s">
        <v>76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143"/>
      <c r="H69" s="202"/>
      <c r="I69" s="143"/>
      <c r="J69" s="202"/>
      <c r="K69" s="143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143"/>
      <c r="H70" s="202"/>
      <c r="I70" s="143"/>
      <c r="J70" s="202"/>
      <c r="K70" s="143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143"/>
      <c r="H71" s="202"/>
      <c r="I71" s="143"/>
      <c r="J71" s="202"/>
      <c r="K71" s="143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143"/>
      <c r="H72" s="202"/>
      <c r="I72" s="143"/>
      <c r="J72" s="202"/>
      <c r="K72" s="143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143"/>
      <c r="H73" s="202"/>
      <c r="I73" s="143"/>
      <c r="J73" s="202"/>
      <c r="K73" s="143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143"/>
      <c r="H74" s="202"/>
      <c r="I74" s="143"/>
      <c r="J74" s="202"/>
      <c r="K74" s="143"/>
      <c r="L74" s="202"/>
    </row>
    <row r="75" spans="1:12" s="2" customFormat="1" ht="15.75" customHeight="1">
      <c r="A75" s="14"/>
      <c r="B75" s="25" t="s">
        <v>69</v>
      </c>
      <c r="C75" s="88" t="s">
        <v>88</v>
      </c>
      <c r="D75" s="32" t="str">
        <f>D68</f>
        <v>LIST</v>
      </c>
      <c r="E75" s="89" t="s">
        <v>76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143"/>
      <c r="H76" s="202"/>
      <c r="I76" s="143"/>
      <c r="J76" s="202"/>
      <c r="K76" s="143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143"/>
      <c r="H77" s="202"/>
      <c r="I77" s="143"/>
      <c r="J77" s="202"/>
      <c r="K77" s="143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143"/>
      <c r="H78" s="202"/>
      <c r="I78" s="143"/>
      <c r="J78" s="202"/>
      <c r="K78" s="143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143"/>
      <c r="H79" s="202"/>
      <c r="I79" s="143"/>
      <c r="J79" s="202"/>
      <c r="K79" s="143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143"/>
      <c r="H80" s="202"/>
      <c r="I80" s="143"/>
      <c r="J80" s="202"/>
      <c r="K80" s="143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143"/>
      <c r="H81" s="202"/>
      <c r="I81" s="143"/>
      <c r="J81" s="202"/>
      <c r="K81" s="143"/>
      <c r="L81" s="202"/>
    </row>
    <row r="82" spans="1:12" s="2" customFormat="1" ht="15.75" customHeight="1">
      <c r="A82" s="14"/>
      <c r="B82" s="25" t="s">
        <v>70</v>
      </c>
      <c r="C82" s="88" t="s">
        <v>89</v>
      </c>
      <c r="D82" s="32" t="str">
        <f>D75</f>
        <v>LIST</v>
      </c>
      <c r="E82" s="89" t="s">
        <v>76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143"/>
      <c r="H83" s="202"/>
      <c r="I83" s="143"/>
      <c r="J83" s="202"/>
      <c r="K83" s="143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143"/>
      <c r="H84" s="202"/>
      <c r="I84" s="143"/>
      <c r="J84" s="202"/>
      <c r="K84" s="143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143"/>
      <c r="H85" s="202"/>
      <c r="I85" s="143"/>
      <c r="J85" s="202"/>
      <c r="K85" s="143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143"/>
      <c r="H86" s="202"/>
      <c r="I86" s="143"/>
      <c r="J86" s="202"/>
      <c r="K86" s="143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143"/>
      <c r="H87" s="202"/>
      <c r="I87" s="143"/>
      <c r="J87" s="202"/>
      <c r="K87" s="143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54"/>
      <c r="H88" s="203"/>
      <c r="I88" s="154"/>
      <c r="J88" s="203"/>
      <c r="K88" s="154"/>
      <c r="L88" s="203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sqref="A1:G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4" t="str">
        <f>LIDER!B2</f>
        <v>TECNOLOGÍA EN GESTIÓN DE NEGOCIOS INTERN</v>
      </c>
      <c r="B1" s="145"/>
      <c r="C1" s="145"/>
      <c r="D1" s="145"/>
      <c r="E1" s="145"/>
      <c r="F1" s="145"/>
      <c r="G1" s="14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LIDER!C4</f>
        <v>TECNOLOGIA APLICADA</v>
      </c>
      <c r="C2" s="3"/>
      <c r="E2" s="148" t="s">
        <v>71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72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CONCATENATE(LIDER!C4," - ",LIDER!C6," - ",LIDER!C5)</f>
        <v>TECNOLOGIA APLICADA - 2385 - JOHAN RAFAEL HURTADO CASTRO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73</v>
      </c>
      <c r="C5" s="32" t="str">
        <f>IF('S-ASIG-01'!D5="","",'S-ASIG-01'!D5)</f>
        <v>LIST</v>
      </c>
      <c r="D5" s="35" t="s">
        <v>76</v>
      </c>
      <c r="E5" s="215" t="str">
        <f>LIDER!$E$29</f>
        <v>GRUPO#1: PERFIL INTERNACIONAL DE ECOPETROL- ESTUDIO LEGAL, TRIBUTARIO, ADMINISTRATIVO, MACROECONÓMICO, ADUANERO Y TECNOLÓGICO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MIGUEL ANTONIO BARON REVOLLO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4.6300000000000008</v>
      </c>
      <c r="E6" s="214">
        <v>4.5</v>
      </c>
      <c r="F6" s="24">
        <v>4.7</v>
      </c>
      <c r="G6" s="24">
        <v>4.8</v>
      </c>
      <c r="H6" s="24">
        <v>4.8</v>
      </c>
      <c r="I6" s="24">
        <v>4.8</v>
      </c>
      <c r="J6" s="24">
        <v>4.8</v>
      </c>
      <c r="K6" s="24"/>
    </row>
    <row r="7" spans="1:11" s="2" customFormat="1" ht="15" customHeight="1">
      <c r="A7" s="12">
        <v>2</v>
      </c>
      <c r="B7" s="28" t="str">
        <f>LIDER!E44</f>
        <v>GREISY JULIANA MENDOZA MORALES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4.6300000000000008</v>
      </c>
      <c r="E7" s="214"/>
      <c r="F7" s="18">
        <v>4.7</v>
      </c>
      <c r="G7" s="18">
        <v>4.8</v>
      </c>
      <c r="H7" s="18">
        <v>4.8</v>
      </c>
      <c r="I7" s="18">
        <v>4.8</v>
      </c>
      <c r="J7" s="18">
        <v>4.8</v>
      </c>
      <c r="K7" s="18"/>
    </row>
    <row r="8" spans="1:11" s="2" customFormat="1" ht="15" customHeight="1">
      <c r="A8" s="12">
        <v>3</v>
      </c>
      <c r="B8" s="28" t="str">
        <f>LIDER!E45</f>
        <v>DINA LUZ TAPIA ARRIETA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4.6300000000000008</v>
      </c>
      <c r="E8" s="214"/>
      <c r="F8" s="18">
        <v>4.7</v>
      </c>
      <c r="G8" s="18">
        <v>4.8</v>
      </c>
      <c r="H8" s="18">
        <v>4.8</v>
      </c>
      <c r="I8" s="18">
        <v>4.8</v>
      </c>
      <c r="J8" s="18">
        <v>4.8</v>
      </c>
      <c r="K8" s="18"/>
    </row>
    <row r="9" spans="1:11" s="2" customFormat="1" ht="15" customHeight="1">
      <c r="A9" s="12">
        <v>4</v>
      </c>
      <c r="B9" s="28" t="str">
        <f>LIDER!E46</f>
        <v>CAMILA ANDREA VALENCIA TEHERAN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4.6300000000000008</v>
      </c>
      <c r="E9" s="214"/>
      <c r="F9" s="18">
        <v>4.7</v>
      </c>
      <c r="G9" s="18">
        <v>4.8</v>
      </c>
      <c r="H9" s="18">
        <v>4.8</v>
      </c>
      <c r="I9" s="18">
        <v>4.8</v>
      </c>
      <c r="J9" s="18">
        <v>4.8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14"/>
      <c r="F10" s="18">
        <v>4.7</v>
      </c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1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77</v>
      </c>
      <c r="C12" s="32" t="str">
        <f>IF('S-ASIG-01'!D12="","",'S-ASIG-01'!D12)</f>
        <v>LIST</v>
      </c>
      <c r="D12" s="35" t="s">
        <v>76</v>
      </c>
      <c r="E12" s="215" t="str">
        <f>LIDER!$E$30</f>
        <v>GRUPO#2: Aspectos legales, tributarios, administrativos, macroeconómicos, aduaneros, tecnológicos e inter.que definen el de perfil Ecopetrol S.A . En los negocios inter.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SANTIAGO ANDRES BRAVO MARTINEZ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4.2</v>
      </c>
      <c r="E13" s="214">
        <v>4.2</v>
      </c>
      <c r="F13" s="24">
        <v>4.2</v>
      </c>
      <c r="G13" s="24">
        <v>4.2</v>
      </c>
      <c r="H13" s="24">
        <v>4.2</v>
      </c>
      <c r="I13" s="24">
        <v>4.2</v>
      </c>
      <c r="J13" s="24">
        <v>4.2</v>
      </c>
      <c r="K13" s="24"/>
    </row>
    <row r="14" spans="1:11" s="2" customFormat="1" ht="15" customHeight="1">
      <c r="A14" s="12">
        <v>2</v>
      </c>
      <c r="B14" s="28" t="str">
        <f>LIDER!F44</f>
        <v>MATTHIAS MATTHIAS CAMPO PASSO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4.2</v>
      </c>
      <c r="E14" s="214"/>
      <c r="F14" s="18">
        <v>4.2</v>
      </c>
      <c r="G14" s="18">
        <v>4.2</v>
      </c>
      <c r="H14" s="18">
        <v>4.2</v>
      </c>
      <c r="I14" s="18">
        <v>4.2</v>
      </c>
      <c r="J14" s="18">
        <v>4.2</v>
      </c>
      <c r="K14" s="18"/>
    </row>
    <row r="15" spans="1:11" s="2" customFormat="1" ht="15" customHeight="1">
      <c r="A15" s="12">
        <v>3</v>
      </c>
      <c r="B15" s="28" t="str">
        <f>LIDER!F45</f>
        <v>HANNA XILENA FERNÁNDEZ RUIZ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4.2</v>
      </c>
      <c r="E15" s="214"/>
      <c r="F15" s="18">
        <v>4.2</v>
      </c>
      <c r="G15" s="18">
        <v>4.2</v>
      </c>
      <c r="H15" s="18">
        <v>4.2</v>
      </c>
      <c r="I15" s="18">
        <v>4.2</v>
      </c>
      <c r="J15" s="18">
        <v>4.2</v>
      </c>
      <c r="K15" s="18"/>
    </row>
    <row r="16" spans="1:11" s="2" customFormat="1" ht="15" customHeight="1">
      <c r="A16" s="12">
        <v>4</v>
      </c>
      <c r="B16" s="28" t="str">
        <f>LIDER!F46</f>
        <v>MOISES RAFAEL LOPEZ HERNANDEZ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4.2</v>
      </c>
      <c r="E16" s="214"/>
      <c r="F16" s="18">
        <v>4.2</v>
      </c>
      <c r="G16" s="18">
        <v>4.2</v>
      </c>
      <c r="H16" s="18">
        <v>4.2</v>
      </c>
      <c r="I16" s="18">
        <v>4.2</v>
      </c>
      <c r="J16" s="18">
        <v>4.2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1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79</v>
      </c>
      <c r="C19" s="32" t="str">
        <f>IF('S-ASIG-01'!D19="","",'S-ASIG-01'!D19)</f>
        <v>LIST</v>
      </c>
      <c r="D19" s="35" t="s">
        <v>76</v>
      </c>
      <c r="E19" s="215" t="str">
        <f>LIDER!$E$31</f>
        <v xml:space="preserve">GRUPO#3: ¿Cuáles son los aspectos legales, tributarios, administrativos, macroeconómicos, aduaneros, tecnológicos e inter. el perfil de COLOMBINA S.A. En los negocios inter.  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VALENTINA CARO HERNANDEZ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4.6000000000000005</v>
      </c>
      <c r="E20" s="214">
        <v>4.7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YULIANIS MICHEAL CORDOBA SUAREZ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4.6000000000000005</v>
      </c>
      <c r="E21" s="214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VALERIA YOHANA MEDRANO MORALES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4.6000000000000005</v>
      </c>
      <c r="E22" s="214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VALERY MARIA SALAZAR OROZCO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4.6000000000000005</v>
      </c>
      <c r="E23" s="214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1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1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62</v>
      </c>
      <c r="C26" s="32" t="str">
        <f>IF('S-ASIG-01'!D26="","",'S-ASIG-01'!D26)</f>
        <v>LIST</v>
      </c>
      <c r="D26" s="35" t="s">
        <v>76</v>
      </c>
      <c r="E26" s="215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>
        <f>LIDER!H43</f>
        <v>0</v>
      </c>
      <c r="C27" s="33" t="str">
        <f>IF('S-ASIG-01'!D27="","",'S-ASIG-01'!D27)</f>
        <v/>
      </c>
      <c r="D27" s="30" t="str">
        <f>IF(B27=0,"",IF(C27="",$E$27*LIDER!$H$19+F27*LIDER!$H$20+G27*LIDER!$H$21+H27*LIDER!$H$22+I27*LIDER!$H$23+J27*LIDER!$H$24+K27*LIDER!$H$25,"N"))</f>
        <v/>
      </c>
      <c r="E27" s="21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IF('S-ASIG-01'!D28="","",'S-ASIG-01'!D28)</f>
        <v/>
      </c>
      <c r="D28" s="30" t="str">
        <f>IF(B28=0,"",IF(C28="",$E$27*LIDER!$H$19+F28*LIDER!$H$20+G28*LIDER!$H$21+H28*LIDER!$H$22+I28*LIDER!$H$23+J28*LIDER!$H$24+K28*LIDER!$H$25,"N"))</f>
        <v/>
      </c>
      <c r="E28" s="21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IF('S-ASIG-01'!D29="","",'S-ASIG-01'!D29)</f>
        <v/>
      </c>
      <c r="D29" s="30" t="str">
        <f>IF(B29=0,"",IF(C29="",$E$27*LIDER!$H$19+F29*LIDER!$H$20+G29*LIDER!$H$21+H29*LIDER!$H$22+I29*LIDER!$H$23+J29*LIDER!$H$24+K29*LIDER!$H$25,"N"))</f>
        <v/>
      </c>
      <c r="E29" s="21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1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1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63</v>
      </c>
      <c r="C33" s="32" t="str">
        <f>IF('S-ASIG-01'!D33="","",'S-ASIG-01'!D33)</f>
        <v>LIST</v>
      </c>
      <c r="D33" s="35" t="s">
        <v>76</v>
      </c>
      <c r="E33" s="215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1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1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1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1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1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64</v>
      </c>
      <c r="C40" s="32" t="str">
        <f>IF('S-ASIG-01'!D40="","",'S-ASIG-01'!D40)</f>
        <v>LIST</v>
      </c>
      <c r="D40" s="35" t="s">
        <v>76</v>
      </c>
      <c r="E40" s="215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1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1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1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1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1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65</v>
      </c>
      <c r="C47" s="32" t="str">
        <f>IF('S-ASIG-01'!D47="","",'S-ASIG-01'!D47)</f>
        <v>LIST</v>
      </c>
      <c r="D47" s="35" t="s">
        <v>76</v>
      </c>
      <c r="E47" s="215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1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1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1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1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1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66</v>
      </c>
      <c r="C54" s="32" t="str">
        <f>IF('S-ASIG-01'!D54="","",'S-ASIG-01'!D54)</f>
        <v>LIST</v>
      </c>
      <c r="D54" s="35" t="s">
        <v>76</v>
      </c>
      <c r="E54" s="215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1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1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1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1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67</v>
      </c>
      <c r="C61" s="32" t="str">
        <f>IF('S-ASIG-01'!D61="","",'S-ASIG-01'!D61)</f>
        <v>LIST</v>
      </c>
      <c r="D61" s="35" t="s">
        <v>76</v>
      </c>
      <c r="E61" s="215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1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1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1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1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68</v>
      </c>
      <c r="C68" s="32" t="str">
        <f>IF('S-ASIG-01'!D68="","",'S-ASIG-01'!D68)</f>
        <v>LIST</v>
      </c>
      <c r="D68" s="35" t="s">
        <v>76</v>
      </c>
      <c r="E68" s="215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69</v>
      </c>
      <c r="C75" s="32" t="str">
        <f>IF('S-ASIG-01'!D75="","",'S-ASIG-01'!D75)</f>
        <v>LIST</v>
      </c>
      <c r="D75" s="35" t="s">
        <v>76</v>
      </c>
      <c r="E75" s="215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70</v>
      </c>
      <c r="C82" s="32" t="str">
        <f>IF('S-ASIG-01'!D82="","",'S-ASIG-01'!D82)</f>
        <v>LIST</v>
      </c>
      <c r="D82" s="35" t="s">
        <v>76</v>
      </c>
      <c r="E82" s="215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6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4" t="str">
        <f>LIDER!B2</f>
        <v>TECNOLOGÍA EN GESTIÓN DE NEGOCIOS INTERN</v>
      </c>
      <c r="B1" s="145"/>
      <c r="C1" s="145"/>
      <c r="D1" s="145"/>
      <c r="E1" s="145"/>
      <c r="F1" s="145"/>
      <c r="G1" s="14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LIDER!D4</f>
        <v>INTERNACIONALIZACION</v>
      </c>
      <c r="C2" s="3"/>
      <c r="E2" s="148" t="s">
        <v>71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72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CONCATENATE(LIDER!D4," - ",LIDER!D6," - ",LIDER!D5)</f>
        <v>INTERNACIONALIZACION - 2479 - TATIANA MILENA ROJAS AROCA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73</v>
      </c>
      <c r="C5" s="34" t="str">
        <f>IF('S-ASIG-02'!D5="","",'S-ASIG-02'!D5)</f>
        <v>LIST</v>
      </c>
      <c r="D5" s="35" t="s">
        <v>76</v>
      </c>
      <c r="E5" s="147" t="str">
        <f>LIDER!$E$29</f>
        <v>GRUPO#1: PERFIL INTERNACIONAL DE ECOPETROL- ESTUDIO LEGAL, TRIBUTARIO, ADMINISTRATIVO, MACROECONÓMICO, ADUANERO Y TECNOLÓGICO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MIGUEL ANTONIO BARON REVOLLO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4.3</v>
      </c>
      <c r="E6" s="143">
        <v>4.0999999999999996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GREISY JULIANA MENDOZA MORALES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4.3</v>
      </c>
      <c r="E7" s="143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DINA LUZ TAPIA ARRIETA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4.3</v>
      </c>
      <c r="E8" s="143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CAMILA ANDREA VALENCIA TEHERAN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4.3</v>
      </c>
      <c r="E9" s="143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43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3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77</v>
      </c>
      <c r="C12" s="32" t="str">
        <f>IF('S-ASIG-02'!D12="","",'S-ASIG-02'!D12)</f>
        <v>LIST</v>
      </c>
      <c r="D12" s="35" t="s">
        <v>76</v>
      </c>
      <c r="E12" s="147" t="str">
        <f>LIDER!$E$30</f>
        <v>GRUPO#2: Aspectos legales, tributarios, administrativos, macroeconómicos, aduaneros, tecnológicos e inter.que definen el de perfil Ecopetrol S.A . En los negocios inter.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SANTIAGO ANDRES BRAVO MARTINEZ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3.95</v>
      </c>
      <c r="E13" s="143">
        <v>4</v>
      </c>
      <c r="F13" s="24">
        <v>3.9</v>
      </c>
      <c r="G13" s="24">
        <v>3.9</v>
      </c>
      <c r="H13" s="24">
        <v>3.9</v>
      </c>
      <c r="I13" s="24">
        <v>3.9</v>
      </c>
      <c r="J13" s="24">
        <v>3.9</v>
      </c>
      <c r="K13" s="24"/>
    </row>
    <row r="14" spans="1:11" s="2" customFormat="1" ht="15" customHeight="1">
      <c r="A14" s="12">
        <v>2</v>
      </c>
      <c r="B14" s="28" t="str">
        <f>LIDER!F44</f>
        <v>MATTHIAS MATTHIAS CAMPO PASSO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3.95</v>
      </c>
      <c r="E14" s="143"/>
      <c r="F14" s="18">
        <v>3.9</v>
      </c>
      <c r="G14" s="18">
        <v>3.9</v>
      </c>
      <c r="H14" s="18">
        <v>3.9</v>
      </c>
      <c r="I14" s="18">
        <v>3.9</v>
      </c>
      <c r="J14" s="18">
        <v>3.9</v>
      </c>
      <c r="K14" s="18"/>
    </row>
    <row r="15" spans="1:11" s="2" customFormat="1" ht="15" customHeight="1">
      <c r="A15" s="12">
        <v>3</v>
      </c>
      <c r="B15" s="28" t="str">
        <f>LIDER!F45</f>
        <v>HANNA XILENA FERNÁNDEZ RUIZ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3.95</v>
      </c>
      <c r="E15" s="143"/>
      <c r="F15" s="18">
        <v>3.9</v>
      </c>
      <c r="G15" s="18">
        <v>3.9</v>
      </c>
      <c r="H15" s="18">
        <v>3.9</v>
      </c>
      <c r="I15" s="18">
        <v>3.9</v>
      </c>
      <c r="J15" s="18">
        <v>3.9</v>
      </c>
      <c r="K15" s="18"/>
    </row>
    <row r="16" spans="1:11" s="2" customFormat="1" ht="15" customHeight="1">
      <c r="A16" s="12">
        <v>4</v>
      </c>
      <c r="B16" s="28" t="str">
        <f>LIDER!F46</f>
        <v>MOISES RAFAEL LOPEZ HERNANDEZ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3.95</v>
      </c>
      <c r="E16" s="143"/>
      <c r="F16" s="18">
        <v>3.9</v>
      </c>
      <c r="G16" s="18">
        <v>3.9</v>
      </c>
      <c r="H16" s="18">
        <v>3.9</v>
      </c>
      <c r="I16" s="18">
        <v>3.9</v>
      </c>
      <c r="J16" s="18">
        <v>3.9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43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3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79</v>
      </c>
      <c r="C19" s="32" t="str">
        <f>IF('S-ASIG-02'!D19="","",'S-ASIG-02'!D19)</f>
        <v>LIST</v>
      </c>
      <c r="D19" s="35" t="s">
        <v>76</v>
      </c>
      <c r="E19" s="147" t="str">
        <f>LIDER!$E$31</f>
        <v xml:space="preserve">GRUPO#3: ¿Cuáles son los aspectos legales, tributarios, administrativos, macroeconómicos, aduaneros, tecnológicos e inter. el perfil de COLOMBINA S.A. En los negocios inter.  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VALENTINA CARO HERNANDEZ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4.1499999999999995</v>
      </c>
      <c r="E20" s="143">
        <v>4.0999999999999996</v>
      </c>
      <c r="F20" s="24">
        <v>4.2</v>
      </c>
      <c r="G20" s="24">
        <v>4.2</v>
      </c>
      <c r="H20" s="24">
        <v>4.2</v>
      </c>
      <c r="I20" s="24">
        <v>4.2</v>
      </c>
      <c r="J20" s="24">
        <v>4.2</v>
      </c>
      <c r="K20" s="24"/>
    </row>
    <row r="21" spans="1:11" s="2" customFormat="1" ht="15" customHeight="1">
      <c r="A21" s="12">
        <v>2</v>
      </c>
      <c r="B21" s="28" t="str">
        <f>LIDER!G44</f>
        <v>YULIANIS MICHEAL CORDOBA SUAREZ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4.1499999999999995</v>
      </c>
      <c r="E21" s="143"/>
      <c r="F21" s="18">
        <v>4.2</v>
      </c>
      <c r="G21" s="18">
        <v>4.2</v>
      </c>
      <c r="H21" s="18">
        <v>4.2</v>
      </c>
      <c r="I21" s="18">
        <v>4.2</v>
      </c>
      <c r="J21" s="18">
        <v>4.2</v>
      </c>
      <c r="K21" s="18"/>
    </row>
    <row r="22" spans="1:11" s="2" customFormat="1" ht="15" customHeight="1">
      <c r="A22" s="12">
        <v>3</v>
      </c>
      <c r="B22" s="28" t="str">
        <f>LIDER!G45</f>
        <v>VALERIA YOHANA MEDRANO MORALES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4.1499999999999995</v>
      </c>
      <c r="E22" s="143"/>
      <c r="F22" s="18">
        <v>4.2</v>
      </c>
      <c r="G22" s="18">
        <v>4.2</v>
      </c>
      <c r="H22" s="18">
        <v>4.2</v>
      </c>
      <c r="I22" s="18">
        <v>4.2</v>
      </c>
      <c r="J22" s="18">
        <v>4.2</v>
      </c>
      <c r="K22" s="18"/>
    </row>
    <row r="23" spans="1:11" s="2" customFormat="1" ht="15" customHeight="1">
      <c r="A23" s="12">
        <v>4</v>
      </c>
      <c r="B23" s="28" t="str">
        <f>LIDER!G46</f>
        <v>VALERY MARIA SALAZAR OROZCO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4.1499999999999995</v>
      </c>
      <c r="E23" s="143"/>
      <c r="F23" s="18">
        <v>4.2</v>
      </c>
      <c r="G23" s="18">
        <v>4.2</v>
      </c>
      <c r="H23" s="18">
        <v>4.2</v>
      </c>
      <c r="I23" s="18">
        <v>4.2</v>
      </c>
      <c r="J23" s="18">
        <v>4.2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43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3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62</v>
      </c>
      <c r="C26" s="32" t="str">
        <f>IF('S-ASIG-02'!D26="","",'S-ASIG-02'!D26)</f>
        <v>LIST</v>
      </c>
      <c r="D26" s="35" t="s">
        <v>76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>
        <f>LIDER!H43</f>
        <v>0</v>
      </c>
      <c r="C27" s="33" t="str">
        <f>IF('S-ASIG-02'!D27="","",'S-ASIG-02'!D27)</f>
        <v/>
      </c>
      <c r="D27" s="30" t="str">
        <f>IF(B27=0,"",IF(C27="",$E$27*LIDER!$H$19+F27*LIDER!$H$20+G27*LIDER!$H$21+H27*LIDER!$H$22+I27*LIDER!$H$23+J27*LIDER!$H$24+K27*LIDER!$H$25,"N"))</f>
        <v/>
      </c>
      <c r="E27" s="143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IF('S-ASIG-02'!D28="","",'S-ASIG-02'!D28)</f>
        <v/>
      </c>
      <c r="D28" s="30" t="str">
        <f>IF(B28=0,"",IF(C28="",$E$27*LIDER!$H$19+F28*LIDER!$H$20+G28*LIDER!$H$21+H28*LIDER!$H$22+I28*LIDER!$H$23+J28*LIDER!$H$24+K28*LIDER!$H$25,"N"))</f>
        <v/>
      </c>
      <c r="E28" s="143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IF('S-ASIG-02'!D29="","",'S-ASIG-02'!D29)</f>
        <v/>
      </c>
      <c r="D29" s="30" t="str">
        <f>IF(B29=0,"",IF(C29="",$E$27*LIDER!$H$19+F29*LIDER!$H$20+G29*LIDER!$H$21+H29*LIDER!$H$22+I29*LIDER!$H$23+J29*LIDER!$H$24+K29*LIDER!$H$25,"N"))</f>
        <v/>
      </c>
      <c r="E29" s="143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43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43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3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63</v>
      </c>
      <c r="C33" s="32" t="str">
        <f>IF('S-ASIG-02'!D33="","",'S-ASIG-02'!D33)</f>
        <v>LIST</v>
      </c>
      <c r="D33" s="35" t="s">
        <v>76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43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43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43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43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43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3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64</v>
      </c>
      <c r="C40" s="32" t="str">
        <f>IF('S-ASIG-02'!D40="","",'S-ASIG-02'!D40)</f>
        <v>LIST</v>
      </c>
      <c r="D40" s="35" t="s">
        <v>76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43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43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43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3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3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3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65</v>
      </c>
      <c r="C47" s="32" t="str">
        <f>IF('S-ASIG-02'!D47="","",'S-ASIG-02'!D47)</f>
        <v>LIST</v>
      </c>
      <c r="D47" s="35" t="s">
        <v>76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3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3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3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3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3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3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66</v>
      </c>
      <c r="C54" s="32" t="str">
        <f>IF('S-ASIG-02'!D54="","",'S-ASIG-02'!D54)</f>
        <v>LIST</v>
      </c>
      <c r="D54" s="35" t="s">
        <v>76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3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3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3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3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3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3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67</v>
      </c>
      <c r="C61" s="32" t="str">
        <f>IF('S-ASIG-02'!D61="","",'S-ASIG-02'!D61)</f>
        <v>LIST</v>
      </c>
      <c r="D61" s="35" t="s">
        <v>76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3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3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3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3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3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3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68</v>
      </c>
      <c r="C68" s="32" t="str">
        <f>IF('S-ASIG-02'!D68="","",'S-ASIG-02'!D68)</f>
        <v>LIST</v>
      </c>
      <c r="D68" s="35" t="s">
        <v>76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3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3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3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3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3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3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69</v>
      </c>
      <c r="C75" s="32" t="str">
        <f>IF('S-ASIG-02'!D75="","",'S-ASIG-02'!D75)</f>
        <v>LIST</v>
      </c>
      <c r="D75" s="35" t="s">
        <v>76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3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3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3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3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3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3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70</v>
      </c>
      <c r="C82" s="32" t="str">
        <f>IF('S-ASIG-02'!D82="","",'S-ASIG-02'!D82)</f>
        <v>LIST</v>
      </c>
      <c r="D82" s="35" t="s">
        <v>76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3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3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3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3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3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4" t="str">
        <f>LIDER!B2</f>
        <v>TECNOLOGÍA EN GESTIÓN DE NEGOCIOS INTERN</v>
      </c>
      <c r="B1" s="145"/>
      <c r="C1" s="145"/>
      <c r="D1" s="145"/>
      <c r="E1" s="145"/>
      <c r="F1" s="145"/>
      <c r="G1" s="14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LIDER!E4</f>
        <v>LEGISLACION PARA EL COMERCIO</v>
      </c>
      <c r="C2" s="3"/>
      <c r="E2" s="148" t="s">
        <v>71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72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CONCATENATE(LIDER!E4," - ",LIDER!E6," - ",LIDER!E5)</f>
        <v>LEGISLACION PARA EL COMERCIO - 2487 - ELENA MELENDEZ TAPIA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73</v>
      </c>
      <c r="C5" s="34" t="str">
        <f>IF('S-ASIG-03'!D5="","",'S-ASIG-03'!D5)</f>
        <v>LIST</v>
      </c>
      <c r="D5" s="35" t="s">
        <v>76</v>
      </c>
      <c r="E5" s="147" t="str">
        <f>LIDER!$E$29</f>
        <v>GRUPO#1: PERFIL INTERNACIONAL DE ECOPETROL- ESTUDIO LEGAL, TRIBUTARIO, ADMINISTRATIVO, MACROECONÓMICO, ADUANERO Y TECNOLÓGICO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MIGUEL ANTONIO BARON REVOLLO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3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GREISY JULIANA MENDOZA MORALES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3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DINA LUZ TAPIA ARRIETA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3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CAMILA ANDREA VALENCIA TEHERAN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43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43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3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77</v>
      </c>
      <c r="C12" s="32" t="str">
        <f>IF('S-ASIG-03'!D12="","",'S-ASIG-03'!D12)</f>
        <v>LIST</v>
      </c>
      <c r="D12" s="35" t="s">
        <v>76</v>
      </c>
      <c r="E12" s="147" t="str">
        <f>LIDER!$E$30</f>
        <v>GRUPO#2: Aspectos legales, tributarios, administrativos, macroeconómicos, aduaneros, tecnológicos e inter.que definen el de perfil Ecopetrol S.A . En los negocios inter.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SANTIAGO ANDRES BRAVO MARTINEZ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3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MATTHIAS MATTHIAS CAMPO PASSO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3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HANNA XILENA FERNÁNDEZ RUIZ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43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MOISES RAFAEL LOPEZ HERNANDEZ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43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43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3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79</v>
      </c>
      <c r="C19" s="32" t="str">
        <f>IF('S-ASIG-03'!D19="","",'S-ASIG-03'!D19)</f>
        <v>LIST</v>
      </c>
      <c r="D19" s="35" t="s">
        <v>76</v>
      </c>
      <c r="E19" s="147" t="str">
        <f>LIDER!$E$31</f>
        <v xml:space="preserve">GRUPO#3: ¿Cuáles son los aspectos legales, tributarios, administrativos, macroeconómicos, aduaneros, tecnológicos e inter. el perfil de COLOMBINA S.A. En los negocios inter.  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VALENTINA CARO HERNANDEZ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43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YULIANIS MICHEAL CORDOBA SUAREZ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3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VALERIA YOHANA MEDRANO MORALES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43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VALERY MARIA SALAZAR OROZCO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43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43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3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62</v>
      </c>
      <c r="C26" s="32" t="str">
        <f>IF('S-ASIG-03'!D26="","",'S-ASIG-03'!D26)</f>
        <v>LIST</v>
      </c>
      <c r="D26" s="35" t="s">
        <v>76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>
        <f>LIDER!H43</f>
        <v>0</v>
      </c>
      <c r="C27" s="33" t="str">
        <f>IF('S-ASIG-03'!D27="","",'S-ASIG-03'!D27)</f>
        <v/>
      </c>
      <c r="D27" s="30" t="str">
        <f>IF(B27=0,"",IF(C27="",$E$27*LIDER!$H$19+F27*LIDER!$H$20+G27*LIDER!$H$21+H27*LIDER!$H$22+I27*LIDER!$H$23+J27*LIDER!$H$24+K27*LIDER!$H$25,"N"))</f>
        <v/>
      </c>
      <c r="E27" s="143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IF('S-ASIG-03'!D28="","",'S-ASIG-03'!D28)</f>
        <v/>
      </c>
      <c r="D28" s="30" t="str">
        <f>IF(B28=0,"",IF(C28="",$E$27*LIDER!$H$19+F28*LIDER!$H$20+G28*LIDER!$H$21+H28*LIDER!$H$22+I28*LIDER!$H$23+J28*LIDER!$H$24+K28*LIDER!$H$25,"N"))</f>
        <v/>
      </c>
      <c r="E28" s="143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IF('S-ASIG-03'!D29="","",'S-ASIG-03'!D29)</f>
        <v/>
      </c>
      <c r="D29" s="30" t="str">
        <f>IF(B29=0,"",IF(C29="",$E$27*LIDER!$H$19+F29*LIDER!$H$20+G29*LIDER!$H$21+H29*LIDER!$H$22+I29*LIDER!$H$23+J29*LIDER!$H$24+K29*LIDER!$H$25,"N"))</f>
        <v/>
      </c>
      <c r="E29" s="143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43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43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3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63</v>
      </c>
      <c r="C33" s="32" t="str">
        <f>IF('S-ASIG-03'!D33="","",'S-ASIG-03'!D33)</f>
        <v>LIST</v>
      </c>
      <c r="D33" s="35" t="s">
        <v>76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43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43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43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43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43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3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64</v>
      </c>
      <c r="C40" s="32" t="str">
        <f>IF('S-ASIG-03'!D40="","",'S-ASIG-03'!D40)</f>
        <v>LIST</v>
      </c>
      <c r="D40" s="35" t="s">
        <v>76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43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43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43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3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3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3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65</v>
      </c>
      <c r="C47" s="32" t="str">
        <f>IF('S-ASIG-03'!D47="","",'S-ASIG-03'!D47)</f>
        <v>LIST</v>
      </c>
      <c r="D47" s="35" t="s">
        <v>76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3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3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3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3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3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3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66</v>
      </c>
      <c r="C54" s="32" t="str">
        <f>IF('S-ASIG-03'!D54="","",'S-ASIG-03'!D54)</f>
        <v>LIST</v>
      </c>
      <c r="D54" s="35" t="s">
        <v>76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3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3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3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3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3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3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67</v>
      </c>
      <c r="C61" s="32" t="str">
        <f>IF('S-ASIG-03'!D61="","",'S-ASIG-03'!D61)</f>
        <v>LIST</v>
      </c>
      <c r="D61" s="35" t="s">
        <v>76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3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3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3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3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3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3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68</v>
      </c>
      <c r="C68" s="32" t="str">
        <f>IF('S-ASIG-03'!D68="","",'S-ASIG-03'!D68)</f>
        <v>LIST</v>
      </c>
      <c r="D68" s="35" t="s">
        <v>76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3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3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3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3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3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3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69</v>
      </c>
      <c r="C75" s="32" t="str">
        <f>IF('S-ASIG-03'!D75="","",'S-ASIG-03'!D75)</f>
        <v>LIST</v>
      </c>
      <c r="D75" s="35" t="s">
        <v>76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3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3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3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3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3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3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70</v>
      </c>
      <c r="C82" s="32" t="str">
        <f>IF('S-ASIG-03'!D82="","",'S-ASIG-03'!D82)</f>
        <v>LIST</v>
      </c>
      <c r="D82" s="35" t="s">
        <v>76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3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3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3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3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3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4" t="str">
        <f>LIDER!B2</f>
        <v>TECNOLOGÍA EN GESTIÓN DE NEGOCIOS INTERN</v>
      </c>
      <c r="B1" s="145"/>
      <c r="C1" s="145"/>
      <c r="D1" s="145"/>
      <c r="E1" s="145"/>
      <c r="F1" s="145"/>
      <c r="G1" s="14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>
        <f>LIDER!I4</f>
        <v>0</v>
      </c>
      <c r="C2" s="3"/>
      <c r="E2" s="148" t="s">
        <v>71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72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CONCATENATE(LIDER!I4," - ",LIDER!I6," - ",LIDER!I5)</f>
        <v xml:space="preserve"> -  - 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73</v>
      </c>
      <c r="C5" s="34" t="str">
        <f>IF('S-ASIG-07'!D5="","",'S-ASIG-07'!D5)</f>
        <v>LIST</v>
      </c>
      <c r="D5" s="35" t="s">
        <v>76</v>
      </c>
      <c r="E5" s="147" t="str">
        <f>LIDER!$E$29</f>
        <v>GRUPO#1: PERFIL INTERNACIONAL DE ECOPETROL- ESTUDIO LEGAL, TRIBUTARIO, ADMINISTRATIVO, MACROECONÓMICO, ADUANERO Y TECNOLÓGICO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MIGUEL ANTONIO BARON REVOLLO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3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GREISY JULIANA MENDOZA MORALES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3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DINA LUZ TAPIA ARRIETA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3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CAMILA ANDREA VALENCIA TEHERAN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3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43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3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77</v>
      </c>
      <c r="C12" s="32" t="str">
        <f>IF('S-ASIG-07'!D12="","",'S-ASIG-07'!D12)</f>
        <v>LIST</v>
      </c>
      <c r="D12" s="35" t="s">
        <v>76</v>
      </c>
      <c r="E12" s="147" t="str">
        <f>LIDER!$E$30</f>
        <v>GRUPO#2: Aspectos legales, tributarios, administrativos, macroeconómicos, aduaneros, tecnológicos e inter.que definen el de perfil Ecopetrol S.A . En los negocios inter.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SANTIAGO ANDRES BRAVO MARTINEZ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3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MATTHIAS MATTHIAS CAMPO PASSO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3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HANNA XILENA FERNÁNDEZ RUIZ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3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MOISES RAFAEL LOPEZ HERNANDEZ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3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43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3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79</v>
      </c>
      <c r="C19" s="32" t="str">
        <f>IF('S-ASIG-07'!D19="","",'S-ASIG-07'!D19)</f>
        <v>LIST</v>
      </c>
      <c r="D19" s="35" t="s">
        <v>76</v>
      </c>
      <c r="E19" s="147" t="str">
        <f>LIDER!$E$31</f>
        <v xml:space="preserve">GRUPO#3: ¿Cuáles son los aspectos legales, tributarios, administrativos, macroeconómicos, aduaneros, tecnológicos e inter. el perfil de COLOMBINA S.A. En los negocios inter.  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VALENTINA CARO HERNANDEZ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3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YULIANIS MICHEAL CORDOBA SUAREZ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3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VALERIA YOHANA MEDRANO MORALES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3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VALERY MARIA SALAZAR OROZCO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3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43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3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62</v>
      </c>
      <c r="C26" s="32" t="str">
        <f>IF('S-ASIG-07'!D26="","",'S-ASIG-07'!D26)</f>
        <v>LIST</v>
      </c>
      <c r="D26" s="35" t="s">
        <v>76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>
        <f>LIDER!H43</f>
        <v>0</v>
      </c>
      <c r="C27" s="33" t="str">
        <f>IF('S-ASIG-07'!D27="","",'S-ASIG-07'!D27)</f>
        <v/>
      </c>
      <c r="D27" s="30" t="str">
        <f>IF(B27=0,"",IF(C27="",$E$27*LIDER!$H$19+F27*LIDER!$H$20+G27*LIDER!$H$21+H27*LIDER!$H$22+I27*LIDER!$H$23+J27*LIDER!$H$24+K27*LIDER!$H$25,"N"))</f>
        <v/>
      </c>
      <c r="E27" s="143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IF('S-ASIG-07'!D28="","",'S-ASIG-07'!D28)</f>
        <v/>
      </c>
      <c r="D28" s="30" t="str">
        <f>IF(B28=0,"",IF(C28="",$E$27*LIDER!$H$19+F28*LIDER!$H$20+G28*LIDER!$H$21+H28*LIDER!$H$22+I28*LIDER!$H$23+J28*LIDER!$H$24+K28*LIDER!$H$25,"N"))</f>
        <v/>
      </c>
      <c r="E28" s="143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IF('S-ASIG-07'!D29="","",'S-ASIG-07'!D29)</f>
        <v/>
      </c>
      <c r="D29" s="30" t="str">
        <f>IF(B29=0,"",IF(C29="",$E$27*LIDER!$H$19+F29*LIDER!$H$20+G29*LIDER!$H$21+H29*LIDER!$H$22+I29*LIDER!$H$23+J29*LIDER!$H$24+K29*LIDER!$H$25,"N"))</f>
        <v/>
      </c>
      <c r="E29" s="143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43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43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3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63</v>
      </c>
      <c r="C33" s="32" t="str">
        <f>IF('S-ASIG-07'!D33="","",'S-ASIG-07'!D33)</f>
        <v>LIST</v>
      </c>
      <c r="D33" s="35" t="s">
        <v>76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43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43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43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43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43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3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64</v>
      </c>
      <c r="C40" s="32" t="str">
        <f>IF('S-ASIG-07'!D40="","",'S-ASIG-07'!D40)</f>
        <v>LIST</v>
      </c>
      <c r="D40" s="35" t="s">
        <v>76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43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43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43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3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3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3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65</v>
      </c>
      <c r="C47" s="32" t="str">
        <f>IF('S-ASIG-07'!D47="","",'S-ASIG-07'!D47)</f>
        <v>LIST</v>
      </c>
      <c r="D47" s="35" t="s">
        <v>76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3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3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3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3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3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3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66</v>
      </c>
      <c r="C54" s="32" t="str">
        <f>IF('S-ASIG-07'!D54="","",'S-ASIG-07'!D54)</f>
        <v>LIST</v>
      </c>
      <c r="D54" s="35" t="s">
        <v>76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3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3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3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3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3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3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67</v>
      </c>
      <c r="C61" s="32" t="str">
        <f>IF('S-ASIG-07'!D61="","",'S-ASIG-07'!D61)</f>
        <v>LIST</v>
      </c>
      <c r="D61" s="35" t="s">
        <v>76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3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3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3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3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3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3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68</v>
      </c>
      <c r="C68" s="32" t="str">
        <f>IF('S-ASIG-07'!D68="","",'S-ASIG-07'!D68)</f>
        <v>LIST</v>
      </c>
      <c r="D68" s="35" t="s">
        <v>76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3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3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3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3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3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3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69</v>
      </c>
      <c r="C75" s="32" t="str">
        <f>IF('S-ASIG-07'!D75="","",'S-ASIG-07'!D75)</f>
        <v>LIST</v>
      </c>
      <c r="D75" s="35" t="s">
        <v>76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3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3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3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3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3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3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70</v>
      </c>
      <c r="C82" s="32" t="str">
        <f>IF('S-ASIG-07'!D82="","",'S-ASIG-07'!D82)</f>
        <v>LIST</v>
      </c>
      <c r="D82" s="35" t="s">
        <v>76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3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3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3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3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3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5" activePane="bottomRight" state="frozen"/>
      <selection pane="bottomRight" activeCell="E12" sqref="E12:K12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4" t="str">
        <f>LIDER!B2</f>
        <v>TECNOLOGÍA EN GESTIÓN DE NEGOCIOS INTERN</v>
      </c>
      <c r="B1" s="145"/>
      <c r="C1" s="145"/>
      <c r="D1" s="145"/>
      <c r="E1" s="145"/>
      <c r="F1" s="145"/>
      <c r="G1" s="14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LIDER!F4</f>
        <v>MACROECONOMÍA</v>
      </c>
      <c r="C2" s="3"/>
      <c r="E2" s="148" t="s">
        <v>71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72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CONCATENATE(LIDER!F4," - ",LIDER!F6," - ",LIDER!F5)</f>
        <v>MACROECONOMÍA - 1529 - ANDRES PAJARO CASTRO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73</v>
      </c>
      <c r="C5" s="34" t="str">
        <f>IF('S-ASIG-04'!D5="","",'S-ASIG-04'!D5)</f>
        <v>LIST</v>
      </c>
      <c r="D5" s="35" t="s">
        <v>76</v>
      </c>
      <c r="E5" s="147" t="str">
        <f>LIDER!$E$29</f>
        <v>GRUPO#1: PERFIL INTERNACIONAL DE ECOPETROL- ESTUDIO LEGAL, TRIBUTARIO, ADMINISTRATIVO, MACROECONÓMICO, ADUANERO Y TECNOLÓGICO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MIGUEL ANTONIO BARON REVOLLO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4.335</v>
      </c>
      <c r="E6" s="143">
        <v>4.5</v>
      </c>
      <c r="F6" s="24">
        <v>4</v>
      </c>
      <c r="G6" s="24">
        <v>4.5</v>
      </c>
      <c r="H6" s="24">
        <v>4.5</v>
      </c>
      <c r="I6" s="24">
        <v>4.2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GREISY JULIANA MENDOZA MORALES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4.4249999999999998</v>
      </c>
      <c r="E7" s="143"/>
      <c r="F7" s="18">
        <v>4</v>
      </c>
      <c r="G7" s="18">
        <v>5</v>
      </c>
      <c r="H7" s="18">
        <v>5</v>
      </c>
      <c r="I7" s="18">
        <v>4.5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DINA LUZ TAPIA ARRIETA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4.6250000000000009</v>
      </c>
      <c r="E8" s="143"/>
      <c r="F8" s="18">
        <v>5</v>
      </c>
      <c r="G8" s="18">
        <v>4.5</v>
      </c>
      <c r="H8" s="18">
        <v>4.5</v>
      </c>
      <c r="I8" s="18">
        <v>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CAMILA ANDREA VALENCIA TEHERAN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4.4249999999999998</v>
      </c>
      <c r="E9" s="143"/>
      <c r="F9" s="18">
        <v>4</v>
      </c>
      <c r="G9" s="18">
        <v>5</v>
      </c>
      <c r="H9" s="18">
        <v>5</v>
      </c>
      <c r="I9" s="18">
        <v>4.5</v>
      </c>
      <c r="J9" s="18">
        <v>4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43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3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77</v>
      </c>
      <c r="C12" s="32" t="str">
        <f>IF('S-ASIG-04'!D12="","",'S-ASIG-04'!D12)</f>
        <v>LIST</v>
      </c>
      <c r="D12" s="35" t="s">
        <v>76</v>
      </c>
      <c r="E12" s="147" t="str">
        <f>LIDER!$E$30</f>
        <v>GRUPO#2: Aspectos legales, tributarios, administrativos, macroeconómicos, aduaneros, tecnológicos e inter.que definen el de perfil Ecopetrol S.A . En los negocios inter.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SANTIAGO ANDRES BRAVO MARTINEZ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4.5</v>
      </c>
      <c r="E13" s="143">
        <v>4.5</v>
      </c>
      <c r="F13" s="24">
        <v>4</v>
      </c>
      <c r="G13" s="24">
        <v>5</v>
      </c>
      <c r="H13" s="24">
        <v>5</v>
      </c>
      <c r="I13" s="24">
        <v>4</v>
      </c>
      <c r="J13" s="24">
        <v>5</v>
      </c>
      <c r="K13" s="24"/>
    </row>
    <row r="14" spans="1:11" s="2" customFormat="1" ht="15" customHeight="1">
      <c r="A14" s="12">
        <v>2</v>
      </c>
      <c r="B14" s="28" t="str">
        <f>LIDER!F44</f>
        <v>MATTHIAS MATTHIAS CAMPO PASSO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4.55</v>
      </c>
      <c r="E14" s="143"/>
      <c r="F14" s="18">
        <v>4</v>
      </c>
      <c r="G14" s="18">
        <v>5</v>
      </c>
      <c r="H14" s="18">
        <v>5</v>
      </c>
      <c r="I14" s="18">
        <v>5</v>
      </c>
      <c r="J14" s="18">
        <v>5</v>
      </c>
      <c r="K14" s="18"/>
    </row>
    <row r="15" spans="1:11" s="2" customFormat="1" ht="15" customHeight="1">
      <c r="A15" s="12">
        <v>3</v>
      </c>
      <c r="B15" s="28" t="str">
        <f>LIDER!F45</f>
        <v>HANNA XILENA FERNÁNDEZ RUIZ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4.4250000000000007</v>
      </c>
      <c r="E15" s="143"/>
      <c r="F15" s="18">
        <v>4</v>
      </c>
      <c r="G15" s="18">
        <v>4.5</v>
      </c>
      <c r="H15" s="18">
        <v>4.5</v>
      </c>
      <c r="I15" s="18">
        <v>4</v>
      </c>
      <c r="J15" s="18">
        <v>5</v>
      </c>
      <c r="K15" s="18"/>
    </row>
    <row r="16" spans="1:11" s="2" customFormat="1" ht="15" customHeight="1">
      <c r="A16" s="12">
        <v>4</v>
      </c>
      <c r="B16" s="28" t="str">
        <f>LIDER!F46</f>
        <v>MOISES RAFAEL LOPEZ HERNANDEZ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4.53</v>
      </c>
      <c r="E16" s="143"/>
      <c r="F16" s="18">
        <v>5</v>
      </c>
      <c r="G16" s="18">
        <v>4.4000000000000004</v>
      </c>
      <c r="H16" s="18">
        <v>4.3</v>
      </c>
      <c r="I16" s="18">
        <v>4.5</v>
      </c>
      <c r="J16" s="18">
        <v>4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43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3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79</v>
      </c>
      <c r="C19" s="32" t="str">
        <f>IF('S-ASIG-04'!D19="","",'S-ASIG-04'!D19)</f>
        <v>LIST</v>
      </c>
      <c r="D19" s="35" t="s">
        <v>76</v>
      </c>
      <c r="E19" s="147" t="str">
        <f>LIDER!$E$31</f>
        <v xml:space="preserve">GRUPO#3: ¿Cuáles son los aspectos legales, tributarios, administrativos, macroeconómicos, aduaneros, tecnológicos e inter. el perfil de COLOMBINA S.A. En los negocios inter.  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VALENTINA CARO HERNANDEZ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4.3500000000000005</v>
      </c>
      <c r="E20" s="143">
        <v>4.5</v>
      </c>
      <c r="F20" s="24">
        <v>4</v>
      </c>
      <c r="G20" s="24">
        <v>4.5</v>
      </c>
      <c r="H20" s="24">
        <v>4</v>
      </c>
      <c r="I20" s="24">
        <v>4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YULIANIS MICHEAL CORDOBA SUAREZ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4.2750000000000004</v>
      </c>
      <c r="E21" s="143"/>
      <c r="F21" s="18">
        <v>4</v>
      </c>
      <c r="G21" s="18">
        <v>4</v>
      </c>
      <c r="H21" s="18">
        <v>4.5</v>
      </c>
      <c r="I21" s="18">
        <v>4</v>
      </c>
      <c r="J21" s="18">
        <v>4</v>
      </c>
      <c r="K21" s="18"/>
    </row>
    <row r="22" spans="1:11" s="2" customFormat="1" ht="15" customHeight="1">
      <c r="A22" s="12">
        <v>3</v>
      </c>
      <c r="B22" s="28" t="str">
        <f>LIDER!G45</f>
        <v>VALERIA YOHANA MEDRANO MORALES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4.7</v>
      </c>
      <c r="E22" s="143"/>
      <c r="F22" s="18">
        <v>5</v>
      </c>
      <c r="G22" s="18">
        <v>5</v>
      </c>
      <c r="H22" s="18">
        <v>5</v>
      </c>
      <c r="I22" s="18">
        <v>4</v>
      </c>
      <c r="J22" s="18">
        <v>5</v>
      </c>
      <c r="K22" s="18"/>
    </row>
    <row r="23" spans="1:11" s="2" customFormat="1" ht="15" customHeight="1">
      <c r="A23" s="12">
        <v>4</v>
      </c>
      <c r="B23" s="28" t="str">
        <f>LIDER!G46</f>
        <v>VALERY MARIA SALAZAR OROZCO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4.25</v>
      </c>
      <c r="E23" s="143"/>
      <c r="F23" s="18">
        <v>4</v>
      </c>
      <c r="G23" s="18">
        <v>4</v>
      </c>
      <c r="H23" s="18">
        <v>4</v>
      </c>
      <c r="I23" s="18">
        <v>4</v>
      </c>
      <c r="J23" s="18">
        <v>4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43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3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62</v>
      </c>
      <c r="C26" s="32" t="str">
        <f>IF('S-ASIG-04'!D26="","",'S-ASIG-04'!D26)</f>
        <v>LIST</v>
      </c>
      <c r="D26" s="35" t="s">
        <v>76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>
        <f>LIDER!H43</f>
        <v>0</v>
      </c>
      <c r="C27" s="33" t="str">
        <f>IF('S-ASIG-04'!D27="","",'S-ASIG-04'!D27)</f>
        <v/>
      </c>
      <c r="D27" s="30" t="str">
        <f>IF(B27=0,"",IF(C27="",$E$27*LIDER!$H$19+F27*LIDER!$H$20+G27*LIDER!$H$21+H27*LIDER!$H$22+I27*LIDER!$H$23+J27*LIDER!$H$24+K27*LIDER!$H$25,"N"))</f>
        <v/>
      </c>
      <c r="E27" s="143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IF('S-ASIG-04'!D28="","",'S-ASIG-04'!D28)</f>
        <v/>
      </c>
      <c r="D28" s="30" t="str">
        <f>IF(B28=0,"",IF(C28="",$E$27*LIDER!$H$19+F28*LIDER!$H$20+G28*LIDER!$H$21+H28*LIDER!$H$22+I28*LIDER!$H$23+J28*LIDER!$H$24+K28*LIDER!$H$25,"N"))</f>
        <v/>
      </c>
      <c r="E28" s="143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IF('S-ASIG-04'!D29="","",'S-ASIG-04'!D29)</f>
        <v/>
      </c>
      <c r="D29" s="30" t="str">
        <f>IF(B29=0,"",IF(C29="",$E$27*LIDER!$H$19+F29*LIDER!$H$20+G29*LIDER!$H$21+H29*LIDER!$H$22+I29*LIDER!$H$23+J29*LIDER!$H$24+K29*LIDER!$H$25,"N"))</f>
        <v/>
      </c>
      <c r="E29" s="143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43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43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3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63</v>
      </c>
      <c r="C33" s="32" t="str">
        <f>IF('S-ASIG-04'!D33="","",'S-ASIG-04'!D33)</f>
        <v>LIST</v>
      </c>
      <c r="D33" s="35" t="s">
        <v>76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43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43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43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43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43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3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64</v>
      </c>
      <c r="C40" s="32" t="str">
        <f>IF('S-ASIG-04'!D40="","",'S-ASIG-04'!D40)</f>
        <v>LIST</v>
      </c>
      <c r="D40" s="35" t="s">
        <v>76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43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43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43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3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3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3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65</v>
      </c>
      <c r="C47" s="32" t="str">
        <f>IF('S-ASIG-04'!D47="","",'S-ASIG-04'!D47)</f>
        <v>LIST</v>
      </c>
      <c r="D47" s="35" t="s">
        <v>76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3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3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3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3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3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3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66</v>
      </c>
      <c r="C54" s="32" t="str">
        <f>IF('S-ASIG-04'!D54="","",'S-ASIG-04'!D54)</f>
        <v>LIST</v>
      </c>
      <c r="D54" s="35" t="s">
        <v>76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3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3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3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3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3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3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67</v>
      </c>
      <c r="C61" s="32" t="str">
        <f>IF('S-ASIG-04'!D61="","",'S-ASIG-04'!D61)</f>
        <v>LIST</v>
      </c>
      <c r="D61" s="35" t="s">
        <v>76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3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3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3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3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3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3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68</v>
      </c>
      <c r="C68" s="32" t="str">
        <f>IF('S-ASIG-04'!D68="","",'S-ASIG-04'!D68)</f>
        <v>LIST</v>
      </c>
      <c r="D68" s="35" t="s">
        <v>76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3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3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3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3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3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3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69</v>
      </c>
      <c r="C75" s="32" t="str">
        <f>IF('S-ASIG-04'!D75="","",'S-ASIG-04'!D75)</f>
        <v>LIST</v>
      </c>
      <c r="D75" s="35" t="s">
        <v>76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3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3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3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3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3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3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70</v>
      </c>
      <c r="C82" s="32" t="str">
        <f>IF('S-ASIG-04'!D82="","",'S-ASIG-04'!D82)</f>
        <v>LIST</v>
      </c>
      <c r="D82" s="35" t="s">
        <v>76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3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3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3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3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3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17" activePane="bottomRight" state="frozen"/>
      <selection pane="bottomRight" activeCell="E26" sqref="E26:K26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4" t="str">
        <f>LIDER!B2</f>
        <v>TECNOLOGÍA EN GESTIÓN DE NEGOCIOS INTERN</v>
      </c>
      <c r="B1" s="145"/>
      <c r="C1" s="145"/>
      <c r="D1" s="145"/>
      <c r="E1" s="145"/>
      <c r="F1" s="145"/>
      <c r="G1" s="14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LIDER!G4</f>
        <v>MATEMÁTICAS FINANCIERAS</v>
      </c>
      <c r="C2" s="3"/>
      <c r="E2" s="148" t="s">
        <v>71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72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CONCATENATE(LIDER!G4," - ",LIDER!G6," - ",LIDER!G5)</f>
        <v>MATEMÁTICAS FINANCIERAS - 1409 - HECTOR DARIO BALSEIRO BARRIOS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73</v>
      </c>
      <c r="C5" s="34" t="str">
        <f>IF('S-ASIG-05'!D5="","",'S-ASIG-05'!D5)</f>
        <v>LIST</v>
      </c>
      <c r="D5" s="35" t="s">
        <v>76</v>
      </c>
      <c r="E5" s="147" t="str">
        <f>LIDER!$E$29</f>
        <v>GRUPO#1: PERFIL INTERNACIONAL DE ECOPETROL- ESTUDIO LEGAL, TRIBUTARIO, ADMINISTRATIVO, MACROECONÓMICO, ADUANERO Y TECNOLÓGICO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MIGUEL ANTONIO BARON REVOLLO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4.6850000000000005</v>
      </c>
      <c r="E6" s="143">
        <v>4.8</v>
      </c>
      <c r="F6" s="24">
        <v>5</v>
      </c>
      <c r="G6" s="24">
        <v>4</v>
      </c>
      <c r="H6" s="24">
        <v>4.7</v>
      </c>
      <c r="I6" s="24">
        <v>5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GREISY JULIANA MENDOZA MORALES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4.6850000000000005</v>
      </c>
      <c r="E7" s="143"/>
      <c r="F7" s="18">
        <v>5</v>
      </c>
      <c r="G7" s="18">
        <v>4</v>
      </c>
      <c r="H7" s="18">
        <v>4.7</v>
      </c>
      <c r="I7" s="18">
        <v>5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DINA LUZ TAPIA ARRIETA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4.6850000000000005</v>
      </c>
      <c r="E8" s="143"/>
      <c r="F8" s="18">
        <v>5</v>
      </c>
      <c r="G8" s="18">
        <v>4</v>
      </c>
      <c r="H8" s="18">
        <v>4.7</v>
      </c>
      <c r="I8" s="18">
        <v>5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CAMILA ANDREA VALENCIA TEHERAN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4.6850000000000005</v>
      </c>
      <c r="E9" s="143"/>
      <c r="F9" s="18">
        <v>5</v>
      </c>
      <c r="G9" s="18">
        <v>4</v>
      </c>
      <c r="H9" s="18">
        <v>4.7</v>
      </c>
      <c r="I9" s="18">
        <v>5</v>
      </c>
      <c r="J9" s="18">
        <v>4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43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3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77</v>
      </c>
      <c r="C12" s="32" t="str">
        <f>IF('S-ASIG-05'!D12="","",'S-ASIG-05'!D12)</f>
        <v>LIST</v>
      </c>
      <c r="D12" s="35" t="s">
        <v>76</v>
      </c>
      <c r="E12" s="147" t="str">
        <f>LIDER!$E$30</f>
        <v>GRUPO#2: Aspectos legales, tributarios, administrativos, macroeconómicos, aduaneros, tecnológicos e inter.que definen el de perfil Ecopetrol S.A . En los negocios inter.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SANTIAGO ANDRES BRAVO MARTINEZ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4.42</v>
      </c>
      <c r="E13" s="143">
        <v>4.5</v>
      </c>
      <c r="F13" s="24">
        <v>4</v>
      </c>
      <c r="G13" s="24">
        <v>4.5</v>
      </c>
      <c r="H13" s="24">
        <v>5</v>
      </c>
      <c r="I13" s="24">
        <v>5</v>
      </c>
      <c r="J13" s="24">
        <v>4.2</v>
      </c>
      <c r="K13" s="24"/>
    </row>
    <row r="14" spans="1:11" s="2" customFormat="1" ht="15" customHeight="1">
      <c r="A14" s="12">
        <v>2</v>
      </c>
      <c r="B14" s="28" t="str">
        <f>LIDER!F44</f>
        <v>MATTHIAS MATTHIAS CAMPO PASSO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4.42</v>
      </c>
      <c r="E14" s="143"/>
      <c r="F14" s="18">
        <v>4</v>
      </c>
      <c r="G14" s="18">
        <v>4.5</v>
      </c>
      <c r="H14" s="18">
        <v>5</v>
      </c>
      <c r="I14" s="18">
        <v>5</v>
      </c>
      <c r="J14" s="18">
        <v>4.2</v>
      </c>
      <c r="K14" s="18"/>
    </row>
    <row r="15" spans="1:11" s="2" customFormat="1" ht="15" customHeight="1">
      <c r="A15" s="12">
        <v>3</v>
      </c>
      <c r="B15" s="28" t="str">
        <f>LIDER!F45</f>
        <v>HANNA XILENA FERNÁNDEZ RUIZ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4.42</v>
      </c>
      <c r="E15" s="143"/>
      <c r="F15" s="18">
        <v>4</v>
      </c>
      <c r="G15" s="18">
        <v>4.5</v>
      </c>
      <c r="H15" s="18">
        <v>5</v>
      </c>
      <c r="I15" s="18">
        <v>5</v>
      </c>
      <c r="J15" s="18">
        <v>4.2</v>
      </c>
      <c r="K15" s="18"/>
    </row>
    <row r="16" spans="1:11" s="2" customFormat="1" ht="15" customHeight="1">
      <c r="A16" s="12">
        <v>4</v>
      </c>
      <c r="B16" s="28" t="str">
        <f>LIDER!F46</f>
        <v>MOISES RAFAEL LOPEZ HERNANDEZ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4.42</v>
      </c>
      <c r="E16" s="143"/>
      <c r="F16" s="18">
        <v>4</v>
      </c>
      <c r="G16" s="18">
        <v>4.5</v>
      </c>
      <c r="H16" s="18">
        <v>5</v>
      </c>
      <c r="I16" s="18">
        <v>5</v>
      </c>
      <c r="J16" s="18">
        <v>4.2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43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3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79</v>
      </c>
      <c r="C19" s="32" t="str">
        <f>IF('S-ASIG-05'!D19="","",'S-ASIG-05'!D19)</f>
        <v>LIST</v>
      </c>
      <c r="D19" s="35" t="s">
        <v>76</v>
      </c>
      <c r="E19" s="147" t="str">
        <f>LIDER!$E$31</f>
        <v xml:space="preserve">GRUPO#3: ¿Cuáles son los aspectos legales, tributarios, administrativos, macroeconómicos, aduaneros, tecnológicos e inter. el perfil de COLOMBINA S.A. En los negocios inter.  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VALENTINA CARO HERNANDEZ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4.24</v>
      </c>
      <c r="E20" s="143">
        <v>4.3</v>
      </c>
      <c r="F20" s="24">
        <v>4.2</v>
      </c>
      <c r="G20" s="24">
        <v>3.5</v>
      </c>
      <c r="H20" s="24">
        <v>5</v>
      </c>
      <c r="I20" s="24">
        <v>5</v>
      </c>
      <c r="J20" s="24">
        <v>4</v>
      </c>
      <c r="K20" s="24"/>
    </row>
    <row r="21" spans="1:11" s="2" customFormat="1" ht="15" customHeight="1">
      <c r="A21" s="12">
        <v>2</v>
      </c>
      <c r="B21" s="28" t="str">
        <f>LIDER!G44</f>
        <v>YULIANIS MICHEAL CORDOBA SUAREZ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4.24</v>
      </c>
      <c r="E21" s="143"/>
      <c r="F21" s="18">
        <v>4.2</v>
      </c>
      <c r="G21" s="18">
        <v>3.5</v>
      </c>
      <c r="H21" s="18">
        <v>5</v>
      </c>
      <c r="I21" s="18">
        <v>5</v>
      </c>
      <c r="J21" s="18">
        <v>4</v>
      </c>
      <c r="K21" s="18"/>
    </row>
    <row r="22" spans="1:11" s="2" customFormat="1" ht="15" customHeight="1">
      <c r="A22" s="12">
        <v>3</v>
      </c>
      <c r="B22" s="28" t="str">
        <f>LIDER!G45</f>
        <v>VALERIA YOHANA MEDRANO MORALES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4.24</v>
      </c>
      <c r="E22" s="143"/>
      <c r="F22" s="18">
        <v>4.2</v>
      </c>
      <c r="G22" s="18">
        <v>3.5</v>
      </c>
      <c r="H22" s="18">
        <v>5</v>
      </c>
      <c r="I22" s="18">
        <v>5</v>
      </c>
      <c r="J22" s="18">
        <v>4</v>
      </c>
      <c r="K22" s="18"/>
    </row>
    <row r="23" spans="1:11" s="2" customFormat="1" ht="15" customHeight="1">
      <c r="A23" s="12">
        <v>4</v>
      </c>
      <c r="B23" s="28" t="str">
        <f>LIDER!G46</f>
        <v>VALERY MARIA SALAZAR OROZCO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4.24</v>
      </c>
      <c r="E23" s="143"/>
      <c r="F23" s="18">
        <v>4.2</v>
      </c>
      <c r="G23" s="18">
        <v>3.5</v>
      </c>
      <c r="H23" s="18">
        <v>5</v>
      </c>
      <c r="I23" s="18">
        <v>5</v>
      </c>
      <c r="J23" s="18">
        <v>4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43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3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62</v>
      </c>
      <c r="C26" s="32" t="str">
        <f>IF('S-ASIG-05'!D26="","",'S-ASIG-05'!D26)</f>
        <v>LIST</v>
      </c>
      <c r="D26" s="35" t="s">
        <v>76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>
        <f>LIDER!H43</f>
        <v>0</v>
      </c>
      <c r="C27" s="33" t="str">
        <f>IF('S-ASIG-05'!D27="","",'S-ASIG-05'!D27)</f>
        <v/>
      </c>
      <c r="D27" s="30" t="str">
        <f>IF(B27=0,"",IF(C27="",$E$27*LIDER!$H$19+F27*LIDER!$H$20+G27*LIDER!$H$21+H27*LIDER!$H$22+I27*LIDER!$H$23+J27*LIDER!$H$24+K27*LIDER!$H$25,"N"))</f>
        <v/>
      </c>
      <c r="E27" s="143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IF('S-ASIG-05'!D28="","",'S-ASIG-05'!D28)</f>
        <v/>
      </c>
      <c r="D28" s="30" t="str">
        <f>IF(B28=0,"",IF(C28="",$E$27*LIDER!$H$19+F28*LIDER!$H$20+G28*LIDER!$H$21+H28*LIDER!$H$22+I28*LIDER!$H$23+J28*LIDER!$H$24+K28*LIDER!$H$25,"N"))</f>
        <v/>
      </c>
      <c r="E28" s="143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IF('S-ASIG-05'!D29="","",'S-ASIG-05'!D29)</f>
        <v/>
      </c>
      <c r="D29" s="30" t="str">
        <f>IF(B29=0,"",IF(C29="",$E$27*LIDER!$H$19+F29*LIDER!$H$20+G29*LIDER!$H$21+H29*LIDER!$H$22+I29*LIDER!$H$23+J29*LIDER!$H$24+K29*LIDER!$H$25,"N"))</f>
        <v/>
      </c>
      <c r="E29" s="143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43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43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3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63</v>
      </c>
      <c r="C33" s="32" t="str">
        <f>IF('S-ASIG-05'!D33="","",'S-ASIG-05'!D33)</f>
        <v>LIST</v>
      </c>
      <c r="D33" s="35" t="s">
        <v>76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43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43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43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43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43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3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64</v>
      </c>
      <c r="C40" s="32" t="str">
        <f>IF('S-ASIG-05'!D40="","",'S-ASIG-05'!D40)</f>
        <v>LIST</v>
      </c>
      <c r="D40" s="35" t="s">
        <v>76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43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43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43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3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3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3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65</v>
      </c>
      <c r="C47" s="32" t="str">
        <f>IF('S-ASIG-05'!D47="","",'S-ASIG-05'!D47)</f>
        <v>LIST</v>
      </c>
      <c r="D47" s="35" t="s">
        <v>76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3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3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3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3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3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3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66</v>
      </c>
      <c r="C54" s="32" t="str">
        <f>IF('S-ASIG-05'!D54="","",'S-ASIG-05'!D54)</f>
        <v>LIST</v>
      </c>
      <c r="D54" s="35" t="s">
        <v>76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3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3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3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3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3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3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67</v>
      </c>
      <c r="C61" s="32" t="str">
        <f>IF('S-ASIG-05'!D61="","",'S-ASIG-05'!D61)</f>
        <v>LIST</v>
      </c>
      <c r="D61" s="35" t="s">
        <v>76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3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3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3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3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3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3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68</v>
      </c>
      <c r="C68" s="32" t="str">
        <f>IF('S-ASIG-05'!D68="","",'S-ASIG-05'!D68)</f>
        <v>LIST</v>
      </c>
      <c r="D68" s="35" t="s">
        <v>76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3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3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3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3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3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3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69</v>
      </c>
      <c r="C75" s="32" t="str">
        <f>IF('S-ASIG-05'!D75="","",'S-ASIG-05'!D75)</f>
        <v>LIST</v>
      </c>
      <c r="D75" s="35" t="s">
        <v>76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3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3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3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3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3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3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70</v>
      </c>
      <c r="C82" s="32" t="str">
        <f>IF('S-ASIG-05'!D82="","",'S-ASIG-05'!D82)</f>
        <v>LIST</v>
      </c>
      <c r="D82" s="35" t="s">
        <v>76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3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3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3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3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3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13" activePane="bottomRight" state="frozen"/>
      <selection pane="bottomRight" activeCell="B9" sqref="B9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4" t="str">
        <f>LIDER!B2</f>
        <v>TECNOLOGÍA EN GESTIÓN DE NEGOCIOS INTERN</v>
      </c>
      <c r="B1" s="145"/>
      <c r="C1" s="145"/>
      <c r="D1" s="145"/>
      <c r="E1" s="145"/>
      <c r="F1" s="145"/>
      <c r="G1" s="14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>
        <f>LIDER!H4</f>
        <v>0</v>
      </c>
      <c r="C2" s="3"/>
      <c r="E2" s="148" t="s">
        <v>71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72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CONCATENATE(LIDER!H4," - ",LIDER!H6," - ",LIDER!H5)</f>
        <v xml:space="preserve"> -  - 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73</v>
      </c>
      <c r="C5" s="34" t="str">
        <f>IF('S-ASIG-06'!D5="","",'S-ASIG-06'!D5)</f>
        <v>LIST</v>
      </c>
      <c r="D5" s="35" t="s">
        <v>76</v>
      </c>
      <c r="E5" s="147" t="str">
        <f>LIDER!$E$29</f>
        <v>GRUPO#1: PERFIL INTERNACIONAL DE ECOPETROL- ESTUDIO LEGAL, TRIBUTARIO, ADMINISTRATIVO, MACROECONÓMICO, ADUANERO Y TECNOLÓGICO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MIGUEL ANTONIO BARON REVOLLO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3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GREISY JULIANA MENDOZA MORALES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43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DINA LUZ TAPIA ARRIETA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3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CAMILA ANDREA VALENCIA TEHERAN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43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43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3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77</v>
      </c>
      <c r="C12" s="32" t="str">
        <f>IF('S-ASIG-06'!D12="","",'S-ASIG-06'!D12)</f>
        <v>LIST</v>
      </c>
      <c r="D12" s="35" t="s">
        <v>76</v>
      </c>
      <c r="E12" s="147" t="str">
        <f>LIDER!$E$30</f>
        <v>GRUPO#2: Aspectos legales, tributarios, administrativos, macroeconómicos, aduaneros, tecnológicos e inter.que definen el de perfil Ecopetrol S.A . En los negocios inter.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SANTIAGO ANDRES BRAVO MARTINEZ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3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MATTHIAS MATTHIAS CAMPO PASSO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3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HANNA XILENA FERNÁNDEZ RUIZ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43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MOISES RAFAEL LOPEZ HERNANDEZ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43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43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3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79</v>
      </c>
      <c r="C19" s="32" t="str">
        <f>IF('S-ASIG-06'!D19="","",'S-ASIG-06'!D19)</f>
        <v>LIST</v>
      </c>
      <c r="D19" s="35" t="s">
        <v>76</v>
      </c>
      <c r="E19" s="147" t="str">
        <f>LIDER!$E$31</f>
        <v xml:space="preserve">GRUPO#3: ¿Cuáles son los aspectos legales, tributarios, administrativos, macroeconómicos, aduaneros, tecnológicos e inter. el perfil de COLOMBINA S.A. En los negocios inter.  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VALENTINA CARO HERNANDEZ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43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YULIANIS MICHEAL CORDOBA SUAREZ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43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VALERIA YOHANA MEDRANO MORALES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43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VALERY MARIA SALAZAR OROZCO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43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43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3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62</v>
      </c>
      <c r="C26" s="32" t="str">
        <f>IF('S-ASIG-06'!D26="","",'S-ASIG-06'!D26)</f>
        <v>LIST</v>
      </c>
      <c r="D26" s="35" t="s">
        <v>76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>
        <f>LIDER!H43</f>
        <v>0</v>
      </c>
      <c r="C27" s="33" t="str">
        <f>IF('S-ASIG-06'!D27="","",'S-ASIG-06'!D27)</f>
        <v/>
      </c>
      <c r="D27" s="30" t="str">
        <f>IF(B27=0,"",IF(C27="",$E$27*LIDER!$H$19+F27*LIDER!$H$20+G27*LIDER!$H$21+H27*LIDER!$H$22+I27*LIDER!$H$23+J27*LIDER!$H$24+K27*LIDER!$H$25,"N"))</f>
        <v/>
      </c>
      <c r="E27" s="143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IF('S-ASIG-06'!D28="","",'S-ASIG-06'!D28)</f>
        <v/>
      </c>
      <c r="D28" s="30" t="str">
        <f>IF(B28=0,"",IF(C28="",$E$27*LIDER!$H$19+F28*LIDER!$H$20+G28*LIDER!$H$21+H28*LIDER!$H$22+I28*LIDER!$H$23+J28*LIDER!$H$24+K28*LIDER!$H$25,"N"))</f>
        <v/>
      </c>
      <c r="E28" s="143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IF('S-ASIG-06'!D29="","",'S-ASIG-06'!D29)</f>
        <v/>
      </c>
      <c r="D29" s="30" t="str">
        <f>IF(B29=0,"",IF(C29="",$E$27*LIDER!$H$19+F29*LIDER!$H$20+G29*LIDER!$H$21+H29*LIDER!$H$22+I29*LIDER!$H$23+J29*LIDER!$H$24+K29*LIDER!$H$25,"N"))</f>
        <v/>
      </c>
      <c r="E29" s="143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43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43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3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63</v>
      </c>
      <c r="C33" s="32" t="str">
        <f>IF('S-ASIG-06'!D33="","",'S-ASIG-06'!D33)</f>
        <v>LIST</v>
      </c>
      <c r="D33" s="35" t="s">
        <v>76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43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43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43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43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43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3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64</v>
      </c>
      <c r="C40" s="32" t="str">
        <f>IF('S-ASIG-06'!D40="","",'S-ASIG-06'!D40)</f>
        <v>LIST</v>
      </c>
      <c r="D40" s="35" t="s">
        <v>76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43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43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43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3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3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3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65</v>
      </c>
      <c r="C47" s="32" t="str">
        <f>IF('S-ASIG-06'!D47="","",'S-ASIG-06'!D47)</f>
        <v>LIST</v>
      </c>
      <c r="D47" s="35" t="s">
        <v>76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3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3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3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3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3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3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66</v>
      </c>
      <c r="C54" s="32" t="str">
        <f>IF('S-ASIG-06'!D54="","",'S-ASIG-06'!D54)</f>
        <v>LIST</v>
      </c>
      <c r="D54" s="35" t="s">
        <v>76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3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3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3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3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3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3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67</v>
      </c>
      <c r="C61" s="32" t="str">
        <f>IF('S-ASIG-06'!D61="","",'S-ASIG-06'!D61)</f>
        <v>LIST</v>
      </c>
      <c r="D61" s="35" t="s">
        <v>76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3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3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3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3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3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3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68</v>
      </c>
      <c r="C68" s="32" t="str">
        <f>IF('S-ASIG-06'!D68="","",'S-ASIG-06'!D68)</f>
        <v>LIST</v>
      </c>
      <c r="D68" s="35" t="s">
        <v>76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3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3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3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3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3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3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69</v>
      </c>
      <c r="C75" s="32" t="str">
        <f>IF('S-ASIG-06'!D75="","",'S-ASIG-06'!D75)</f>
        <v>LIST</v>
      </c>
      <c r="D75" s="35" t="s">
        <v>76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3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3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3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3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3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3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70</v>
      </c>
      <c r="C82" s="32" t="str">
        <f>IF('S-ASIG-06'!D82="","",'S-ASIG-06'!D82)</f>
        <v>LIST</v>
      </c>
      <c r="D82" s="35" t="s">
        <v>76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3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3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3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3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3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21" t="str">
        <f>LIDER!B2</f>
        <v>TECNOLOGÍA EN GESTIÓN DE NEGOCIOS INTERN</v>
      </c>
      <c r="H1" s="221"/>
      <c r="I1" s="221"/>
      <c r="J1" s="221"/>
      <c r="K1" s="221"/>
      <c r="L1" s="221"/>
      <c r="M1" s="221"/>
      <c r="N1" s="220" t="str">
        <f>LIDER!E2</f>
        <v>SEMESTRE:</v>
      </c>
      <c r="O1" s="220"/>
      <c r="P1" s="44" t="str">
        <f>LIDER!F2</f>
        <v>SEM-03</v>
      </c>
      <c r="Q1" s="43" t="str">
        <f>LIDER!G2</f>
        <v>SECCIÓN:</v>
      </c>
      <c r="R1" s="44">
        <f>LIDER!H2</f>
        <v>5</v>
      </c>
      <c r="S1" s="42"/>
      <c r="T1" s="42"/>
      <c r="U1" s="45"/>
    </row>
    <row r="2" spans="1:22" ht="20.100000000000001" customHeight="1" thickBot="1">
      <c r="G2" s="217" t="s">
        <v>90</v>
      </c>
      <c r="H2" s="218"/>
      <c r="I2" s="218"/>
      <c r="J2" s="218"/>
      <c r="K2" s="218"/>
      <c r="L2" s="218"/>
      <c r="M2" s="219"/>
      <c r="N2" s="2"/>
      <c r="O2" s="222" t="s">
        <v>91</v>
      </c>
      <c r="P2" s="223"/>
      <c r="Q2" s="223"/>
      <c r="R2" s="223"/>
      <c r="S2" s="223"/>
      <c r="T2" s="223"/>
      <c r="U2" s="224"/>
    </row>
    <row r="3" spans="1:22" ht="20.100000000000001" customHeight="1" thickBot="1">
      <c r="G3" s="48" t="str">
        <f>CONCATENATE("N° : ",LIDER!C6)</f>
        <v>N° : 2385</v>
      </c>
      <c r="H3" s="49" t="str">
        <f>CONCATENATE("N° : ",LIDER!D6)</f>
        <v>N° : 2479</v>
      </c>
      <c r="I3" s="49" t="str">
        <f>CONCATENATE("N° : ",LIDER!E6)</f>
        <v>N° : 2487</v>
      </c>
      <c r="J3" s="49" t="str">
        <f>CONCATENATE("N° : ",LIDER!F6)</f>
        <v>N° : 1529</v>
      </c>
      <c r="K3" s="49" t="str">
        <f>CONCATENATE("N° : ",LIDER!G6)</f>
        <v>N° : 1409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2385</v>
      </c>
      <c r="P3" s="49" t="str">
        <f t="shared" ref="P3:U3" si="0">H3</f>
        <v>N° : 2479</v>
      </c>
      <c r="Q3" s="49" t="str">
        <f t="shared" si="0"/>
        <v>N° : 2487</v>
      </c>
      <c r="R3" s="49" t="str">
        <f t="shared" si="0"/>
        <v>N° : 1529</v>
      </c>
      <c r="S3" s="49" t="str">
        <f t="shared" si="0"/>
        <v>N° : 1409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92</v>
      </c>
      <c r="D4" s="54" t="s">
        <v>93</v>
      </c>
      <c r="E4" s="55" t="s">
        <v>94</v>
      </c>
      <c r="G4" s="56" t="str">
        <f>MID(LIDER!C4,1,9)</f>
        <v>TECNOLOGI</v>
      </c>
      <c r="H4" s="57" t="str">
        <f>MID(LIDER!D4,1,9)</f>
        <v>INTERNACI</v>
      </c>
      <c r="I4" s="57" t="str">
        <f>MID(LIDER!E4,1,9)</f>
        <v>LEGISLACI</v>
      </c>
      <c r="J4" s="57" t="str">
        <f>MID(LIDER!F4,1,9)</f>
        <v>MACROECON</v>
      </c>
      <c r="K4" s="57" t="str">
        <f>MID(LIDER!G4,1,9)</f>
        <v>MATEMÁTIC</v>
      </c>
      <c r="L4" s="57" t="str">
        <f>MID(LIDER!H4,1,9)</f>
        <v/>
      </c>
      <c r="M4" s="58" t="str">
        <f>MID(LIDER!I4,1,9)</f>
        <v/>
      </c>
      <c r="N4" s="59" t="s">
        <v>95</v>
      </c>
      <c r="O4" s="60" t="str">
        <f t="shared" ref="O4:U4" si="1">G4</f>
        <v>TECNOLOGI</v>
      </c>
      <c r="P4" s="61" t="str">
        <f t="shared" si="1"/>
        <v>INTERNACI</v>
      </c>
      <c r="Q4" s="61" t="str">
        <f t="shared" si="1"/>
        <v>LEGISLACI</v>
      </c>
      <c r="R4" s="61" t="str">
        <f t="shared" si="1"/>
        <v>MACROECON</v>
      </c>
      <c r="S4" s="61" t="str">
        <f t="shared" si="1"/>
        <v>MATEMÁTIC</v>
      </c>
      <c r="T4" s="61" t="str">
        <f t="shared" si="1"/>
        <v/>
      </c>
      <c r="U4" s="62" t="str">
        <f t="shared" si="1"/>
        <v/>
      </c>
      <c r="V4" s="59" t="s">
        <v>96</v>
      </c>
    </row>
    <row r="5" spans="1:22" ht="15" customHeight="1">
      <c r="A5" s="12">
        <v>1</v>
      </c>
      <c r="B5" s="63" t="str">
        <f>LIDER!C9</f>
        <v>MIGUEL ANTONIO BARON REVOLLO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4.3475000000000001</v>
      </c>
      <c r="E5" s="66">
        <f>IF(B5=0,"",IFERROR(SUMIF(O5:U5,"&gt;0",O5:U5)/COUNTIF(O5:U5,"&gt;0"),0))</f>
        <v>4.4875000000000007</v>
      </c>
      <c r="F5" s="47"/>
      <c r="G5" s="67">
        <f>IF(B5=0,"",IFERROR(VLOOKUP(B5,'S-ASIG-01'!$B$5:$E$88,4,0),0))</f>
        <v>4.0500000000000007</v>
      </c>
      <c r="H5" s="65">
        <f>IF(B5=0,"",IFERROR(VLOOKUP(B5,'S-ASIG-02'!$B$5:$E$88,4,0),0))</f>
        <v>4.0999999999999996</v>
      </c>
      <c r="I5" s="65">
        <f>IF(B5=0,"",IFERROR(VLOOKUP(B5,'S-ASIG-03'!$B$5:$E$88,4,0),0))</f>
        <v>4.6500000000000004</v>
      </c>
      <c r="J5" s="65">
        <f>IF(B5=0,"",IFERROR(VLOOKUP(B5,'S-ASIG-04'!$B$5:$E$88,4,0),0))</f>
        <v>0</v>
      </c>
      <c r="K5" s="65">
        <f>IF(B5=0,"",IFERROR(VLOOKUP(B5,'S-ASIG-05'!$B$5:$E$88,4,0),0))</f>
        <v>4.59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97</v>
      </c>
      <c r="O5" s="67">
        <f>IF(B5=0,"",IFERROR(VLOOKUP(B5,'T-ASIG-01'!$B$5:$D$88,3,0),0))</f>
        <v>4.6300000000000008</v>
      </c>
      <c r="P5" s="65">
        <f>IF(B5=0,"",IFERROR(VLOOKUP(B5,'T-ASIG-02'!$B$5:$D$88,3,0),0))</f>
        <v>4.3</v>
      </c>
      <c r="Q5" s="65">
        <f>IF(B5=0,"",IFERROR(VLOOKUP(B5,'T-ASIG-03'!$B$5:$D$88,3,0),0))</f>
        <v>0</v>
      </c>
      <c r="R5" s="65">
        <f>IF(B5=0,"",IFERROR(VLOOKUP(B5,'T-ASIG-04'!$B$5:$D$88,3,0),0))</f>
        <v>4.335</v>
      </c>
      <c r="S5" s="65">
        <f>IF(B5=0,"",IFERROR(VLOOKUP(B5,'T-ASIG-05'!$B$5:$D$88,3,0),0))</f>
        <v>4.6850000000000005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98</v>
      </c>
    </row>
    <row r="6" spans="1:22" ht="15" customHeight="1">
      <c r="A6" s="12">
        <v>2</v>
      </c>
      <c r="B6" s="142" t="s">
        <v>28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4.3475000000000001</v>
      </c>
      <c r="E6" s="66">
        <f t="shared" ref="E6:E54" si="3">IF(B6=0,"",IFERROR(SUMIF(O6:U6,"&gt;0",O6:U6)/COUNTIF(O6:U6,"&gt;0"),0))</f>
        <v>4.51</v>
      </c>
      <c r="F6" s="47"/>
      <c r="G6" s="71">
        <f>IF(B6=0,"",IFERROR(VLOOKUP(B6,'S-ASIG-01'!$B$5:$E$88,4,0),0))</f>
        <v>4.0500000000000007</v>
      </c>
      <c r="H6" s="72">
        <f>IF(B6=0,"",IFERROR(VLOOKUP(B6,'S-ASIG-02'!$B$5:$E$88,4,0),0))</f>
        <v>4.0999999999999996</v>
      </c>
      <c r="I6" s="72">
        <f>IF(B6=0,"",IFERROR(VLOOKUP(B6,'S-ASIG-03'!$B$5:$E$88,4,0),0))</f>
        <v>4.6500000000000004</v>
      </c>
      <c r="J6" s="72">
        <f>IF(B6=0,"",IFERROR(VLOOKUP(B6,'S-ASIG-04'!$B$5:$E$88,4,0),0))</f>
        <v>0</v>
      </c>
      <c r="K6" s="72">
        <f>IF(B6=0,"",IFERROR(VLOOKUP(B6,'S-ASIG-05'!$B$5:$E$88,4,0),0))</f>
        <v>4.59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97</v>
      </c>
      <c r="O6" s="71">
        <f>IF(B6=0,"",IFERROR(VLOOKUP(B6,'T-ASIG-01'!$B$5:$D$88,3,0),0))</f>
        <v>4.6300000000000008</v>
      </c>
      <c r="P6" s="72">
        <f>IF(B6=0,"",IFERROR(VLOOKUP(B6,'T-ASIG-02'!$B$5:$D$88,3,0),0))</f>
        <v>4.3</v>
      </c>
      <c r="Q6" s="72">
        <f>IF(B6=0,"",IFERROR(VLOOKUP(B6,'T-ASIG-03'!$B$5:$D$88,3,0),0))</f>
        <v>0</v>
      </c>
      <c r="R6" s="72">
        <f>IF(B6=0,"",IFERROR(VLOOKUP(B6,'T-ASIG-04'!$B$5:$D$88,3,0),0))</f>
        <v>4.4249999999999998</v>
      </c>
      <c r="S6" s="72">
        <f>IF(B6=0,"",IFERROR(VLOOKUP(B6,'T-ASIG-05'!$B$5:$D$88,3,0),0))</f>
        <v>4.6850000000000005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98</v>
      </c>
    </row>
    <row r="7" spans="1:22" ht="15" customHeight="1">
      <c r="A7" s="12">
        <v>3</v>
      </c>
      <c r="B7" s="70" t="str">
        <f>LIDER!C11</f>
        <v>DINA LUZ TAPIA ARRIETA</v>
      </c>
      <c r="C7" s="64" t="str">
        <f>IF(B7=0,"",IFERROR(VLOOKUP(B7,'S-ASIG-01'!$B$5:$E$88,2,0),0))</f>
        <v>G01</v>
      </c>
      <c r="D7" s="65">
        <f t="shared" si="2"/>
        <v>4.3475000000000001</v>
      </c>
      <c r="E7" s="66">
        <f t="shared" si="3"/>
        <v>4.5600000000000005</v>
      </c>
      <c r="F7" s="47"/>
      <c r="G7" s="71">
        <f>IF(B7=0,"",IFERROR(VLOOKUP(B7,'S-ASIG-01'!$B$5:$E$88,4,0),0))</f>
        <v>4.0500000000000007</v>
      </c>
      <c r="H7" s="72">
        <f>IF(B7=0,"",IFERROR(VLOOKUP(B7,'S-ASIG-02'!$B$5:$E$88,4,0),0))</f>
        <v>4.0999999999999996</v>
      </c>
      <c r="I7" s="72">
        <f>IF(B7=0,"",IFERROR(VLOOKUP(B7,'S-ASIG-03'!$B$5:$E$88,4,0),0))</f>
        <v>4.6500000000000004</v>
      </c>
      <c r="J7" s="72">
        <f>IF(B7=0,"",IFERROR(VLOOKUP(B7,'S-ASIG-04'!$B$5:$E$88,4,0),0))</f>
        <v>0</v>
      </c>
      <c r="K7" s="72">
        <f>IF(B7=0,"",IFERROR(VLOOKUP(B7,'S-ASIG-05'!$B$5:$E$88,4,0),0))</f>
        <v>4.59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97</v>
      </c>
      <c r="O7" s="71">
        <f>IF(B7=0,"",IFERROR(VLOOKUP(B7,'T-ASIG-01'!$B$5:$D$88,3,0),0))</f>
        <v>4.6300000000000008</v>
      </c>
      <c r="P7" s="72">
        <f>IF(B7=0,"",IFERROR(VLOOKUP(B7,'T-ASIG-02'!$B$5:$D$88,3,0),0))</f>
        <v>4.3</v>
      </c>
      <c r="Q7" s="72">
        <f>IF(B7=0,"",IFERROR(VLOOKUP(B7,'T-ASIG-03'!$B$5:$D$88,3,0),0))</f>
        <v>0</v>
      </c>
      <c r="R7" s="72">
        <f>IF(B7=0,"",IFERROR(VLOOKUP(B7,'T-ASIG-04'!$B$5:$D$88,3,0),0))</f>
        <v>4.6250000000000009</v>
      </c>
      <c r="S7" s="72">
        <f>IF(B7=0,"",IFERROR(VLOOKUP(B7,'T-ASIG-05'!$B$5:$D$88,3,0),0))</f>
        <v>4.6850000000000005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98</v>
      </c>
    </row>
    <row r="8" spans="1:22" ht="15" customHeight="1">
      <c r="A8" s="12">
        <v>4</v>
      </c>
      <c r="B8" s="70" t="str">
        <f>LIDER!C12</f>
        <v>CAMILA ANDREA VALENCIA TEHERAN</v>
      </c>
      <c r="C8" s="64" t="str">
        <f>IF(B8=0,"",IFERROR(VLOOKUP(B8,'S-ASIG-01'!$B$5:$E$88,2,0),0))</f>
        <v>G01</v>
      </c>
      <c r="D8" s="65">
        <f t="shared" si="2"/>
        <v>4.3475000000000001</v>
      </c>
      <c r="E8" s="66">
        <f t="shared" si="3"/>
        <v>4.51</v>
      </c>
      <c r="F8" s="47"/>
      <c r="G8" s="71">
        <f>IF(B8=0,"",IFERROR(VLOOKUP(B8,'S-ASIG-01'!$B$5:$E$88,4,0),0))</f>
        <v>4.0500000000000007</v>
      </c>
      <c r="H8" s="72">
        <f>IF(B8=0,"",IFERROR(VLOOKUP(B8,'S-ASIG-02'!$B$5:$E$88,4,0),0))</f>
        <v>4.0999999999999996</v>
      </c>
      <c r="I8" s="72">
        <f>IF(B8=0,"",IFERROR(VLOOKUP(B8,'S-ASIG-03'!$B$5:$E$88,4,0),0))</f>
        <v>4.6500000000000004</v>
      </c>
      <c r="J8" s="72">
        <f>IF(B8=0,"",IFERROR(VLOOKUP(B8,'S-ASIG-04'!$B$5:$E$88,4,0),0))</f>
        <v>0</v>
      </c>
      <c r="K8" s="72">
        <f>IF(B8=0,"",IFERROR(VLOOKUP(B8,'S-ASIG-05'!$B$5:$E$88,4,0),0))</f>
        <v>4.59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97</v>
      </c>
      <c r="O8" s="71">
        <f>IF(B8=0,"",IFERROR(VLOOKUP(B8,'T-ASIG-01'!$B$5:$D$88,3,0),0))</f>
        <v>4.6300000000000008</v>
      </c>
      <c r="P8" s="72">
        <f>IF(B8=0,"",IFERROR(VLOOKUP(B8,'T-ASIG-02'!$B$5:$D$88,3,0),0))</f>
        <v>4.3</v>
      </c>
      <c r="Q8" s="72">
        <f>IF(B8=0,"",IFERROR(VLOOKUP(B8,'T-ASIG-03'!$B$5:$D$88,3,0),0))</f>
        <v>0</v>
      </c>
      <c r="R8" s="72">
        <f>IF(B8=0,"",IFERROR(VLOOKUP(B8,'T-ASIG-04'!$B$5:$D$88,3,0),0))</f>
        <v>4.4249999999999998</v>
      </c>
      <c r="S8" s="72">
        <f>IF(B8=0,"",IFERROR(VLOOKUP(B8,'T-ASIG-05'!$B$5:$D$88,3,0),0))</f>
        <v>4.6850000000000005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98</v>
      </c>
    </row>
    <row r="9" spans="1:22" ht="15" customHeight="1">
      <c r="A9" s="12">
        <v>5</v>
      </c>
      <c r="B9" s="70" t="str">
        <f>LIDER!C13</f>
        <v>SANTIAGO ANDRES BRAVO MARTINEZ</v>
      </c>
      <c r="C9" s="64" t="str">
        <f>IF(B9=0,"",IFERROR(VLOOKUP(B9,'S-ASIG-01'!$B$5:$E$88,2,0),0))</f>
        <v>G02</v>
      </c>
      <c r="D9" s="65">
        <f t="shared" si="2"/>
        <v>2.9625000000000004</v>
      </c>
      <c r="E9" s="66">
        <f t="shared" si="3"/>
        <v>4.2675000000000001</v>
      </c>
      <c r="F9" s="47"/>
      <c r="G9" s="71">
        <f>IF(B9=0,"",IFERROR(VLOOKUP(B9,'S-ASIG-01'!$B$5:$E$88,4,0),0))</f>
        <v>3.45</v>
      </c>
      <c r="H9" s="72">
        <f>IF(B9=0,"",IFERROR(VLOOKUP(B9,'S-ASIG-02'!$B$5:$E$88,4,0),0))</f>
        <v>3.5000000000000004</v>
      </c>
      <c r="I9" s="72">
        <f>IF(B9=0,"",IFERROR(VLOOKUP(B9,'S-ASIG-03'!$B$5:$E$88,4,0),0))</f>
        <v>2.0999999999999996</v>
      </c>
      <c r="J9" s="72">
        <f>IF(B9=0,"",IFERROR(VLOOKUP(B9,'S-ASIG-04'!$B$5:$E$88,4,0),0))</f>
        <v>0</v>
      </c>
      <c r="K9" s="72">
        <f>IF(B9=0,"",IFERROR(VLOOKUP(B9,'S-ASIG-05'!$B$5:$E$88,4,0),0))</f>
        <v>2.8000000000000003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97</v>
      </c>
      <c r="O9" s="71">
        <f>IF(B9=0,"",IFERROR(VLOOKUP(B9,'T-ASIG-01'!$B$5:$D$88,3,0),0))</f>
        <v>4.2</v>
      </c>
      <c r="P9" s="72">
        <f>IF(B9=0,"",IFERROR(VLOOKUP(B9,'T-ASIG-02'!$B$5:$D$88,3,0),0))</f>
        <v>3.95</v>
      </c>
      <c r="Q9" s="72">
        <f>IF(B9=0,"",IFERROR(VLOOKUP(B9,'T-ASIG-03'!$B$5:$D$88,3,0),0))</f>
        <v>0</v>
      </c>
      <c r="R9" s="72">
        <f>IF(B9=0,"",IFERROR(VLOOKUP(B9,'T-ASIG-04'!$B$5:$D$88,3,0),0))</f>
        <v>4.5</v>
      </c>
      <c r="S9" s="72">
        <f>IF(B9=0,"",IFERROR(VLOOKUP(B9,'T-ASIG-05'!$B$5:$D$88,3,0),0))</f>
        <v>4.42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98</v>
      </c>
    </row>
    <row r="10" spans="1:22" ht="15" customHeight="1">
      <c r="A10" s="12">
        <v>6</v>
      </c>
      <c r="B10" s="70" t="str">
        <f>LIDER!C14</f>
        <v>MATTHIAS MATTHIAS CAMPO PASSO</v>
      </c>
      <c r="C10" s="64" t="str">
        <f>IF(B10=0,"",IFERROR(VLOOKUP(B10,'S-ASIG-01'!$B$5:$E$88,2,0),0))</f>
        <v>G02</v>
      </c>
      <c r="D10" s="65">
        <f t="shared" si="2"/>
        <v>2.9625000000000004</v>
      </c>
      <c r="E10" s="66">
        <f t="shared" si="3"/>
        <v>4.2799999999999994</v>
      </c>
      <c r="F10" s="47"/>
      <c r="G10" s="71">
        <f>IF(B10=0,"",IFERROR(VLOOKUP(B10,'S-ASIG-01'!$B$5:$E$88,4,0),0))</f>
        <v>3.45</v>
      </c>
      <c r="H10" s="72">
        <f>IF(B10=0,"",IFERROR(VLOOKUP(B10,'S-ASIG-02'!$B$5:$E$88,4,0),0))</f>
        <v>3.5000000000000004</v>
      </c>
      <c r="I10" s="72">
        <f>IF(B10=0,"",IFERROR(VLOOKUP(B10,'S-ASIG-03'!$B$5:$E$88,4,0),0))</f>
        <v>2.0999999999999996</v>
      </c>
      <c r="J10" s="72">
        <f>IF(B10=0,"",IFERROR(VLOOKUP(B10,'S-ASIG-04'!$B$5:$E$88,4,0),0))</f>
        <v>0</v>
      </c>
      <c r="K10" s="72">
        <f>IF(B10=0,"",IFERROR(VLOOKUP(B10,'S-ASIG-05'!$B$5:$E$88,4,0),0))</f>
        <v>2.8000000000000003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97</v>
      </c>
      <c r="O10" s="71">
        <f>IF(B10=0,"",IFERROR(VLOOKUP(B10,'T-ASIG-01'!$B$5:$D$88,3,0),0))</f>
        <v>4.2</v>
      </c>
      <c r="P10" s="72">
        <f>IF(B10=0,"",IFERROR(VLOOKUP(B10,'T-ASIG-02'!$B$5:$D$88,3,0),0))</f>
        <v>3.95</v>
      </c>
      <c r="Q10" s="72">
        <f>IF(B10=0,"",IFERROR(VLOOKUP(B10,'T-ASIG-03'!$B$5:$D$88,3,0),0))</f>
        <v>0</v>
      </c>
      <c r="R10" s="72">
        <f>IF(B10=0,"",IFERROR(VLOOKUP(B10,'T-ASIG-04'!$B$5:$D$88,3,0),0))</f>
        <v>4.55</v>
      </c>
      <c r="S10" s="72">
        <f>IF(B10=0,"",IFERROR(VLOOKUP(B10,'T-ASIG-05'!$B$5:$D$88,3,0),0))</f>
        <v>4.42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98</v>
      </c>
    </row>
    <row r="11" spans="1:22" ht="15" customHeight="1">
      <c r="A11" s="12">
        <v>7</v>
      </c>
      <c r="B11" s="70" t="str">
        <f>LIDER!C15</f>
        <v>HANNA XILENA FERNÁNDEZ RUIZ</v>
      </c>
      <c r="C11" s="64" t="str">
        <f>IF(B11=0,"",IFERROR(VLOOKUP(B11,'S-ASIG-01'!$B$5:$E$88,2,0),0))</f>
        <v>G02</v>
      </c>
      <c r="D11" s="65">
        <f t="shared" si="2"/>
        <v>2.9625000000000004</v>
      </c>
      <c r="E11" s="66">
        <f t="shared" si="3"/>
        <v>4.2487500000000002</v>
      </c>
      <c r="F11" s="47"/>
      <c r="G11" s="71">
        <f>IF(B11=0,"",IFERROR(VLOOKUP(B11,'S-ASIG-01'!$B$5:$E$88,4,0),0))</f>
        <v>3.45</v>
      </c>
      <c r="H11" s="72">
        <f>IF(B11=0,"",IFERROR(VLOOKUP(B11,'S-ASIG-02'!$B$5:$E$88,4,0),0))</f>
        <v>3.5000000000000004</v>
      </c>
      <c r="I11" s="72">
        <f>IF(B11=0,"",IFERROR(VLOOKUP(B11,'S-ASIG-03'!$B$5:$E$88,4,0),0))</f>
        <v>2.0999999999999996</v>
      </c>
      <c r="J11" s="72">
        <f>IF(B11=0,"",IFERROR(VLOOKUP(B11,'S-ASIG-04'!$B$5:$E$88,4,0),0))</f>
        <v>0</v>
      </c>
      <c r="K11" s="72">
        <f>IF(B11=0,"",IFERROR(VLOOKUP(B11,'S-ASIG-05'!$B$5:$E$88,4,0),0))</f>
        <v>2.8000000000000003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97</v>
      </c>
      <c r="O11" s="71">
        <f>IF(B11=0,"",IFERROR(VLOOKUP(B11,'T-ASIG-01'!$B$5:$D$88,3,0),0))</f>
        <v>4.2</v>
      </c>
      <c r="P11" s="72">
        <f>IF(B11=0,"",IFERROR(VLOOKUP(B11,'T-ASIG-02'!$B$5:$D$88,3,0),0))</f>
        <v>3.95</v>
      </c>
      <c r="Q11" s="72">
        <f>IF(B11=0,"",IFERROR(VLOOKUP(B11,'T-ASIG-03'!$B$5:$D$88,3,0),0))</f>
        <v>0</v>
      </c>
      <c r="R11" s="72">
        <f>IF(B11=0,"",IFERROR(VLOOKUP(B11,'T-ASIG-04'!$B$5:$D$88,3,0),0))</f>
        <v>4.4250000000000007</v>
      </c>
      <c r="S11" s="72">
        <f>IF(B11=0,"",IFERROR(VLOOKUP(B11,'T-ASIG-05'!$B$5:$D$88,3,0),0))</f>
        <v>4.42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98</v>
      </c>
    </row>
    <row r="12" spans="1:22" ht="15" customHeight="1">
      <c r="A12" s="12">
        <v>8</v>
      </c>
      <c r="B12" s="70" t="str">
        <f>LIDER!C16</f>
        <v>MOISES RAFAEL LOPEZ HERNANDEZ</v>
      </c>
      <c r="C12" s="64" t="str">
        <f>IF(B12=0,"",IFERROR(VLOOKUP(B12,'S-ASIG-01'!$B$5:$E$88,2,0),0))</f>
        <v>G02</v>
      </c>
      <c r="D12" s="65">
        <f t="shared" si="2"/>
        <v>2.9625000000000004</v>
      </c>
      <c r="E12" s="66">
        <f t="shared" si="3"/>
        <v>4.2750000000000004</v>
      </c>
      <c r="F12" s="47"/>
      <c r="G12" s="71">
        <f>IF(B12=0,"",IFERROR(VLOOKUP(B12,'S-ASIG-01'!$B$5:$E$88,4,0),0))</f>
        <v>3.45</v>
      </c>
      <c r="H12" s="72">
        <f>IF(B12=0,"",IFERROR(VLOOKUP(B12,'S-ASIG-02'!$B$5:$E$88,4,0),0))</f>
        <v>3.5000000000000004</v>
      </c>
      <c r="I12" s="72">
        <f>IF(B12=0,"",IFERROR(VLOOKUP(B12,'S-ASIG-03'!$B$5:$E$88,4,0),0))</f>
        <v>2.0999999999999996</v>
      </c>
      <c r="J12" s="72">
        <f>IF(B12=0,"",IFERROR(VLOOKUP(B12,'S-ASIG-04'!$B$5:$E$88,4,0),0))</f>
        <v>0</v>
      </c>
      <c r="K12" s="72">
        <f>IF(B12=0,"",IFERROR(VLOOKUP(B12,'S-ASIG-05'!$B$5:$E$88,4,0),0))</f>
        <v>2.8000000000000003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97</v>
      </c>
      <c r="O12" s="71">
        <f>IF(B12=0,"",IFERROR(VLOOKUP(B12,'T-ASIG-01'!$B$5:$D$88,3,0),0))</f>
        <v>4.2</v>
      </c>
      <c r="P12" s="72">
        <f>IF(B12=0,"",IFERROR(VLOOKUP(B12,'T-ASIG-02'!$B$5:$D$88,3,0),0))</f>
        <v>3.95</v>
      </c>
      <c r="Q12" s="72">
        <f>IF(B12=0,"",IFERROR(VLOOKUP(B12,'T-ASIG-03'!$B$5:$D$88,3,0),0))</f>
        <v>0</v>
      </c>
      <c r="R12" s="72">
        <f>IF(B12=0,"",IFERROR(VLOOKUP(B12,'T-ASIG-04'!$B$5:$D$88,3,0),0))</f>
        <v>4.53</v>
      </c>
      <c r="S12" s="72">
        <f>IF(B12=0,"",IFERROR(VLOOKUP(B12,'T-ASIG-05'!$B$5:$D$88,3,0),0))</f>
        <v>4.42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98</v>
      </c>
    </row>
    <row r="13" spans="1:22" ht="15" customHeight="1">
      <c r="A13" s="12">
        <v>9</v>
      </c>
      <c r="B13" s="70" t="str">
        <f>LIDER!C17</f>
        <v>VALENTINA CARO HERNANDEZ</v>
      </c>
      <c r="C13" s="64" t="str">
        <f>IF(B13=0,"",IFERROR(VLOOKUP(B13,'S-ASIG-01'!$B$5:$E$88,2,0),0))</f>
        <v>G03</v>
      </c>
      <c r="D13" s="65">
        <f t="shared" si="2"/>
        <v>3.8725000000000001</v>
      </c>
      <c r="E13" s="66">
        <f t="shared" si="3"/>
        <v>4.3350000000000009</v>
      </c>
      <c r="F13" s="47"/>
      <c r="G13" s="71">
        <f>IF(B13=0,"",IFERROR(VLOOKUP(B13,'S-ASIG-01'!$B$5:$E$88,4,0),0))</f>
        <v>4.03</v>
      </c>
      <c r="H13" s="72">
        <f>IF(B13=0,"",IFERROR(VLOOKUP(B13,'S-ASIG-02'!$B$5:$E$88,4,0),0))</f>
        <v>3.9999999999999996</v>
      </c>
      <c r="I13" s="72">
        <f>IF(B13=0,"",IFERROR(VLOOKUP(B13,'S-ASIG-03'!$B$5:$E$88,4,0),0))</f>
        <v>3.8600000000000003</v>
      </c>
      <c r="J13" s="72">
        <f>IF(B13=0,"",IFERROR(VLOOKUP(B13,'S-ASIG-04'!$B$5:$E$88,4,0),0))</f>
        <v>0</v>
      </c>
      <c r="K13" s="72">
        <f>IF(B13=0,"",IFERROR(VLOOKUP(B13,'S-ASIG-05'!$B$5:$E$88,4,0),0))</f>
        <v>3.6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97</v>
      </c>
      <c r="O13" s="71">
        <f>IF(B13=0,"",IFERROR(VLOOKUP(B13,'T-ASIG-01'!$B$5:$D$88,3,0),0))</f>
        <v>4.6000000000000005</v>
      </c>
      <c r="P13" s="72">
        <f>IF(B13=0,"",IFERROR(VLOOKUP(B13,'T-ASIG-02'!$B$5:$D$88,3,0),0))</f>
        <v>4.1499999999999995</v>
      </c>
      <c r="Q13" s="72">
        <f>IF(B13=0,"",IFERROR(VLOOKUP(B13,'T-ASIG-03'!$B$5:$D$88,3,0),0))</f>
        <v>0</v>
      </c>
      <c r="R13" s="72">
        <f>IF(B13=0,"",IFERROR(VLOOKUP(B13,'T-ASIG-04'!$B$5:$D$88,3,0),0))</f>
        <v>4.3500000000000005</v>
      </c>
      <c r="S13" s="72">
        <f>IF(B13=0,"",IFERROR(VLOOKUP(B13,'T-ASIG-05'!$B$5:$D$88,3,0),0))</f>
        <v>4.24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98</v>
      </c>
    </row>
    <row r="14" spans="1:22" ht="15" customHeight="1">
      <c r="A14" s="12">
        <v>10</v>
      </c>
      <c r="B14" s="70" t="str">
        <f>LIDER!C18</f>
        <v>YULIANIS MICHEAL CORDOBA SUAREZ</v>
      </c>
      <c r="C14" s="64" t="str">
        <f>IF(B14=0,"",IFERROR(VLOOKUP(B14,'S-ASIG-01'!$B$5:$E$88,2,0),0))</f>
        <v>G03</v>
      </c>
      <c r="D14" s="65">
        <f t="shared" si="2"/>
        <v>3.8725000000000001</v>
      </c>
      <c r="E14" s="66">
        <f t="shared" si="3"/>
        <v>4.3162500000000001</v>
      </c>
      <c r="F14" s="47"/>
      <c r="G14" s="71">
        <f>IF(B14=0,"",IFERROR(VLOOKUP(B14,'S-ASIG-01'!$B$5:$E$88,4,0),0))</f>
        <v>4.03</v>
      </c>
      <c r="H14" s="72">
        <f>IF(B14=0,"",IFERROR(VLOOKUP(B14,'S-ASIG-02'!$B$5:$E$88,4,0),0))</f>
        <v>3.9999999999999996</v>
      </c>
      <c r="I14" s="72">
        <f>IF(B14=0,"",IFERROR(VLOOKUP(B14,'S-ASIG-03'!$B$5:$E$88,4,0),0))</f>
        <v>3.8600000000000003</v>
      </c>
      <c r="J14" s="72">
        <f>IF(B14=0,"",IFERROR(VLOOKUP(B14,'S-ASIG-04'!$B$5:$E$88,4,0),0))</f>
        <v>0</v>
      </c>
      <c r="K14" s="72">
        <f>IF(B14=0,"",IFERROR(VLOOKUP(B14,'S-ASIG-05'!$B$5:$E$88,4,0),0))</f>
        <v>3.6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97</v>
      </c>
      <c r="O14" s="71">
        <f>IF(B14=0,"",IFERROR(VLOOKUP(B14,'T-ASIG-01'!$B$5:$D$88,3,0),0))</f>
        <v>4.6000000000000005</v>
      </c>
      <c r="P14" s="72">
        <f>IF(B14=0,"",IFERROR(VLOOKUP(B14,'T-ASIG-02'!$B$5:$D$88,3,0),0))</f>
        <v>4.1499999999999995</v>
      </c>
      <c r="Q14" s="72">
        <f>IF(B14=0,"",IFERROR(VLOOKUP(B14,'T-ASIG-03'!$B$5:$D$88,3,0),0))</f>
        <v>0</v>
      </c>
      <c r="R14" s="72">
        <f>IF(B14=0,"",IFERROR(VLOOKUP(B14,'T-ASIG-04'!$B$5:$D$88,3,0),0))</f>
        <v>4.2750000000000004</v>
      </c>
      <c r="S14" s="72">
        <f>IF(B14=0,"",IFERROR(VLOOKUP(B14,'T-ASIG-05'!$B$5:$D$88,3,0),0))</f>
        <v>4.24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98</v>
      </c>
    </row>
    <row r="15" spans="1:22" ht="15" customHeight="1">
      <c r="A15" s="12">
        <v>11</v>
      </c>
      <c r="B15" s="70" t="str">
        <f>LIDER!C19</f>
        <v>VALERIA YOHANA MEDRANO MORALES</v>
      </c>
      <c r="C15" s="64" t="str">
        <f>IF(B15=0,"",IFERROR(VLOOKUP(B15,'S-ASIG-01'!$B$5:$E$88,2,0),0))</f>
        <v>G03</v>
      </c>
      <c r="D15" s="65">
        <f t="shared" si="2"/>
        <v>3.8725000000000001</v>
      </c>
      <c r="E15" s="66">
        <f t="shared" si="3"/>
        <v>4.4224999999999994</v>
      </c>
      <c r="F15" s="47"/>
      <c r="G15" s="71">
        <f>IF(B15=0,"",IFERROR(VLOOKUP(B15,'S-ASIG-01'!$B$5:$E$88,4,0),0))</f>
        <v>4.03</v>
      </c>
      <c r="H15" s="72">
        <f>IF(B15=0,"",IFERROR(VLOOKUP(B15,'S-ASIG-02'!$B$5:$E$88,4,0),0))</f>
        <v>3.9999999999999996</v>
      </c>
      <c r="I15" s="72">
        <f>IF(B15=0,"",IFERROR(VLOOKUP(B15,'S-ASIG-03'!$B$5:$E$88,4,0),0))</f>
        <v>3.8600000000000003</v>
      </c>
      <c r="J15" s="72">
        <f>IF(B15=0,"",IFERROR(VLOOKUP(B15,'S-ASIG-04'!$B$5:$E$88,4,0),0))</f>
        <v>0</v>
      </c>
      <c r="K15" s="72">
        <f>IF(B15=0,"",IFERROR(VLOOKUP(B15,'S-ASIG-05'!$B$5:$E$88,4,0),0))</f>
        <v>3.6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97</v>
      </c>
      <c r="O15" s="71">
        <f>IF(B15=0,"",IFERROR(VLOOKUP(B15,'T-ASIG-01'!$B$5:$D$88,3,0),0))</f>
        <v>4.6000000000000005</v>
      </c>
      <c r="P15" s="72">
        <f>IF(B15=0,"",IFERROR(VLOOKUP(B15,'T-ASIG-02'!$B$5:$D$88,3,0),0))</f>
        <v>4.1499999999999995</v>
      </c>
      <c r="Q15" s="72">
        <f>IF(B15=0,"",IFERROR(VLOOKUP(B15,'T-ASIG-03'!$B$5:$D$88,3,0),0))</f>
        <v>0</v>
      </c>
      <c r="R15" s="72">
        <f>IF(B15=0,"",IFERROR(VLOOKUP(B15,'T-ASIG-04'!$B$5:$D$88,3,0),0))</f>
        <v>4.7</v>
      </c>
      <c r="S15" s="72">
        <f>IF(B15=0,"",IFERROR(VLOOKUP(B15,'T-ASIG-05'!$B$5:$D$88,3,0),0))</f>
        <v>4.24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98</v>
      </c>
    </row>
    <row r="16" spans="1:22" ht="15" customHeight="1">
      <c r="A16" s="12">
        <v>12</v>
      </c>
      <c r="B16" s="70" t="str">
        <f>LIDER!C20</f>
        <v>VALERY MARIA SALAZAR OROZCO</v>
      </c>
      <c r="C16" s="64" t="str">
        <f>IF(B16=0,"",IFERROR(VLOOKUP(B16,'S-ASIG-01'!$B$5:$E$88,2,0),0))</f>
        <v>G03</v>
      </c>
      <c r="D16" s="65">
        <f t="shared" si="2"/>
        <v>3.8725000000000001</v>
      </c>
      <c r="E16" s="66">
        <f t="shared" si="3"/>
        <v>4.3100000000000005</v>
      </c>
      <c r="F16" s="47"/>
      <c r="G16" s="71">
        <f>IF(B16=0,"",IFERROR(VLOOKUP(B16,'S-ASIG-01'!$B$5:$E$88,4,0),0))</f>
        <v>4.03</v>
      </c>
      <c r="H16" s="72">
        <f>IF(B16=0,"",IFERROR(VLOOKUP(B16,'S-ASIG-02'!$B$5:$E$88,4,0),0))</f>
        <v>3.9999999999999996</v>
      </c>
      <c r="I16" s="72">
        <f>IF(B16=0,"",IFERROR(VLOOKUP(B16,'S-ASIG-03'!$B$5:$E$88,4,0),0))</f>
        <v>3.8600000000000003</v>
      </c>
      <c r="J16" s="72">
        <f>IF(B16=0,"",IFERROR(VLOOKUP(B16,'S-ASIG-04'!$B$5:$E$88,4,0),0))</f>
        <v>0</v>
      </c>
      <c r="K16" s="72">
        <f>IF(B16=0,"",IFERROR(VLOOKUP(B16,'S-ASIG-05'!$B$5:$E$88,4,0),0))</f>
        <v>3.6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97</v>
      </c>
      <c r="O16" s="71">
        <f>IF(B16=0,"",IFERROR(VLOOKUP(B16,'T-ASIG-01'!$B$5:$D$88,3,0),0))</f>
        <v>4.6000000000000005</v>
      </c>
      <c r="P16" s="72">
        <f>IF(B16=0,"",IFERROR(VLOOKUP(B16,'T-ASIG-02'!$B$5:$D$88,3,0),0))</f>
        <v>4.1499999999999995</v>
      </c>
      <c r="Q16" s="72">
        <f>IF(B16=0,"",IFERROR(VLOOKUP(B16,'T-ASIG-03'!$B$5:$D$88,3,0),0))</f>
        <v>0</v>
      </c>
      <c r="R16" s="72">
        <f>IF(B16=0,"",IFERROR(VLOOKUP(B16,'T-ASIG-04'!$B$5:$D$88,3,0),0))</f>
        <v>4.25</v>
      </c>
      <c r="S16" s="72">
        <f>IF(B16=0,"",IFERROR(VLOOKUP(B16,'T-ASIG-05'!$B$5:$D$88,3,0),0))</f>
        <v>4.24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98</v>
      </c>
    </row>
    <row r="17" spans="1:22" ht="15" customHeight="1">
      <c r="A17" s="12">
        <v>13</v>
      </c>
      <c r="B17" s="70">
        <f>LIDER!C21</f>
        <v>0</v>
      </c>
      <c r="C17" s="64" t="str">
        <f>IF(B17=0,"",IFERROR(VLOOKUP(B17,'S-ASIG-01'!$B$5:$E$88,2,0),0))</f>
        <v/>
      </c>
      <c r="D17" s="65" t="str">
        <f t="shared" si="2"/>
        <v/>
      </c>
      <c r="E17" s="66" t="str">
        <f t="shared" si="3"/>
        <v/>
      </c>
      <c r="F17" s="47"/>
      <c r="G17" s="71" t="str">
        <f>IF(B17=0,"",IFERROR(VLOOKUP(B17,'S-ASIG-01'!$B$5:$E$88,4,0),0))</f>
        <v/>
      </c>
      <c r="H17" s="72" t="str">
        <f>IF(B17=0,"",IFERROR(VLOOKUP(B17,'S-ASIG-02'!$B$5:$E$88,4,0),0))</f>
        <v/>
      </c>
      <c r="I17" s="72" t="str">
        <f>IF(B17=0,"",IFERROR(VLOOKUP(B17,'S-ASIG-03'!$B$5:$E$88,4,0),0))</f>
        <v/>
      </c>
      <c r="J17" s="72" t="str">
        <f>IF(B17=0,"",IFERROR(VLOOKUP(B17,'S-ASIG-04'!$B$5:$E$88,4,0),0))</f>
        <v/>
      </c>
      <c r="K17" s="72" t="str">
        <f>IF(B17=0,"",IFERROR(VLOOKUP(B17,'S-ASIG-05'!$B$5:$E$88,4,0),0))</f>
        <v/>
      </c>
      <c r="L17" s="72" t="str">
        <f>IF(B17=0,"",IFERROR(VLOOKUP(B17,'S-ASIG-06'!$B$5:$E$88,4,0),0))</f>
        <v/>
      </c>
      <c r="M17" s="73" t="str">
        <f>IF(B17=0,"",IFERROR(VLOOKUP(B17,'S-ASIG-07'!$B$5:$E$88,4,0),0))</f>
        <v/>
      </c>
      <c r="N17" s="68" t="s">
        <v>97</v>
      </c>
      <c r="O17" s="71" t="str">
        <f>IF(B17=0,"",IFERROR(VLOOKUP(B17,'T-ASIG-01'!$B$5:$D$88,3,0),0))</f>
        <v/>
      </c>
      <c r="P17" s="72" t="str">
        <f>IF(B17=0,"",IFERROR(VLOOKUP(B17,'T-ASIG-02'!$B$5:$D$88,3,0),0))</f>
        <v/>
      </c>
      <c r="Q17" s="72" t="str">
        <f>IF(B17=0,"",IFERROR(VLOOKUP(B17,'T-ASIG-03'!$B$5:$D$88,3,0),0))</f>
        <v/>
      </c>
      <c r="R17" s="72" t="str">
        <f>IF(B17=0,"",IFERROR(VLOOKUP(B17,'T-ASIG-04'!$B$5:$D$88,3,0),0))</f>
        <v/>
      </c>
      <c r="S17" s="72" t="str">
        <f>IF(B17=0,"",IFERROR(VLOOKUP(B17,'T-ASIG-05'!$B$5:$D$88,3,0),0))</f>
        <v/>
      </c>
      <c r="T17" s="72" t="str">
        <f>IF(B17=0,"",IFERROR(VLOOKUP(B17,'T-ASIG-06'!$B$5:$D$88,3,0),0))</f>
        <v/>
      </c>
      <c r="U17" s="73" t="str">
        <f>IF(B17=0,"",IFERROR(VLOOKUP(B17,'T-ASIG-07'!$B$5:$D$88,3,0),0))</f>
        <v/>
      </c>
      <c r="V17" s="69" t="s">
        <v>98</v>
      </c>
    </row>
    <row r="18" spans="1:22" ht="15" customHeight="1">
      <c r="A18" s="12">
        <v>14</v>
      </c>
      <c r="B18" s="70">
        <f>LIDER!C22</f>
        <v>0</v>
      </c>
      <c r="C18" s="64" t="str">
        <f>IF(B18=0,"",IFERROR(VLOOKUP(B18,'S-ASIG-01'!$B$5:$E$88,2,0),0))</f>
        <v/>
      </c>
      <c r="D18" s="65" t="str">
        <f t="shared" si="2"/>
        <v/>
      </c>
      <c r="E18" s="66" t="str">
        <f t="shared" si="3"/>
        <v/>
      </c>
      <c r="F18" s="47"/>
      <c r="G18" s="71" t="str">
        <f>IF(B18=0,"",IFERROR(VLOOKUP(B18,'S-ASIG-01'!$B$5:$E$88,4,0),0))</f>
        <v/>
      </c>
      <c r="H18" s="72" t="str">
        <f>IF(B18=0,"",IFERROR(VLOOKUP(B18,'S-ASIG-02'!$B$5:$E$88,4,0),0))</f>
        <v/>
      </c>
      <c r="I18" s="72" t="str">
        <f>IF(B18=0,"",IFERROR(VLOOKUP(B18,'S-ASIG-03'!$B$5:$E$88,4,0),0))</f>
        <v/>
      </c>
      <c r="J18" s="72" t="str">
        <f>IF(B18=0,"",IFERROR(VLOOKUP(B18,'S-ASIG-04'!$B$5:$E$88,4,0),0))</f>
        <v/>
      </c>
      <c r="K18" s="72" t="str">
        <f>IF(B18=0,"",IFERROR(VLOOKUP(B18,'S-ASIG-05'!$B$5:$E$88,4,0),0))</f>
        <v/>
      </c>
      <c r="L18" s="72" t="str">
        <f>IF(B18=0,"",IFERROR(VLOOKUP(B18,'S-ASIG-06'!$B$5:$E$88,4,0),0))</f>
        <v/>
      </c>
      <c r="M18" s="73" t="str">
        <f>IF(B18=0,"",IFERROR(VLOOKUP(B18,'S-ASIG-07'!$B$5:$E$88,4,0),0))</f>
        <v/>
      </c>
      <c r="N18" s="68" t="s">
        <v>97</v>
      </c>
      <c r="O18" s="71" t="str">
        <f>IF(B18=0,"",IFERROR(VLOOKUP(B18,'T-ASIG-01'!$B$5:$D$88,3,0),0))</f>
        <v/>
      </c>
      <c r="P18" s="72" t="str">
        <f>IF(B18=0,"",IFERROR(VLOOKUP(B18,'T-ASIG-02'!$B$5:$D$88,3,0),0))</f>
        <v/>
      </c>
      <c r="Q18" s="72" t="str">
        <f>IF(B18=0,"",IFERROR(VLOOKUP(B18,'T-ASIG-03'!$B$5:$D$88,3,0),0))</f>
        <v/>
      </c>
      <c r="R18" s="72" t="str">
        <f>IF(B18=0,"",IFERROR(VLOOKUP(B18,'T-ASIG-04'!$B$5:$D$88,3,0),0))</f>
        <v/>
      </c>
      <c r="S18" s="72" t="str">
        <f>IF(B18=0,"",IFERROR(VLOOKUP(B18,'T-ASIG-05'!$B$5:$D$88,3,0),0))</f>
        <v/>
      </c>
      <c r="T18" s="72" t="str">
        <f>IF(B18=0,"",IFERROR(VLOOKUP(B18,'T-ASIG-06'!$B$5:$D$88,3,0),0))</f>
        <v/>
      </c>
      <c r="U18" s="73" t="str">
        <f>IF(B18=0,"",IFERROR(VLOOKUP(B18,'T-ASIG-07'!$B$5:$D$88,3,0),0))</f>
        <v/>
      </c>
      <c r="V18" s="69" t="s">
        <v>98</v>
      </c>
    </row>
    <row r="19" spans="1:22" ht="15" customHeight="1">
      <c r="A19" s="12">
        <v>15</v>
      </c>
      <c r="B19" s="70">
        <f>LIDER!C23</f>
        <v>0</v>
      </c>
      <c r="C19" s="64" t="str">
        <f>IF(B19=0,"",IFERROR(VLOOKUP(B19,'S-ASIG-01'!$B$5:$E$88,2,0),0))</f>
        <v/>
      </c>
      <c r="D19" s="65" t="str">
        <f t="shared" si="2"/>
        <v/>
      </c>
      <c r="E19" s="66" t="str">
        <f t="shared" si="3"/>
        <v/>
      </c>
      <c r="F19" s="47"/>
      <c r="G19" s="71" t="str">
        <f>IF(B19=0,"",IFERROR(VLOOKUP(B19,'S-ASIG-01'!$B$5:$E$88,4,0),0))</f>
        <v/>
      </c>
      <c r="H19" s="72" t="str">
        <f>IF(B19=0,"",IFERROR(VLOOKUP(B19,'S-ASIG-02'!$B$5:$E$88,4,0),0))</f>
        <v/>
      </c>
      <c r="I19" s="72" t="str">
        <f>IF(B19=0,"",IFERROR(VLOOKUP(B19,'S-ASIG-03'!$B$5:$E$88,4,0),0))</f>
        <v/>
      </c>
      <c r="J19" s="72" t="str">
        <f>IF(B19=0,"",IFERROR(VLOOKUP(B19,'S-ASIG-04'!$B$5:$E$88,4,0),0))</f>
        <v/>
      </c>
      <c r="K19" s="72" t="str">
        <f>IF(B19=0,"",IFERROR(VLOOKUP(B19,'S-ASIG-05'!$B$5:$E$88,4,0),0))</f>
        <v/>
      </c>
      <c r="L19" s="72" t="str">
        <f>IF(B19=0,"",IFERROR(VLOOKUP(B19,'S-ASIG-06'!$B$5:$E$88,4,0),0))</f>
        <v/>
      </c>
      <c r="M19" s="73" t="str">
        <f>IF(B19=0,"",IFERROR(VLOOKUP(B19,'S-ASIG-07'!$B$5:$E$88,4,0),0))</f>
        <v/>
      </c>
      <c r="N19" s="68" t="s">
        <v>97</v>
      </c>
      <c r="O19" s="71" t="str">
        <f>IF(B19=0,"",IFERROR(VLOOKUP(B19,'T-ASIG-01'!$B$5:$D$88,3,0),0))</f>
        <v/>
      </c>
      <c r="P19" s="72" t="str">
        <f>IF(B19=0,"",IFERROR(VLOOKUP(B19,'T-ASIG-02'!$B$5:$D$88,3,0),0))</f>
        <v/>
      </c>
      <c r="Q19" s="72" t="str">
        <f>IF(B19=0,"",IFERROR(VLOOKUP(B19,'T-ASIG-03'!$B$5:$D$88,3,0),0))</f>
        <v/>
      </c>
      <c r="R19" s="72" t="str">
        <f>IF(B19=0,"",IFERROR(VLOOKUP(B19,'T-ASIG-04'!$B$5:$D$88,3,0),0))</f>
        <v/>
      </c>
      <c r="S19" s="72" t="str">
        <f>IF(B19=0,"",IFERROR(VLOOKUP(B19,'T-ASIG-05'!$B$5:$D$88,3,0),0))</f>
        <v/>
      </c>
      <c r="T19" s="72" t="str">
        <f>IF(B19=0,"",IFERROR(VLOOKUP(B19,'T-ASIG-06'!$B$5:$D$88,3,0),0))</f>
        <v/>
      </c>
      <c r="U19" s="73" t="str">
        <f>IF(B19=0,"",IFERROR(VLOOKUP(B19,'T-ASIG-07'!$B$5:$D$88,3,0),0))</f>
        <v/>
      </c>
      <c r="V19" s="69" t="s">
        <v>98</v>
      </c>
    </row>
    <row r="20" spans="1:22" ht="15" customHeight="1">
      <c r="A20" s="12">
        <v>16</v>
      </c>
      <c r="B20" s="70">
        <f>LIDER!C24</f>
        <v>0</v>
      </c>
      <c r="C20" s="64" t="str">
        <f>IF(B20=0,"",IFERROR(VLOOKUP(B20,'S-ASIG-01'!$B$5:$E$88,2,0),0))</f>
        <v/>
      </c>
      <c r="D20" s="65" t="str">
        <f t="shared" si="2"/>
        <v/>
      </c>
      <c r="E20" s="66" t="str">
        <f t="shared" si="3"/>
        <v/>
      </c>
      <c r="F20" s="47"/>
      <c r="G20" s="71" t="str">
        <f>IF(B20=0,"",IFERROR(VLOOKUP(B20,'S-ASIG-01'!$B$5:$E$88,4,0),0))</f>
        <v/>
      </c>
      <c r="H20" s="72" t="str">
        <f>IF(B20=0,"",IFERROR(VLOOKUP(B20,'S-ASIG-02'!$B$5:$E$88,4,0),0))</f>
        <v/>
      </c>
      <c r="I20" s="72" t="str">
        <f>IF(B20=0,"",IFERROR(VLOOKUP(B20,'S-ASIG-03'!$B$5:$E$88,4,0),0))</f>
        <v/>
      </c>
      <c r="J20" s="72" t="str">
        <f>IF(B20=0,"",IFERROR(VLOOKUP(B20,'S-ASIG-04'!$B$5:$E$88,4,0),0))</f>
        <v/>
      </c>
      <c r="K20" s="72" t="str">
        <f>IF(B20=0,"",IFERROR(VLOOKUP(B20,'S-ASIG-05'!$B$5:$E$88,4,0),0))</f>
        <v/>
      </c>
      <c r="L20" s="72" t="str">
        <f>IF(B20=0,"",IFERROR(VLOOKUP(B20,'S-ASIG-06'!$B$5:$E$88,4,0),0))</f>
        <v/>
      </c>
      <c r="M20" s="73" t="str">
        <f>IF(B20=0,"",IFERROR(VLOOKUP(B20,'S-ASIG-07'!$B$5:$E$88,4,0),0))</f>
        <v/>
      </c>
      <c r="N20" s="68" t="s">
        <v>97</v>
      </c>
      <c r="O20" s="71" t="str">
        <f>IF(B20=0,"",IFERROR(VLOOKUP(B20,'T-ASIG-01'!$B$5:$D$88,3,0),0))</f>
        <v/>
      </c>
      <c r="P20" s="72" t="str">
        <f>IF(B20=0,"",IFERROR(VLOOKUP(B20,'T-ASIG-02'!$B$5:$D$88,3,0),0))</f>
        <v/>
      </c>
      <c r="Q20" s="72" t="str">
        <f>IF(B20=0,"",IFERROR(VLOOKUP(B20,'T-ASIG-03'!$B$5:$D$88,3,0),0))</f>
        <v/>
      </c>
      <c r="R20" s="72" t="str">
        <f>IF(B20=0,"",IFERROR(VLOOKUP(B20,'T-ASIG-04'!$B$5:$D$88,3,0),0))</f>
        <v/>
      </c>
      <c r="S20" s="72" t="str">
        <f>IF(B20=0,"",IFERROR(VLOOKUP(B20,'T-ASIG-05'!$B$5:$D$88,3,0),0))</f>
        <v/>
      </c>
      <c r="T20" s="72" t="str">
        <f>IF(B20=0,"",IFERROR(VLOOKUP(B20,'T-ASIG-06'!$B$5:$D$88,3,0),0))</f>
        <v/>
      </c>
      <c r="U20" s="73" t="str">
        <f>IF(B20=0,"",IFERROR(VLOOKUP(B20,'T-ASIG-07'!$B$5:$D$88,3,0),0))</f>
        <v/>
      </c>
      <c r="V20" s="69" t="s">
        <v>98</v>
      </c>
    </row>
    <row r="21" spans="1:22" ht="15" customHeight="1">
      <c r="A21" s="12">
        <v>17</v>
      </c>
      <c r="B21" s="70">
        <f>LIDER!C25</f>
        <v>0</v>
      </c>
      <c r="C21" s="64" t="str">
        <f>IF(B21=0,"",IFERROR(VLOOKUP(B21,'S-ASIG-01'!$B$5:$E$88,2,0),0))</f>
        <v/>
      </c>
      <c r="D21" s="65" t="str">
        <f t="shared" si="2"/>
        <v/>
      </c>
      <c r="E21" s="66" t="str">
        <f t="shared" si="3"/>
        <v/>
      </c>
      <c r="F21" s="47"/>
      <c r="G21" s="71" t="str">
        <f>IF(B21=0,"",IFERROR(VLOOKUP(B21,'S-ASIG-01'!$B$5:$E$88,4,0),0))</f>
        <v/>
      </c>
      <c r="H21" s="72" t="str">
        <f>IF(B21=0,"",IFERROR(VLOOKUP(B21,'S-ASIG-02'!$B$5:$E$88,4,0),0))</f>
        <v/>
      </c>
      <c r="I21" s="72" t="str">
        <f>IF(B21=0,"",IFERROR(VLOOKUP(B21,'S-ASIG-03'!$B$5:$E$88,4,0),0))</f>
        <v/>
      </c>
      <c r="J21" s="72" t="str">
        <f>IF(B21=0,"",IFERROR(VLOOKUP(B21,'S-ASIG-04'!$B$5:$E$88,4,0),0))</f>
        <v/>
      </c>
      <c r="K21" s="72" t="str">
        <f>IF(B21=0,"",IFERROR(VLOOKUP(B21,'S-ASIG-05'!$B$5:$E$88,4,0),0))</f>
        <v/>
      </c>
      <c r="L21" s="72" t="str">
        <f>IF(B21=0,"",IFERROR(VLOOKUP(B21,'S-ASIG-06'!$B$5:$E$88,4,0),0))</f>
        <v/>
      </c>
      <c r="M21" s="73" t="str">
        <f>IF(B21=0,"",IFERROR(VLOOKUP(B21,'S-ASIG-07'!$B$5:$E$88,4,0),0))</f>
        <v/>
      </c>
      <c r="N21" s="68" t="s">
        <v>97</v>
      </c>
      <c r="O21" s="71" t="str">
        <f>IF(B21=0,"",IFERROR(VLOOKUP(B21,'T-ASIG-01'!$B$5:$D$88,3,0),0))</f>
        <v/>
      </c>
      <c r="P21" s="72" t="str">
        <f>IF(B21=0,"",IFERROR(VLOOKUP(B21,'T-ASIG-02'!$B$5:$D$88,3,0),0))</f>
        <v/>
      </c>
      <c r="Q21" s="72" t="str">
        <f>IF(B21=0,"",IFERROR(VLOOKUP(B21,'T-ASIG-03'!$B$5:$D$88,3,0),0))</f>
        <v/>
      </c>
      <c r="R21" s="72" t="str">
        <f>IF(B21=0,"",IFERROR(VLOOKUP(B21,'T-ASIG-04'!$B$5:$D$88,3,0),0))</f>
        <v/>
      </c>
      <c r="S21" s="72" t="str">
        <f>IF(B21=0,"",IFERROR(VLOOKUP(B21,'T-ASIG-05'!$B$5:$D$88,3,0),0))</f>
        <v/>
      </c>
      <c r="T21" s="72" t="str">
        <f>IF(B21=0,"",IFERROR(VLOOKUP(B21,'T-ASIG-06'!$B$5:$D$88,3,0),0))</f>
        <v/>
      </c>
      <c r="U21" s="73" t="str">
        <f>IF(B21=0,"",IFERROR(VLOOKUP(B21,'T-ASIG-07'!$B$5:$D$88,3,0),0))</f>
        <v/>
      </c>
      <c r="V21" s="69" t="s">
        <v>98</v>
      </c>
    </row>
    <row r="22" spans="1:22" ht="15" customHeight="1">
      <c r="A22" s="12">
        <v>18</v>
      </c>
      <c r="B22" s="70">
        <f>LIDER!C26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97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98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97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98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97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98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97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98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97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98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97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98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97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98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97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98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97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98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97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98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97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98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97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98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97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98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97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98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97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98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97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98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97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98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97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98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97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98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97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98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97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98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97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98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97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98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97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98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97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98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97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98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97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98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97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98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97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98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97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98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97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98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97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98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97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98</v>
      </c>
    </row>
  </sheetData>
  <sheetProtection algorithmName="SHA-512" hashValue="3B8cAoeUpwhu/ivGnc1YN69D9HUTWhSAbtxJ+zjwLIU4vl0QOPpNfT2MNs6qF/d0bkBI5OM9QkSJQtEpaL4koQ==" saltValue="lnHdhpnwzFAgUwqoAURCzg==" spinCount="100000" sheet="1" objects="1" scenarios="1"/>
  <mergeCells count="4">
    <mergeCell ref="G2:M2"/>
    <mergeCell ref="N1:O1"/>
    <mergeCell ref="G1:M1"/>
    <mergeCell ref="O2:U2"/>
  </mergeCells>
  <conditionalFormatting sqref="B5:E5 G5:M54 O5:U54 C6:E6 B7:E54">
    <cfRule type="expression" dxfId="5" priority="6">
      <formula>ISEVEN($A5)</formula>
    </cfRule>
  </conditionalFormatting>
  <conditionalFormatting sqref="B5:U5 C6:U6 B7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JOHAN RAFAEL HURTADO CASTRO</cp:lastModifiedBy>
  <cp:revision/>
  <dcterms:created xsi:type="dcterms:W3CDTF">2025-09-29T20:45:44Z</dcterms:created>
  <dcterms:modified xsi:type="dcterms:W3CDTF">2026-05-25T14:50:50Z</dcterms:modified>
  <cp:category/>
  <cp:contentStatus/>
</cp:coreProperties>
</file>