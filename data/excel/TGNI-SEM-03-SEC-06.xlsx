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3/"/>
    </mc:Choice>
  </mc:AlternateContent>
  <xr:revisionPtr revIDLastSave="720" documentId="13_ncr:1_{9F2F86F0-B715-4FD3-AA78-A38C0DE2C084}" xr6:coauthVersionLast="47" xr6:coauthVersionMax="47" xr10:uidLastSave="{CC78079E-33B2-41CC-879E-8AF2D4D31ACB}"/>
  <bookViews>
    <workbookView xWindow="-120" yWindow="-120" windowWidth="20730" windowHeight="11040" tabRatio="815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D22" i="16" s="1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D48" i="16" s="1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D60" i="16"/>
  <c r="B60" i="16"/>
  <c r="D59" i="16"/>
  <c r="B59" i="16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D22" i="7" s="1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D43" i="7" s="1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D53" i="7"/>
  <c r="B53" i="7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D42" i="7"/>
  <c r="B42" i="7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D31" i="7"/>
  <c r="B31" i="7"/>
  <c r="D30" i="7"/>
  <c r="B30" i="7"/>
  <c r="B29" i="7"/>
  <c r="D29" i="7" s="1"/>
  <c r="B28" i="7"/>
  <c r="D28" i="7" s="1"/>
  <c r="B27" i="7"/>
  <c r="D27" i="7" s="1"/>
  <c r="D25" i="7"/>
  <c r="B25" i="7"/>
  <c r="D24" i="7"/>
  <c r="B24" i="7"/>
  <c r="D23" i="7"/>
  <c r="B23" i="7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D49" i="6" s="1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D59" i="6"/>
  <c r="B59" i="6"/>
  <c r="D58" i="6"/>
  <c r="B58" i="6"/>
  <c r="B57" i="6"/>
  <c r="D57" i="6" s="1"/>
  <c r="B56" i="6"/>
  <c r="D56" i="6" s="1"/>
  <c r="B55" i="6"/>
  <c r="D55" i="6" s="1"/>
  <c r="D53" i="6"/>
  <c r="B53" i="6"/>
  <c r="D52" i="6"/>
  <c r="B52" i="6"/>
  <c r="B51" i="6"/>
  <c r="D51" i="6" s="1"/>
  <c r="B50" i="6"/>
  <c r="D50" i="6" s="1"/>
  <c r="B49" i="6"/>
  <c r="B48" i="6"/>
  <c r="D46" i="6"/>
  <c r="B46" i="6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D31" i="6"/>
  <c r="B31" i="6"/>
  <c r="D30" i="6"/>
  <c r="B30" i="6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D22" i="5" s="1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D42" i="5" s="1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D59" i="5"/>
  <c r="B59" i="5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D24" i="5"/>
  <c r="B24" i="5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D22" i="4" s="1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D49" i="4" s="1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D59" i="4"/>
  <c r="B59" i="4"/>
  <c r="B58" i="4"/>
  <c r="D58" i="4" s="1"/>
  <c r="B57" i="4"/>
  <c r="D57" i="4" s="1"/>
  <c r="B56" i="4"/>
  <c r="D56" i="4" s="1"/>
  <c r="D55" i="4"/>
  <c r="B55" i="4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D24" i="4"/>
  <c r="B24" i="4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D22" i="3" s="1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D49" i="3" s="1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D55" i="3"/>
  <c r="B55" i="3"/>
  <c r="D53" i="3"/>
  <c r="B53" i="3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E60" i="15"/>
  <c r="B60" i="15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E51" i="15"/>
  <c r="B51" i="15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E23" i="15"/>
  <c r="B23" i="15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E62" i="14"/>
  <c r="C62" i="14"/>
  <c r="C63" i="14" s="1"/>
  <c r="C64" i="14" s="1"/>
  <c r="C65" i="14" s="1"/>
  <c r="C66" i="14" s="1"/>
  <c r="C67" i="14" s="1"/>
  <c r="B62" i="14"/>
  <c r="F61" i="14"/>
  <c r="B60" i="14"/>
  <c r="E60" i="14" s="1"/>
  <c r="E59" i="14"/>
  <c r="B59" i="14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E51" i="14"/>
  <c r="B51" i="14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E45" i="14"/>
  <c r="B45" i="14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E23" i="14"/>
  <c r="B23" i="14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E60" i="13"/>
  <c r="B60" i="13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E55" i="13"/>
  <c r="C55" i="13"/>
  <c r="B55" i="13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E23" i="13"/>
  <c r="B23" i="13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E60" i="12"/>
  <c r="B60" i="12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E49" i="12"/>
  <c r="C49" i="12"/>
  <c r="B49" i="12"/>
  <c r="C48" i="12"/>
  <c r="B48" i="12"/>
  <c r="E48" i="12" s="1"/>
  <c r="F47" i="12"/>
  <c r="B46" i="12"/>
  <c r="E46" i="12" s="1"/>
  <c r="B45" i="12"/>
  <c r="E45" i="12" s="1"/>
  <c r="E44" i="12"/>
  <c r="C44" i="12"/>
  <c r="C45" i="12" s="1"/>
  <c r="C46" i="12" s="1"/>
  <c r="B44" i="12"/>
  <c r="E43" i="12"/>
  <c r="C43" i="12"/>
  <c r="B43" i="12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E60" i="11"/>
  <c r="B60" i="11"/>
  <c r="E59" i="11"/>
  <c r="B59" i="11"/>
  <c r="B58" i="11"/>
  <c r="E58" i="11" s="1"/>
  <c r="B57" i="11"/>
  <c r="E57" i="11" s="1"/>
  <c r="E56" i="11"/>
  <c r="C56" i="11"/>
  <c r="C57" i="11" s="1"/>
  <c r="C58" i="11" s="1"/>
  <c r="C59" i="11" s="1"/>
  <c r="C60" i="11" s="1"/>
  <c r="B56" i="1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E43" i="11"/>
  <c r="B43" i="1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E24" i="11"/>
  <c r="B24" i="1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E55" i="10"/>
  <c r="C55" i="10"/>
  <c r="B55" i="10"/>
  <c r="F54" i="10"/>
  <c r="E53" i="10"/>
  <c r="B53" i="10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E23" i="10"/>
  <c r="B23" i="10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U3" i="8"/>
  <c r="H3" i="8"/>
  <c r="P3" i="8" s="1"/>
  <c r="I3" i="8"/>
  <c r="Q3" i="8" s="1"/>
  <c r="J3" i="8"/>
  <c r="R3" i="8" s="1"/>
  <c r="K3" i="8"/>
  <c r="S3" i="8" s="1"/>
  <c r="L3" i="8"/>
  <c r="T3" i="8" s="1"/>
  <c r="M3" i="8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2" i="3" l="1"/>
  <c r="D21" i="5"/>
  <c r="D21" i="7"/>
  <c r="D21" i="16"/>
  <c r="D37" i="4"/>
  <c r="D37" i="6"/>
  <c r="D37" i="16"/>
  <c r="D36" i="4"/>
  <c r="D36" i="6"/>
  <c r="D36" i="16"/>
  <c r="D34" i="7"/>
  <c r="D64" i="6"/>
  <c r="D48" i="6"/>
  <c r="D49" i="7"/>
  <c r="D48" i="7"/>
  <c r="D49" i="16"/>
  <c r="D48" i="3"/>
  <c r="D34" i="4"/>
  <c r="D34" i="16"/>
  <c r="D37" i="3"/>
  <c r="D36" i="5"/>
  <c r="D20" i="5"/>
  <c r="D21" i="4"/>
  <c r="D21" i="6"/>
  <c r="D10" i="4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<sst xmlns="http://schemas.openxmlformats.org/spreadsheetml/2006/main" count="685" uniqueCount="117">
  <si>
    <t>TECNOLOGÍA EN GESTIÓN DE NEGOCIOS INTERN</t>
  </si>
  <si>
    <t>SEMESTRE:</t>
  </si>
  <si>
    <t>SEM-03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</si>
  <si>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</si>
  <si>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</si>
  <si>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</si>
  <si>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</si>
  <si>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</si>
  <si>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</si>
  <si>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</si>
  <si>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</si>
  <si>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INTERNACIONALIZACION</t>
  </si>
  <si>
    <t>TECNOLOGIA APLICADA</t>
  </si>
  <si>
    <t>LEGISLACION PARA EL COMERCIO</t>
  </si>
  <si>
    <t>MACROECONOMÍA</t>
  </si>
  <si>
    <t>MATEMÁTICAS FINANCIERAS</t>
  </si>
  <si>
    <t>SANDRA MILENA CASTAÑO GIRALDO</t>
  </si>
  <si>
    <t>WILMER SIMARRA CAÑATE</t>
  </si>
  <si>
    <t>MELISSA LOPEZ ROMERO</t>
  </si>
  <si>
    <t>JORGE ELIECER PAREJA SHAIKH</t>
  </si>
  <si>
    <t>HECTOR DARIO BALSEIRO BARRIOS</t>
  </si>
  <si>
    <t>LISTA DE ESTUDIANTES</t>
  </si>
  <si>
    <t>SEGUNDA ENTREGA - CRITERIO DE EVALUACIÓN DOCUMENTO - SEGUNDO CORTE</t>
  </si>
  <si>
    <t>PONDERACIÓN</t>
  </si>
  <si>
    <t>ADMINISTRACIÓN DE EMPRESAS C.I</t>
  </si>
  <si>
    <t xml:space="preserve">THEYLON BIVANCO BELLIDO 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</si>
  <si>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</si>
  <si>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</si>
  <si>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 xml:space="preserve">MARIA ALEXANDRA GARCIA MONTOYA </t>
  </si>
  <si>
    <t>ANTEPROYECTO: Portada, planteamiento del problema, justificacion del trabajo o proyecto de aula, objetivos, marco teorico, diseño metodologico.</t>
  </si>
  <si>
    <t>CONTADURÍA PÚBLICA</t>
  </si>
  <si>
    <t xml:space="preserve">CANDYS DANIELYS GONZALEZ </t>
  </si>
  <si>
    <t>RESULTADOS:  Analiza, integra y aplica de manera coherente los aspectos legales-tributarios, administrativos y tecnológicos en el desarrollo de la propuesta investigativa, evidenciando capacidad para generar soluciones viables, pertinentes y sostenibles.</t>
  </si>
  <si>
    <t>NEGOCIOS INTERNACIONALES PROFESIONAL</t>
  </si>
  <si>
    <t xml:space="preserve">VALERYA SOFIA HURTADO OLMOS </t>
  </si>
  <si>
    <t>BILIOGRAFIA: Las referencias bibliograficas: adoptan las normas APA. El documento es producto de un rastreo bibliografico que muestra analisis y sistensis.</t>
  </si>
  <si>
    <t xml:space="preserve">MICHEL PAOLA SALAZAR MARRUGO </t>
  </si>
  <si>
    <t>ASESORIAS: Anexó la hoja de tutoria firmada ( 3 fimas minmimo).</t>
  </si>
  <si>
    <t>TECNOLOGíA EN GESTION CONTABLE</t>
  </si>
  <si>
    <t xml:space="preserve">ANDRES DAVID ANAYA GOMEZ </t>
  </si>
  <si>
    <t>TECNOLOGÍA EN GESTIÓN DE MARKETING</t>
  </si>
  <si>
    <t>FRANYELIS  LOPEZ GONZALEZ</t>
  </si>
  <si>
    <t>TECNOLOGÍA EN GESTIÓN DEL TALENTO HUMANO</t>
  </si>
  <si>
    <t xml:space="preserve">DENNIS PATRICIA GARAY PEDROZA </t>
  </si>
  <si>
    <t>TECNOLOGÍA EN GESTIÓN FINANCIERA</t>
  </si>
  <si>
    <t xml:space="preserve">MARIA JOSE HERRERA GOMEZ </t>
  </si>
  <si>
    <t>TECNOLOGÍA EN GESTIÓN LOGISTICA Y PORTUARIA</t>
  </si>
  <si>
    <t xml:space="preserve">DELIA ROSA GARCIA  DIAZ </t>
  </si>
  <si>
    <t>ENTREGA FINAL - CRITERIO DE EVALUACIÓN SUSTENTACIÓN - TERCER CORTE</t>
  </si>
  <si>
    <t>TECNOLOGÍA EN GESTIÓN TURISTICA Y HOTELERA</t>
  </si>
  <si>
    <t xml:space="preserve">EMILY VIANEY GARCIA RUBIO </t>
  </si>
  <si>
    <t>Evaluación del Documento Final</t>
  </si>
  <si>
    <t xml:space="preserve">BEYDIS LIZETH RAMIREZ RAMOS </t>
  </si>
  <si>
    <t>Sustentación de los Resultados: Se refleja un dominio del tema, la  información está delimitada y es clara. Hay una jerarquía y fluidez en las ideas que presenta.</t>
  </si>
  <si>
    <t xml:space="preserve">AURY ESTELA PEREZ JIENEZ 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</si>
  <si>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</si>
  <si>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 xml:space="preserve">MAYRA ALEJANDRA GONZALEZ RUIZ 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</si>
  <si>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</si>
  <si>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 xml:space="preserve">PAOLA CRISTINA JUNCO GONZALEZ </t>
  </si>
  <si>
    <t>Tiempo: El uso del tiempo fue apropiado, se ajusta al previsto.
Ofrece una conclusión donde condensa las ideas principales del objetivo general y los específicos.</t>
  </si>
  <si>
    <t xml:space="preserve">ERIKA PATRICIA MARTINEZ SIERRA </t>
  </si>
  <si>
    <t>Uso de Recursos Audiovisuales Tecnológicos: La sustentación se acompaña de recursos visuales pertinentes, atractivos y de gran calidad</t>
  </si>
  <si>
    <t xml:space="preserve">VALENTINA LUZ AVILEZ BERMUDEZ </t>
  </si>
  <si>
    <t xml:space="preserve">WIRDER ANDRES RUIZ ROMERO </t>
  </si>
  <si>
    <t xml:space="preserve">MELANY RAMIREZ CUADRO </t>
  </si>
  <si>
    <t xml:space="preserve">VALENTINA DEL CARMEN JULIO ACOSTA </t>
  </si>
  <si>
    <t>TITULOS DE LOS PROYECTOS DE AULA</t>
  </si>
  <si>
    <t xml:space="preserve">JUAN SEBASTIAN VILLA FONTALVO </t>
  </si>
  <si>
    <t xml:space="preserve">GRUPO#1 ARTURO CALLE </t>
  </si>
  <si>
    <t xml:space="preserve">JEAN PIERRE MUÑOZ PUELLO </t>
  </si>
  <si>
    <t xml:space="preserve">GRUPO#2 TERPEL S.A </t>
  </si>
  <si>
    <t xml:space="preserve">NATALIA SOFIA LASTRA  TORRES </t>
  </si>
  <si>
    <t xml:space="preserve">GRUPO#3 STUDIO F </t>
  </si>
  <si>
    <t xml:space="preserve">PAULA LEON </t>
  </si>
  <si>
    <t xml:space="preserve">GRUPO#4 DHL </t>
  </si>
  <si>
    <t xml:space="preserve">GRUPO#5 COCA COLA FEMSA </t>
  </si>
  <si>
    <t xml:space="preserve">ANDRES HIDALGO </t>
  </si>
  <si>
    <t xml:space="preserve">GRUPO#6 CUSTOM INTERNATIONAL 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</si>
  <si>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</si>
  <si>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</si>
  <si>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</si>
  <si>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</si>
  <si>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</si>
  <si>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</si>
  <si>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</si>
  <si>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</si>
  <si>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</si>
  <si>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</si>
  <si>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</si>
  <si>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</si>
  <si>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</si>
  <si>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</si>
  <si>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</si>
  <si>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</si>
  <si>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</si>
  <si>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</si>
  <si>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</si>
  <si>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</si>
  <si>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</si>
  <si>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</si>
  <si>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</si>
  <si>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</si>
  <si>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</si>
  <si>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</si>
  <si>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</si>
  <si>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</si>
  <si>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</si>
  <si>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 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</si>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</sst>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20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DEF7FF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2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164" fontId="30" fillId="0" borderId="31" xfId="0" applyNumberFormat="1" applyFont="1" applyBorder="1" applyAlignment="1" applyProtection="1">
      <alignment horizontal="center" vertical="center"/>
      <protection locked="0"/>
    </xf>
    <xf numFmtId="164" fontId="30" fillId="12" borderId="31" xfId="0" applyNumberFormat="1" applyFont="1" applyFill="1" applyBorder="1" applyAlignment="1" applyProtection="1">
      <alignment horizontal="center" vertical="center"/>
      <protection locked="0"/>
    </xf>
    <xf numFmtId="164" fontId="30" fillId="12" borderId="49" xfId="0" applyNumberFormat="1" applyFont="1" applyFill="1" applyBorder="1" applyAlignment="1" applyProtection="1">
      <alignment horizontal="center"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164" fontId="29" fillId="0" borderId="46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E1" zoomScale="91" zoomScaleNormal="91" workbookViewId="0">
      <selection activeCell="G6" sqref="G6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3" t="s">
        <v>0</v>
      </c>
      <c r="C2" s="154"/>
      <c r="D2" s="155"/>
      <c r="E2" s="101" t="s">
        <v>1</v>
      </c>
      <c r="F2" s="102" t="s">
        <v>2</v>
      </c>
      <c r="G2" s="101" t="s">
        <v>3</v>
      </c>
      <c r="H2" s="41">
        <v>6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0" t="s">
        <v>11</v>
      </c>
      <c r="D4" s="130" t="s">
        <v>12</v>
      </c>
      <c r="E4" s="130" t="s">
        <v>13</v>
      </c>
      <c r="F4" s="130" t="s">
        <v>14</v>
      </c>
      <c r="G4" s="130" t="s">
        <v>15</v>
      </c>
      <c r="H4" s="131"/>
      <c r="I4" s="131"/>
    </row>
    <row r="5" spans="2:9" ht="24.95" customHeight="1" thickBot="1">
      <c r="C5" s="132" t="s">
        <v>16</v>
      </c>
      <c r="D5" s="132" t="s">
        <v>17</v>
      </c>
      <c r="E5" s="132" t="s">
        <v>18</v>
      </c>
      <c r="F5" s="132" t="s">
        <v>19</v>
      </c>
      <c r="G5" s="132" t="s">
        <v>20</v>
      </c>
      <c r="H5" s="133"/>
      <c r="I5" s="133"/>
    </row>
    <row r="6" spans="2:9" ht="24.95" customHeight="1" thickBot="1">
      <c r="C6" s="134">
        <v>2478</v>
      </c>
      <c r="D6" s="134">
        <v>2384</v>
      </c>
      <c r="E6" s="134">
        <v>2486</v>
      </c>
      <c r="F6" s="134">
        <v>1528</v>
      </c>
      <c r="G6" s="134">
        <v>1408</v>
      </c>
      <c r="H6" s="134"/>
      <c r="I6" s="134"/>
    </row>
    <row r="7" spans="2:9" ht="13.5" thickBot="1"/>
    <row r="8" spans="2:9" ht="20.100000000000001" customHeight="1">
      <c r="B8" s="108"/>
      <c r="C8" s="109" t="s">
        <v>21</v>
      </c>
      <c r="E8" s="156" t="s">
        <v>22</v>
      </c>
      <c r="F8" s="157"/>
      <c r="G8" s="158"/>
      <c r="H8" s="110" t="s">
        <v>23</v>
      </c>
      <c r="I8" s="69" t="s">
        <v>24</v>
      </c>
    </row>
    <row r="9" spans="2:9" ht="15" customHeight="1">
      <c r="B9" s="108">
        <v>1</v>
      </c>
      <c r="C9" s="111" t="s">
        <v>25</v>
      </c>
      <c r="E9" s="159" t="s">
        <v>26</v>
      </c>
      <c r="F9" s="160"/>
      <c r="G9" s="161"/>
      <c r="H9" s="135">
        <v>0.2</v>
      </c>
      <c r="I9" s="69" t="s">
        <v>27</v>
      </c>
    </row>
    <row r="10" spans="2:9" ht="15" customHeight="1">
      <c r="B10" s="108">
        <v>2</v>
      </c>
      <c r="C10" s="111" t="s">
        <v>28</v>
      </c>
      <c r="E10" s="162" t="s">
        <v>29</v>
      </c>
      <c r="F10" s="163"/>
      <c r="G10" s="164"/>
      <c r="H10" s="136">
        <v>0.2</v>
      </c>
      <c r="I10" s="69" t="s">
        <v>30</v>
      </c>
    </row>
    <row r="11" spans="2:9" ht="15" customHeight="1">
      <c r="B11" s="108">
        <v>3</v>
      </c>
      <c r="C11" s="111" t="s">
        <v>31</v>
      </c>
      <c r="E11" s="159" t="s">
        <v>32</v>
      </c>
      <c r="F11" s="160"/>
      <c r="G11" s="161"/>
      <c r="H11" s="135">
        <v>0.3</v>
      </c>
      <c r="I11" s="69" t="s">
        <v>33</v>
      </c>
    </row>
    <row r="12" spans="2:9" ht="15" customHeight="1">
      <c r="B12" s="108">
        <v>4</v>
      </c>
      <c r="C12" s="111" t="s">
        <v>34</v>
      </c>
      <c r="E12" s="162" t="s">
        <v>35</v>
      </c>
      <c r="F12" s="163"/>
      <c r="G12" s="164"/>
      <c r="H12" s="136">
        <v>0.2</v>
      </c>
      <c r="I12" s="69" t="s">
        <v>0</v>
      </c>
    </row>
    <row r="13" spans="2:9" ht="15" customHeight="1">
      <c r="B13" s="108">
        <v>5</v>
      </c>
      <c r="C13" s="111" t="s">
        <v>36</v>
      </c>
      <c r="E13" s="165" t="s">
        <v>37</v>
      </c>
      <c r="F13" s="166"/>
      <c r="G13" s="167"/>
      <c r="H13" s="135">
        <v>0.1</v>
      </c>
      <c r="I13" s="69" t="s">
        <v>38</v>
      </c>
    </row>
    <row r="14" spans="2:9" ht="15" customHeight="1">
      <c r="B14" s="108">
        <v>6</v>
      </c>
      <c r="C14" s="111" t="s">
        <v>39</v>
      </c>
      <c r="E14" s="168"/>
      <c r="F14" s="169"/>
      <c r="G14" s="170"/>
      <c r="H14" s="136">
        <v>0</v>
      </c>
      <c r="I14" s="69" t="s">
        <v>40</v>
      </c>
    </row>
    <row r="15" spans="2:9" ht="15" customHeight="1" thickBot="1">
      <c r="B15" s="108">
        <v>7</v>
      </c>
      <c r="C15" s="111" t="s">
        <v>41</v>
      </c>
      <c r="E15" s="177"/>
      <c r="F15" s="178"/>
      <c r="G15" s="179"/>
      <c r="H15" s="135">
        <v>0</v>
      </c>
      <c r="I15" s="69" t="s">
        <v>42</v>
      </c>
    </row>
    <row r="16" spans="2:9" ht="15" customHeight="1" thickBot="1">
      <c r="B16" s="108">
        <v>8</v>
      </c>
      <c r="C16" s="111" t="s">
        <v>43</v>
      </c>
      <c r="E16" s="112"/>
      <c r="F16" s="112"/>
      <c r="G16" s="112"/>
      <c r="H16" s="137">
        <f>IF(SUM(H9:H15)&gt;1,"Más del 100%",SUM(H9:H15))</f>
        <v>0.99999999999999989</v>
      </c>
      <c r="I16" s="69" t="s">
        <v>44</v>
      </c>
    </row>
    <row r="17" spans="2:9" ht="15" customHeight="1" thickBot="1">
      <c r="B17" s="108">
        <v>9</v>
      </c>
      <c r="C17" s="111" t="s">
        <v>45</v>
      </c>
      <c r="E17" s="186"/>
      <c r="F17" s="186"/>
      <c r="G17" s="186"/>
      <c r="H17" s="186"/>
      <c r="I17" s="69" t="s">
        <v>46</v>
      </c>
    </row>
    <row r="18" spans="2:9" ht="15" customHeight="1" thickBot="1">
      <c r="B18" s="108">
        <v>10</v>
      </c>
      <c r="C18" s="111" t="s">
        <v>47</v>
      </c>
      <c r="E18" s="193" t="s">
        <v>48</v>
      </c>
      <c r="F18" s="194"/>
      <c r="G18" s="194"/>
      <c r="H18" s="113" t="s">
        <v>23</v>
      </c>
      <c r="I18" s="69" t="s">
        <v>49</v>
      </c>
    </row>
    <row r="19" spans="2:9" ht="15" customHeight="1">
      <c r="B19" s="108">
        <v>11</v>
      </c>
      <c r="C19" s="111" t="s">
        <v>50</v>
      </c>
      <c r="E19" s="183" t="s">
        <v>51</v>
      </c>
      <c r="F19" s="184"/>
      <c r="G19" s="185"/>
      <c r="H19" s="138">
        <v>0.5</v>
      </c>
    </row>
    <row r="20" spans="2:9" ht="15" customHeight="1">
      <c r="B20" s="108">
        <v>12</v>
      </c>
      <c r="C20" s="111" t="s">
        <v>52</v>
      </c>
      <c r="E20" s="187" t="s">
        <v>53</v>
      </c>
      <c r="F20" s="188"/>
      <c r="G20" s="189"/>
      <c r="H20" s="139">
        <v>0.2</v>
      </c>
    </row>
    <row r="21" spans="2:9" ht="15" customHeight="1">
      <c r="B21" s="108">
        <v>13</v>
      </c>
      <c r="C21" s="111" t="s">
        <v>54</v>
      </c>
      <c r="E21" s="195" t="s">
        <v>55</v>
      </c>
      <c r="F21" s="196"/>
      <c r="G21" s="197"/>
      <c r="H21" s="140">
        <v>0.1</v>
      </c>
    </row>
    <row r="22" spans="2:9" ht="15" customHeight="1">
      <c r="B22" s="108">
        <v>14</v>
      </c>
      <c r="C22" s="111" t="s">
        <v>56</v>
      </c>
      <c r="E22" s="187" t="s">
        <v>57</v>
      </c>
      <c r="F22" s="169"/>
      <c r="G22" s="170"/>
      <c r="H22" s="139">
        <v>0.05</v>
      </c>
    </row>
    <row r="23" spans="2:9" ht="15" customHeight="1">
      <c r="B23" s="108">
        <v>15</v>
      </c>
      <c r="C23" s="111" t="s">
        <v>58</v>
      </c>
      <c r="E23" s="195" t="s">
        <v>59</v>
      </c>
      <c r="F23" s="196"/>
      <c r="G23" s="197"/>
      <c r="H23" s="141">
        <v>0.05</v>
      </c>
    </row>
    <row r="24" spans="2:9" ht="15" customHeight="1">
      <c r="B24" s="108">
        <v>16</v>
      </c>
      <c r="C24" s="111" t="s">
        <v>60</v>
      </c>
      <c r="E24" s="187" t="s">
        <v>61</v>
      </c>
      <c r="F24" s="188"/>
      <c r="G24" s="189"/>
      <c r="H24" s="139">
        <v>0.1</v>
      </c>
    </row>
    <row r="25" spans="2:9" ht="15" customHeight="1" thickBot="1">
      <c r="B25" s="108">
        <v>17</v>
      </c>
      <c r="C25" s="111" t="s">
        <v>62</v>
      </c>
      <c r="E25" s="180"/>
      <c r="F25" s="181"/>
      <c r="G25" s="182"/>
      <c r="H25" s="140"/>
    </row>
    <row r="26" spans="2:9" ht="15" customHeight="1" thickBot="1">
      <c r="B26" s="108">
        <v>18</v>
      </c>
      <c r="C26" s="111" t="s">
        <v>63</v>
      </c>
      <c r="E26" s="114"/>
      <c r="F26" s="114"/>
      <c r="G26" s="114"/>
      <c r="H26" s="137">
        <f>IF(SUM(H19:H25)&gt;1,"Más del 100%",SUM(H19:H25))</f>
        <v>1</v>
      </c>
    </row>
    <row r="27" spans="2:9" ht="15" customHeight="1" thickBot="1">
      <c r="B27" s="108">
        <v>19</v>
      </c>
      <c r="C27" s="111" t="s">
        <v>64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65</v>
      </c>
      <c r="E28" s="190" t="s">
        <v>66</v>
      </c>
      <c r="F28" s="191"/>
      <c r="G28" s="191"/>
      <c r="H28" s="192"/>
    </row>
    <row r="29" spans="2:9" ht="15" customHeight="1" thickBot="1">
      <c r="B29" s="108">
        <v>21</v>
      </c>
      <c r="C29" s="111" t="s">
        <v>67</v>
      </c>
      <c r="E29" s="174" t="s">
        <v>68</v>
      </c>
      <c r="F29" s="175"/>
      <c r="G29" s="175"/>
      <c r="H29" s="176"/>
    </row>
    <row r="30" spans="2:9" ht="15" customHeight="1" thickBot="1">
      <c r="B30" s="108">
        <v>22</v>
      </c>
      <c r="C30" s="111" t="s">
        <v>69</v>
      </c>
      <c r="E30" s="171" t="s">
        <v>70</v>
      </c>
      <c r="F30" s="172"/>
      <c r="G30" s="172"/>
      <c r="H30" s="173"/>
    </row>
    <row r="31" spans="2:9" ht="15" customHeight="1" thickBot="1">
      <c r="B31" s="108">
        <v>23</v>
      </c>
      <c r="C31" s="111" t="s">
        <v>71</v>
      </c>
      <c r="E31" s="174" t="s">
        <v>72</v>
      </c>
      <c r="F31" s="175"/>
      <c r="G31" s="175"/>
      <c r="H31" s="176"/>
    </row>
    <row r="32" spans="2:9" ht="15" customHeight="1" thickBot="1">
      <c r="B32" s="108">
        <v>24</v>
      </c>
      <c r="C32" s="111" t="s">
        <v>73</v>
      </c>
      <c r="E32" s="171" t="s">
        <v>74</v>
      </c>
      <c r="F32" s="172"/>
      <c r="G32" s="172"/>
      <c r="H32" s="173"/>
    </row>
    <row r="33" spans="2:8" ht="15" customHeight="1" thickBot="1">
      <c r="B33" s="108">
        <v>25</v>
      </c>
      <c r="C33" s="111" t="s">
        <v>71</v>
      </c>
      <c r="E33" s="174" t="s">
        <v>75</v>
      </c>
      <c r="F33" s="175"/>
      <c r="G33" s="175"/>
      <c r="H33" s="176"/>
    </row>
    <row r="34" spans="2:8" ht="15" customHeight="1" thickBot="1">
      <c r="B34" s="108">
        <v>26</v>
      </c>
      <c r="C34" s="111" t="s">
        <v>76</v>
      </c>
      <c r="E34" s="171" t="s">
        <v>77</v>
      </c>
      <c r="F34" s="172"/>
      <c r="G34" s="172"/>
      <c r="H34" s="173"/>
    </row>
    <row r="35" spans="2:8" ht="15" customHeight="1" thickBot="1">
      <c r="B35" s="108">
        <v>27</v>
      </c>
      <c r="C35" s="111"/>
      <c r="E35" s="174" t="s">
        <v>78</v>
      </c>
      <c r="F35" s="175"/>
      <c r="G35" s="175"/>
      <c r="H35" s="176"/>
    </row>
    <row r="36" spans="2:8" ht="15" customHeight="1" thickBot="1">
      <c r="B36" s="108">
        <v>28</v>
      </c>
      <c r="C36" s="111"/>
      <c r="E36" s="171" t="s">
        <v>79</v>
      </c>
      <c r="F36" s="172"/>
      <c r="G36" s="172"/>
      <c r="H36" s="173"/>
    </row>
    <row r="37" spans="2:8" ht="15" customHeight="1" thickBot="1">
      <c r="B37" s="108">
        <v>29</v>
      </c>
      <c r="C37" s="111"/>
      <c r="E37" s="174" t="s">
        <v>80</v>
      </c>
      <c r="F37" s="175"/>
      <c r="G37" s="175"/>
      <c r="H37" s="176"/>
    </row>
    <row r="38" spans="2:8" ht="15" customHeight="1" thickBot="1">
      <c r="B38" s="108">
        <v>30</v>
      </c>
      <c r="C38" s="111"/>
      <c r="E38" s="171" t="s">
        <v>81</v>
      </c>
      <c r="F38" s="172"/>
      <c r="G38" s="172"/>
      <c r="H38" s="173"/>
    </row>
    <row r="39" spans="2:8" ht="15" customHeight="1" thickBot="1">
      <c r="B39" s="108">
        <v>31</v>
      </c>
      <c r="C39" s="111"/>
      <c r="E39" s="174" t="s">
        <v>82</v>
      </c>
      <c r="F39" s="175"/>
      <c r="G39" s="175"/>
      <c r="H39" s="176"/>
    </row>
    <row r="40" spans="2:8" ht="15" customHeight="1" thickBot="1">
      <c r="B40" s="108">
        <v>32</v>
      </c>
      <c r="C40" s="111"/>
      <c r="E40" s="171" t="s">
        <v>83</v>
      </c>
      <c r="F40" s="172"/>
      <c r="G40" s="172"/>
      <c r="H40" s="173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 ARTURO CALLE</v>
      </c>
      <c r="F42" s="116" t="str">
        <f>MID(E30,1,20)</f>
        <v xml:space="preserve">GRUPO#2 TERPEL S.A </v>
      </c>
      <c r="G42" s="116" t="str">
        <f>MID(E31,1,20)</f>
        <v xml:space="preserve">GRUPO#3 STUDIO F </v>
      </c>
      <c r="H42" s="117" t="str">
        <f>MID(E32,1,20)</f>
        <v xml:space="preserve">GRUPO#4 DHL </v>
      </c>
    </row>
    <row r="43" spans="2:8" ht="15" customHeight="1">
      <c r="B43" s="108">
        <v>35</v>
      </c>
      <c r="C43" s="111"/>
      <c r="E43" s="118" t="s">
        <v>25</v>
      </c>
      <c r="F43" s="119" t="s">
        <v>41</v>
      </c>
      <c r="G43" s="119" t="s">
        <v>56</v>
      </c>
      <c r="H43" s="120" t="s">
        <v>58</v>
      </c>
    </row>
    <row r="44" spans="2:8" ht="15" customHeight="1">
      <c r="B44" s="108">
        <v>36</v>
      </c>
      <c r="C44" s="111"/>
      <c r="E44" s="121" t="s">
        <v>28</v>
      </c>
      <c r="F44" s="122" t="s">
        <v>43</v>
      </c>
      <c r="G44" s="122" t="s">
        <v>54</v>
      </c>
      <c r="H44" s="123" t="s">
        <v>60</v>
      </c>
    </row>
    <row r="45" spans="2:8" ht="15" customHeight="1">
      <c r="B45" s="108">
        <v>37</v>
      </c>
      <c r="C45" s="111"/>
      <c r="E45" s="124" t="s">
        <v>34</v>
      </c>
      <c r="F45" s="125" t="s">
        <v>45</v>
      </c>
      <c r="G45" s="125"/>
      <c r="H45" s="126" t="s">
        <v>62</v>
      </c>
    </row>
    <row r="46" spans="2:8" ht="15" customHeight="1">
      <c r="B46" s="108">
        <v>38</v>
      </c>
      <c r="C46" s="111"/>
      <c r="E46" s="121" t="s">
        <v>31</v>
      </c>
      <c r="F46" s="122" t="s">
        <v>47</v>
      </c>
      <c r="G46" s="122"/>
      <c r="H46" s="123"/>
    </row>
    <row r="47" spans="2:8" ht="15" customHeight="1">
      <c r="B47" s="108">
        <v>39</v>
      </c>
      <c r="C47" s="111"/>
      <c r="E47" s="124" t="s">
        <v>36</v>
      </c>
      <c r="F47" s="125" t="s">
        <v>52</v>
      </c>
      <c r="G47" s="125"/>
      <c r="H47" s="126"/>
    </row>
    <row r="48" spans="2:8" ht="15" customHeight="1" thickBot="1">
      <c r="B48" s="108">
        <v>40</v>
      </c>
      <c r="C48" s="111"/>
      <c r="E48" s="127" t="s">
        <v>39</v>
      </c>
      <c r="F48" s="128" t="s">
        <v>50</v>
      </c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COCA COLA FE</v>
      </c>
      <c r="F50" s="116" t="str">
        <f>MID(E34,1,20)</f>
        <v>GRUPO#6 CUSTOM INTER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63</v>
      </c>
      <c r="F51" s="119" t="s">
        <v>73</v>
      </c>
      <c r="G51" s="119"/>
      <c r="H51" s="120"/>
    </row>
    <row r="52" spans="2:8" ht="15" customHeight="1">
      <c r="B52" s="108">
        <v>44</v>
      </c>
      <c r="C52" s="111"/>
      <c r="E52" s="121" t="s">
        <v>64</v>
      </c>
      <c r="F52" s="122" t="s">
        <v>71</v>
      </c>
      <c r="G52" s="122"/>
      <c r="H52" s="123"/>
    </row>
    <row r="53" spans="2:8" ht="15" customHeight="1">
      <c r="B53" s="108">
        <v>45</v>
      </c>
      <c r="C53" s="111"/>
      <c r="E53" s="124" t="s">
        <v>65</v>
      </c>
      <c r="F53" s="125"/>
      <c r="G53" s="125"/>
      <c r="H53" s="126"/>
    </row>
    <row r="54" spans="2:8" ht="15" customHeight="1">
      <c r="B54" s="108">
        <v>46</v>
      </c>
      <c r="C54" s="111"/>
      <c r="E54" s="121" t="s">
        <v>69</v>
      </c>
      <c r="F54" s="122"/>
      <c r="G54" s="122"/>
      <c r="H54" s="123"/>
    </row>
    <row r="55" spans="2:8" ht="15" customHeight="1">
      <c r="B55" s="108">
        <v>47</v>
      </c>
      <c r="C55" s="111"/>
      <c r="E55" s="124" t="s">
        <v>67</v>
      </c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3HLJrEpVzRXIhON+1k3zGnp4AHH8myBBgwd61swIU8xRlKM0MWsi61XgRlOTGOHPmutnptyH8QfR3TlH0A+NZg==" saltValue="lyOLwBkHu1sGotdg/q6UM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zoomScale="91" zoomScaleNormal="91" workbookViewId="0">
      <pane xSplit="5" ySplit="3" topLeftCell="F28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LIDER!C4</f>
        <v>INTERNACIONALIZACION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CONCATENATE(LIDER!C4," - ",LIDER!C6," - ",LIDER!C5)</f>
        <v>INTERNACIONALIZACION - 2478 - SANDRA MILENA CASTAÑO GIRALDO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4.2299999999999995</v>
      </c>
      <c r="F6" s="203">
        <v>4</v>
      </c>
      <c r="G6" s="200">
        <v>4.2</v>
      </c>
      <c r="H6" s="198">
        <v>4.3</v>
      </c>
      <c r="I6" s="200">
        <v>4</v>
      </c>
      <c r="J6" s="198">
        <v>5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4.2299999999999995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4.2299999999999995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4.2299999999999995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4.2299999999999995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4.2299999999999995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4.2699999999999996</v>
      </c>
      <c r="F13" s="203">
        <v>4</v>
      </c>
      <c r="G13" s="200">
        <v>4.0999999999999996</v>
      </c>
      <c r="H13" s="198">
        <v>4.5</v>
      </c>
      <c r="I13" s="200">
        <v>4</v>
      </c>
      <c r="J13" s="198">
        <v>5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4.2699999999999996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4.2699999999999996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4.2699999999999996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4.2699999999999996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4.2699999999999996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4.0599999999999996</v>
      </c>
      <c r="F20" s="203">
        <v>3.8</v>
      </c>
      <c r="G20" s="200">
        <v>3.8</v>
      </c>
      <c r="H20" s="198">
        <v>4</v>
      </c>
      <c r="I20" s="200">
        <v>4.2</v>
      </c>
      <c r="J20" s="198">
        <v>5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4.0599999999999996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2.8</v>
      </c>
      <c r="F27" s="203">
        <v>2</v>
      </c>
      <c r="G27" s="200">
        <v>3</v>
      </c>
      <c r="H27" s="198">
        <v>3</v>
      </c>
      <c r="I27" s="200">
        <v>3</v>
      </c>
      <c r="J27" s="198">
        <v>3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2.8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2.8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3.35</v>
      </c>
      <c r="F34" s="203">
        <v>3</v>
      </c>
      <c r="G34" s="200">
        <v>3</v>
      </c>
      <c r="H34" s="198">
        <v>3.5</v>
      </c>
      <c r="I34" s="200">
        <v>3</v>
      </c>
      <c r="J34" s="198">
        <v>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3.35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3.35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3.35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3.35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3.8000000000000003</v>
      </c>
      <c r="F41" s="203">
        <v>4</v>
      </c>
      <c r="G41" s="200">
        <v>3</v>
      </c>
      <c r="H41" s="198">
        <v>4</v>
      </c>
      <c r="I41" s="200">
        <v>4</v>
      </c>
      <c r="J41" s="198">
        <v>4</v>
      </c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3.8000000000000003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LIDER!D4</f>
        <v>TECNOLOGIA APLICADA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CONCATENATE(LIDER!D4," - ",LIDER!D6," - ",LIDER!D5)</f>
        <v>TECNOLOGIA APLICADA - 2384 - WILMER SIMARRA CAÑATE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3">
        <v>4.2</v>
      </c>
      <c r="G6" s="200">
        <v>4.3</v>
      </c>
      <c r="H6" s="198">
        <v>4</v>
      </c>
      <c r="I6" s="200">
        <v>4</v>
      </c>
      <c r="J6" s="198">
        <v>5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4.2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4.3600000000000003</v>
      </c>
      <c r="F13" s="203">
        <v>4.3</v>
      </c>
      <c r="G13" s="200">
        <v>3.9</v>
      </c>
      <c r="H13" s="198">
        <v>4.5999999999999996</v>
      </c>
      <c r="I13" s="200">
        <v>4.2</v>
      </c>
      <c r="J13" s="198">
        <v>5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4.3600000000000003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4.3600000000000003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4.3600000000000003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4.3600000000000003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4.3600000000000003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4.07</v>
      </c>
      <c r="F20" s="203">
        <v>3.9</v>
      </c>
      <c r="G20" s="200">
        <v>3.7</v>
      </c>
      <c r="H20" s="198">
        <v>4.0999999999999996</v>
      </c>
      <c r="I20" s="200">
        <v>4.0999999999999996</v>
      </c>
      <c r="J20" s="198">
        <v>5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4.07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2.8899999999999997</v>
      </c>
      <c r="F27" s="203">
        <v>2.2000000000000002</v>
      </c>
      <c r="G27" s="200">
        <v>3</v>
      </c>
      <c r="H27" s="198">
        <v>3.1</v>
      </c>
      <c r="I27" s="200">
        <v>3.1</v>
      </c>
      <c r="J27" s="198">
        <v>3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2.8899999999999997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2.8899999999999997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3.4200000000000004</v>
      </c>
      <c r="F34" s="203">
        <v>3</v>
      </c>
      <c r="G34" s="200">
        <v>3</v>
      </c>
      <c r="H34" s="198">
        <v>3.6</v>
      </c>
      <c r="I34" s="200">
        <v>3.2</v>
      </c>
      <c r="J34" s="198">
        <v>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3.4200000000000004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3.4200000000000004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3.4200000000000004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3.4200000000000004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LIDER!E4</f>
        <v>LEGISLACION PARA EL COMERCIO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CONCATENATE(LIDER!E4," - ",LIDER!E6," - ",LIDER!E5)</f>
        <v>LEGISLACION PARA EL COMERCIO - 2486 - MELISSA LOPEZ ROMERO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4.4000000000000004</v>
      </c>
      <c r="F6" s="203">
        <v>4</v>
      </c>
      <c r="G6" s="200">
        <v>4.5</v>
      </c>
      <c r="H6" s="198">
        <v>4</v>
      </c>
      <c r="I6" s="200">
        <v>5</v>
      </c>
      <c r="J6" s="198">
        <v>5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4.4000000000000004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4.4000000000000004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4.4000000000000004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4.4000000000000004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4.4000000000000004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</v>
      </c>
      <c r="F13" s="203">
        <v>4</v>
      </c>
      <c r="G13" s="200">
        <v>4</v>
      </c>
      <c r="H13" s="198">
        <v>4</v>
      </c>
      <c r="I13" s="200">
        <v>5</v>
      </c>
      <c r="J13" s="198"/>
      <c r="K13" s="200">
        <v>3</v>
      </c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3.8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3.8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</v>
      </c>
      <c r="F20" s="203">
        <v>4</v>
      </c>
      <c r="G20" s="200">
        <v>4</v>
      </c>
      <c r="H20" s="198">
        <v>4</v>
      </c>
      <c r="I20" s="200">
        <v>4</v>
      </c>
      <c r="J20" s="198">
        <v>4.5</v>
      </c>
      <c r="K20" s="200">
        <v>3</v>
      </c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3.8999999999999995</v>
      </c>
      <c r="F27" s="203">
        <v>4</v>
      </c>
      <c r="G27" s="200">
        <v>4</v>
      </c>
      <c r="H27" s="198">
        <v>4</v>
      </c>
      <c r="I27" s="200">
        <v>4</v>
      </c>
      <c r="J27" s="198">
        <v>3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3.8999999999999995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3.8999999999999995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3.8999999999999995</v>
      </c>
      <c r="F34" s="203">
        <v>4</v>
      </c>
      <c r="G34" s="200">
        <v>4</v>
      </c>
      <c r="H34" s="198">
        <v>4</v>
      </c>
      <c r="I34" s="200">
        <v>4</v>
      </c>
      <c r="J34" s="198">
        <v>3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3.8999999999999995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3.8999999999999995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3.8999999999999995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3.8999999999999995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LIDER!F4</f>
        <v>MACROECONOMÍA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CONCATENATE(LIDER!F4," - ",LIDER!F6," - ",LIDER!F5)</f>
        <v>MACROECONOMÍA - 1528 - JORGE ELIECER PAREJA SHAIKH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4.0000000000000009</v>
      </c>
      <c r="F6" s="203">
        <v>4.0999999999999996</v>
      </c>
      <c r="G6" s="200">
        <v>4</v>
      </c>
      <c r="H6" s="198">
        <v>4</v>
      </c>
      <c r="I6" s="200">
        <v>3.9</v>
      </c>
      <c r="J6" s="198">
        <v>4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4.0000000000000009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4.0000000000000009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4.0000000000000009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4.0000000000000009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4.0000000000000009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4.12</v>
      </c>
      <c r="F13" s="203">
        <v>4.2</v>
      </c>
      <c r="G13" s="200">
        <v>4.0999999999999996</v>
      </c>
      <c r="H13" s="198">
        <v>4.2</v>
      </c>
      <c r="I13" s="200">
        <v>4</v>
      </c>
      <c r="J13" s="198">
        <v>4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4.12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4.12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4.12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4.12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4.12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 t="s">
        <v>106</v>
      </c>
      <c r="E20" s="11" t="str">
        <f>IF(B20=0,0,IF(D20="",$F$20*LIDER!$H$9+$G$20*LIDER!$H$10+$H$20*LIDER!$H$11+$I$20*LIDER!$H$12+$J$20*LIDER!$H$13+$K$20*LIDER!$H$14+$L$20*LIDER!$H$15,"N"))</f>
        <v>N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 t="s">
        <v>106</v>
      </c>
      <c r="E21" s="11" t="str">
        <f>IF(B21=0,0,IF(D21="",$F$20*LIDER!$H$9+$G$20*LIDER!$H$10+$H$20*LIDER!$H$11+$I$20*LIDER!$H$12+$J$20*LIDER!$H$13+$K$20*LIDER!$H$14+$L$20*LIDER!$H$15,"N"))</f>
        <v>N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 t="s">
        <v>106</v>
      </c>
      <c r="E27" s="11" t="str">
        <f>IF(B27=0,0,IF(D27="",$F$27*LIDER!$H$9+$G$27*LIDER!$H$10+$H$27*LIDER!$H$11+$I$27*LIDER!$H$12+$J$27*LIDER!$H$13+$K$27*LIDER!$H$14+$L$27*LIDER!$H$15,"N"))</f>
        <v>N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 t="s">
        <v>106</v>
      </c>
      <c r="E28" s="11" t="str">
        <f>IF(B28=0,0,IF(D28="",$F$27*LIDER!$H$9+$G$27*LIDER!$H$10+$H$27*LIDER!$H$11+$I$27*LIDER!$H$12+$J$27*LIDER!$H$13+$K$27*LIDER!$H$14+$L$27*LIDER!$H$15,"N"))</f>
        <v>N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 t="s">
        <v>106</v>
      </c>
      <c r="E29" s="11" t="str">
        <f>IF(B29=0,0,IF(D29="",$F$27*LIDER!$H$9+$G$27*LIDER!$H$10+$H$27*LIDER!$H$11+$I$27*LIDER!$H$12+$J$27*LIDER!$H$13+$K$27*LIDER!$H$14+$L$27*LIDER!$H$15,"N"))</f>
        <v>N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3.9899999999999998</v>
      </c>
      <c r="F34" s="203">
        <v>4</v>
      </c>
      <c r="G34" s="200">
        <v>4.0999999999999996</v>
      </c>
      <c r="H34" s="198">
        <v>3.9</v>
      </c>
      <c r="I34" s="200">
        <v>4</v>
      </c>
      <c r="J34" s="198">
        <v>4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3.9899999999999998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3.9899999999999998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3.9899999999999998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3.9899999999999998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LIDER!G4</f>
        <v>MATEMÁTICAS FINANCIERAS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CONCATENATE(LIDER!G4," - ",LIDER!G6," - ",LIDER!G5)</f>
        <v>MATEMÁTICAS FINANCIERAS - 1408 - HECTOR DARIO BALSEIRO BARRIOS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</v>
      </c>
      <c r="F6" s="203">
        <v>3</v>
      </c>
      <c r="G6" s="200">
        <v>3.5</v>
      </c>
      <c r="H6" s="198">
        <v>3</v>
      </c>
      <c r="I6" s="200">
        <v>2</v>
      </c>
      <c r="J6" s="198">
        <v>5</v>
      </c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3.1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3.1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3.1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3.5399999999999996</v>
      </c>
      <c r="F13" s="203">
        <v>4</v>
      </c>
      <c r="G13" s="200">
        <v>3.5</v>
      </c>
      <c r="H13" s="198">
        <v>3.8</v>
      </c>
      <c r="I13" s="200">
        <v>2</v>
      </c>
      <c r="J13" s="198">
        <v>5</v>
      </c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3.5399999999999996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3.5399999999999996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3.5399999999999996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3.5399999999999996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3.5399999999999996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4.54</v>
      </c>
      <c r="F20" s="203">
        <v>4</v>
      </c>
      <c r="G20" s="200">
        <v>3.7</v>
      </c>
      <c r="H20" s="198">
        <v>5</v>
      </c>
      <c r="I20" s="200">
        <v>5</v>
      </c>
      <c r="J20" s="198">
        <v>5</v>
      </c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4.54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2.65</v>
      </c>
      <c r="F27" s="203">
        <v>2.5</v>
      </c>
      <c r="G27" s="200">
        <v>2.5</v>
      </c>
      <c r="H27" s="198">
        <v>2.5</v>
      </c>
      <c r="I27" s="200">
        <v>2</v>
      </c>
      <c r="J27" s="198">
        <v>5</v>
      </c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2.65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2.65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</v>
      </c>
      <c r="F34" s="203">
        <v>3.8</v>
      </c>
      <c r="G34" s="200">
        <v>3</v>
      </c>
      <c r="H34" s="198">
        <v>3.8</v>
      </c>
      <c r="I34" s="200">
        <v>3</v>
      </c>
      <c r="J34" s="198">
        <v>5</v>
      </c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3.6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3.44</v>
      </c>
      <c r="F41" s="203">
        <v>3.6</v>
      </c>
      <c r="G41" s="200">
        <v>3.6</v>
      </c>
      <c r="H41" s="198">
        <v>3</v>
      </c>
      <c r="I41" s="200">
        <v>3</v>
      </c>
      <c r="J41" s="198">
        <v>5</v>
      </c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3.44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>
        <f>LIDER!H4</f>
        <v>0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CONCATENATE(LIDER!H4," - ",LIDER!H6," - ",LIDER!H5)</f>
        <v xml:space="preserve"> -  - 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200"/>
      <c r="H6" s="198"/>
      <c r="I6" s="200"/>
      <c r="J6" s="198"/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200"/>
      <c r="H13" s="198"/>
      <c r="I13" s="200"/>
      <c r="J13" s="198"/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200"/>
      <c r="H34" s="198"/>
      <c r="I34" s="200"/>
      <c r="J34" s="198"/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10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6"/>
      <c r="H1" s="207"/>
      <c r="I1" s="21" t="str">
        <f>LIDER!E2</f>
        <v>SEMESTRE:</v>
      </c>
      <c r="J1" s="20" t="str">
        <f>LIDER!F2</f>
        <v>SEM-03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>
        <f>LIDER!I4</f>
        <v>0</v>
      </c>
      <c r="C2" s="82"/>
      <c r="D2" s="3"/>
      <c r="F2" s="208" t="s">
        <v>84</v>
      </c>
      <c r="G2" s="209"/>
      <c r="H2" s="209"/>
      <c r="I2" s="209"/>
      <c r="J2" s="209"/>
      <c r="K2" s="209"/>
      <c r="L2" s="210"/>
    </row>
    <row r="3" spans="1:12" s="2" customFormat="1" ht="145.5" customHeight="1">
      <c r="B3" s="83" t="s">
        <v>85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legales-tributarios, administrativos y tecnológicos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11" t="str">
        <f>CONCATENATE(LIDER!I4," - ",LIDER!I6," - ",LIDER!I5)</f>
        <v xml:space="preserve"> -  - </v>
      </c>
      <c r="G4" s="211"/>
      <c r="H4" s="211"/>
      <c r="I4" s="211"/>
      <c r="J4" s="211"/>
      <c r="K4" s="211"/>
      <c r="L4" s="211"/>
    </row>
    <row r="5" spans="1:12" s="2" customFormat="1" ht="15.75" customHeight="1" thickBot="1">
      <c r="A5" s="8"/>
      <c r="B5" s="25" t="s">
        <v>86</v>
      </c>
      <c r="C5" s="88" t="s">
        <v>87</v>
      </c>
      <c r="D5" s="32" t="s">
        <v>88</v>
      </c>
      <c r="E5" s="89" t="s">
        <v>89</v>
      </c>
      <c r="F5" s="202" t="str">
        <f>LIDER!$E$29</f>
        <v xml:space="preserve">GRUPO#1 ARTURO CALLE </v>
      </c>
      <c r="G5" s="202"/>
      <c r="H5" s="202"/>
      <c r="I5" s="202"/>
      <c r="J5" s="202"/>
      <c r="K5" s="202"/>
      <c r="L5" s="202"/>
    </row>
    <row r="6" spans="1:12" s="2" customFormat="1" ht="12.75">
      <c r="A6" s="9">
        <v>1</v>
      </c>
      <c r="B6" s="10" t="str">
        <f>LIDER!E43</f>
        <v xml:space="preserve">THEYLON BIVANCO BELLIDO 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3"/>
      <c r="G6" s="200"/>
      <c r="H6" s="198"/>
      <c r="I6" s="200"/>
      <c r="J6" s="198"/>
      <c r="K6" s="200"/>
      <c r="L6" s="198"/>
    </row>
    <row r="7" spans="1:12" s="2" customFormat="1" ht="15" customHeight="1">
      <c r="A7" s="12">
        <v>2</v>
      </c>
      <c r="B7" s="10" t="str">
        <f>LIDER!E44</f>
        <v xml:space="preserve">MARIA ALEXANDRA GARCIA MONTOYA 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3"/>
      <c r="G7" s="200"/>
      <c r="H7" s="198"/>
      <c r="I7" s="200"/>
      <c r="J7" s="198"/>
      <c r="K7" s="200"/>
      <c r="L7" s="198"/>
    </row>
    <row r="8" spans="1:12" s="2" customFormat="1" ht="15" customHeight="1">
      <c r="A8" s="12">
        <v>3</v>
      </c>
      <c r="B8" s="10" t="str">
        <f>LIDER!E45</f>
        <v xml:space="preserve">VALERYA SOFIA HURTADO OLMOS 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3"/>
      <c r="G8" s="200"/>
      <c r="H8" s="198"/>
      <c r="I8" s="200"/>
      <c r="J8" s="198"/>
      <c r="K8" s="200"/>
      <c r="L8" s="198"/>
    </row>
    <row r="9" spans="1:12" s="2" customFormat="1" ht="15" customHeight="1">
      <c r="A9" s="12">
        <v>4</v>
      </c>
      <c r="B9" s="10" t="str">
        <f>LIDER!E46</f>
        <v xml:space="preserve">CANDYS DANIELYS GONZALEZ 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3"/>
      <c r="G9" s="200"/>
      <c r="H9" s="198"/>
      <c r="I9" s="200"/>
      <c r="J9" s="198"/>
      <c r="K9" s="200"/>
      <c r="L9" s="198"/>
    </row>
    <row r="10" spans="1:12" s="2" customFormat="1" ht="15" customHeight="1">
      <c r="A10" s="12">
        <v>5</v>
      </c>
      <c r="B10" s="10" t="str">
        <f>LIDER!E47</f>
        <v xml:space="preserve">MICHEL PAOLA SALAZAR MARRUGO 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3"/>
      <c r="G10" s="200"/>
      <c r="H10" s="198"/>
      <c r="I10" s="200"/>
      <c r="J10" s="198"/>
      <c r="K10" s="200"/>
      <c r="L10" s="198"/>
    </row>
    <row r="11" spans="1:12" s="2" customFormat="1" ht="15.75" customHeight="1" thickBot="1">
      <c r="A11" s="13">
        <v>6</v>
      </c>
      <c r="B11" s="91" t="str">
        <f>LIDER!E48</f>
        <v xml:space="preserve">ANDRES DAVID ANAYA GOMEZ 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3"/>
      <c r="G11" s="200"/>
      <c r="H11" s="198"/>
      <c r="I11" s="200"/>
      <c r="J11" s="198"/>
      <c r="K11" s="200"/>
      <c r="L11" s="198"/>
    </row>
    <row r="12" spans="1:12" s="2" customFormat="1" ht="15.75" customHeight="1" thickBot="1">
      <c r="A12" s="8"/>
      <c r="B12" s="25" t="s">
        <v>90</v>
      </c>
      <c r="C12" s="88" t="s">
        <v>91</v>
      </c>
      <c r="D12" s="32" t="str">
        <f>D5</f>
        <v>LIST</v>
      </c>
      <c r="E12" s="89" t="s">
        <v>89</v>
      </c>
      <c r="F12" s="202" t="str">
        <f>LIDER!$E$30</f>
        <v xml:space="preserve">GRUPO#2 TERPEL S.A </v>
      </c>
      <c r="G12" s="202"/>
      <c r="H12" s="202"/>
      <c r="I12" s="202"/>
      <c r="J12" s="202"/>
      <c r="K12" s="202"/>
      <c r="L12" s="202"/>
    </row>
    <row r="13" spans="1:12" s="2" customFormat="1" ht="12.75">
      <c r="A13" s="9">
        <v>1</v>
      </c>
      <c r="B13" s="10" t="str">
        <f>LIDER!F43</f>
        <v>FRANYELIS  LOPEZ GONZALEZ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3"/>
      <c r="G13" s="200"/>
      <c r="H13" s="198"/>
      <c r="I13" s="200"/>
      <c r="J13" s="198"/>
      <c r="K13" s="200"/>
      <c r="L13" s="198"/>
    </row>
    <row r="14" spans="1:12" s="2" customFormat="1" ht="15" customHeight="1">
      <c r="A14" s="12">
        <v>2</v>
      </c>
      <c r="B14" s="10" t="str">
        <f>LIDER!F44</f>
        <v xml:space="preserve">DENNIS PATRICIA GARAY PEDROZA 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3"/>
      <c r="G14" s="200"/>
      <c r="H14" s="198"/>
      <c r="I14" s="200"/>
      <c r="J14" s="198"/>
      <c r="K14" s="200"/>
      <c r="L14" s="198"/>
    </row>
    <row r="15" spans="1:12" s="2" customFormat="1" ht="15" customHeight="1">
      <c r="A15" s="12">
        <v>3</v>
      </c>
      <c r="B15" s="10" t="str">
        <f>LIDER!F45</f>
        <v xml:space="preserve">MARIA JOSE HERRERA GOMEZ 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3"/>
      <c r="G15" s="200"/>
      <c r="H15" s="198"/>
      <c r="I15" s="200"/>
      <c r="J15" s="198"/>
      <c r="K15" s="200"/>
      <c r="L15" s="198"/>
    </row>
    <row r="16" spans="1:12" s="2" customFormat="1" ht="15" customHeight="1">
      <c r="A16" s="12">
        <v>4</v>
      </c>
      <c r="B16" s="10" t="str">
        <f>LIDER!F46</f>
        <v xml:space="preserve">DELIA ROSA GARCIA  DIAZ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3"/>
      <c r="G16" s="200"/>
      <c r="H16" s="198"/>
      <c r="I16" s="200"/>
      <c r="J16" s="198"/>
      <c r="K16" s="200"/>
      <c r="L16" s="198"/>
    </row>
    <row r="17" spans="1:12" s="2" customFormat="1" ht="15" customHeight="1">
      <c r="A17" s="12">
        <v>5</v>
      </c>
      <c r="B17" s="10" t="str">
        <f>LIDER!F47</f>
        <v xml:space="preserve">BEYDIS LIZETH RAMIREZ RAMOS 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3"/>
      <c r="G17" s="200"/>
      <c r="H17" s="198"/>
      <c r="I17" s="200"/>
      <c r="J17" s="198"/>
      <c r="K17" s="200"/>
      <c r="L17" s="198"/>
    </row>
    <row r="18" spans="1:12" s="2" customFormat="1" ht="15.75" customHeight="1">
      <c r="A18" s="13">
        <v>6</v>
      </c>
      <c r="B18" s="91" t="str">
        <f>LIDER!F48</f>
        <v xml:space="preserve">EMILY VIANEY GARCIA RUBIO 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3"/>
      <c r="G18" s="200"/>
      <c r="H18" s="198"/>
      <c r="I18" s="200"/>
      <c r="J18" s="198"/>
      <c r="K18" s="200"/>
      <c r="L18" s="198"/>
    </row>
    <row r="19" spans="1:12" s="2" customFormat="1" ht="15.75" customHeight="1">
      <c r="A19" s="14"/>
      <c r="B19" s="25" t="s">
        <v>92</v>
      </c>
      <c r="C19" s="88" t="s">
        <v>93</v>
      </c>
      <c r="D19" s="32" t="str">
        <f>D12</f>
        <v>LIST</v>
      </c>
      <c r="E19" s="89" t="s">
        <v>89</v>
      </c>
      <c r="F19" s="202" t="str">
        <f>LIDER!$E$31</f>
        <v xml:space="preserve">GRUPO#3 STUDIO F </v>
      </c>
      <c r="G19" s="202"/>
      <c r="H19" s="202"/>
      <c r="I19" s="202"/>
      <c r="J19" s="202"/>
      <c r="K19" s="202"/>
      <c r="L19" s="202"/>
    </row>
    <row r="20" spans="1:12" s="2" customFormat="1" ht="12.75">
      <c r="A20" s="9">
        <v>1</v>
      </c>
      <c r="B20" s="10" t="str">
        <f>LIDER!G43</f>
        <v xml:space="preserve">MAYRA ALEJANDRA GONZALEZ RUIZ 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3"/>
      <c r="G20" s="200"/>
      <c r="H20" s="198"/>
      <c r="I20" s="200"/>
      <c r="J20" s="198"/>
      <c r="K20" s="200"/>
      <c r="L20" s="198"/>
    </row>
    <row r="21" spans="1:12" s="2" customFormat="1" ht="15" customHeight="1">
      <c r="A21" s="12">
        <v>2</v>
      </c>
      <c r="B21" s="10" t="str">
        <f>LIDER!G44</f>
        <v xml:space="preserve">AURY ESTELA PEREZ JIENEZ 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3"/>
      <c r="G21" s="200"/>
      <c r="H21" s="198"/>
      <c r="I21" s="200"/>
      <c r="J21" s="198"/>
      <c r="K21" s="200"/>
      <c r="L21" s="198"/>
    </row>
    <row r="22" spans="1:12" s="2" customFormat="1" ht="15" customHeight="1">
      <c r="A22" s="12">
        <v>3</v>
      </c>
      <c r="B22" s="10">
        <f>LIDER!G45</f>
        <v>0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3"/>
      <c r="G22" s="200"/>
      <c r="H22" s="198"/>
      <c r="I22" s="200"/>
      <c r="J22" s="198"/>
      <c r="K22" s="200"/>
      <c r="L22" s="198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3"/>
      <c r="G23" s="200"/>
      <c r="H23" s="198"/>
      <c r="I23" s="200"/>
      <c r="J23" s="198"/>
      <c r="K23" s="200"/>
      <c r="L23" s="198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3"/>
      <c r="G24" s="200"/>
      <c r="H24" s="198"/>
      <c r="I24" s="200"/>
      <c r="J24" s="198"/>
      <c r="K24" s="200"/>
      <c r="L24" s="198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3"/>
      <c r="G25" s="200"/>
      <c r="H25" s="198"/>
      <c r="I25" s="200"/>
      <c r="J25" s="198"/>
      <c r="K25" s="200"/>
      <c r="L25" s="198"/>
    </row>
    <row r="26" spans="1:12" s="2" customFormat="1" ht="15.75" customHeight="1">
      <c r="A26" s="14"/>
      <c r="B26" s="25" t="s">
        <v>94</v>
      </c>
      <c r="C26" s="88" t="s">
        <v>95</v>
      </c>
      <c r="D26" s="32" t="str">
        <f>D19</f>
        <v>LIST</v>
      </c>
      <c r="E26" s="89" t="s">
        <v>89</v>
      </c>
      <c r="F26" s="202" t="str">
        <f>LIDER!$E$32</f>
        <v xml:space="preserve">GRUPO#4 DHL </v>
      </c>
      <c r="G26" s="202"/>
      <c r="H26" s="202"/>
      <c r="I26" s="202"/>
      <c r="J26" s="202"/>
      <c r="K26" s="202"/>
      <c r="L26" s="202"/>
    </row>
    <row r="27" spans="1:12" s="2" customFormat="1" ht="12.75">
      <c r="A27" s="9">
        <v>1</v>
      </c>
      <c r="B27" s="10" t="str">
        <f>LIDER!H43</f>
        <v xml:space="preserve">PAOLA CRISTINA JUNCO GONZALEZ 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3"/>
      <c r="G27" s="200"/>
      <c r="H27" s="198"/>
      <c r="I27" s="200"/>
      <c r="J27" s="198"/>
      <c r="K27" s="200"/>
      <c r="L27" s="198"/>
    </row>
    <row r="28" spans="1:12" s="2" customFormat="1" ht="15" customHeight="1">
      <c r="A28" s="12">
        <v>2</v>
      </c>
      <c r="B28" s="10" t="str">
        <f>LIDER!H44</f>
        <v xml:space="preserve">ERIKA PATRICIA MARTINEZ SIERRA 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3"/>
      <c r="G28" s="200"/>
      <c r="H28" s="198"/>
      <c r="I28" s="200"/>
      <c r="J28" s="198"/>
      <c r="K28" s="200"/>
      <c r="L28" s="198"/>
    </row>
    <row r="29" spans="1:12" s="2" customFormat="1" ht="15" customHeight="1">
      <c r="A29" s="12">
        <v>3</v>
      </c>
      <c r="B29" s="10" t="str">
        <f>LIDER!H45</f>
        <v xml:space="preserve">VALENTINA LUZ AVILEZ BERMUDEZ 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3"/>
      <c r="G29" s="200"/>
      <c r="H29" s="198"/>
      <c r="I29" s="200"/>
      <c r="J29" s="198"/>
      <c r="K29" s="200"/>
      <c r="L29" s="198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3"/>
      <c r="G30" s="200"/>
      <c r="H30" s="198"/>
      <c r="I30" s="200"/>
      <c r="J30" s="198"/>
      <c r="K30" s="200"/>
      <c r="L30" s="198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3"/>
      <c r="G31" s="200"/>
      <c r="H31" s="198"/>
      <c r="I31" s="200"/>
      <c r="J31" s="198"/>
      <c r="K31" s="200"/>
      <c r="L31" s="198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3"/>
      <c r="G32" s="200"/>
      <c r="H32" s="198"/>
      <c r="I32" s="200"/>
      <c r="J32" s="198"/>
      <c r="K32" s="200"/>
      <c r="L32" s="198"/>
    </row>
    <row r="33" spans="1:12" s="2" customFormat="1" ht="15.75" customHeight="1">
      <c r="A33" s="14"/>
      <c r="B33" s="25" t="s">
        <v>96</v>
      </c>
      <c r="C33" s="88" t="s">
        <v>97</v>
      </c>
      <c r="D33" s="32" t="str">
        <f>D26</f>
        <v>LIST</v>
      </c>
      <c r="E33" s="89" t="s">
        <v>89</v>
      </c>
      <c r="F33" s="202" t="str">
        <f>LIDER!$E$33</f>
        <v xml:space="preserve">GRUPO#5 COCA COLA FEMSA </v>
      </c>
      <c r="G33" s="202"/>
      <c r="H33" s="202"/>
      <c r="I33" s="202"/>
      <c r="J33" s="202"/>
      <c r="K33" s="202"/>
      <c r="L33" s="202"/>
    </row>
    <row r="34" spans="1:12" s="2" customFormat="1" ht="12.75">
      <c r="A34" s="9">
        <v>1</v>
      </c>
      <c r="B34" s="10" t="str">
        <f>LIDER!E51</f>
        <v xml:space="preserve">WIRDER ANDRES RUIZ ROMERO 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3"/>
      <c r="G34" s="200"/>
      <c r="H34" s="198"/>
      <c r="I34" s="200"/>
      <c r="J34" s="198"/>
      <c r="K34" s="200"/>
      <c r="L34" s="198"/>
    </row>
    <row r="35" spans="1:12" s="2" customFormat="1" ht="15" customHeight="1">
      <c r="A35" s="12">
        <v>2</v>
      </c>
      <c r="B35" s="10" t="str">
        <f>LIDER!E52</f>
        <v xml:space="preserve">MELANY RAMIREZ CUADRO 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3"/>
      <c r="G35" s="200"/>
      <c r="H35" s="198"/>
      <c r="I35" s="200"/>
      <c r="J35" s="198"/>
      <c r="K35" s="200"/>
      <c r="L35" s="198"/>
    </row>
    <row r="36" spans="1:12" s="2" customFormat="1" ht="15" customHeight="1">
      <c r="A36" s="12">
        <v>3</v>
      </c>
      <c r="B36" s="10" t="str">
        <f>LIDER!E53</f>
        <v xml:space="preserve">VALENTINA DEL CARMEN JULIO ACOSTA 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3"/>
      <c r="G36" s="200"/>
      <c r="H36" s="198"/>
      <c r="I36" s="200"/>
      <c r="J36" s="198"/>
      <c r="K36" s="200"/>
      <c r="L36" s="198"/>
    </row>
    <row r="37" spans="1:12" s="2" customFormat="1" ht="15" customHeight="1">
      <c r="A37" s="12">
        <v>4</v>
      </c>
      <c r="B37" s="10" t="str">
        <f>LIDER!E54</f>
        <v xml:space="preserve">JEAN PIERRE MUÑOZ PUELLO 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3"/>
      <c r="G37" s="200"/>
      <c r="H37" s="198"/>
      <c r="I37" s="200"/>
      <c r="J37" s="198"/>
      <c r="K37" s="200"/>
      <c r="L37" s="198"/>
    </row>
    <row r="38" spans="1:12" s="2" customFormat="1" ht="15" customHeight="1">
      <c r="A38" s="12">
        <v>5</v>
      </c>
      <c r="B38" s="10" t="str">
        <f>LIDER!E55</f>
        <v xml:space="preserve">JUAN SEBASTIAN VILLA FONTALVO 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3"/>
      <c r="G38" s="200"/>
      <c r="H38" s="198"/>
      <c r="I38" s="200"/>
      <c r="J38" s="198"/>
      <c r="K38" s="200"/>
      <c r="L38" s="198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3"/>
      <c r="G39" s="200"/>
      <c r="H39" s="198"/>
      <c r="I39" s="200"/>
      <c r="J39" s="198"/>
      <c r="K39" s="200"/>
      <c r="L39" s="198"/>
    </row>
    <row r="40" spans="1:12" s="2" customFormat="1" ht="15.75" customHeight="1">
      <c r="A40" s="14"/>
      <c r="B40" s="25" t="s">
        <v>98</v>
      </c>
      <c r="C40" s="88" t="s">
        <v>99</v>
      </c>
      <c r="D40" s="32" t="str">
        <f>D33</f>
        <v>LIST</v>
      </c>
      <c r="E40" s="89" t="s">
        <v>89</v>
      </c>
      <c r="F40" s="202" t="str">
        <f>LIDER!$E$34</f>
        <v xml:space="preserve">GRUPO#6 CUSTOM INTERNATIONAL </v>
      </c>
      <c r="G40" s="202"/>
      <c r="H40" s="202"/>
      <c r="I40" s="202"/>
      <c r="J40" s="202"/>
      <c r="K40" s="202"/>
      <c r="L40" s="202"/>
    </row>
    <row r="41" spans="1:12" s="2" customFormat="1" ht="12.75">
      <c r="A41" s="9">
        <v>1</v>
      </c>
      <c r="B41" s="10" t="str">
        <f>LIDER!F51</f>
        <v xml:space="preserve">PAULA LEON 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3"/>
      <c r="G41" s="200"/>
      <c r="H41" s="198"/>
      <c r="I41" s="200"/>
      <c r="J41" s="198"/>
      <c r="K41" s="200"/>
      <c r="L41" s="198"/>
    </row>
    <row r="42" spans="1:12" s="2" customFormat="1" ht="15" customHeight="1">
      <c r="A42" s="12">
        <v>2</v>
      </c>
      <c r="B42" s="10" t="str">
        <f>LIDER!F52</f>
        <v xml:space="preserve">NATALIA SOFIA LASTRA  TORRES 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3"/>
      <c r="G42" s="200"/>
      <c r="H42" s="198"/>
      <c r="I42" s="200"/>
      <c r="J42" s="198"/>
      <c r="K42" s="200"/>
      <c r="L42" s="198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3"/>
      <c r="G43" s="200"/>
      <c r="H43" s="198"/>
      <c r="I43" s="200"/>
      <c r="J43" s="198"/>
      <c r="K43" s="200"/>
      <c r="L43" s="198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3"/>
      <c r="G44" s="200"/>
      <c r="H44" s="198"/>
      <c r="I44" s="200"/>
      <c r="J44" s="198"/>
      <c r="K44" s="200"/>
      <c r="L44" s="198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3"/>
      <c r="G45" s="200"/>
      <c r="H45" s="198"/>
      <c r="I45" s="200"/>
      <c r="J45" s="198"/>
      <c r="K45" s="200"/>
      <c r="L45" s="198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3"/>
      <c r="G46" s="200"/>
      <c r="H46" s="198"/>
      <c r="I46" s="200"/>
      <c r="J46" s="198"/>
      <c r="K46" s="200"/>
      <c r="L46" s="198"/>
    </row>
    <row r="47" spans="1:12" s="2" customFormat="1" ht="15.75" customHeight="1">
      <c r="A47" s="14"/>
      <c r="B47" s="25" t="s">
        <v>78</v>
      </c>
      <c r="C47" s="88" t="s">
        <v>100</v>
      </c>
      <c r="D47" s="32" t="str">
        <f>D40</f>
        <v>LIST</v>
      </c>
      <c r="E47" s="89" t="s">
        <v>89</v>
      </c>
      <c r="F47" s="202" t="str">
        <f>LIDER!$E$35</f>
        <v>GRUPO#7</v>
      </c>
      <c r="G47" s="202"/>
      <c r="H47" s="202"/>
      <c r="I47" s="202"/>
      <c r="J47" s="202"/>
      <c r="K47" s="202"/>
      <c r="L47" s="20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3"/>
      <c r="G48" s="200"/>
      <c r="H48" s="198"/>
      <c r="I48" s="200"/>
      <c r="J48" s="198"/>
      <c r="K48" s="200"/>
      <c r="L48" s="198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3"/>
      <c r="G49" s="200"/>
      <c r="H49" s="198"/>
      <c r="I49" s="200"/>
      <c r="J49" s="198"/>
      <c r="K49" s="200"/>
      <c r="L49" s="198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3"/>
      <c r="G50" s="200"/>
      <c r="H50" s="198"/>
      <c r="I50" s="200"/>
      <c r="J50" s="198"/>
      <c r="K50" s="200"/>
      <c r="L50" s="198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3"/>
      <c r="G51" s="200"/>
      <c r="H51" s="198"/>
      <c r="I51" s="200"/>
      <c r="J51" s="198"/>
      <c r="K51" s="200"/>
      <c r="L51" s="198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3"/>
      <c r="G52" s="200"/>
      <c r="H52" s="198"/>
      <c r="I52" s="200"/>
      <c r="J52" s="198"/>
      <c r="K52" s="200"/>
      <c r="L52" s="198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3"/>
      <c r="G53" s="200"/>
      <c r="H53" s="198"/>
      <c r="I53" s="200"/>
      <c r="J53" s="198"/>
      <c r="K53" s="200"/>
      <c r="L53" s="198"/>
    </row>
    <row r="54" spans="1:12" s="2" customFormat="1" ht="15.75" customHeight="1">
      <c r="A54" s="14"/>
      <c r="B54" s="25" t="s">
        <v>79</v>
      </c>
      <c r="C54" s="88" t="s">
        <v>101</v>
      </c>
      <c r="D54" s="32" t="str">
        <f>D47</f>
        <v>LIST</v>
      </c>
      <c r="E54" s="89" t="s">
        <v>89</v>
      </c>
      <c r="F54" s="202" t="str">
        <f>LIDER!$E$36</f>
        <v>GRUPO#8</v>
      </c>
      <c r="G54" s="202"/>
      <c r="H54" s="202"/>
      <c r="I54" s="202"/>
      <c r="J54" s="202"/>
      <c r="K54" s="202"/>
      <c r="L54" s="20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3"/>
      <c r="G55" s="200"/>
      <c r="H55" s="198"/>
      <c r="I55" s="200"/>
      <c r="J55" s="198"/>
      <c r="K55" s="200"/>
      <c r="L55" s="198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3"/>
      <c r="G56" s="200"/>
      <c r="H56" s="198"/>
      <c r="I56" s="200"/>
      <c r="J56" s="198"/>
      <c r="K56" s="200"/>
      <c r="L56" s="198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3"/>
      <c r="G57" s="200"/>
      <c r="H57" s="198"/>
      <c r="I57" s="200"/>
      <c r="J57" s="198"/>
      <c r="K57" s="200"/>
      <c r="L57" s="198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3"/>
      <c r="G58" s="200"/>
      <c r="H58" s="198"/>
      <c r="I58" s="200"/>
      <c r="J58" s="198"/>
      <c r="K58" s="200"/>
      <c r="L58" s="198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3"/>
      <c r="G59" s="200"/>
      <c r="H59" s="198"/>
      <c r="I59" s="200"/>
      <c r="J59" s="198"/>
      <c r="K59" s="200"/>
      <c r="L59" s="198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3"/>
      <c r="G60" s="200"/>
      <c r="H60" s="198"/>
      <c r="I60" s="200"/>
      <c r="J60" s="198"/>
      <c r="K60" s="200"/>
      <c r="L60" s="198"/>
    </row>
    <row r="61" spans="1:12" s="2" customFormat="1" ht="15.75" customHeight="1">
      <c r="A61" s="14"/>
      <c r="B61" s="25" t="s">
        <v>80</v>
      </c>
      <c r="C61" s="88" t="s">
        <v>102</v>
      </c>
      <c r="D61" s="32" t="str">
        <f>D54</f>
        <v>LIST</v>
      </c>
      <c r="E61" s="89" t="s">
        <v>89</v>
      </c>
      <c r="F61" s="202" t="str">
        <f>LIDER!$E$37</f>
        <v>GRUPO#9</v>
      </c>
      <c r="G61" s="202"/>
      <c r="H61" s="202"/>
      <c r="I61" s="202"/>
      <c r="J61" s="202"/>
      <c r="K61" s="202"/>
      <c r="L61" s="20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3"/>
      <c r="G62" s="200"/>
      <c r="H62" s="198"/>
      <c r="I62" s="200"/>
      <c r="J62" s="198"/>
      <c r="K62" s="200"/>
      <c r="L62" s="198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3"/>
      <c r="G63" s="200"/>
      <c r="H63" s="198"/>
      <c r="I63" s="200"/>
      <c r="J63" s="198"/>
      <c r="K63" s="200"/>
      <c r="L63" s="198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3"/>
      <c r="G64" s="200"/>
      <c r="H64" s="198"/>
      <c r="I64" s="200"/>
      <c r="J64" s="198"/>
      <c r="K64" s="200"/>
      <c r="L64" s="198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3"/>
      <c r="G65" s="200"/>
      <c r="H65" s="198"/>
      <c r="I65" s="200"/>
      <c r="J65" s="198"/>
      <c r="K65" s="200"/>
      <c r="L65" s="198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3"/>
      <c r="G66" s="200"/>
      <c r="H66" s="198"/>
      <c r="I66" s="200"/>
      <c r="J66" s="198"/>
      <c r="K66" s="200"/>
      <c r="L66" s="198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3"/>
      <c r="G67" s="200"/>
      <c r="H67" s="198"/>
      <c r="I67" s="200"/>
      <c r="J67" s="198"/>
      <c r="K67" s="200"/>
      <c r="L67" s="198"/>
    </row>
    <row r="68" spans="1:12" s="2" customFormat="1" ht="15.75" customHeight="1">
      <c r="A68" s="14"/>
      <c r="B68" s="25" t="s">
        <v>81</v>
      </c>
      <c r="C68" s="88" t="s">
        <v>103</v>
      </c>
      <c r="D68" s="32" t="str">
        <f>D61</f>
        <v>LIST</v>
      </c>
      <c r="E68" s="89" t="s">
        <v>89</v>
      </c>
      <c r="F68" s="202" t="str">
        <f>LIDER!$E$38</f>
        <v>GRUPO#10</v>
      </c>
      <c r="G68" s="202"/>
      <c r="H68" s="202"/>
      <c r="I68" s="202"/>
      <c r="J68" s="202"/>
      <c r="K68" s="202"/>
      <c r="L68" s="20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3"/>
      <c r="G69" s="200"/>
      <c r="H69" s="198"/>
      <c r="I69" s="200"/>
      <c r="J69" s="198"/>
      <c r="K69" s="200"/>
      <c r="L69" s="198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3"/>
      <c r="G70" s="200"/>
      <c r="H70" s="198"/>
      <c r="I70" s="200"/>
      <c r="J70" s="198"/>
      <c r="K70" s="200"/>
      <c r="L70" s="198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3"/>
      <c r="G71" s="200"/>
      <c r="H71" s="198"/>
      <c r="I71" s="200"/>
      <c r="J71" s="198"/>
      <c r="K71" s="200"/>
      <c r="L71" s="198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3"/>
      <c r="G72" s="200"/>
      <c r="H72" s="198"/>
      <c r="I72" s="200"/>
      <c r="J72" s="198"/>
      <c r="K72" s="200"/>
      <c r="L72" s="198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3"/>
      <c r="G73" s="200"/>
      <c r="H73" s="198"/>
      <c r="I73" s="200"/>
      <c r="J73" s="198"/>
      <c r="K73" s="200"/>
      <c r="L73" s="198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3"/>
      <c r="G74" s="200"/>
      <c r="H74" s="198"/>
      <c r="I74" s="200"/>
      <c r="J74" s="198"/>
      <c r="K74" s="200"/>
      <c r="L74" s="198"/>
    </row>
    <row r="75" spans="1:12" s="2" customFormat="1" ht="15.75" customHeight="1">
      <c r="A75" s="14"/>
      <c r="B75" s="25" t="s">
        <v>82</v>
      </c>
      <c r="C75" s="88" t="s">
        <v>104</v>
      </c>
      <c r="D75" s="32" t="str">
        <f>D68</f>
        <v>LIST</v>
      </c>
      <c r="E75" s="89" t="s">
        <v>89</v>
      </c>
      <c r="F75" s="202" t="str">
        <f>LIDER!$E$39</f>
        <v>GRUPO#11</v>
      </c>
      <c r="G75" s="202"/>
      <c r="H75" s="202"/>
      <c r="I75" s="202"/>
      <c r="J75" s="202"/>
      <c r="K75" s="202"/>
      <c r="L75" s="20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3"/>
      <c r="G76" s="200"/>
      <c r="H76" s="198"/>
      <c r="I76" s="200"/>
      <c r="J76" s="198"/>
      <c r="K76" s="200"/>
      <c r="L76" s="198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3"/>
      <c r="G77" s="200"/>
      <c r="H77" s="198"/>
      <c r="I77" s="200"/>
      <c r="J77" s="198"/>
      <c r="K77" s="200"/>
      <c r="L77" s="198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3"/>
      <c r="G78" s="200"/>
      <c r="H78" s="198"/>
      <c r="I78" s="200"/>
      <c r="J78" s="198"/>
      <c r="K78" s="200"/>
      <c r="L78" s="198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3"/>
      <c r="G79" s="200"/>
      <c r="H79" s="198"/>
      <c r="I79" s="200"/>
      <c r="J79" s="198"/>
      <c r="K79" s="200"/>
      <c r="L79" s="198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3"/>
      <c r="G80" s="200"/>
      <c r="H80" s="198"/>
      <c r="I80" s="200"/>
      <c r="J80" s="198"/>
      <c r="K80" s="200"/>
      <c r="L80" s="198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3"/>
      <c r="G81" s="200"/>
      <c r="H81" s="198"/>
      <c r="I81" s="200"/>
      <c r="J81" s="198"/>
      <c r="K81" s="200"/>
      <c r="L81" s="198"/>
    </row>
    <row r="82" spans="1:12" s="2" customFormat="1" ht="15.75" customHeight="1">
      <c r="A82" s="14"/>
      <c r="B82" s="25" t="s">
        <v>83</v>
      </c>
      <c r="C82" s="88" t="s">
        <v>105</v>
      </c>
      <c r="D82" s="32" t="str">
        <f>D75</f>
        <v>LIST</v>
      </c>
      <c r="E82" s="89" t="s">
        <v>89</v>
      </c>
      <c r="F82" s="202" t="str">
        <f>LIDER!$E$40</f>
        <v>GRUPO#12</v>
      </c>
      <c r="G82" s="202"/>
      <c r="H82" s="202"/>
      <c r="I82" s="202"/>
      <c r="J82" s="202"/>
      <c r="K82" s="202"/>
      <c r="L82" s="20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3"/>
      <c r="G83" s="200"/>
      <c r="H83" s="198"/>
      <c r="I83" s="200"/>
      <c r="J83" s="198"/>
      <c r="K83" s="200"/>
      <c r="L83" s="198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3"/>
      <c r="G84" s="200"/>
      <c r="H84" s="198"/>
      <c r="I84" s="200"/>
      <c r="J84" s="198"/>
      <c r="K84" s="200"/>
      <c r="L84" s="198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3"/>
      <c r="G85" s="200"/>
      <c r="H85" s="198"/>
      <c r="I85" s="200"/>
      <c r="J85" s="198"/>
      <c r="K85" s="200"/>
      <c r="L85" s="198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3"/>
      <c r="G86" s="200"/>
      <c r="H86" s="198"/>
      <c r="I86" s="200"/>
      <c r="J86" s="198"/>
      <c r="K86" s="200"/>
      <c r="L86" s="198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3"/>
      <c r="G87" s="200"/>
      <c r="H87" s="198"/>
      <c r="I87" s="200"/>
      <c r="J87" s="198"/>
      <c r="K87" s="200"/>
      <c r="L87" s="198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4"/>
      <c r="G88" s="201"/>
      <c r="H88" s="199"/>
      <c r="I88" s="201"/>
      <c r="J88" s="199"/>
      <c r="K88" s="201"/>
      <c r="L88" s="199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sqref="A1:G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LIDER!C4</f>
        <v>INTERNACIONALIZACION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CONCATENATE(LIDER!C4," - ",LIDER!C6," - ",LIDER!C5)</f>
        <v>INTERNACIONALIZACION - 2478 - SANDRA MILENA CASTAÑO GIRALDO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2" t="str">
        <f>IF('S-ASIG-01'!D5="","",'S-ASIG-01'!D5)</f>
        <v>LIST</v>
      </c>
      <c r="D5" s="35" t="s">
        <v>89</v>
      </c>
      <c r="E5" s="216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4.0750000000000002</v>
      </c>
      <c r="E6" s="212">
        <v>4.3</v>
      </c>
      <c r="F6" s="24">
        <v>3.8</v>
      </c>
      <c r="G6" s="24">
        <v>3.7</v>
      </c>
      <c r="H6" s="24">
        <v>3.5</v>
      </c>
      <c r="I6" s="24">
        <v>4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4.0750000000000002</v>
      </c>
      <c r="E7" s="212"/>
      <c r="F7" s="18">
        <v>3.8</v>
      </c>
      <c r="G7" s="18">
        <v>3.7</v>
      </c>
      <c r="H7" s="18">
        <v>3.5</v>
      </c>
      <c r="I7" s="18">
        <v>4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4.0750000000000002</v>
      </c>
      <c r="E8" s="212"/>
      <c r="F8" s="18">
        <v>3.8</v>
      </c>
      <c r="G8" s="18">
        <v>3.7</v>
      </c>
      <c r="H8" s="18">
        <v>3.5</v>
      </c>
      <c r="I8" s="18">
        <v>4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4.0750000000000002</v>
      </c>
      <c r="E9" s="212"/>
      <c r="F9" s="18">
        <v>3.8</v>
      </c>
      <c r="G9" s="18">
        <v>3.7</v>
      </c>
      <c r="H9" s="18">
        <v>3.5</v>
      </c>
      <c r="I9" s="18">
        <v>4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4.0750000000000002</v>
      </c>
      <c r="E10" s="212"/>
      <c r="F10" s="18">
        <v>3.8</v>
      </c>
      <c r="G10" s="18">
        <v>3.7</v>
      </c>
      <c r="H10" s="18">
        <v>3.5</v>
      </c>
      <c r="I10" s="18">
        <v>4</v>
      </c>
      <c r="J10" s="18">
        <v>4.2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4.0750000000000002</v>
      </c>
      <c r="E11" s="212"/>
      <c r="F11" s="26">
        <v>3.8</v>
      </c>
      <c r="G11" s="26">
        <v>3.7</v>
      </c>
      <c r="H11" s="26">
        <v>3.5</v>
      </c>
      <c r="I11" s="26">
        <v>4</v>
      </c>
      <c r="J11" s="26">
        <v>4.2</v>
      </c>
      <c r="K11" s="26"/>
    </row>
    <row r="12" spans="1:11" s="2" customFormat="1" ht="15.75" customHeight="1" thickBot="1">
      <c r="A12" s="8"/>
      <c r="B12" s="27" t="s">
        <v>90</v>
      </c>
      <c r="C12" s="32" t="str">
        <f>IF('S-ASIG-01'!D12="","",'S-ASIG-01'!D12)</f>
        <v>LIST</v>
      </c>
      <c r="D12" s="35" t="s">
        <v>89</v>
      </c>
      <c r="E12" s="216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4.2549999999999999</v>
      </c>
      <c r="E13" s="212">
        <v>4.3</v>
      </c>
      <c r="F13" s="24">
        <v>4.3</v>
      </c>
      <c r="G13" s="24">
        <v>4</v>
      </c>
      <c r="H13" s="24">
        <v>4</v>
      </c>
      <c r="I13" s="24">
        <v>4.3</v>
      </c>
      <c r="J13" s="24">
        <v>4.3</v>
      </c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4.2549999999999999</v>
      </c>
      <c r="E14" s="212"/>
      <c r="F14" s="18">
        <v>4.3</v>
      </c>
      <c r="G14" s="18">
        <v>4</v>
      </c>
      <c r="H14" s="18">
        <v>4</v>
      </c>
      <c r="I14" s="18">
        <v>4.3</v>
      </c>
      <c r="J14" s="18">
        <v>4.3</v>
      </c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4.2549999999999999</v>
      </c>
      <c r="E15" s="212"/>
      <c r="F15" s="18">
        <v>4.3</v>
      </c>
      <c r="G15" s="18">
        <v>4</v>
      </c>
      <c r="H15" s="18">
        <v>4</v>
      </c>
      <c r="I15" s="18">
        <v>4.3</v>
      </c>
      <c r="J15" s="18">
        <v>4.3</v>
      </c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4.2549999999999999</v>
      </c>
      <c r="E16" s="212"/>
      <c r="F16" s="18">
        <v>4.3</v>
      </c>
      <c r="G16" s="18">
        <v>4</v>
      </c>
      <c r="H16" s="18">
        <v>4</v>
      </c>
      <c r="I16" s="18">
        <v>4.3</v>
      </c>
      <c r="J16" s="18">
        <v>4.3</v>
      </c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4.2549999999999999</v>
      </c>
      <c r="E17" s="212"/>
      <c r="F17" s="18">
        <v>4.3</v>
      </c>
      <c r="G17" s="18">
        <v>4</v>
      </c>
      <c r="H17" s="18">
        <v>4</v>
      </c>
      <c r="I17" s="18">
        <v>4.3</v>
      </c>
      <c r="J17" s="18">
        <v>4.3</v>
      </c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4.2549999999999999</v>
      </c>
      <c r="E18" s="212"/>
      <c r="F18" s="26">
        <v>4.3</v>
      </c>
      <c r="G18" s="26">
        <v>4</v>
      </c>
      <c r="H18" s="26">
        <v>4</v>
      </c>
      <c r="I18" s="26">
        <v>4.3</v>
      </c>
      <c r="J18" s="26">
        <v>4.3</v>
      </c>
      <c r="K18" s="26"/>
    </row>
    <row r="19" spans="1:11" s="2" customFormat="1" ht="15.75" customHeight="1" thickBot="1">
      <c r="A19" s="14"/>
      <c r="B19" s="27" t="s">
        <v>92</v>
      </c>
      <c r="C19" s="32" t="str">
        <f>IF('S-ASIG-01'!D19="","",'S-ASIG-01'!D19)</f>
        <v>LIST</v>
      </c>
      <c r="D19" s="35" t="s">
        <v>89</v>
      </c>
      <c r="E19" s="216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4.4550000000000001</v>
      </c>
      <c r="E20" s="212">
        <v>4.5</v>
      </c>
      <c r="F20" s="24">
        <v>4.5999999999999996</v>
      </c>
      <c r="G20" s="24">
        <v>4.3</v>
      </c>
      <c r="H20" s="24">
        <v>4.5</v>
      </c>
      <c r="I20" s="24">
        <v>4.5999999999999996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4.4550000000000001</v>
      </c>
      <c r="E21" s="212"/>
      <c r="F21" s="18">
        <v>4.5999999999999996</v>
      </c>
      <c r="G21" s="18">
        <v>4.3</v>
      </c>
      <c r="H21" s="18">
        <v>4.5</v>
      </c>
      <c r="I21" s="18">
        <v>4.5999999999999996</v>
      </c>
      <c r="J21" s="18">
        <v>4</v>
      </c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IF('S-ASIG-01'!D22="","",'S-ASIG-01'!D22)</f>
        <v/>
      </c>
      <c r="D22" s="30" t="str">
        <f>IF(B22=0,"",IF(C22="",$E$20*LIDER!$H$19+F22*LIDER!$H$20+G22*LIDER!$H$21+H22*LIDER!$H$22+I22*LIDER!$H$23+J22*LIDER!$H$24+K22*LIDER!$H$25,"N"))</f>
        <v/>
      </c>
      <c r="E22" s="21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1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1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1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IF('S-ASIG-01'!D26="","",'S-ASIG-01'!D26)</f>
        <v>LIST</v>
      </c>
      <c r="D26" s="35" t="s">
        <v>89</v>
      </c>
      <c r="E26" s="216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3.41</v>
      </c>
      <c r="E27" s="212">
        <v>3.8</v>
      </c>
      <c r="F27" s="24">
        <v>3</v>
      </c>
      <c r="G27" s="24">
        <v>3</v>
      </c>
      <c r="H27" s="24">
        <v>3.2</v>
      </c>
      <c r="I27" s="24">
        <v>3</v>
      </c>
      <c r="J27" s="24">
        <v>3</v>
      </c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3.41</v>
      </c>
      <c r="E28" s="212"/>
      <c r="F28" s="18">
        <v>3</v>
      </c>
      <c r="G28" s="18">
        <v>3</v>
      </c>
      <c r="H28" s="18">
        <v>3.2</v>
      </c>
      <c r="I28" s="18">
        <v>3</v>
      </c>
      <c r="J28" s="18">
        <v>3</v>
      </c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3.41</v>
      </c>
      <c r="E29" s="212"/>
      <c r="F29" s="18">
        <v>3</v>
      </c>
      <c r="G29" s="18">
        <v>3</v>
      </c>
      <c r="H29" s="18">
        <v>3.2</v>
      </c>
      <c r="I29" s="18">
        <v>3</v>
      </c>
      <c r="J29" s="18">
        <v>3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1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1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IF('S-ASIG-01'!D33="","",'S-ASIG-01'!D33)</f>
        <v>LIST</v>
      </c>
      <c r="D33" s="35" t="s">
        <v>89</v>
      </c>
      <c r="E33" s="216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3.8</v>
      </c>
      <c r="E34" s="212">
        <v>4.2</v>
      </c>
      <c r="F34" s="24">
        <v>4</v>
      </c>
      <c r="G34" s="24">
        <v>3</v>
      </c>
      <c r="H34" s="24">
        <v>3</v>
      </c>
      <c r="I34" s="24">
        <v>3</v>
      </c>
      <c r="J34" s="24">
        <v>3</v>
      </c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3.8</v>
      </c>
      <c r="E35" s="212"/>
      <c r="F35" s="18">
        <v>4</v>
      </c>
      <c r="G35" s="18">
        <v>3</v>
      </c>
      <c r="H35" s="18">
        <v>3</v>
      </c>
      <c r="I35" s="18">
        <v>3</v>
      </c>
      <c r="J35" s="18">
        <v>3</v>
      </c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4.2050000000000001</v>
      </c>
      <c r="E36" s="212"/>
      <c r="F36" s="18">
        <v>4.3</v>
      </c>
      <c r="G36" s="18">
        <v>4.3</v>
      </c>
      <c r="H36" s="18">
        <v>4.3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3.8</v>
      </c>
      <c r="E37" s="212"/>
      <c r="F37" s="18">
        <v>4</v>
      </c>
      <c r="G37" s="18">
        <v>3</v>
      </c>
      <c r="H37" s="18">
        <v>3</v>
      </c>
      <c r="I37" s="18">
        <v>3</v>
      </c>
      <c r="J37" s="18">
        <v>3</v>
      </c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3.8</v>
      </c>
      <c r="E38" s="212"/>
      <c r="F38" s="18">
        <v>4</v>
      </c>
      <c r="G38" s="18">
        <v>3</v>
      </c>
      <c r="H38" s="18">
        <v>3</v>
      </c>
      <c r="I38" s="18">
        <v>3</v>
      </c>
      <c r="J38" s="18">
        <v>3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98</v>
      </c>
      <c r="C40" s="32" t="str">
        <f>IF('S-ASIG-01'!D40="","",'S-ASIG-01'!D40)</f>
        <v>LIST</v>
      </c>
      <c r="D40" s="35" t="s">
        <v>89</v>
      </c>
      <c r="E40" s="216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3.8999999999999995</v>
      </c>
      <c r="E41" s="212">
        <v>4</v>
      </c>
      <c r="F41" s="24">
        <v>3.8</v>
      </c>
      <c r="G41" s="24">
        <v>3.8</v>
      </c>
      <c r="H41" s="24">
        <v>3.8</v>
      </c>
      <c r="I41" s="24">
        <v>3.8</v>
      </c>
      <c r="J41" s="24">
        <v>3.8</v>
      </c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3.8999999999999995</v>
      </c>
      <c r="E42" s="212"/>
      <c r="F42" s="18">
        <v>3.8</v>
      </c>
      <c r="G42" s="18">
        <v>3.8</v>
      </c>
      <c r="H42" s="18">
        <v>3.8</v>
      </c>
      <c r="I42" s="18">
        <v>3.8</v>
      </c>
      <c r="J42" s="18">
        <v>3.8</v>
      </c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1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1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IF('S-ASIG-01'!D47="","",'S-ASIG-01'!D47)</f>
        <v>LIST</v>
      </c>
      <c r="D47" s="35" t="s">
        <v>89</v>
      </c>
      <c r="E47" s="216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1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1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1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IF('S-ASIG-01'!D54="","",'S-ASIG-01'!D54)</f>
        <v>LIST</v>
      </c>
      <c r="D54" s="35" t="s">
        <v>89</v>
      </c>
      <c r="E54" s="216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1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1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1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1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1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IF('S-ASIG-01'!D61="","",'S-ASIG-01'!D61)</f>
        <v>LIST</v>
      </c>
      <c r="D61" s="35" t="s">
        <v>89</v>
      </c>
      <c r="E61" s="216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IF('S-ASIG-01'!D68="","",'S-ASIG-01'!D68)</f>
        <v>LIST</v>
      </c>
      <c r="D68" s="35" t="s">
        <v>89</v>
      </c>
      <c r="E68" s="216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IF('S-ASIG-01'!D75="","",'S-ASIG-01'!D75)</f>
        <v>LIST</v>
      </c>
      <c r="D75" s="35" t="s">
        <v>89</v>
      </c>
      <c r="E75" s="216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IF('S-ASIG-01'!D82="","",'S-ASIG-01'!D82)</f>
        <v>LIST</v>
      </c>
      <c r="D82" s="35" t="s">
        <v>89</v>
      </c>
      <c r="E82" s="216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7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sqref="A1:G1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LIDER!D4</f>
        <v>TECNOLOGIA APLICADA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CONCATENATE(LIDER!D4," - ",LIDER!D6," - ",LIDER!D5)</f>
        <v>TECNOLOGIA APLICADA - 2384 - WILMER SIMARRA CAÑATE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4" t="str">
        <f>IF('S-ASIG-02'!D5="","",'S-ASIG-02'!D5)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4.55</v>
      </c>
      <c r="E6" s="200">
        <v>4.5999999999999996</v>
      </c>
      <c r="F6" s="24">
        <v>4.5</v>
      </c>
      <c r="G6" s="24">
        <v>4.4000000000000004</v>
      </c>
      <c r="H6" s="24">
        <v>4.5</v>
      </c>
      <c r="I6" s="24">
        <v>4.3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4.5749999999999993</v>
      </c>
      <c r="E7" s="200"/>
      <c r="F7" s="18">
        <v>4.5</v>
      </c>
      <c r="G7" s="18">
        <v>4.5</v>
      </c>
      <c r="H7" s="18">
        <v>4.8</v>
      </c>
      <c r="I7" s="18">
        <v>4.3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4.5749999999999993</v>
      </c>
      <c r="E8" s="200"/>
      <c r="F8" s="18">
        <v>4.5</v>
      </c>
      <c r="G8" s="18">
        <v>4.5</v>
      </c>
      <c r="H8" s="18">
        <v>4.8</v>
      </c>
      <c r="I8" s="18">
        <v>4.3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4.5749999999999993</v>
      </c>
      <c r="E9" s="200"/>
      <c r="F9" s="18">
        <v>4.5</v>
      </c>
      <c r="G9" s="18">
        <v>4.5</v>
      </c>
      <c r="H9" s="18">
        <v>4.8</v>
      </c>
      <c r="I9" s="18">
        <v>4.3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4.5749999999999993</v>
      </c>
      <c r="E10" s="200"/>
      <c r="F10" s="18">
        <v>4.5</v>
      </c>
      <c r="G10" s="18">
        <v>4.5</v>
      </c>
      <c r="H10" s="18">
        <v>4.8</v>
      </c>
      <c r="I10" s="18">
        <v>4.3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4.5649999999999995</v>
      </c>
      <c r="E11" s="200"/>
      <c r="F11" s="26">
        <v>4.5</v>
      </c>
      <c r="G11" s="26">
        <v>4.4000000000000004</v>
      </c>
      <c r="H11" s="26">
        <v>4.8</v>
      </c>
      <c r="I11" s="26">
        <v>4.3</v>
      </c>
      <c r="J11" s="26">
        <v>4.7</v>
      </c>
      <c r="K11" s="26"/>
    </row>
    <row r="12" spans="1:11" s="2" customFormat="1" ht="15.75" customHeight="1" thickBot="1">
      <c r="A12" s="8"/>
      <c r="B12" s="27" t="s">
        <v>90</v>
      </c>
      <c r="C12" s="32" t="str">
        <f>IF('S-ASIG-02'!D12="","",'S-ASIG-02'!D12)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3.9200000000000004</v>
      </c>
      <c r="E13" s="200">
        <v>4.4000000000000004</v>
      </c>
      <c r="F13" s="24">
        <v>4.3</v>
      </c>
      <c r="G13" s="24"/>
      <c r="H13" s="24">
        <v>4.4000000000000004</v>
      </c>
      <c r="I13" s="24">
        <v>4</v>
      </c>
      <c r="J13" s="24">
        <v>4.4000000000000004</v>
      </c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4.3500000000000005</v>
      </c>
      <c r="E14" s="200"/>
      <c r="F14" s="18">
        <v>4.3</v>
      </c>
      <c r="G14" s="18">
        <v>4.3</v>
      </c>
      <c r="H14" s="18">
        <v>4.4000000000000004</v>
      </c>
      <c r="I14" s="18">
        <v>4</v>
      </c>
      <c r="J14" s="18">
        <v>4.4000000000000004</v>
      </c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4.3800000000000008</v>
      </c>
      <c r="E15" s="200"/>
      <c r="F15" s="18">
        <v>4.4000000000000004</v>
      </c>
      <c r="G15" s="18">
        <v>4.4000000000000004</v>
      </c>
      <c r="H15" s="18">
        <v>4.4000000000000004</v>
      </c>
      <c r="I15" s="18">
        <v>4</v>
      </c>
      <c r="J15" s="18">
        <v>4.4000000000000004</v>
      </c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4.330000000000001</v>
      </c>
      <c r="E16" s="200"/>
      <c r="F16" s="18">
        <v>4.2</v>
      </c>
      <c r="G16" s="18">
        <v>4.3</v>
      </c>
      <c r="H16" s="18">
        <v>4.4000000000000004</v>
      </c>
      <c r="I16" s="18">
        <v>4</v>
      </c>
      <c r="J16" s="18">
        <v>4.4000000000000004</v>
      </c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4.2600000000000007</v>
      </c>
      <c r="E17" s="200"/>
      <c r="F17" s="18">
        <v>4</v>
      </c>
      <c r="G17" s="18">
        <v>4</v>
      </c>
      <c r="H17" s="18">
        <v>4.4000000000000004</v>
      </c>
      <c r="I17" s="18">
        <v>4</v>
      </c>
      <c r="J17" s="18">
        <v>4.4000000000000004</v>
      </c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4.370000000000001</v>
      </c>
      <c r="E18" s="200"/>
      <c r="F18" s="26">
        <v>4.4000000000000004</v>
      </c>
      <c r="G18" s="26">
        <v>4.3</v>
      </c>
      <c r="H18" s="26">
        <v>4.4000000000000004</v>
      </c>
      <c r="I18" s="26">
        <v>4</v>
      </c>
      <c r="J18" s="26">
        <v>4.4000000000000004</v>
      </c>
      <c r="K18" s="26"/>
    </row>
    <row r="19" spans="1:11" s="2" customFormat="1" ht="15.75" customHeight="1" thickBot="1">
      <c r="A19" s="14"/>
      <c r="B19" s="27" t="s">
        <v>92</v>
      </c>
      <c r="C19" s="32" t="str">
        <f>IF('S-ASIG-02'!D19="","",'S-ASIG-02'!D19)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4.28</v>
      </c>
      <c r="E20" s="200">
        <v>4.3</v>
      </c>
      <c r="F20" s="24">
        <v>4.3</v>
      </c>
      <c r="G20" s="24">
        <v>4.4000000000000004</v>
      </c>
      <c r="H20" s="24">
        <v>4.4000000000000004</v>
      </c>
      <c r="I20" s="24">
        <v>4.2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4.28</v>
      </c>
      <c r="E21" s="200"/>
      <c r="F21" s="18">
        <v>4.3</v>
      </c>
      <c r="G21" s="18">
        <v>4.4000000000000004</v>
      </c>
      <c r="H21" s="18">
        <v>4.4000000000000004</v>
      </c>
      <c r="I21" s="18">
        <v>4.2</v>
      </c>
      <c r="J21" s="18">
        <v>4</v>
      </c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IF('S-ASIG-02'!D22="","",'S-ASIG-02'!D22)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IF('S-ASIG-02'!D26="","",'S-ASIG-02'!D26)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IF('S-ASIG-02'!D33="","",'S-ASIG-02'!D33)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4.2850000000000001</v>
      </c>
      <c r="E34" s="200">
        <v>4.4000000000000004</v>
      </c>
      <c r="F34" s="24">
        <v>4</v>
      </c>
      <c r="G34" s="24">
        <v>4</v>
      </c>
      <c r="H34" s="24">
        <v>4.7</v>
      </c>
      <c r="I34" s="24">
        <v>4</v>
      </c>
      <c r="J34" s="24">
        <v>4.5</v>
      </c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4.4050000000000002</v>
      </c>
      <c r="E35" s="200"/>
      <c r="F35" s="18">
        <v>4.4000000000000004</v>
      </c>
      <c r="G35" s="18">
        <v>4.4000000000000004</v>
      </c>
      <c r="H35" s="18">
        <v>4.7</v>
      </c>
      <c r="I35" s="18">
        <v>4</v>
      </c>
      <c r="J35" s="18">
        <v>4.5</v>
      </c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4.4950000000000001</v>
      </c>
      <c r="E36" s="200"/>
      <c r="F36" s="18">
        <v>4.7</v>
      </c>
      <c r="G36" s="18">
        <v>4.7</v>
      </c>
      <c r="H36" s="18">
        <v>4.7</v>
      </c>
      <c r="I36" s="18">
        <v>4</v>
      </c>
      <c r="J36" s="18">
        <v>4.5</v>
      </c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4.2850000000000001</v>
      </c>
      <c r="E37" s="200"/>
      <c r="F37" s="18">
        <v>4</v>
      </c>
      <c r="G37" s="18">
        <v>4</v>
      </c>
      <c r="H37" s="18">
        <v>4.7</v>
      </c>
      <c r="I37" s="18">
        <v>4</v>
      </c>
      <c r="J37" s="18">
        <v>4.5</v>
      </c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4.2850000000000001</v>
      </c>
      <c r="E38" s="200"/>
      <c r="F38" s="18">
        <v>4</v>
      </c>
      <c r="G38" s="18">
        <v>4</v>
      </c>
      <c r="H38" s="18">
        <v>4.7</v>
      </c>
      <c r="I38" s="18">
        <v>4</v>
      </c>
      <c r="J38" s="18">
        <v>4.5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>
        <v>4</v>
      </c>
      <c r="G39" s="26"/>
      <c r="H39" s="26">
        <v>4.7</v>
      </c>
      <c r="I39" s="26">
        <v>4</v>
      </c>
      <c r="J39" s="26">
        <v>4.5</v>
      </c>
      <c r="K39" s="26"/>
    </row>
    <row r="40" spans="1:11" s="2" customFormat="1" ht="15.75" customHeight="1" thickBot="1">
      <c r="A40" s="14"/>
      <c r="B40" s="27" t="s">
        <v>98</v>
      </c>
      <c r="C40" s="32" t="str">
        <f>IF('S-ASIG-02'!D40="","",'S-ASIG-02'!D40)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IF('S-ASIG-02'!D47="","",'S-ASIG-02'!D47)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IF('S-ASIG-02'!D54="","",'S-ASIG-02'!D54)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IF('S-ASIG-02'!D61="","",'S-ASIG-02'!D61)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IF('S-ASIG-02'!D68="","",'S-ASIG-02'!D68)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IF('S-ASIG-02'!D75="","",'S-ASIG-02'!D75)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IF('S-ASIG-02'!D82="","",'S-ASIG-02'!D82)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LIDER!E4</f>
        <v>LEGISLACION PARA EL COMERCIO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CONCATENATE(LIDER!E4," - ",LIDER!E6," - ",LIDER!E5)</f>
        <v>LEGISLACION PARA EL COMERCIO - 2486 - MELISSA LOPEZ ROMERO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4" t="str">
        <f>IF('S-ASIG-03'!D5="","",'S-ASIG-03'!D5)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4.8500000000000005</v>
      </c>
      <c r="E6" s="200">
        <v>5</v>
      </c>
      <c r="F6" s="24">
        <v>5</v>
      </c>
      <c r="G6" s="24">
        <v>5</v>
      </c>
      <c r="H6" s="24">
        <v>4</v>
      </c>
      <c r="I6" s="24">
        <v>5</v>
      </c>
      <c r="J6" s="24">
        <v>4</v>
      </c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4.9000000000000004</v>
      </c>
      <c r="E7" s="200"/>
      <c r="F7" s="18">
        <v>5</v>
      </c>
      <c r="G7" s="18">
        <v>5</v>
      </c>
      <c r="H7" s="18">
        <v>5</v>
      </c>
      <c r="I7" s="18">
        <v>5</v>
      </c>
      <c r="J7" s="18">
        <v>4</v>
      </c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4.8000000000000007</v>
      </c>
      <c r="E8" s="200"/>
      <c r="F8" s="18">
        <v>5</v>
      </c>
      <c r="G8" s="18">
        <v>5</v>
      </c>
      <c r="H8" s="18">
        <v>3</v>
      </c>
      <c r="I8" s="18">
        <v>5</v>
      </c>
      <c r="J8" s="18">
        <v>4</v>
      </c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4.8000000000000007</v>
      </c>
      <c r="E9" s="200"/>
      <c r="F9" s="18">
        <v>5</v>
      </c>
      <c r="G9" s="18">
        <v>4.5</v>
      </c>
      <c r="H9" s="18">
        <v>4</v>
      </c>
      <c r="I9" s="18">
        <v>5</v>
      </c>
      <c r="J9" s="18">
        <v>4</v>
      </c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4.8500000000000005</v>
      </c>
      <c r="E10" s="200"/>
      <c r="F10" s="18">
        <v>5</v>
      </c>
      <c r="G10" s="18">
        <v>5</v>
      </c>
      <c r="H10" s="18">
        <v>4</v>
      </c>
      <c r="I10" s="18">
        <v>5</v>
      </c>
      <c r="J10" s="18">
        <v>4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4.8000000000000007</v>
      </c>
      <c r="E11" s="200"/>
      <c r="F11" s="26">
        <v>5</v>
      </c>
      <c r="G11" s="26">
        <v>4.5</v>
      </c>
      <c r="H11" s="26">
        <v>4</v>
      </c>
      <c r="I11" s="26">
        <v>5</v>
      </c>
      <c r="J11" s="26">
        <v>4</v>
      </c>
      <c r="K11" s="26"/>
    </row>
    <row r="12" spans="1:11" s="2" customFormat="1" ht="15.75" customHeight="1" thickBot="1">
      <c r="A12" s="8"/>
      <c r="B12" s="27" t="s">
        <v>90</v>
      </c>
      <c r="C12" s="32" t="str">
        <f>IF('S-ASIG-03'!D12="","",'S-ASIG-03'!D12)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4.55</v>
      </c>
      <c r="E13" s="200">
        <v>5</v>
      </c>
      <c r="F13" s="24">
        <v>4</v>
      </c>
      <c r="G13" s="24">
        <v>4</v>
      </c>
      <c r="H13" s="24">
        <v>4</v>
      </c>
      <c r="I13" s="24">
        <v>3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4.7</v>
      </c>
      <c r="E14" s="200"/>
      <c r="F14" s="18">
        <v>4.5</v>
      </c>
      <c r="G14" s="18">
        <v>4.5</v>
      </c>
      <c r="H14" s="18">
        <v>4</v>
      </c>
      <c r="I14" s="18">
        <v>3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4.8500000000000005</v>
      </c>
      <c r="E15" s="200"/>
      <c r="F15" s="18">
        <v>5</v>
      </c>
      <c r="G15" s="18">
        <v>4.5</v>
      </c>
      <c r="H15" s="18">
        <v>5</v>
      </c>
      <c r="I15" s="18">
        <v>3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4.8500000000000005</v>
      </c>
      <c r="E16" s="200"/>
      <c r="F16" s="18">
        <v>5</v>
      </c>
      <c r="G16" s="18">
        <v>4.5</v>
      </c>
      <c r="H16" s="18">
        <v>5</v>
      </c>
      <c r="I16" s="18">
        <v>3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4.5249999999999995</v>
      </c>
      <c r="E17" s="200"/>
      <c r="F17" s="18">
        <v>4</v>
      </c>
      <c r="G17" s="18">
        <v>4</v>
      </c>
      <c r="H17" s="18">
        <v>3.5</v>
      </c>
      <c r="I17" s="18">
        <v>3</v>
      </c>
      <c r="J17" s="18">
        <v>5</v>
      </c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4.6500000000000004</v>
      </c>
      <c r="E18" s="200"/>
      <c r="F18" s="26">
        <v>4.5</v>
      </c>
      <c r="G18" s="26">
        <v>4</v>
      </c>
      <c r="H18" s="26">
        <v>4</v>
      </c>
      <c r="I18" s="26">
        <v>3</v>
      </c>
      <c r="J18" s="26">
        <v>5</v>
      </c>
      <c r="K18" s="26"/>
    </row>
    <row r="19" spans="1:11" s="2" customFormat="1" ht="15.75" customHeight="1" thickBot="1">
      <c r="A19" s="14"/>
      <c r="B19" s="27" t="s">
        <v>92</v>
      </c>
      <c r="C19" s="32" t="str">
        <f>IF('S-ASIG-03'!D19="","",'S-ASIG-03'!D19)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5</v>
      </c>
      <c r="E20" s="200">
        <v>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5</v>
      </c>
      <c r="E21" s="200"/>
      <c r="F21" s="18">
        <v>5</v>
      </c>
      <c r="G21" s="18">
        <v>5</v>
      </c>
      <c r="H21" s="18">
        <v>5</v>
      </c>
      <c r="I21" s="18">
        <v>5</v>
      </c>
      <c r="J21" s="18">
        <v>5</v>
      </c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IF('S-ASIG-03'!D22="","",'S-ASIG-03'!D22)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IF('S-ASIG-03'!D26="","",'S-ASIG-03'!D26)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3</v>
      </c>
      <c r="E27" s="200">
        <v>3.5</v>
      </c>
      <c r="F27" s="24">
        <v>3</v>
      </c>
      <c r="G27" s="24">
        <v>3.5</v>
      </c>
      <c r="H27" s="24">
        <v>3</v>
      </c>
      <c r="I27" s="24">
        <v>3</v>
      </c>
      <c r="J27" s="24"/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2.95</v>
      </c>
      <c r="E28" s="200"/>
      <c r="F28" s="18">
        <v>3</v>
      </c>
      <c r="G28" s="18">
        <v>3</v>
      </c>
      <c r="H28" s="18">
        <v>3</v>
      </c>
      <c r="I28" s="18">
        <v>3</v>
      </c>
      <c r="J28" s="18"/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2.95</v>
      </c>
      <c r="E29" s="200"/>
      <c r="F29" s="18">
        <v>3</v>
      </c>
      <c r="G29" s="18">
        <v>3</v>
      </c>
      <c r="H29" s="18">
        <v>3</v>
      </c>
      <c r="I29" s="18">
        <v>3</v>
      </c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IF('S-ASIG-03'!D33="","",'S-ASIG-03'!D33)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4.3499999999999996</v>
      </c>
      <c r="E34" s="200">
        <v>5</v>
      </c>
      <c r="F34" s="24">
        <v>3.5</v>
      </c>
      <c r="G34" s="24">
        <v>3</v>
      </c>
      <c r="H34" s="24">
        <v>3</v>
      </c>
      <c r="I34" s="24">
        <v>4</v>
      </c>
      <c r="J34" s="24">
        <v>5</v>
      </c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4.5749999999999993</v>
      </c>
      <c r="E35" s="200"/>
      <c r="F35" s="18">
        <v>4</v>
      </c>
      <c r="G35" s="18">
        <v>4</v>
      </c>
      <c r="H35" s="18">
        <v>3.5</v>
      </c>
      <c r="I35" s="18">
        <v>4</v>
      </c>
      <c r="J35" s="18">
        <v>5</v>
      </c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4.95</v>
      </c>
      <c r="E36" s="200"/>
      <c r="F36" s="18">
        <v>5</v>
      </c>
      <c r="G36" s="18">
        <v>5</v>
      </c>
      <c r="H36" s="18">
        <v>5</v>
      </c>
      <c r="I36" s="18">
        <v>4</v>
      </c>
      <c r="J36" s="18">
        <v>5</v>
      </c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4.9249999999999998</v>
      </c>
      <c r="E37" s="200"/>
      <c r="F37" s="18">
        <v>5</v>
      </c>
      <c r="G37" s="18">
        <v>5</v>
      </c>
      <c r="H37" s="18">
        <v>4.5</v>
      </c>
      <c r="I37" s="18">
        <v>4</v>
      </c>
      <c r="J37" s="18">
        <v>5</v>
      </c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4.7</v>
      </c>
      <c r="E38" s="200"/>
      <c r="F38" s="18">
        <v>4.5</v>
      </c>
      <c r="G38" s="18">
        <v>4</v>
      </c>
      <c r="H38" s="18">
        <v>4</v>
      </c>
      <c r="I38" s="18">
        <v>4</v>
      </c>
      <c r="J38" s="18">
        <v>5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98</v>
      </c>
      <c r="C40" s="32" t="str">
        <f>IF('S-ASIG-03'!D40="","",'S-ASIG-03'!D40)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4.8250000000000002</v>
      </c>
      <c r="E41" s="200">
        <v>5</v>
      </c>
      <c r="F41" s="24">
        <v>4.5</v>
      </c>
      <c r="G41" s="24">
        <v>4.5</v>
      </c>
      <c r="H41" s="24">
        <v>4.5</v>
      </c>
      <c r="I41" s="24">
        <v>5</v>
      </c>
      <c r="J41" s="24">
        <v>5</v>
      </c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4.8250000000000002</v>
      </c>
      <c r="E42" s="200"/>
      <c r="F42" s="18">
        <v>4.5</v>
      </c>
      <c r="G42" s="18">
        <v>4.5</v>
      </c>
      <c r="H42" s="18">
        <v>4.5</v>
      </c>
      <c r="I42" s="18">
        <v>5</v>
      </c>
      <c r="J42" s="18">
        <v>5</v>
      </c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IF('S-ASIG-03'!D47="","",'S-ASIG-03'!D47)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IF('S-ASIG-03'!D54="","",'S-ASIG-03'!D54)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IF('S-ASIG-03'!D61="","",'S-ASIG-03'!D61)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IF('S-ASIG-03'!D68="","",'S-ASIG-03'!D68)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IF('S-ASIG-03'!D75="","",'S-ASIG-03'!D75)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IF('S-ASIG-03'!D82="","",'S-ASIG-03'!D82)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F4" activePane="bottomRight" state="frozen"/>
      <selection pane="bottomRight" activeCell="D18" sqref="D18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LIDER!F4</f>
        <v>MACROECONOMÍA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CONCATENATE(LIDER!F4," - ",LIDER!F6," - ",LIDER!F5)</f>
        <v>MACROECONOMÍA - 1528 - JORGE ELIECER PAREJA SHAIKH</v>
      </c>
      <c r="F4" s="219"/>
      <c r="G4" s="219"/>
      <c r="H4" s="219"/>
      <c r="I4" s="219"/>
      <c r="J4" s="219"/>
      <c r="K4" s="220"/>
    </row>
    <row r="5" spans="1:11" s="2" customFormat="1" ht="15.75" customHeight="1">
      <c r="A5" s="8"/>
      <c r="B5" s="27" t="s">
        <v>86</v>
      </c>
      <c r="C5" s="34" t="str">
        <f>IF('S-ASIG-04'!D5="","",'S-ASIG-04'!D5)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26.25" customHeight="1">
      <c r="A6" s="9">
        <v>1</v>
      </c>
      <c r="B6" s="28" t="str">
        <f>LIDER!E43</f>
        <v xml:space="preserve">THEYLON BIVANCO BELLIDO 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4.1449999999999996</v>
      </c>
      <c r="E6" s="221">
        <v>4.2</v>
      </c>
      <c r="F6" s="142">
        <v>4.0999999999999996</v>
      </c>
      <c r="G6" s="142">
        <v>4.2</v>
      </c>
      <c r="H6" s="142">
        <v>4</v>
      </c>
      <c r="I6" s="142">
        <v>3.9</v>
      </c>
      <c r="J6" s="142">
        <v>4.0999999999999996</v>
      </c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4.1150000000000002</v>
      </c>
      <c r="E7" s="221"/>
      <c r="F7" s="143">
        <v>4</v>
      </c>
      <c r="G7" s="143">
        <v>4</v>
      </c>
      <c r="H7" s="143">
        <v>4.2</v>
      </c>
      <c r="I7" s="143">
        <v>3.9</v>
      </c>
      <c r="J7" s="143">
        <v>4.0999999999999996</v>
      </c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4.1100000000000003</v>
      </c>
      <c r="E8" s="221"/>
      <c r="F8" s="142">
        <v>4</v>
      </c>
      <c r="G8" s="142">
        <v>4</v>
      </c>
      <c r="H8" s="142">
        <v>4.0999999999999996</v>
      </c>
      <c r="I8" s="142">
        <v>3.9</v>
      </c>
      <c r="J8" s="142">
        <v>4.0999999999999996</v>
      </c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4.1100000000000003</v>
      </c>
      <c r="E9" s="221"/>
      <c r="F9" s="143">
        <v>4</v>
      </c>
      <c r="G9" s="143">
        <v>4</v>
      </c>
      <c r="H9" s="143">
        <v>4.0999999999999996</v>
      </c>
      <c r="I9" s="143">
        <v>3.9</v>
      </c>
      <c r="J9" s="143">
        <v>4.0999999999999996</v>
      </c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4.1100000000000003</v>
      </c>
      <c r="E10" s="221"/>
      <c r="F10" s="142">
        <v>4</v>
      </c>
      <c r="G10" s="142">
        <v>4</v>
      </c>
      <c r="H10" s="142">
        <v>4.0999999999999996</v>
      </c>
      <c r="I10" s="142">
        <v>3.9</v>
      </c>
      <c r="J10" s="142">
        <v>4.0999999999999996</v>
      </c>
      <c r="K10" s="18"/>
    </row>
    <row r="11" spans="1:11" s="2" customFormat="1" ht="15.75" customHeight="1">
      <c r="A11" s="13">
        <v>6</v>
      </c>
      <c r="B11" s="28" t="str">
        <f>LIDER!E48</f>
        <v xml:space="preserve">ANDRES DAVID ANAYA GOMEZ 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4.1100000000000003</v>
      </c>
      <c r="E11" s="221"/>
      <c r="F11" s="144">
        <v>4</v>
      </c>
      <c r="G11" s="144">
        <v>4</v>
      </c>
      <c r="H11" s="144">
        <v>4.0999999999999996</v>
      </c>
      <c r="I11" s="144">
        <v>3.9</v>
      </c>
      <c r="J11" s="144">
        <v>4.0999999999999996</v>
      </c>
      <c r="K11" s="26"/>
    </row>
    <row r="12" spans="1:11" s="2" customFormat="1" ht="15.75" customHeight="1">
      <c r="A12" s="8"/>
      <c r="B12" s="27" t="s">
        <v>90</v>
      </c>
      <c r="C12" s="32" t="str">
        <f>IF('S-ASIG-04'!D12="","",'S-ASIG-04'!D12)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26.25" customHeight="1">
      <c r="A13" s="9">
        <v>1</v>
      </c>
      <c r="B13" s="28" t="str">
        <f>LIDER!F43</f>
        <v>FRANYELIS  LOPEZ GONZALEZ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4.1949999999999994</v>
      </c>
      <c r="E13" s="221">
        <v>4.3</v>
      </c>
      <c r="F13" s="142">
        <v>4.0999999999999996</v>
      </c>
      <c r="G13" s="142">
        <v>4.2</v>
      </c>
      <c r="H13" s="142">
        <v>4</v>
      </c>
      <c r="I13" s="142">
        <v>3.9</v>
      </c>
      <c r="J13" s="142">
        <v>4.0999999999999996</v>
      </c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4.165</v>
      </c>
      <c r="E14" s="221"/>
      <c r="F14" s="143">
        <v>4</v>
      </c>
      <c r="G14" s="143">
        <v>4</v>
      </c>
      <c r="H14" s="143">
        <v>4.2</v>
      </c>
      <c r="I14" s="143">
        <v>3.9</v>
      </c>
      <c r="J14" s="143">
        <v>4.0999999999999996</v>
      </c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4.16</v>
      </c>
      <c r="E15" s="221"/>
      <c r="F15" s="142">
        <v>4</v>
      </c>
      <c r="G15" s="142">
        <v>4</v>
      </c>
      <c r="H15" s="142">
        <v>4.0999999999999996</v>
      </c>
      <c r="I15" s="142">
        <v>3.9</v>
      </c>
      <c r="J15" s="142">
        <v>4.0999999999999996</v>
      </c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4.16</v>
      </c>
      <c r="E16" s="221"/>
      <c r="F16" s="143">
        <v>4</v>
      </c>
      <c r="G16" s="143">
        <v>4</v>
      </c>
      <c r="H16" s="143">
        <v>4.0999999999999996</v>
      </c>
      <c r="I16" s="143">
        <v>3.9</v>
      </c>
      <c r="J16" s="143">
        <v>4.0999999999999996</v>
      </c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4.16</v>
      </c>
      <c r="E17" s="221"/>
      <c r="F17" s="142">
        <v>4</v>
      </c>
      <c r="G17" s="142">
        <v>4</v>
      </c>
      <c r="H17" s="142">
        <v>4.0999999999999996</v>
      </c>
      <c r="I17" s="142">
        <v>3.9</v>
      </c>
      <c r="J17" s="142">
        <v>4.0999999999999996</v>
      </c>
      <c r="K17" s="18"/>
    </row>
    <row r="18" spans="1:11" s="2" customFormat="1" ht="15.75" customHeight="1">
      <c r="A18" s="13">
        <v>6</v>
      </c>
      <c r="B18" s="28" t="str">
        <f>LIDER!F48</f>
        <v xml:space="preserve">EMILY VIANEY GARCIA RUBIO </v>
      </c>
      <c r="C18" s="33" t="str">
        <f>IF('S-ASIG-04'!D18="","",'S-ASIG-04'!D18)</f>
        <v/>
      </c>
      <c r="D18" s="30" t="e">
        <f>IF(B18=0,"",IF(C18="",$E$13*LIDER!$H$19+F18*LIDER!$H$20+G18*LIDER!$H$21+H18*LIDER!$H$22+I18*LIDER!$H$23+J18*LIDER!$H$24+K18*LIDER!$H$25,"N"))</f>
        <v>#VALUE!</v>
      </c>
      <c r="E18" s="221"/>
      <c r="F18" s="144" t="s">
        <v>107</v>
      </c>
      <c r="G18" s="144">
        <v>4</v>
      </c>
      <c r="H18" s="144">
        <v>4.0999999999999996</v>
      </c>
      <c r="I18" s="144">
        <v>3.9</v>
      </c>
      <c r="J18" s="144">
        <v>4.0999999999999996</v>
      </c>
      <c r="K18" s="26"/>
    </row>
    <row r="19" spans="1:11" s="2" customFormat="1" ht="15.75" customHeight="1">
      <c r="A19" s="14"/>
      <c r="B19" s="27" t="s">
        <v>92</v>
      </c>
      <c r="C19" s="32" t="str">
        <f>IF('S-ASIG-04'!D19="","",'S-ASIG-04'!D19)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IF('S-ASIG-04'!D20="","",'S-ASIG-04'!D20)</f>
        <v>N</v>
      </c>
      <c r="D20" s="30" t="str">
        <f>IF(B20=0,"",IF(C20="",$E$20*LIDER!$H$19+F20*LIDER!$H$20+G20*LIDER!$H$21+H20*LIDER!$H$22+I20*LIDER!$H$23+J20*LIDER!$H$24+K20*LIDER!$H$25,"N"))</f>
        <v>N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IF('S-ASIG-04'!D21="","",'S-ASIG-04'!D21)</f>
        <v>N</v>
      </c>
      <c r="D21" s="30" t="str">
        <f>IF(B21=0,"",IF(C21="",$E$20*LIDER!$H$19+F21*LIDER!$H$20+G21*LIDER!$H$21+H21*LIDER!$H$22+I21*LIDER!$H$23+J21*LIDER!$H$24+K21*LIDER!$H$25,"N"))</f>
        <v>N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IF('S-ASIG-04'!D22="","",'S-ASIG-04'!D22)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IF('S-ASIG-04'!D26="","",'S-ASIG-04'!D26)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IF('S-ASIG-04'!D27="","",'S-ASIG-04'!D27)</f>
        <v>N</v>
      </c>
      <c r="D27" s="30" t="str">
        <f>IF(B27=0,"",IF(C27="",$E$27*LIDER!$H$19+F27*LIDER!$H$20+G27*LIDER!$H$21+H27*LIDER!$H$22+I27*LIDER!$H$23+J27*LIDER!$H$24+K27*LIDER!$H$25,"N"))</f>
        <v>N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IF('S-ASIG-04'!D28="","",'S-ASIG-04'!D28)</f>
        <v>N</v>
      </c>
      <c r="D28" s="30" t="str">
        <f>IF(B28=0,"",IF(C28="",$E$27*LIDER!$H$19+F28*LIDER!$H$20+G28*LIDER!$H$21+H28*LIDER!$H$22+I28*LIDER!$H$23+J28*LIDER!$H$24+K28*LIDER!$H$25,"N"))</f>
        <v>N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IF('S-ASIG-04'!D29="","",'S-ASIG-04'!D29)</f>
        <v>N</v>
      </c>
      <c r="D29" s="30" t="str">
        <f>IF(B29=0,"",IF(C29="",$E$27*LIDER!$H$19+F29*LIDER!$H$20+G29*LIDER!$H$21+H29*LIDER!$H$22+I29*LIDER!$H$23+J29*LIDER!$H$24+K29*LIDER!$H$25,"N"))</f>
        <v>N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>
      <c r="A33" s="14"/>
      <c r="B33" s="27" t="s">
        <v>96</v>
      </c>
      <c r="C33" s="32" t="str">
        <f>IF('S-ASIG-04'!D33="","",'S-ASIG-04'!D33)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26.25" customHeight="1">
      <c r="A34" s="9">
        <v>1</v>
      </c>
      <c r="B34" s="28" t="str">
        <f>LIDER!E51</f>
        <v xml:space="preserve">WIRDER ANDRES RUIZ ROMERO 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4.0449999999999999</v>
      </c>
      <c r="E34" s="221">
        <v>4</v>
      </c>
      <c r="F34" s="142">
        <v>4.0999999999999996</v>
      </c>
      <c r="G34" s="142">
        <v>4.2</v>
      </c>
      <c r="H34" s="142">
        <v>4</v>
      </c>
      <c r="I34" s="142">
        <v>3.9</v>
      </c>
      <c r="J34" s="142">
        <v>4.0999999999999996</v>
      </c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4.0149999999999997</v>
      </c>
      <c r="E35" s="221"/>
      <c r="F35" s="143">
        <v>4</v>
      </c>
      <c r="G35" s="143">
        <v>4</v>
      </c>
      <c r="H35" s="143">
        <v>4.2</v>
      </c>
      <c r="I35" s="143">
        <v>3.9</v>
      </c>
      <c r="J35" s="143">
        <v>4.0999999999999996</v>
      </c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4.01</v>
      </c>
      <c r="E36" s="221"/>
      <c r="F36" s="142">
        <v>4</v>
      </c>
      <c r="G36" s="142">
        <v>4</v>
      </c>
      <c r="H36" s="142">
        <v>4.0999999999999996</v>
      </c>
      <c r="I36" s="142">
        <v>3.9</v>
      </c>
      <c r="J36" s="142">
        <v>4.0999999999999996</v>
      </c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4.01</v>
      </c>
      <c r="E37" s="221"/>
      <c r="F37" s="143">
        <v>4</v>
      </c>
      <c r="G37" s="143">
        <v>4</v>
      </c>
      <c r="H37" s="143">
        <v>4.0999999999999996</v>
      </c>
      <c r="I37" s="143">
        <v>3.9</v>
      </c>
      <c r="J37" s="143">
        <v>4.0999999999999996</v>
      </c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4.01</v>
      </c>
      <c r="E38" s="221"/>
      <c r="F38" s="142">
        <v>4</v>
      </c>
      <c r="G38" s="142">
        <v>4</v>
      </c>
      <c r="H38" s="142">
        <v>4.0999999999999996</v>
      </c>
      <c r="I38" s="142">
        <v>3.9</v>
      </c>
      <c r="J38" s="142">
        <v>4.0999999999999996</v>
      </c>
      <c r="K38" s="18"/>
    </row>
    <row r="39" spans="1:11" s="2" customFormat="1" ht="15.75" customHeigh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221"/>
      <c r="F39" s="144" t="s">
        <v>107</v>
      </c>
      <c r="G39" s="144" t="s">
        <v>107</v>
      </c>
      <c r="H39" s="144" t="s">
        <v>107</v>
      </c>
      <c r="I39" s="144" t="s">
        <v>107</v>
      </c>
      <c r="J39" s="144" t="s">
        <v>107</v>
      </c>
      <c r="K39" s="26"/>
    </row>
    <row r="40" spans="1:11" s="2" customFormat="1" ht="15.75" customHeight="1">
      <c r="A40" s="14"/>
      <c r="B40" s="27" t="s">
        <v>98</v>
      </c>
      <c r="C40" s="32" t="str">
        <f>IF('S-ASIG-04'!D40="","",'S-ASIG-04'!D40)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IF('S-ASIG-04'!D47="","",'S-ASIG-04'!D47)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IF('S-ASIG-04'!D54="","",'S-ASIG-04'!D54)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IF('S-ASIG-04'!D61="","",'S-ASIG-04'!D61)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IF('S-ASIG-04'!D68="","",'S-ASIG-04'!D68)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IF('S-ASIG-04'!D75="","",'S-ASIG-04'!D75)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IF('S-ASIG-04'!D82="","",'S-ASIG-04'!D82)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36" activePane="bottomRight" state="frozen"/>
      <selection pane="bottomRight" activeCell="E47" sqref="E47:K4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LIDER!G4</f>
        <v>MATEMÁTICAS FINANCIERAS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CONCATENATE(LIDER!G4," - ",LIDER!G6," - ",LIDER!G5)</f>
        <v>MATEMÁTICAS FINANCIERAS - 1408 - HECTOR DARIO BALSEIRO BARRIOS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4" t="str">
        <f>IF('S-ASIG-05'!D5="","",'S-ASIG-05'!D5)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4.49</v>
      </c>
      <c r="E6" s="200">
        <v>4.5</v>
      </c>
      <c r="F6" s="24">
        <v>4.3</v>
      </c>
      <c r="G6" s="24">
        <v>4.7</v>
      </c>
      <c r="H6" s="24">
        <v>4.2</v>
      </c>
      <c r="I6" s="24">
        <v>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4.49</v>
      </c>
      <c r="E7" s="200"/>
      <c r="F7" s="18">
        <v>4.3</v>
      </c>
      <c r="G7" s="18">
        <v>4.7</v>
      </c>
      <c r="H7" s="18">
        <v>4.2</v>
      </c>
      <c r="I7" s="18">
        <v>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4.49</v>
      </c>
      <c r="E8" s="200"/>
      <c r="F8" s="18">
        <v>4.3</v>
      </c>
      <c r="G8" s="18">
        <v>4.7</v>
      </c>
      <c r="H8" s="18">
        <v>4.2</v>
      </c>
      <c r="I8" s="18">
        <v>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4.49</v>
      </c>
      <c r="E9" s="200"/>
      <c r="F9" s="18">
        <v>4.3</v>
      </c>
      <c r="G9" s="18">
        <v>4.7</v>
      </c>
      <c r="H9" s="18">
        <v>4.2</v>
      </c>
      <c r="I9" s="18">
        <v>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4.49</v>
      </c>
      <c r="E10" s="200"/>
      <c r="F10" s="18">
        <v>4.3</v>
      </c>
      <c r="G10" s="18">
        <v>4.7</v>
      </c>
      <c r="H10" s="18">
        <v>4.2</v>
      </c>
      <c r="I10" s="18">
        <v>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4.49</v>
      </c>
      <c r="E11" s="200"/>
      <c r="F11" s="26">
        <v>4.3</v>
      </c>
      <c r="G11" s="26">
        <v>4.7</v>
      </c>
      <c r="H11" s="26">
        <v>4.2</v>
      </c>
      <c r="I11" s="26">
        <v>5</v>
      </c>
      <c r="J11" s="26">
        <v>4.5</v>
      </c>
      <c r="K11" s="26"/>
    </row>
    <row r="12" spans="1:11" s="2" customFormat="1" ht="15.75" customHeight="1" thickBot="1">
      <c r="A12" s="8"/>
      <c r="B12" s="27" t="s">
        <v>90</v>
      </c>
      <c r="C12" s="32" t="str">
        <f>IF('S-ASIG-05'!D12="","",'S-ASIG-05'!D12)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4.4300000000000006</v>
      </c>
      <c r="E13" s="200">
        <v>4.4000000000000004</v>
      </c>
      <c r="F13" s="24">
        <v>4.5999999999999996</v>
      </c>
      <c r="G13" s="24">
        <v>4.5</v>
      </c>
      <c r="H13" s="24">
        <v>4.2</v>
      </c>
      <c r="I13" s="24">
        <v>4</v>
      </c>
      <c r="J13" s="24">
        <v>4.5</v>
      </c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4.4300000000000006</v>
      </c>
      <c r="E14" s="200"/>
      <c r="F14" s="18">
        <v>4.5999999999999996</v>
      </c>
      <c r="G14" s="18">
        <v>4.5</v>
      </c>
      <c r="H14" s="18">
        <v>4.2</v>
      </c>
      <c r="I14" s="18">
        <v>4</v>
      </c>
      <c r="J14" s="18">
        <v>4.5</v>
      </c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4.4300000000000006</v>
      </c>
      <c r="E15" s="200"/>
      <c r="F15" s="18">
        <v>4.5999999999999996</v>
      </c>
      <c r="G15" s="18">
        <v>4.5</v>
      </c>
      <c r="H15" s="18">
        <v>4.2</v>
      </c>
      <c r="I15" s="18">
        <v>4</v>
      </c>
      <c r="J15" s="18">
        <v>4.5</v>
      </c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4.4300000000000006</v>
      </c>
      <c r="E16" s="200"/>
      <c r="F16" s="18">
        <v>4.5999999999999996</v>
      </c>
      <c r="G16" s="18">
        <v>4.5</v>
      </c>
      <c r="H16" s="18">
        <v>4.2</v>
      </c>
      <c r="I16" s="18">
        <v>4</v>
      </c>
      <c r="J16" s="18">
        <v>4.5</v>
      </c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4.4300000000000006</v>
      </c>
      <c r="E17" s="200"/>
      <c r="F17" s="18">
        <v>4.5999999999999996</v>
      </c>
      <c r="G17" s="18">
        <v>4.5</v>
      </c>
      <c r="H17" s="18">
        <v>4.2</v>
      </c>
      <c r="I17" s="18">
        <v>4</v>
      </c>
      <c r="J17" s="18">
        <v>4.5</v>
      </c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4.4300000000000006</v>
      </c>
      <c r="E18" s="200"/>
      <c r="F18" s="26">
        <v>4.5999999999999996</v>
      </c>
      <c r="G18" s="26">
        <v>4.5</v>
      </c>
      <c r="H18" s="26">
        <v>4.2</v>
      </c>
      <c r="I18" s="26">
        <v>4</v>
      </c>
      <c r="J18" s="26">
        <v>4.5</v>
      </c>
      <c r="K18" s="26"/>
    </row>
    <row r="19" spans="1:11" s="2" customFormat="1" ht="15.75" customHeight="1" thickBot="1">
      <c r="A19" s="14"/>
      <c r="B19" s="27" t="s">
        <v>92</v>
      </c>
      <c r="C19" s="32" t="str">
        <f>IF('S-ASIG-05'!D19="","",'S-ASIG-05'!D19)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4.8099999999999996</v>
      </c>
      <c r="E20" s="200">
        <v>4.8</v>
      </c>
      <c r="F20" s="24">
        <v>5</v>
      </c>
      <c r="G20" s="24">
        <v>4.5999999999999996</v>
      </c>
      <c r="H20" s="24">
        <v>5</v>
      </c>
      <c r="I20" s="24">
        <v>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4.8099999999999996</v>
      </c>
      <c r="E21" s="200"/>
      <c r="F21" s="18">
        <v>5</v>
      </c>
      <c r="G21" s="18">
        <v>4.5999999999999996</v>
      </c>
      <c r="H21" s="18">
        <v>5</v>
      </c>
      <c r="I21" s="18">
        <v>5</v>
      </c>
      <c r="J21" s="18">
        <v>4.5</v>
      </c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IF('S-ASIG-05'!D22="","",'S-ASIG-05'!D22)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IF('S-ASIG-05'!D26="","",'S-ASIG-05'!D26)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4.120000000000001</v>
      </c>
      <c r="E27" s="200">
        <v>4.2</v>
      </c>
      <c r="F27" s="24">
        <v>3.8</v>
      </c>
      <c r="G27" s="24">
        <v>4.3</v>
      </c>
      <c r="H27" s="24">
        <v>4</v>
      </c>
      <c r="I27" s="24">
        <v>5</v>
      </c>
      <c r="J27" s="24">
        <v>3.8</v>
      </c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4.0400000000000009</v>
      </c>
      <c r="E28" s="200"/>
      <c r="F28" s="18">
        <v>3.8</v>
      </c>
      <c r="G28" s="18">
        <v>3.5</v>
      </c>
      <c r="H28" s="18">
        <v>4</v>
      </c>
      <c r="I28" s="18">
        <v>5</v>
      </c>
      <c r="J28" s="18">
        <v>3.8</v>
      </c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4.0400000000000009</v>
      </c>
      <c r="E29" s="200"/>
      <c r="F29" s="18">
        <v>3.8</v>
      </c>
      <c r="G29" s="18">
        <v>3.5</v>
      </c>
      <c r="H29" s="18">
        <v>4</v>
      </c>
      <c r="I29" s="18">
        <v>5</v>
      </c>
      <c r="J29" s="18">
        <v>3.8</v>
      </c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IF('S-ASIG-05'!D33="","",'S-ASIG-05'!D33)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4.0699999999999994</v>
      </c>
      <c r="E34" s="200">
        <v>4.0999999999999996</v>
      </c>
      <c r="F34" s="24">
        <v>4</v>
      </c>
      <c r="G34" s="24">
        <v>4.2</v>
      </c>
      <c r="H34" s="24">
        <v>4.2</v>
      </c>
      <c r="I34" s="24">
        <v>4.2</v>
      </c>
      <c r="J34" s="24">
        <v>3.8</v>
      </c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4.0699999999999994</v>
      </c>
      <c r="E35" s="200"/>
      <c r="F35" s="18">
        <v>4</v>
      </c>
      <c r="G35" s="18">
        <v>4.2</v>
      </c>
      <c r="H35" s="18">
        <v>4.2</v>
      </c>
      <c r="I35" s="18">
        <v>4.2</v>
      </c>
      <c r="J35" s="18">
        <v>3.8</v>
      </c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4.0699999999999994</v>
      </c>
      <c r="E36" s="200"/>
      <c r="F36" s="18">
        <v>4</v>
      </c>
      <c r="G36" s="18">
        <v>4.2</v>
      </c>
      <c r="H36" s="18">
        <v>4.2</v>
      </c>
      <c r="I36" s="18">
        <v>4.2</v>
      </c>
      <c r="J36" s="18">
        <v>3.8</v>
      </c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4.0699999999999994</v>
      </c>
      <c r="E37" s="200"/>
      <c r="F37" s="18">
        <v>4</v>
      </c>
      <c r="G37" s="18">
        <v>4.2</v>
      </c>
      <c r="H37" s="18">
        <v>4.2</v>
      </c>
      <c r="I37" s="18">
        <v>4.2</v>
      </c>
      <c r="J37" s="18">
        <v>3.8</v>
      </c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4.0699999999999994</v>
      </c>
      <c r="E38" s="200"/>
      <c r="F38" s="18">
        <v>4</v>
      </c>
      <c r="G38" s="18">
        <v>4.2</v>
      </c>
      <c r="H38" s="18">
        <v>4.2</v>
      </c>
      <c r="I38" s="18">
        <v>4.2</v>
      </c>
      <c r="J38" s="18">
        <v>3.8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98</v>
      </c>
      <c r="C40" s="32" t="str">
        <f>IF('S-ASIG-05'!D40="","",'S-ASIG-05'!D40)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4.125</v>
      </c>
      <c r="E41" s="200">
        <v>4.2</v>
      </c>
      <c r="F41" s="24">
        <v>3.8</v>
      </c>
      <c r="G41" s="24">
        <v>4</v>
      </c>
      <c r="H41" s="24">
        <v>4.3</v>
      </c>
      <c r="I41" s="24">
        <v>5</v>
      </c>
      <c r="J41" s="24">
        <v>4</v>
      </c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4.125</v>
      </c>
      <c r="E42" s="200"/>
      <c r="F42" s="18">
        <v>3.8</v>
      </c>
      <c r="G42" s="18">
        <v>4</v>
      </c>
      <c r="H42" s="18">
        <v>4.3</v>
      </c>
      <c r="I42" s="18">
        <v>5</v>
      </c>
      <c r="J42" s="18">
        <v>4</v>
      </c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IF('S-ASIG-05'!D47="","",'S-ASIG-05'!D47)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IF('S-ASIG-05'!D54="","",'S-ASIG-05'!D54)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IF('S-ASIG-05'!D61="","",'S-ASIG-05'!D61)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IF('S-ASIG-05'!D68="","",'S-ASIG-05'!D68)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IF('S-ASIG-05'!D75="","",'S-ASIG-05'!D75)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IF('S-ASIG-05'!D82="","",'S-ASIG-05'!D82)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" activePane="bottomRight" state="frozen"/>
      <selection pane="bottomRight" activeCell="F62" sqref="F62:J67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>
        <f>LIDER!H4</f>
        <v>0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CONCATENATE(LIDER!H4," - ",LIDER!H6," - ",LIDER!H5)</f>
        <v xml:space="preserve"> -  - 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4" t="str">
        <f>IF('S-ASIG-06'!D5="","",'S-ASIG-06'!D5)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0</v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90</v>
      </c>
      <c r="C12" s="32" t="str">
        <f>IF('S-ASIG-06'!D12="","",'S-ASIG-06'!D12)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IF('S-ASIG-06'!D18="","",'S-ASIG-06'!D18)</f>
        <v/>
      </c>
      <c r="D18" s="30">
        <f>IF(B18=0,"",IF(C18="",$E$13*LIDER!$H$19+F18*LIDER!$H$20+G18*LIDER!$H$21+H18*LIDER!$H$22+I18*LIDER!$H$23+J18*LIDER!$H$24+K18*LIDER!$H$25,"N"))</f>
        <v>0</v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92</v>
      </c>
      <c r="C19" s="32" t="str">
        <f>IF('S-ASIG-06'!D19="","",'S-ASIG-06'!D19)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IF('S-ASIG-06'!D22="","",'S-ASIG-06'!D22)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IF('S-ASIG-06'!D26="","",'S-ASIG-06'!D26)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IF('S-ASIG-06'!D33="","",'S-ASIG-06'!D33)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98</v>
      </c>
      <c r="C40" s="32" t="str">
        <f>IF('S-ASIG-06'!D40="","",'S-ASIG-06'!D40)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IF('S-ASIG-06'!D47="","",'S-ASIG-06'!D47)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IF('S-ASIG-06'!D54="","",'S-ASIG-06'!D54)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IF('S-ASIG-06'!D61="","",'S-ASIG-06'!D61)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IF('S-ASIG-06'!D68="","",'S-ASIG-06'!D68)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IF('S-ASIG-06'!D75="","",'S-ASIG-06'!D75)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IF('S-ASIG-06'!D82="","",'S-ASIG-06'!D82)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E4" sqref="E4:K4"/>
      <selection pane="bottomLeft" activeCell="F62" sqref="F62:J67"/>
      <selection pane="topRight" activeCell="F62" sqref="F62:J67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5" t="str">
        <f>LIDER!B2</f>
        <v>TECNOLOGÍA EN GESTIÓN DE NEGOCIOS INTERN</v>
      </c>
      <c r="B1" s="206"/>
      <c r="C1" s="206"/>
      <c r="D1" s="206"/>
      <c r="E1" s="206"/>
      <c r="F1" s="206"/>
      <c r="G1" s="207"/>
      <c r="H1" s="21" t="str">
        <f>LIDER!E2</f>
        <v>SEMESTRE:</v>
      </c>
      <c r="I1" s="20" t="str">
        <f>LIDER!F2</f>
        <v>SEM-03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>
        <f>LIDER!I4</f>
        <v>0</v>
      </c>
      <c r="C2" s="3"/>
      <c r="E2" s="213" t="s">
        <v>84</v>
      </c>
      <c r="F2" s="214"/>
      <c r="G2" s="214"/>
      <c r="H2" s="214"/>
      <c r="I2" s="214"/>
      <c r="J2" s="214"/>
      <c r="K2" s="215"/>
    </row>
    <row r="3" spans="1:11" s="2" customFormat="1" ht="145.5" customHeight="1" thickBot="1">
      <c r="B3" s="4" t="s">
        <v>85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8" t="str">
        <f>CONCATENATE(LIDER!I4," - ",LIDER!I6," - ",LIDER!I5)</f>
        <v xml:space="preserve"> -  - </v>
      </c>
      <c r="F4" s="219"/>
      <c r="G4" s="219"/>
      <c r="H4" s="219"/>
      <c r="I4" s="219"/>
      <c r="J4" s="219"/>
      <c r="K4" s="220"/>
    </row>
    <row r="5" spans="1:11" s="2" customFormat="1" ht="15.75" customHeight="1" thickBot="1">
      <c r="A5" s="8"/>
      <c r="B5" s="27" t="s">
        <v>86</v>
      </c>
      <c r="C5" s="34" t="str">
        <f>IF('S-ASIG-07'!D5="","",'S-ASIG-07'!D5)</f>
        <v>LIST</v>
      </c>
      <c r="D5" s="35" t="s">
        <v>89</v>
      </c>
      <c r="E5" s="202" t="str">
        <f>LIDER!$E$29</f>
        <v xml:space="preserve">GRUPO#1 ARTURO CALLE </v>
      </c>
      <c r="F5" s="202"/>
      <c r="G5" s="202"/>
      <c r="H5" s="202"/>
      <c r="I5" s="202"/>
      <c r="J5" s="202"/>
      <c r="K5" s="202"/>
    </row>
    <row r="6" spans="1:11" s="2" customFormat="1" ht="12.75">
      <c r="A6" s="9">
        <v>1</v>
      </c>
      <c r="B6" s="28" t="str">
        <f>LIDER!E43</f>
        <v xml:space="preserve">THEYLON BIVANCO BELLIDO 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200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 xml:space="preserve">MARIA ALEXANDRA GARCIA MONTOYA 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200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 xml:space="preserve">VALERYA SOFIA HURTADO OLMOS 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200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 xml:space="preserve">CANDYS DANIELYS GONZALEZ 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200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 xml:space="preserve">MICHEL PAOLA SALAZAR MARRUGO 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200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 xml:space="preserve">ANDRES DAVID ANAYA GOMEZ 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200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90</v>
      </c>
      <c r="C12" s="32" t="str">
        <f>IF('S-ASIG-07'!D12="","",'S-ASIG-07'!D12)</f>
        <v>LIST</v>
      </c>
      <c r="D12" s="35" t="s">
        <v>89</v>
      </c>
      <c r="E12" s="202" t="str">
        <f>LIDER!$E$30</f>
        <v xml:space="preserve">GRUPO#2 TERPEL S.A </v>
      </c>
      <c r="F12" s="202"/>
      <c r="G12" s="202"/>
      <c r="H12" s="202"/>
      <c r="I12" s="202"/>
      <c r="J12" s="202"/>
      <c r="K12" s="202"/>
    </row>
    <row r="13" spans="1:11" s="2" customFormat="1" ht="12.75">
      <c r="A13" s="9">
        <v>1</v>
      </c>
      <c r="B13" s="28" t="str">
        <f>LIDER!F43</f>
        <v>FRANYELIS  LOPEZ GONZALEZ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200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 xml:space="preserve">DENNIS PATRICIA GARAY PEDROZA 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200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 xml:space="preserve">MARIA JOSE HERRERA GOMEZ 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200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DELIA ROSA GARCIA  DIAZ 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200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 xml:space="preserve">BEYDIS LIZETH RAMIREZ RAMOS 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200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 xml:space="preserve">EMILY VIANEY GARCIA RUBIO 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200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92</v>
      </c>
      <c r="C19" s="32" t="str">
        <f>IF('S-ASIG-07'!D19="","",'S-ASIG-07'!D19)</f>
        <v>LIST</v>
      </c>
      <c r="D19" s="35" t="s">
        <v>89</v>
      </c>
      <c r="E19" s="202" t="str">
        <f>LIDER!$E$31</f>
        <v xml:space="preserve">GRUPO#3 STUDIO F </v>
      </c>
      <c r="F19" s="202"/>
      <c r="G19" s="202"/>
      <c r="H19" s="202"/>
      <c r="I19" s="202"/>
      <c r="J19" s="202"/>
      <c r="K19" s="202"/>
    </row>
    <row r="20" spans="1:11" s="2" customFormat="1" ht="12.75">
      <c r="A20" s="9">
        <v>1</v>
      </c>
      <c r="B20" s="28" t="str">
        <f>LIDER!G43</f>
        <v xml:space="preserve">MAYRA ALEJANDRA GONZALEZ RUIZ 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200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 xml:space="preserve">AURY ESTELA PEREZ JIENEZ 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200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>
        <f>LIDER!G45</f>
        <v>0</v>
      </c>
      <c r="C22" s="33" t="str">
        <f>IF('S-ASIG-07'!D22="","",'S-ASIG-07'!D22)</f>
        <v/>
      </c>
      <c r="D22" s="30" t="str">
        <f>IF(B22=0,"",IF(C22="",$E$20*LIDER!$H$19+F22*LIDER!$H$20+G22*LIDER!$H$21+H22*LIDER!$H$22+I22*LIDER!$H$23+J22*LIDER!$H$24+K22*LIDER!$H$25,"N"))</f>
        <v/>
      </c>
      <c r="E22" s="200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200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200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200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94</v>
      </c>
      <c r="C26" s="32" t="str">
        <f>IF('S-ASIG-07'!D26="","",'S-ASIG-07'!D26)</f>
        <v>LIST</v>
      </c>
      <c r="D26" s="35" t="s">
        <v>89</v>
      </c>
      <c r="E26" s="202" t="str">
        <f>LIDER!$E$32</f>
        <v xml:space="preserve">GRUPO#4 DHL </v>
      </c>
      <c r="F26" s="202"/>
      <c r="G26" s="202"/>
      <c r="H26" s="202"/>
      <c r="I26" s="202"/>
      <c r="J26" s="202"/>
      <c r="K26" s="202"/>
    </row>
    <row r="27" spans="1:11" s="2" customFormat="1" ht="12.75">
      <c r="A27" s="9">
        <v>1</v>
      </c>
      <c r="B27" s="28" t="str">
        <f>LIDER!H43</f>
        <v xml:space="preserve">PAOLA CRISTINA JUNCO GONZALEZ 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200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 xml:space="preserve">ERIKA PATRICIA MARTINEZ SIERRA 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200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 xml:space="preserve">VALENTINA LUZ AVILEZ BERMUDEZ 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200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200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200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200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96</v>
      </c>
      <c r="C33" s="32" t="str">
        <f>IF('S-ASIG-07'!D33="","",'S-ASIG-07'!D33)</f>
        <v>LIST</v>
      </c>
      <c r="D33" s="35" t="s">
        <v>89</v>
      </c>
      <c r="E33" s="202" t="str">
        <f>LIDER!$E$33</f>
        <v xml:space="preserve">GRUPO#5 COCA COLA FEMSA </v>
      </c>
      <c r="F33" s="202"/>
      <c r="G33" s="202"/>
      <c r="H33" s="202"/>
      <c r="I33" s="202"/>
      <c r="J33" s="202"/>
      <c r="K33" s="202"/>
    </row>
    <row r="34" spans="1:11" s="2" customFormat="1" ht="12.75">
      <c r="A34" s="9">
        <v>1</v>
      </c>
      <c r="B34" s="28" t="str">
        <f>LIDER!E51</f>
        <v xml:space="preserve">WIRDER ANDRES RUIZ ROMERO 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200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 xml:space="preserve">MELANY RAMIREZ CUADRO 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200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 xml:space="preserve">VALENTINA DEL CARMEN JULIO ACOSTA 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200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 xml:space="preserve">JEAN PIERRE MUÑOZ PUELLO 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200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 xml:space="preserve">JUAN SEBASTIAN VILLA FONTALVO 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200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200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98</v>
      </c>
      <c r="C40" s="32" t="str">
        <f>IF('S-ASIG-07'!D40="","",'S-ASIG-07'!D40)</f>
        <v>LIST</v>
      </c>
      <c r="D40" s="35" t="s">
        <v>89</v>
      </c>
      <c r="E40" s="202" t="str">
        <f>LIDER!$E$34</f>
        <v xml:space="preserve">GRUPO#6 CUSTOM INTERNATIONAL </v>
      </c>
      <c r="F40" s="202"/>
      <c r="G40" s="202"/>
      <c r="H40" s="202"/>
      <c r="I40" s="202"/>
      <c r="J40" s="202"/>
      <c r="K40" s="202"/>
    </row>
    <row r="41" spans="1:11" s="2" customFormat="1" ht="12.75">
      <c r="A41" s="9">
        <v>1</v>
      </c>
      <c r="B41" s="28" t="str">
        <f>LIDER!F51</f>
        <v xml:space="preserve">PAULA LEON 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200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 xml:space="preserve">NATALIA SOFIA LASTRA  TORRES 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200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200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200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200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200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78</v>
      </c>
      <c r="C47" s="32" t="str">
        <f>IF('S-ASIG-07'!D47="","",'S-ASIG-07'!D47)</f>
        <v>LIST</v>
      </c>
      <c r="D47" s="35" t="s">
        <v>89</v>
      </c>
      <c r="E47" s="202" t="str">
        <f>LIDER!$E$35</f>
        <v>GRUPO#7</v>
      </c>
      <c r="F47" s="202"/>
      <c r="G47" s="202"/>
      <c r="H47" s="202"/>
      <c r="I47" s="202"/>
      <c r="J47" s="202"/>
      <c r="K47" s="20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200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200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200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200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200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200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79</v>
      </c>
      <c r="C54" s="32" t="str">
        <f>IF('S-ASIG-07'!D54="","",'S-ASIG-07'!D54)</f>
        <v>LIST</v>
      </c>
      <c r="D54" s="35" t="s">
        <v>89</v>
      </c>
      <c r="E54" s="202" t="str">
        <f>LIDER!$E$36</f>
        <v>GRUPO#8</v>
      </c>
      <c r="F54" s="202"/>
      <c r="G54" s="202"/>
      <c r="H54" s="202"/>
      <c r="I54" s="202"/>
      <c r="J54" s="202"/>
      <c r="K54" s="20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200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200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200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200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200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200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80</v>
      </c>
      <c r="C61" s="32" t="str">
        <f>IF('S-ASIG-07'!D61="","",'S-ASIG-07'!D61)</f>
        <v>LIST</v>
      </c>
      <c r="D61" s="35" t="s">
        <v>89</v>
      </c>
      <c r="E61" s="202" t="str">
        <f>LIDER!$E$37</f>
        <v>GRUPO#9</v>
      </c>
      <c r="F61" s="202"/>
      <c r="G61" s="202"/>
      <c r="H61" s="202"/>
      <c r="I61" s="202"/>
      <c r="J61" s="202"/>
      <c r="K61" s="20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200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200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200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200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200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200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81</v>
      </c>
      <c r="C68" s="32" t="str">
        <f>IF('S-ASIG-07'!D68="","",'S-ASIG-07'!D68)</f>
        <v>LIST</v>
      </c>
      <c r="D68" s="35" t="s">
        <v>89</v>
      </c>
      <c r="E68" s="202" t="str">
        <f>LIDER!$E$38</f>
        <v>GRUPO#10</v>
      </c>
      <c r="F68" s="202"/>
      <c r="G68" s="202"/>
      <c r="H68" s="202"/>
      <c r="I68" s="202"/>
      <c r="J68" s="202"/>
      <c r="K68" s="20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200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200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200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200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200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200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82</v>
      </c>
      <c r="C75" s="32" t="str">
        <f>IF('S-ASIG-07'!D75="","",'S-ASIG-07'!D75)</f>
        <v>LIST</v>
      </c>
      <c r="D75" s="35" t="s">
        <v>89</v>
      </c>
      <c r="E75" s="202" t="str">
        <f>LIDER!$E$39</f>
        <v>GRUPO#11</v>
      </c>
      <c r="F75" s="202"/>
      <c r="G75" s="202"/>
      <c r="H75" s="202"/>
      <c r="I75" s="202"/>
      <c r="J75" s="202"/>
      <c r="K75" s="20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200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200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200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200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200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200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83</v>
      </c>
      <c r="C82" s="32" t="str">
        <f>IF('S-ASIG-07'!D82="","",'S-ASIG-07'!D82)</f>
        <v>LIST</v>
      </c>
      <c r="D82" s="35" t="s">
        <v>89</v>
      </c>
      <c r="E82" s="202" t="str">
        <f>LIDER!$E$40</f>
        <v>GRUPO#12</v>
      </c>
      <c r="F82" s="202"/>
      <c r="G82" s="202"/>
      <c r="H82" s="202"/>
      <c r="I82" s="202"/>
      <c r="J82" s="202"/>
      <c r="K82" s="20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200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200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200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200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200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1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J5" activePane="bottomRight" state="frozen"/>
      <selection pane="bottomRight" activeCell="R15" sqref="R15"/>
      <selection pane="bottomLeft" activeCell="F62" sqref="F62:J67"/>
      <selection pane="topRight" activeCell="F62" sqref="F62:J67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9" t="str">
        <f>LIDER!B2</f>
        <v>TECNOLOGÍA EN GESTIÓN DE NEGOCIOS INTERN</v>
      </c>
      <c r="H1" s="149"/>
      <c r="I1" s="149"/>
      <c r="J1" s="149"/>
      <c r="K1" s="149"/>
      <c r="L1" s="149"/>
      <c r="M1" s="149"/>
      <c r="N1" s="148" t="str">
        <f>LIDER!E2</f>
        <v>SEMESTRE:</v>
      </c>
      <c r="O1" s="148"/>
      <c r="P1" s="44" t="str">
        <f>LIDER!F2</f>
        <v>SEM-03</v>
      </c>
      <c r="Q1" s="43" t="str">
        <f>LIDER!G2</f>
        <v>SECCIÓN:</v>
      </c>
      <c r="R1" s="44">
        <f>LIDER!H2</f>
        <v>6</v>
      </c>
      <c r="S1" s="42"/>
      <c r="T1" s="42"/>
      <c r="U1" s="45"/>
    </row>
    <row r="2" spans="1:22" ht="20.100000000000001" customHeight="1" thickBot="1">
      <c r="G2" s="145" t="s">
        <v>108</v>
      </c>
      <c r="H2" s="146"/>
      <c r="I2" s="146"/>
      <c r="J2" s="146"/>
      <c r="K2" s="146"/>
      <c r="L2" s="146"/>
      <c r="M2" s="147"/>
      <c r="N2" s="2"/>
      <c r="O2" s="150" t="s">
        <v>109</v>
      </c>
      <c r="P2" s="151"/>
      <c r="Q2" s="151"/>
      <c r="R2" s="151"/>
      <c r="S2" s="151"/>
      <c r="T2" s="151"/>
      <c r="U2" s="152"/>
    </row>
    <row r="3" spans="1:22" ht="20.100000000000001" customHeight="1" thickBot="1">
      <c r="G3" s="48" t="str">
        <f>CONCATENATE("N° : ",LIDER!C6)</f>
        <v>N° : 2478</v>
      </c>
      <c r="H3" s="49" t="str">
        <f>CONCATENATE("N° : ",LIDER!D6)</f>
        <v>N° : 2384</v>
      </c>
      <c r="I3" s="49" t="str">
        <f>CONCATENATE("N° : ",LIDER!E6)</f>
        <v>N° : 2486</v>
      </c>
      <c r="J3" s="49" t="str">
        <f>CONCATENATE("N° : ",LIDER!F6)</f>
        <v>N° : 1528</v>
      </c>
      <c r="K3" s="49" t="str">
        <f>CONCATENATE("N° : ",LIDER!G6)</f>
        <v>N° : 1408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2478</v>
      </c>
      <c r="P3" s="49" t="str">
        <f t="shared" ref="P3:U3" si="0">H3</f>
        <v>N° : 2384</v>
      </c>
      <c r="Q3" s="49" t="str">
        <f t="shared" si="0"/>
        <v>N° : 2486</v>
      </c>
      <c r="R3" s="49" t="str">
        <f t="shared" si="0"/>
        <v>N° : 1528</v>
      </c>
      <c r="S3" s="49" t="str">
        <f t="shared" si="0"/>
        <v>N° : 1408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21</v>
      </c>
      <c r="C4" s="53" t="s">
        <v>110</v>
      </c>
      <c r="D4" s="54" t="s">
        <v>111</v>
      </c>
      <c r="E4" s="55" t="s">
        <v>112</v>
      </c>
      <c r="G4" s="56" t="str">
        <f>MID(LIDER!C4,1,9)</f>
        <v>INTERNACI</v>
      </c>
      <c r="H4" s="57" t="str">
        <f>MID(LIDER!D4,1,9)</f>
        <v>TECNOLOGI</v>
      </c>
      <c r="I4" s="57" t="str">
        <f>MID(LIDER!E4,1,9)</f>
        <v>LEGISLACI</v>
      </c>
      <c r="J4" s="57" t="str">
        <f>MID(LIDER!F4,1,9)</f>
        <v>MACROECON</v>
      </c>
      <c r="K4" s="57" t="str">
        <f>MID(LIDER!G4,1,9)</f>
        <v>MATEMÁTIC</v>
      </c>
      <c r="L4" s="57" t="str">
        <f>MID(LIDER!H4,1,9)</f>
        <v/>
      </c>
      <c r="M4" s="58" t="str">
        <f>MID(LIDER!I4,1,9)</f>
        <v/>
      </c>
      <c r="N4" s="59" t="s">
        <v>113</v>
      </c>
      <c r="O4" s="60" t="str">
        <f t="shared" ref="O4:U4" si="1">G4</f>
        <v>INTERNACI</v>
      </c>
      <c r="P4" s="61" t="str">
        <f t="shared" si="1"/>
        <v>TECNOLOGI</v>
      </c>
      <c r="Q4" s="61" t="str">
        <f t="shared" si="1"/>
        <v>LEGISLACI</v>
      </c>
      <c r="R4" s="61" t="str">
        <f t="shared" si="1"/>
        <v>MACROECON</v>
      </c>
      <c r="S4" s="61" t="str">
        <f t="shared" si="1"/>
        <v>MATEMÁTIC</v>
      </c>
      <c r="T4" s="61" t="str">
        <f t="shared" si="1"/>
        <v/>
      </c>
      <c r="U4" s="62" t="str">
        <f t="shared" si="1"/>
        <v/>
      </c>
      <c r="V4" s="59" t="s">
        <v>114</v>
      </c>
    </row>
    <row r="5" spans="1:22" ht="15" customHeight="1">
      <c r="A5" s="12">
        <v>1</v>
      </c>
      <c r="B5" s="63" t="str">
        <f>LIDER!C9</f>
        <v xml:space="preserve">THEYLON BIVANCO BELLIDO 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3.9860000000000007</v>
      </c>
      <c r="E5" s="66">
        <f>IF(B5=0,"",IFERROR(SUMIF(O5:U5,"&gt;0",O5:U5)/COUNTIF(O5:U5,"&gt;0"),0))</f>
        <v>4.4219999999999997</v>
      </c>
      <c r="F5" s="47"/>
      <c r="G5" s="67">
        <f>IF(B5=0,"",IFERROR(VLOOKUP(B5,'S-ASIG-01'!$B$5:$E$88,4,0),0))</f>
        <v>4.2299999999999995</v>
      </c>
      <c r="H5" s="65">
        <f>IF(B5=0,"",IFERROR(VLOOKUP(B5,'S-ASIG-02'!$B$5:$E$88,4,0),0))</f>
        <v>4.2</v>
      </c>
      <c r="I5" s="65">
        <f>IF(B5=0,"",IFERROR(VLOOKUP(B5,'S-ASIG-03'!$B$5:$E$88,4,0),0))</f>
        <v>4.4000000000000004</v>
      </c>
      <c r="J5" s="65">
        <f>IF(B5=0,"",IFERROR(VLOOKUP(B5,'S-ASIG-04'!$B$5:$E$88,4,0),0))</f>
        <v>4.0000000000000009</v>
      </c>
      <c r="K5" s="65">
        <f>IF(B5=0,"",IFERROR(VLOOKUP(B5,'S-ASIG-05'!$B$5:$E$88,4,0),0))</f>
        <v>3.1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115</v>
      </c>
      <c r="O5" s="67">
        <f>IF(B5=0,"",IFERROR(VLOOKUP(B5,'T-ASIG-01'!$B$5:$D$88,3,0),0))</f>
        <v>4.0750000000000002</v>
      </c>
      <c r="P5" s="65">
        <f>IF(B5=0,"",IFERROR(VLOOKUP(B5,'T-ASIG-02'!$B$5:$D$88,3,0),0))</f>
        <v>4.55</v>
      </c>
      <c r="Q5" s="65">
        <f>IF(B5=0,"",IFERROR(VLOOKUP(B5,'T-ASIG-03'!$B$5:$D$88,3,0),0))</f>
        <v>4.8500000000000005</v>
      </c>
      <c r="R5" s="65">
        <f>IF(B5=0,"",IFERROR(VLOOKUP(B5,'T-ASIG-04'!$B$5:$D$88,3,0),0))</f>
        <v>4.1449999999999996</v>
      </c>
      <c r="S5" s="65">
        <f>IF(B5=0,"",IFERROR(VLOOKUP(B5,'T-ASIG-05'!$B$5:$D$88,3,0),0))</f>
        <v>4.49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116</v>
      </c>
    </row>
    <row r="6" spans="1:22" ht="15" customHeight="1">
      <c r="A6" s="12">
        <v>2</v>
      </c>
      <c r="B6" s="70" t="str">
        <f>LIDER!C10</f>
        <v xml:space="preserve">MARIA ALEXANDRA GARCIA MONTOYA 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3.9860000000000007</v>
      </c>
      <c r="E6" s="66">
        <f t="shared" ref="E6:E54" si="3">IF(B6=0,"",IFERROR(SUMIF(O6:U6,"&gt;0",O6:U6)/COUNTIF(O6:U6,"&gt;0"),0))</f>
        <v>4.431</v>
      </c>
      <c r="F6" s="47"/>
      <c r="G6" s="71">
        <f>IF(B6=0,"",IFERROR(VLOOKUP(B6,'S-ASIG-01'!$B$5:$E$88,4,0),0))</f>
        <v>4.2299999999999995</v>
      </c>
      <c r="H6" s="72">
        <f>IF(B6=0,"",IFERROR(VLOOKUP(B6,'S-ASIG-02'!$B$5:$E$88,4,0),0))</f>
        <v>4.2</v>
      </c>
      <c r="I6" s="72">
        <f>IF(B6=0,"",IFERROR(VLOOKUP(B6,'S-ASIG-03'!$B$5:$E$88,4,0),0))</f>
        <v>4.4000000000000004</v>
      </c>
      <c r="J6" s="72">
        <f>IF(B6=0,"",IFERROR(VLOOKUP(B6,'S-ASIG-04'!$B$5:$E$88,4,0),0))</f>
        <v>4.0000000000000009</v>
      </c>
      <c r="K6" s="72">
        <f>IF(B6=0,"",IFERROR(VLOOKUP(B6,'S-ASIG-05'!$B$5:$E$88,4,0),0))</f>
        <v>3.1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115</v>
      </c>
      <c r="O6" s="71">
        <f>IF(B6=0,"",IFERROR(VLOOKUP(B6,'T-ASIG-01'!$B$5:$D$88,3,0),0))</f>
        <v>4.0750000000000002</v>
      </c>
      <c r="P6" s="72">
        <f>IF(B6=0,"",IFERROR(VLOOKUP(B6,'T-ASIG-02'!$B$5:$D$88,3,0),0))</f>
        <v>4.5749999999999993</v>
      </c>
      <c r="Q6" s="72">
        <f>IF(B6=0,"",IFERROR(VLOOKUP(B6,'T-ASIG-03'!$B$5:$D$88,3,0),0))</f>
        <v>4.9000000000000004</v>
      </c>
      <c r="R6" s="72">
        <f>IF(B6=0,"",IFERROR(VLOOKUP(B6,'T-ASIG-04'!$B$5:$D$88,3,0),0))</f>
        <v>4.1150000000000002</v>
      </c>
      <c r="S6" s="72">
        <f>IF(B6=0,"",IFERROR(VLOOKUP(B6,'T-ASIG-05'!$B$5:$D$88,3,0),0))</f>
        <v>4.49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116</v>
      </c>
    </row>
    <row r="7" spans="1:22" ht="15" customHeight="1">
      <c r="A7" s="12">
        <v>3</v>
      </c>
      <c r="B7" s="70" t="str">
        <f>LIDER!C11</f>
        <v xml:space="preserve">CANDYS DANIELYS GONZALEZ </v>
      </c>
      <c r="C7" s="64" t="str">
        <f>IF(B7=0,"",IFERROR(VLOOKUP(B7,'S-ASIG-01'!$B$5:$E$88,2,0),0))</f>
        <v>G01</v>
      </c>
      <c r="D7" s="65">
        <f t="shared" si="2"/>
        <v>3.9860000000000007</v>
      </c>
      <c r="E7" s="66">
        <f t="shared" si="3"/>
        <v>4.4099999999999993</v>
      </c>
      <c r="F7" s="47"/>
      <c r="G7" s="71">
        <f>IF(B7=0,"",IFERROR(VLOOKUP(B7,'S-ASIG-01'!$B$5:$E$88,4,0),0))</f>
        <v>4.2299999999999995</v>
      </c>
      <c r="H7" s="72">
        <f>IF(B7=0,"",IFERROR(VLOOKUP(B7,'S-ASIG-02'!$B$5:$E$88,4,0),0))</f>
        <v>4.2</v>
      </c>
      <c r="I7" s="72">
        <f>IF(B7=0,"",IFERROR(VLOOKUP(B7,'S-ASIG-03'!$B$5:$E$88,4,0),0))</f>
        <v>4.4000000000000004</v>
      </c>
      <c r="J7" s="72">
        <f>IF(B7=0,"",IFERROR(VLOOKUP(B7,'S-ASIG-04'!$B$5:$E$88,4,0),0))</f>
        <v>4.0000000000000009</v>
      </c>
      <c r="K7" s="72">
        <f>IF(B7=0,"",IFERROR(VLOOKUP(B7,'S-ASIG-05'!$B$5:$E$88,4,0),0))</f>
        <v>3.1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115</v>
      </c>
      <c r="O7" s="71">
        <f>IF(B7=0,"",IFERROR(VLOOKUP(B7,'T-ASIG-01'!$B$5:$D$88,3,0),0))</f>
        <v>4.0750000000000002</v>
      </c>
      <c r="P7" s="72">
        <f>IF(B7=0,"",IFERROR(VLOOKUP(B7,'T-ASIG-02'!$B$5:$D$88,3,0),0))</f>
        <v>4.5749999999999993</v>
      </c>
      <c r="Q7" s="72">
        <f>IF(B7=0,"",IFERROR(VLOOKUP(B7,'T-ASIG-03'!$B$5:$D$88,3,0),0))</f>
        <v>4.8000000000000007</v>
      </c>
      <c r="R7" s="72">
        <f>IF(B7=0,"",IFERROR(VLOOKUP(B7,'T-ASIG-04'!$B$5:$D$88,3,0),0))</f>
        <v>4.1100000000000003</v>
      </c>
      <c r="S7" s="72">
        <f>IF(B7=0,"",IFERROR(VLOOKUP(B7,'T-ASIG-05'!$B$5:$D$88,3,0),0))</f>
        <v>4.49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116</v>
      </c>
    </row>
    <row r="8" spans="1:22" ht="15" customHeight="1">
      <c r="A8" s="12">
        <v>4</v>
      </c>
      <c r="B8" s="70" t="str">
        <f>LIDER!C12</f>
        <v xml:space="preserve">VALERYA SOFIA HURTADO OLMOS </v>
      </c>
      <c r="C8" s="64" t="str">
        <f>IF(B8=0,"",IFERROR(VLOOKUP(B8,'S-ASIG-01'!$B$5:$E$88,2,0),0))</f>
        <v>G01</v>
      </c>
      <c r="D8" s="65">
        <f t="shared" si="2"/>
        <v>3.9860000000000007</v>
      </c>
      <c r="E8" s="66">
        <f t="shared" si="3"/>
        <v>4.4099999999999993</v>
      </c>
      <c r="F8" s="47"/>
      <c r="G8" s="71">
        <f>IF(B8=0,"",IFERROR(VLOOKUP(B8,'S-ASIG-01'!$B$5:$E$88,4,0),0))</f>
        <v>4.2299999999999995</v>
      </c>
      <c r="H8" s="72">
        <f>IF(B8=0,"",IFERROR(VLOOKUP(B8,'S-ASIG-02'!$B$5:$E$88,4,0),0))</f>
        <v>4.2</v>
      </c>
      <c r="I8" s="72">
        <f>IF(B8=0,"",IFERROR(VLOOKUP(B8,'S-ASIG-03'!$B$5:$E$88,4,0),0))</f>
        <v>4.4000000000000004</v>
      </c>
      <c r="J8" s="72">
        <f>IF(B8=0,"",IFERROR(VLOOKUP(B8,'S-ASIG-04'!$B$5:$E$88,4,0),0))</f>
        <v>4.0000000000000009</v>
      </c>
      <c r="K8" s="72">
        <f>IF(B8=0,"",IFERROR(VLOOKUP(B8,'S-ASIG-05'!$B$5:$E$88,4,0),0))</f>
        <v>3.1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115</v>
      </c>
      <c r="O8" s="71">
        <f>IF(B8=0,"",IFERROR(VLOOKUP(B8,'T-ASIG-01'!$B$5:$D$88,3,0),0))</f>
        <v>4.0750000000000002</v>
      </c>
      <c r="P8" s="72">
        <f>IF(B8=0,"",IFERROR(VLOOKUP(B8,'T-ASIG-02'!$B$5:$D$88,3,0),0))</f>
        <v>4.5749999999999993</v>
      </c>
      <c r="Q8" s="72">
        <f>IF(B8=0,"",IFERROR(VLOOKUP(B8,'T-ASIG-03'!$B$5:$D$88,3,0),0))</f>
        <v>4.8000000000000007</v>
      </c>
      <c r="R8" s="72">
        <f>IF(B8=0,"",IFERROR(VLOOKUP(B8,'T-ASIG-04'!$B$5:$D$88,3,0),0))</f>
        <v>4.1100000000000003</v>
      </c>
      <c r="S8" s="72">
        <f>IF(B8=0,"",IFERROR(VLOOKUP(B8,'T-ASIG-05'!$B$5:$D$88,3,0),0))</f>
        <v>4.49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116</v>
      </c>
    </row>
    <row r="9" spans="1:22" ht="15" customHeight="1">
      <c r="A9" s="12">
        <v>5</v>
      </c>
      <c r="B9" s="70" t="str">
        <f>LIDER!C13</f>
        <v xml:space="preserve">MICHEL PAOLA SALAZAR MARRUGO </v>
      </c>
      <c r="C9" s="64" t="str">
        <f>IF(B9=0,"",IFERROR(VLOOKUP(B9,'S-ASIG-01'!$B$5:$E$88,2,0),0))</f>
        <v>G01</v>
      </c>
      <c r="D9" s="65">
        <f t="shared" si="2"/>
        <v>3.9860000000000007</v>
      </c>
      <c r="E9" s="66">
        <f t="shared" si="3"/>
        <v>4.42</v>
      </c>
      <c r="F9" s="47"/>
      <c r="G9" s="71">
        <f>IF(B9=0,"",IFERROR(VLOOKUP(B9,'S-ASIG-01'!$B$5:$E$88,4,0),0))</f>
        <v>4.2299999999999995</v>
      </c>
      <c r="H9" s="72">
        <f>IF(B9=0,"",IFERROR(VLOOKUP(B9,'S-ASIG-02'!$B$5:$E$88,4,0),0))</f>
        <v>4.2</v>
      </c>
      <c r="I9" s="72">
        <f>IF(B9=0,"",IFERROR(VLOOKUP(B9,'S-ASIG-03'!$B$5:$E$88,4,0),0))</f>
        <v>4.4000000000000004</v>
      </c>
      <c r="J9" s="72">
        <f>IF(B9=0,"",IFERROR(VLOOKUP(B9,'S-ASIG-04'!$B$5:$E$88,4,0),0))</f>
        <v>4.0000000000000009</v>
      </c>
      <c r="K9" s="72">
        <f>IF(B9=0,"",IFERROR(VLOOKUP(B9,'S-ASIG-05'!$B$5:$E$88,4,0),0))</f>
        <v>3.1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115</v>
      </c>
      <c r="O9" s="71">
        <f>IF(B9=0,"",IFERROR(VLOOKUP(B9,'T-ASIG-01'!$B$5:$D$88,3,0),0))</f>
        <v>4.0750000000000002</v>
      </c>
      <c r="P9" s="72">
        <f>IF(B9=0,"",IFERROR(VLOOKUP(B9,'T-ASIG-02'!$B$5:$D$88,3,0),0))</f>
        <v>4.5749999999999993</v>
      </c>
      <c r="Q9" s="72">
        <f>IF(B9=0,"",IFERROR(VLOOKUP(B9,'T-ASIG-03'!$B$5:$D$88,3,0),0))</f>
        <v>4.8500000000000005</v>
      </c>
      <c r="R9" s="72">
        <f>IF(B9=0,"",IFERROR(VLOOKUP(B9,'T-ASIG-04'!$B$5:$D$88,3,0),0))</f>
        <v>4.1100000000000003</v>
      </c>
      <c r="S9" s="72">
        <f>IF(B9=0,"",IFERROR(VLOOKUP(B9,'T-ASIG-05'!$B$5:$D$88,3,0),0))</f>
        <v>4.49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116</v>
      </c>
    </row>
    <row r="10" spans="1:22" ht="15" customHeight="1">
      <c r="A10" s="12">
        <v>6</v>
      </c>
      <c r="B10" s="70" t="str">
        <f>LIDER!C14</f>
        <v xml:space="preserve">ANDRES DAVID ANAYA GOMEZ </v>
      </c>
      <c r="C10" s="64" t="str">
        <f>IF(B10=0,"",IFERROR(VLOOKUP(B10,'S-ASIG-01'!$B$5:$E$88,2,0),0))</f>
        <v>G01</v>
      </c>
      <c r="D10" s="65">
        <f t="shared" si="2"/>
        <v>3.9860000000000007</v>
      </c>
      <c r="E10" s="66">
        <f t="shared" si="3"/>
        <v>4.4079999999999995</v>
      </c>
      <c r="F10" s="47"/>
      <c r="G10" s="71">
        <f>IF(B10=0,"",IFERROR(VLOOKUP(B10,'S-ASIG-01'!$B$5:$E$88,4,0),0))</f>
        <v>4.2299999999999995</v>
      </c>
      <c r="H10" s="72">
        <f>IF(B10=0,"",IFERROR(VLOOKUP(B10,'S-ASIG-02'!$B$5:$E$88,4,0),0))</f>
        <v>4.2</v>
      </c>
      <c r="I10" s="72">
        <f>IF(B10=0,"",IFERROR(VLOOKUP(B10,'S-ASIG-03'!$B$5:$E$88,4,0),0))</f>
        <v>4.4000000000000004</v>
      </c>
      <c r="J10" s="72">
        <f>IF(B10=0,"",IFERROR(VLOOKUP(B10,'S-ASIG-04'!$B$5:$E$88,4,0),0))</f>
        <v>4.0000000000000009</v>
      </c>
      <c r="K10" s="72">
        <f>IF(B10=0,"",IFERROR(VLOOKUP(B10,'S-ASIG-05'!$B$5:$E$88,4,0),0))</f>
        <v>3.1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115</v>
      </c>
      <c r="O10" s="71">
        <f>IF(B10=0,"",IFERROR(VLOOKUP(B10,'T-ASIG-01'!$B$5:$D$88,3,0),0))</f>
        <v>4.0750000000000002</v>
      </c>
      <c r="P10" s="72">
        <f>IF(B10=0,"",IFERROR(VLOOKUP(B10,'T-ASIG-02'!$B$5:$D$88,3,0),0))</f>
        <v>4.5649999999999995</v>
      </c>
      <c r="Q10" s="72">
        <f>IF(B10=0,"",IFERROR(VLOOKUP(B10,'T-ASIG-03'!$B$5:$D$88,3,0),0))</f>
        <v>4.8000000000000007</v>
      </c>
      <c r="R10" s="72">
        <f>IF(B10=0,"",IFERROR(VLOOKUP(B10,'T-ASIG-04'!$B$5:$D$88,3,0),0))</f>
        <v>4.1100000000000003</v>
      </c>
      <c r="S10" s="72">
        <f>IF(B10=0,"",IFERROR(VLOOKUP(B10,'T-ASIG-05'!$B$5:$D$88,3,0),0))</f>
        <v>4.49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116</v>
      </c>
    </row>
    <row r="11" spans="1:22" ht="15" customHeight="1">
      <c r="A11" s="12">
        <v>7</v>
      </c>
      <c r="B11" s="70" t="str">
        <f>LIDER!C15</f>
        <v>FRANYELIS  LOPEZ GONZALEZ</v>
      </c>
      <c r="C11" s="64" t="str">
        <f>IF(B11=0,"",IFERROR(VLOOKUP(B11,'S-ASIG-01'!$B$5:$E$88,2,0),0))</f>
        <v>G02</v>
      </c>
      <c r="D11" s="65">
        <f t="shared" si="2"/>
        <v>4.0179999999999998</v>
      </c>
      <c r="E11" s="66">
        <f t="shared" si="3"/>
        <v>4.2700000000000005</v>
      </c>
      <c r="F11" s="47"/>
      <c r="G11" s="71">
        <f>IF(B11=0,"",IFERROR(VLOOKUP(B11,'S-ASIG-01'!$B$5:$E$88,4,0),0))</f>
        <v>4.2699999999999996</v>
      </c>
      <c r="H11" s="72">
        <f>IF(B11=0,"",IFERROR(VLOOKUP(B11,'S-ASIG-02'!$B$5:$E$88,4,0),0))</f>
        <v>4.3600000000000003</v>
      </c>
      <c r="I11" s="72">
        <f>IF(B11=0,"",IFERROR(VLOOKUP(B11,'S-ASIG-03'!$B$5:$E$88,4,0),0))</f>
        <v>3.8</v>
      </c>
      <c r="J11" s="72">
        <f>IF(B11=0,"",IFERROR(VLOOKUP(B11,'S-ASIG-04'!$B$5:$E$88,4,0),0))</f>
        <v>4.12</v>
      </c>
      <c r="K11" s="72">
        <f>IF(B11=0,"",IFERROR(VLOOKUP(B11,'S-ASIG-05'!$B$5:$E$88,4,0),0))</f>
        <v>3.5399999999999996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115</v>
      </c>
      <c r="O11" s="71">
        <f>IF(B11=0,"",IFERROR(VLOOKUP(B11,'T-ASIG-01'!$B$5:$D$88,3,0),0))</f>
        <v>4.2549999999999999</v>
      </c>
      <c r="P11" s="72">
        <f>IF(B11=0,"",IFERROR(VLOOKUP(B11,'T-ASIG-02'!$B$5:$D$88,3,0),0))</f>
        <v>3.9200000000000004</v>
      </c>
      <c r="Q11" s="72">
        <f>IF(B11=0,"",IFERROR(VLOOKUP(B11,'T-ASIG-03'!$B$5:$D$88,3,0),0))</f>
        <v>4.55</v>
      </c>
      <c r="R11" s="72">
        <f>IF(B11=0,"",IFERROR(VLOOKUP(B11,'T-ASIG-04'!$B$5:$D$88,3,0),0))</f>
        <v>4.1949999999999994</v>
      </c>
      <c r="S11" s="72">
        <f>IF(B11=0,"",IFERROR(VLOOKUP(B11,'T-ASIG-05'!$B$5:$D$88,3,0),0))</f>
        <v>4.4300000000000006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116</v>
      </c>
    </row>
    <row r="12" spans="1:22" ht="15" customHeight="1">
      <c r="A12" s="12">
        <v>8</v>
      </c>
      <c r="B12" s="70" t="str">
        <f>LIDER!C16</f>
        <v xml:space="preserve">DENNIS PATRICIA GARAY PEDROZA </v>
      </c>
      <c r="C12" s="64" t="str">
        <f>IF(B12=0,"",IFERROR(VLOOKUP(B12,'S-ASIG-01'!$B$5:$E$88,2,0),0))</f>
        <v>G02</v>
      </c>
      <c r="D12" s="65">
        <f t="shared" si="2"/>
        <v>4.0179999999999998</v>
      </c>
      <c r="E12" s="66">
        <f t="shared" si="3"/>
        <v>4.38</v>
      </c>
      <c r="F12" s="47"/>
      <c r="G12" s="71">
        <f>IF(B12=0,"",IFERROR(VLOOKUP(B12,'S-ASIG-01'!$B$5:$E$88,4,0),0))</f>
        <v>4.2699999999999996</v>
      </c>
      <c r="H12" s="72">
        <f>IF(B12=0,"",IFERROR(VLOOKUP(B12,'S-ASIG-02'!$B$5:$E$88,4,0),0))</f>
        <v>4.3600000000000003</v>
      </c>
      <c r="I12" s="72">
        <f>IF(B12=0,"",IFERROR(VLOOKUP(B12,'S-ASIG-03'!$B$5:$E$88,4,0),0))</f>
        <v>3.8</v>
      </c>
      <c r="J12" s="72">
        <f>IF(B12=0,"",IFERROR(VLOOKUP(B12,'S-ASIG-04'!$B$5:$E$88,4,0),0))</f>
        <v>4.12</v>
      </c>
      <c r="K12" s="72">
        <f>IF(B12=0,"",IFERROR(VLOOKUP(B12,'S-ASIG-05'!$B$5:$E$88,4,0),0))</f>
        <v>3.5399999999999996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115</v>
      </c>
      <c r="O12" s="71">
        <f>IF(B12=0,"",IFERROR(VLOOKUP(B12,'T-ASIG-01'!$B$5:$D$88,3,0),0))</f>
        <v>4.2549999999999999</v>
      </c>
      <c r="P12" s="72">
        <f>IF(B12=0,"",IFERROR(VLOOKUP(B12,'T-ASIG-02'!$B$5:$D$88,3,0),0))</f>
        <v>4.3500000000000005</v>
      </c>
      <c r="Q12" s="72">
        <f>IF(B12=0,"",IFERROR(VLOOKUP(B12,'T-ASIG-03'!$B$5:$D$88,3,0),0))</f>
        <v>4.7</v>
      </c>
      <c r="R12" s="72">
        <f>IF(B12=0,"",IFERROR(VLOOKUP(B12,'T-ASIG-04'!$B$5:$D$88,3,0),0))</f>
        <v>4.165</v>
      </c>
      <c r="S12" s="72">
        <f>IF(B12=0,"",IFERROR(VLOOKUP(B12,'T-ASIG-05'!$B$5:$D$88,3,0),0))</f>
        <v>4.4300000000000006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116</v>
      </c>
    </row>
    <row r="13" spans="1:22" ht="15" customHeight="1">
      <c r="A13" s="12">
        <v>9</v>
      </c>
      <c r="B13" s="70" t="str">
        <f>LIDER!C17</f>
        <v xml:space="preserve">MARIA JOSE HERRERA GOMEZ </v>
      </c>
      <c r="C13" s="64" t="str">
        <f>IF(B13=0,"",IFERROR(VLOOKUP(B13,'S-ASIG-01'!$B$5:$E$88,2,0),0))</f>
        <v>G02</v>
      </c>
      <c r="D13" s="65">
        <f t="shared" si="2"/>
        <v>4.0179999999999998</v>
      </c>
      <c r="E13" s="66">
        <f t="shared" si="3"/>
        <v>4.4150000000000009</v>
      </c>
      <c r="F13" s="47"/>
      <c r="G13" s="71">
        <f>IF(B13=0,"",IFERROR(VLOOKUP(B13,'S-ASIG-01'!$B$5:$E$88,4,0),0))</f>
        <v>4.2699999999999996</v>
      </c>
      <c r="H13" s="72">
        <f>IF(B13=0,"",IFERROR(VLOOKUP(B13,'S-ASIG-02'!$B$5:$E$88,4,0),0))</f>
        <v>4.3600000000000003</v>
      </c>
      <c r="I13" s="72">
        <f>IF(B13=0,"",IFERROR(VLOOKUP(B13,'S-ASIG-03'!$B$5:$E$88,4,0),0))</f>
        <v>3.8</v>
      </c>
      <c r="J13" s="72">
        <f>IF(B13=0,"",IFERROR(VLOOKUP(B13,'S-ASIG-04'!$B$5:$E$88,4,0),0))</f>
        <v>4.12</v>
      </c>
      <c r="K13" s="72">
        <f>IF(B13=0,"",IFERROR(VLOOKUP(B13,'S-ASIG-05'!$B$5:$E$88,4,0),0))</f>
        <v>3.5399999999999996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115</v>
      </c>
      <c r="O13" s="71">
        <f>IF(B13=0,"",IFERROR(VLOOKUP(B13,'T-ASIG-01'!$B$5:$D$88,3,0),0))</f>
        <v>4.2549999999999999</v>
      </c>
      <c r="P13" s="72">
        <f>IF(B13=0,"",IFERROR(VLOOKUP(B13,'T-ASIG-02'!$B$5:$D$88,3,0),0))</f>
        <v>4.3800000000000008</v>
      </c>
      <c r="Q13" s="72">
        <f>IF(B13=0,"",IFERROR(VLOOKUP(B13,'T-ASIG-03'!$B$5:$D$88,3,0),0))</f>
        <v>4.8500000000000005</v>
      </c>
      <c r="R13" s="72">
        <f>IF(B13=0,"",IFERROR(VLOOKUP(B13,'T-ASIG-04'!$B$5:$D$88,3,0),0))</f>
        <v>4.16</v>
      </c>
      <c r="S13" s="72">
        <f>IF(B13=0,"",IFERROR(VLOOKUP(B13,'T-ASIG-05'!$B$5:$D$88,3,0),0))</f>
        <v>4.4300000000000006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116</v>
      </c>
    </row>
    <row r="14" spans="1:22" ht="15" customHeight="1">
      <c r="A14" s="12">
        <v>10</v>
      </c>
      <c r="B14" s="70" t="str">
        <f>LIDER!C18</f>
        <v xml:space="preserve">DELIA ROSA GARCIA  DIAZ </v>
      </c>
      <c r="C14" s="64" t="str">
        <f>IF(B14=0,"",IFERROR(VLOOKUP(B14,'S-ASIG-01'!$B$5:$E$88,2,0),0))</f>
        <v>G02</v>
      </c>
      <c r="D14" s="65">
        <f t="shared" si="2"/>
        <v>4.0179999999999998</v>
      </c>
      <c r="E14" s="66">
        <f t="shared" si="3"/>
        <v>4.4050000000000002</v>
      </c>
      <c r="F14" s="47"/>
      <c r="G14" s="71">
        <f>IF(B14=0,"",IFERROR(VLOOKUP(B14,'S-ASIG-01'!$B$5:$E$88,4,0),0))</f>
        <v>4.2699999999999996</v>
      </c>
      <c r="H14" s="72">
        <f>IF(B14=0,"",IFERROR(VLOOKUP(B14,'S-ASIG-02'!$B$5:$E$88,4,0),0))</f>
        <v>4.3600000000000003</v>
      </c>
      <c r="I14" s="72">
        <f>IF(B14=0,"",IFERROR(VLOOKUP(B14,'S-ASIG-03'!$B$5:$E$88,4,0),0))</f>
        <v>3.8</v>
      </c>
      <c r="J14" s="72">
        <f>IF(B14=0,"",IFERROR(VLOOKUP(B14,'S-ASIG-04'!$B$5:$E$88,4,0),0))</f>
        <v>4.12</v>
      </c>
      <c r="K14" s="72">
        <f>IF(B14=0,"",IFERROR(VLOOKUP(B14,'S-ASIG-05'!$B$5:$E$88,4,0),0))</f>
        <v>3.5399999999999996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115</v>
      </c>
      <c r="O14" s="71">
        <f>IF(B14=0,"",IFERROR(VLOOKUP(B14,'T-ASIG-01'!$B$5:$D$88,3,0),0))</f>
        <v>4.2549999999999999</v>
      </c>
      <c r="P14" s="72">
        <f>IF(B14=0,"",IFERROR(VLOOKUP(B14,'T-ASIG-02'!$B$5:$D$88,3,0),0))</f>
        <v>4.330000000000001</v>
      </c>
      <c r="Q14" s="72">
        <f>IF(B14=0,"",IFERROR(VLOOKUP(B14,'T-ASIG-03'!$B$5:$D$88,3,0),0))</f>
        <v>4.8500000000000005</v>
      </c>
      <c r="R14" s="72">
        <f>IF(B14=0,"",IFERROR(VLOOKUP(B14,'T-ASIG-04'!$B$5:$D$88,3,0),0))</f>
        <v>4.16</v>
      </c>
      <c r="S14" s="72">
        <f>IF(B14=0,"",IFERROR(VLOOKUP(B14,'T-ASIG-05'!$B$5:$D$88,3,0),0))</f>
        <v>4.4300000000000006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116</v>
      </c>
    </row>
    <row r="15" spans="1:22" ht="15" customHeight="1">
      <c r="A15" s="12">
        <v>11</v>
      </c>
      <c r="B15" s="70" t="str">
        <f>LIDER!C19</f>
        <v xml:space="preserve">EMILY VIANEY GARCIA RUBIO </v>
      </c>
      <c r="C15" s="64" t="str">
        <f>IF(B15=0,"",IFERROR(VLOOKUP(B15,'S-ASIG-01'!$B$5:$E$88,2,0),0))</f>
        <v>G02</v>
      </c>
      <c r="D15" s="65">
        <f t="shared" si="2"/>
        <v>4.0179999999999998</v>
      </c>
      <c r="E15" s="66">
        <f t="shared" si="3"/>
        <v>4.4262500000000005</v>
      </c>
      <c r="F15" s="47"/>
      <c r="G15" s="71">
        <f>IF(B15=0,"",IFERROR(VLOOKUP(B15,'S-ASIG-01'!$B$5:$E$88,4,0),0))</f>
        <v>4.2699999999999996</v>
      </c>
      <c r="H15" s="72">
        <f>IF(B15=0,"",IFERROR(VLOOKUP(B15,'S-ASIG-02'!$B$5:$E$88,4,0),0))</f>
        <v>4.3600000000000003</v>
      </c>
      <c r="I15" s="72">
        <f>IF(B15=0,"",IFERROR(VLOOKUP(B15,'S-ASIG-03'!$B$5:$E$88,4,0),0))</f>
        <v>3.8</v>
      </c>
      <c r="J15" s="72">
        <f>IF(B15=0,"",IFERROR(VLOOKUP(B15,'S-ASIG-04'!$B$5:$E$88,4,0),0))</f>
        <v>4.12</v>
      </c>
      <c r="K15" s="72">
        <f>IF(B15=0,"",IFERROR(VLOOKUP(B15,'S-ASIG-05'!$B$5:$E$88,4,0),0))</f>
        <v>3.5399999999999996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115</v>
      </c>
      <c r="O15" s="71">
        <f>IF(B15=0,"",IFERROR(VLOOKUP(B15,'T-ASIG-01'!$B$5:$D$88,3,0),0))</f>
        <v>4.2549999999999999</v>
      </c>
      <c r="P15" s="72">
        <f>IF(B15=0,"",IFERROR(VLOOKUP(B15,'T-ASIG-02'!$B$5:$D$88,3,0),0))</f>
        <v>4.370000000000001</v>
      </c>
      <c r="Q15" s="72">
        <f>IF(B15=0,"",IFERROR(VLOOKUP(B15,'T-ASIG-03'!$B$5:$D$88,3,0),0))</f>
        <v>4.6500000000000004</v>
      </c>
      <c r="R15" s="72">
        <f>IF(B15=0,"",IFERROR(VLOOKUP(B15,'T-ASIG-04'!$B$5:$D$88,3,0),0))</f>
        <v>0</v>
      </c>
      <c r="S15" s="72">
        <f>IF(B15=0,"",IFERROR(VLOOKUP(B15,'T-ASIG-05'!$B$5:$D$88,3,0),0))</f>
        <v>4.4300000000000006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116</v>
      </c>
    </row>
    <row r="16" spans="1:22" ht="15" customHeight="1">
      <c r="A16" s="12">
        <v>12</v>
      </c>
      <c r="B16" s="70" t="str">
        <f>LIDER!C20</f>
        <v xml:space="preserve">BEYDIS LIZETH RAMIREZ RAMOS </v>
      </c>
      <c r="C16" s="64" t="str">
        <f>IF(B16=0,"",IFERROR(VLOOKUP(B16,'S-ASIG-01'!$B$5:$E$88,2,0),0))</f>
        <v>G02</v>
      </c>
      <c r="D16" s="65">
        <f t="shared" si="2"/>
        <v>4.0179999999999998</v>
      </c>
      <c r="E16" s="66">
        <f t="shared" si="3"/>
        <v>4.3259999999999996</v>
      </c>
      <c r="F16" s="47"/>
      <c r="G16" s="71">
        <f>IF(B16=0,"",IFERROR(VLOOKUP(B16,'S-ASIG-01'!$B$5:$E$88,4,0),0))</f>
        <v>4.2699999999999996</v>
      </c>
      <c r="H16" s="72">
        <f>IF(B16=0,"",IFERROR(VLOOKUP(B16,'S-ASIG-02'!$B$5:$E$88,4,0),0))</f>
        <v>4.3600000000000003</v>
      </c>
      <c r="I16" s="72">
        <f>IF(B16=0,"",IFERROR(VLOOKUP(B16,'S-ASIG-03'!$B$5:$E$88,4,0),0))</f>
        <v>3.8</v>
      </c>
      <c r="J16" s="72">
        <f>IF(B16=0,"",IFERROR(VLOOKUP(B16,'S-ASIG-04'!$B$5:$E$88,4,0),0))</f>
        <v>4.12</v>
      </c>
      <c r="K16" s="72">
        <f>IF(B16=0,"",IFERROR(VLOOKUP(B16,'S-ASIG-05'!$B$5:$E$88,4,0),0))</f>
        <v>3.5399999999999996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115</v>
      </c>
      <c r="O16" s="71">
        <f>IF(B16=0,"",IFERROR(VLOOKUP(B16,'T-ASIG-01'!$B$5:$D$88,3,0),0))</f>
        <v>4.2549999999999999</v>
      </c>
      <c r="P16" s="72">
        <f>IF(B16=0,"",IFERROR(VLOOKUP(B16,'T-ASIG-02'!$B$5:$D$88,3,0),0))</f>
        <v>4.2600000000000007</v>
      </c>
      <c r="Q16" s="72">
        <f>IF(B16=0,"",IFERROR(VLOOKUP(B16,'T-ASIG-03'!$B$5:$D$88,3,0),0))</f>
        <v>4.5249999999999995</v>
      </c>
      <c r="R16" s="72">
        <f>IF(B16=0,"",IFERROR(VLOOKUP(B16,'T-ASIG-04'!$B$5:$D$88,3,0),0))</f>
        <v>4.16</v>
      </c>
      <c r="S16" s="72">
        <f>IF(B16=0,"",IFERROR(VLOOKUP(B16,'T-ASIG-05'!$B$5:$D$88,3,0),0))</f>
        <v>4.4300000000000006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116</v>
      </c>
    </row>
    <row r="17" spans="1:22" ht="15" customHeight="1">
      <c r="A17" s="12">
        <v>13</v>
      </c>
      <c r="B17" s="70" t="str">
        <f>LIDER!C21</f>
        <v xml:space="preserve">AURY ESTELA PEREZ JIENEZ </v>
      </c>
      <c r="C17" s="64" t="str">
        <f>IF(B17=0,"",IFERROR(VLOOKUP(B17,'S-ASIG-01'!$B$5:$E$88,2,0),0))</f>
        <v>G03</v>
      </c>
      <c r="D17" s="65">
        <f t="shared" si="2"/>
        <v>4.18</v>
      </c>
      <c r="E17" s="66">
        <f t="shared" si="3"/>
        <v>4.6362499999999995</v>
      </c>
      <c r="F17" s="47"/>
      <c r="G17" s="71">
        <f>IF(B17=0,"",IFERROR(VLOOKUP(B17,'S-ASIG-01'!$B$5:$E$88,4,0),0))</f>
        <v>4.0599999999999996</v>
      </c>
      <c r="H17" s="72">
        <f>IF(B17=0,"",IFERROR(VLOOKUP(B17,'S-ASIG-02'!$B$5:$E$88,4,0),0))</f>
        <v>4.07</v>
      </c>
      <c r="I17" s="72">
        <f>IF(B17=0,"",IFERROR(VLOOKUP(B17,'S-ASIG-03'!$B$5:$E$88,4,0),0))</f>
        <v>4.05</v>
      </c>
      <c r="J17" s="72" t="str">
        <f>IF(B17=0,"",IFERROR(VLOOKUP(B17,'S-ASIG-04'!$B$5:$E$88,4,0),0))</f>
        <v>N</v>
      </c>
      <c r="K17" s="72">
        <f>IF(B17=0,"",IFERROR(VLOOKUP(B17,'S-ASIG-05'!$B$5:$E$88,4,0),0))</f>
        <v>4.54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115</v>
      </c>
      <c r="O17" s="71">
        <f>IF(B17=0,"",IFERROR(VLOOKUP(B17,'T-ASIG-01'!$B$5:$D$88,3,0),0))</f>
        <v>4.4550000000000001</v>
      </c>
      <c r="P17" s="72">
        <f>IF(B17=0,"",IFERROR(VLOOKUP(B17,'T-ASIG-02'!$B$5:$D$88,3,0),0))</f>
        <v>4.28</v>
      </c>
      <c r="Q17" s="72">
        <f>IF(B17=0,"",IFERROR(VLOOKUP(B17,'T-ASIG-03'!$B$5:$D$88,3,0),0))</f>
        <v>5</v>
      </c>
      <c r="R17" s="72" t="str">
        <f>IF(B17=0,"",IFERROR(VLOOKUP(B17,'T-ASIG-04'!$B$5:$D$88,3,0),0))</f>
        <v>N</v>
      </c>
      <c r="S17" s="72">
        <f>IF(B17=0,"",IFERROR(VLOOKUP(B17,'T-ASIG-05'!$B$5:$D$88,3,0),0))</f>
        <v>4.8099999999999996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116</v>
      </c>
    </row>
    <row r="18" spans="1:22" ht="15" customHeight="1">
      <c r="A18" s="12">
        <v>14</v>
      </c>
      <c r="B18" s="70" t="str">
        <f>LIDER!C22</f>
        <v xml:space="preserve">MAYRA ALEJANDRA GONZALEZ RUIZ </v>
      </c>
      <c r="C18" s="64" t="str">
        <f>IF(B18=0,"",IFERROR(VLOOKUP(B18,'S-ASIG-01'!$B$5:$E$88,2,0),0))</f>
        <v>G03</v>
      </c>
      <c r="D18" s="65">
        <f t="shared" si="2"/>
        <v>4.18</v>
      </c>
      <c r="E18" s="66">
        <f t="shared" si="3"/>
        <v>4.6362499999999995</v>
      </c>
      <c r="F18" s="47"/>
      <c r="G18" s="71">
        <f>IF(B18=0,"",IFERROR(VLOOKUP(B18,'S-ASIG-01'!$B$5:$E$88,4,0),0))</f>
        <v>4.0599999999999996</v>
      </c>
      <c r="H18" s="72">
        <f>IF(B18=0,"",IFERROR(VLOOKUP(B18,'S-ASIG-02'!$B$5:$E$88,4,0),0))</f>
        <v>4.07</v>
      </c>
      <c r="I18" s="72">
        <f>IF(B18=0,"",IFERROR(VLOOKUP(B18,'S-ASIG-03'!$B$5:$E$88,4,0),0))</f>
        <v>4.05</v>
      </c>
      <c r="J18" s="72" t="str">
        <f>IF(B18=0,"",IFERROR(VLOOKUP(B18,'S-ASIG-04'!$B$5:$E$88,4,0),0))</f>
        <v>N</v>
      </c>
      <c r="K18" s="72">
        <f>IF(B18=0,"",IFERROR(VLOOKUP(B18,'S-ASIG-05'!$B$5:$E$88,4,0),0))</f>
        <v>4.54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115</v>
      </c>
      <c r="O18" s="71">
        <f>IF(B18=0,"",IFERROR(VLOOKUP(B18,'T-ASIG-01'!$B$5:$D$88,3,0),0))</f>
        <v>4.4550000000000001</v>
      </c>
      <c r="P18" s="72">
        <f>IF(B18=0,"",IFERROR(VLOOKUP(B18,'T-ASIG-02'!$B$5:$D$88,3,0),0))</f>
        <v>4.28</v>
      </c>
      <c r="Q18" s="72">
        <f>IF(B18=0,"",IFERROR(VLOOKUP(B18,'T-ASIG-03'!$B$5:$D$88,3,0),0))</f>
        <v>5</v>
      </c>
      <c r="R18" s="72" t="str">
        <f>IF(B18=0,"",IFERROR(VLOOKUP(B18,'T-ASIG-04'!$B$5:$D$88,3,0),0))</f>
        <v>N</v>
      </c>
      <c r="S18" s="72">
        <f>IF(B18=0,"",IFERROR(VLOOKUP(B18,'T-ASIG-05'!$B$5:$D$88,3,0),0))</f>
        <v>4.8099999999999996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116</v>
      </c>
    </row>
    <row r="19" spans="1:22" ht="15" customHeight="1">
      <c r="A19" s="12">
        <v>15</v>
      </c>
      <c r="B19" s="70" t="str">
        <f>LIDER!C23</f>
        <v xml:space="preserve">PAOLA CRISTINA JUNCO GONZALEZ </v>
      </c>
      <c r="C19" s="64" t="str">
        <f>IF(B19=0,"",IFERROR(VLOOKUP(B19,'S-ASIG-01'!$B$5:$E$88,2,0),0))</f>
        <v>G04</v>
      </c>
      <c r="D19" s="65">
        <f t="shared" si="2"/>
        <v>3.06</v>
      </c>
      <c r="E19" s="66">
        <f t="shared" si="3"/>
        <v>3.5100000000000002</v>
      </c>
      <c r="F19" s="47"/>
      <c r="G19" s="71">
        <f>IF(B19=0,"",IFERROR(VLOOKUP(B19,'S-ASIG-01'!$B$5:$E$88,4,0),0))</f>
        <v>2.8</v>
      </c>
      <c r="H19" s="72">
        <f>IF(B19=0,"",IFERROR(VLOOKUP(B19,'S-ASIG-02'!$B$5:$E$88,4,0),0))</f>
        <v>2.8899999999999997</v>
      </c>
      <c r="I19" s="72">
        <f>IF(B19=0,"",IFERROR(VLOOKUP(B19,'S-ASIG-03'!$B$5:$E$88,4,0),0))</f>
        <v>3.8999999999999995</v>
      </c>
      <c r="J19" s="72" t="str">
        <f>IF(B19=0,"",IFERROR(VLOOKUP(B19,'S-ASIG-04'!$B$5:$E$88,4,0),0))</f>
        <v>N</v>
      </c>
      <c r="K19" s="72">
        <f>IF(B19=0,"",IFERROR(VLOOKUP(B19,'S-ASIG-05'!$B$5:$E$88,4,0),0))</f>
        <v>2.65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115</v>
      </c>
      <c r="O19" s="71">
        <f>IF(B19=0,"",IFERROR(VLOOKUP(B19,'T-ASIG-01'!$B$5:$D$88,3,0),0))</f>
        <v>3.41</v>
      </c>
      <c r="P19" s="72">
        <f>IF(B19=0,"",IFERROR(VLOOKUP(B19,'T-ASIG-02'!$B$5:$D$88,3,0),0))</f>
        <v>0</v>
      </c>
      <c r="Q19" s="72">
        <f>IF(B19=0,"",IFERROR(VLOOKUP(B19,'T-ASIG-03'!$B$5:$D$88,3,0),0))</f>
        <v>3</v>
      </c>
      <c r="R19" s="72" t="str">
        <f>IF(B19=0,"",IFERROR(VLOOKUP(B19,'T-ASIG-04'!$B$5:$D$88,3,0),0))</f>
        <v>N</v>
      </c>
      <c r="S19" s="72">
        <f>IF(B19=0,"",IFERROR(VLOOKUP(B19,'T-ASIG-05'!$B$5:$D$88,3,0),0))</f>
        <v>4.120000000000001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116</v>
      </c>
    </row>
    <row r="20" spans="1:22" ht="15" customHeight="1">
      <c r="A20" s="12">
        <v>16</v>
      </c>
      <c r="B20" s="70" t="str">
        <f>LIDER!C24</f>
        <v xml:space="preserve">ERIKA PATRICIA MARTINEZ SIERRA </v>
      </c>
      <c r="C20" s="64" t="str">
        <f>IF(B20=0,"",IFERROR(VLOOKUP(B20,'S-ASIG-01'!$B$5:$E$88,2,0),0))</f>
        <v>G04</v>
      </c>
      <c r="D20" s="65">
        <f t="shared" si="2"/>
        <v>3.06</v>
      </c>
      <c r="E20" s="66">
        <f t="shared" si="3"/>
        <v>3.4666666666666672</v>
      </c>
      <c r="F20" s="47"/>
      <c r="G20" s="71">
        <f>IF(B20=0,"",IFERROR(VLOOKUP(B20,'S-ASIG-01'!$B$5:$E$88,4,0),0))</f>
        <v>2.8</v>
      </c>
      <c r="H20" s="72">
        <f>IF(B20=0,"",IFERROR(VLOOKUP(B20,'S-ASIG-02'!$B$5:$E$88,4,0),0))</f>
        <v>2.8899999999999997</v>
      </c>
      <c r="I20" s="72">
        <f>IF(B20=0,"",IFERROR(VLOOKUP(B20,'S-ASIG-03'!$B$5:$E$88,4,0),0))</f>
        <v>3.8999999999999995</v>
      </c>
      <c r="J20" s="72" t="str">
        <f>IF(B20=0,"",IFERROR(VLOOKUP(B20,'S-ASIG-04'!$B$5:$E$88,4,0),0))</f>
        <v>N</v>
      </c>
      <c r="K20" s="72">
        <f>IF(B20=0,"",IFERROR(VLOOKUP(B20,'S-ASIG-05'!$B$5:$E$88,4,0),0))</f>
        <v>2.65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115</v>
      </c>
      <c r="O20" s="71">
        <f>IF(B20=0,"",IFERROR(VLOOKUP(B20,'T-ASIG-01'!$B$5:$D$88,3,0),0))</f>
        <v>3.41</v>
      </c>
      <c r="P20" s="72">
        <f>IF(B20=0,"",IFERROR(VLOOKUP(B20,'T-ASIG-02'!$B$5:$D$88,3,0),0))</f>
        <v>0</v>
      </c>
      <c r="Q20" s="72">
        <f>IF(B20=0,"",IFERROR(VLOOKUP(B20,'T-ASIG-03'!$B$5:$D$88,3,0),0))</f>
        <v>2.95</v>
      </c>
      <c r="R20" s="72" t="str">
        <f>IF(B20=0,"",IFERROR(VLOOKUP(B20,'T-ASIG-04'!$B$5:$D$88,3,0),0))</f>
        <v>N</v>
      </c>
      <c r="S20" s="72">
        <f>IF(B20=0,"",IFERROR(VLOOKUP(B20,'T-ASIG-05'!$B$5:$D$88,3,0),0))</f>
        <v>4.0400000000000009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116</v>
      </c>
    </row>
    <row r="21" spans="1:22" ht="15" customHeight="1">
      <c r="A21" s="12">
        <v>17</v>
      </c>
      <c r="B21" s="70" t="str">
        <f>LIDER!C25</f>
        <v xml:space="preserve">VALENTINA LUZ AVILEZ BERMUDEZ </v>
      </c>
      <c r="C21" s="64" t="str">
        <f>IF(B21=0,"",IFERROR(VLOOKUP(B21,'S-ASIG-01'!$B$5:$E$88,2,0),0))</f>
        <v>G04</v>
      </c>
      <c r="D21" s="65">
        <f t="shared" si="2"/>
        <v>3.06</v>
      </c>
      <c r="E21" s="66">
        <f t="shared" si="3"/>
        <v>3.4666666666666672</v>
      </c>
      <c r="F21" s="47"/>
      <c r="G21" s="71">
        <f>IF(B21=0,"",IFERROR(VLOOKUP(B21,'S-ASIG-01'!$B$5:$E$88,4,0),0))</f>
        <v>2.8</v>
      </c>
      <c r="H21" s="72">
        <f>IF(B21=0,"",IFERROR(VLOOKUP(B21,'S-ASIG-02'!$B$5:$E$88,4,0),0))</f>
        <v>2.8899999999999997</v>
      </c>
      <c r="I21" s="72">
        <f>IF(B21=0,"",IFERROR(VLOOKUP(B21,'S-ASIG-03'!$B$5:$E$88,4,0),0))</f>
        <v>3.8999999999999995</v>
      </c>
      <c r="J21" s="72" t="str">
        <f>IF(B21=0,"",IFERROR(VLOOKUP(B21,'S-ASIG-04'!$B$5:$E$88,4,0),0))</f>
        <v>N</v>
      </c>
      <c r="K21" s="72">
        <f>IF(B21=0,"",IFERROR(VLOOKUP(B21,'S-ASIG-05'!$B$5:$E$88,4,0),0))</f>
        <v>2.65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115</v>
      </c>
      <c r="O21" s="71">
        <f>IF(B21=0,"",IFERROR(VLOOKUP(B21,'T-ASIG-01'!$B$5:$D$88,3,0),0))</f>
        <v>3.41</v>
      </c>
      <c r="P21" s="72">
        <f>IF(B21=0,"",IFERROR(VLOOKUP(B21,'T-ASIG-02'!$B$5:$D$88,3,0),0))</f>
        <v>0</v>
      </c>
      <c r="Q21" s="72">
        <f>IF(B21=0,"",IFERROR(VLOOKUP(B21,'T-ASIG-03'!$B$5:$D$88,3,0),0))</f>
        <v>2.95</v>
      </c>
      <c r="R21" s="72" t="str">
        <f>IF(B21=0,"",IFERROR(VLOOKUP(B21,'T-ASIG-04'!$B$5:$D$88,3,0),0))</f>
        <v>N</v>
      </c>
      <c r="S21" s="72">
        <f>IF(B21=0,"",IFERROR(VLOOKUP(B21,'T-ASIG-05'!$B$5:$D$88,3,0),0))</f>
        <v>4.0400000000000009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116</v>
      </c>
    </row>
    <row r="22" spans="1:22" ht="15" customHeight="1">
      <c r="A22" s="12">
        <v>18</v>
      </c>
      <c r="B22" s="70" t="str">
        <f>LIDER!C26</f>
        <v xml:space="preserve">WIRDER ANDRES RUIZ ROMERO </v>
      </c>
      <c r="C22" s="64" t="str">
        <f>IF(B22=0,"",IFERROR(VLOOKUP(B22,'S-ASIG-01'!$B$5:$E$88,2,0),0))</f>
        <v>G05</v>
      </c>
      <c r="D22" s="65">
        <f t="shared" si="2"/>
        <v>3.6520000000000001</v>
      </c>
      <c r="E22" s="66">
        <f t="shared" si="3"/>
        <v>4.1100000000000003</v>
      </c>
      <c r="F22" s="47"/>
      <c r="G22" s="71">
        <f>IF(B22=0,"",IFERROR(VLOOKUP(B22,'S-ASIG-01'!$B$5:$E$88,4,0),0))</f>
        <v>3.35</v>
      </c>
      <c r="H22" s="72">
        <f>IF(B22=0,"",IFERROR(VLOOKUP(B22,'S-ASIG-02'!$B$5:$E$88,4,0),0))</f>
        <v>3.4200000000000004</v>
      </c>
      <c r="I22" s="72">
        <f>IF(B22=0,"",IFERROR(VLOOKUP(B22,'S-ASIG-03'!$B$5:$E$88,4,0),0))</f>
        <v>3.8999999999999995</v>
      </c>
      <c r="J22" s="72">
        <f>IF(B22=0,"",IFERROR(VLOOKUP(B22,'S-ASIG-04'!$B$5:$E$88,4,0),0))</f>
        <v>3.9899999999999998</v>
      </c>
      <c r="K22" s="72">
        <f>IF(B22=0,"",IFERROR(VLOOKUP(B22,'S-ASIG-05'!$B$5:$E$88,4,0),0))</f>
        <v>3.6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115</v>
      </c>
      <c r="O22" s="71">
        <f>IF(B22=0,"",IFERROR(VLOOKUP(B22,'T-ASIG-01'!$B$5:$D$88,3,0),0))</f>
        <v>3.8</v>
      </c>
      <c r="P22" s="72">
        <f>IF(B22=0,"",IFERROR(VLOOKUP(B22,'T-ASIG-02'!$B$5:$D$88,3,0),0))</f>
        <v>4.2850000000000001</v>
      </c>
      <c r="Q22" s="72">
        <f>IF(B22=0,"",IFERROR(VLOOKUP(B22,'T-ASIG-03'!$B$5:$D$88,3,0),0))</f>
        <v>4.3499999999999996</v>
      </c>
      <c r="R22" s="72">
        <f>IF(B22=0,"",IFERROR(VLOOKUP(B22,'T-ASIG-04'!$B$5:$D$88,3,0),0))</f>
        <v>4.0449999999999999</v>
      </c>
      <c r="S22" s="72">
        <f>IF(B22=0,"",IFERROR(VLOOKUP(B22,'T-ASIG-05'!$B$5:$D$88,3,0),0))</f>
        <v>4.0699999999999994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116</v>
      </c>
    </row>
    <row r="23" spans="1:22" ht="15" customHeight="1">
      <c r="A23" s="12">
        <v>19</v>
      </c>
      <c r="B23" s="70" t="str">
        <f>LIDER!C27</f>
        <v xml:space="preserve">MELANY RAMIREZ CUADRO </v>
      </c>
      <c r="C23" s="64" t="str">
        <f>IF(B23=0,"",IFERROR(VLOOKUP(B23,'S-ASIG-01'!$B$5:$E$88,2,0),0))</f>
        <v>G05</v>
      </c>
      <c r="D23" s="65">
        <f t="shared" si="2"/>
        <v>3.6520000000000001</v>
      </c>
      <c r="E23" s="66">
        <f t="shared" si="3"/>
        <v>4.173</v>
      </c>
      <c r="F23" s="47"/>
      <c r="G23" s="71">
        <f>IF(B23=0,"",IFERROR(VLOOKUP(B23,'S-ASIG-01'!$B$5:$E$88,4,0),0))</f>
        <v>3.35</v>
      </c>
      <c r="H23" s="72">
        <f>IF(B23=0,"",IFERROR(VLOOKUP(B23,'S-ASIG-02'!$B$5:$E$88,4,0),0))</f>
        <v>3.4200000000000004</v>
      </c>
      <c r="I23" s="72">
        <f>IF(B23=0,"",IFERROR(VLOOKUP(B23,'S-ASIG-03'!$B$5:$E$88,4,0),0))</f>
        <v>3.8999999999999995</v>
      </c>
      <c r="J23" s="72">
        <f>IF(B23=0,"",IFERROR(VLOOKUP(B23,'S-ASIG-04'!$B$5:$E$88,4,0),0))</f>
        <v>3.9899999999999998</v>
      </c>
      <c r="K23" s="72">
        <f>IF(B23=0,"",IFERROR(VLOOKUP(B23,'S-ASIG-05'!$B$5:$E$88,4,0),0))</f>
        <v>3.6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115</v>
      </c>
      <c r="O23" s="71">
        <f>IF(B23=0,"",IFERROR(VLOOKUP(B23,'T-ASIG-01'!$B$5:$D$88,3,0),0))</f>
        <v>3.8</v>
      </c>
      <c r="P23" s="72">
        <f>IF(B23=0,"",IFERROR(VLOOKUP(B23,'T-ASIG-02'!$B$5:$D$88,3,0),0))</f>
        <v>4.4050000000000002</v>
      </c>
      <c r="Q23" s="72">
        <f>IF(B23=0,"",IFERROR(VLOOKUP(B23,'T-ASIG-03'!$B$5:$D$88,3,0),0))</f>
        <v>4.5749999999999993</v>
      </c>
      <c r="R23" s="72">
        <f>IF(B23=0,"",IFERROR(VLOOKUP(B23,'T-ASIG-04'!$B$5:$D$88,3,0),0))</f>
        <v>4.0149999999999997</v>
      </c>
      <c r="S23" s="72">
        <f>IF(B23=0,"",IFERROR(VLOOKUP(B23,'T-ASIG-05'!$B$5:$D$88,3,0),0))</f>
        <v>4.0699999999999994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116</v>
      </c>
    </row>
    <row r="24" spans="1:22" ht="15" customHeight="1">
      <c r="A24" s="12">
        <v>20</v>
      </c>
      <c r="B24" s="70" t="str">
        <f>LIDER!C28</f>
        <v xml:space="preserve">VALENTINA DEL CARMEN JULIO ACOSTA </v>
      </c>
      <c r="C24" s="64" t="str">
        <f>IF(B24=0,"",IFERROR(VLOOKUP(B24,'S-ASIG-01'!$B$5:$E$88,2,0),0))</f>
        <v>G05</v>
      </c>
      <c r="D24" s="65">
        <f t="shared" si="2"/>
        <v>3.6520000000000001</v>
      </c>
      <c r="E24" s="66">
        <f t="shared" si="3"/>
        <v>4.3459999999999992</v>
      </c>
      <c r="F24" s="47"/>
      <c r="G24" s="71">
        <f>IF(B24=0,"",IFERROR(VLOOKUP(B24,'S-ASIG-01'!$B$5:$E$88,4,0),0))</f>
        <v>3.35</v>
      </c>
      <c r="H24" s="72">
        <f>IF(B24=0,"",IFERROR(VLOOKUP(B24,'S-ASIG-02'!$B$5:$E$88,4,0),0))</f>
        <v>3.4200000000000004</v>
      </c>
      <c r="I24" s="72">
        <f>IF(B24=0,"",IFERROR(VLOOKUP(B24,'S-ASIG-03'!$B$5:$E$88,4,0),0))</f>
        <v>3.8999999999999995</v>
      </c>
      <c r="J24" s="72">
        <f>IF(B24=0,"",IFERROR(VLOOKUP(B24,'S-ASIG-04'!$B$5:$E$88,4,0),0))</f>
        <v>3.9899999999999998</v>
      </c>
      <c r="K24" s="72">
        <f>IF(B24=0,"",IFERROR(VLOOKUP(B24,'S-ASIG-05'!$B$5:$E$88,4,0),0))</f>
        <v>3.6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115</v>
      </c>
      <c r="O24" s="71">
        <f>IF(B24=0,"",IFERROR(VLOOKUP(B24,'T-ASIG-01'!$B$5:$D$88,3,0),0))</f>
        <v>4.2050000000000001</v>
      </c>
      <c r="P24" s="72">
        <f>IF(B24=0,"",IFERROR(VLOOKUP(B24,'T-ASIG-02'!$B$5:$D$88,3,0),0))</f>
        <v>4.4950000000000001</v>
      </c>
      <c r="Q24" s="72">
        <f>IF(B24=0,"",IFERROR(VLOOKUP(B24,'T-ASIG-03'!$B$5:$D$88,3,0),0))</f>
        <v>4.95</v>
      </c>
      <c r="R24" s="72">
        <f>IF(B24=0,"",IFERROR(VLOOKUP(B24,'T-ASIG-04'!$B$5:$D$88,3,0),0))</f>
        <v>4.01</v>
      </c>
      <c r="S24" s="72">
        <f>IF(B24=0,"",IFERROR(VLOOKUP(B24,'T-ASIG-05'!$B$5:$D$88,3,0),0))</f>
        <v>4.0699999999999994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116</v>
      </c>
    </row>
    <row r="25" spans="1:22" ht="15" customHeight="1">
      <c r="A25" s="12">
        <v>21</v>
      </c>
      <c r="B25" s="70" t="str">
        <f>LIDER!C29</f>
        <v xml:space="preserve">JUAN SEBASTIAN VILLA FONTALVO </v>
      </c>
      <c r="C25" s="64" t="str">
        <f>IF(B25=0,"",IFERROR(VLOOKUP(B25,'S-ASIG-01'!$B$5:$E$88,2,0),0))</f>
        <v>G05</v>
      </c>
      <c r="D25" s="65">
        <f t="shared" si="2"/>
        <v>3.6520000000000001</v>
      </c>
      <c r="E25" s="66">
        <f t="shared" si="3"/>
        <v>4.173</v>
      </c>
      <c r="F25" s="47"/>
      <c r="G25" s="71">
        <f>IF(B25=0,"",IFERROR(VLOOKUP(B25,'S-ASIG-01'!$B$5:$E$88,4,0),0))</f>
        <v>3.35</v>
      </c>
      <c r="H25" s="72">
        <f>IF(B25=0,"",IFERROR(VLOOKUP(B25,'S-ASIG-02'!$B$5:$E$88,4,0),0))</f>
        <v>3.4200000000000004</v>
      </c>
      <c r="I25" s="72">
        <f>IF(B25=0,"",IFERROR(VLOOKUP(B25,'S-ASIG-03'!$B$5:$E$88,4,0),0))</f>
        <v>3.8999999999999995</v>
      </c>
      <c r="J25" s="72">
        <f>IF(B25=0,"",IFERROR(VLOOKUP(B25,'S-ASIG-04'!$B$5:$E$88,4,0),0))</f>
        <v>3.9899999999999998</v>
      </c>
      <c r="K25" s="72">
        <f>IF(B25=0,"",IFERROR(VLOOKUP(B25,'S-ASIG-05'!$B$5:$E$88,4,0),0))</f>
        <v>3.6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115</v>
      </c>
      <c r="O25" s="71">
        <f>IF(B25=0,"",IFERROR(VLOOKUP(B25,'T-ASIG-01'!$B$5:$D$88,3,0),0))</f>
        <v>3.8</v>
      </c>
      <c r="P25" s="72">
        <f>IF(B25=0,"",IFERROR(VLOOKUP(B25,'T-ASIG-02'!$B$5:$D$88,3,0),0))</f>
        <v>4.2850000000000001</v>
      </c>
      <c r="Q25" s="72">
        <f>IF(B25=0,"",IFERROR(VLOOKUP(B25,'T-ASIG-03'!$B$5:$D$88,3,0),0))</f>
        <v>4.7</v>
      </c>
      <c r="R25" s="72">
        <f>IF(B25=0,"",IFERROR(VLOOKUP(B25,'T-ASIG-04'!$B$5:$D$88,3,0),0))</f>
        <v>4.01</v>
      </c>
      <c r="S25" s="72">
        <f>IF(B25=0,"",IFERROR(VLOOKUP(B25,'T-ASIG-05'!$B$5:$D$88,3,0),0))</f>
        <v>4.0699999999999994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116</v>
      </c>
    </row>
    <row r="26" spans="1:22" ht="15" customHeight="1">
      <c r="A26" s="12">
        <v>22</v>
      </c>
      <c r="B26" s="70" t="str">
        <f>LIDER!C30</f>
        <v xml:space="preserve">JEAN PIERRE MUÑOZ PUELLO </v>
      </c>
      <c r="C26" s="64" t="str">
        <f>IF(B26=0,"",IFERROR(VLOOKUP(B26,'S-ASIG-01'!$B$5:$E$88,2,0),0))</f>
        <v>G05</v>
      </c>
      <c r="D26" s="65">
        <f t="shared" si="2"/>
        <v>3.6520000000000001</v>
      </c>
      <c r="E26" s="66">
        <f t="shared" si="3"/>
        <v>4.2180000000000009</v>
      </c>
      <c r="F26" s="47"/>
      <c r="G26" s="71">
        <f>IF(B26=0,"",IFERROR(VLOOKUP(B26,'S-ASIG-01'!$B$5:$E$88,4,0),0))</f>
        <v>3.35</v>
      </c>
      <c r="H26" s="72">
        <f>IF(B26=0,"",IFERROR(VLOOKUP(B26,'S-ASIG-02'!$B$5:$E$88,4,0),0))</f>
        <v>3.4200000000000004</v>
      </c>
      <c r="I26" s="72">
        <f>IF(B26=0,"",IFERROR(VLOOKUP(B26,'S-ASIG-03'!$B$5:$E$88,4,0),0))</f>
        <v>3.8999999999999995</v>
      </c>
      <c r="J26" s="72">
        <f>IF(B26=0,"",IFERROR(VLOOKUP(B26,'S-ASIG-04'!$B$5:$E$88,4,0),0))</f>
        <v>3.9899999999999998</v>
      </c>
      <c r="K26" s="72">
        <f>IF(B26=0,"",IFERROR(VLOOKUP(B26,'S-ASIG-05'!$B$5:$E$88,4,0),0))</f>
        <v>3.6</v>
      </c>
      <c r="L26" s="72">
        <f>IF(B26=0,"",IFERROR(VLOOKUP(B26,'S-ASIG-06'!$B$5:$E$88,4,0),0))</f>
        <v>0</v>
      </c>
      <c r="M26" s="73">
        <f>IF(B26=0,"",IFERROR(VLOOKUP(B26,'S-ASIG-07'!$B$5:$E$88,4,0),0))</f>
        <v>0</v>
      </c>
      <c r="N26" s="68" t="s">
        <v>115</v>
      </c>
      <c r="O26" s="71">
        <f>IF(B26=0,"",IFERROR(VLOOKUP(B26,'T-ASIG-01'!$B$5:$D$88,3,0),0))</f>
        <v>3.8</v>
      </c>
      <c r="P26" s="72">
        <f>IF(B26=0,"",IFERROR(VLOOKUP(B26,'T-ASIG-02'!$B$5:$D$88,3,0),0))</f>
        <v>4.2850000000000001</v>
      </c>
      <c r="Q26" s="72">
        <f>IF(B26=0,"",IFERROR(VLOOKUP(B26,'T-ASIG-03'!$B$5:$D$88,3,0),0))</f>
        <v>4.9249999999999998</v>
      </c>
      <c r="R26" s="72">
        <f>IF(B26=0,"",IFERROR(VLOOKUP(B26,'T-ASIG-04'!$B$5:$D$88,3,0),0))</f>
        <v>4.01</v>
      </c>
      <c r="S26" s="72">
        <f>IF(B26=0,"",IFERROR(VLOOKUP(B26,'T-ASIG-05'!$B$5:$D$88,3,0),0))</f>
        <v>4.0699999999999994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116</v>
      </c>
    </row>
    <row r="27" spans="1:22" ht="15" customHeight="1">
      <c r="A27" s="12">
        <v>23</v>
      </c>
      <c r="B27" s="70" t="str">
        <f>LIDER!C31</f>
        <v xml:space="preserve">NATALIA SOFIA LASTRA  TORRES </v>
      </c>
      <c r="C27" s="64" t="str">
        <f>IF(B27=0,"",IFERROR(VLOOKUP(B27,'S-ASIG-01'!$B$5:$E$88,2,0),0))</f>
        <v>G06</v>
      </c>
      <c r="D27" s="65">
        <f t="shared" si="2"/>
        <v>3.62</v>
      </c>
      <c r="E27" s="66">
        <f t="shared" si="3"/>
        <v>4.2833333333333332</v>
      </c>
      <c r="F27" s="47"/>
      <c r="G27" s="71">
        <f>IF(B27=0,"",IFERROR(VLOOKUP(B27,'S-ASIG-01'!$B$5:$E$88,4,0),0))</f>
        <v>3.8000000000000003</v>
      </c>
      <c r="H27" s="72">
        <f>IF(B27=0,"",IFERROR(VLOOKUP(B27,'S-ASIG-02'!$B$5:$E$88,4,0),0))</f>
        <v>0</v>
      </c>
      <c r="I27" s="72">
        <f>IF(B27=0,"",IFERROR(VLOOKUP(B27,'S-ASIG-03'!$B$5:$E$88,4,0),0))</f>
        <v>0</v>
      </c>
      <c r="J27" s="72">
        <f>IF(B27=0,"",IFERROR(VLOOKUP(B27,'S-ASIG-04'!$B$5:$E$88,4,0),0))</f>
        <v>0</v>
      </c>
      <c r="K27" s="72">
        <f>IF(B27=0,"",IFERROR(VLOOKUP(B27,'S-ASIG-05'!$B$5:$E$88,4,0),0))</f>
        <v>3.44</v>
      </c>
      <c r="L27" s="72">
        <f>IF(B27=0,"",IFERROR(VLOOKUP(B27,'S-ASIG-06'!$B$5:$E$88,4,0),0))</f>
        <v>0</v>
      </c>
      <c r="M27" s="73">
        <f>IF(B27=0,"",IFERROR(VLOOKUP(B27,'S-ASIG-07'!$B$5:$E$88,4,0),0))</f>
        <v>0</v>
      </c>
      <c r="N27" s="68" t="s">
        <v>115</v>
      </c>
      <c r="O27" s="71">
        <f>IF(B27=0,"",IFERROR(VLOOKUP(B27,'T-ASIG-01'!$B$5:$D$88,3,0),0))</f>
        <v>3.8999999999999995</v>
      </c>
      <c r="P27" s="72">
        <f>IF(B27=0,"",IFERROR(VLOOKUP(B27,'T-ASIG-02'!$B$5:$D$88,3,0),0))</f>
        <v>0</v>
      </c>
      <c r="Q27" s="72">
        <f>IF(B27=0,"",IFERROR(VLOOKUP(B27,'T-ASIG-03'!$B$5:$D$88,3,0),0))</f>
        <v>4.8250000000000002</v>
      </c>
      <c r="R27" s="72">
        <f>IF(B27=0,"",IFERROR(VLOOKUP(B27,'T-ASIG-04'!$B$5:$D$88,3,0),0))</f>
        <v>0</v>
      </c>
      <c r="S27" s="72">
        <f>IF(B27=0,"",IFERROR(VLOOKUP(B27,'T-ASIG-05'!$B$5:$D$88,3,0),0))</f>
        <v>4.125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116</v>
      </c>
    </row>
    <row r="28" spans="1:22" ht="15" customHeight="1">
      <c r="A28" s="12">
        <v>24</v>
      </c>
      <c r="B28" s="70" t="str">
        <f>LIDER!C32</f>
        <v xml:space="preserve">PAULA LEON </v>
      </c>
      <c r="C28" s="64" t="str">
        <f>IF(B28=0,"",IFERROR(VLOOKUP(B28,'S-ASIG-01'!$B$5:$E$88,2,0),0))</f>
        <v>G06</v>
      </c>
      <c r="D28" s="65">
        <f t="shared" si="2"/>
        <v>3.62</v>
      </c>
      <c r="E28" s="66">
        <f t="shared" si="3"/>
        <v>4.2833333333333332</v>
      </c>
      <c r="F28" s="47"/>
      <c r="G28" s="71">
        <f>IF(B28=0,"",IFERROR(VLOOKUP(B28,'S-ASIG-01'!$B$5:$E$88,4,0),0))</f>
        <v>3.8000000000000003</v>
      </c>
      <c r="H28" s="72">
        <f>IF(B28=0,"",IFERROR(VLOOKUP(B28,'S-ASIG-02'!$B$5:$E$88,4,0),0))</f>
        <v>0</v>
      </c>
      <c r="I28" s="72">
        <f>IF(B28=0,"",IFERROR(VLOOKUP(B28,'S-ASIG-03'!$B$5:$E$88,4,0),0))</f>
        <v>0</v>
      </c>
      <c r="J28" s="72">
        <f>IF(B28=0,"",IFERROR(VLOOKUP(B28,'S-ASIG-04'!$B$5:$E$88,4,0),0))</f>
        <v>0</v>
      </c>
      <c r="K28" s="72">
        <f>IF(B28=0,"",IFERROR(VLOOKUP(B28,'S-ASIG-05'!$B$5:$E$88,4,0),0))</f>
        <v>3.44</v>
      </c>
      <c r="L28" s="72">
        <f>IF(B28=0,"",IFERROR(VLOOKUP(B28,'S-ASIG-06'!$B$5:$E$88,4,0),0))</f>
        <v>0</v>
      </c>
      <c r="M28" s="73">
        <f>IF(B28=0,"",IFERROR(VLOOKUP(B28,'S-ASIG-07'!$B$5:$E$88,4,0),0))</f>
        <v>0</v>
      </c>
      <c r="N28" s="68" t="s">
        <v>115</v>
      </c>
      <c r="O28" s="71">
        <f>IF(B28=0,"",IFERROR(VLOOKUP(B28,'T-ASIG-01'!$B$5:$D$88,3,0),0))</f>
        <v>3.8999999999999995</v>
      </c>
      <c r="P28" s="72">
        <f>IF(B28=0,"",IFERROR(VLOOKUP(B28,'T-ASIG-02'!$B$5:$D$88,3,0),0))</f>
        <v>0</v>
      </c>
      <c r="Q28" s="72">
        <f>IF(B28=0,"",IFERROR(VLOOKUP(B28,'T-ASIG-03'!$B$5:$D$88,3,0),0))</f>
        <v>4.8250000000000002</v>
      </c>
      <c r="R28" s="72">
        <f>IF(B28=0,"",IFERROR(VLOOKUP(B28,'T-ASIG-04'!$B$5:$D$88,3,0),0))</f>
        <v>0</v>
      </c>
      <c r="S28" s="72">
        <f>IF(B28=0,"",IFERROR(VLOOKUP(B28,'T-ASIG-05'!$B$5:$D$88,3,0),0))</f>
        <v>4.125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116</v>
      </c>
    </row>
    <row r="29" spans="1:22" ht="15" customHeight="1">
      <c r="A29" s="12">
        <v>25</v>
      </c>
      <c r="B29" s="70" t="str">
        <f>LIDER!C33</f>
        <v xml:space="preserve">NATALIA SOFIA LASTRA  TORRES </v>
      </c>
      <c r="C29" s="64" t="str">
        <f>IF(B29=0,"",IFERROR(VLOOKUP(B29,'S-ASIG-01'!$B$5:$E$88,2,0),0))</f>
        <v>G06</v>
      </c>
      <c r="D29" s="65">
        <f t="shared" si="2"/>
        <v>3.62</v>
      </c>
      <c r="E29" s="66">
        <f t="shared" si="3"/>
        <v>4.2833333333333332</v>
      </c>
      <c r="F29" s="47"/>
      <c r="G29" s="71">
        <f>IF(B29=0,"",IFERROR(VLOOKUP(B29,'S-ASIG-01'!$B$5:$E$88,4,0),0))</f>
        <v>3.8000000000000003</v>
      </c>
      <c r="H29" s="72">
        <f>IF(B29=0,"",IFERROR(VLOOKUP(B29,'S-ASIG-02'!$B$5:$E$88,4,0),0))</f>
        <v>0</v>
      </c>
      <c r="I29" s="72">
        <f>IF(B29=0,"",IFERROR(VLOOKUP(B29,'S-ASIG-03'!$B$5:$E$88,4,0),0))</f>
        <v>0</v>
      </c>
      <c r="J29" s="72">
        <f>IF(B29=0,"",IFERROR(VLOOKUP(B29,'S-ASIG-04'!$B$5:$E$88,4,0),0))</f>
        <v>0</v>
      </c>
      <c r="K29" s="72">
        <f>IF(B29=0,"",IFERROR(VLOOKUP(B29,'S-ASIG-05'!$B$5:$E$88,4,0),0))</f>
        <v>3.44</v>
      </c>
      <c r="L29" s="72">
        <f>IF(B29=0,"",IFERROR(VLOOKUP(B29,'S-ASIG-06'!$B$5:$E$88,4,0),0))</f>
        <v>0</v>
      </c>
      <c r="M29" s="73">
        <f>IF(B29=0,"",IFERROR(VLOOKUP(B29,'S-ASIG-07'!$B$5:$E$88,4,0),0))</f>
        <v>0</v>
      </c>
      <c r="N29" s="68" t="s">
        <v>115</v>
      </c>
      <c r="O29" s="71">
        <f>IF(B29=0,"",IFERROR(VLOOKUP(B29,'T-ASIG-01'!$B$5:$D$88,3,0),0))</f>
        <v>3.8999999999999995</v>
      </c>
      <c r="P29" s="72">
        <f>IF(B29=0,"",IFERROR(VLOOKUP(B29,'T-ASIG-02'!$B$5:$D$88,3,0),0))</f>
        <v>0</v>
      </c>
      <c r="Q29" s="72">
        <f>IF(B29=0,"",IFERROR(VLOOKUP(B29,'T-ASIG-03'!$B$5:$D$88,3,0),0))</f>
        <v>4.8250000000000002</v>
      </c>
      <c r="R29" s="72">
        <f>IF(B29=0,"",IFERROR(VLOOKUP(B29,'T-ASIG-04'!$B$5:$D$88,3,0),0))</f>
        <v>0</v>
      </c>
      <c r="S29" s="72">
        <f>IF(B29=0,"",IFERROR(VLOOKUP(B29,'T-ASIG-05'!$B$5:$D$88,3,0),0))</f>
        <v>4.125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116</v>
      </c>
    </row>
    <row r="30" spans="1:22" ht="15" customHeight="1">
      <c r="A30" s="12">
        <v>26</v>
      </c>
      <c r="B30" s="70" t="str">
        <f>LIDER!C34</f>
        <v xml:space="preserve">ANDRES HIDALGO </v>
      </c>
      <c r="C30" s="64">
        <f>IF(B30=0,"",IFERROR(VLOOKUP(B30,'S-ASIG-01'!$B$5:$E$88,2,0),0))</f>
        <v>0</v>
      </c>
      <c r="D30" s="65">
        <f t="shared" si="2"/>
        <v>0</v>
      </c>
      <c r="E30" s="66">
        <f t="shared" si="3"/>
        <v>0</v>
      </c>
      <c r="F30" s="47"/>
      <c r="G30" s="71">
        <f>IF(B30=0,"",IFERROR(VLOOKUP(B30,'S-ASIG-01'!$B$5:$E$88,4,0),0))</f>
        <v>0</v>
      </c>
      <c r="H30" s="72">
        <f>IF(B30=0,"",IFERROR(VLOOKUP(B30,'S-ASIG-02'!$B$5:$E$88,4,0),0))</f>
        <v>0</v>
      </c>
      <c r="I30" s="72">
        <f>IF(B30=0,"",IFERROR(VLOOKUP(B30,'S-ASIG-03'!$B$5:$E$88,4,0),0))</f>
        <v>0</v>
      </c>
      <c r="J30" s="72">
        <f>IF(B30=0,"",IFERROR(VLOOKUP(B30,'S-ASIG-04'!$B$5:$E$88,4,0),0))</f>
        <v>0</v>
      </c>
      <c r="K30" s="72">
        <f>IF(B30=0,"",IFERROR(VLOOKUP(B30,'S-ASIG-05'!$B$5:$E$88,4,0),0))</f>
        <v>0</v>
      </c>
      <c r="L30" s="72">
        <f>IF(B30=0,"",IFERROR(VLOOKUP(B30,'S-ASIG-06'!$B$5:$E$88,4,0),0))</f>
        <v>0</v>
      </c>
      <c r="M30" s="73">
        <f>IF(B30=0,"",IFERROR(VLOOKUP(B30,'S-ASIG-07'!$B$5:$E$88,4,0),0))</f>
        <v>0</v>
      </c>
      <c r="N30" s="68" t="s">
        <v>115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116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115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116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115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116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115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116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115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116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115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116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115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116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115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116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115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116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115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116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115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116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115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116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115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116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115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116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115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116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115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116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115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116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115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116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115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116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115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116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115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116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115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116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115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116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115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116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115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116</v>
      </c>
    </row>
  </sheetData>
  <sheetProtection algorithmName="SHA-512" hashValue="gR0+g/4Y8YKuedsp0NWFbSy2TRXyNU5WWHj7RRwwQ0iDOj1lvQl1N3JYsL1Pr5Npn6VvMFy2mTKclofByEMvwQ==" saltValue="cMY/DfUfVxw3s2JobdvJ/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HECTOR DARIO BALSEIRO BARRIOS</cp:lastModifiedBy>
  <cp:revision/>
  <dcterms:created xsi:type="dcterms:W3CDTF">2025-09-29T20:45:44Z</dcterms:created>
  <dcterms:modified xsi:type="dcterms:W3CDTF">2026-05-24T19:12:06Z</dcterms:modified>
  <cp:category/>
  <cp:contentStatus/>
</cp:coreProperties>
</file>