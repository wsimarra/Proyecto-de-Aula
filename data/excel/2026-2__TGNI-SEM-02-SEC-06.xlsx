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2/"/>
    </mc:Choice>
  </mc:AlternateContent>
  <xr:revisionPtr revIDLastSave="164" documentId="13_ncr:1_{815EE3EB-C221-4E72-BD1C-9F94B9E7E51B}" xr6:coauthVersionLast="47" xr6:coauthVersionMax="47" xr10:uidLastSave="{50634AE6-4474-45CD-9B81-2023D2004E2F}"/>
  <bookViews>
    <workbookView xWindow="-120" yWindow="-120" windowWidth="20730" windowHeight="11040" tabRatio="720" firstSheet="15" activeTab="15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B87" i="16"/>
  <c r="D87" i="16" s="1"/>
  <c r="B86" i="16"/>
  <c r="D86" i="16" s="1"/>
  <c r="B85" i="16"/>
  <c r="D85" i="16" s="1"/>
  <c r="B84" i="16"/>
  <c r="D84" i="16" s="1"/>
  <c r="B83" i="16"/>
  <c r="D83" i="16" s="1"/>
  <c r="B81" i="16"/>
  <c r="D81" i="16" s="1"/>
  <c r="B80" i="16"/>
  <c r="D80" i="16" s="1"/>
  <c r="B79" i="16"/>
  <c r="D79" i="16" s="1"/>
  <c r="B78" i="16"/>
  <c r="D78" i="16" s="1"/>
  <c r="B77" i="16"/>
  <c r="D77" i="16" s="1"/>
  <c r="B76" i="16"/>
  <c r="D76" i="16" s="1"/>
  <c r="B74" i="16"/>
  <c r="D74" i="16" s="1"/>
  <c r="B73" i="16"/>
  <c r="D73" i="16" s="1"/>
  <c r="B72" i="16"/>
  <c r="D72" i="16" s="1"/>
  <c r="B71" i="16"/>
  <c r="D71" i="16" s="1"/>
  <c r="B70" i="16"/>
  <c r="D70" i="16" s="1"/>
  <c r="B69" i="16"/>
  <c r="D69" i="16" s="1"/>
  <c r="B67" i="16"/>
  <c r="D67" i="16" s="1"/>
  <c r="B66" i="16"/>
  <c r="D66" i="16" s="1"/>
  <c r="B65" i="16"/>
  <c r="D65" i="16" s="1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B53" i="16"/>
  <c r="D53" i="16" s="1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B18" i="16"/>
  <c r="D18" i="16" s="1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B10" i="16"/>
  <c r="D10" i="16" s="1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B83" i="7"/>
  <c r="D83" i="7" s="1"/>
  <c r="B81" i="7"/>
  <c r="D81" i="7" s="1"/>
  <c r="B80" i="7"/>
  <c r="D80" i="7" s="1"/>
  <c r="B79" i="7"/>
  <c r="D79" i="7" s="1"/>
  <c r="B78" i="7"/>
  <c r="D78" i="7" s="1"/>
  <c r="B77" i="7"/>
  <c r="D77" i="7" s="1"/>
  <c r="B76" i="7"/>
  <c r="D76" i="7" s="1"/>
  <c r="B74" i="7"/>
  <c r="D74" i="7" s="1"/>
  <c r="B73" i="7"/>
  <c r="D73" i="7" s="1"/>
  <c r="B72" i="7"/>
  <c r="D72" i="7" s="1"/>
  <c r="B71" i="7"/>
  <c r="D71" i="7" s="1"/>
  <c r="B70" i="7"/>
  <c r="D70" i="7" s="1"/>
  <c r="B69" i="7"/>
  <c r="D69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B87" i="6"/>
  <c r="D87" i="6" s="1"/>
  <c r="B86" i="6"/>
  <c r="D86" i="6" s="1"/>
  <c r="B85" i="6"/>
  <c r="D85" i="6" s="1"/>
  <c r="B84" i="6"/>
  <c r="D84" i="6" s="1"/>
  <c r="B83" i="6"/>
  <c r="D83" i="6" s="1"/>
  <c r="B81" i="6"/>
  <c r="D81" i="6" s="1"/>
  <c r="B80" i="6"/>
  <c r="D80" i="6" s="1"/>
  <c r="B79" i="6"/>
  <c r="D79" i="6" s="1"/>
  <c r="B78" i="6"/>
  <c r="D78" i="6" s="1"/>
  <c r="B77" i="6"/>
  <c r="D77" i="6" s="1"/>
  <c r="B76" i="6"/>
  <c r="D76" i="6" s="1"/>
  <c r="B74" i="6"/>
  <c r="D74" i="6" s="1"/>
  <c r="B73" i="6"/>
  <c r="D73" i="6" s="1"/>
  <c r="B72" i="6"/>
  <c r="D72" i="6" s="1"/>
  <c r="B71" i="6"/>
  <c r="D71" i="6" s="1"/>
  <c r="B70" i="6"/>
  <c r="D70" i="6" s="1"/>
  <c r="B69" i="6"/>
  <c r="D69" i="6" s="1"/>
  <c r="B67" i="6"/>
  <c r="D67" i="6" s="1"/>
  <c r="B66" i="6"/>
  <c r="D66" i="6" s="1"/>
  <c r="B65" i="6"/>
  <c r="D65" i="6" s="1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B25" i="6"/>
  <c r="D25" i="6" s="1"/>
  <c r="B24" i="6"/>
  <c r="D24" i="6" s="1"/>
  <c r="B23" i="6"/>
  <c r="D23" i="6" s="1"/>
  <c r="B22" i="6"/>
  <c r="B21" i="6"/>
  <c r="B20" i="6"/>
  <c r="B18" i="6"/>
  <c r="D18" i="6" s="1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B88" i="5"/>
  <c r="D88" i="5" s="1"/>
  <c r="B87" i="5"/>
  <c r="D87" i="5" s="1"/>
  <c r="B86" i="5"/>
  <c r="D86" i="5" s="1"/>
  <c r="B85" i="5"/>
  <c r="D85" i="5" s="1"/>
  <c r="B84" i="5"/>
  <c r="D84" i="5" s="1"/>
  <c r="B83" i="5"/>
  <c r="D83" i="5" s="1"/>
  <c r="B81" i="5"/>
  <c r="D81" i="5" s="1"/>
  <c r="B80" i="5"/>
  <c r="D80" i="5" s="1"/>
  <c r="B79" i="5"/>
  <c r="D79" i="5" s="1"/>
  <c r="B78" i="5"/>
  <c r="D78" i="5" s="1"/>
  <c r="B77" i="5"/>
  <c r="D77" i="5" s="1"/>
  <c r="B76" i="5"/>
  <c r="D76" i="5" s="1"/>
  <c r="B74" i="5"/>
  <c r="D74" i="5" s="1"/>
  <c r="B73" i="5"/>
  <c r="D73" i="5" s="1"/>
  <c r="B72" i="5"/>
  <c r="D72" i="5" s="1"/>
  <c r="B71" i="5"/>
  <c r="D71" i="5" s="1"/>
  <c r="B70" i="5"/>
  <c r="D70" i="5" s="1"/>
  <c r="B69" i="5"/>
  <c r="D69" i="5" s="1"/>
  <c r="B67" i="5"/>
  <c r="D67" i="5" s="1"/>
  <c r="B66" i="5"/>
  <c r="D66" i="5" s="1"/>
  <c r="B65" i="5"/>
  <c r="D65" i="5" s="1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B53" i="5"/>
  <c r="D53" i="5" s="1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B18" i="5"/>
  <c r="D18" i="5" s="1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D48" i="4" s="1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B87" i="4"/>
  <c r="D87" i="4" s="1"/>
  <c r="B86" i="4"/>
  <c r="D86" i="4" s="1"/>
  <c r="B85" i="4"/>
  <c r="D85" i="4" s="1"/>
  <c r="B84" i="4"/>
  <c r="D84" i="4" s="1"/>
  <c r="B83" i="4"/>
  <c r="D83" i="4" s="1"/>
  <c r="B81" i="4"/>
  <c r="D81" i="4" s="1"/>
  <c r="B80" i="4"/>
  <c r="D80" i="4" s="1"/>
  <c r="B79" i="4"/>
  <c r="D79" i="4" s="1"/>
  <c r="B78" i="4"/>
  <c r="D78" i="4" s="1"/>
  <c r="B77" i="4"/>
  <c r="D77" i="4" s="1"/>
  <c r="B76" i="4"/>
  <c r="D76" i="4" s="1"/>
  <c r="B74" i="4"/>
  <c r="D74" i="4" s="1"/>
  <c r="B73" i="4"/>
  <c r="D73" i="4" s="1"/>
  <c r="B72" i="4"/>
  <c r="D72" i="4" s="1"/>
  <c r="B71" i="4"/>
  <c r="D71" i="4" s="1"/>
  <c r="B70" i="4"/>
  <c r="D70" i="4" s="1"/>
  <c r="B69" i="4"/>
  <c r="D69" i="4" s="1"/>
  <c r="B67" i="4"/>
  <c r="D67" i="4" s="1"/>
  <c r="B66" i="4"/>
  <c r="D66" i="4" s="1"/>
  <c r="B65" i="4"/>
  <c r="D65" i="4" s="1"/>
  <c r="B64" i="4"/>
  <c r="D64" i="4" s="1"/>
  <c r="B63" i="4"/>
  <c r="B62" i="4"/>
  <c r="B60" i="4"/>
  <c r="D60" i="4" s="1"/>
  <c r="B59" i="4"/>
  <c r="D59" i="4" s="1"/>
  <c r="B58" i="4"/>
  <c r="D58" i="4" s="1"/>
  <c r="B57" i="4"/>
  <c r="D57" i="4" s="1"/>
  <c r="B56" i="4"/>
  <c r="D56" i="4" s="1"/>
  <c r="B55" i="4"/>
  <c r="D55" i="4" s="1"/>
  <c r="B53" i="4"/>
  <c r="D53" i="4" s="1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B18" i="4"/>
  <c r="D18" i="4" s="1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B87" i="3"/>
  <c r="D87" i="3" s="1"/>
  <c r="B86" i="3"/>
  <c r="D86" i="3" s="1"/>
  <c r="B85" i="3"/>
  <c r="D85" i="3" s="1"/>
  <c r="B84" i="3"/>
  <c r="D84" i="3" s="1"/>
  <c r="B83" i="3"/>
  <c r="D83" i="3" s="1"/>
  <c r="B81" i="3"/>
  <c r="D81" i="3" s="1"/>
  <c r="B80" i="3"/>
  <c r="D80" i="3" s="1"/>
  <c r="B79" i="3"/>
  <c r="D79" i="3" s="1"/>
  <c r="B78" i="3"/>
  <c r="D78" i="3" s="1"/>
  <c r="B77" i="3"/>
  <c r="D77" i="3" s="1"/>
  <c r="B76" i="3"/>
  <c r="D76" i="3" s="1"/>
  <c r="B74" i="3"/>
  <c r="D74" i="3" s="1"/>
  <c r="B73" i="3"/>
  <c r="D73" i="3" s="1"/>
  <c r="B72" i="3"/>
  <c r="D72" i="3" s="1"/>
  <c r="B71" i="3"/>
  <c r="D71" i="3" s="1"/>
  <c r="B70" i="3"/>
  <c r="D70" i="3" s="1"/>
  <c r="B69" i="3"/>
  <c r="D69" i="3" s="1"/>
  <c r="B67" i="3"/>
  <c r="D67" i="3" s="1"/>
  <c r="B66" i="3"/>
  <c r="D66" i="3" s="1"/>
  <c r="B65" i="3"/>
  <c r="D65" i="3" s="1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5" i="3"/>
  <c r="D25" i="3" s="1"/>
  <c r="B24" i="3"/>
  <c r="D24" i="3" s="1"/>
  <c r="B23" i="3"/>
  <c r="D23" i="3" s="1"/>
  <c r="B22" i="3"/>
  <c r="B21" i="3"/>
  <c r="B20" i="3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B88" i="15"/>
  <c r="E88" i="15" s="1"/>
  <c r="B87" i="15"/>
  <c r="E87" i="15" s="1"/>
  <c r="B86" i="15"/>
  <c r="E86" i="15" s="1"/>
  <c r="B85" i="15"/>
  <c r="E85" i="15" s="1"/>
  <c r="C84" i="15"/>
  <c r="C85" i="15" s="1"/>
  <c r="C86" i="15" s="1"/>
  <c r="C87" i="15" s="1"/>
  <c r="C88" i="15" s="1"/>
  <c r="B84" i="15"/>
  <c r="E84" i="15" s="1"/>
  <c r="C83" i="15"/>
  <c r="B83" i="15"/>
  <c r="E83" i="15" s="1"/>
  <c r="F82" i="15"/>
  <c r="B81" i="15"/>
  <c r="E81" i="15" s="1"/>
  <c r="B80" i="15"/>
  <c r="E80" i="15" s="1"/>
  <c r="B79" i="15"/>
  <c r="E79" i="15" s="1"/>
  <c r="C78" i="15"/>
  <c r="C79" i="15" s="1"/>
  <c r="C80" i="15" s="1"/>
  <c r="C81" i="15" s="1"/>
  <c r="B78" i="15"/>
  <c r="E78" i="15" s="1"/>
  <c r="C77" i="15"/>
  <c r="B77" i="15"/>
  <c r="E77" i="15" s="1"/>
  <c r="C76" i="15"/>
  <c r="B76" i="15"/>
  <c r="E76" i="15" s="1"/>
  <c r="F75" i="15"/>
  <c r="B74" i="15"/>
  <c r="E74" i="15" s="1"/>
  <c r="B73" i="15"/>
  <c r="E73" i="15" s="1"/>
  <c r="B72" i="15"/>
  <c r="E72" i="15" s="1"/>
  <c r="B71" i="15"/>
  <c r="E71" i="15" s="1"/>
  <c r="B70" i="15"/>
  <c r="E70" i="15" s="1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B66" i="15"/>
  <c r="E66" i="15" s="1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B53" i="15"/>
  <c r="E53" i="15" s="1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B32" i="15"/>
  <c r="E32" i="15" s="1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B10" i="15"/>
  <c r="E10" i="15" s="1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B87" i="14"/>
  <c r="E87" i="14" s="1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C83" i="14"/>
  <c r="B83" i="14"/>
  <c r="E83" i="14" s="1"/>
  <c r="F82" i="14"/>
  <c r="B81" i="14"/>
  <c r="E81" i="14" s="1"/>
  <c r="B80" i="14"/>
  <c r="E80" i="14" s="1"/>
  <c r="B79" i="14"/>
  <c r="E79" i="14" s="1"/>
  <c r="C78" i="14"/>
  <c r="C79" i="14" s="1"/>
  <c r="C80" i="14" s="1"/>
  <c r="C81" i="14" s="1"/>
  <c r="B78" i="14"/>
  <c r="E78" i="14" s="1"/>
  <c r="C77" i="14"/>
  <c r="B77" i="14"/>
  <c r="E77" i="14" s="1"/>
  <c r="C76" i="14"/>
  <c r="B76" i="14"/>
  <c r="E76" i="14" s="1"/>
  <c r="F75" i="14"/>
  <c r="B74" i="14"/>
  <c r="E74" i="14" s="1"/>
  <c r="B73" i="14"/>
  <c r="E73" i="14" s="1"/>
  <c r="B72" i="14"/>
  <c r="E72" i="14" s="1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B66" i="14"/>
  <c r="E66" i="14" s="1"/>
  <c r="B65" i="14"/>
  <c r="E65" i="14" s="1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B10" i="14"/>
  <c r="E10" i="14" s="1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B87" i="13"/>
  <c r="E87" i="13" s="1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C83" i="13"/>
  <c r="B83" i="13"/>
  <c r="E83" i="13" s="1"/>
  <c r="F82" i="13"/>
  <c r="B81" i="13"/>
  <c r="E81" i="13" s="1"/>
  <c r="B80" i="13"/>
  <c r="E80" i="13" s="1"/>
  <c r="B79" i="13"/>
  <c r="E79" i="13" s="1"/>
  <c r="B78" i="13"/>
  <c r="E78" i="13" s="1"/>
  <c r="B77" i="13"/>
  <c r="E77" i="13" s="1"/>
  <c r="C76" i="13"/>
  <c r="C77" i="13" s="1"/>
  <c r="C78" i="13" s="1"/>
  <c r="C79" i="13" s="1"/>
  <c r="C80" i="13" s="1"/>
  <c r="C81" i="13" s="1"/>
  <c r="B76" i="13"/>
  <c r="E76" i="13" s="1"/>
  <c r="F75" i="13"/>
  <c r="B74" i="13"/>
  <c r="E74" i="13" s="1"/>
  <c r="B73" i="13"/>
  <c r="E73" i="13" s="1"/>
  <c r="B72" i="13"/>
  <c r="E72" i="13" s="1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B66" i="13"/>
  <c r="E66" i="13" s="1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B51" i="13"/>
  <c r="E51" i="13" s="1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B10" i="13"/>
  <c r="E10" i="13" s="1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B88" i="12"/>
  <c r="E88" i="12" s="1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C83" i="12"/>
  <c r="B83" i="12"/>
  <c r="E83" i="12" s="1"/>
  <c r="F82" i="12"/>
  <c r="B81" i="12"/>
  <c r="E81" i="12" s="1"/>
  <c r="B80" i="12"/>
  <c r="E80" i="12" s="1"/>
  <c r="C79" i="12"/>
  <c r="C80" i="12" s="1"/>
  <c r="C81" i="12" s="1"/>
  <c r="B79" i="12"/>
  <c r="E79" i="12" s="1"/>
  <c r="C78" i="12"/>
  <c r="B78" i="12"/>
  <c r="E78" i="12" s="1"/>
  <c r="C77" i="12"/>
  <c r="B77" i="12"/>
  <c r="E77" i="12" s="1"/>
  <c r="C76" i="12"/>
  <c r="B76" i="12"/>
  <c r="E76" i="12" s="1"/>
  <c r="F75" i="12"/>
  <c r="B74" i="12"/>
  <c r="E74" i="12" s="1"/>
  <c r="B73" i="12"/>
  <c r="E73" i="12" s="1"/>
  <c r="B72" i="12"/>
  <c r="E72" i="12" s="1"/>
  <c r="B71" i="12"/>
  <c r="E71" i="12" s="1"/>
  <c r="B70" i="12"/>
  <c r="E70" i="12" s="1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B66" i="12"/>
  <c r="E66" i="12" s="1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B53" i="12"/>
  <c r="E53" i="12" s="1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B32" i="12"/>
  <c r="E32" i="12" s="1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B10" i="12"/>
  <c r="E10" i="12" s="1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B88" i="11"/>
  <c r="E88" i="11" s="1"/>
  <c r="B87" i="11"/>
  <c r="E87" i="11" s="1"/>
  <c r="B86" i="11"/>
  <c r="E86" i="11" s="1"/>
  <c r="B85" i="11"/>
  <c r="E85" i="11" s="1"/>
  <c r="C84" i="11"/>
  <c r="C85" i="11" s="1"/>
  <c r="C86" i="11" s="1"/>
  <c r="C87" i="11" s="1"/>
  <c r="C88" i="11" s="1"/>
  <c r="B84" i="11"/>
  <c r="E84" i="11" s="1"/>
  <c r="C83" i="11"/>
  <c r="B83" i="11"/>
  <c r="E83" i="11" s="1"/>
  <c r="F82" i="11"/>
  <c r="B81" i="11"/>
  <c r="E81" i="11" s="1"/>
  <c r="B80" i="11"/>
  <c r="E80" i="11" s="1"/>
  <c r="B79" i="11"/>
  <c r="E79" i="11" s="1"/>
  <c r="B78" i="11"/>
  <c r="E78" i="11" s="1"/>
  <c r="B77" i="11"/>
  <c r="E77" i="11" s="1"/>
  <c r="C76" i="11"/>
  <c r="C77" i="11" s="1"/>
  <c r="C78" i="11" s="1"/>
  <c r="C79" i="11" s="1"/>
  <c r="C80" i="11" s="1"/>
  <c r="C81" i="11" s="1"/>
  <c r="B76" i="11"/>
  <c r="E76" i="11" s="1"/>
  <c r="F75" i="11"/>
  <c r="B74" i="11"/>
  <c r="E74" i="11" s="1"/>
  <c r="B73" i="11"/>
  <c r="E73" i="11" s="1"/>
  <c r="B72" i="11"/>
  <c r="E72" i="11" s="1"/>
  <c r="B71" i="11"/>
  <c r="E71" i="11" s="1"/>
  <c r="B70" i="11"/>
  <c r="E70" i="11" s="1"/>
  <c r="C69" i="11"/>
  <c r="C70" i="11" s="1"/>
  <c r="C71" i="11" s="1"/>
  <c r="C72" i="11" s="1"/>
  <c r="C73" i="11" s="1"/>
  <c r="C74" i="11" s="1"/>
  <c r="B69" i="11"/>
  <c r="E69" i="11" s="1"/>
  <c r="F68" i="11"/>
  <c r="B67" i="11"/>
  <c r="E67" i="11" s="1"/>
  <c r="B66" i="11"/>
  <c r="E66" i="11" s="1"/>
  <c r="B65" i="11"/>
  <c r="E65" i="11" s="1"/>
  <c r="B64" i="11"/>
  <c r="E64" i="11" s="1"/>
  <c r="B63" i="11"/>
  <c r="E63" i="11" s="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B52" i="11"/>
  <c r="E52" i="11" s="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B39" i="11"/>
  <c r="E39" i="11" s="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B32" i="11"/>
  <c r="E32" i="11" s="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B18" i="11"/>
  <c r="E18" i="11" s="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B11" i="11"/>
  <c r="E11" i="11" s="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B85" i="10"/>
  <c r="E85" i="10" s="1"/>
  <c r="C84" i="10"/>
  <c r="C85" i="10" s="1"/>
  <c r="C86" i="10" s="1"/>
  <c r="C87" i="10" s="1"/>
  <c r="C88" i="10" s="1"/>
  <c r="B84" i="10"/>
  <c r="E84" i="10" s="1"/>
  <c r="C83" i="10"/>
  <c r="B83" i="10"/>
  <c r="E83" i="10" s="1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B72" i="10"/>
  <c r="E72" i="10" s="1"/>
  <c r="B71" i="10"/>
  <c r="E71" i="10" s="1"/>
  <c r="B70" i="10"/>
  <c r="E70" i="10" s="1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B66" i="10"/>
  <c r="E66" i="10" s="1"/>
  <c r="B65" i="10"/>
  <c r="E65" i="10" s="1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10" i="4" l="1"/>
  <c r="D21" i="16"/>
  <c r="D22" i="7"/>
  <c r="D49" i="7"/>
  <c r="D20" i="5"/>
  <c r="D22" i="5"/>
  <c r="D22" i="3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D41" i="8"/>
  <c r="E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D40" i="8"/>
  <c r="E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<sst xmlns="http://schemas.openxmlformats.org/spreadsheetml/2006/main" count="685" uniqueCount="122">
  <si>
    <t>TECNOLOGÍA EN GESTIÓN DE NEGOCIOS INTERN</t>
  </si>
  <si>
    <t>SEMESTRE:</t>
  </si>
  <si>
    <t>SEM-02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</si>
  <si>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</si>
  <si>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</si>
  <si>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</si>
  <si>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</si>
  <si>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</si>
  <si>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</si>
  <si>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</si>
  <si>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</si>
  <si>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INTRODUCCIÓN A LOS NEGOCIOS IN</t>
  </si>
  <si>
    <t>COSTOS Y PRESUPUESTO</t>
  </si>
  <si>
    <t>LEGISLACION EMPRESARIAL</t>
  </si>
  <si>
    <t>SEMINARIO INVESTIGATIVO</t>
  </si>
  <si>
    <t>ECONOMÍA GENERAL</t>
  </si>
  <si>
    <t>PROCESO ADMINISTRATIVO</t>
  </si>
  <si>
    <t>TATIANA MILENA ROJAS AROCA</t>
  </si>
  <si>
    <t>ISAMAR CAROLINA CASSIANI DEL TORO</t>
  </si>
  <si>
    <t>ANGELICA PAOLA DOMINGUEZ CASTELLAR</t>
  </si>
  <si>
    <t>MANUEL BAQUERO NOVA</t>
  </si>
  <si>
    <t>ZILLAH EUGENIA CANTILLO ALTAMIRANDA</t>
  </si>
  <si>
    <t>JENNIFER GIRALDO GUZMAN</t>
  </si>
  <si>
    <t>LISTA DE ESTUDIANTES</t>
  </si>
  <si>
    <t>SEGUNDA ENTREGA - CRITERIOS DE EVALUACIÓN DOCUMENTO - SEGUNDO CORTE</t>
  </si>
  <si>
    <t>PONDERACIÓN</t>
  </si>
  <si>
    <t>ADMINISTRACIÓN DE EMPRESAS C.I</t>
  </si>
  <si>
    <t>DIEGO ALEJANDRO BUSTAMANTE CARABALLO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</si>
  <si>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</si>
  <si>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</si>
  <si>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YULIZA PAHOLA CIPRIAN MONTALVO</t>
  </si>
  <si>
    <t>ANTEPROYECTO: Portada, planteamiento del problema, justificacion del trabajo o proyecto de aula, objetivos, marco teorico, diseño metodologico.</t>
  </si>
  <si>
    <t>CONTADURÍA PÚBLICA</t>
  </si>
  <si>
    <t>DEIMER JOSE ORTEGA PALENCIA</t>
  </si>
  <si>
    <t>RESULTADOS:  Analiza, integra y aplica de manera coherente los aspectos legales y administrativos en el desarrollo de la propuesta investigativa, evidenciando capacidad para generar soluciones viables, pertinentes y sostenibles.</t>
  </si>
  <si>
    <t>NEGOCIOS INTERNACIONALES PROFESIONAL</t>
  </si>
  <si>
    <t>MILAGRO CECILIA PEREZ MARTINEZ</t>
  </si>
  <si>
    <t>BILIOGRAFIA: Las referencias bibliograficas: adoptan las normas APA. El documento es producto de un rastreo bibliografico que muestra analisis y sistensis.</t>
  </si>
  <si>
    <t>MARIA FERNANDA QUIROZ PEREZ</t>
  </si>
  <si>
    <t>ASESORIAS: Anexó la hoja de tutoria firmada ( 3 fimas minmimo).</t>
  </si>
  <si>
    <t>TECNOLOGíA EN GESTION CONTABLE</t>
  </si>
  <si>
    <t>NIYELI ALEJANDRA ARISTIZABAL CARMONA</t>
  </si>
  <si>
    <t>TECNOLOGÍA EN GESTIÓN DE MARKETING</t>
  </si>
  <si>
    <t>JARAH LUCIA CUETO FLOREZ</t>
  </si>
  <si>
    <t>TECNOLOGÍA EN GESTIÓN DEL TALENTO HUMANO</t>
  </si>
  <si>
    <t>ISAMAR DE AVILA SANDOVAL</t>
  </si>
  <si>
    <t>TECNOLOGÍA EN GESTIÓN FINANCIERA</t>
  </si>
  <si>
    <t>JUAN JOSE RICO MANJARRES</t>
  </si>
  <si>
    <t>TECNOLOGÍA EN GESTIÓN LOGISTICA Y PORTUARIA</t>
  </si>
  <si>
    <t>JUAN CAMILO SEPULVEDA PADILLA</t>
  </si>
  <si>
    <t>ENTREGA FINAL - CRITERIO DE EVALUACIÓN SUSTENTACIÓN - TERCER CORTE</t>
  </si>
  <si>
    <t>TECNOLOGÍA EN GESTIÓN TURISTICA Y HOTELERA</t>
  </si>
  <si>
    <t>LUISFER BELEÑO ZUÑIGA</t>
  </si>
  <si>
    <t>Evaluación del Documento Final</t>
  </si>
  <si>
    <t>ANDERSON CARMONA CASTILLA</t>
  </si>
  <si>
    <t>Sustentación de los Resultados: Se refleja un dominio del tema, la  información está delimitada y es clara. Hay una jerarquía y fluidez en las ideas que presenta.</t>
  </si>
  <si>
    <t>DUVAN YAIR JIMENEZ CASTAÑO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</si>
  <si>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</si>
  <si>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JAZMIN ADRIANA AREVALO RUIZDIAZ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</si>
  <si>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</si>
  <si>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ARIADNY ISABEL BANQUEZ OBESO</t>
  </si>
  <si>
    <t>Tiempo: El uso del tiempo fue apropiado, se ajusta al previsto.
Ofrece una conclusión donde condensa las ideas principales del objetivo general y los específicos.</t>
  </si>
  <si>
    <t>CLAUDIA CAROLINA CAMACHO ALVEAR</t>
  </si>
  <si>
    <t>Uso de Recursos Audiovisuales Tecnológicos: La sustentación se acompaña de recursos visuales pertinentes, atractivos y de gran calidad</t>
  </si>
  <si>
    <t>SAMUEL DAVID CANTILLO MARTELO</t>
  </si>
  <si>
    <t>JOSE DANIEL HERNÁNDEZ BURGOS</t>
  </si>
  <si>
    <t>JHOINER SMIT RIVERA JULIO</t>
  </si>
  <si>
    <t>NOELYS ANAYA GARCIA</t>
  </si>
  <si>
    <t>TITULOS DE LOS PROYECTOS DE AULA</t>
  </si>
  <si>
    <t>LIZCONY FERIA MIER</t>
  </si>
  <si>
    <t>GRUPO#1 Análisis comparativo en el sector financiero y crediticio</t>
  </si>
  <si>
    <t>DAYANA MISHELL GALVIS VIELLAR</t>
  </si>
  <si>
    <t>GRUPO#2 Características de los aspectos administrativos, legales, económicos y de costos de las empresas Riopaila S.A. y Manuelita S.A.</t>
  </si>
  <si>
    <t>SOFIA ISABEL GOMEZ NIÑO</t>
  </si>
  <si>
    <t>GRUPO#3 Análisis comparativo de los aspectos administrativos, legales, económicos y de costos en comercializadora ARTURO CALLE S.A.S. y NALSANI S.A.S. (TOTTO)</t>
  </si>
  <si>
    <t>LEDYS CAROLINA HERNANDEZ LEAL</t>
  </si>
  <si>
    <t>GRUPO#4 Características de los aspecto económicos, administrativos, legales, de costos de Colombina SA y Compañía Navional De Chocolates SAS</t>
  </si>
  <si>
    <t>OSCAR ANDRES BORRE VASQUEZ</t>
  </si>
  <si>
    <t>GRUPO#5 Características de los Aspectos Administrativos, Legales, Económicos y de Costos de STF Group S.A Y Manufacturas Eliot S.A.S que participan en el mismo sector económico</t>
  </si>
  <si>
    <t>YULIANI CRESPO BAENA</t>
  </si>
  <si>
    <t>GRUPO#6 Cuáles son las características de los aspectos Administrativos, Legales, Económicos, y de Costos de la Organización Terpel S.A y Ecopetrol S.A que participan en el mismo sector económico</t>
  </si>
  <si>
    <t>KEINER JAVID DIAZ ALVAREZ</t>
  </si>
  <si>
    <t>GRUPO#7</t>
  </si>
  <si>
    <t>DAIRIN ROSA TORRES ALVARADO</t>
  </si>
  <si>
    <t>GRUPO#8</t>
  </si>
  <si>
    <t>DIANA CAROLINA VILLARREAL RAMOS</t>
  </si>
  <si>
    <t>GRUPO#9</t>
  </si>
  <si>
    <t>GRUPO#10</t>
  </si>
  <si>
    <t>GRUPO#11</t>
  </si>
  <si>
    <t>GRUPO#12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</si>
  <si>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</si>
  <si>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</si>
  <si>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</si>
  <si>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</si>
  <si>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</si>
  <si>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</si>
  <si>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</si>
  <si>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</si>
  <si>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</si>
  <si>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</si>
  <si>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</si>
  <si>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</si>
  <si>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</si>
  <si>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</si>
  <si>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</si>
  <si>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</si>
  <si>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G07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</si>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</sst>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8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topLeftCell="D16" zoomScale="86" zoomScaleNormal="86" workbookViewId="0">
      <selection activeCell="E35" sqref="E35:H35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86" t="s">
        <v>0</v>
      </c>
      <c r="C2" s="187"/>
      <c r="D2" s="188"/>
      <c r="E2" s="101" t="s">
        <v>1</v>
      </c>
      <c r="F2" s="102" t="s">
        <v>2</v>
      </c>
      <c r="G2" s="101" t="s">
        <v>3</v>
      </c>
      <c r="H2" s="41">
        <v>6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/>
    </row>
    <row r="5" spans="2:9" ht="24.95" customHeight="1" thickBot="1">
      <c r="C5" s="139" t="s">
        <v>17</v>
      </c>
      <c r="D5" s="139" t="s">
        <v>18</v>
      </c>
      <c r="E5" s="139" t="s">
        <v>19</v>
      </c>
      <c r="F5" s="139" t="s">
        <v>20</v>
      </c>
      <c r="G5" s="139" t="s">
        <v>21</v>
      </c>
      <c r="H5" s="140" t="s">
        <v>22</v>
      </c>
      <c r="I5" s="140"/>
    </row>
    <row r="6" spans="2:9" ht="24.95" customHeight="1" thickBot="1">
      <c r="C6" s="141">
        <v>2339</v>
      </c>
      <c r="D6" s="141">
        <v>2212</v>
      </c>
      <c r="E6" s="141">
        <v>2232</v>
      </c>
      <c r="F6" s="141">
        <v>1927</v>
      </c>
      <c r="G6" s="141">
        <v>1416</v>
      </c>
      <c r="H6" s="141">
        <v>1329</v>
      </c>
      <c r="I6" s="141"/>
    </row>
    <row r="7" spans="2:9" ht="13.5" thickBot="1"/>
    <row r="8" spans="2:9" ht="20.100000000000001" customHeight="1">
      <c r="B8" s="108"/>
      <c r="C8" s="109" t="s">
        <v>23</v>
      </c>
      <c r="E8" s="189" t="s">
        <v>24</v>
      </c>
      <c r="F8" s="190"/>
      <c r="G8" s="191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92" t="s">
        <v>28</v>
      </c>
      <c r="F9" s="193"/>
      <c r="G9" s="194"/>
      <c r="H9" s="130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66" t="s">
        <v>31</v>
      </c>
      <c r="F10" s="167"/>
      <c r="G10" s="168"/>
      <c r="H10" s="131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92" t="s">
        <v>34</v>
      </c>
      <c r="F11" s="193"/>
      <c r="G11" s="194"/>
      <c r="H11" s="130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66" t="s">
        <v>37</v>
      </c>
      <c r="F12" s="167"/>
      <c r="G12" s="168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69" t="s">
        <v>39</v>
      </c>
      <c r="F13" s="170"/>
      <c r="G13" s="171"/>
      <c r="H13" s="130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72"/>
      <c r="F14" s="164"/>
      <c r="G14" s="165"/>
      <c r="H14" s="131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73"/>
      <c r="F15" s="174"/>
      <c r="G15" s="175"/>
      <c r="H15" s="130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2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2"/>
      <c r="F17" s="182"/>
      <c r="G17" s="182"/>
      <c r="H17" s="182"/>
      <c r="I17" s="69" t="s">
        <v>48</v>
      </c>
    </row>
    <row r="18" spans="2:9" ht="15" customHeight="1" thickBot="1">
      <c r="B18" s="108">
        <v>10</v>
      </c>
      <c r="C18" s="111" t="s">
        <v>49</v>
      </c>
      <c r="E18" s="156" t="s">
        <v>50</v>
      </c>
      <c r="F18" s="157"/>
      <c r="G18" s="157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79" t="s">
        <v>53</v>
      </c>
      <c r="F19" s="180"/>
      <c r="G19" s="181"/>
      <c r="H19" s="133">
        <v>0.5</v>
      </c>
    </row>
    <row r="20" spans="2:9" ht="15" customHeight="1">
      <c r="B20" s="108">
        <v>12</v>
      </c>
      <c r="C20" s="111" t="s">
        <v>54</v>
      </c>
      <c r="E20" s="158" t="s">
        <v>55</v>
      </c>
      <c r="F20" s="159"/>
      <c r="G20" s="160"/>
      <c r="H20" s="134">
        <v>0.2</v>
      </c>
    </row>
    <row r="21" spans="2:9" ht="15" customHeight="1">
      <c r="B21" s="108">
        <v>13</v>
      </c>
      <c r="C21" s="111" t="s">
        <v>56</v>
      </c>
      <c r="E21" s="161" t="s">
        <v>57</v>
      </c>
      <c r="F21" s="162"/>
      <c r="G21" s="163"/>
      <c r="H21" s="135">
        <v>0.1</v>
      </c>
    </row>
    <row r="22" spans="2:9" ht="15" customHeight="1">
      <c r="B22" s="108">
        <v>14</v>
      </c>
      <c r="C22" s="111" t="s">
        <v>58</v>
      </c>
      <c r="E22" s="158" t="s">
        <v>59</v>
      </c>
      <c r="F22" s="164"/>
      <c r="G22" s="165"/>
      <c r="H22" s="134">
        <v>0.05</v>
      </c>
    </row>
    <row r="23" spans="2:9" ht="15" customHeight="1">
      <c r="B23" s="108">
        <v>15</v>
      </c>
      <c r="C23" s="111" t="s">
        <v>60</v>
      </c>
      <c r="E23" s="161" t="s">
        <v>61</v>
      </c>
      <c r="F23" s="162"/>
      <c r="G23" s="163"/>
      <c r="H23" s="136">
        <v>0.05</v>
      </c>
    </row>
    <row r="24" spans="2:9" ht="15" customHeight="1">
      <c r="B24" s="108">
        <v>16</v>
      </c>
      <c r="C24" s="111" t="s">
        <v>62</v>
      </c>
      <c r="E24" s="158" t="s">
        <v>63</v>
      </c>
      <c r="F24" s="159"/>
      <c r="G24" s="160"/>
      <c r="H24" s="134">
        <v>0.1</v>
      </c>
    </row>
    <row r="25" spans="2:9" ht="15" customHeight="1" thickBot="1">
      <c r="B25" s="108">
        <v>17</v>
      </c>
      <c r="C25" s="111" t="s">
        <v>64</v>
      </c>
      <c r="E25" s="176"/>
      <c r="F25" s="177"/>
      <c r="G25" s="178"/>
      <c r="H25" s="135"/>
    </row>
    <row r="26" spans="2:9" ht="15" customHeight="1" thickBot="1">
      <c r="B26" s="108">
        <v>18</v>
      </c>
      <c r="C26" s="111" t="s">
        <v>65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66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67</v>
      </c>
      <c r="E28" s="183" t="s">
        <v>68</v>
      </c>
      <c r="F28" s="184"/>
      <c r="G28" s="184"/>
      <c r="H28" s="185"/>
    </row>
    <row r="29" spans="2:9" ht="15" customHeight="1" thickBot="1">
      <c r="B29" s="108">
        <v>21</v>
      </c>
      <c r="C29" s="111" t="s">
        <v>69</v>
      </c>
      <c r="E29" s="153" t="s">
        <v>70</v>
      </c>
      <c r="F29" s="154"/>
      <c r="G29" s="154"/>
      <c r="H29" s="155"/>
    </row>
    <row r="30" spans="2:9" ht="15" customHeight="1" thickBot="1">
      <c r="B30" s="108">
        <v>22</v>
      </c>
      <c r="C30" s="111" t="s">
        <v>71</v>
      </c>
      <c r="E30" s="150" t="s">
        <v>72</v>
      </c>
      <c r="F30" s="151"/>
      <c r="G30" s="151"/>
      <c r="H30" s="152"/>
    </row>
    <row r="31" spans="2:9" ht="15" customHeight="1" thickBot="1">
      <c r="B31" s="108">
        <v>23</v>
      </c>
      <c r="C31" s="111" t="s">
        <v>73</v>
      </c>
      <c r="E31" s="153" t="s">
        <v>74</v>
      </c>
      <c r="F31" s="154"/>
      <c r="G31" s="154"/>
      <c r="H31" s="155"/>
    </row>
    <row r="32" spans="2:9" ht="15" customHeight="1" thickBot="1">
      <c r="B32" s="108">
        <v>24</v>
      </c>
      <c r="C32" s="111" t="s">
        <v>75</v>
      </c>
      <c r="E32" s="150" t="s">
        <v>76</v>
      </c>
      <c r="F32" s="151"/>
      <c r="G32" s="151"/>
      <c r="H32" s="152"/>
    </row>
    <row r="33" spans="2:8" ht="15" customHeight="1" thickBot="1">
      <c r="B33" s="108">
        <v>25</v>
      </c>
      <c r="C33" s="111" t="s">
        <v>77</v>
      </c>
      <c r="E33" s="153" t="s">
        <v>78</v>
      </c>
      <c r="F33" s="154"/>
      <c r="G33" s="154"/>
      <c r="H33" s="155"/>
    </row>
    <row r="34" spans="2:8" ht="15" customHeight="1" thickBot="1">
      <c r="B34" s="108">
        <v>26</v>
      </c>
      <c r="C34" s="111" t="s">
        <v>79</v>
      </c>
      <c r="E34" s="150" t="s">
        <v>80</v>
      </c>
      <c r="F34" s="151"/>
      <c r="G34" s="151"/>
      <c r="H34" s="152"/>
    </row>
    <row r="35" spans="2:8" ht="15" customHeight="1" thickBot="1">
      <c r="B35" s="108">
        <v>27</v>
      </c>
      <c r="C35" s="111" t="s">
        <v>81</v>
      </c>
      <c r="E35" s="153" t="s">
        <v>82</v>
      </c>
      <c r="F35" s="154"/>
      <c r="G35" s="154"/>
      <c r="H35" s="155"/>
    </row>
    <row r="36" spans="2:8" ht="15" customHeight="1" thickBot="1">
      <c r="B36" s="108">
        <v>28</v>
      </c>
      <c r="C36" s="111" t="s">
        <v>83</v>
      </c>
      <c r="E36" s="150" t="s">
        <v>84</v>
      </c>
      <c r="F36" s="151"/>
      <c r="G36" s="151"/>
      <c r="H36" s="152"/>
    </row>
    <row r="37" spans="2:8" ht="15" customHeight="1" thickBot="1">
      <c r="B37" s="108">
        <v>29</v>
      </c>
      <c r="C37" s="111" t="s">
        <v>85</v>
      </c>
      <c r="E37" s="153" t="s">
        <v>86</v>
      </c>
      <c r="F37" s="154"/>
      <c r="G37" s="154"/>
      <c r="H37" s="155"/>
    </row>
    <row r="38" spans="2:8" ht="15" customHeight="1" thickBot="1">
      <c r="B38" s="108">
        <v>30</v>
      </c>
      <c r="C38" s="111"/>
      <c r="E38" s="150" t="s">
        <v>87</v>
      </c>
      <c r="F38" s="151"/>
      <c r="G38" s="151"/>
      <c r="H38" s="152"/>
    </row>
    <row r="39" spans="2:8" ht="15" customHeight="1" thickBot="1">
      <c r="B39" s="108">
        <v>31</v>
      </c>
      <c r="C39" s="111"/>
      <c r="E39" s="153" t="s">
        <v>88</v>
      </c>
      <c r="F39" s="154"/>
      <c r="G39" s="154"/>
      <c r="H39" s="155"/>
    </row>
    <row r="40" spans="2:8" ht="15" customHeight="1" thickBot="1">
      <c r="B40" s="108">
        <v>32</v>
      </c>
      <c r="C40" s="111"/>
      <c r="E40" s="150" t="s">
        <v>89</v>
      </c>
      <c r="F40" s="151"/>
      <c r="G40" s="151"/>
      <c r="H40" s="152"/>
    </row>
    <row r="41" spans="2:8" ht="15" customHeight="1" thickBot="1">
      <c r="B41" s="108">
        <v>33</v>
      </c>
      <c r="C41" s="111"/>
      <c r="E41" s="114"/>
      <c r="F41" s="114"/>
      <c r="G41" s="114"/>
      <c r="H41" s="114"/>
    </row>
    <row r="42" spans="2:8" ht="15" customHeight="1" thickBot="1">
      <c r="B42" s="108">
        <v>34</v>
      </c>
      <c r="C42" s="111"/>
      <c r="E42" s="115" t="str">
        <f>MID(E29,1,20)</f>
        <v>GRUPO#1 Análisis com</v>
      </c>
      <c r="F42" s="116" t="str">
        <f>MID(E30,1,20)</f>
        <v>GRUPO#2 Característi</v>
      </c>
      <c r="G42" s="116" t="str">
        <f>MID(E31,1,20)</f>
        <v>GRUPO#3 Análisis com</v>
      </c>
      <c r="H42" s="117" t="str">
        <f>MID(E32,1,20)</f>
        <v>GRUPO#4 Característi</v>
      </c>
    </row>
    <row r="43" spans="2:8" ht="15" customHeight="1">
      <c r="B43" s="108">
        <v>35</v>
      </c>
      <c r="C43" s="111"/>
      <c r="E43" s="118" t="s">
        <v>27</v>
      </c>
      <c r="F43" s="119" t="s">
        <v>41</v>
      </c>
      <c r="G43" s="119" t="s">
        <v>52</v>
      </c>
      <c r="H43" s="120" t="s">
        <v>58</v>
      </c>
    </row>
    <row r="44" spans="2:8" ht="15" customHeight="1">
      <c r="B44" s="108">
        <v>36</v>
      </c>
      <c r="C44" s="111"/>
      <c r="E44" s="121" t="s">
        <v>30</v>
      </c>
      <c r="F44" s="122" t="s">
        <v>43</v>
      </c>
      <c r="G44" s="122" t="s">
        <v>54</v>
      </c>
      <c r="H44" s="123" t="s">
        <v>60</v>
      </c>
    </row>
    <row r="45" spans="2:8" ht="15" customHeight="1">
      <c r="B45" s="108">
        <v>37</v>
      </c>
      <c r="C45" s="111"/>
      <c r="E45" s="124" t="s">
        <v>33</v>
      </c>
      <c r="F45" s="125" t="s">
        <v>45</v>
      </c>
      <c r="G45" s="125" t="s">
        <v>56</v>
      </c>
      <c r="H45" s="126" t="s">
        <v>62</v>
      </c>
    </row>
    <row r="46" spans="2:8" ht="15" customHeight="1">
      <c r="B46" s="108">
        <v>38</v>
      </c>
      <c r="C46" s="111"/>
      <c r="E46" s="121" t="s">
        <v>36</v>
      </c>
      <c r="F46" s="122" t="s">
        <v>47</v>
      </c>
      <c r="G46" s="122"/>
      <c r="H46" s="123" t="s">
        <v>64</v>
      </c>
    </row>
    <row r="47" spans="2:8" ht="15" customHeight="1">
      <c r="B47" s="108">
        <v>39</v>
      </c>
      <c r="C47" s="111"/>
      <c r="E47" s="124" t="s">
        <v>38</v>
      </c>
      <c r="F47" s="125" t="s">
        <v>49</v>
      </c>
      <c r="G47" s="125"/>
      <c r="H47" s="126" t="s">
        <v>65</v>
      </c>
    </row>
    <row r="48" spans="2:8" ht="15" customHeight="1" thickBot="1">
      <c r="B48" s="108">
        <v>40</v>
      </c>
      <c r="C48" s="111"/>
      <c r="E48" s="127"/>
      <c r="F48" s="128"/>
      <c r="G48" s="128"/>
      <c r="H48" s="129" t="s">
        <v>66</v>
      </c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 Característi</v>
      </c>
      <c r="F50" s="116" t="str">
        <f>MID(E34,1,20)</f>
        <v>GRUPO#6 Cuáles son l</v>
      </c>
      <c r="G50" s="116" t="str">
        <f>MID(E35,1,20)</f>
        <v>GRUPO#7</v>
      </c>
      <c r="H50" s="117" t="str">
        <f>MID(E36,1,20)</f>
        <v>GRUPO#8</v>
      </c>
    </row>
    <row r="51" spans="2:8" ht="15" customHeight="1">
      <c r="B51" s="108">
        <v>43</v>
      </c>
      <c r="C51" s="111"/>
      <c r="E51" s="118" t="s">
        <v>67</v>
      </c>
      <c r="F51" s="119" t="s">
        <v>77</v>
      </c>
      <c r="G51" s="119"/>
      <c r="H51" s="120"/>
    </row>
    <row r="52" spans="2:8" ht="15" customHeight="1">
      <c r="B52" s="108">
        <v>44</v>
      </c>
      <c r="C52" s="111"/>
      <c r="E52" s="121" t="s">
        <v>69</v>
      </c>
      <c r="F52" s="122" t="s">
        <v>79</v>
      </c>
      <c r="G52" s="122"/>
      <c r="H52" s="123"/>
    </row>
    <row r="53" spans="2:8" ht="15" customHeight="1">
      <c r="B53" s="108">
        <v>45</v>
      </c>
      <c r="C53" s="111"/>
      <c r="E53" s="124" t="s">
        <v>71</v>
      </c>
      <c r="F53" s="125" t="s">
        <v>81</v>
      </c>
      <c r="G53" s="125"/>
      <c r="H53" s="126"/>
    </row>
    <row r="54" spans="2:8" ht="15" customHeight="1">
      <c r="B54" s="108">
        <v>46</v>
      </c>
      <c r="C54" s="111"/>
      <c r="E54" s="121" t="s">
        <v>73</v>
      </c>
      <c r="F54" s="122" t="s">
        <v>83</v>
      </c>
      <c r="G54" s="122"/>
      <c r="H54" s="123"/>
    </row>
    <row r="55" spans="2:8" ht="15" customHeight="1">
      <c r="B55" s="108">
        <v>47</v>
      </c>
      <c r="C55" s="111"/>
      <c r="E55" s="124" t="s">
        <v>75</v>
      </c>
      <c r="F55" s="125" t="s">
        <v>85</v>
      </c>
      <c r="G55" s="125"/>
      <c r="H55" s="126"/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W2Oo8kl6gyw2wvGWleQb5rUPXjQwvUfPb/cruJaiPE4d9Ivz9fFUqMHAc9CgkKpDUNs23r8b87fUhj4mBvqM3g==" saltValue="uPk/XXWM5S3d0KOWA26GqQ==" spinCount="100000" sheet="1" objects="1" scenarios="1"/>
  <dataConsolidate/>
  <mergeCells count="31">
    <mergeCell ref="B2:D2"/>
    <mergeCell ref="E8:G8"/>
    <mergeCell ref="E9:G9"/>
    <mergeCell ref="E10:G10"/>
    <mergeCell ref="E11:G1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14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LIDER!C4</f>
        <v>INTRODUCCIÓN A LOS NEGOCIOS IN</v>
      </c>
      <c r="C2" s="82"/>
      <c r="D2" s="3"/>
      <c r="F2" s="202" t="s">
        <v>90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CONCATENATE(LIDER!C4," - ",LIDER!C6," - ",LIDER!C5)</f>
        <v>INTRODUCCIÓN A LOS NEGOCIOS IN - 2339 - TATIANA MILENA ROJAS AROCA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7" t="str">
        <f>LIDER!$E$29</f>
        <v>GRUPO#1 Análisis comparativo en el sector financiero y crediticio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DIEGO ALEJANDRO BUSTAMANTE CARABALLO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8"/>
      <c r="G6" s="195"/>
      <c r="H6" s="196"/>
      <c r="I6" s="195"/>
      <c r="J6" s="196"/>
      <c r="K6" s="195"/>
      <c r="L6" s="196"/>
    </row>
    <row r="7" spans="1:12" s="2" customFormat="1" ht="15" customHeight="1">
      <c r="A7" s="12">
        <v>2</v>
      </c>
      <c r="B7" s="10" t="str">
        <f>LIDER!E44</f>
        <v>YULIZA PAHOLA CIPRIAN MONTALVO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DEIMER JOSE ORTEGA PALENCIA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MILAGRO CECILIA PEREZ MARTINEZ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MARIA FERNANDA QUIROZ PEREZ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7" t="str">
        <f>LIDER!$E$30</f>
        <v>GRUPO#2 Características de los aspectos administrativos, legales, económicos y de costos de las empresas Riopaila S.A. y Manuelita S.A.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NIYELI ALEJANDRA ARISTIZABAL CARMONA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8"/>
      <c r="G13" s="195"/>
      <c r="H13" s="196"/>
      <c r="I13" s="195"/>
      <c r="J13" s="196"/>
      <c r="K13" s="195"/>
      <c r="L13" s="196"/>
    </row>
    <row r="14" spans="1:12" s="2" customFormat="1" ht="15" customHeight="1">
      <c r="A14" s="12">
        <v>2</v>
      </c>
      <c r="B14" s="10" t="str">
        <f>LIDER!F44</f>
        <v>JARAH LUCIA CUETO FLOREZ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ISAMAR DE AVILA SANDOVAL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JUAN JOSE RICO MANJARRES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JUAN CAMILO SEPULVEDA PADILLA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7" t="str">
        <f>LIDER!$E$31</f>
        <v>GRUPO#3 Análisis comparativo de los aspectos administrativos, legales, económicos y de costos en comercializadora ARTURO CALLE S.A.S. y NALSANI S.A.S. (TOTTO)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LUISFER BELEÑO ZUÑIGA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8"/>
      <c r="G20" s="195"/>
      <c r="H20" s="196"/>
      <c r="I20" s="195"/>
      <c r="J20" s="196"/>
      <c r="K20" s="195"/>
      <c r="L20" s="196"/>
    </row>
    <row r="21" spans="1:12" s="2" customFormat="1" ht="15" customHeight="1">
      <c r="A21" s="12">
        <v>2</v>
      </c>
      <c r="B21" s="10" t="str">
        <f>LIDER!G44</f>
        <v>ANDERSON CARMONA CASTILLA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DUVAN YAIR JIMENEZ CASTAÑO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7" t="str">
        <f>LIDER!$E$32</f>
        <v>GRUPO#4 Características de los aspecto económicos, administrativos, legales, de costos de Colombina SA y Compañía Navional De Chocolates SAS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8"/>
      <c r="G27" s="195"/>
      <c r="H27" s="196"/>
      <c r="I27" s="195"/>
      <c r="J27" s="196"/>
      <c r="K27" s="195"/>
      <c r="L27" s="196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CLAUDIA CAROLINA CAMACHO ALVEAR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JOSE DANIEL HERNÁNDEZ BURGOS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JHOINER SMIT RIVERA JULIO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7" t="str">
        <f>LIDER!$E$33</f>
        <v>GRUPO#5 Características de los Aspectos Administrativos, Legales, Económicos y de Costos de STF Group S.A Y Manufacturas Eliot S.A.S que participan en el mismo sector económico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NOELYS ANAYA GARCIA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8"/>
      <c r="G34" s="195"/>
      <c r="H34" s="196"/>
      <c r="I34" s="195"/>
      <c r="J34" s="196"/>
      <c r="K34" s="195"/>
      <c r="L34" s="196"/>
    </row>
    <row r="35" spans="1:12" s="2" customFormat="1" ht="15" customHeight="1">
      <c r="A35" s="12">
        <v>2</v>
      </c>
      <c r="B35" s="10" t="str">
        <f>LIDER!E52</f>
        <v>LIZCONY FERIA MIER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DAYANA MISHELL GALVIS VIELLAR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 t="str">
        <f>LIDER!E54</f>
        <v>SOFIA ISABEL GOMEZ NIÑO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 t="str">
        <f>LIDER!E55</f>
        <v>LEDYS CAROLINA HERNANDEZ LEAL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7" t="str">
        <f>LIDER!$E$34</f>
        <v>GRUPO#6 Cuáles son las características de los aspectos Administrativos, Legales, Económicos, y de Costos de la Organización Terpel S.A y Ecopetrol S.A que participan en el mismo sector económico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 t="str">
        <f>LIDER!F51</f>
        <v>OSCAR ANDRES BORRE VASQUEZ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 t="str">
        <f>LIDER!F52</f>
        <v>YULIANI CRESPO BAENA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 t="str">
        <f>LIDER!F53</f>
        <v>KEINER JAVID DIAZ ALVAREZ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 t="str">
        <f>LIDER!F54</f>
        <v>DAIRIN ROSA TORRES ALVARADO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 t="str">
        <f>LIDER!F55</f>
        <v>DIANA CAROLINA VILLARREAL RAMOS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J83:J88"/>
    <mergeCell ref="K69:K74"/>
    <mergeCell ref="L69:L74"/>
    <mergeCell ref="K76:K81"/>
    <mergeCell ref="L76:L81"/>
    <mergeCell ref="K83:K88"/>
    <mergeCell ref="L83:L88"/>
    <mergeCell ref="F75:L75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62:J67"/>
    <mergeCell ref="K62:K67"/>
    <mergeCell ref="L62:L67"/>
    <mergeCell ref="F55:F60"/>
    <mergeCell ref="G55:G60"/>
    <mergeCell ref="H55:H60"/>
    <mergeCell ref="I55:I60"/>
    <mergeCell ref="J55:J60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31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LIDER!D4</f>
        <v>COSTOS Y PRESUPUESTO</v>
      </c>
      <c r="C2" s="82"/>
      <c r="D2" s="3"/>
      <c r="F2" s="202" t="s">
        <v>90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CONCATENATE(LIDER!D4," - ",LIDER!D6," - ",LIDER!D5)</f>
        <v>COSTOS Y PRESUPUESTO - 2212 - ISAMAR CAROLINA CASSIANI DEL TORO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7" t="str">
        <f>LIDER!$E$29</f>
        <v>GRUPO#1 Análisis comparativo en el sector financiero y crediticio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DIEGO ALEJANDRO BUSTAMANTE CARABALLO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8"/>
      <c r="G6" s="195"/>
      <c r="H6" s="196"/>
      <c r="I6" s="195"/>
      <c r="J6" s="196"/>
      <c r="K6" s="195"/>
      <c r="L6" s="196"/>
    </row>
    <row r="7" spans="1:12" s="2" customFormat="1" ht="15" customHeight="1">
      <c r="A7" s="12">
        <v>2</v>
      </c>
      <c r="B7" s="10" t="str">
        <f>LIDER!E44</f>
        <v>YULIZA PAHOLA CIPRIAN MONTALVO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DEIMER JOSE ORTEGA PALENCIA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MILAGRO CECILIA PEREZ MARTINEZ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MARIA FERNANDA QUIROZ PEREZ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7" t="str">
        <f>LIDER!$E$30</f>
        <v>GRUPO#2 Características de los aspectos administrativos, legales, económicos y de costos de las empresas Riopaila S.A. y Manuelita S.A.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NIYELI ALEJANDRA ARISTIZABAL CARMONA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8"/>
      <c r="G13" s="195"/>
      <c r="H13" s="196"/>
      <c r="I13" s="195"/>
      <c r="J13" s="196"/>
      <c r="K13" s="195"/>
      <c r="L13" s="196"/>
    </row>
    <row r="14" spans="1:12" s="2" customFormat="1" ht="15" customHeight="1">
      <c r="A14" s="12">
        <v>2</v>
      </c>
      <c r="B14" s="10" t="str">
        <f>LIDER!F44</f>
        <v>JARAH LUCIA CUETO FLOREZ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ISAMAR DE AVILA SANDOVAL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JUAN JOSE RICO MANJARRES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JUAN CAMILO SEPULVEDA PADILLA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7" t="str">
        <f>LIDER!$E$31</f>
        <v>GRUPO#3 Análisis comparativo de los aspectos administrativos, legales, económicos y de costos en comercializadora ARTURO CALLE S.A.S. y NALSANI S.A.S. (TOTTO)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LUISFER BELEÑO ZUÑIGA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8"/>
      <c r="G20" s="195"/>
      <c r="H20" s="196"/>
      <c r="I20" s="195"/>
      <c r="J20" s="196"/>
      <c r="K20" s="195"/>
      <c r="L20" s="196"/>
    </row>
    <row r="21" spans="1:12" s="2" customFormat="1" ht="15" customHeight="1">
      <c r="A21" s="12">
        <v>2</v>
      </c>
      <c r="B21" s="10" t="str">
        <f>LIDER!G44</f>
        <v>ANDERSON CARMONA CASTILLA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DUVAN YAIR JIMENEZ CASTAÑO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7" t="str">
        <f>LIDER!$E$32</f>
        <v>GRUPO#4 Características de los aspecto económicos, administrativos, legales, de costos de Colombina SA y Compañía Navional De Chocolates SAS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8"/>
      <c r="G27" s="195"/>
      <c r="H27" s="196"/>
      <c r="I27" s="195"/>
      <c r="J27" s="196"/>
      <c r="K27" s="195"/>
      <c r="L27" s="196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CLAUDIA CAROLINA CAMACHO ALVEAR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JOSE DANIEL HERNÁNDEZ BURGOS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JHOINER SMIT RIVERA JULIO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7" t="str">
        <f>LIDER!$E$33</f>
        <v>GRUPO#5 Características de los Aspectos Administrativos, Legales, Económicos y de Costos de STF Group S.A Y Manufacturas Eliot S.A.S que participan en el mismo sector económico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NOELYS ANAYA GARCIA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8"/>
      <c r="G34" s="195"/>
      <c r="H34" s="196"/>
      <c r="I34" s="195"/>
      <c r="J34" s="196"/>
      <c r="K34" s="195"/>
      <c r="L34" s="196"/>
    </row>
    <row r="35" spans="1:12" s="2" customFormat="1" ht="15" customHeight="1">
      <c r="A35" s="12">
        <v>2</v>
      </c>
      <c r="B35" s="10" t="str">
        <f>LIDER!E52</f>
        <v>LIZCONY FERIA MIER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DAYANA MISHELL GALVIS VIELLAR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 t="str">
        <f>LIDER!E54</f>
        <v>SOFIA ISABEL GOMEZ NIÑO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 t="str">
        <f>LIDER!E55</f>
        <v>LEDYS CAROLINA HERNANDEZ LEAL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7" t="str">
        <f>LIDER!$E$34</f>
        <v>GRUPO#6 Cuáles son las características de los aspectos Administrativos, Legales, Económicos, y de Costos de la Organización Terpel S.A y Ecopetrol S.A que participan en el mismo sector económico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 t="str">
        <f>LIDER!F51</f>
        <v>OSCAR ANDRES BORRE VASQUEZ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 t="str">
        <f>LIDER!F52</f>
        <v>YULIANI CRESPO BAENA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 t="str">
        <f>LIDER!F53</f>
        <v>KEINER JAVID DIAZ ALVAREZ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 t="str">
        <f>LIDER!F54</f>
        <v>DAIRIN ROSA TORRES ALVARADO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 t="str">
        <f>LIDER!F55</f>
        <v>DIANA CAROLINA VILLARREAL RAMOS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zoomScale="86" zoomScaleNormal="86" workbookViewId="0">
      <pane xSplit="5" ySplit="3" topLeftCell="F42" activePane="bottomRight" state="frozen"/>
      <selection pane="bottomRight" activeCell="F41" sqref="F41:F4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LIDER!E4</f>
        <v>LEGISLACION EMPRESARIAL</v>
      </c>
      <c r="C2" s="82"/>
      <c r="D2" s="3"/>
      <c r="F2" s="202" t="s">
        <v>90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CONCATENATE(LIDER!E4," - ",LIDER!E6," - ",LIDER!E5)</f>
        <v>LEGISLACION EMPRESARIAL - 2232 - ANGELICA PAOLA DOMINGUEZ CASTELLAR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7" t="str">
        <f>LIDER!$E$29</f>
        <v>GRUPO#1 Análisis comparativo en el sector financiero y crediticio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DIEGO ALEJANDRO BUSTAMANTE CARABALLO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3.41</v>
      </c>
      <c r="F6" s="198">
        <v>2.5</v>
      </c>
      <c r="G6" s="195">
        <v>3</v>
      </c>
      <c r="H6" s="196">
        <v>3.5</v>
      </c>
      <c r="I6" s="195">
        <v>3.8</v>
      </c>
      <c r="J6" s="196">
        <v>5</v>
      </c>
      <c r="K6" s="195"/>
      <c r="L6" s="196"/>
    </row>
    <row r="7" spans="1:12" s="2" customFormat="1" ht="15" customHeight="1">
      <c r="A7" s="12">
        <v>2</v>
      </c>
      <c r="B7" s="10" t="str">
        <f>LIDER!E44</f>
        <v>YULIZA PAHOLA CIPRIAN MONTALVO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3.41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DEIMER JOSE ORTEGA PALENCIA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3.41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MILAGRO CECILIA PEREZ MARTINEZ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3.41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MARIA FERNANDA QUIROZ PEREZ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3.41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7" t="str">
        <f>LIDER!$E$30</f>
        <v>GRUPO#2 Características de los aspectos administrativos, legales, económicos y de costos de las empresas Riopaila S.A. y Manuelita S.A.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NIYELI ALEJANDRA ARISTIZABAL CARMONA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3.9000000000000004</v>
      </c>
      <c r="F13" s="198">
        <v>2.5</v>
      </c>
      <c r="G13" s="195">
        <v>3.5</v>
      </c>
      <c r="H13" s="196">
        <v>4</v>
      </c>
      <c r="I13" s="195">
        <v>5</v>
      </c>
      <c r="J13" s="196">
        <v>5</v>
      </c>
      <c r="K13" s="195"/>
      <c r="L13" s="196"/>
    </row>
    <row r="14" spans="1:12" s="2" customFormat="1" ht="15" customHeight="1">
      <c r="A14" s="12">
        <v>2</v>
      </c>
      <c r="B14" s="10" t="str">
        <f>LIDER!F44</f>
        <v>JARAH LUCIA CUETO FLOREZ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3.9000000000000004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ISAMAR DE AVILA SANDOVAL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3.9000000000000004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JUAN JOSE RICO MANJARRES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3.9000000000000004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JUAN CAMILO SEPULVEDA PADILLA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3.9000000000000004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7" t="str">
        <f>LIDER!$E$31</f>
        <v>GRUPO#3 Análisis comparativo de los aspectos administrativos, legales, económicos y de costos en comercializadora ARTURO CALLE S.A.S. y NALSANI S.A.S. (TOTTO)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LUISFER BELEÑO ZUÑIGA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2.0000000000000004E-2</v>
      </c>
      <c r="F20" s="198">
        <v>0.1</v>
      </c>
      <c r="G20" s="195">
        <v>0</v>
      </c>
      <c r="H20" s="196">
        <v>0</v>
      </c>
      <c r="I20" s="195">
        <v>0</v>
      </c>
      <c r="J20" s="196">
        <v>0</v>
      </c>
      <c r="K20" s="195"/>
      <c r="L20" s="196"/>
    </row>
    <row r="21" spans="1:12" s="2" customFormat="1" ht="15" customHeight="1">
      <c r="A21" s="12">
        <v>2</v>
      </c>
      <c r="B21" s="10" t="str">
        <f>LIDER!G44</f>
        <v>ANDERSON CARMONA CASTILLA</v>
      </c>
      <c r="C21" s="90" t="str">
        <f t="shared" ref="C21:C25" si="2">C20</f>
        <v>G03</v>
      </c>
      <c r="D21" s="96" t="s">
        <v>112</v>
      </c>
      <c r="E21" s="11" t="str">
        <f>IF(B21=0,0,IF(D21="",$F$20*LIDER!$H$9+$G$20*LIDER!$H$10+$H$20*LIDER!$H$11+$I$20*LIDER!$H$12+$J$20*LIDER!$H$13+$K$20*LIDER!$H$14+$L$20*LIDER!$H$15,"N"))</f>
        <v>N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DUVAN YAIR JIMENEZ CASTAÑO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2.0000000000000004E-2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7" t="str">
        <f>LIDER!$E$32</f>
        <v>GRUPO#4 Características de los aspecto económicos, administrativos, legales, de costos de Colombina SA y Compañía Navional De Chocolates SAS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2.96</v>
      </c>
      <c r="F27" s="198">
        <v>2.5</v>
      </c>
      <c r="G27" s="195">
        <v>2.8</v>
      </c>
      <c r="H27" s="196">
        <v>3</v>
      </c>
      <c r="I27" s="195">
        <v>2.5</v>
      </c>
      <c r="J27" s="196">
        <v>5</v>
      </c>
      <c r="K27" s="195"/>
      <c r="L27" s="196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2.96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CLAUDIA CAROLINA CAMACHO ALVEAR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2.96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2.96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JOSE DANIEL HERNÁNDEZ BURGOS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2.96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JHOINER SMIT RIVERA JULIO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2.96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7" t="str">
        <f>LIDER!$E$33</f>
        <v>GRUPO#5 Características de los Aspectos Administrativos, Legales, Económicos y de Costos de STF Group S.A Y Manufacturas Eliot S.A.S que participan en el mismo sector económico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NOELYS ANAYA GARCIA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3.4400000000000004</v>
      </c>
      <c r="F34" s="198">
        <v>3</v>
      </c>
      <c r="G34" s="195">
        <v>3.5</v>
      </c>
      <c r="H34" s="196">
        <v>3.8</v>
      </c>
      <c r="I34" s="195">
        <v>2.5</v>
      </c>
      <c r="J34" s="196">
        <v>5</v>
      </c>
      <c r="K34" s="195"/>
      <c r="L34" s="196"/>
    </row>
    <row r="35" spans="1:12" s="2" customFormat="1" ht="15" customHeight="1">
      <c r="A35" s="12">
        <v>2</v>
      </c>
      <c r="B35" s="10" t="str">
        <f>LIDER!E52</f>
        <v>LIZCONY FERIA MIER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3.4400000000000004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DAYANA MISHELL GALVIS VIELLAR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3.4400000000000004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 t="str">
        <f>LIDER!E54</f>
        <v>SOFIA ISABEL GOMEZ NIÑO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3.4400000000000004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 t="str">
        <f>LIDER!E55</f>
        <v>LEDYS CAROLINA HERNANDEZ LEAL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3.4400000000000004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7" t="str">
        <f>LIDER!$E$34</f>
        <v>GRUPO#6 Cuáles son las características de los aspectos Administrativos, Legales, Económicos, y de Costos de la Organización Terpel S.A y Ecopetrol S.A que participan en el mismo sector económico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 t="str">
        <f>LIDER!F51</f>
        <v>OSCAR ANDRES BORRE VASQUEZ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3.8200000000000003</v>
      </c>
      <c r="F41" s="198">
        <v>3.2</v>
      </c>
      <c r="G41" s="195">
        <v>3</v>
      </c>
      <c r="H41" s="196">
        <v>3.6</v>
      </c>
      <c r="I41" s="195">
        <v>5</v>
      </c>
      <c r="J41" s="196">
        <v>5</v>
      </c>
      <c r="K41" s="195"/>
      <c r="L41" s="196"/>
    </row>
    <row r="42" spans="1:12" s="2" customFormat="1" ht="15" customHeight="1">
      <c r="A42" s="12">
        <v>2</v>
      </c>
      <c r="B42" s="10" t="str">
        <f>LIDER!F52</f>
        <v>YULIANI CRESPO BAENA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3.8200000000000003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 t="str">
        <f>LIDER!F53</f>
        <v>KEINER JAVID DIAZ ALVAREZ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3.8200000000000003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 t="str">
        <f>LIDER!F54</f>
        <v>DAIRIN ROSA TORRES ALVARADO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3.8200000000000003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 t="str">
        <f>LIDER!F55</f>
        <v>DIANA CAROLINA VILLARREAL RAMOS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3.8200000000000003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42" activePane="bottomRight" state="frozen"/>
      <selection pane="bottomRight" activeCell="F20" sqref="F20:F25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LIDER!F4</f>
        <v>SEMINARIO INVESTIGATIVO</v>
      </c>
      <c r="C2" s="82"/>
      <c r="D2" s="3"/>
      <c r="F2" s="202" t="s">
        <v>90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CONCATENATE(LIDER!F4," - ",LIDER!F6," - ",LIDER!F5)</f>
        <v>SEMINARIO INVESTIGATIVO - 1927 - MANUEL BAQUERO NOVA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7" t="str">
        <f>LIDER!$E$29</f>
        <v>GRUPO#1 Análisis comparativo en el sector financiero y crediticio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DIEGO ALEJANDRO BUSTAMANTE CARABALLO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3.9000000000000004</v>
      </c>
      <c r="F6" s="198">
        <v>4</v>
      </c>
      <c r="G6" s="195">
        <v>4</v>
      </c>
      <c r="H6" s="196">
        <v>3.5</v>
      </c>
      <c r="I6" s="195">
        <v>4</v>
      </c>
      <c r="J6" s="196">
        <v>4.5</v>
      </c>
      <c r="K6" s="195">
        <v>4</v>
      </c>
      <c r="L6" s="196"/>
    </row>
    <row r="7" spans="1:12" s="2" customFormat="1" ht="15" customHeight="1">
      <c r="A7" s="12">
        <v>2</v>
      </c>
      <c r="B7" s="10" t="str">
        <f>LIDER!E44</f>
        <v>YULIZA PAHOLA CIPRIAN MONTALVO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3.9000000000000004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DEIMER JOSE ORTEGA PALENCIA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3.9000000000000004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MILAGRO CECILIA PEREZ MARTINEZ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3.9000000000000004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MARIA FERNANDA QUIROZ PEREZ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3.9000000000000004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7" t="str">
        <f>LIDER!$E$30</f>
        <v>GRUPO#2 Características de los aspectos administrativos, legales, económicos y de costos de las empresas Riopaila S.A. y Manuelita S.A.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NIYELI ALEJANDRA ARISTIZABAL CARMONA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4.0199999999999996</v>
      </c>
      <c r="F13" s="198">
        <v>3.9</v>
      </c>
      <c r="G13" s="195">
        <v>4.2</v>
      </c>
      <c r="H13" s="196">
        <v>3.5</v>
      </c>
      <c r="I13" s="195">
        <v>4.5</v>
      </c>
      <c r="J13" s="196">
        <v>4.5</v>
      </c>
      <c r="K13" s="195"/>
      <c r="L13" s="196"/>
    </row>
    <row r="14" spans="1:12" s="2" customFormat="1" ht="15" customHeight="1">
      <c r="A14" s="12">
        <v>2</v>
      </c>
      <c r="B14" s="10" t="str">
        <f>LIDER!F44</f>
        <v>JARAH LUCIA CUETO FLOREZ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4.0199999999999996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ISAMAR DE AVILA SANDOVAL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4.0199999999999996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JUAN JOSE RICO MANJARRES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4.0199999999999996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JUAN CAMILO SEPULVEDA PADILLA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4.0199999999999996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7" t="str">
        <f>LIDER!$E$31</f>
        <v>GRUPO#3 Análisis comparativo de los aspectos administrativos, legales, económicos y de costos en comercializadora ARTURO CALLE S.A.S. y NALSANI S.A.S. (TOTTO)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LUISFER BELEÑO ZUÑIGA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198">
        <v>4</v>
      </c>
      <c r="G20" s="195">
        <v>4</v>
      </c>
      <c r="H20" s="196">
        <v>4</v>
      </c>
      <c r="I20" s="195">
        <v>4</v>
      </c>
      <c r="J20" s="196">
        <v>4</v>
      </c>
      <c r="K20" s="195"/>
      <c r="L20" s="196"/>
    </row>
    <row r="21" spans="1:12" s="2" customFormat="1" ht="15" customHeight="1">
      <c r="A21" s="12">
        <v>2</v>
      </c>
      <c r="B21" s="10" t="str">
        <f>LIDER!G44</f>
        <v>ANDERSON CARMONA CASTILLA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DUVAN YAIR JIMENEZ CASTAÑO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7" t="str">
        <f>LIDER!$E$32</f>
        <v>GRUPO#4 Características de los aspecto económicos, administrativos, legales, de costos de Colombina SA y Compañía Navional De Chocolates SAS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4.67</v>
      </c>
      <c r="F27" s="198">
        <v>4.5</v>
      </c>
      <c r="G27" s="195">
        <v>4.8</v>
      </c>
      <c r="H27" s="196">
        <v>4.7</v>
      </c>
      <c r="I27" s="195">
        <v>4.5</v>
      </c>
      <c r="J27" s="196">
        <v>5</v>
      </c>
      <c r="K27" s="195"/>
      <c r="L27" s="196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4.67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CLAUDIA CAROLINA CAMACHO ALVEAR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4.67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4.67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JOSE DANIEL HERNÁNDEZ BURGOS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4.67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JHOINER SMIT RIVERA JULIO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4.67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7" t="str">
        <f>LIDER!$E$33</f>
        <v>GRUPO#5 Características de los Aspectos Administrativos, Legales, Económicos y de Costos de STF Group S.A Y Manufacturas Eliot S.A.S que participan en el mismo sector económico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NOELYS ANAYA GARCIA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4.55</v>
      </c>
      <c r="F34" s="198">
        <v>4.5</v>
      </c>
      <c r="G34" s="195">
        <v>4.5</v>
      </c>
      <c r="H34" s="196">
        <v>4.5</v>
      </c>
      <c r="I34" s="195">
        <v>4.5</v>
      </c>
      <c r="J34" s="196">
        <v>5</v>
      </c>
      <c r="K34" s="195"/>
      <c r="L34" s="196"/>
    </row>
    <row r="35" spans="1:12" s="2" customFormat="1" ht="15" customHeight="1">
      <c r="A35" s="12">
        <v>2</v>
      </c>
      <c r="B35" s="10" t="str">
        <f>LIDER!E52</f>
        <v>LIZCONY FERIA MIER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4.55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DAYANA MISHELL GALVIS VIELLAR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4.55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 t="str">
        <f>LIDER!E54</f>
        <v>SOFIA ISABEL GOMEZ NIÑO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4.55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 t="str">
        <f>LIDER!E55</f>
        <v>LEDYS CAROLINA HERNANDEZ LEAL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4.55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7" t="str">
        <f>LIDER!$E$34</f>
        <v>GRUPO#6 Cuáles son las características de los aspectos Administrativos, Legales, Económicos, y de Costos de la Organización Terpel S.A y Ecopetrol S.A que participan en el mismo sector económico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 t="str">
        <f>LIDER!F51</f>
        <v>OSCAR ANDRES BORRE VASQUEZ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4.51</v>
      </c>
      <c r="F41" s="198">
        <v>4.5999999999999996</v>
      </c>
      <c r="G41" s="195">
        <v>4.5</v>
      </c>
      <c r="H41" s="196">
        <v>4.4000000000000004</v>
      </c>
      <c r="I41" s="195">
        <v>4.5999999999999996</v>
      </c>
      <c r="J41" s="196">
        <v>4.5</v>
      </c>
      <c r="K41" s="195"/>
      <c r="L41" s="196"/>
    </row>
    <row r="42" spans="1:12" s="2" customFormat="1" ht="15" customHeight="1">
      <c r="A42" s="12">
        <v>2</v>
      </c>
      <c r="B42" s="10" t="str">
        <f>LIDER!F52</f>
        <v>YULIANI CRESPO BAENA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4.51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 t="str">
        <f>LIDER!F53</f>
        <v>KEINER JAVID DIAZ ALVAREZ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4.51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 t="str">
        <f>LIDER!F54</f>
        <v>DAIRIN ROSA TORRES ALVARADO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4.51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 t="str">
        <f>LIDER!F55</f>
        <v>DIANA CAROLINA VILLARREAL RAMOS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4.51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25" activePane="bottomRight" state="frozen"/>
      <selection pane="bottomRight" activeCell="J41" sqref="J41:J4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LIDER!G4</f>
        <v>ECONOMÍA GENERAL</v>
      </c>
      <c r="C2" s="82"/>
      <c r="D2" s="3"/>
      <c r="F2" s="202" t="s">
        <v>90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CONCATENATE(LIDER!G4," - ",LIDER!G6," - ",LIDER!G5)</f>
        <v>ECONOMÍA GENERAL - 1416 - ZILLAH EUGENIA CANTILLO ALTAMIRANDA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7" t="str">
        <f>LIDER!$E$29</f>
        <v>GRUPO#1 Análisis comparativo en el sector financiero y crediticio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DIEGO ALEJANDRO BUSTAMANTE CARABALLO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3.71</v>
      </c>
      <c r="F6" s="198">
        <v>3</v>
      </c>
      <c r="G6" s="195">
        <v>3.8</v>
      </c>
      <c r="H6" s="196">
        <v>3.5</v>
      </c>
      <c r="I6" s="195">
        <v>4</v>
      </c>
      <c r="J6" s="196">
        <v>5</v>
      </c>
      <c r="K6" s="195"/>
      <c r="L6" s="196"/>
    </row>
    <row r="7" spans="1:12" s="2" customFormat="1" ht="15" customHeight="1">
      <c r="A7" s="12">
        <v>2</v>
      </c>
      <c r="B7" s="10" t="str">
        <f>LIDER!E44</f>
        <v>YULIZA PAHOLA CIPRIAN MONTALVO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3.71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DEIMER JOSE ORTEGA PALENCIA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3.71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MILAGRO CECILIA PEREZ MARTINEZ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3.71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MARIA FERNANDA QUIROZ PEREZ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3.71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7" t="str">
        <f>LIDER!$E$30</f>
        <v>GRUPO#2 Características de los aspectos administrativos, legales, económicos y de costos de las empresas Riopaila S.A. y Manuelita S.A.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NIYELI ALEJANDRA ARISTIZABAL CARMONA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3.7500000000000004</v>
      </c>
      <c r="F13" s="198">
        <v>3</v>
      </c>
      <c r="G13" s="195">
        <v>3.5</v>
      </c>
      <c r="H13" s="196">
        <v>3.5</v>
      </c>
      <c r="I13" s="195">
        <v>4.5</v>
      </c>
      <c r="J13" s="196">
        <v>5</v>
      </c>
      <c r="K13" s="195"/>
      <c r="L13" s="196"/>
    </row>
    <row r="14" spans="1:12" s="2" customFormat="1" ht="15" customHeight="1">
      <c r="A14" s="12">
        <v>2</v>
      </c>
      <c r="B14" s="10" t="str">
        <f>LIDER!F44</f>
        <v>JARAH LUCIA CUETO FLOREZ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3.7500000000000004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ISAMAR DE AVILA SANDOVAL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3.7500000000000004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JUAN JOSE RICO MANJARRES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3.7500000000000004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JUAN CAMILO SEPULVEDA PADILLA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3.7500000000000004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7" t="str">
        <f>LIDER!$E$31</f>
        <v>GRUPO#3 Análisis comparativo de los aspectos administrativos, legales, económicos y de costos en comercializadora ARTURO CALLE S.A.S. y NALSANI S.A.S. (TOTTO)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LUISFER BELEÑO ZUÑIGA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8">
        <v>0</v>
      </c>
      <c r="G20" s="195">
        <v>0</v>
      </c>
      <c r="H20" s="196">
        <v>0</v>
      </c>
      <c r="I20" s="195">
        <v>0</v>
      </c>
      <c r="J20" s="196">
        <v>0</v>
      </c>
      <c r="K20" s="195"/>
      <c r="L20" s="196"/>
    </row>
    <row r="21" spans="1:12" s="2" customFormat="1" ht="15" customHeight="1">
      <c r="A21" s="12">
        <v>2</v>
      </c>
      <c r="B21" s="10" t="str">
        <f>LIDER!G44</f>
        <v>ANDERSON CARMONA CASTILLA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DUVAN YAIR JIMENEZ CASTAÑO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7" t="str">
        <f>LIDER!$E$32</f>
        <v>GRUPO#4 Características de los aspecto económicos, administrativos, legales, de costos de Colombina SA y Compañía Navional De Chocolates SAS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4.1500000000000004</v>
      </c>
      <c r="F27" s="198">
        <v>3.5</v>
      </c>
      <c r="G27" s="195">
        <v>3.5</v>
      </c>
      <c r="H27" s="196">
        <v>4.5</v>
      </c>
      <c r="I27" s="195">
        <v>4.5</v>
      </c>
      <c r="J27" s="196">
        <v>5</v>
      </c>
      <c r="K27" s="195"/>
      <c r="L27" s="196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4.1500000000000004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CLAUDIA CAROLINA CAMACHO ALVEAR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4.1500000000000004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4.1500000000000004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JOSE DANIEL HERNÁNDEZ BURGOS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4.1500000000000004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JHOINER SMIT RIVERA JULIO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4.1500000000000004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7" t="str">
        <f>LIDER!$E$33</f>
        <v>GRUPO#5 Características de los Aspectos Administrativos, Legales, Económicos y de Costos de STF Group S.A Y Manufacturas Eliot S.A.S que participan en el mismo sector económico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NOELYS ANAYA GARCIA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4.0500000000000007</v>
      </c>
      <c r="F34" s="198">
        <v>4</v>
      </c>
      <c r="G34" s="195">
        <v>4</v>
      </c>
      <c r="H34" s="196">
        <v>4.5</v>
      </c>
      <c r="I34" s="195">
        <v>3</v>
      </c>
      <c r="J34" s="196">
        <v>5</v>
      </c>
      <c r="K34" s="195"/>
      <c r="L34" s="196"/>
    </row>
    <row r="35" spans="1:12" s="2" customFormat="1" ht="15" customHeight="1">
      <c r="A35" s="12">
        <v>2</v>
      </c>
      <c r="B35" s="10" t="str">
        <f>LIDER!E52</f>
        <v>LIZCONY FERIA MIER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4.0500000000000007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DAYANA MISHELL GALVIS VIELLAR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4.0500000000000007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 t="str">
        <f>LIDER!E54</f>
        <v>SOFIA ISABEL GOMEZ NIÑO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4.0500000000000007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 t="str">
        <f>LIDER!E55</f>
        <v>LEDYS CAROLINA HERNANDEZ LEAL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4.0500000000000007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7" t="str">
        <f>LIDER!$E$34</f>
        <v>GRUPO#6 Cuáles son las características de los aspectos Administrativos, Legales, Económicos, y de Costos de la Organización Terpel S.A y Ecopetrol S.A que participan en el mismo sector económico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 t="str">
        <f>LIDER!F51</f>
        <v>OSCAR ANDRES BORRE VASQUEZ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4.2</v>
      </c>
      <c r="F41" s="198">
        <v>4</v>
      </c>
      <c r="G41" s="195">
        <v>4.5</v>
      </c>
      <c r="H41" s="196">
        <v>4</v>
      </c>
      <c r="I41" s="195">
        <v>4</v>
      </c>
      <c r="J41" s="196">
        <v>5</v>
      </c>
      <c r="K41" s="195"/>
      <c r="L41" s="196"/>
    </row>
    <row r="42" spans="1:12" s="2" customFormat="1" ht="15" customHeight="1">
      <c r="A42" s="12">
        <v>2</v>
      </c>
      <c r="B42" s="10" t="str">
        <f>LIDER!F52</f>
        <v>YULIANI CRESPO BAENA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4.2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 t="str">
        <f>LIDER!F53</f>
        <v>KEINER JAVID DIAZ ALVAREZ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4.2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 t="str">
        <f>LIDER!F54</f>
        <v>DAIRIN ROSA TORRES ALVARADO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4.2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 t="str">
        <f>LIDER!F55</f>
        <v>DIANA CAROLINA VILLARREAL RAMOS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4.2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20" activePane="bottomRight" state="frozen"/>
      <selection pane="bottomRight" activeCell="F26" sqref="F26:L26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 t="str">
        <f>LIDER!H4</f>
        <v>PROCESO ADMINISTRATIVO</v>
      </c>
      <c r="C2" s="82"/>
      <c r="D2" s="3"/>
      <c r="F2" s="202" t="s">
        <v>90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CONCATENATE(LIDER!H4," - ",LIDER!H6," - ",LIDER!H5)</f>
        <v>PROCESO ADMINISTRATIVO - 1329 - JENNIFER GIRALDO GUZMAN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7" t="str">
        <f>LIDER!$E$29</f>
        <v>GRUPO#1 Análisis comparativo en el sector financiero y crediticio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DIEGO ALEJANDRO BUSTAMANTE CARABALLO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3.7200000000000006</v>
      </c>
      <c r="F6" s="198">
        <v>3.8</v>
      </c>
      <c r="G6" s="195">
        <v>3.8</v>
      </c>
      <c r="H6" s="196">
        <v>3.5</v>
      </c>
      <c r="I6" s="195">
        <v>3.5</v>
      </c>
      <c r="J6" s="196">
        <v>4.5</v>
      </c>
      <c r="K6" s="195"/>
      <c r="L6" s="196"/>
    </row>
    <row r="7" spans="1:12" s="2" customFormat="1" ht="15" customHeight="1">
      <c r="A7" s="12">
        <v>2</v>
      </c>
      <c r="B7" s="10" t="str">
        <f>LIDER!E44</f>
        <v>YULIZA PAHOLA CIPRIAN MONTALVO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3.7200000000000006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DEIMER JOSE ORTEGA PALENCIA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3.7200000000000006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MILAGRO CECILIA PEREZ MARTINEZ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3.7200000000000006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MARIA FERNANDA QUIROZ PEREZ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3.7200000000000006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7" t="str">
        <f>LIDER!$E$30</f>
        <v>GRUPO#2 Características de los aspectos administrativos, legales, económicos y de costos de las empresas Riopaila S.A. y Manuelita S.A.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NIYELI ALEJANDRA ARISTIZABAL CARMONA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4.0199999999999996</v>
      </c>
      <c r="F13" s="198">
        <v>3.5</v>
      </c>
      <c r="G13" s="195">
        <v>4.0999999999999996</v>
      </c>
      <c r="H13" s="196">
        <v>4</v>
      </c>
      <c r="I13" s="195">
        <v>4</v>
      </c>
      <c r="J13" s="196">
        <v>5</v>
      </c>
      <c r="K13" s="195"/>
      <c r="L13" s="196"/>
    </row>
    <row r="14" spans="1:12" s="2" customFormat="1" ht="15" customHeight="1">
      <c r="A14" s="12">
        <v>2</v>
      </c>
      <c r="B14" s="10" t="str">
        <f>LIDER!F44</f>
        <v>JARAH LUCIA CUETO FLOREZ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4.0199999999999996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ISAMAR DE AVILA SANDOVAL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4.0199999999999996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JUAN JOSE RICO MANJARRES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4.0199999999999996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JUAN CAMILO SEPULVEDA PADILLA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4.0199999999999996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7" t="str">
        <f>LIDER!$E$31</f>
        <v>GRUPO#3 Análisis comparativo de los aspectos administrativos, legales, económicos y de costos en comercializadora ARTURO CALLE S.A.S. y NALSANI S.A.S. (TOTTO)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LUISFER BELEÑO ZUÑIGA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2.0000000000000004E-2</v>
      </c>
      <c r="F20" s="198">
        <v>0.1</v>
      </c>
      <c r="G20" s="195">
        <v>0</v>
      </c>
      <c r="H20" s="196">
        <v>0</v>
      </c>
      <c r="I20" s="195">
        <v>0</v>
      </c>
      <c r="J20" s="196">
        <v>0</v>
      </c>
      <c r="K20" s="195"/>
      <c r="L20" s="196"/>
    </row>
    <row r="21" spans="1:12" s="2" customFormat="1" ht="15" customHeight="1">
      <c r="A21" s="12">
        <v>2</v>
      </c>
      <c r="B21" s="10" t="str">
        <f>LIDER!G44</f>
        <v>ANDERSON CARMONA CASTILLA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2.0000000000000004E-2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DUVAN YAIR JIMENEZ CASTAÑO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2.0000000000000004E-2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7" t="str">
        <f>LIDER!$E$32</f>
        <v>GRUPO#4 Características de los aspecto económicos, administrativos, legales, de costos de Colombina SA y Compañía Navional De Chocolates SAS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4.0199999999999996</v>
      </c>
      <c r="F27" s="198">
        <v>3.6</v>
      </c>
      <c r="G27" s="195">
        <v>4</v>
      </c>
      <c r="H27" s="196">
        <v>4</v>
      </c>
      <c r="I27" s="195">
        <v>4</v>
      </c>
      <c r="J27" s="196">
        <v>5</v>
      </c>
      <c r="K27" s="195"/>
      <c r="L27" s="196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4.0199999999999996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CLAUDIA CAROLINA CAMACHO ALVEAR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4.0199999999999996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4.0199999999999996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JOSE DANIEL HERNÁNDEZ BURGOS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4.0199999999999996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JHOINER SMIT RIVERA JULIO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4.0199999999999996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7" t="str">
        <f>LIDER!$E$33</f>
        <v>GRUPO#5 Características de los Aspectos Administrativos, Legales, Económicos y de Costos de STF Group S.A Y Manufacturas Eliot S.A.S que participan en el mismo sector económico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NOELYS ANAYA GARCIA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4.0599999999999996</v>
      </c>
      <c r="F34" s="198">
        <v>3.8</v>
      </c>
      <c r="G34" s="195">
        <v>4</v>
      </c>
      <c r="H34" s="196">
        <v>4</v>
      </c>
      <c r="I34" s="195">
        <v>4</v>
      </c>
      <c r="J34" s="196">
        <v>5</v>
      </c>
      <c r="K34" s="195"/>
      <c r="L34" s="196"/>
    </row>
    <row r="35" spans="1:12" s="2" customFormat="1" ht="15" customHeight="1">
      <c r="A35" s="12">
        <v>2</v>
      </c>
      <c r="B35" s="10" t="str">
        <f>LIDER!E52</f>
        <v>LIZCONY FERIA MIER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4.0599999999999996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DAYANA MISHELL GALVIS VIELLAR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4.0599999999999996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 t="str">
        <f>LIDER!E54</f>
        <v>SOFIA ISABEL GOMEZ NIÑO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4.0599999999999996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 t="str">
        <f>LIDER!E55</f>
        <v>LEDYS CAROLINA HERNANDEZ LEAL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4.0599999999999996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7" t="str">
        <f>LIDER!$E$34</f>
        <v>GRUPO#6 Cuáles son las características de los aspectos Administrativos, Legales, Económicos, y de Costos de la Organización Terpel S.A y Ecopetrol S.A que participan en el mismo sector económico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 t="str">
        <f>LIDER!F51</f>
        <v>OSCAR ANDRES BORRE VASQUEZ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4.6500000000000004</v>
      </c>
      <c r="F41" s="198">
        <v>4.5</v>
      </c>
      <c r="G41" s="195">
        <v>4.5</v>
      </c>
      <c r="H41" s="196">
        <v>4.5</v>
      </c>
      <c r="I41" s="195">
        <v>5</v>
      </c>
      <c r="J41" s="196">
        <v>5</v>
      </c>
      <c r="K41" s="195"/>
      <c r="L41" s="196"/>
    </row>
    <row r="42" spans="1:12" s="2" customFormat="1" ht="15" customHeight="1">
      <c r="A42" s="12">
        <v>2</v>
      </c>
      <c r="B42" s="10" t="str">
        <f>LIDER!F52</f>
        <v>YULIANI CRESPO BAENA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4.6500000000000004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 t="str">
        <f>LIDER!F53</f>
        <v>KEINER JAVID DIAZ ALVAREZ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4.6500000000000004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 t="str">
        <f>LIDER!F54</f>
        <v>DAIRIN ROSA TORRES ALVARADO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4.6500000000000004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 t="str">
        <f>LIDER!F55</f>
        <v>DIANA CAROLINA VILLARREAL RAMOS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4.6500000000000004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33:L33"/>
    <mergeCell ref="F34:F39"/>
    <mergeCell ref="G34:G39"/>
    <mergeCell ref="H34:H39"/>
    <mergeCell ref="I34:I39"/>
    <mergeCell ref="J34:J39"/>
    <mergeCell ref="K34:K39"/>
    <mergeCell ref="L34:L39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8" activePane="bottomRight" state="frozen"/>
      <selection pane="bottomRight" activeCell="F62" sqref="F62:J67"/>
      <selection pane="bottomLeft" activeCell="A4" sqref="A4"/>
      <selection pane="topRight" activeCell="F1" sqref="F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0"/>
      <c r="H1" s="201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6</v>
      </c>
    </row>
    <row r="2" spans="1:12" s="2" customFormat="1" ht="20.100000000000001" customHeight="1" thickBot="1">
      <c r="B2" s="81">
        <f>LIDER!I4</f>
        <v>0</v>
      </c>
      <c r="C2" s="82"/>
      <c r="D2" s="3"/>
      <c r="F2" s="202" t="s">
        <v>90</v>
      </c>
      <c r="G2" s="203"/>
      <c r="H2" s="203"/>
      <c r="I2" s="203"/>
      <c r="J2" s="203"/>
      <c r="K2" s="203"/>
      <c r="L2" s="204"/>
    </row>
    <row r="3" spans="1:12" s="2" customFormat="1" ht="145.5" customHeight="1">
      <c r="B3" s="83" t="s">
        <v>91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5" t="str">
        <f>CONCATENATE(LIDER!I4," - ",LIDER!I6," - ",LIDER!I5)</f>
        <v xml:space="preserve"> -  - </v>
      </c>
      <c r="G4" s="205"/>
      <c r="H4" s="205"/>
      <c r="I4" s="205"/>
      <c r="J4" s="205"/>
      <c r="K4" s="205"/>
      <c r="L4" s="205"/>
    </row>
    <row r="5" spans="1:12" s="2" customFormat="1" ht="15.75" customHeight="1" thickBot="1">
      <c r="A5" s="8"/>
      <c r="B5" s="25" t="s">
        <v>92</v>
      </c>
      <c r="C5" s="88" t="s">
        <v>93</v>
      </c>
      <c r="D5" s="32" t="s">
        <v>94</v>
      </c>
      <c r="E5" s="89" t="s">
        <v>95</v>
      </c>
      <c r="F5" s="197" t="str">
        <f>LIDER!$E$29</f>
        <v>GRUPO#1 Análisis comparativo en el sector financiero y crediticio</v>
      </c>
      <c r="G5" s="197"/>
      <c r="H5" s="197"/>
      <c r="I5" s="197"/>
      <c r="J5" s="197"/>
      <c r="K5" s="197"/>
      <c r="L5" s="197"/>
    </row>
    <row r="6" spans="1:12" s="2" customFormat="1" ht="12.75">
      <c r="A6" s="9">
        <v>1</v>
      </c>
      <c r="B6" s="10" t="str">
        <f>LIDER!E43</f>
        <v>DIEGO ALEJANDRO BUSTAMANTE CARABALLO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198"/>
      <c r="G6" s="195"/>
      <c r="H6" s="196"/>
      <c r="I6" s="195"/>
      <c r="J6" s="196"/>
      <c r="K6" s="195"/>
      <c r="L6" s="196"/>
    </row>
    <row r="7" spans="1:12" s="2" customFormat="1" ht="15" customHeight="1">
      <c r="A7" s="12">
        <v>2</v>
      </c>
      <c r="B7" s="10" t="str">
        <f>LIDER!E44</f>
        <v>YULIZA PAHOLA CIPRIAN MONTALVO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198"/>
      <c r="G7" s="195"/>
      <c r="H7" s="196"/>
      <c r="I7" s="195"/>
      <c r="J7" s="196"/>
      <c r="K7" s="195"/>
      <c r="L7" s="196"/>
    </row>
    <row r="8" spans="1:12" s="2" customFormat="1" ht="15" customHeight="1">
      <c r="A8" s="12">
        <v>3</v>
      </c>
      <c r="B8" s="10" t="str">
        <f>LIDER!E45</f>
        <v>DEIMER JOSE ORTEGA PALENCIA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198"/>
      <c r="G8" s="195"/>
      <c r="H8" s="196"/>
      <c r="I8" s="195"/>
      <c r="J8" s="196"/>
      <c r="K8" s="195"/>
      <c r="L8" s="196"/>
    </row>
    <row r="9" spans="1:12" s="2" customFormat="1" ht="15" customHeight="1">
      <c r="A9" s="12">
        <v>4</v>
      </c>
      <c r="B9" s="10" t="str">
        <f>LIDER!E46</f>
        <v>MILAGRO CECILIA PEREZ MARTINEZ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198"/>
      <c r="G9" s="195"/>
      <c r="H9" s="196"/>
      <c r="I9" s="195"/>
      <c r="J9" s="196"/>
      <c r="K9" s="195"/>
      <c r="L9" s="196"/>
    </row>
    <row r="10" spans="1:12" s="2" customFormat="1" ht="15" customHeight="1">
      <c r="A10" s="12">
        <v>5</v>
      </c>
      <c r="B10" s="10" t="str">
        <f>LIDER!E47</f>
        <v>MARIA FERNANDA QUIROZ PEREZ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198"/>
      <c r="G10" s="195"/>
      <c r="H10" s="196"/>
      <c r="I10" s="195"/>
      <c r="J10" s="196"/>
      <c r="K10" s="195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198"/>
      <c r="G11" s="195"/>
      <c r="H11" s="196"/>
      <c r="I11" s="195"/>
      <c r="J11" s="196"/>
      <c r="K11" s="195"/>
      <c r="L11" s="196"/>
    </row>
    <row r="12" spans="1:12" s="2" customFormat="1" ht="15.75" customHeight="1" thickBot="1">
      <c r="A12" s="8"/>
      <c r="B12" s="25" t="s">
        <v>96</v>
      </c>
      <c r="C12" s="88" t="s">
        <v>97</v>
      </c>
      <c r="D12" s="32" t="str">
        <f>D5</f>
        <v>LIST</v>
      </c>
      <c r="E12" s="89" t="s">
        <v>95</v>
      </c>
      <c r="F12" s="197" t="str">
        <f>LIDER!$E$30</f>
        <v>GRUPO#2 Características de los aspectos administrativos, legales, económicos y de costos de las empresas Riopaila S.A. y Manuelita S.A.</v>
      </c>
      <c r="G12" s="197"/>
      <c r="H12" s="197"/>
      <c r="I12" s="197"/>
      <c r="J12" s="197"/>
      <c r="K12" s="197"/>
      <c r="L12" s="197"/>
    </row>
    <row r="13" spans="1:12" s="2" customFormat="1" ht="12.75">
      <c r="A13" s="9">
        <v>1</v>
      </c>
      <c r="B13" s="10" t="str">
        <f>LIDER!F43</f>
        <v>NIYELI ALEJANDRA ARISTIZABAL CARMONA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198"/>
      <c r="G13" s="195"/>
      <c r="H13" s="196"/>
      <c r="I13" s="195"/>
      <c r="J13" s="196"/>
      <c r="K13" s="195"/>
      <c r="L13" s="196"/>
    </row>
    <row r="14" spans="1:12" s="2" customFormat="1" ht="15" customHeight="1">
      <c r="A14" s="12">
        <v>2</v>
      </c>
      <c r="B14" s="10" t="str">
        <f>LIDER!F44</f>
        <v>JARAH LUCIA CUETO FLOREZ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198"/>
      <c r="G14" s="195"/>
      <c r="H14" s="196"/>
      <c r="I14" s="195"/>
      <c r="J14" s="196"/>
      <c r="K14" s="195"/>
      <c r="L14" s="196"/>
    </row>
    <row r="15" spans="1:12" s="2" customFormat="1" ht="15" customHeight="1">
      <c r="A15" s="12">
        <v>3</v>
      </c>
      <c r="B15" s="10" t="str">
        <f>LIDER!F45</f>
        <v>ISAMAR DE AVILA SANDOVAL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198"/>
      <c r="G15" s="195"/>
      <c r="H15" s="196"/>
      <c r="I15" s="195"/>
      <c r="J15" s="196"/>
      <c r="K15" s="195"/>
      <c r="L15" s="196"/>
    </row>
    <row r="16" spans="1:12" s="2" customFormat="1" ht="15" customHeight="1">
      <c r="A16" s="12">
        <v>4</v>
      </c>
      <c r="B16" s="10" t="str">
        <f>LIDER!F46</f>
        <v>JUAN JOSE RICO MANJARRES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198"/>
      <c r="G16" s="195"/>
      <c r="H16" s="196"/>
      <c r="I16" s="195"/>
      <c r="J16" s="196"/>
      <c r="K16" s="195"/>
      <c r="L16" s="196"/>
    </row>
    <row r="17" spans="1:12" s="2" customFormat="1" ht="15" customHeight="1">
      <c r="A17" s="12">
        <v>5</v>
      </c>
      <c r="B17" s="10" t="str">
        <f>LIDER!F47</f>
        <v>JUAN CAMILO SEPULVEDA PADILLA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198"/>
      <c r="G17" s="195"/>
      <c r="H17" s="196"/>
      <c r="I17" s="195"/>
      <c r="J17" s="196"/>
      <c r="K17" s="195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198"/>
      <c r="G18" s="195"/>
      <c r="H18" s="196"/>
      <c r="I18" s="195"/>
      <c r="J18" s="196"/>
      <c r="K18" s="195"/>
      <c r="L18" s="196"/>
    </row>
    <row r="19" spans="1:12" s="2" customFormat="1" ht="15.75" customHeight="1">
      <c r="A19" s="14"/>
      <c r="B19" s="25" t="s">
        <v>98</v>
      </c>
      <c r="C19" s="88" t="s">
        <v>99</v>
      </c>
      <c r="D19" s="32" t="str">
        <f>D12</f>
        <v>LIST</v>
      </c>
      <c r="E19" s="89" t="s">
        <v>95</v>
      </c>
      <c r="F19" s="197" t="str">
        <f>LIDER!$E$31</f>
        <v>GRUPO#3 Análisis comparativo de los aspectos administrativos, legales, económicos y de costos en comercializadora ARTURO CALLE S.A.S. y NALSANI S.A.S. (TOTTO)</v>
      </c>
      <c r="G19" s="197"/>
      <c r="H19" s="197"/>
      <c r="I19" s="197"/>
      <c r="J19" s="197"/>
      <c r="K19" s="197"/>
      <c r="L19" s="197"/>
    </row>
    <row r="20" spans="1:12" s="2" customFormat="1" ht="12.75">
      <c r="A20" s="9">
        <v>1</v>
      </c>
      <c r="B20" s="10" t="str">
        <f>LIDER!G43</f>
        <v>LUISFER BELEÑO ZUÑIGA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198"/>
      <c r="G20" s="195"/>
      <c r="H20" s="196"/>
      <c r="I20" s="195"/>
      <c r="J20" s="196"/>
      <c r="K20" s="195"/>
      <c r="L20" s="196"/>
    </row>
    <row r="21" spans="1:12" s="2" customFormat="1" ht="15" customHeight="1">
      <c r="A21" s="12">
        <v>2</v>
      </c>
      <c r="B21" s="10" t="str">
        <f>LIDER!G44</f>
        <v>ANDERSON CARMONA CASTILLA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198"/>
      <c r="G21" s="195"/>
      <c r="H21" s="196"/>
      <c r="I21" s="195"/>
      <c r="J21" s="196"/>
      <c r="K21" s="195"/>
      <c r="L21" s="196"/>
    </row>
    <row r="22" spans="1:12" s="2" customFormat="1" ht="15" customHeight="1">
      <c r="A22" s="12">
        <v>3</v>
      </c>
      <c r="B22" s="10" t="str">
        <f>LIDER!G45</f>
        <v>DUVAN YAIR JIMENEZ CASTAÑO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198"/>
      <c r="G22" s="195"/>
      <c r="H22" s="196"/>
      <c r="I22" s="195"/>
      <c r="J22" s="196"/>
      <c r="K22" s="195"/>
      <c r="L22" s="196"/>
    </row>
    <row r="23" spans="1:12" s="2" customFormat="1" ht="15" customHeight="1">
      <c r="A23" s="12">
        <v>4</v>
      </c>
      <c r="B23" s="10">
        <f>LIDER!G46</f>
        <v>0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198"/>
      <c r="G23" s="195"/>
      <c r="H23" s="196"/>
      <c r="I23" s="195"/>
      <c r="J23" s="196"/>
      <c r="K23" s="195"/>
      <c r="L23" s="196"/>
    </row>
    <row r="24" spans="1:12" s="2" customFormat="1" ht="15" customHeight="1">
      <c r="A24" s="12">
        <v>5</v>
      </c>
      <c r="B24" s="10">
        <f>LIDER!G47</f>
        <v>0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198"/>
      <c r="G24" s="195"/>
      <c r="H24" s="196"/>
      <c r="I24" s="195"/>
      <c r="J24" s="196"/>
      <c r="K24" s="195"/>
      <c r="L24" s="196"/>
    </row>
    <row r="25" spans="1:12" s="2" customFormat="1" ht="15.75" customHeight="1">
      <c r="A25" s="13">
        <v>6</v>
      </c>
      <c r="B25" s="91">
        <f>LIDER!G48</f>
        <v>0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198"/>
      <c r="G25" s="195"/>
      <c r="H25" s="196"/>
      <c r="I25" s="195"/>
      <c r="J25" s="196"/>
      <c r="K25" s="195"/>
      <c r="L25" s="196"/>
    </row>
    <row r="26" spans="1:12" s="2" customFormat="1" ht="15.75" customHeight="1">
      <c r="A26" s="14"/>
      <c r="B26" s="25" t="s">
        <v>100</v>
      </c>
      <c r="C26" s="88" t="s">
        <v>101</v>
      </c>
      <c r="D26" s="32" t="str">
        <f>D19</f>
        <v>LIST</v>
      </c>
      <c r="E26" s="89" t="s">
        <v>95</v>
      </c>
      <c r="F26" s="197" t="str">
        <f>LIDER!$E$32</f>
        <v>GRUPO#4 Características de los aspecto económicos, administrativos, legales, de costos de Colombina SA y Compañía Navional De Chocolates SAS</v>
      </c>
      <c r="G26" s="197"/>
      <c r="H26" s="197"/>
      <c r="I26" s="197"/>
      <c r="J26" s="197"/>
      <c r="K26" s="197"/>
      <c r="L26" s="197"/>
    </row>
    <row r="27" spans="1:12" s="2" customFormat="1" ht="12.75">
      <c r="A27" s="9">
        <v>1</v>
      </c>
      <c r="B27" s="10" t="str">
        <f>LIDER!H43</f>
        <v>JAZMIN ADRIANA AREVALO RUIZDIAZ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198"/>
      <c r="G27" s="195"/>
      <c r="H27" s="196"/>
      <c r="I27" s="195"/>
      <c r="J27" s="196"/>
      <c r="K27" s="195"/>
      <c r="L27" s="196"/>
    </row>
    <row r="28" spans="1:12" s="2" customFormat="1" ht="15" customHeight="1">
      <c r="A28" s="12">
        <v>2</v>
      </c>
      <c r="B28" s="10" t="str">
        <f>LIDER!H44</f>
        <v>ARIADNY ISABEL BANQUEZ OBESO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198"/>
      <c r="G28" s="195"/>
      <c r="H28" s="196"/>
      <c r="I28" s="195"/>
      <c r="J28" s="196"/>
      <c r="K28" s="195"/>
      <c r="L28" s="196"/>
    </row>
    <row r="29" spans="1:12" s="2" customFormat="1" ht="15" customHeight="1">
      <c r="A29" s="12">
        <v>3</v>
      </c>
      <c r="B29" s="10" t="str">
        <f>LIDER!H45</f>
        <v>CLAUDIA CAROLINA CAMACHO ALVEAR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198"/>
      <c r="G29" s="195"/>
      <c r="H29" s="196"/>
      <c r="I29" s="195"/>
      <c r="J29" s="196"/>
      <c r="K29" s="195"/>
      <c r="L29" s="196"/>
    </row>
    <row r="30" spans="1:12" s="2" customFormat="1" ht="15" customHeight="1">
      <c r="A30" s="12">
        <v>4</v>
      </c>
      <c r="B30" s="10" t="str">
        <f>LIDER!H46</f>
        <v>SAMUEL DAVID CANTILLO MARTELO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198"/>
      <c r="G30" s="195"/>
      <c r="H30" s="196"/>
      <c r="I30" s="195"/>
      <c r="J30" s="196"/>
      <c r="K30" s="195"/>
      <c r="L30" s="196"/>
    </row>
    <row r="31" spans="1:12" s="2" customFormat="1" ht="15" customHeight="1">
      <c r="A31" s="12">
        <v>5</v>
      </c>
      <c r="B31" s="10" t="str">
        <f>LIDER!H47</f>
        <v>JOSE DANIEL HERNÁNDEZ BURGOS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198"/>
      <c r="G31" s="195"/>
      <c r="H31" s="196"/>
      <c r="I31" s="195"/>
      <c r="J31" s="196"/>
      <c r="K31" s="195"/>
      <c r="L31" s="196"/>
    </row>
    <row r="32" spans="1:12" s="2" customFormat="1" ht="15.75" customHeight="1">
      <c r="A32" s="13">
        <v>6</v>
      </c>
      <c r="B32" s="91" t="str">
        <f>LIDER!H48</f>
        <v>JHOINER SMIT RIVERA JULIO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198"/>
      <c r="G32" s="195"/>
      <c r="H32" s="196"/>
      <c r="I32" s="195"/>
      <c r="J32" s="196"/>
      <c r="K32" s="195"/>
      <c r="L32" s="196"/>
    </row>
    <row r="33" spans="1:12" s="2" customFormat="1" ht="15.75" customHeight="1">
      <c r="A33" s="14"/>
      <c r="B33" s="25" t="s">
        <v>102</v>
      </c>
      <c r="C33" s="88" t="s">
        <v>103</v>
      </c>
      <c r="D33" s="32" t="str">
        <f>D26</f>
        <v>LIST</v>
      </c>
      <c r="E33" s="89" t="s">
        <v>95</v>
      </c>
      <c r="F33" s="197" t="str">
        <f>LIDER!$E$33</f>
        <v>GRUPO#5 Características de los Aspectos Administrativos, Legales, Económicos y de Costos de STF Group S.A Y Manufacturas Eliot S.A.S que participan en el mismo sector económico</v>
      </c>
      <c r="G33" s="197"/>
      <c r="H33" s="197"/>
      <c r="I33" s="197"/>
      <c r="J33" s="197"/>
      <c r="K33" s="197"/>
      <c r="L33" s="197"/>
    </row>
    <row r="34" spans="1:12" s="2" customFormat="1" ht="12.75">
      <c r="A34" s="9">
        <v>1</v>
      </c>
      <c r="B34" s="10" t="str">
        <f>LIDER!E51</f>
        <v>NOELYS ANAYA GARCIA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198"/>
      <c r="G34" s="195"/>
      <c r="H34" s="196"/>
      <c r="I34" s="195"/>
      <c r="J34" s="196"/>
      <c r="K34" s="195"/>
      <c r="L34" s="196"/>
    </row>
    <row r="35" spans="1:12" s="2" customFormat="1" ht="15" customHeight="1">
      <c r="A35" s="12">
        <v>2</v>
      </c>
      <c r="B35" s="10" t="str">
        <f>LIDER!E52</f>
        <v>LIZCONY FERIA MIER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198"/>
      <c r="G35" s="195"/>
      <c r="H35" s="196"/>
      <c r="I35" s="195"/>
      <c r="J35" s="196"/>
      <c r="K35" s="195"/>
      <c r="L35" s="196"/>
    </row>
    <row r="36" spans="1:12" s="2" customFormat="1" ht="15" customHeight="1">
      <c r="A36" s="12">
        <v>3</v>
      </c>
      <c r="B36" s="10" t="str">
        <f>LIDER!E53</f>
        <v>DAYANA MISHELL GALVIS VIELLAR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198"/>
      <c r="G36" s="195"/>
      <c r="H36" s="196"/>
      <c r="I36" s="195"/>
      <c r="J36" s="196"/>
      <c r="K36" s="195"/>
      <c r="L36" s="196"/>
    </row>
    <row r="37" spans="1:12" s="2" customFormat="1" ht="15" customHeight="1">
      <c r="A37" s="12">
        <v>4</v>
      </c>
      <c r="B37" s="10" t="str">
        <f>LIDER!E54</f>
        <v>SOFIA ISABEL GOMEZ NIÑO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198"/>
      <c r="G37" s="195"/>
      <c r="H37" s="196"/>
      <c r="I37" s="195"/>
      <c r="J37" s="196"/>
      <c r="K37" s="195"/>
      <c r="L37" s="196"/>
    </row>
    <row r="38" spans="1:12" s="2" customFormat="1" ht="15" customHeight="1">
      <c r="A38" s="12">
        <v>5</v>
      </c>
      <c r="B38" s="10" t="str">
        <f>LIDER!E55</f>
        <v>LEDYS CAROLINA HERNANDEZ LEAL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198"/>
      <c r="G38" s="195"/>
      <c r="H38" s="196"/>
      <c r="I38" s="195"/>
      <c r="J38" s="196"/>
      <c r="K38" s="195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198"/>
      <c r="G39" s="195"/>
      <c r="H39" s="196"/>
      <c r="I39" s="195"/>
      <c r="J39" s="196"/>
      <c r="K39" s="195"/>
      <c r="L39" s="196"/>
    </row>
    <row r="40" spans="1:12" s="2" customFormat="1" ht="15.75" customHeight="1">
      <c r="A40" s="14"/>
      <c r="B40" s="25" t="s">
        <v>104</v>
      </c>
      <c r="C40" s="88" t="s">
        <v>105</v>
      </c>
      <c r="D40" s="32" t="str">
        <f>D33</f>
        <v>LIST</v>
      </c>
      <c r="E40" s="89" t="s">
        <v>95</v>
      </c>
      <c r="F40" s="197" t="str">
        <f>LIDER!$E$34</f>
        <v>GRUPO#6 Cuáles son las características de los aspectos Administrativos, Legales, Económicos, y de Costos de la Organización Terpel S.A y Ecopetrol S.A que participan en el mismo sector económico</v>
      </c>
      <c r="G40" s="197"/>
      <c r="H40" s="197"/>
      <c r="I40" s="197"/>
      <c r="J40" s="197"/>
      <c r="K40" s="197"/>
      <c r="L40" s="197"/>
    </row>
    <row r="41" spans="1:12" s="2" customFormat="1" ht="12.75">
      <c r="A41" s="9">
        <v>1</v>
      </c>
      <c r="B41" s="10" t="str">
        <f>LIDER!F51</f>
        <v>OSCAR ANDRES BORRE VASQUEZ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198"/>
      <c r="G41" s="195"/>
      <c r="H41" s="196"/>
      <c r="I41" s="195"/>
      <c r="J41" s="196"/>
      <c r="K41" s="195"/>
      <c r="L41" s="196"/>
    </row>
    <row r="42" spans="1:12" s="2" customFormat="1" ht="15" customHeight="1">
      <c r="A42" s="12">
        <v>2</v>
      </c>
      <c r="B42" s="10" t="str">
        <f>LIDER!F52</f>
        <v>YULIANI CRESPO BAENA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198"/>
      <c r="G42" s="195"/>
      <c r="H42" s="196"/>
      <c r="I42" s="195"/>
      <c r="J42" s="196"/>
      <c r="K42" s="195"/>
      <c r="L42" s="196"/>
    </row>
    <row r="43" spans="1:12" s="2" customFormat="1" ht="15" customHeight="1">
      <c r="A43" s="12">
        <v>3</v>
      </c>
      <c r="B43" s="10" t="str">
        <f>LIDER!F53</f>
        <v>KEINER JAVID DIAZ ALVAREZ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198"/>
      <c r="G43" s="195"/>
      <c r="H43" s="196"/>
      <c r="I43" s="195"/>
      <c r="J43" s="196"/>
      <c r="K43" s="195"/>
      <c r="L43" s="196"/>
    </row>
    <row r="44" spans="1:12" s="2" customFormat="1" ht="15" customHeight="1">
      <c r="A44" s="12">
        <v>4</v>
      </c>
      <c r="B44" s="10" t="str">
        <f>LIDER!F54</f>
        <v>DAIRIN ROSA TORRES ALVARADO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198"/>
      <c r="G44" s="195"/>
      <c r="H44" s="196"/>
      <c r="I44" s="195"/>
      <c r="J44" s="196"/>
      <c r="K44" s="195"/>
      <c r="L44" s="196"/>
    </row>
    <row r="45" spans="1:12" s="2" customFormat="1" ht="15" customHeight="1">
      <c r="A45" s="12">
        <v>5</v>
      </c>
      <c r="B45" s="10" t="str">
        <f>LIDER!F55</f>
        <v>DIANA CAROLINA VILLARREAL RAMOS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198"/>
      <c r="G45" s="195"/>
      <c r="H45" s="196"/>
      <c r="I45" s="195"/>
      <c r="J45" s="196"/>
      <c r="K45" s="195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198"/>
      <c r="G46" s="195"/>
      <c r="H46" s="196"/>
      <c r="I46" s="195"/>
      <c r="J46" s="196"/>
      <c r="K46" s="195"/>
      <c r="L46" s="196"/>
    </row>
    <row r="47" spans="1:12" s="2" customFormat="1" ht="15.75" customHeight="1">
      <c r="A47" s="14"/>
      <c r="B47" s="25" t="s">
        <v>82</v>
      </c>
      <c r="C47" s="88" t="s">
        <v>106</v>
      </c>
      <c r="D47" s="32" t="str">
        <f>D40</f>
        <v>LIST</v>
      </c>
      <c r="E47" s="89" t="s">
        <v>95</v>
      </c>
      <c r="F47" s="197" t="str">
        <f>LIDER!$E$35</f>
        <v>GRUPO#7</v>
      </c>
      <c r="G47" s="197"/>
      <c r="H47" s="197"/>
      <c r="I47" s="197"/>
      <c r="J47" s="197"/>
      <c r="K47" s="197"/>
      <c r="L47" s="197"/>
    </row>
    <row r="48" spans="1:12" s="2" customFormat="1" ht="12.75">
      <c r="A48" s="9">
        <v>1</v>
      </c>
      <c r="B48" s="10">
        <f>LIDER!G51</f>
        <v>0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198"/>
      <c r="G48" s="195"/>
      <c r="H48" s="196"/>
      <c r="I48" s="195"/>
      <c r="J48" s="196"/>
      <c r="K48" s="195"/>
      <c r="L48" s="196"/>
    </row>
    <row r="49" spans="1:12" s="2" customFormat="1" ht="15" customHeight="1">
      <c r="A49" s="12">
        <v>2</v>
      </c>
      <c r="B49" s="10">
        <f>LIDER!G52</f>
        <v>0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198"/>
      <c r="G49" s="195"/>
      <c r="H49" s="196"/>
      <c r="I49" s="195"/>
      <c r="J49" s="196"/>
      <c r="K49" s="195"/>
      <c r="L49" s="196"/>
    </row>
    <row r="50" spans="1:12" s="2" customFormat="1" ht="15" customHeight="1">
      <c r="A50" s="12">
        <v>3</v>
      </c>
      <c r="B50" s="10">
        <f>LIDER!G53</f>
        <v>0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198"/>
      <c r="G50" s="195"/>
      <c r="H50" s="196"/>
      <c r="I50" s="195"/>
      <c r="J50" s="196"/>
      <c r="K50" s="195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198"/>
      <c r="G51" s="195"/>
      <c r="H51" s="196"/>
      <c r="I51" s="195"/>
      <c r="J51" s="196"/>
      <c r="K51" s="195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198"/>
      <c r="G52" s="195"/>
      <c r="H52" s="196"/>
      <c r="I52" s="195"/>
      <c r="J52" s="196"/>
      <c r="K52" s="195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198"/>
      <c r="G53" s="195"/>
      <c r="H53" s="196"/>
      <c r="I53" s="195"/>
      <c r="J53" s="196"/>
      <c r="K53" s="195"/>
      <c r="L53" s="196"/>
    </row>
    <row r="54" spans="1:12" s="2" customFormat="1" ht="15.75" customHeight="1">
      <c r="A54" s="14"/>
      <c r="B54" s="25" t="s">
        <v>84</v>
      </c>
      <c r="C54" s="88" t="s">
        <v>107</v>
      </c>
      <c r="D54" s="32" t="str">
        <f>D47</f>
        <v>LIST</v>
      </c>
      <c r="E54" s="89" t="s">
        <v>95</v>
      </c>
      <c r="F54" s="197" t="str">
        <f>LIDER!$E$36</f>
        <v>GRUPO#8</v>
      </c>
      <c r="G54" s="197"/>
      <c r="H54" s="197"/>
      <c r="I54" s="197"/>
      <c r="J54" s="197"/>
      <c r="K54" s="197"/>
      <c r="L54" s="197"/>
    </row>
    <row r="55" spans="1:12" s="2" customFormat="1" ht="12.75">
      <c r="A55" s="9">
        <v>1</v>
      </c>
      <c r="B55" s="10">
        <f>LIDER!H51</f>
        <v>0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198"/>
      <c r="G55" s="195"/>
      <c r="H55" s="196"/>
      <c r="I55" s="195"/>
      <c r="J55" s="196"/>
      <c r="K55" s="195"/>
      <c r="L55" s="196"/>
    </row>
    <row r="56" spans="1:12" s="2" customFormat="1" ht="15" customHeight="1">
      <c r="A56" s="12">
        <v>2</v>
      </c>
      <c r="B56" s="10">
        <f>LIDER!H52</f>
        <v>0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198"/>
      <c r="G56" s="195"/>
      <c r="H56" s="196"/>
      <c r="I56" s="195"/>
      <c r="J56" s="196"/>
      <c r="K56" s="195"/>
      <c r="L56" s="196"/>
    </row>
    <row r="57" spans="1:12" s="2" customFormat="1" ht="15" customHeight="1">
      <c r="A57" s="12">
        <v>3</v>
      </c>
      <c r="B57" s="10">
        <f>LIDER!H53</f>
        <v>0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198"/>
      <c r="G57" s="195"/>
      <c r="H57" s="196"/>
      <c r="I57" s="195"/>
      <c r="J57" s="196"/>
      <c r="K57" s="195"/>
      <c r="L57" s="196"/>
    </row>
    <row r="58" spans="1:12" s="2" customFormat="1" ht="15" customHeight="1">
      <c r="A58" s="12">
        <v>4</v>
      </c>
      <c r="B58" s="10">
        <f>LIDER!H54</f>
        <v>0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198"/>
      <c r="G58" s="195"/>
      <c r="H58" s="196"/>
      <c r="I58" s="195"/>
      <c r="J58" s="196"/>
      <c r="K58" s="195"/>
      <c r="L58" s="196"/>
    </row>
    <row r="59" spans="1:12" s="2" customFormat="1" ht="15" customHeight="1">
      <c r="A59" s="12">
        <v>5</v>
      </c>
      <c r="B59" s="10">
        <f>LIDER!H55</f>
        <v>0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198"/>
      <c r="G59" s="195"/>
      <c r="H59" s="196"/>
      <c r="I59" s="195"/>
      <c r="J59" s="196"/>
      <c r="K59" s="195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198"/>
      <c r="G60" s="195"/>
      <c r="H60" s="196"/>
      <c r="I60" s="195"/>
      <c r="J60" s="196"/>
      <c r="K60" s="195"/>
      <c r="L60" s="196"/>
    </row>
    <row r="61" spans="1:12" s="2" customFormat="1" ht="15.75" customHeight="1">
      <c r="A61" s="14"/>
      <c r="B61" s="25" t="s">
        <v>86</v>
      </c>
      <c r="C61" s="88" t="s">
        <v>108</v>
      </c>
      <c r="D61" s="32" t="str">
        <f>D54</f>
        <v>LIST</v>
      </c>
      <c r="E61" s="89" t="s">
        <v>95</v>
      </c>
      <c r="F61" s="197" t="str">
        <f>LIDER!$E$37</f>
        <v>GRUPO#9</v>
      </c>
      <c r="G61" s="197"/>
      <c r="H61" s="197"/>
      <c r="I61" s="197"/>
      <c r="J61" s="197"/>
      <c r="K61" s="197"/>
      <c r="L61" s="197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198"/>
      <c r="G62" s="195"/>
      <c r="H62" s="196"/>
      <c r="I62" s="195"/>
      <c r="J62" s="196"/>
      <c r="K62" s="195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198"/>
      <c r="G63" s="195"/>
      <c r="H63" s="196"/>
      <c r="I63" s="195"/>
      <c r="J63" s="196"/>
      <c r="K63" s="195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198"/>
      <c r="G64" s="195"/>
      <c r="H64" s="196"/>
      <c r="I64" s="195"/>
      <c r="J64" s="196"/>
      <c r="K64" s="195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198"/>
      <c r="G65" s="195"/>
      <c r="H65" s="196"/>
      <c r="I65" s="195"/>
      <c r="J65" s="196"/>
      <c r="K65" s="195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198"/>
      <c r="G66" s="195"/>
      <c r="H66" s="196"/>
      <c r="I66" s="195"/>
      <c r="J66" s="196"/>
      <c r="K66" s="195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198"/>
      <c r="G67" s="195"/>
      <c r="H67" s="196"/>
      <c r="I67" s="195"/>
      <c r="J67" s="196"/>
      <c r="K67" s="195"/>
      <c r="L67" s="196"/>
    </row>
    <row r="68" spans="1:12" s="2" customFormat="1" ht="15.75" customHeight="1">
      <c r="A68" s="14"/>
      <c r="B68" s="25" t="s">
        <v>87</v>
      </c>
      <c r="C68" s="88" t="s">
        <v>109</v>
      </c>
      <c r="D68" s="32" t="str">
        <f>D61</f>
        <v>LIST</v>
      </c>
      <c r="E68" s="89" t="s">
        <v>95</v>
      </c>
      <c r="F68" s="197" t="str">
        <f>LIDER!$E$38</f>
        <v>GRUPO#10</v>
      </c>
      <c r="G68" s="197"/>
      <c r="H68" s="197"/>
      <c r="I68" s="197"/>
      <c r="J68" s="197"/>
      <c r="K68" s="197"/>
      <c r="L68" s="197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198"/>
      <c r="G69" s="195"/>
      <c r="H69" s="196"/>
      <c r="I69" s="195"/>
      <c r="J69" s="196"/>
      <c r="K69" s="195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198"/>
      <c r="G70" s="195"/>
      <c r="H70" s="196"/>
      <c r="I70" s="195"/>
      <c r="J70" s="196"/>
      <c r="K70" s="195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198"/>
      <c r="G71" s="195"/>
      <c r="H71" s="196"/>
      <c r="I71" s="195"/>
      <c r="J71" s="196"/>
      <c r="K71" s="195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198"/>
      <c r="G72" s="195"/>
      <c r="H72" s="196"/>
      <c r="I72" s="195"/>
      <c r="J72" s="196"/>
      <c r="K72" s="195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198"/>
      <c r="G73" s="195"/>
      <c r="H73" s="196"/>
      <c r="I73" s="195"/>
      <c r="J73" s="196"/>
      <c r="K73" s="195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198"/>
      <c r="G74" s="195"/>
      <c r="H74" s="196"/>
      <c r="I74" s="195"/>
      <c r="J74" s="196"/>
      <c r="K74" s="195"/>
      <c r="L74" s="196"/>
    </row>
    <row r="75" spans="1:12" s="2" customFormat="1" ht="15.75" customHeight="1">
      <c r="A75" s="14"/>
      <c r="B75" s="25" t="s">
        <v>88</v>
      </c>
      <c r="C75" s="88" t="s">
        <v>110</v>
      </c>
      <c r="D75" s="32" t="str">
        <f>D68</f>
        <v>LIST</v>
      </c>
      <c r="E75" s="89" t="s">
        <v>95</v>
      </c>
      <c r="F75" s="197" t="str">
        <f>LIDER!$E$39</f>
        <v>GRUPO#11</v>
      </c>
      <c r="G75" s="197"/>
      <c r="H75" s="197"/>
      <c r="I75" s="197"/>
      <c r="J75" s="197"/>
      <c r="K75" s="197"/>
      <c r="L75" s="197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198"/>
      <c r="G76" s="195"/>
      <c r="H76" s="196"/>
      <c r="I76" s="195"/>
      <c r="J76" s="196"/>
      <c r="K76" s="195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198"/>
      <c r="G77" s="195"/>
      <c r="H77" s="196"/>
      <c r="I77" s="195"/>
      <c r="J77" s="196"/>
      <c r="K77" s="195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198"/>
      <c r="G78" s="195"/>
      <c r="H78" s="196"/>
      <c r="I78" s="195"/>
      <c r="J78" s="196"/>
      <c r="K78" s="195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198"/>
      <c r="G79" s="195"/>
      <c r="H79" s="196"/>
      <c r="I79" s="195"/>
      <c r="J79" s="196"/>
      <c r="K79" s="195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198"/>
      <c r="G80" s="195"/>
      <c r="H80" s="196"/>
      <c r="I80" s="195"/>
      <c r="J80" s="196"/>
      <c r="K80" s="195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198"/>
      <c r="G81" s="195"/>
      <c r="H81" s="196"/>
      <c r="I81" s="195"/>
      <c r="J81" s="196"/>
      <c r="K81" s="195"/>
      <c r="L81" s="196"/>
    </row>
    <row r="82" spans="1:12" s="2" customFormat="1" ht="15.75" customHeight="1">
      <c r="A82" s="14"/>
      <c r="B82" s="25" t="s">
        <v>89</v>
      </c>
      <c r="C82" s="88" t="s">
        <v>111</v>
      </c>
      <c r="D82" s="32" t="str">
        <f>D75</f>
        <v>LIST</v>
      </c>
      <c r="E82" s="89" t="s">
        <v>95</v>
      </c>
      <c r="F82" s="197" t="str">
        <f>LIDER!$E$40</f>
        <v>GRUPO#12</v>
      </c>
      <c r="G82" s="197"/>
      <c r="H82" s="197"/>
      <c r="I82" s="197"/>
      <c r="J82" s="197"/>
      <c r="K82" s="197"/>
      <c r="L82" s="197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198"/>
      <c r="G83" s="195"/>
      <c r="H83" s="196"/>
      <c r="I83" s="195"/>
      <c r="J83" s="196"/>
      <c r="K83" s="195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198"/>
      <c r="G84" s="195"/>
      <c r="H84" s="196"/>
      <c r="I84" s="195"/>
      <c r="J84" s="196"/>
      <c r="K84" s="195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198"/>
      <c r="G85" s="195"/>
      <c r="H85" s="196"/>
      <c r="I85" s="195"/>
      <c r="J85" s="196"/>
      <c r="K85" s="195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198"/>
      <c r="G86" s="195"/>
      <c r="H86" s="196"/>
      <c r="I86" s="195"/>
      <c r="J86" s="196"/>
      <c r="K86" s="195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198"/>
      <c r="G87" s="195"/>
      <c r="H87" s="196"/>
      <c r="I87" s="195"/>
      <c r="J87" s="196"/>
      <c r="K87" s="195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6"/>
      <c r="G88" s="207"/>
      <c r="H88" s="208"/>
      <c r="I88" s="207"/>
      <c r="J88" s="208"/>
      <c r="K88" s="207"/>
      <c r="L88" s="208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F82:L82"/>
    <mergeCell ref="F83:F88"/>
    <mergeCell ref="G83:G88"/>
    <mergeCell ref="H83:H88"/>
    <mergeCell ref="I83:I88"/>
    <mergeCell ref="J83:J88"/>
    <mergeCell ref="K83:K88"/>
    <mergeCell ref="L83:L88"/>
    <mergeCell ref="F75:L75"/>
    <mergeCell ref="F76:F81"/>
    <mergeCell ref="G76:G81"/>
    <mergeCell ref="H76:H81"/>
    <mergeCell ref="I76:I81"/>
    <mergeCell ref="J76:J81"/>
    <mergeCell ref="K76:K81"/>
    <mergeCell ref="L76:L81"/>
    <mergeCell ref="F68:L68"/>
    <mergeCell ref="F69:F74"/>
    <mergeCell ref="G69:G74"/>
    <mergeCell ref="H69:H74"/>
    <mergeCell ref="I69:I74"/>
    <mergeCell ref="J69:J74"/>
    <mergeCell ref="K69:K74"/>
    <mergeCell ref="L69:L74"/>
    <mergeCell ref="F61:L61"/>
    <mergeCell ref="F62:F67"/>
    <mergeCell ref="G62:G67"/>
    <mergeCell ref="H62:H67"/>
    <mergeCell ref="I62:I67"/>
    <mergeCell ref="J62:J67"/>
    <mergeCell ref="K62:K67"/>
    <mergeCell ref="L62:L67"/>
    <mergeCell ref="F54:L54"/>
    <mergeCell ref="F55:F60"/>
    <mergeCell ref="G55:G60"/>
    <mergeCell ref="H55:H60"/>
    <mergeCell ref="I55:I60"/>
    <mergeCell ref="J55:J60"/>
    <mergeCell ref="K55:K60"/>
    <mergeCell ref="L55:L60"/>
    <mergeCell ref="F47:L47"/>
    <mergeCell ref="F48:F53"/>
    <mergeCell ref="G48:G53"/>
    <mergeCell ref="H48:H53"/>
    <mergeCell ref="I48:I53"/>
    <mergeCell ref="J48:J53"/>
    <mergeCell ref="K48:K53"/>
    <mergeCell ref="L48:L53"/>
    <mergeCell ref="F40:L40"/>
    <mergeCell ref="F41:F46"/>
    <mergeCell ref="G41:G46"/>
    <mergeCell ref="H41:H46"/>
    <mergeCell ref="I41:I46"/>
    <mergeCell ref="J41:J46"/>
    <mergeCell ref="K41:K46"/>
    <mergeCell ref="L41:L46"/>
    <mergeCell ref="F33:L33"/>
    <mergeCell ref="F34:F39"/>
    <mergeCell ref="G34:G39"/>
    <mergeCell ref="H34:H39"/>
    <mergeCell ref="I34:I39"/>
    <mergeCell ref="J34:J39"/>
    <mergeCell ref="K34:K39"/>
    <mergeCell ref="L34:L39"/>
    <mergeCell ref="F26:L26"/>
    <mergeCell ref="F27:F32"/>
    <mergeCell ref="G27:G32"/>
    <mergeCell ref="H27:H32"/>
    <mergeCell ref="I27:I32"/>
    <mergeCell ref="J27:J32"/>
    <mergeCell ref="K27:K32"/>
    <mergeCell ref="L27:L32"/>
    <mergeCell ref="F19:L19"/>
    <mergeCell ref="F20:F25"/>
    <mergeCell ref="G20:G25"/>
    <mergeCell ref="H20:H25"/>
    <mergeCell ref="I20:I25"/>
    <mergeCell ref="J20:J25"/>
    <mergeCell ref="K20:K25"/>
    <mergeCell ref="L20:L25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LIDER!C4</f>
        <v>INTRODUCCIÓN A LOS NEGOCIOS IN</v>
      </c>
      <c r="C2" s="3"/>
      <c r="E2" s="215" t="s">
        <v>90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CONCATENATE(LIDER!C4," - ",LIDER!C6," - ",LIDER!C5)</f>
        <v>INTRODUCCIÓN A LOS NEGOCIOS IN - 2339 - TATIANA MILENA ROJAS AROCA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92</v>
      </c>
      <c r="C5" s="32" t="str">
        <f>IF('S-ASIG-01'!D5="","",'S-ASIG-01'!D5)</f>
        <v>LIST</v>
      </c>
      <c r="D5" s="35" t="s">
        <v>95</v>
      </c>
      <c r="E5" s="214" t="str">
        <f>LIDER!$E$29</f>
        <v>GRUPO#1 Análisis comparativo en el sector financiero y crediticio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DIEGO ALEJANDRO BUSTAMANTE CARABALLO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09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YULIZA PAHOLA CIPRIAN MONTALVO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09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DEIMER JOSE ORTEGA PALENCIA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09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MILAGRO CECILIA PEREZ MARTINEZ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09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FERNANDA QUIROZ PEREZ</v>
      </c>
      <c r="C10" s="33" t="str">
        <f>IF('S-ASIG-01'!D10="","",'S-ASIG-01'!D10)</f>
        <v/>
      </c>
      <c r="D10" s="30">
        <f>IF(B10=0,"",IF(C10="",$E$6*LIDER!$H$19+F10*LIDER!$H$20+G10*LIDER!$H$21+H10*LIDER!$H$22+I10*LIDER!$H$23+J10*LIDER!$H$24+K10*LIDER!$H$25,"N"))</f>
        <v>0</v>
      </c>
      <c r="E10" s="209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09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IF('S-ASIG-01'!D12="","",'S-ASIG-01'!D12)</f>
        <v>LIST</v>
      </c>
      <c r="D12" s="35" t="s">
        <v>95</v>
      </c>
      <c r="E12" s="214" t="str">
        <f>LIDER!$E$30</f>
        <v>GRUPO#2 Características de los aspectos administrativos, legales, económicos y de costos de las empresas Riopaila S.A. y Manuelita S.A.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NIYELI ALEJANDRA ARISTIZABAL CARMONA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09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JARAH LUCIA CUETO FLOREZ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09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ISAMAR DE AVILA SANDOVAL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09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JUAN JOSE RICO MANJARRES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09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JUAN CAMILO SEPULVEDA PADILLA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09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09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IF('S-ASIG-01'!D19="","",'S-ASIG-01'!D19)</f>
        <v>LIST</v>
      </c>
      <c r="D19" s="35" t="s">
        <v>95</v>
      </c>
      <c r="E19" s="214" t="str">
        <f>LIDER!$E$31</f>
        <v>GRUPO#3 Análisis comparativo de los aspectos administrativos, legales, económicos y de costos en comercializadora ARTURO CALLE S.A.S. y NALSANI S.A.S. (TOTTO)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LUISFER BELEÑO ZUÑIGA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09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ANDERSON CARMONA CASTILLA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09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YAIR JIMENEZ CASTAÑO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09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IF('S-ASIG-01'!D23="","",'S-ASIG-01'!D23)</f>
        <v/>
      </c>
      <c r="D23" s="30" t="str">
        <f>IF(B23=0,"",IF(C23="",$E$20*LIDER!$H$19+F23*LIDER!$H$20+G23*LIDER!$H$21+H23*LIDER!$H$22+I23*LIDER!$H$23+J23*LIDER!$H$24+K23*LIDER!$H$25,"N"))</f>
        <v/>
      </c>
      <c r="E23" s="209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IF('S-ASIG-01'!D24="","",'S-ASIG-01'!D24)</f>
        <v/>
      </c>
      <c r="D24" s="30" t="str">
        <f>IF(B24=0,"",IF(C24="",$E$20*LIDER!$H$19+F24*LIDER!$H$20+G24*LIDER!$H$21+H24*LIDER!$H$22+I24*LIDER!$H$23+J24*LIDER!$H$24+K24*LIDER!$H$25,"N"))</f>
        <v/>
      </c>
      <c r="E24" s="209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IF('S-ASIG-01'!D25="","",'S-ASIG-01'!D25)</f>
        <v/>
      </c>
      <c r="D25" s="30" t="str">
        <f>IF(B25=0,"",IF(C25="",$E$20*LIDER!$H$19+F25*LIDER!$H$20+G25*LIDER!$H$21+H25*LIDER!$H$22+I25*LIDER!$H$23+J25*LIDER!$H$24+K25*LIDER!$H$25,"N"))</f>
        <v/>
      </c>
      <c r="E25" s="209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IF('S-ASIG-01'!D26="","",'S-ASIG-01'!D26)</f>
        <v>LIST</v>
      </c>
      <c r="D26" s="35" t="s">
        <v>95</v>
      </c>
      <c r="E26" s="214" t="str">
        <f>LIDER!$E$32</f>
        <v>GRUPO#4 Características de los aspecto económicos, administrativos, legales, de costos de Colombina SA y Compañía Navional De Chocolates SAS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09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09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CLAUDIA CAROLINA CAMACHO ALVEAR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09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09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JOSE DANIEL HERNÁNDEZ BURGOS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09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JHOINER SMIT RIVERA JULIO</v>
      </c>
      <c r="C32" s="33" t="str">
        <f>IF('S-ASIG-01'!D32="","",'S-ASIG-01'!D32)</f>
        <v/>
      </c>
      <c r="D32" s="30">
        <f>IF(B32=0,"",IF(C32="",$E$27*LIDER!$H$19+F32*LIDER!$H$20+G32*LIDER!$H$21+H32*LIDER!$H$22+I32*LIDER!$H$23+J32*LIDER!$H$24+K32*LIDER!$H$25,"N"))</f>
        <v>0</v>
      </c>
      <c r="E32" s="209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IF('S-ASIG-01'!D33="","",'S-ASIG-01'!D33)</f>
        <v>LIST</v>
      </c>
      <c r="D33" s="35" t="s">
        <v>95</v>
      </c>
      <c r="E33" s="214" t="str">
        <f>LIDER!$E$33</f>
        <v>GRUPO#5 Características de los Aspectos Administrativos, Legales, Económicos y de Costos de STF Group S.A Y Manufacturas Eliot S.A.S que participan en el mismo sector económico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NOELYS ANAYA GARCIA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09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LIZCONY FERIA MIER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09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DAYANA MISHELL GALVIS VIELLAR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09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SOFIA ISABEL GOMEZ NIÑO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09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LEDYS CAROLINA HERNANDEZ LEAL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0</v>
      </c>
      <c r="E38" s="209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09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IF('S-ASIG-01'!D40="","",'S-ASIG-01'!D40)</f>
        <v>LIST</v>
      </c>
      <c r="D40" s="35" t="s">
        <v>95</v>
      </c>
      <c r="E40" s="214" t="str">
        <f>LIDER!$E$34</f>
        <v>GRUPO#6 Cuáles son las características de los aspectos Administrativos, Legales, Económicos, y de Costos de la Organización Terpel S.A y Ecopetrol S.A que participan en el mismo sector económico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 t="str">
        <f>LIDER!F51</f>
        <v>OSCAR ANDRES BORRE VASQUEZ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09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YULIANI CRESPO BAENA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09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KEINER JAVID DIAZ ALVAREZ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0</v>
      </c>
      <c r="E43" s="209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DAIRIN ROSA TORRES ALVARADO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0</v>
      </c>
      <c r="E44" s="209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DIANA CAROLINA VILLARREAL RAMOS</v>
      </c>
      <c r="C45" s="33" t="str">
        <f>IF('S-ASIG-01'!D45="","",'S-ASIG-01'!D45)</f>
        <v/>
      </c>
      <c r="D45" s="30">
        <f>IF(B45=0,"",IF(C45="",$E$41*LIDER!$H$19+F45*LIDER!$H$20+G45*LIDER!$H$21+H45*LIDER!$H$22+I45*LIDER!$H$23+J45*LIDER!$H$24+K45*LIDER!$H$25,"N"))</f>
        <v>0</v>
      </c>
      <c r="E45" s="209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09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IF('S-ASIG-01'!D47="","",'S-ASIG-01'!D47)</f>
        <v>LIST</v>
      </c>
      <c r="D47" s="35" t="s">
        <v>95</v>
      </c>
      <c r="E47" s="214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IF('S-ASIG-01'!D48="","",'S-ASIG-01'!D48)</f>
        <v/>
      </c>
      <c r="D48" s="30" t="str">
        <f>IF(B48=0,"",IF(C48="",$E$48*LIDER!$H$19+F48*LIDER!$H$20+G48*LIDER!$H$21+H48*LIDER!$H$22+I48*LIDER!$H$23+J48*LIDER!$H$24+K48*LIDER!$H$25,"N"))</f>
        <v/>
      </c>
      <c r="E48" s="209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IF('S-ASIG-01'!D49="","",'S-ASIG-01'!D49)</f>
        <v/>
      </c>
      <c r="D49" s="30" t="str">
        <f>IF(B49=0,"",IF(C49="",$E$48*LIDER!$H$19+F49*LIDER!$H$20+G49*LIDER!$H$21+H49*LIDER!$H$22+I49*LIDER!$H$23+J49*LIDER!$H$24+K49*LIDER!$H$25,"N"))</f>
        <v/>
      </c>
      <c r="E49" s="209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IF('S-ASIG-01'!D50="","",'S-ASIG-01'!D50)</f>
        <v/>
      </c>
      <c r="D50" s="30" t="str">
        <f>IF(B50=0,"",IF(C50="",$E$48*LIDER!$H$19+F50*LIDER!$H$20+G50*LIDER!$H$21+H50*LIDER!$H$22+I50*LIDER!$H$23+J50*LIDER!$H$24+K50*LIDER!$H$25,"N"))</f>
        <v/>
      </c>
      <c r="E50" s="209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09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09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09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IF('S-ASIG-01'!D54="","",'S-ASIG-01'!D54)</f>
        <v>LIST</v>
      </c>
      <c r="D54" s="35" t="s">
        <v>95</v>
      </c>
      <c r="E54" s="214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IF('S-ASIG-01'!D55="","",'S-ASIG-01'!D55)</f>
        <v/>
      </c>
      <c r="D55" s="30" t="str">
        <f>IF(B55=0,"",IF(C55="",$E$55*LIDER!$H$19+F55*LIDER!$H$20+G55*LIDER!$H$21+H55*LIDER!$H$22+I55*LIDER!$H$23+J55*LIDER!$H$24+K55*LIDER!$H$25,"N"))</f>
        <v/>
      </c>
      <c r="E55" s="209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IF('S-ASIG-01'!D56="","",'S-ASIG-01'!D56)</f>
        <v/>
      </c>
      <c r="D56" s="30" t="str">
        <f>IF(B56=0,"",IF(C56="",$E$55*LIDER!$H$19+F56*LIDER!$H$20+G56*LIDER!$H$21+H56*LIDER!$H$22+I56*LIDER!$H$23+J56*LIDER!$H$24+K56*LIDER!$H$25,"N"))</f>
        <v/>
      </c>
      <c r="E56" s="209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IF('S-ASIG-01'!D57="","",'S-ASIG-01'!D57)</f>
        <v/>
      </c>
      <c r="D57" s="30" t="str">
        <f>IF(B57=0,"",IF(C57="",$E$55*LIDER!$H$19+F57*LIDER!$H$20+G57*LIDER!$H$21+H57*LIDER!$H$22+I57*LIDER!$H$23+J57*LIDER!$H$24+K57*LIDER!$H$25,"N"))</f>
        <v/>
      </c>
      <c r="E57" s="209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IF('S-ASIG-01'!D58="","",'S-ASIG-01'!D58)</f>
        <v/>
      </c>
      <c r="D58" s="30" t="str">
        <f>IF(B58=0,"",IF(C58="",$E$55*LIDER!$H$19+F58*LIDER!$H$20+G58*LIDER!$H$21+H58*LIDER!$H$22+I58*LIDER!$H$23+J58*LIDER!$H$24+K58*LIDER!$H$25,"N"))</f>
        <v/>
      </c>
      <c r="E58" s="209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IF('S-ASIG-01'!D59="","",'S-ASIG-01'!D59)</f>
        <v/>
      </c>
      <c r="D59" s="30" t="str">
        <f>IF(B59=0,"",IF(C59="",$E$55*LIDER!$H$19+F59*LIDER!$H$20+G59*LIDER!$H$21+H59*LIDER!$H$22+I59*LIDER!$H$23+J59*LIDER!$H$24+K59*LIDER!$H$25,"N"))</f>
        <v/>
      </c>
      <c r="E59" s="209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09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IF('S-ASIG-01'!D61="","",'S-ASIG-01'!D61)</f>
        <v>LIST</v>
      </c>
      <c r="D61" s="35" t="s">
        <v>95</v>
      </c>
      <c r="E61" s="214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09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09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09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09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09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09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IF('S-ASIG-01'!D68="","",'S-ASIG-01'!D68)</f>
        <v>LIST</v>
      </c>
      <c r="D68" s="35" t="s">
        <v>95</v>
      </c>
      <c r="E68" s="214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09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09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09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09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09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09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IF('S-ASIG-01'!D75="","",'S-ASIG-01'!D75)</f>
        <v>LIST</v>
      </c>
      <c r="D75" s="35" t="s">
        <v>95</v>
      </c>
      <c r="E75" s="214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09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09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09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09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09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09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IF('S-ASIG-01'!D82="","",'S-ASIG-01'!D82)</f>
        <v>LIST</v>
      </c>
      <c r="D82" s="35" t="s">
        <v>95</v>
      </c>
      <c r="E82" s="214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09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09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09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09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09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10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LIDER!D4</f>
        <v>COSTOS Y PRESUPUESTO</v>
      </c>
      <c r="C2" s="3"/>
      <c r="E2" s="215" t="s">
        <v>90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CONCATENATE(LIDER!D4," - ",LIDER!D6," - ",LIDER!D5)</f>
        <v>COSTOS Y PRESUPUESTO - 2212 - ISAMAR CAROLINA CASSIANI DEL TORO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92</v>
      </c>
      <c r="C5" s="34" t="str">
        <f>IF('S-ASIG-02'!D5="","",'S-ASIG-02'!D5)</f>
        <v>LIST</v>
      </c>
      <c r="D5" s="35" t="s">
        <v>95</v>
      </c>
      <c r="E5" s="197" t="str">
        <f>LIDER!$E$29</f>
        <v>GRUPO#1 Análisis comparativo en el sector financiero y crediticio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DIEGO ALEJANDRO BUSTAMANTE CARABALLO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YULIZA PAHOLA CIPRIAN MONTALVO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DEIMER JOSE ORTEGA PALENCIA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MILAGRO CECILIA PEREZ MARTINEZ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FERNANDA QUIROZ PEREZ</v>
      </c>
      <c r="C10" s="33" t="str">
        <f>IF('S-ASIG-02'!D10="","",'S-ASIG-02'!D10)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IF('S-ASIG-02'!D12="","",'S-ASIG-02'!D12)</f>
        <v>LIST</v>
      </c>
      <c r="D12" s="35" t="s">
        <v>95</v>
      </c>
      <c r="E12" s="197" t="str">
        <f>LIDER!$E$30</f>
        <v>GRUPO#2 Características de los aspectos administrativos, legales, económicos y de costos de las empresas Riopaila S.A. y Manuelita S.A.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NIYELI ALEJANDRA ARISTIZABAL CARMONA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JARAH LUCIA CUETO FLOREZ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ISAMAR DE AVILA SANDOVAL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JUAN JOSE RICO MANJARRES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JUAN CAMILO SEPULVEDA PADILLA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IF('S-ASIG-02'!D19="","",'S-ASIG-02'!D19)</f>
        <v>LIST</v>
      </c>
      <c r="D19" s="35" t="s">
        <v>95</v>
      </c>
      <c r="E19" s="197" t="str">
        <f>LIDER!$E$31</f>
        <v>GRUPO#3 Análisis comparativo de los aspectos administrativos, legales, económicos y de costos en comercializadora ARTURO CALLE S.A.S. y NALSANI S.A.S. (TOTTO)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LUISFER BELEÑO ZUÑIGA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ANDERSON CARMONA CASTILLA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YAIR JIMENEZ CASTAÑO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IF('S-ASIG-02'!D23="","",'S-ASIG-02'!D23)</f>
        <v/>
      </c>
      <c r="D23" s="30" t="str">
        <f>IF(B23=0,"",IF(C23="",$E$20*LIDER!$H$19+F23*LIDER!$H$20+G23*LIDER!$H$21+H23*LIDER!$H$22+I23*LIDER!$H$23+J23*LIDER!$H$24+K23*LIDER!$H$25,"N"))</f>
        <v/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IF('S-ASIG-02'!D24="","",'S-ASIG-02'!D24)</f>
        <v/>
      </c>
      <c r="D24" s="30" t="str">
        <f>IF(B24=0,"",IF(C24="",$E$20*LIDER!$H$19+F24*LIDER!$H$20+G24*LIDER!$H$21+H24*LIDER!$H$22+I24*LIDER!$H$23+J24*LIDER!$H$24+K24*LIDER!$H$25,"N"))</f>
        <v/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IF('S-ASIG-02'!D25="","",'S-ASIG-02'!D25)</f>
        <v/>
      </c>
      <c r="D25" s="30" t="str">
        <f>IF(B25=0,"",IF(C25="",$E$20*LIDER!$H$19+F25*LIDER!$H$20+G25*LIDER!$H$21+H25*LIDER!$H$22+I25*LIDER!$H$23+J25*LIDER!$H$24+K25*LIDER!$H$25,"N"))</f>
        <v/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IF('S-ASIG-02'!D26="","",'S-ASIG-02'!D26)</f>
        <v>LIST</v>
      </c>
      <c r="D26" s="35" t="s">
        <v>95</v>
      </c>
      <c r="E26" s="197" t="str">
        <f>LIDER!$E$32</f>
        <v>GRUPO#4 Características de los aspecto económicos, administrativos, legales, de costos de Colombina SA y Compañía Navional De Chocolates SAS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CLAUDIA CAROLINA CAMACHO ALVEAR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JOSE DANIEL HERNÁNDEZ BURGOS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JHOINER SMIT RIVERA JULIO</v>
      </c>
      <c r="C32" s="33" t="str">
        <f>IF('S-ASIG-02'!D32="","",'S-ASIG-02'!D32)</f>
        <v/>
      </c>
      <c r="D32" s="30">
        <f>IF(B32=0,"",IF(C32="",$E$27*LIDER!$H$19+F32*LIDER!$H$20+G32*LIDER!$H$21+H32*LIDER!$H$22+I32*LIDER!$H$23+J32*LIDER!$H$24+K32*LIDER!$H$25,"N"))</f>
        <v>0</v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IF('S-ASIG-02'!D33="","",'S-ASIG-02'!D33)</f>
        <v>LIST</v>
      </c>
      <c r="D33" s="35" t="s">
        <v>95</v>
      </c>
      <c r="E33" s="197" t="str">
        <f>LIDER!$E$33</f>
        <v>GRUPO#5 Características de los Aspectos Administrativos, Legales, Económicos y de Costos de STF Group S.A Y Manufacturas Eliot S.A.S que participan en el mismo sector económico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NOELYS ANAYA GARCIA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LIZCONY FERIA MIER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DAYANA MISHELL GALVIS VIELLAR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SOFIA ISABEL GOMEZ NIÑO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LEDYS CAROLINA HERNANDEZ LEAL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IF('S-ASIG-02'!D40="","",'S-ASIG-02'!D40)</f>
        <v>LIST</v>
      </c>
      <c r="D40" s="35" t="s">
        <v>95</v>
      </c>
      <c r="E40" s="197" t="str">
        <f>LIDER!$E$34</f>
        <v>GRUPO#6 Cuáles son las características de los aspectos Administrativos, Legales, Económicos, y de Costos de la Organización Terpel S.A y Ecopetrol S.A que participan en el mismo sector económico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 t="str">
        <f>LIDER!F51</f>
        <v>OSCAR ANDRES BORRE VASQUEZ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YULIANI CRESPO BAENA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KEINER JAVID DIAZ ALVAREZ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DAIRIN ROSA TORRES ALVARADO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0</v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DIANA CAROLINA VILLARREAL RAMOS</v>
      </c>
      <c r="C45" s="33" t="str">
        <f>IF('S-ASIG-02'!D45="","",'S-ASIG-02'!D45)</f>
        <v/>
      </c>
      <c r="D45" s="30">
        <f>IF(B45=0,"",IF(C45="",$E$41*LIDER!$H$19+F45*LIDER!$H$20+G45*LIDER!$H$21+H45*LIDER!$H$22+I45*LIDER!$H$23+J45*LIDER!$H$24+K45*LIDER!$H$25,"N"))</f>
        <v>0</v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IF('S-ASIG-02'!D47="","",'S-ASIG-02'!D47)</f>
        <v>LIST</v>
      </c>
      <c r="D47" s="35" t="s">
        <v>95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IF('S-ASIG-02'!D48="","",'S-ASIG-02'!D48)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IF('S-ASIG-02'!D49="","",'S-ASIG-02'!D49)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IF('S-ASIG-02'!D50="","",'S-ASIG-02'!D50)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IF('S-ASIG-02'!D54="","",'S-ASIG-02'!D54)</f>
        <v>LIST</v>
      </c>
      <c r="D54" s="35" t="s">
        <v>95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IF('S-ASIG-02'!D55="","",'S-ASIG-02'!D55)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IF('S-ASIG-02'!D56="","",'S-ASIG-02'!D56)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IF('S-ASIG-02'!D57="","",'S-ASIG-02'!D57)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IF('S-ASIG-02'!D58="","",'S-ASIG-02'!D58)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IF('S-ASIG-02'!D59="","",'S-ASIG-02'!D59)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IF('S-ASIG-02'!D61="","",'S-ASIG-02'!D61)</f>
        <v>LIST</v>
      </c>
      <c r="D61" s="35" t="s">
        <v>95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IF('S-ASIG-02'!D68="","",'S-ASIG-02'!D68)</f>
        <v>LIST</v>
      </c>
      <c r="D68" s="35" t="s">
        <v>95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IF('S-ASIG-02'!D75="","",'S-ASIG-02'!D75)</f>
        <v>LIST</v>
      </c>
      <c r="D75" s="35" t="s">
        <v>95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IF('S-ASIG-02'!D82="","",'S-ASIG-02'!D82)</f>
        <v>LIST</v>
      </c>
      <c r="D82" s="35" t="s">
        <v>95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70" zoomScaleNormal="70" workbookViewId="0">
      <pane xSplit="4" ySplit="3" topLeftCell="E25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LIDER!E4</f>
        <v>LEGISLACION EMPRESARIAL</v>
      </c>
      <c r="C2" s="3"/>
      <c r="E2" s="215" t="s">
        <v>90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CONCATENATE(LIDER!E4," - ",LIDER!E6," - ",LIDER!E5)</f>
        <v>LEGISLACION EMPRESARIAL - 2232 - ANGELICA PAOLA DOMINGUEZ CASTELLAR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92</v>
      </c>
      <c r="C5" s="34" t="str">
        <f>IF('S-ASIG-03'!D5="","",'S-ASIG-03'!D5)</f>
        <v>LIST</v>
      </c>
      <c r="D5" s="35" t="s">
        <v>95</v>
      </c>
      <c r="E5" s="197" t="str">
        <f>LIDER!$E$29</f>
        <v>GRUPO#1 Análisis comparativo en el sector financiero y crediticio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DIEGO ALEJANDRO BUSTAMANTE CARABALLO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YULIZA PAHOLA CIPRIAN MONTALVO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DEIMER JOSE ORTEGA PALENCIA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MILAGRO CECILIA PEREZ MARTINEZ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FERNANDA QUIROZ PEREZ</v>
      </c>
      <c r="C10" s="33" t="str">
        <f>IF('S-ASIG-03'!D10="","",'S-ASIG-03'!D10)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IF('S-ASIG-03'!D12="","",'S-ASIG-03'!D12)</f>
        <v>LIST</v>
      </c>
      <c r="D12" s="35" t="s">
        <v>95</v>
      </c>
      <c r="E12" s="197" t="str">
        <f>LIDER!$E$30</f>
        <v>GRUPO#2 Características de los aspectos administrativos, legales, económicos y de costos de las empresas Riopaila S.A. y Manuelita S.A.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NIYELI ALEJANDRA ARISTIZABAL CARMONA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JARAH LUCIA CUETO FLOREZ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ISAMAR DE AVILA SANDOVAL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JUAN JOSE RICO MANJARRES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JUAN CAMILO SEPULVEDA PADILLA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IF('S-ASIG-03'!D19="","",'S-ASIG-03'!D19)</f>
        <v>LIST</v>
      </c>
      <c r="D19" s="35" t="s">
        <v>95</v>
      </c>
      <c r="E19" s="197" t="str">
        <f>LIDER!$E$31</f>
        <v>GRUPO#3 Análisis comparativo de los aspectos administrativos, legales, económicos y de costos en comercializadora ARTURO CALLE S.A.S. y NALSANI S.A.S. (TOTTO)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LUISFER BELEÑO ZUÑIGA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ANDERSON CARMONA CASTILLA</v>
      </c>
      <c r="C21" s="33" t="str">
        <f>IF('S-ASIG-03'!D21="","",'S-ASIG-03'!D21)</f>
        <v>N</v>
      </c>
      <c r="D21" s="30" t="str">
        <f>IF(B21=0,"",IF(C21="",$E$20*LIDER!$H$19+F21*LIDER!$H$20+G21*LIDER!$H$21+H21*LIDER!$H$22+I21*LIDER!$H$23+J21*LIDER!$H$24+K21*LIDER!$H$25,"N"))</f>
        <v>N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YAIR JIMENEZ CASTAÑO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IF('S-ASIG-03'!D23="","",'S-ASIG-03'!D23)</f>
        <v/>
      </c>
      <c r="D23" s="30" t="str">
        <f>IF(B23=0,"",IF(C23="",$E$20*LIDER!$H$19+F23*LIDER!$H$20+G23*LIDER!$H$21+H23*LIDER!$H$22+I23*LIDER!$H$23+J23*LIDER!$H$24+K23*LIDER!$H$25,"N"))</f>
        <v/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IF('S-ASIG-03'!D24="","",'S-ASIG-03'!D24)</f>
        <v/>
      </c>
      <c r="D24" s="30" t="str">
        <f>IF(B24=0,"",IF(C24="",$E$20*LIDER!$H$19+F24*LIDER!$H$20+G24*LIDER!$H$21+H24*LIDER!$H$22+I24*LIDER!$H$23+J24*LIDER!$H$24+K24*LIDER!$H$25,"N"))</f>
        <v/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IF('S-ASIG-03'!D25="","",'S-ASIG-03'!D25)</f>
        <v/>
      </c>
      <c r="D25" s="30" t="str">
        <f>IF(B25=0,"",IF(C25="",$E$20*LIDER!$H$19+F25*LIDER!$H$20+G25*LIDER!$H$21+H25*LIDER!$H$22+I25*LIDER!$H$23+J25*LIDER!$H$24+K25*LIDER!$H$25,"N"))</f>
        <v/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IF('S-ASIG-03'!D26="","",'S-ASIG-03'!D26)</f>
        <v>LIST</v>
      </c>
      <c r="D26" s="35" t="s">
        <v>95</v>
      </c>
      <c r="E26" s="197" t="str">
        <f>LIDER!$E$32</f>
        <v>GRUPO#4 Características de los aspecto económicos, administrativos, legales, de costos de Colombina SA y Compañía Navional De Chocolates SAS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CLAUDIA CAROLINA CAMACHO ALVEAR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JOSE DANIEL HERNÁNDEZ BURGOS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JHOINER SMIT RIVERA JULIO</v>
      </c>
      <c r="C32" s="33" t="str">
        <f>IF('S-ASIG-03'!D32="","",'S-ASIG-03'!D32)</f>
        <v/>
      </c>
      <c r="D32" s="30">
        <f>IF(B32=0,"",IF(C32="",$E$27*LIDER!$H$19+F32*LIDER!$H$20+G32*LIDER!$H$21+H32*LIDER!$H$22+I32*LIDER!$H$23+J32*LIDER!$H$24+K32*LIDER!$H$25,"N"))</f>
        <v>0</v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IF('S-ASIG-03'!D33="","",'S-ASIG-03'!D33)</f>
        <v>LIST</v>
      </c>
      <c r="D33" s="35" t="s">
        <v>95</v>
      </c>
      <c r="E33" s="197" t="str">
        <f>LIDER!$E$33</f>
        <v>GRUPO#5 Características de los Aspectos Administrativos, Legales, Económicos y de Costos de STF Group S.A Y Manufacturas Eliot S.A.S que participan en el mismo sector económico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NOELYS ANAYA GARCIA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LIZCONY FERIA MIER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DAYANA MISHELL GALVIS VIELLAR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SOFIA ISABEL GOMEZ NIÑO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LEDYS CAROLINA HERNANDEZ LEAL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IF('S-ASIG-03'!D40="","",'S-ASIG-03'!D40)</f>
        <v>LIST</v>
      </c>
      <c r="D40" s="35" t="s">
        <v>95</v>
      </c>
      <c r="E40" s="197" t="str">
        <f>LIDER!$E$34</f>
        <v>GRUPO#6 Cuáles son las características de los aspectos Administrativos, Legales, Económicos, y de Costos de la Organización Terpel S.A y Ecopetrol S.A que participan en el mismo sector económico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 t="str">
        <f>LIDER!F51</f>
        <v>OSCAR ANDRES BORRE VASQUEZ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YULIANI CRESPO BAENA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KEINER JAVID DIAZ ALVAREZ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DAIRIN ROSA TORRES ALVARADO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0</v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DIANA CAROLINA VILLARREAL RAMOS</v>
      </c>
      <c r="C45" s="33" t="str">
        <f>IF('S-ASIG-03'!D45="","",'S-ASIG-03'!D45)</f>
        <v/>
      </c>
      <c r="D45" s="30">
        <f>IF(B45=0,"",IF(C45="",$E$41*LIDER!$H$19+F45*LIDER!$H$20+G45*LIDER!$H$21+H45*LIDER!$H$22+I45*LIDER!$H$23+J45*LIDER!$H$24+K45*LIDER!$H$25,"N"))</f>
        <v>0</v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IF('S-ASIG-03'!D47="","",'S-ASIG-03'!D47)</f>
        <v>LIST</v>
      </c>
      <c r="D47" s="35" t="s">
        <v>95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IF('S-ASIG-03'!D48="","",'S-ASIG-03'!D48)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IF('S-ASIG-03'!D49="","",'S-ASIG-03'!D49)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IF('S-ASIG-03'!D50="","",'S-ASIG-03'!D50)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IF('S-ASIG-03'!D54="","",'S-ASIG-03'!D54)</f>
        <v>LIST</v>
      </c>
      <c r="D54" s="35" t="s">
        <v>95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IF('S-ASIG-03'!D55="","",'S-ASIG-03'!D55)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IF('S-ASIG-03'!D56="","",'S-ASIG-03'!D56)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IF('S-ASIG-03'!D57="","",'S-ASIG-03'!D57)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IF('S-ASIG-03'!D58="","",'S-ASIG-03'!D58)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IF('S-ASIG-03'!D59="","",'S-ASIG-03'!D59)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IF('S-ASIG-03'!D61="","",'S-ASIG-03'!D61)</f>
        <v>LIST</v>
      </c>
      <c r="D61" s="35" t="s">
        <v>95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IF('S-ASIG-03'!D68="","",'S-ASIG-03'!D68)</f>
        <v>LIST</v>
      </c>
      <c r="D68" s="35" t="s">
        <v>95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IF('S-ASIG-03'!D75="","",'S-ASIG-03'!D75)</f>
        <v>LIST</v>
      </c>
      <c r="D75" s="35" t="s">
        <v>95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IF('S-ASIG-03'!D82="","",'S-ASIG-03'!D82)</f>
        <v>LIST</v>
      </c>
      <c r="D82" s="35" t="s">
        <v>95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LIDER!F4</f>
        <v>SEMINARIO INVESTIGATIVO</v>
      </c>
      <c r="C2" s="3"/>
      <c r="E2" s="215" t="s">
        <v>90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CONCATENATE(LIDER!F4," - ",LIDER!F6," - ",LIDER!F5)</f>
        <v>SEMINARIO INVESTIGATIVO - 1927 - MANUEL BAQUERO NOVA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92</v>
      </c>
      <c r="C5" s="34" t="str">
        <f>IF('S-ASIG-04'!D5="","",'S-ASIG-04'!D5)</f>
        <v>LIST</v>
      </c>
      <c r="D5" s="35" t="s">
        <v>95</v>
      </c>
      <c r="E5" s="197" t="str">
        <f>LIDER!$E$29</f>
        <v>GRUPO#1 Análisis comparativo en el sector financiero y crediticio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DIEGO ALEJANDRO BUSTAMANTE CARABALLO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YULIZA PAHOLA CIPRIAN MONTALVO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DEIMER JOSE ORTEGA PALENCIA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MILAGRO CECILIA PEREZ MARTINEZ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FERNANDA QUIROZ PEREZ</v>
      </c>
      <c r="C10" s="33" t="str">
        <f>IF('S-ASIG-04'!D10="","",'S-ASIG-04'!D10)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IF('S-ASIG-04'!D12="","",'S-ASIG-04'!D12)</f>
        <v>LIST</v>
      </c>
      <c r="D12" s="35" t="s">
        <v>95</v>
      </c>
      <c r="E12" s="197" t="str">
        <f>LIDER!$E$30</f>
        <v>GRUPO#2 Características de los aspectos administrativos, legales, económicos y de costos de las empresas Riopaila S.A. y Manuelita S.A.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NIYELI ALEJANDRA ARISTIZABAL CARMONA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JARAH LUCIA CUETO FLOREZ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ISAMAR DE AVILA SANDOVAL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JUAN JOSE RICO MANJARRES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JUAN CAMILO SEPULVEDA PADILLA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IF('S-ASIG-04'!D19="","",'S-ASIG-04'!D19)</f>
        <v>LIST</v>
      </c>
      <c r="D19" s="35" t="s">
        <v>95</v>
      </c>
      <c r="E19" s="197" t="str">
        <f>LIDER!$E$31</f>
        <v>GRUPO#3 Análisis comparativo de los aspectos administrativos, legales, económicos y de costos en comercializadora ARTURO CALLE S.A.S. y NALSANI S.A.S. (TOTTO)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LUISFER BELEÑO ZUÑIGA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ANDERSON CARMONA CASTILLA</v>
      </c>
      <c r="C21" s="33" t="str">
        <f>IF('S-ASIG-04'!D21="","",'S-ASIG-04'!D21)</f>
        <v/>
      </c>
      <c r="D21" s="30">
        <f>IF(B21=0,"",IF(C21="",$E$20*LIDER!$H$19+F21*LIDER!$H$20+G21*LIDER!$H$21+H21*LIDER!$H$22+I21*LIDER!$H$23+J21*LIDER!$H$24+K21*LIDER!$H$25,"N"))</f>
        <v>0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YAIR JIMENEZ CASTAÑO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IF('S-ASIG-04'!D23="","",'S-ASIG-04'!D23)</f>
        <v/>
      </c>
      <c r="D23" s="30" t="str">
        <f>IF(B23=0,"",IF(C23="",$E$20*LIDER!$H$19+F23*LIDER!$H$20+G23*LIDER!$H$21+H23*LIDER!$H$22+I23*LIDER!$H$23+J23*LIDER!$H$24+K23*LIDER!$H$25,"N"))</f>
        <v/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IF('S-ASIG-04'!D24="","",'S-ASIG-04'!D24)</f>
        <v/>
      </c>
      <c r="D24" s="30" t="str">
        <f>IF(B24=0,"",IF(C24="",$E$20*LIDER!$H$19+F24*LIDER!$H$20+G24*LIDER!$H$21+H24*LIDER!$H$22+I24*LIDER!$H$23+J24*LIDER!$H$24+K24*LIDER!$H$25,"N"))</f>
        <v/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IF('S-ASIG-04'!D25="","",'S-ASIG-04'!D25)</f>
        <v/>
      </c>
      <c r="D25" s="30" t="str">
        <f>IF(B25=0,"",IF(C25="",$E$20*LIDER!$H$19+F25*LIDER!$H$20+G25*LIDER!$H$21+H25*LIDER!$H$22+I25*LIDER!$H$23+J25*LIDER!$H$24+K25*LIDER!$H$25,"N"))</f>
        <v/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IF('S-ASIG-04'!D26="","",'S-ASIG-04'!D26)</f>
        <v>LIST</v>
      </c>
      <c r="D26" s="35" t="s">
        <v>95</v>
      </c>
      <c r="E26" s="197" t="str">
        <f>LIDER!$E$32</f>
        <v>GRUPO#4 Características de los aspecto económicos, administrativos, legales, de costos de Colombina SA y Compañía Navional De Chocolates SAS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CLAUDIA CAROLINA CAMACHO ALVEAR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JOSE DANIEL HERNÁNDEZ BURGOS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JHOINER SMIT RIVERA JULIO</v>
      </c>
      <c r="C32" s="33" t="str">
        <f>IF('S-ASIG-04'!D32="","",'S-ASIG-04'!D32)</f>
        <v/>
      </c>
      <c r="D32" s="30">
        <f>IF(B32=0,"",IF(C32="",$E$27*LIDER!$H$19+F32*LIDER!$H$20+G32*LIDER!$H$21+H32*LIDER!$H$22+I32*LIDER!$H$23+J32*LIDER!$H$24+K32*LIDER!$H$25,"N"))</f>
        <v>0</v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IF('S-ASIG-04'!D33="","",'S-ASIG-04'!D33)</f>
        <v>LIST</v>
      </c>
      <c r="D33" s="35" t="s">
        <v>95</v>
      </c>
      <c r="E33" s="197" t="str">
        <f>LIDER!$E$33</f>
        <v>GRUPO#5 Características de los Aspectos Administrativos, Legales, Económicos y de Costos de STF Group S.A Y Manufacturas Eliot S.A.S que participan en el mismo sector económico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NOELYS ANAYA GARCIA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LIZCONY FERIA MIER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DAYANA MISHELL GALVIS VIELLAR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SOFIA ISABEL GOMEZ NIÑO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LEDYS CAROLINA HERNANDEZ LEAL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IF('S-ASIG-04'!D40="","",'S-ASIG-04'!D40)</f>
        <v>LIST</v>
      </c>
      <c r="D40" s="35" t="s">
        <v>95</v>
      </c>
      <c r="E40" s="197" t="str">
        <f>LIDER!$E$34</f>
        <v>GRUPO#6 Cuáles son las características de los aspectos Administrativos, Legales, Económicos, y de Costos de la Organización Terpel S.A y Ecopetrol S.A que participan en el mismo sector económico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 t="str">
        <f>LIDER!F51</f>
        <v>OSCAR ANDRES BORRE VASQUEZ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YULIANI CRESPO BAENA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KEINER JAVID DIAZ ALVAREZ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DAIRIN ROSA TORRES ALVARADO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0</v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DIANA CAROLINA VILLARREAL RAMOS</v>
      </c>
      <c r="C45" s="33" t="str">
        <f>IF('S-ASIG-04'!D45="","",'S-ASIG-04'!D45)</f>
        <v/>
      </c>
      <c r="D45" s="30">
        <f>IF(B45=0,"",IF(C45="",$E$41*LIDER!$H$19+F45*LIDER!$H$20+G45*LIDER!$H$21+H45*LIDER!$H$22+I45*LIDER!$H$23+J45*LIDER!$H$24+K45*LIDER!$H$25,"N"))</f>
        <v>0</v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IF('S-ASIG-04'!D47="","",'S-ASIG-04'!D47)</f>
        <v>LIST</v>
      </c>
      <c r="D47" s="35" t="s">
        <v>95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IF('S-ASIG-04'!D48="","",'S-ASIG-04'!D48)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IF('S-ASIG-04'!D49="","",'S-ASIG-04'!D49)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IF('S-ASIG-04'!D50="","",'S-ASIG-04'!D50)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IF('S-ASIG-04'!D54="","",'S-ASIG-04'!D54)</f>
        <v>LIST</v>
      </c>
      <c r="D54" s="35" t="s">
        <v>95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IF('S-ASIG-04'!D55="","",'S-ASIG-04'!D55)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IF('S-ASIG-04'!D56="","",'S-ASIG-04'!D56)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IF('S-ASIG-04'!D57="","",'S-ASIG-04'!D57)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IF('S-ASIG-04'!D58="","",'S-ASIG-04'!D58)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IF('S-ASIG-04'!D59="","",'S-ASIG-04'!D59)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IF('S-ASIG-04'!D61="","",'S-ASIG-04'!D61)</f>
        <v>LIST</v>
      </c>
      <c r="D61" s="35" t="s">
        <v>95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IF('S-ASIG-04'!D68="","",'S-ASIG-04'!D68)</f>
        <v>LIST</v>
      </c>
      <c r="D68" s="35" t="s">
        <v>95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IF('S-ASIG-04'!D75="","",'S-ASIG-04'!D75)</f>
        <v>LIST</v>
      </c>
      <c r="D75" s="35" t="s">
        <v>95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IF('S-ASIG-04'!D82="","",'S-ASIG-04'!D82)</f>
        <v>LIST</v>
      </c>
      <c r="D82" s="35" t="s">
        <v>95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LIDER!G4</f>
        <v>ECONOMÍA GENERAL</v>
      </c>
      <c r="C2" s="3"/>
      <c r="E2" s="215" t="s">
        <v>90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CONCATENATE(LIDER!G4," - ",LIDER!G6," - ",LIDER!G5)</f>
        <v>ECONOMÍA GENERAL - 1416 - ZILLAH EUGENIA CANTILLO ALTAMIRANDA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92</v>
      </c>
      <c r="C5" s="34" t="str">
        <f>IF('S-ASIG-05'!D5="","",'S-ASIG-05'!D5)</f>
        <v>LIST</v>
      </c>
      <c r="D5" s="35" t="s">
        <v>95</v>
      </c>
      <c r="E5" s="197" t="str">
        <f>LIDER!$E$29</f>
        <v>GRUPO#1 Análisis comparativo en el sector financiero y crediticio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DIEGO ALEJANDRO BUSTAMANTE CARABALLO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YULIZA PAHOLA CIPRIAN MONTALVO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DEIMER JOSE ORTEGA PALENCIA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MILAGRO CECILIA PEREZ MARTINEZ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FERNANDA QUIROZ PEREZ</v>
      </c>
      <c r="C10" s="33" t="str">
        <f>IF('S-ASIG-05'!D10="","",'S-ASIG-05'!D10)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IF('S-ASIG-05'!D12="","",'S-ASIG-05'!D12)</f>
        <v>LIST</v>
      </c>
      <c r="D12" s="35" t="s">
        <v>95</v>
      </c>
      <c r="E12" s="197" t="str">
        <f>LIDER!$E$30</f>
        <v>GRUPO#2 Características de los aspectos administrativos, legales, económicos y de costos de las empresas Riopaila S.A. y Manuelita S.A.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NIYELI ALEJANDRA ARISTIZABAL CARMONA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JARAH LUCIA CUETO FLOREZ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ISAMAR DE AVILA SANDOVAL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JUAN JOSE RICO MANJARRES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JUAN CAMILO SEPULVEDA PADILLA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IF('S-ASIG-05'!D19="","",'S-ASIG-05'!D19)</f>
        <v>LIST</v>
      </c>
      <c r="D19" s="35" t="s">
        <v>95</v>
      </c>
      <c r="E19" s="197" t="str">
        <f>LIDER!$E$31</f>
        <v>GRUPO#3 Análisis comparativo de los aspectos administrativos, legales, económicos y de costos en comercializadora ARTURO CALLE S.A.S. y NALSANI S.A.S. (TOTTO)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LUISFER BELEÑO ZUÑIGA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ANDERSON CARMONA CASTILLA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YAIR JIMENEZ CASTAÑO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IF('S-ASIG-05'!D23="","",'S-ASIG-05'!D23)</f>
        <v/>
      </c>
      <c r="D23" s="30" t="str">
        <f>IF(B23=0,"",IF(C23="",$E$20*LIDER!$H$19+F23*LIDER!$H$20+G23*LIDER!$H$21+H23*LIDER!$H$22+I23*LIDER!$H$23+J23*LIDER!$H$24+K23*LIDER!$H$25,"N"))</f>
        <v/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IF('S-ASIG-05'!D24="","",'S-ASIG-05'!D24)</f>
        <v/>
      </c>
      <c r="D24" s="30" t="str">
        <f>IF(B24=0,"",IF(C24="",$E$20*LIDER!$H$19+F24*LIDER!$H$20+G24*LIDER!$H$21+H24*LIDER!$H$22+I24*LIDER!$H$23+J24*LIDER!$H$24+K24*LIDER!$H$25,"N"))</f>
        <v/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IF('S-ASIG-05'!D25="","",'S-ASIG-05'!D25)</f>
        <v/>
      </c>
      <c r="D25" s="30" t="str">
        <f>IF(B25=0,"",IF(C25="",$E$20*LIDER!$H$19+F25*LIDER!$H$20+G25*LIDER!$H$21+H25*LIDER!$H$22+I25*LIDER!$H$23+J25*LIDER!$H$24+K25*LIDER!$H$25,"N"))</f>
        <v/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IF('S-ASIG-05'!D26="","",'S-ASIG-05'!D26)</f>
        <v>LIST</v>
      </c>
      <c r="D26" s="35" t="s">
        <v>95</v>
      </c>
      <c r="E26" s="197" t="str">
        <f>LIDER!$E$32</f>
        <v>GRUPO#4 Características de los aspecto económicos, administrativos, legales, de costos de Colombina SA y Compañía Navional De Chocolates SAS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CLAUDIA CAROLINA CAMACHO ALVEAR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JOSE DANIEL HERNÁNDEZ BURGOS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JHOINER SMIT RIVERA JULIO</v>
      </c>
      <c r="C32" s="33" t="str">
        <f>IF('S-ASIG-05'!D32="","",'S-ASIG-05'!D32)</f>
        <v/>
      </c>
      <c r="D32" s="30">
        <f>IF(B32=0,"",IF(C32="",$E$27*LIDER!$H$19+F32*LIDER!$H$20+G32*LIDER!$H$21+H32*LIDER!$H$22+I32*LIDER!$H$23+J32*LIDER!$H$24+K32*LIDER!$H$25,"N"))</f>
        <v>0</v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IF('S-ASIG-05'!D33="","",'S-ASIG-05'!D33)</f>
        <v>LIST</v>
      </c>
      <c r="D33" s="35" t="s">
        <v>95</v>
      </c>
      <c r="E33" s="197" t="str">
        <f>LIDER!$E$33</f>
        <v>GRUPO#5 Características de los Aspectos Administrativos, Legales, Económicos y de Costos de STF Group S.A Y Manufacturas Eliot S.A.S que participan en el mismo sector económico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NOELYS ANAYA GARCIA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LIZCONY FERIA MIER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DAYANA MISHELL GALVIS VIELLAR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SOFIA ISABEL GOMEZ NIÑO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LEDYS CAROLINA HERNANDEZ LEAL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IF('S-ASIG-05'!D40="","",'S-ASIG-05'!D40)</f>
        <v>LIST</v>
      </c>
      <c r="D40" s="35" t="s">
        <v>95</v>
      </c>
      <c r="E40" s="197" t="str">
        <f>LIDER!$E$34</f>
        <v>GRUPO#6 Cuáles son las características de los aspectos Administrativos, Legales, Económicos, y de Costos de la Organización Terpel S.A y Ecopetrol S.A que participan en el mismo sector económico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 t="str">
        <f>LIDER!F51</f>
        <v>OSCAR ANDRES BORRE VASQUEZ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YULIANI CRESPO BAENA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KEINER JAVID DIAZ ALVAREZ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DAIRIN ROSA TORRES ALVARADO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0</v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DIANA CAROLINA VILLARREAL RAMOS</v>
      </c>
      <c r="C45" s="33" t="str">
        <f>IF('S-ASIG-05'!D45="","",'S-ASIG-05'!D45)</f>
        <v/>
      </c>
      <c r="D45" s="30">
        <f>IF(B45=0,"",IF(C45="",$E$41*LIDER!$H$19+F45*LIDER!$H$20+G45*LIDER!$H$21+H45*LIDER!$H$22+I45*LIDER!$H$23+J45*LIDER!$H$24+K45*LIDER!$H$25,"N"))</f>
        <v>0</v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IF('S-ASIG-05'!D47="","",'S-ASIG-05'!D47)</f>
        <v>LIST</v>
      </c>
      <c r="D47" s="35" t="s">
        <v>95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IF('S-ASIG-05'!D48="","",'S-ASIG-05'!D48)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IF('S-ASIG-05'!D49="","",'S-ASIG-05'!D49)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IF('S-ASIG-05'!D50="","",'S-ASIG-05'!D50)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IF('S-ASIG-05'!D54="","",'S-ASIG-05'!D54)</f>
        <v>LIST</v>
      </c>
      <c r="D54" s="35" t="s">
        <v>95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IF('S-ASIG-05'!D55="","",'S-ASIG-05'!D55)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IF('S-ASIG-05'!D56="","",'S-ASIG-05'!D56)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IF('S-ASIG-05'!D57="","",'S-ASIG-05'!D57)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IF('S-ASIG-05'!D58="","",'S-ASIG-05'!D58)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IF('S-ASIG-05'!D59="","",'S-ASIG-05'!D59)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IF('S-ASIG-05'!D61="","",'S-ASIG-05'!D61)</f>
        <v>LIST</v>
      </c>
      <c r="D61" s="35" t="s">
        <v>95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IF('S-ASIG-05'!D68="","",'S-ASIG-05'!D68)</f>
        <v>LIST</v>
      </c>
      <c r="D68" s="35" t="s">
        <v>95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IF('S-ASIG-05'!D75="","",'S-ASIG-05'!D75)</f>
        <v>LIST</v>
      </c>
      <c r="D75" s="35" t="s">
        <v>95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IF('S-ASIG-05'!D82="","",'S-ASIG-05'!D82)</f>
        <v>LIST</v>
      </c>
      <c r="D82" s="35" t="s">
        <v>95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 t="str">
        <f>LIDER!H4</f>
        <v>PROCESO ADMINISTRATIVO</v>
      </c>
      <c r="C2" s="3"/>
      <c r="E2" s="215" t="s">
        <v>90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CONCATENATE(LIDER!H4," - ",LIDER!H6," - ",LIDER!H5)</f>
        <v>PROCESO ADMINISTRATIVO - 1329 - JENNIFER GIRALDO GUZMAN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92</v>
      </c>
      <c r="C5" s="34" t="str">
        <f>IF('S-ASIG-06'!D5="","",'S-ASIG-06'!D5)</f>
        <v>LIST</v>
      </c>
      <c r="D5" s="35" t="s">
        <v>95</v>
      </c>
      <c r="E5" s="197" t="str">
        <f>LIDER!$E$29</f>
        <v>GRUPO#1 Análisis comparativo en el sector financiero y crediticio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DIEGO ALEJANDRO BUSTAMANTE CARABALLO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YULIZA PAHOLA CIPRIAN MONTALVO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DEIMER JOSE ORTEGA PALENCIA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MILAGRO CECILIA PEREZ MARTINEZ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FERNANDA QUIROZ PEREZ</v>
      </c>
      <c r="C10" s="33" t="str">
        <f>IF('S-ASIG-06'!D10="","",'S-ASIG-06'!D10)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IF('S-ASIG-06'!D12="","",'S-ASIG-06'!D12)</f>
        <v>LIST</v>
      </c>
      <c r="D12" s="35" t="s">
        <v>95</v>
      </c>
      <c r="E12" s="197" t="str">
        <f>LIDER!$E$30</f>
        <v>GRUPO#2 Características de los aspectos administrativos, legales, económicos y de costos de las empresas Riopaila S.A. y Manuelita S.A.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NIYELI ALEJANDRA ARISTIZABAL CARMONA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JARAH LUCIA CUETO FLOREZ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ISAMAR DE AVILA SANDOVAL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JUAN JOSE RICO MANJARRES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JUAN CAMILO SEPULVEDA PADILLA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IF('S-ASIG-06'!D19="","",'S-ASIG-06'!D19)</f>
        <v>LIST</v>
      </c>
      <c r="D19" s="35" t="s">
        <v>95</v>
      </c>
      <c r="E19" s="197" t="str">
        <f>LIDER!$E$31</f>
        <v>GRUPO#3 Análisis comparativo de los aspectos administrativos, legales, económicos y de costos en comercializadora ARTURO CALLE S.A.S. y NALSANI S.A.S. (TOTTO)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LUISFER BELEÑO ZUÑIGA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ANDERSON CARMONA CASTILLA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YAIR JIMENEZ CASTAÑO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IF('S-ASIG-06'!D23="","",'S-ASIG-06'!D23)</f>
        <v/>
      </c>
      <c r="D23" s="30" t="str">
        <f>IF(B23=0,"",IF(C23="",$E$20*LIDER!$H$19+F23*LIDER!$H$20+G23*LIDER!$H$21+H23*LIDER!$H$22+I23*LIDER!$H$23+J23*LIDER!$H$24+K23*LIDER!$H$25,"N"))</f>
        <v/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IF('S-ASIG-06'!D24="","",'S-ASIG-06'!D24)</f>
        <v/>
      </c>
      <c r="D24" s="30" t="str">
        <f>IF(B24=0,"",IF(C24="",$E$20*LIDER!$H$19+F24*LIDER!$H$20+G24*LIDER!$H$21+H24*LIDER!$H$22+I24*LIDER!$H$23+J24*LIDER!$H$24+K24*LIDER!$H$25,"N"))</f>
        <v/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IF('S-ASIG-06'!D25="","",'S-ASIG-06'!D25)</f>
        <v/>
      </c>
      <c r="D25" s="30" t="str">
        <f>IF(B25=0,"",IF(C25="",$E$20*LIDER!$H$19+F25*LIDER!$H$20+G25*LIDER!$H$21+H25*LIDER!$H$22+I25*LIDER!$H$23+J25*LIDER!$H$24+K25*LIDER!$H$25,"N"))</f>
        <v/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IF('S-ASIG-06'!D26="","",'S-ASIG-06'!D26)</f>
        <v>LIST</v>
      </c>
      <c r="D26" s="35" t="s">
        <v>95</v>
      </c>
      <c r="E26" s="197" t="str">
        <f>LIDER!$E$32</f>
        <v>GRUPO#4 Características de los aspecto económicos, administrativos, legales, de costos de Colombina SA y Compañía Navional De Chocolates SAS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CLAUDIA CAROLINA CAMACHO ALVEAR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JOSE DANIEL HERNÁNDEZ BURGOS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JHOINER SMIT RIVERA JULIO</v>
      </c>
      <c r="C32" s="33" t="str">
        <f>IF('S-ASIG-06'!D32="","",'S-ASIG-06'!D32)</f>
        <v/>
      </c>
      <c r="D32" s="30">
        <f>IF(B32=0,"",IF(C32="",$E$27*LIDER!$H$19+F32*LIDER!$H$20+G32*LIDER!$H$21+H32*LIDER!$H$22+I32*LIDER!$H$23+J32*LIDER!$H$24+K32*LIDER!$H$25,"N"))</f>
        <v>0</v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IF('S-ASIG-06'!D33="","",'S-ASIG-06'!D33)</f>
        <v>LIST</v>
      </c>
      <c r="D33" s="35" t="s">
        <v>95</v>
      </c>
      <c r="E33" s="197" t="str">
        <f>LIDER!$E$33</f>
        <v>GRUPO#5 Características de los Aspectos Administrativos, Legales, Económicos y de Costos de STF Group S.A Y Manufacturas Eliot S.A.S que participan en el mismo sector económico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NOELYS ANAYA GARCIA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LIZCONY FERIA MIER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DAYANA MISHELL GALVIS VIELLAR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SOFIA ISABEL GOMEZ NIÑO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LEDYS CAROLINA HERNANDEZ LEAL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IF('S-ASIG-06'!D40="","",'S-ASIG-06'!D40)</f>
        <v>LIST</v>
      </c>
      <c r="D40" s="35" t="s">
        <v>95</v>
      </c>
      <c r="E40" s="197" t="str">
        <f>LIDER!$E$34</f>
        <v>GRUPO#6 Cuáles son las características de los aspectos Administrativos, Legales, Económicos, y de Costos de la Organización Terpel S.A y Ecopetrol S.A que participan en el mismo sector económico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 t="str">
        <f>LIDER!F51</f>
        <v>OSCAR ANDRES BORRE VASQUEZ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YULIANI CRESPO BAENA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KEINER JAVID DIAZ ALVAREZ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DAIRIN ROSA TORRES ALVARADO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0</v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DIANA CAROLINA VILLARREAL RAMOS</v>
      </c>
      <c r="C45" s="33" t="str">
        <f>IF('S-ASIG-06'!D45="","",'S-ASIG-06'!D45)</f>
        <v/>
      </c>
      <c r="D45" s="30">
        <f>IF(B45=0,"",IF(C45="",$E$41*LIDER!$H$19+F45*LIDER!$H$20+G45*LIDER!$H$21+H45*LIDER!$H$22+I45*LIDER!$H$23+J45*LIDER!$H$24+K45*LIDER!$H$25,"N"))</f>
        <v>0</v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IF('S-ASIG-06'!D47="","",'S-ASIG-06'!D47)</f>
        <v>LIST</v>
      </c>
      <c r="D47" s="35" t="s">
        <v>95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IF('S-ASIG-06'!D48="","",'S-ASIG-06'!D48)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IF('S-ASIG-06'!D49="","",'S-ASIG-06'!D49)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IF('S-ASIG-06'!D50="","",'S-ASIG-06'!D50)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IF('S-ASIG-06'!D54="","",'S-ASIG-06'!D54)</f>
        <v>LIST</v>
      </c>
      <c r="D54" s="35" t="s">
        <v>95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IF('S-ASIG-06'!D55="","",'S-ASIG-06'!D55)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IF('S-ASIG-06'!D56="","",'S-ASIG-06'!D56)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IF('S-ASIG-06'!D57="","",'S-ASIG-06'!D57)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IF('S-ASIG-06'!D58="","",'S-ASIG-06'!D58)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IF('S-ASIG-06'!D59="","",'S-ASIG-06'!D59)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IF('S-ASIG-06'!D61="","",'S-ASIG-06'!D61)</f>
        <v>LIST</v>
      </c>
      <c r="D61" s="35" t="s">
        <v>95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IF('S-ASIG-06'!D68="","",'S-ASIG-06'!D68)</f>
        <v>LIST</v>
      </c>
      <c r="D68" s="35" t="s">
        <v>95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IF('S-ASIG-06'!D75="","",'S-ASIG-06'!D75)</f>
        <v>LIST</v>
      </c>
      <c r="D75" s="35" t="s">
        <v>95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IF('S-ASIG-06'!D82="","",'S-ASIG-06'!D82)</f>
        <v>LIST</v>
      </c>
      <c r="D82" s="35" t="s">
        <v>95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70" zoomScaleNormal="70" workbookViewId="0">
      <pane xSplit="4" ySplit="3" topLeftCell="E25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199" t="str">
        <f>LIDER!B2</f>
        <v>TECNOLOGÍA EN GESTIÓN DE NEGOCIOS INTERN</v>
      </c>
      <c r="B1" s="200"/>
      <c r="C1" s="200"/>
      <c r="D1" s="200"/>
      <c r="E1" s="200"/>
      <c r="F1" s="200"/>
      <c r="G1" s="201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6</v>
      </c>
    </row>
    <row r="2" spans="1:11" s="2" customFormat="1" ht="20.100000000000001" customHeight="1" thickBot="1">
      <c r="B2" s="22">
        <f>LIDER!I4</f>
        <v>0</v>
      </c>
      <c r="C2" s="3"/>
      <c r="E2" s="215" t="s">
        <v>90</v>
      </c>
      <c r="F2" s="216"/>
      <c r="G2" s="216"/>
      <c r="H2" s="216"/>
      <c r="I2" s="216"/>
      <c r="J2" s="216"/>
      <c r="K2" s="217"/>
    </row>
    <row r="3" spans="1:11" s="2" customFormat="1" ht="145.5" customHeight="1" thickBot="1">
      <c r="B3" s="4" t="s">
        <v>91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11" t="str">
        <f>CONCATENATE(LIDER!I4," - ",LIDER!I6," - ",LIDER!I5)</f>
        <v xml:space="preserve"> -  - </v>
      </c>
      <c r="F4" s="212"/>
      <c r="G4" s="212"/>
      <c r="H4" s="212"/>
      <c r="I4" s="212"/>
      <c r="J4" s="212"/>
      <c r="K4" s="213"/>
    </row>
    <row r="5" spans="1:11" s="2" customFormat="1" ht="15.75" customHeight="1" thickBot="1">
      <c r="A5" s="8"/>
      <c r="B5" s="27" t="s">
        <v>92</v>
      </c>
      <c r="C5" s="34" t="str">
        <f>IF('S-ASIG-07'!D5="","",'S-ASIG-07'!D5)</f>
        <v>LIST</v>
      </c>
      <c r="D5" s="35" t="s">
        <v>95</v>
      </c>
      <c r="E5" s="197" t="str">
        <f>LIDER!$E$29</f>
        <v>GRUPO#1 Análisis comparativo en el sector financiero y crediticio</v>
      </c>
      <c r="F5" s="197"/>
      <c r="G5" s="197"/>
      <c r="H5" s="197"/>
      <c r="I5" s="197"/>
      <c r="J5" s="197"/>
      <c r="K5" s="197"/>
    </row>
    <row r="6" spans="1:11" s="2" customFormat="1" ht="12.75">
      <c r="A6" s="9">
        <v>1</v>
      </c>
      <c r="B6" s="28" t="str">
        <f>LIDER!E43</f>
        <v>DIEGO ALEJANDRO BUSTAMANTE CARABALLO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YULIZA PAHOLA CIPRIAN MONTALVO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DEIMER JOSE ORTEGA PALENCIA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MILAGRO CECILIA PEREZ MARTINEZ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 t="str">
        <f>LIDER!E47</f>
        <v>MARIA FERNANDA QUIROZ PEREZ</v>
      </c>
      <c r="C10" s="33" t="str">
        <f>IF('S-ASIG-07'!D10="","",'S-ASIG-07'!D10)</f>
        <v/>
      </c>
      <c r="D10" s="30">
        <f>IF(B10=0,"",IF(C10="",$E$6*LIDER!$H$19+F10*LIDER!$H$20+G10*LIDER!$H$21+H10*LIDER!$H$22+I10*LIDER!$H$23+J10*LIDER!$H$24+K10*LIDER!$H$25,"N"))</f>
        <v>0</v>
      </c>
      <c r="E10" s="19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96</v>
      </c>
      <c r="C12" s="32" t="str">
        <f>IF('S-ASIG-07'!D12="","",'S-ASIG-07'!D12)</f>
        <v>LIST</v>
      </c>
      <c r="D12" s="35" t="s">
        <v>95</v>
      </c>
      <c r="E12" s="197" t="str">
        <f>LIDER!$E$30</f>
        <v>GRUPO#2 Características de los aspectos administrativos, legales, económicos y de costos de las empresas Riopaila S.A. y Manuelita S.A.</v>
      </c>
      <c r="F12" s="197"/>
      <c r="G12" s="197"/>
      <c r="H12" s="197"/>
      <c r="I12" s="197"/>
      <c r="J12" s="197"/>
      <c r="K12" s="197"/>
    </row>
    <row r="13" spans="1:11" s="2" customFormat="1" ht="12.75">
      <c r="A13" s="9">
        <v>1</v>
      </c>
      <c r="B13" s="28" t="str">
        <f>LIDER!F43</f>
        <v>NIYELI ALEJANDRA ARISTIZABAL CARMONA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JARAH LUCIA CUETO FLOREZ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ISAMAR DE AVILA SANDOVAL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JUAN JOSE RICO MANJARRES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JUAN CAMILO SEPULVEDA PADILLA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9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98</v>
      </c>
      <c r="C19" s="32" t="str">
        <f>IF('S-ASIG-07'!D19="","",'S-ASIG-07'!D19)</f>
        <v>LIST</v>
      </c>
      <c r="D19" s="35" t="s">
        <v>95</v>
      </c>
      <c r="E19" s="197" t="str">
        <f>LIDER!$E$31</f>
        <v>GRUPO#3 Análisis comparativo de los aspectos administrativos, legales, económicos y de costos en comercializadora ARTURO CALLE S.A.S. y NALSANI S.A.S. (TOTTO)</v>
      </c>
      <c r="F19" s="197"/>
      <c r="G19" s="197"/>
      <c r="H19" s="197"/>
      <c r="I19" s="197"/>
      <c r="J19" s="197"/>
      <c r="K19" s="197"/>
    </row>
    <row r="20" spans="1:11" s="2" customFormat="1" ht="12.75">
      <c r="A20" s="9">
        <v>1</v>
      </c>
      <c r="B20" s="28" t="str">
        <f>LIDER!G43</f>
        <v>LUISFER BELEÑO ZUÑIGA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ANDERSON CARMONA CASTILLA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DUVAN YAIR JIMENEZ CASTAÑO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>
        <f>LIDER!G46</f>
        <v>0</v>
      </c>
      <c r="C23" s="33" t="str">
        <f>IF('S-ASIG-07'!D23="","",'S-ASIG-07'!D23)</f>
        <v/>
      </c>
      <c r="D23" s="30" t="str">
        <f>IF(B23=0,"",IF(C23="",$E$20*LIDER!$H$19+F23*LIDER!$H$20+G23*LIDER!$H$21+H23*LIDER!$H$22+I23*LIDER!$H$23+J23*LIDER!$H$24+K23*LIDER!$H$25,"N"))</f>
        <v/>
      </c>
      <c r="E23" s="19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>
        <f>LIDER!G47</f>
        <v>0</v>
      </c>
      <c r="C24" s="33" t="str">
        <f>IF('S-ASIG-07'!D24="","",'S-ASIG-07'!D24)</f>
        <v/>
      </c>
      <c r="D24" s="30" t="str">
        <f>IF(B24=0,"",IF(C24="",$E$20*LIDER!$H$19+F24*LIDER!$H$20+G24*LIDER!$H$21+H24*LIDER!$H$22+I24*LIDER!$H$23+J24*LIDER!$H$24+K24*LIDER!$H$25,"N"))</f>
        <v/>
      </c>
      <c r="E24" s="19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>
        <f>LIDER!G48</f>
        <v>0</v>
      </c>
      <c r="C25" s="33" t="str">
        <f>IF('S-ASIG-07'!D25="","",'S-ASIG-07'!D25)</f>
        <v/>
      </c>
      <c r="D25" s="30" t="str">
        <f>IF(B25=0,"",IF(C25="",$E$20*LIDER!$H$19+F25*LIDER!$H$20+G25*LIDER!$H$21+H25*LIDER!$H$22+I25*LIDER!$H$23+J25*LIDER!$H$24+K25*LIDER!$H$25,"N"))</f>
        <v/>
      </c>
      <c r="E25" s="19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100</v>
      </c>
      <c r="C26" s="32" t="str">
        <f>IF('S-ASIG-07'!D26="","",'S-ASIG-07'!D26)</f>
        <v>LIST</v>
      </c>
      <c r="D26" s="35" t="s">
        <v>95</v>
      </c>
      <c r="E26" s="197" t="str">
        <f>LIDER!$E$32</f>
        <v>GRUPO#4 Características de los aspecto económicos, administrativos, legales, de costos de Colombina SA y Compañía Navional De Chocolates SAS</v>
      </c>
      <c r="F26" s="197"/>
      <c r="G26" s="197"/>
      <c r="H26" s="197"/>
      <c r="I26" s="197"/>
      <c r="J26" s="197"/>
      <c r="K26" s="197"/>
    </row>
    <row r="27" spans="1:11" s="2" customFormat="1" ht="12.75">
      <c r="A27" s="9">
        <v>1</v>
      </c>
      <c r="B27" s="28" t="str">
        <f>LIDER!H43</f>
        <v>JAZMIN ADRIANA AREVALO RUIZDIAZ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ARIADNY ISABEL BANQUEZ OBESO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CLAUDIA CAROLINA CAMACHO ALVEAR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SAMUEL DAVID CANTILLO MARTELO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JOSE DANIEL HERNÁNDEZ BURGOS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9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 t="str">
        <f>LIDER!H48</f>
        <v>JHOINER SMIT RIVERA JULIO</v>
      </c>
      <c r="C32" s="33" t="str">
        <f>IF('S-ASIG-07'!D32="","",'S-ASIG-07'!D32)</f>
        <v/>
      </c>
      <c r="D32" s="30">
        <f>IF(B32=0,"",IF(C32="",$E$27*LIDER!$H$19+F32*LIDER!$H$20+G32*LIDER!$H$21+H32*LIDER!$H$22+I32*LIDER!$H$23+J32*LIDER!$H$24+K32*LIDER!$H$25,"N"))</f>
        <v>0</v>
      </c>
      <c r="E32" s="19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102</v>
      </c>
      <c r="C33" s="32" t="str">
        <f>IF('S-ASIG-07'!D33="","",'S-ASIG-07'!D33)</f>
        <v>LIST</v>
      </c>
      <c r="D33" s="35" t="s">
        <v>95</v>
      </c>
      <c r="E33" s="197" t="str">
        <f>LIDER!$E$33</f>
        <v>GRUPO#5 Características de los Aspectos Administrativos, Legales, Económicos y de Costos de STF Group S.A Y Manufacturas Eliot S.A.S que participan en el mismo sector económico</v>
      </c>
      <c r="F33" s="197"/>
      <c r="G33" s="197"/>
      <c r="H33" s="197"/>
      <c r="I33" s="197"/>
      <c r="J33" s="197"/>
      <c r="K33" s="197"/>
    </row>
    <row r="34" spans="1:11" s="2" customFormat="1" ht="12.75">
      <c r="A34" s="9">
        <v>1</v>
      </c>
      <c r="B34" s="28" t="str">
        <f>LIDER!E51</f>
        <v>NOELYS ANAYA GARCIA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9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LIZCONY FERIA MIER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9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DAYANA MISHELL GALVIS VIELLAR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9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SOFIA ISABEL GOMEZ NIÑO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9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LEDYS CAROLINA HERNANDEZ LEAL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9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104</v>
      </c>
      <c r="C40" s="32" t="str">
        <f>IF('S-ASIG-07'!D40="","",'S-ASIG-07'!D40)</f>
        <v>LIST</v>
      </c>
      <c r="D40" s="35" t="s">
        <v>95</v>
      </c>
      <c r="E40" s="197" t="str">
        <f>LIDER!$E$34</f>
        <v>GRUPO#6 Cuáles son las características de los aspectos Administrativos, Legales, Económicos, y de Costos de la Organización Terpel S.A y Ecopetrol S.A que participan en el mismo sector económico</v>
      </c>
      <c r="F40" s="197"/>
      <c r="G40" s="197"/>
      <c r="H40" s="197"/>
      <c r="I40" s="197"/>
      <c r="J40" s="197"/>
      <c r="K40" s="197"/>
    </row>
    <row r="41" spans="1:11" s="2" customFormat="1" ht="12.75">
      <c r="A41" s="9">
        <v>1</v>
      </c>
      <c r="B41" s="28" t="str">
        <f>LIDER!F51</f>
        <v>OSCAR ANDRES BORRE VASQUEZ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YULIANI CRESPO BAENA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9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KEINER JAVID DIAZ ALVAREZ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9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DAIRIN ROSA TORRES ALVARADO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9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 t="str">
        <f>LIDER!F55</f>
        <v>DIANA CAROLINA VILLARREAL RAMOS</v>
      </c>
      <c r="C45" s="33" t="str">
        <f>IF('S-ASIG-07'!D45="","",'S-ASIG-07'!D45)</f>
        <v/>
      </c>
      <c r="D45" s="30">
        <f>IF(B45=0,"",IF(C45="",$E$41*LIDER!$H$19+F45*LIDER!$H$20+G45*LIDER!$H$21+H45*LIDER!$H$22+I45*LIDER!$H$23+J45*LIDER!$H$24+K45*LIDER!$H$25,"N"))</f>
        <v>0</v>
      </c>
      <c r="E45" s="19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82</v>
      </c>
      <c r="C47" s="32" t="str">
        <f>IF('S-ASIG-07'!D47="","",'S-ASIG-07'!D47)</f>
        <v>LIST</v>
      </c>
      <c r="D47" s="35" t="s">
        <v>95</v>
      </c>
      <c r="E47" s="197" t="str">
        <f>LIDER!$E$35</f>
        <v>GRUPO#7</v>
      </c>
      <c r="F47" s="197"/>
      <c r="G47" s="197"/>
      <c r="H47" s="197"/>
      <c r="I47" s="197"/>
      <c r="J47" s="197"/>
      <c r="K47" s="197"/>
    </row>
    <row r="48" spans="1:11" s="2" customFormat="1" ht="12.75">
      <c r="A48" s="9">
        <v>1</v>
      </c>
      <c r="B48" s="28">
        <f>LIDER!G51</f>
        <v>0</v>
      </c>
      <c r="C48" s="33" t="str">
        <f>IF('S-ASIG-07'!D48="","",'S-ASIG-07'!D48)</f>
        <v/>
      </c>
      <c r="D48" s="30" t="str">
        <f>IF(B48=0,"",IF(C48="",$E$48*LIDER!$H$19+F48*LIDER!$H$20+G48*LIDER!$H$21+H48*LIDER!$H$22+I48*LIDER!$H$23+J48*LIDER!$H$24+K48*LIDER!$H$25,"N"))</f>
        <v/>
      </c>
      <c r="E48" s="19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>
        <f>LIDER!G52</f>
        <v>0</v>
      </c>
      <c r="C49" s="33" t="str">
        <f>IF('S-ASIG-07'!D49="","",'S-ASIG-07'!D49)</f>
        <v/>
      </c>
      <c r="D49" s="30" t="str">
        <f>IF(B49=0,"",IF(C49="",$E$48*LIDER!$H$19+F49*LIDER!$H$20+G49*LIDER!$H$21+H49*LIDER!$H$22+I49*LIDER!$H$23+J49*LIDER!$H$24+K49*LIDER!$H$25,"N"))</f>
        <v/>
      </c>
      <c r="E49" s="19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>
        <f>LIDER!G53</f>
        <v>0</v>
      </c>
      <c r="C50" s="33" t="str">
        <f>IF('S-ASIG-07'!D50="","",'S-ASIG-07'!D50)</f>
        <v/>
      </c>
      <c r="D50" s="30" t="str">
        <f>IF(B50=0,"",IF(C50="",$E$48*LIDER!$H$19+F50*LIDER!$H$20+G50*LIDER!$H$21+H50*LIDER!$H$22+I50*LIDER!$H$23+J50*LIDER!$H$24+K50*LIDER!$H$25,"N"))</f>
        <v/>
      </c>
      <c r="E50" s="19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84</v>
      </c>
      <c r="C54" s="32" t="str">
        <f>IF('S-ASIG-07'!D54="","",'S-ASIG-07'!D54)</f>
        <v>LIST</v>
      </c>
      <c r="D54" s="35" t="s">
        <v>95</v>
      </c>
      <c r="E54" s="197" t="str">
        <f>LIDER!$E$36</f>
        <v>GRUPO#8</v>
      </c>
      <c r="F54" s="197"/>
      <c r="G54" s="197"/>
      <c r="H54" s="197"/>
      <c r="I54" s="197"/>
      <c r="J54" s="197"/>
      <c r="K54" s="197"/>
    </row>
    <row r="55" spans="1:11" s="2" customFormat="1" ht="12.75">
      <c r="A55" s="9">
        <v>1</v>
      </c>
      <c r="B55" s="28">
        <f>LIDER!H51</f>
        <v>0</v>
      </c>
      <c r="C55" s="33" t="str">
        <f>IF('S-ASIG-07'!D55="","",'S-ASIG-07'!D55)</f>
        <v/>
      </c>
      <c r="D55" s="30" t="str">
        <f>IF(B55=0,"",IF(C55="",$E$55*LIDER!$H$19+F55*LIDER!$H$20+G55*LIDER!$H$21+H55*LIDER!$H$22+I55*LIDER!$H$23+J55*LIDER!$H$24+K55*LIDER!$H$25,"N"))</f>
        <v/>
      </c>
      <c r="E55" s="19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>
        <f>LIDER!H52</f>
        <v>0</v>
      </c>
      <c r="C56" s="33" t="str">
        <f>IF('S-ASIG-07'!D56="","",'S-ASIG-07'!D56)</f>
        <v/>
      </c>
      <c r="D56" s="30" t="str">
        <f>IF(B56=0,"",IF(C56="",$E$55*LIDER!$H$19+F56*LIDER!$H$20+G56*LIDER!$H$21+H56*LIDER!$H$22+I56*LIDER!$H$23+J56*LIDER!$H$24+K56*LIDER!$H$25,"N"))</f>
        <v/>
      </c>
      <c r="E56" s="19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>
        <f>LIDER!H53</f>
        <v>0</v>
      </c>
      <c r="C57" s="33" t="str">
        <f>IF('S-ASIG-07'!D57="","",'S-ASIG-07'!D57)</f>
        <v/>
      </c>
      <c r="D57" s="30" t="str">
        <f>IF(B57=0,"",IF(C57="",$E$55*LIDER!$H$19+F57*LIDER!$H$20+G57*LIDER!$H$21+H57*LIDER!$H$22+I57*LIDER!$H$23+J57*LIDER!$H$24+K57*LIDER!$H$25,"N"))</f>
        <v/>
      </c>
      <c r="E57" s="19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>
        <f>LIDER!H54</f>
        <v>0</v>
      </c>
      <c r="C58" s="33" t="str">
        <f>IF('S-ASIG-07'!D58="","",'S-ASIG-07'!D58)</f>
        <v/>
      </c>
      <c r="D58" s="30" t="str">
        <f>IF(B58=0,"",IF(C58="",$E$55*LIDER!$H$19+F58*LIDER!$H$20+G58*LIDER!$H$21+H58*LIDER!$H$22+I58*LIDER!$H$23+J58*LIDER!$H$24+K58*LIDER!$H$25,"N"))</f>
        <v/>
      </c>
      <c r="E58" s="19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>
        <f>LIDER!H55</f>
        <v>0</v>
      </c>
      <c r="C59" s="33" t="str">
        <f>IF('S-ASIG-07'!D59="","",'S-ASIG-07'!D59)</f>
        <v/>
      </c>
      <c r="D59" s="30" t="str">
        <f>IF(B59=0,"",IF(C59="",$E$55*LIDER!$H$19+F59*LIDER!$H$20+G59*LIDER!$H$21+H59*LIDER!$H$22+I59*LIDER!$H$23+J59*LIDER!$H$24+K59*LIDER!$H$25,"N"))</f>
        <v/>
      </c>
      <c r="E59" s="19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IF('S-ASIG-07'!D61="","",'S-ASIG-07'!D61)</f>
        <v>LIST</v>
      </c>
      <c r="D61" s="35" t="s">
        <v>95</v>
      </c>
      <c r="E61" s="197" t="str">
        <f>LIDER!$E$37</f>
        <v>GRUPO#9</v>
      </c>
      <c r="F61" s="197"/>
      <c r="G61" s="197"/>
      <c r="H61" s="197"/>
      <c r="I61" s="197"/>
      <c r="J61" s="197"/>
      <c r="K61" s="197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87</v>
      </c>
      <c r="C68" s="32" t="str">
        <f>IF('S-ASIG-07'!D68="","",'S-ASIG-07'!D68)</f>
        <v>LIST</v>
      </c>
      <c r="D68" s="35" t="s">
        <v>95</v>
      </c>
      <c r="E68" s="197" t="str">
        <f>LIDER!$E$38</f>
        <v>GRUPO#10</v>
      </c>
      <c r="F68" s="197"/>
      <c r="G68" s="197"/>
      <c r="H68" s="197"/>
      <c r="I68" s="197"/>
      <c r="J68" s="197"/>
      <c r="K68" s="197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88</v>
      </c>
      <c r="C75" s="32" t="str">
        <f>IF('S-ASIG-07'!D75="","",'S-ASIG-07'!D75)</f>
        <v>LIST</v>
      </c>
      <c r="D75" s="35" t="s">
        <v>95</v>
      </c>
      <c r="E75" s="197" t="str">
        <f>LIDER!$E$39</f>
        <v>GRUPO#11</v>
      </c>
      <c r="F75" s="197"/>
      <c r="G75" s="197"/>
      <c r="H75" s="197"/>
      <c r="I75" s="197"/>
      <c r="J75" s="197"/>
      <c r="K75" s="197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89</v>
      </c>
      <c r="C82" s="32" t="str">
        <f>IF('S-ASIG-07'!D82="","",'S-ASIG-07'!D82)</f>
        <v>LIST</v>
      </c>
      <c r="D82" s="35" t="s">
        <v>95</v>
      </c>
      <c r="E82" s="197" t="str">
        <f>LIDER!$E$40</f>
        <v>GRUPO#12</v>
      </c>
      <c r="F82" s="197"/>
      <c r="G82" s="197"/>
      <c r="H82" s="197"/>
      <c r="I82" s="197"/>
      <c r="J82" s="197"/>
      <c r="K82" s="197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207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abSelected="1" topLeftCell="B1" workbookViewId="0">
      <pane xSplit="4" ySplit="4" topLeftCell="F5" activePane="bottomRight" state="frozen"/>
      <selection pane="bottomRight" activeCell="G3" sqref="G3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SEM-02</v>
      </c>
      <c r="Q1" s="43" t="str">
        <f>LIDER!G2</f>
        <v>SECCIÓN:</v>
      </c>
      <c r="R1" s="44">
        <f>LIDER!H2</f>
        <v>6</v>
      </c>
      <c r="S1" s="42"/>
      <c r="T1" s="42"/>
      <c r="U1" s="45"/>
    </row>
    <row r="2" spans="1:22" ht="20.100000000000001" customHeight="1" thickBot="1">
      <c r="G2" s="142" t="s">
        <v>113</v>
      </c>
      <c r="H2" s="143"/>
      <c r="I2" s="143"/>
      <c r="J2" s="143"/>
      <c r="K2" s="143"/>
      <c r="L2" s="143"/>
      <c r="M2" s="144"/>
      <c r="N2" s="2"/>
      <c r="O2" s="147" t="s">
        <v>114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2339</v>
      </c>
      <c r="H3" s="49" t="str">
        <f>CONCATENATE("N° : ",LIDER!D6)</f>
        <v>N° : 2212</v>
      </c>
      <c r="I3" s="49" t="str">
        <f>CONCATENATE("N° : ",LIDER!E6)</f>
        <v>N° : 2232</v>
      </c>
      <c r="J3" s="49" t="str">
        <f>CONCATENATE("N° : ",LIDER!F6)</f>
        <v>N° : 1927</v>
      </c>
      <c r="K3" s="49" t="str">
        <f>CONCATENATE("N° : ",LIDER!G6)</f>
        <v>N° : 1416</v>
      </c>
      <c r="L3" s="49" t="str">
        <f>CONCATENATE("N° : ",LIDER!H6)</f>
        <v>N° : 1329</v>
      </c>
      <c r="M3" s="50" t="str">
        <f>CONCATENATE("N° : ",LIDER!I6)</f>
        <v xml:space="preserve">N° : </v>
      </c>
      <c r="O3" s="48" t="str">
        <f>G3</f>
        <v>N° : 2339</v>
      </c>
      <c r="P3" s="49" t="str">
        <f t="shared" ref="P3:U3" si="0">H3</f>
        <v>N° : 2212</v>
      </c>
      <c r="Q3" s="49" t="str">
        <f t="shared" si="0"/>
        <v>N° : 2232</v>
      </c>
      <c r="R3" s="49" t="str">
        <f t="shared" si="0"/>
        <v>N° : 1927</v>
      </c>
      <c r="S3" s="49" t="str">
        <f t="shared" si="0"/>
        <v>N° : 1416</v>
      </c>
      <c r="T3" s="49" t="str">
        <f t="shared" si="0"/>
        <v>N° : 1329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115</v>
      </c>
      <c r="D4" s="54" t="s">
        <v>116</v>
      </c>
      <c r="E4" s="55" t="s">
        <v>117</v>
      </c>
      <c r="G4" s="56" t="str">
        <f>MID(LIDER!C4,1,9)</f>
        <v>INTRODUCC</v>
      </c>
      <c r="H4" s="57" t="str">
        <f>MID(LIDER!D4,1,9)</f>
        <v xml:space="preserve">COSTOS Y </v>
      </c>
      <c r="I4" s="57" t="str">
        <f>MID(LIDER!E4,1,9)</f>
        <v>LEGISLACI</v>
      </c>
      <c r="J4" s="57" t="str">
        <f>MID(LIDER!F4,1,9)</f>
        <v>SEMINARIO</v>
      </c>
      <c r="K4" s="57" t="str">
        <f>MID(LIDER!G4,1,9)</f>
        <v xml:space="preserve">ECONOMÍA </v>
      </c>
      <c r="L4" s="57" t="str">
        <f>MID(LIDER!H4,1,9)</f>
        <v>PROCESO A</v>
      </c>
      <c r="M4" s="58" t="str">
        <f>MID(LIDER!I4,1,9)</f>
        <v/>
      </c>
      <c r="N4" s="59" t="s">
        <v>118</v>
      </c>
      <c r="O4" s="60" t="str">
        <f t="shared" ref="O4:U4" si="1">G4</f>
        <v>INTRODUCC</v>
      </c>
      <c r="P4" s="61" t="str">
        <f t="shared" si="1"/>
        <v xml:space="preserve">COSTOS Y </v>
      </c>
      <c r="Q4" s="61" t="str">
        <f t="shared" si="1"/>
        <v>LEGISLACI</v>
      </c>
      <c r="R4" s="61" t="str">
        <f t="shared" si="1"/>
        <v>SEMINARIO</v>
      </c>
      <c r="S4" s="61" t="str">
        <f t="shared" si="1"/>
        <v xml:space="preserve">ECONOMÍA </v>
      </c>
      <c r="T4" s="61" t="str">
        <f t="shared" si="1"/>
        <v>PROCESO A</v>
      </c>
      <c r="U4" s="62" t="str">
        <f t="shared" si="1"/>
        <v/>
      </c>
      <c r="V4" s="59" t="s">
        <v>119</v>
      </c>
    </row>
    <row r="5" spans="1:22" ht="15" customHeight="1">
      <c r="A5" s="12">
        <v>1</v>
      </c>
      <c r="B5" s="63" t="str">
        <f>LIDER!C9</f>
        <v>DIEGO ALEJANDRO BUSTAMANTE CARABALLO</v>
      </c>
      <c r="C5" s="64" t="str">
        <f>IF(B5=0,"",IFERROR(VLOOKUP(B5,'S-ASIG-01'!$B$5:$E$88,2,0),0))</f>
        <v>G01</v>
      </c>
      <c r="D5" s="65">
        <f>IF(B5=0,"",IFERROR(SUMIF(G5:M5,"&gt;0",G5:M5)/COUNTIF(G5:M5,"&gt;0"),0))</f>
        <v>3.6850000000000001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0</v>
      </c>
      <c r="H5" s="65">
        <f>IF(B5=0,"",IFERROR(VLOOKUP(B5,'S-ASIG-02'!$B$5:$E$88,4,0),0))</f>
        <v>0</v>
      </c>
      <c r="I5" s="65">
        <f>IF(B5=0,"",IFERROR(VLOOKUP(B5,'S-ASIG-03'!$B$5:$E$88,4,0),0))</f>
        <v>3.41</v>
      </c>
      <c r="J5" s="65">
        <f>IF(B5=0,"",IFERROR(VLOOKUP(B5,'S-ASIG-04'!$B$5:$E$88,4,0),0))</f>
        <v>3.9000000000000004</v>
      </c>
      <c r="K5" s="65">
        <f>IF(B5=0,"",IFERROR(VLOOKUP(B5,'S-ASIG-05'!$B$5:$E$88,4,0),0))</f>
        <v>3.71</v>
      </c>
      <c r="L5" s="65">
        <f>IF(B5=0,"",IFERROR(VLOOKUP(B5,'S-ASIG-06'!$B$5:$E$88,4,0),0))</f>
        <v>3.7200000000000006</v>
      </c>
      <c r="M5" s="66">
        <f>IF(B5=0,"",IFERROR(VLOOKUP(B5,'S-ASIG-07'!$B$5:$E$88,4,0),0))</f>
        <v>0</v>
      </c>
      <c r="N5" s="68" t="s">
        <v>120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121</v>
      </c>
    </row>
    <row r="6" spans="1:22" ht="15" customHeight="1">
      <c r="A6" s="12">
        <v>2</v>
      </c>
      <c r="B6" s="70" t="str">
        <f>LIDER!C10</f>
        <v>YULIZA PAHOLA CIPRIAN MONTALVO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3.6850000000000001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0</v>
      </c>
      <c r="H6" s="72">
        <f>IF(B6=0,"",IFERROR(VLOOKUP(B6,'S-ASIG-02'!$B$5:$E$88,4,0),0))</f>
        <v>0</v>
      </c>
      <c r="I6" s="72">
        <f>IF(B6=0,"",IFERROR(VLOOKUP(B6,'S-ASIG-03'!$B$5:$E$88,4,0),0))</f>
        <v>3.41</v>
      </c>
      <c r="J6" s="72">
        <f>IF(B6=0,"",IFERROR(VLOOKUP(B6,'S-ASIG-04'!$B$5:$E$88,4,0),0))</f>
        <v>3.9000000000000004</v>
      </c>
      <c r="K6" s="72">
        <f>IF(B6=0,"",IFERROR(VLOOKUP(B6,'S-ASIG-05'!$B$5:$E$88,4,0),0))</f>
        <v>3.71</v>
      </c>
      <c r="L6" s="72">
        <f>IF(B6=0,"",IFERROR(VLOOKUP(B6,'S-ASIG-06'!$B$5:$E$88,4,0),0))</f>
        <v>3.7200000000000006</v>
      </c>
      <c r="M6" s="73">
        <f>IF(B6=0,"",IFERROR(VLOOKUP(B6,'S-ASIG-07'!$B$5:$E$88,4,0),0))</f>
        <v>0</v>
      </c>
      <c r="N6" s="68" t="s">
        <v>120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121</v>
      </c>
    </row>
    <row r="7" spans="1:22" ht="15" customHeight="1">
      <c r="A7" s="12">
        <v>3</v>
      </c>
      <c r="B7" s="70" t="str">
        <f>LIDER!C11</f>
        <v>DEIMER JOSE ORTEGA PALENCIA</v>
      </c>
      <c r="C7" s="64" t="str">
        <f>IF(B7=0,"",IFERROR(VLOOKUP(B7,'S-ASIG-01'!$B$5:$E$88,2,0),0))</f>
        <v>G01</v>
      </c>
      <c r="D7" s="65">
        <f t="shared" si="2"/>
        <v>3.6850000000000001</v>
      </c>
      <c r="E7" s="66">
        <f t="shared" si="3"/>
        <v>0</v>
      </c>
      <c r="F7" s="47"/>
      <c r="G7" s="71">
        <f>IF(B7=0,"",IFERROR(VLOOKUP(B7,'S-ASIG-01'!$B$5:$E$88,4,0),0))</f>
        <v>0</v>
      </c>
      <c r="H7" s="72">
        <f>IF(B7=0,"",IFERROR(VLOOKUP(B7,'S-ASIG-02'!$B$5:$E$88,4,0),0))</f>
        <v>0</v>
      </c>
      <c r="I7" s="72">
        <f>IF(B7=0,"",IFERROR(VLOOKUP(B7,'S-ASIG-03'!$B$5:$E$88,4,0),0))</f>
        <v>3.41</v>
      </c>
      <c r="J7" s="72">
        <f>IF(B7=0,"",IFERROR(VLOOKUP(B7,'S-ASIG-04'!$B$5:$E$88,4,0),0))</f>
        <v>3.9000000000000004</v>
      </c>
      <c r="K7" s="72">
        <f>IF(B7=0,"",IFERROR(VLOOKUP(B7,'S-ASIG-05'!$B$5:$E$88,4,0),0))</f>
        <v>3.71</v>
      </c>
      <c r="L7" s="72">
        <f>IF(B7=0,"",IFERROR(VLOOKUP(B7,'S-ASIG-06'!$B$5:$E$88,4,0),0))</f>
        <v>3.7200000000000006</v>
      </c>
      <c r="M7" s="73">
        <f>IF(B7=0,"",IFERROR(VLOOKUP(B7,'S-ASIG-07'!$B$5:$E$88,4,0),0))</f>
        <v>0</v>
      </c>
      <c r="N7" s="68" t="s">
        <v>120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121</v>
      </c>
    </row>
    <row r="8" spans="1:22" ht="15" customHeight="1">
      <c r="A8" s="12">
        <v>4</v>
      </c>
      <c r="B8" s="70" t="str">
        <f>LIDER!C12</f>
        <v>MILAGRO CECILIA PEREZ MARTINEZ</v>
      </c>
      <c r="C8" s="64" t="str">
        <f>IF(B8=0,"",IFERROR(VLOOKUP(B8,'S-ASIG-01'!$B$5:$E$88,2,0),0))</f>
        <v>G01</v>
      </c>
      <c r="D8" s="65">
        <f t="shared" si="2"/>
        <v>3.6850000000000001</v>
      </c>
      <c r="E8" s="66">
        <f t="shared" si="3"/>
        <v>0</v>
      </c>
      <c r="F8" s="47"/>
      <c r="G8" s="71">
        <f>IF(B8=0,"",IFERROR(VLOOKUP(B8,'S-ASIG-01'!$B$5:$E$88,4,0),0))</f>
        <v>0</v>
      </c>
      <c r="H8" s="72">
        <f>IF(B8=0,"",IFERROR(VLOOKUP(B8,'S-ASIG-02'!$B$5:$E$88,4,0),0))</f>
        <v>0</v>
      </c>
      <c r="I8" s="72">
        <f>IF(B8=0,"",IFERROR(VLOOKUP(B8,'S-ASIG-03'!$B$5:$E$88,4,0),0))</f>
        <v>3.41</v>
      </c>
      <c r="J8" s="72">
        <f>IF(B8=0,"",IFERROR(VLOOKUP(B8,'S-ASIG-04'!$B$5:$E$88,4,0),0))</f>
        <v>3.9000000000000004</v>
      </c>
      <c r="K8" s="72">
        <f>IF(B8=0,"",IFERROR(VLOOKUP(B8,'S-ASIG-05'!$B$5:$E$88,4,0),0))</f>
        <v>3.71</v>
      </c>
      <c r="L8" s="72">
        <f>IF(B8=0,"",IFERROR(VLOOKUP(B8,'S-ASIG-06'!$B$5:$E$88,4,0),0))</f>
        <v>3.7200000000000006</v>
      </c>
      <c r="M8" s="73">
        <f>IF(B8=0,"",IFERROR(VLOOKUP(B8,'S-ASIG-07'!$B$5:$E$88,4,0),0))</f>
        <v>0</v>
      </c>
      <c r="N8" s="68" t="s">
        <v>120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121</v>
      </c>
    </row>
    <row r="9" spans="1:22" ht="15" customHeight="1">
      <c r="A9" s="12">
        <v>5</v>
      </c>
      <c r="B9" s="70" t="str">
        <f>LIDER!C13</f>
        <v>MARIA FERNANDA QUIROZ PEREZ</v>
      </c>
      <c r="C9" s="64" t="str">
        <f>IF(B9=0,"",IFERROR(VLOOKUP(B9,'S-ASIG-01'!$B$5:$E$88,2,0),0))</f>
        <v>G01</v>
      </c>
      <c r="D9" s="65">
        <f t="shared" si="2"/>
        <v>3.6850000000000001</v>
      </c>
      <c r="E9" s="66">
        <f t="shared" si="3"/>
        <v>0</v>
      </c>
      <c r="F9" s="47"/>
      <c r="G9" s="71">
        <f>IF(B9=0,"",IFERROR(VLOOKUP(B9,'S-ASIG-01'!$B$5:$E$88,4,0),0))</f>
        <v>0</v>
      </c>
      <c r="H9" s="72">
        <f>IF(B9=0,"",IFERROR(VLOOKUP(B9,'S-ASIG-02'!$B$5:$E$88,4,0),0))</f>
        <v>0</v>
      </c>
      <c r="I9" s="72">
        <f>IF(B9=0,"",IFERROR(VLOOKUP(B9,'S-ASIG-03'!$B$5:$E$88,4,0),0))</f>
        <v>3.41</v>
      </c>
      <c r="J9" s="72">
        <f>IF(B9=0,"",IFERROR(VLOOKUP(B9,'S-ASIG-04'!$B$5:$E$88,4,0),0))</f>
        <v>3.9000000000000004</v>
      </c>
      <c r="K9" s="72">
        <f>IF(B9=0,"",IFERROR(VLOOKUP(B9,'S-ASIG-05'!$B$5:$E$88,4,0),0))</f>
        <v>3.71</v>
      </c>
      <c r="L9" s="72">
        <f>IF(B9=0,"",IFERROR(VLOOKUP(B9,'S-ASIG-06'!$B$5:$E$88,4,0),0))</f>
        <v>3.7200000000000006</v>
      </c>
      <c r="M9" s="73">
        <f>IF(B9=0,"",IFERROR(VLOOKUP(B9,'S-ASIG-07'!$B$5:$E$88,4,0),0))</f>
        <v>0</v>
      </c>
      <c r="N9" s="68" t="s">
        <v>120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121</v>
      </c>
    </row>
    <row r="10" spans="1:22" ht="15" customHeight="1">
      <c r="A10" s="12">
        <v>6</v>
      </c>
      <c r="B10" s="70" t="str">
        <f>LIDER!C14</f>
        <v>NIYELI ALEJANDRA ARISTIZABAL CARMONA</v>
      </c>
      <c r="C10" s="64" t="str">
        <f>IF(B10=0,"",IFERROR(VLOOKUP(B10,'S-ASIG-01'!$B$5:$E$88,2,0),0))</f>
        <v>G02</v>
      </c>
      <c r="D10" s="65">
        <f t="shared" si="2"/>
        <v>3.9224999999999999</v>
      </c>
      <c r="E10" s="66">
        <f t="shared" si="3"/>
        <v>0</v>
      </c>
      <c r="F10" s="47"/>
      <c r="G10" s="71">
        <f>IF(B10=0,"",IFERROR(VLOOKUP(B10,'S-ASIG-01'!$B$5:$E$88,4,0),0))</f>
        <v>0</v>
      </c>
      <c r="H10" s="72">
        <f>IF(B10=0,"",IFERROR(VLOOKUP(B10,'S-ASIG-02'!$B$5:$E$88,4,0),0))</f>
        <v>0</v>
      </c>
      <c r="I10" s="72">
        <f>IF(B10=0,"",IFERROR(VLOOKUP(B10,'S-ASIG-03'!$B$5:$E$88,4,0),0))</f>
        <v>3.9000000000000004</v>
      </c>
      <c r="J10" s="72">
        <f>IF(B10=0,"",IFERROR(VLOOKUP(B10,'S-ASIG-04'!$B$5:$E$88,4,0),0))</f>
        <v>4.0199999999999996</v>
      </c>
      <c r="K10" s="72">
        <f>IF(B10=0,"",IFERROR(VLOOKUP(B10,'S-ASIG-05'!$B$5:$E$88,4,0),0))</f>
        <v>3.7500000000000004</v>
      </c>
      <c r="L10" s="72">
        <f>IF(B10=0,"",IFERROR(VLOOKUP(B10,'S-ASIG-06'!$B$5:$E$88,4,0),0))</f>
        <v>4.0199999999999996</v>
      </c>
      <c r="M10" s="73">
        <f>IF(B10=0,"",IFERROR(VLOOKUP(B10,'S-ASIG-07'!$B$5:$E$88,4,0),0))</f>
        <v>0</v>
      </c>
      <c r="N10" s="68" t="s">
        <v>120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121</v>
      </c>
    </row>
    <row r="11" spans="1:22" ht="15" customHeight="1">
      <c r="A11" s="12">
        <v>7</v>
      </c>
      <c r="B11" s="70" t="str">
        <f>LIDER!C15</f>
        <v>JARAH LUCIA CUETO FLOREZ</v>
      </c>
      <c r="C11" s="64" t="str">
        <f>IF(B11=0,"",IFERROR(VLOOKUP(B11,'S-ASIG-01'!$B$5:$E$88,2,0),0))</f>
        <v>G02</v>
      </c>
      <c r="D11" s="65">
        <f t="shared" si="2"/>
        <v>3.9224999999999999</v>
      </c>
      <c r="E11" s="66">
        <f t="shared" si="3"/>
        <v>0</v>
      </c>
      <c r="F11" s="47"/>
      <c r="G11" s="71">
        <f>IF(B11=0,"",IFERROR(VLOOKUP(B11,'S-ASIG-01'!$B$5:$E$88,4,0),0))</f>
        <v>0</v>
      </c>
      <c r="H11" s="72">
        <f>IF(B11=0,"",IFERROR(VLOOKUP(B11,'S-ASIG-02'!$B$5:$E$88,4,0),0))</f>
        <v>0</v>
      </c>
      <c r="I11" s="72">
        <f>IF(B11=0,"",IFERROR(VLOOKUP(B11,'S-ASIG-03'!$B$5:$E$88,4,0),0))</f>
        <v>3.9000000000000004</v>
      </c>
      <c r="J11" s="72">
        <f>IF(B11=0,"",IFERROR(VLOOKUP(B11,'S-ASIG-04'!$B$5:$E$88,4,0),0))</f>
        <v>4.0199999999999996</v>
      </c>
      <c r="K11" s="72">
        <f>IF(B11=0,"",IFERROR(VLOOKUP(B11,'S-ASIG-05'!$B$5:$E$88,4,0),0))</f>
        <v>3.7500000000000004</v>
      </c>
      <c r="L11" s="72">
        <f>IF(B11=0,"",IFERROR(VLOOKUP(B11,'S-ASIG-06'!$B$5:$E$88,4,0),0))</f>
        <v>4.0199999999999996</v>
      </c>
      <c r="M11" s="73">
        <f>IF(B11=0,"",IFERROR(VLOOKUP(B11,'S-ASIG-07'!$B$5:$E$88,4,0),0))</f>
        <v>0</v>
      </c>
      <c r="N11" s="68" t="s">
        <v>120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121</v>
      </c>
    </row>
    <row r="12" spans="1:22" ht="15" customHeight="1">
      <c r="A12" s="12">
        <v>8</v>
      </c>
      <c r="B12" s="70" t="str">
        <f>LIDER!C16</f>
        <v>ISAMAR DE AVILA SANDOVAL</v>
      </c>
      <c r="C12" s="64" t="str">
        <f>IF(B12=0,"",IFERROR(VLOOKUP(B12,'S-ASIG-01'!$B$5:$E$88,2,0),0))</f>
        <v>G02</v>
      </c>
      <c r="D12" s="65">
        <f t="shared" si="2"/>
        <v>3.9224999999999999</v>
      </c>
      <c r="E12" s="66">
        <f t="shared" si="3"/>
        <v>0</v>
      </c>
      <c r="F12" s="47"/>
      <c r="G12" s="71">
        <f>IF(B12=0,"",IFERROR(VLOOKUP(B12,'S-ASIG-01'!$B$5:$E$88,4,0),0))</f>
        <v>0</v>
      </c>
      <c r="H12" s="72">
        <f>IF(B12=0,"",IFERROR(VLOOKUP(B12,'S-ASIG-02'!$B$5:$E$88,4,0),0))</f>
        <v>0</v>
      </c>
      <c r="I12" s="72">
        <f>IF(B12=0,"",IFERROR(VLOOKUP(B12,'S-ASIG-03'!$B$5:$E$88,4,0),0))</f>
        <v>3.9000000000000004</v>
      </c>
      <c r="J12" s="72">
        <f>IF(B12=0,"",IFERROR(VLOOKUP(B12,'S-ASIG-04'!$B$5:$E$88,4,0),0))</f>
        <v>4.0199999999999996</v>
      </c>
      <c r="K12" s="72">
        <f>IF(B12=0,"",IFERROR(VLOOKUP(B12,'S-ASIG-05'!$B$5:$E$88,4,0),0))</f>
        <v>3.7500000000000004</v>
      </c>
      <c r="L12" s="72">
        <f>IF(B12=0,"",IFERROR(VLOOKUP(B12,'S-ASIG-06'!$B$5:$E$88,4,0),0))</f>
        <v>4.0199999999999996</v>
      </c>
      <c r="M12" s="73">
        <f>IF(B12=0,"",IFERROR(VLOOKUP(B12,'S-ASIG-07'!$B$5:$E$88,4,0),0))</f>
        <v>0</v>
      </c>
      <c r="N12" s="68" t="s">
        <v>120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121</v>
      </c>
    </row>
    <row r="13" spans="1:22" ht="15" customHeight="1">
      <c r="A13" s="12">
        <v>9</v>
      </c>
      <c r="B13" s="70" t="str">
        <f>LIDER!C17</f>
        <v>JUAN JOSE RICO MANJARRES</v>
      </c>
      <c r="C13" s="64" t="str">
        <f>IF(B13=0,"",IFERROR(VLOOKUP(B13,'S-ASIG-01'!$B$5:$E$88,2,0),0))</f>
        <v>G02</v>
      </c>
      <c r="D13" s="65">
        <f t="shared" si="2"/>
        <v>3.9224999999999999</v>
      </c>
      <c r="E13" s="66">
        <f t="shared" si="3"/>
        <v>0</v>
      </c>
      <c r="F13" s="47"/>
      <c r="G13" s="71">
        <f>IF(B13=0,"",IFERROR(VLOOKUP(B13,'S-ASIG-01'!$B$5:$E$88,4,0),0))</f>
        <v>0</v>
      </c>
      <c r="H13" s="72">
        <f>IF(B13=0,"",IFERROR(VLOOKUP(B13,'S-ASIG-02'!$B$5:$E$88,4,0),0))</f>
        <v>0</v>
      </c>
      <c r="I13" s="72">
        <f>IF(B13=0,"",IFERROR(VLOOKUP(B13,'S-ASIG-03'!$B$5:$E$88,4,0),0))</f>
        <v>3.9000000000000004</v>
      </c>
      <c r="J13" s="72">
        <f>IF(B13=0,"",IFERROR(VLOOKUP(B13,'S-ASIG-04'!$B$5:$E$88,4,0),0))</f>
        <v>4.0199999999999996</v>
      </c>
      <c r="K13" s="72">
        <f>IF(B13=0,"",IFERROR(VLOOKUP(B13,'S-ASIG-05'!$B$5:$E$88,4,0),0))</f>
        <v>3.7500000000000004</v>
      </c>
      <c r="L13" s="72">
        <f>IF(B13=0,"",IFERROR(VLOOKUP(B13,'S-ASIG-06'!$B$5:$E$88,4,0),0))</f>
        <v>4.0199999999999996</v>
      </c>
      <c r="M13" s="73">
        <f>IF(B13=0,"",IFERROR(VLOOKUP(B13,'S-ASIG-07'!$B$5:$E$88,4,0),0))</f>
        <v>0</v>
      </c>
      <c r="N13" s="68" t="s">
        <v>120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121</v>
      </c>
    </row>
    <row r="14" spans="1:22" ht="15" customHeight="1">
      <c r="A14" s="12">
        <v>10</v>
      </c>
      <c r="B14" s="70" t="str">
        <f>LIDER!C18</f>
        <v>JUAN CAMILO SEPULVEDA PADILLA</v>
      </c>
      <c r="C14" s="64" t="str">
        <f>IF(B14=0,"",IFERROR(VLOOKUP(B14,'S-ASIG-01'!$B$5:$E$88,2,0),0))</f>
        <v>G02</v>
      </c>
      <c r="D14" s="65">
        <f t="shared" si="2"/>
        <v>3.9224999999999999</v>
      </c>
      <c r="E14" s="66">
        <f t="shared" si="3"/>
        <v>0</v>
      </c>
      <c r="F14" s="47"/>
      <c r="G14" s="71">
        <f>IF(B14=0,"",IFERROR(VLOOKUP(B14,'S-ASIG-01'!$B$5:$E$88,4,0),0))</f>
        <v>0</v>
      </c>
      <c r="H14" s="72">
        <f>IF(B14=0,"",IFERROR(VLOOKUP(B14,'S-ASIG-02'!$B$5:$E$88,4,0),0))</f>
        <v>0</v>
      </c>
      <c r="I14" s="72">
        <f>IF(B14=0,"",IFERROR(VLOOKUP(B14,'S-ASIG-03'!$B$5:$E$88,4,0),0))</f>
        <v>3.9000000000000004</v>
      </c>
      <c r="J14" s="72">
        <f>IF(B14=0,"",IFERROR(VLOOKUP(B14,'S-ASIG-04'!$B$5:$E$88,4,0),0))</f>
        <v>4.0199999999999996</v>
      </c>
      <c r="K14" s="72">
        <f>IF(B14=0,"",IFERROR(VLOOKUP(B14,'S-ASIG-05'!$B$5:$E$88,4,0),0))</f>
        <v>3.7500000000000004</v>
      </c>
      <c r="L14" s="72">
        <f>IF(B14=0,"",IFERROR(VLOOKUP(B14,'S-ASIG-06'!$B$5:$E$88,4,0),0))</f>
        <v>4.0199999999999996</v>
      </c>
      <c r="M14" s="73">
        <f>IF(B14=0,"",IFERROR(VLOOKUP(B14,'S-ASIG-07'!$B$5:$E$88,4,0),0))</f>
        <v>0</v>
      </c>
      <c r="N14" s="68" t="s">
        <v>120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121</v>
      </c>
    </row>
    <row r="15" spans="1:22" ht="15" customHeight="1">
      <c r="A15" s="12">
        <v>11</v>
      </c>
      <c r="B15" s="70" t="str">
        <f>LIDER!C19</f>
        <v>LUISFER BELEÑO ZUÑIGA</v>
      </c>
      <c r="C15" s="64" t="str">
        <f>IF(B15=0,"",IFERROR(VLOOKUP(B15,'S-ASIG-01'!$B$5:$E$88,2,0),0))</f>
        <v>G03</v>
      </c>
      <c r="D15" s="65">
        <f t="shared" si="2"/>
        <v>1.3466666666666665</v>
      </c>
      <c r="E15" s="66">
        <f t="shared" si="3"/>
        <v>0</v>
      </c>
      <c r="F15" s="47"/>
      <c r="G15" s="71">
        <f>IF(B15=0,"",IFERROR(VLOOKUP(B15,'S-ASIG-01'!$B$5:$E$88,4,0),0))</f>
        <v>0</v>
      </c>
      <c r="H15" s="72">
        <f>IF(B15=0,"",IFERROR(VLOOKUP(B15,'S-ASIG-02'!$B$5:$E$88,4,0),0))</f>
        <v>0</v>
      </c>
      <c r="I15" s="72">
        <f>IF(B15=0,"",IFERROR(VLOOKUP(B15,'S-ASIG-03'!$B$5:$E$88,4,0),0))</f>
        <v>2.0000000000000004E-2</v>
      </c>
      <c r="J15" s="72">
        <f>IF(B15=0,"",IFERROR(VLOOKUP(B15,'S-ASIG-04'!$B$5:$E$88,4,0),0))</f>
        <v>3.9999999999999996</v>
      </c>
      <c r="K15" s="72">
        <f>IF(B15=0,"",IFERROR(VLOOKUP(B15,'S-ASIG-05'!$B$5:$E$88,4,0),0))</f>
        <v>0</v>
      </c>
      <c r="L15" s="72">
        <f>IF(B15=0,"",IFERROR(VLOOKUP(B15,'S-ASIG-06'!$B$5:$E$88,4,0),0))</f>
        <v>2.0000000000000004E-2</v>
      </c>
      <c r="M15" s="73">
        <f>IF(B15=0,"",IFERROR(VLOOKUP(B15,'S-ASIG-07'!$B$5:$E$88,4,0),0))</f>
        <v>0</v>
      </c>
      <c r="N15" s="68" t="s">
        <v>120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>
        <f>IF(B15=0,"",IFERROR(VLOOKUP(B15,'T-ASIG-04'!$B$5:$D$88,3,0),0))</f>
        <v>0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121</v>
      </c>
    </row>
    <row r="16" spans="1:22" ht="15" customHeight="1">
      <c r="A16" s="12">
        <v>12</v>
      </c>
      <c r="B16" s="70" t="str">
        <f>LIDER!C20</f>
        <v>ANDERSON CARMONA CASTILLA</v>
      </c>
      <c r="C16" s="64" t="str">
        <f>IF(B16=0,"",IFERROR(VLOOKUP(B16,'S-ASIG-01'!$B$5:$E$88,2,0),0))</f>
        <v>G03</v>
      </c>
      <c r="D16" s="65">
        <f t="shared" si="2"/>
        <v>2.0099999999999998</v>
      </c>
      <c r="E16" s="66">
        <f t="shared" si="3"/>
        <v>0</v>
      </c>
      <c r="F16" s="47"/>
      <c r="G16" s="71">
        <f>IF(B16=0,"",IFERROR(VLOOKUP(B16,'S-ASIG-01'!$B$5:$E$88,4,0),0))</f>
        <v>0</v>
      </c>
      <c r="H16" s="72">
        <f>IF(B16=0,"",IFERROR(VLOOKUP(B16,'S-ASIG-02'!$B$5:$E$88,4,0),0))</f>
        <v>0</v>
      </c>
      <c r="I16" s="72" t="str">
        <f>IF(B16=0,"",IFERROR(VLOOKUP(B16,'S-ASIG-03'!$B$5:$E$88,4,0),0))</f>
        <v>N</v>
      </c>
      <c r="J16" s="72">
        <f>IF(B16=0,"",IFERROR(VLOOKUP(B16,'S-ASIG-04'!$B$5:$E$88,4,0),0))</f>
        <v>3.9999999999999996</v>
      </c>
      <c r="K16" s="72">
        <f>IF(B16=0,"",IFERROR(VLOOKUP(B16,'S-ASIG-05'!$B$5:$E$88,4,0),0))</f>
        <v>0</v>
      </c>
      <c r="L16" s="72">
        <f>IF(B16=0,"",IFERROR(VLOOKUP(B16,'S-ASIG-06'!$B$5:$E$88,4,0),0))</f>
        <v>2.0000000000000004E-2</v>
      </c>
      <c r="M16" s="73">
        <f>IF(B16=0,"",IFERROR(VLOOKUP(B16,'S-ASIG-07'!$B$5:$E$88,4,0),0))</f>
        <v>0</v>
      </c>
      <c r="N16" s="68" t="s">
        <v>120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 t="str">
        <f>IF(B16=0,"",IFERROR(VLOOKUP(B16,'T-ASIG-03'!$B$5:$D$88,3,0),0))</f>
        <v>N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121</v>
      </c>
    </row>
    <row r="17" spans="1:22" ht="15" customHeight="1">
      <c r="A17" s="12">
        <v>13</v>
      </c>
      <c r="B17" s="70" t="str">
        <f>LIDER!C21</f>
        <v>DUVAN YAIR JIMENEZ CASTAÑO</v>
      </c>
      <c r="C17" s="64" t="str">
        <f>IF(B17=0,"",IFERROR(VLOOKUP(B17,'S-ASIG-01'!$B$5:$E$88,2,0),0))</f>
        <v>G03</v>
      </c>
      <c r="D17" s="65">
        <f t="shared" si="2"/>
        <v>1.3466666666666665</v>
      </c>
      <c r="E17" s="66">
        <f t="shared" si="3"/>
        <v>0</v>
      </c>
      <c r="F17" s="47"/>
      <c r="G17" s="71">
        <f>IF(B17=0,"",IFERROR(VLOOKUP(B17,'S-ASIG-01'!$B$5:$E$88,4,0),0))</f>
        <v>0</v>
      </c>
      <c r="H17" s="72">
        <f>IF(B17=0,"",IFERROR(VLOOKUP(B17,'S-ASIG-02'!$B$5:$E$88,4,0),0))</f>
        <v>0</v>
      </c>
      <c r="I17" s="72">
        <f>IF(B17=0,"",IFERROR(VLOOKUP(B17,'S-ASIG-03'!$B$5:$E$88,4,0),0))</f>
        <v>2.0000000000000004E-2</v>
      </c>
      <c r="J17" s="72">
        <f>IF(B17=0,"",IFERROR(VLOOKUP(B17,'S-ASIG-04'!$B$5:$E$88,4,0),0))</f>
        <v>3.9999999999999996</v>
      </c>
      <c r="K17" s="72">
        <f>IF(B17=0,"",IFERROR(VLOOKUP(B17,'S-ASIG-05'!$B$5:$E$88,4,0),0))</f>
        <v>0</v>
      </c>
      <c r="L17" s="72">
        <f>IF(B17=0,"",IFERROR(VLOOKUP(B17,'S-ASIG-06'!$B$5:$E$88,4,0),0))</f>
        <v>2.0000000000000004E-2</v>
      </c>
      <c r="M17" s="73">
        <f>IF(B17=0,"",IFERROR(VLOOKUP(B17,'S-ASIG-07'!$B$5:$E$88,4,0),0))</f>
        <v>0</v>
      </c>
      <c r="N17" s="68" t="s">
        <v>120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121</v>
      </c>
    </row>
    <row r="18" spans="1:22" ht="15" customHeight="1">
      <c r="A18" s="12">
        <v>14</v>
      </c>
      <c r="B18" s="70" t="str">
        <f>LIDER!C22</f>
        <v>JAZMIN ADRIANA AREVALO RUIZDIAZ</v>
      </c>
      <c r="C18" s="64" t="str">
        <f>IF(B18=0,"",IFERROR(VLOOKUP(B18,'S-ASIG-01'!$B$5:$E$88,2,0),0))</f>
        <v>G04</v>
      </c>
      <c r="D18" s="65">
        <f t="shared" si="2"/>
        <v>3.95</v>
      </c>
      <c r="E18" s="66">
        <f t="shared" si="3"/>
        <v>0</v>
      </c>
      <c r="F18" s="47"/>
      <c r="G18" s="71">
        <f>IF(B18=0,"",IFERROR(VLOOKUP(B18,'S-ASIG-01'!$B$5:$E$88,4,0),0))</f>
        <v>0</v>
      </c>
      <c r="H18" s="72">
        <f>IF(B18=0,"",IFERROR(VLOOKUP(B18,'S-ASIG-02'!$B$5:$E$88,4,0),0))</f>
        <v>0</v>
      </c>
      <c r="I18" s="72">
        <f>IF(B18=0,"",IFERROR(VLOOKUP(B18,'S-ASIG-03'!$B$5:$E$88,4,0),0))</f>
        <v>2.96</v>
      </c>
      <c r="J18" s="72">
        <f>IF(B18=0,"",IFERROR(VLOOKUP(B18,'S-ASIG-04'!$B$5:$E$88,4,0),0))</f>
        <v>4.67</v>
      </c>
      <c r="K18" s="72">
        <f>IF(B18=0,"",IFERROR(VLOOKUP(B18,'S-ASIG-05'!$B$5:$E$88,4,0),0))</f>
        <v>4.1500000000000004</v>
      </c>
      <c r="L18" s="72">
        <f>IF(B18=0,"",IFERROR(VLOOKUP(B18,'S-ASIG-06'!$B$5:$E$88,4,0),0))</f>
        <v>4.0199999999999996</v>
      </c>
      <c r="M18" s="73">
        <f>IF(B18=0,"",IFERROR(VLOOKUP(B18,'S-ASIG-07'!$B$5:$E$88,4,0),0))</f>
        <v>0</v>
      </c>
      <c r="N18" s="68" t="s">
        <v>120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>
        <f>IF(B18=0,"",IFERROR(VLOOKUP(B18,'T-ASIG-04'!$B$5:$D$88,3,0),0))</f>
        <v>0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121</v>
      </c>
    </row>
    <row r="19" spans="1:22" ht="15" customHeight="1">
      <c r="A19" s="12">
        <v>15</v>
      </c>
      <c r="B19" s="70" t="str">
        <f>LIDER!C23</f>
        <v>ARIADNY ISABEL BANQUEZ OBESO</v>
      </c>
      <c r="C19" s="64" t="str">
        <f>IF(B19=0,"",IFERROR(VLOOKUP(B19,'S-ASIG-01'!$B$5:$E$88,2,0),0))</f>
        <v>G04</v>
      </c>
      <c r="D19" s="65">
        <f t="shared" si="2"/>
        <v>3.95</v>
      </c>
      <c r="E19" s="66">
        <f t="shared" si="3"/>
        <v>0</v>
      </c>
      <c r="F19" s="47"/>
      <c r="G19" s="71">
        <f>IF(B19=0,"",IFERROR(VLOOKUP(B19,'S-ASIG-01'!$B$5:$E$88,4,0),0))</f>
        <v>0</v>
      </c>
      <c r="H19" s="72">
        <f>IF(B19=0,"",IFERROR(VLOOKUP(B19,'S-ASIG-02'!$B$5:$E$88,4,0),0))</f>
        <v>0</v>
      </c>
      <c r="I19" s="72">
        <f>IF(B19=0,"",IFERROR(VLOOKUP(B19,'S-ASIG-03'!$B$5:$E$88,4,0),0))</f>
        <v>2.96</v>
      </c>
      <c r="J19" s="72">
        <f>IF(B19=0,"",IFERROR(VLOOKUP(B19,'S-ASIG-04'!$B$5:$E$88,4,0),0))</f>
        <v>4.67</v>
      </c>
      <c r="K19" s="72">
        <f>IF(B19=0,"",IFERROR(VLOOKUP(B19,'S-ASIG-05'!$B$5:$E$88,4,0),0))</f>
        <v>4.1500000000000004</v>
      </c>
      <c r="L19" s="72">
        <f>IF(B19=0,"",IFERROR(VLOOKUP(B19,'S-ASIG-06'!$B$5:$E$88,4,0),0))</f>
        <v>4.0199999999999996</v>
      </c>
      <c r="M19" s="73">
        <f>IF(B19=0,"",IFERROR(VLOOKUP(B19,'S-ASIG-07'!$B$5:$E$88,4,0),0))</f>
        <v>0</v>
      </c>
      <c r="N19" s="68" t="s">
        <v>120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121</v>
      </c>
    </row>
    <row r="20" spans="1:22" ht="15" customHeight="1">
      <c r="A20" s="12">
        <v>16</v>
      </c>
      <c r="B20" s="70" t="str">
        <f>LIDER!C24</f>
        <v>CLAUDIA CAROLINA CAMACHO ALVEAR</v>
      </c>
      <c r="C20" s="64" t="str">
        <f>IF(B20=0,"",IFERROR(VLOOKUP(B20,'S-ASIG-01'!$B$5:$E$88,2,0),0))</f>
        <v>G04</v>
      </c>
      <c r="D20" s="65">
        <f t="shared" si="2"/>
        <v>3.95</v>
      </c>
      <c r="E20" s="66">
        <f t="shared" si="3"/>
        <v>0</v>
      </c>
      <c r="F20" s="47"/>
      <c r="G20" s="71">
        <f>IF(B20=0,"",IFERROR(VLOOKUP(B20,'S-ASIG-01'!$B$5:$E$88,4,0),0))</f>
        <v>0</v>
      </c>
      <c r="H20" s="72">
        <f>IF(B20=0,"",IFERROR(VLOOKUP(B20,'S-ASIG-02'!$B$5:$E$88,4,0),0))</f>
        <v>0</v>
      </c>
      <c r="I20" s="72">
        <f>IF(B20=0,"",IFERROR(VLOOKUP(B20,'S-ASIG-03'!$B$5:$E$88,4,0),0))</f>
        <v>2.96</v>
      </c>
      <c r="J20" s="72">
        <f>IF(B20=0,"",IFERROR(VLOOKUP(B20,'S-ASIG-04'!$B$5:$E$88,4,0),0))</f>
        <v>4.67</v>
      </c>
      <c r="K20" s="72">
        <f>IF(B20=0,"",IFERROR(VLOOKUP(B20,'S-ASIG-05'!$B$5:$E$88,4,0),0))</f>
        <v>4.1500000000000004</v>
      </c>
      <c r="L20" s="72">
        <f>IF(B20=0,"",IFERROR(VLOOKUP(B20,'S-ASIG-06'!$B$5:$E$88,4,0),0))</f>
        <v>4.0199999999999996</v>
      </c>
      <c r="M20" s="73">
        <f>IF(B20=0,"",IFERROR(VLOOKUP(B20,'S-ASIG-07'!$B$5:$E$88,4,0),0))</f>
        <v>0</v>
      </c>
      <c r="N20" s="68" t="s">
        <v>120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121</v>
      </c>
    </row>
    <row r="21" spans="1:22" ht="15" customHeight="1">
      <c r="A21" s="12">
        <v>17</v>
      </c>
      <c r="B21" s="70" t="str">
        <f>LIDER!C25</f>
        <v>SAMUEL DAVID CANTILLO MARTELO</v>
      </c>
      <c r="C21" s="64" t="str">
        <f>IF(B21=0,"",IFERROR(VLOOKUP(B21,'S-ASIG-01'!$B$5:$E$88,2,0),0))</f>
        <v>G04</v>
      </c>
      <c r="D21" s="65">
        <f t="shared" si="2"/>
        <v>3.95</v>
      </c>
      <c r="E21" s="66">
        <f t="shared" si="3"/>
        <v>0</v>
      </c>
      <c r="F21" s="47"/>
      <c r="G21" s="71">
        <f>IF(B21=0,"",IFERROR(VLOOKUP(B21,'S-ASIG-01'!$B$5:$E$88,4,0),0))</f>
        <v>0</v>
      </c>
      <c r="H21" s="72">
        <f>IF(B21=0,"",IFERROR(VLOOKUP(B21,'S-ASIG-02'!$B$5:$E$88,4,0),0))</f>
        <v>0</v>
      </c>
      <c r="I21" s="72">
        <f>IF(B21=0,"",IFERROR(VLOOKUP(B21,'S-ASIG-03'!$B$5:$E$88,4,0),0))</f>
        <v>2.96</v>
      </c>
      <c r="J21" s="72">
        <f>IF(B21=0,"",IFERROR(VLOOKUP(B21,'S-ASIG-04'!$B$5:$E$88,4,0),0))</f>
        <v>4.67</v>
      </c>
      <c r="K21" s="72">
        <f>IF(B21=0,"",IFERROR(VLOOKUP(B21,'S-ASIG-05'!$B$5:$E$88,4,0),0))</f>
        <v>4.1500000000000004</v>
      </c>
      <c r="L21" s="72">
        <f>IF(B21=0,"",IFERROR(VLOOKUP(B21,'S-ASIG-06'!$B$5:$E$88,4,0),0))</f>
        <v>4.0199999999999996</v>
      </c>
      <c r="M21" s="73">
        <f>IF(B21=0,"",IFERROR(VLOOKUP(B21,'S-ASIG-07'!$B$5:$E$88,4,0),0))</f>
        <v>0</v>
      </c>
      <c r="N21" s="68" t="s">
        <v>120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121</v>
      </c>
    </row>
    <row r="22" spans="1:22" ht="15" customHeight="1">
      <c r="A22" s="12">
        <v>18</v>
      </c>
      <c r="B22" s="70" t="str">
        <f>LIDER!C26</f>
        <v>JOSE DANIEL HERNÁNDEZ BURGOS</v>
      </c>
      <c r="C22" s="64" t="str">
        <f>IF(B22=0,"",IFERROR(VLOOKUP(B22,'S-ASIG-01'!$B$5:$E$88,2,0),0))</f>
        <v>G04</v>
      </c>
      <c r="D22" s="65">
        <f t="shared" si="2"/>
        <v>3.95</v>
      </c>
      <c r="E22" s="66">
        <f t="shared" si="3"/>
        <v>0</v>
      </c>
      <c r="F22" s="47"/>
      <c r="G22" s="71">
        <f>IF(B22=0,"",IFERROR(VLOOKUP(B22,'S-ASIG-01'!$B$5:$E$88,4,0),0))</f>
        <v>0</v>
      </c>
      <c r="H22" s="72">
        <f>IF(B22=0,"",IFERROR(VLOOKUP(B22,'S-ASIG-02'!$B$5:$E$88,4,0),0))</f>
        <v>0</v>
      </c>
      <c r="I22" s="72">
        <f>IF(B22=0,"",IFERROR(VLOOKUP(B22,'S-ASIG-03'!$B$5:$E$88,4,0),0))</f>
        <v>2.96</v>
      </c>
      <c r="J22" s="72">
        <f>IF(B22=0,"",IFERROR(VLOOKUP(B22,'S-ASIG-04'!$B$5:$E$88,4,0),0))</f>
        <v>4.67</v>
      </c>
      <c r="K22" s="72">
        <f>IF(B22=0,"",IFERROR(VLOOKUP(B22,'S-ASIG-05'!$B$5:$E$88,4,0),0))</f>
        <v>4.1500000000000004</v>
      </c>
      <c r="L22" s="72">
        <f>IF(B22=0,"",IFERROR(VLOOKUP(B22,'S-ASIG-06'!$B$5:$E$88,4,0),0))</f>
        <v>4.0199999999999996</v>
      </c>
      <c r="M22" s="73">
        <f>IF(B22=0,"",IFERROR(VLOOKUP(B22,'S-ASIG-07'!$B$5:$E$88,4,0),0))</f>
        <v>0</v>
      </c>
      <c r="N22" s="68" t="s">
        <v>120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121</v>
      </c>
    </row>
    <row r="23" spans="1:22" ht="15" customHeight="1">
      <c r="A23" s="12">
        <v>19</v>
      </c>
      <c r="B23" s="70" t="str">
        <f>LIDER!C27</f>
        <v>JHOINER SMIT RIVERA JULIO</v>
      </c>
      <c r="C23" s="64" t="str">
        <f>IF(B23=0,"",IFERROR(VLOOKUP(B23,'S-ASIG-01'!$B$5:$E$88,2,0),0))</f>
        <v>G04</v>
      </c>
      <c r="D23" s="65">
        <f t="shared" si="2"/>
        <v>3.95</v>
      </c>
      <c r="E23" s="66">
        <f t="shared" si="3"/>
        <v>0</v>
      </c>
      <c r="F23" s="47"/>
      <c r="G23" s="71">
        <f>IF(B23=0,"",IFERROR(VLOOKUP(B23,'S-ASIG-01'!$B$5:$E$88,4,0),0))</f>
        <v>0</v>
      </c>
      <c r="H23" s="72">
        <f>IF(B23=0,"",IFERROR(VLOOKUP(B23,'S-ASIG-02'!$B$5:$E$88,4,0),0))</f>
        <v>0</v>
      </c>
      <c r="I23" s="72">
        <f>IF(B23=0,"",IFERROR(VLOOKUP(B23,'S-ASIG-03'!$B$5:$E$88,4,0),0))</f>
        <v>2.96</v>
      </c>
      <c r="J23" s="72">
        <f>IF(B23=0,"",IFERROR(VLOOKUP(B23,'S-ASIG-04'!$B$5:$E$88,4,0),0))</f>
        <v>4.67</v>
      </c>
      <c r="K23" s="72">
        <f>IF(B23=0,"",IFERROR(VLOOKUP(B23,'S-ASIG-05'!$B$5:$E$88,4,0),0))</f>
        <v>4.1500000000000004</v>
      </c>
      <c r="L23" s="72">
        <f>IF(B23=0,"",IFERROR(VLOOKUP(B23,'S-ASIG-06'!$B$5:$E$88,4,0),0))</f>
        <v>4.0199999999999996</v>
      </c>
      <c r="M23" s="73">
        <f>IF(B23=0,"",IFERROR(VLOOKUP(B23,'S-ASIG-07'!$B$5:$E$88,4,0),0))</f>
        <v>0</v>
      </c>
      <c r="N23" s="68" t="s">
        <v>120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121</v>
      </c>
    </row>
    <row r="24" spans="1:22" ht="15" customHeight="1">
      <c r="A24" s="12">
        <v>20</v>
      </c>
      <c r="B24" s="70" t="str">
        <f>LIDER!C28</f>
        <v>NOELYS ANAYA GARCIA</v>
      </c>
      <c r="C24" s="64" t="str">
        <f>IF(B24=0,"",IFERROR(VLOOKUP(B24,'S-ASIG-01'!$B$5:$E$88,2,0),0))</f>
        <v>G05</v>
      </c>
      <c r="D24" s="65">
        <f t="shared" si="2"/>
        <v>4.0250000000000004</v>
      </c>
      <c r="E24" s="66">
        <f t="shared" si="3"/>
        <v>0</v>
      </c>
      <c r="F24" s="47"/>
      <c r="G24" s="71">
        <f>IF(B24=0,"",IFERROR(VLOOKUP(B24,'S-ASIG-01'!$B$5:$E$88,4,0),0))</f>
        <v>0</v>
      </c>
      <c r="H24" s="72">
        <f>IF(B24=0,"",IFERROR(VLOOKUP(B24,'S-ASIG-02'!$B$5:$E$88,4,0),0))</f>
        <v>0</v>
      </c>
      <c r="I24" s="72">
        <f>IF(B24=0,"",IFERROR(VLOOKUP(B24,'S-ASIG-03'!$B$5:$E$88,4,0),0))</f>
        <v>3.4400000000000004</v>
      </c>
      <c r="J24" s="72">
        <f>IF(B24=0,"",IFERROR(VLOOKUP(B24,'S-ASIG-04'!$B$5:$E$88,4,0),0))</f>
        <v>4.55</v>
      </c>
      <c r="K24" s="72">
        <f>IF(B24=0,"",IFERROR(VLOOKUP(B24,'S-ASIG-05'!$B$5:$E$88,4,0),0))</f>
        <v>4.0500000000000007</v>
      </c>
      <c r="L24" s="72">
        <f>IF(B24=0,"",IFERROR(VLOOKUP(B24,'S-ASIG-06'!$B$5:$E$88,4,0),0))</f>
        <v>4.0599999999999996</v>
      </c>
      <c r="M24" s="73">
        <f>IF(B24=0,"",IFERROR(VLOOKUP(B24,'S-ASIG-07'!$B$5:$E$88,4,0),0))</f>
        <v>0</v>
      </c>
      <c r="N24" s="68" t="s">
        <v>120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121</v>
      </c>
    </row>
    <row r="25" spans="1:22" ht="15" customHeight="1">
      <c r="A25" s="12">
        <v>21</v>
      </c>
      <c r="B25" s="70" t="str">
        <f>LIDER!C29</f>
        <v>LIZCONY FERIA MIER</v>
      </c>
      <c r="C25" s="64" t="str">
        <f>IF(B25=0,"",IFERROR(VLOOKUP(B25,'S-ASIG-01'!$B$5:$E$88,2,0),0))</f>
        <v>G05</v>
      </c>
      <c r="D25" s="65">
        <f t="shared" si="2"/>
        <v>4.0250000000000004</v>
      </c>
      <c r="E25" s="66">
        <f t="shared" si="3"/>
        <v>0</v>
      </c>
      <c r="F25" s="47"/>
      <c r="G25" s="71">
        <f>IF(B25=0,"",IFERROR(VLOOKUP(B25,'S-ASIG-01'!$B$5:$E$88,4,0),0))</f>
        <v>0</v>
      </c>
      <c r="H25" s="72">
        <f>IF(B25=0,"",IFERROR(VLOOKUP(B25,'S-ASIG-02'!$B$5:$E$88,4,0),0))</f>
        <v>0</v>
      </c>
      <c r="I25" s="72">
        <f>IF(B25=0,"",IFERROR(VLOOKUP(B25,'S-ASIG-03'!$B$5:$E$88,4,0),0))</f>
        <v>3.4400000000000004</v>
      </c>
      <c r="J25" s="72">
        <f>IF(B25=0,"",IFERROR(VLOOKUP(B25,'S-ASIG-04'!$B$5:$E$88,4,0),0))</f>
        <v>4.55</v>
      </c>
      <c r="K25" s="72">
        <f>IF(B25=0,"",IFERROR(VLOOKUP(B25,'S-ASIG-05'!$B$5:$E$88,4,0),0))</f>
        <v>4.0500000000000007</v>
      </c>
      <c r="L25" s="72">
        <f>IF(B25=0,"",IFERROR(VLOOKUP(B25,'S-ASIG-06'!$B$5:$E$88,4,0),0))</f>
        <v>4.0599999999999996</v>
      </c>
      <c r="M25" s="73">
        <f>IF(B25=0,"",IFERROR(VLOOKUP(B25,'S-ASIG-07'!$B$5:$E$88,4,0),0))</f>
        <v>0</v>
      </c>
      <c r="N25" s="68" t="s">
        <v>120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121</v>
      </c>
    </row>
    <row r="26" spans="1:22" ht="15" customHeight="1">
      <c r="A26" s="12">
        <v>22</v>
      </c>
      <c r="B26" s="70" t="str">
        <f>LIDER!C30</f>
        <v>DAYANA MISHELL GALVIS VIELLAR</v>
      </c>
      <c r="C26" s="64" t="str">
        <f>IF(B26=0,"",IFERROR(VLOOKUP(B26,'S-ASIG-01'!$B$5:$E$88,2,0),0))</f>
        <v>G05</v>
      </c>
      <c r="D26" s="65">
        <f t="shared" si="2"/>
        <v>4.0250000000000004</v>
      </c>
      <c r="E26" s="66">
        <f t="shared" si="3"/>
        <v>0</v>
      </c>
      <c r="F26" s="47"/>
      <c r="G26" s="71">
        <f>IF(B26=0,"",IFERROR(VLOOKUP(B26,'S-ASIG-01'!$B$5:$E$88,4,0),0))</f>
        <v>0</v>
      </c>
      <c r="H26" s="72">
        <f>IF(B26=0,"",IFERROR(VLOOKUP(B26,'S-ASIG-02'!$B$5:$E$88,4,0),0))</f>
        <v>0</v>
      </c>
      <c r="I26" s="72">
        <f>IF(B26=0,"",IFERROR(VLOOKUP(B26,'S-ASIG-03'!$B$5:$E$88,4,0),0))</f>
        <v>3.4400000000000004</v>
      </c>
      <c r="J26" s="72">
        <f>IF(B26=0,"",IFERROR(VLOOKUP(B26,'S-ASIG-04'!$B$5:$E$88,4,0),0))</f>
        <v>4.55</v>
      </c>
      <c r="K26" s="72">
        <f>IF(B26=0,"",IFERROR(VLOOKUP(B26,'S-ASIG-05'!$B$5:$E$88,4,0),0))</f>
        <v>4.0500000000000007</v>
      </c>
      <c r="L26" s="72">
        <f>IF(B26=0,"",IFERROR(VLOOKUP(B26,'S-ASIG-06'!$B$5:$E$88,4,0),0))</f>
        <v>4.0599999999999996</v>
      </c>
      <c r="M26" s="73">
        <f>IF(B26=0,"",IFERROR(VLOOKUP(B26,'S-ASIG-07'!$B$5:$E$88,4,0),0))</f>
        <v>0</v>
      </c>
      <c r="N26" s="68" t="s">
        <v>120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121</v>
      </c>
    </row>
    <row r="27" spans="1:22" ht="15" customHeight="1">
      <c r="A27" s="12">
        <v>23</v>
      </c>
      <c r="B27" s="70" t="str">
        <f>LIDER!C31</f>
        <v>SOFIA ISABEL GOMEZ NIÑO</v>
      </c>
      <c r="C27" s="64" t="str">
        <f>IF(B27=0,"",IFERROR(VLOOKUP(B27,'S-ASIG-01'!$B$5:$E$88,2,0),0))</f>
        <v>G05</v>
      </c>
      <c r="D27" s="65">
        <f t="shared" si="2"/>
        <v>4.0250000000000004</v>
      </c>
      <c r="E27" s="66">
        <f t="shared" si="3"/>
        <v>0</v>
      </c>
      <c r="F27" s="47"/>
      <c r="G27" s="71">
        <f>IF(B27=0,"",IFERROR(VLOOKUP(B27,'S-ASIG-01'!$B$5:$E$88,4,0),0))</f>
        <v>0</v>
      </c>
      <c r="H27" s="72">
        <f>IF(B27=0,"",IFERROR(VLOOKUP(B27,'S-ASIG-02'!$B$5:$E$88,4,0),0))</f>
        <v>0</v>
      </c>
      <c r="I27" s="72">
        <f>IF(B27=0,"",IFERROR(VLOOKUP(B27,'S-ASIG-03'!$B$5:$E$88,4,0),0))</f>
        <v>3.4400000000000004</v>
      </c>
      <c r="J27" s="72">
        <f>IF(B27=0,"",IFERROR(VLOOKUP(B27,'S-ASIG-04'!$B$5:$E$88,4,0),0))</f>
        <v>4.55</v>
      </c>
      <c r="K27" s="72">
        <f>IF(B27=0,"",IFERROR(VLOOKUP(B27,'S-ASIG-05'!$B$5:$E$88,4,0),0))</f>
        <v>4.0500000000000007</v>
      </c>
      <c r="L27" s="72">
        <f>IF(B27=0,"",IFERROR(VLOOKUP(B27,'S-ASIG-06'!$B$5:$E$88,4,0),0))</f>
        <v>4.0599999999999996</v>
      </c>
      <c r="M27" s="73">
        <f>IF(B27=0,"",IFERROR(VLOOKUP(B27,'S-ASIG-07'!$B$5:$E$88,4,0),0))</f>
        <v>0</v>
      </c>
      <c r="N27" s="68" t="s">
        <v>120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121</v>
      </c>
    </row>
    <row r="28" spans="1:22" ht="15" customHeight="1">
      <c r="A28" s="12">
        <v>24</v>
      </c>
      <c r="B28" s="70" t="str">
        <f>LIDER!C32</f>
        <v>LEDYS CAROLINA HERNANDEZ LEAL</v>
      </c>
      <c r="C28" s="64" t="str">
        <f>IF(B28=0,"",IFERROR(VLOOKUP(B28,'S-ASIG-01'!$B$5:$E$88,2,0),0))</f>
        <v>G05</v>
      </c>
      <c r="D28" s="65">
        <f t="shared" si="2"/>
        <v>4.0250000000000004</v>
      </c>
      <c r="E28" s="66">
        <f t="shared" si="3"/>
        <v>0</v>
      </c>
      <c r="F28" s="47"/>
      <c r="G28" s="71">
        <f>IF(B28=0,"",IFERROR(VLOOKUP(B28,'S-ASIG-01'!$B$5:$E$88,4,0),0))</f>
        <v>0</v>
      </c>
      <c r="H28" s="72">
        <f>IF(B28=0,"",IFERROR(VLOOKUP(B28,'S-ASIG-02'!$B$5:$E$88,4,0),0))</f>
        <v>0</v>
      </c>
      <c r="I28" s="72">
        <f>IF(B28=0,"",IFERROR(VLOOKUP(B28,'S-ASIG-03'!$B$5:$E$88,4,0),0))</f>
        <v>3.4400000000000004</v>
      </c>
      <c r="J28" s="72">
        <f>IF(B28=0,"",IFERROR(VLOOKUP(B28,'S-ASIG-04'!$B$5:$E$88,4,0),0))</f>
        <v>4.55</v>
      </c>
      <c r="K28" s="72">
        <f>IF(B28=0,"",IFERROR(VLOOKUP(B28,'S-ASIG-05'!$B$5:$E$88,4,0),0))</f>
        <v>4.0500000000000007</v>
      </c>
      <c r="L28" s="72">
        <f>IF(B28=0,"",IFERROR(VLOOKUP(B28,'S-ASIG-06'!$B$5:$E$88,4,0),0))</f>
        <v>4.0599999999999996</v>
      </c>
      <c r="M28" s="73">
        <f>IF(B28=0,"",IFERROR(VLOOKUP(B28,'S-ASIG-07'!$B$5:$E$88,4,0),0))</f>
        <v>0</v>
      </c>
      <c r="N28" s="68" t="s">
        <v>120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121</v>
      </c>
    </row>
    <row r="29" spans="1:22" ht="15" customHeight="1">
      <c r="A29" s="12">
        <v>25</v>
      </c>
      <c r="B29" s="70" t="str">
        <f>LIDER!C33</f>
        <v>OSCAR ANDRES BORRE VASQUEZ</v>
      </c>
      <c r="C29" s="64" t="str">
        <f>IF(B29=0,"",IFERROR(VLOOKUP(B29,'S-ASIG-01'!$B$5:$E$88,2,0),0))</f>
        <v>G06</v>
      </c>
      <c r="D29" s="65">
        <f t="shared" si="2"/>
        <v>4.2949999999999999</v>
      </c>
      <c r="E29" s="66">
        <f t="shared" si="3"/>
        <v>0</v>
      </c>
      <c r="F29" s="47"/>
      <c r="G29" s="71">
        <f>IF(B29=0,"",IFERROR(VLOOKUP(B29,'S-ASIG-01'!$B$5:$E$88,4,0),0))</f>
        <v>0</v>
      </c>
      <c r="H29" s="72">
        <f>IF(B29=0,"",IFERROR(VLOOKUP(B29,'S-ASIG-02'!$B$5:$E$88,4,0),0))</f>
        <v>0</v>
      </c>
      <c r="I29" s="72">
        <f>IF(B29=0,"",IFERROR(VLOOKUP(B29,'S-ASIG-03'!$B$5:$E$88,4,0),0))</f>
        <v>3.8200000000000003</v>
      </c>
      <c r="J29" s="72">
        <f>IF(B29=0,"",IFERROR(VLOOKUP(B29,'S-ASIG-04'!$B$5:$E$88,4,0),0))</f>
        <v>4.51</v>
      </c>
      <c r="K29" s="72">
        <f>IF(B29=0,"",IFERROR(VLOOKUP(B29,'S-ASIG-05'!$B$5:$E$88,4,0),0))</f>
        <v>4.2</v>
      </c>
      <c r="L29" s="72">
        <f>IF(B29=0,"",IFERROR(VLOOKUP(B29,'S-ASIG-06'!$B$5:$E$88,4,0),0))</f>
        <v>4.6500000000000004</v>
      </c>
      <c r="M29" s="73">
        <f>IF(B29=0,"",IFERROR(VLOOKUP(B29,'S-ASIG-07'!$B$5:$E$88,4,0),0))</f>
        <v>0</v>
      </c>
      <c r="N29" s="68" t="s">
        <v>120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121</v>
      </c>
    </row>
    <row r="30" spans="1:22" ht="15" customHeight="1">
      <c r="A30" s="12">
        <v>26</v>
      </c>
      <c r="B30" s="70" t="str">
        <f>LIDER!C34</f>
        <v>YULIANI CRESPO BAENA</v>
      </c>
      <c r="C30" s="64" t="str">
        <f>IF(B30=0,"",IFERROR(VLOOKUP(B30,'S-ASIG-01'!$B$5:$E$88,2,0),0))</f>
        <v>G06</v>
      </c>
      <c r="D30" s="65">
        <f t="shared" si="2"/>
        <v>4.2949999999999999</v>
      </c>
      <c r="E30" s="66">
        <f t="shared" si="3"/>
        <v>0</v>
      </c>
      <c r="F30" s="47"/>
      <c r="G30" s="71">
        <f>IF(B30=0,"",IFERROR(VLOOKUP(B30,'S-ASIG-01'!$B$5:$E$88,4,0),0))</f>
        <v>0</v>
      </c>
      <c r="H30" s="72">
        <f>IF(B30=0,"",IFERROR(VLOOKUP(B30,'S-ASIG-02'!$B$5:$E$88,4,0),0))</f>
        <v>0</v>
      </c>
      <c r="I30" s="72">
        <f>IF(B30=0,"",IFERROR(VLOOKUP(B30,'S-ASIG-03'!$B$5:$E$88,4,0),0))</f>
        <v>3.8200000000000003</v>
      </c>
      <c r="J30" s="72">
        <f>IF(B30=0,"",IFERROR(VLOOKUP(B30,'S-ASIG-04'!$B$5:$E$88,4,0),0))</f>
        <v>4.51</v>
      </c>
      <c r="K30" s="72">
        <f>IF(B30=0,"",IFERROR(VLOOKUP(B30,'S-ASIG-05'!$B$5:$E$88,4,0),0))</f>
        <v>4.2</v>
      </c>
      <c r="L30" s="72">
        <f>IF(B30=0,"",IFERROR(VLOOKUP(B30,'S-ASIG-06'!$B$5:$E$88,4,0),0))</f>
        <v>4.6500000000000004</v>
      </c>
      <c r="M30" s="73">
        <f>IF(B30=0,"",IFERROR(VLOOKUP(B30,'S-ASIG-07'!$B$5:$E$88,4,0),0))</f>
        <v>0</v>
      </c>
      <c r="N30" s="68" t="s">
        <v>120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121</v>
      </c>
    </row>
    <row r="31" spans="1:22" ht="15" customHeight="1">
      <c r="A31" s="12">
        <v>27</v>
      </c>
      <c r="B31" s="70" t="str">
        <f>LIDER!C35</f>
        <v>KEINER JAVID DIAZ ALVAREZ</v>
      </c>
      <c r="C31" s="64" t="str">
        <f>IF(B31=0,"",IFERROR(VLOOKUP(B31,'S-ASIG-01'!$B$5:$E$88,2,0),0))</f>
        <v>G06</v>
      </c>
      <c r="D31" s="65">
        <f t="shared" si="2"/>
        <v>4.2949999999999999</v>
      </c>
      <c r="E31" s="66">
        <f t="shared" si="3"/>
        <v>0</v>
      </c>
      <c r="F31" s="47"/>
      <c r="G31" s="71">
        <f>IF(B31=0,"",IFERROR(VLOOKUP(B31,'S-ASIG-01'!$B$5:$E$88,4,0),0))</f>
        <v>0</v>
      </c>
      <c r="H31" s="72">
        <f>IF(B31=0,"",IFERROR(VLOOKUP(B31,'S-ASIG-02'!$B$5:$E$88,4,0),0))</f>
        <v>0</v>
      </c>
      <c r="I31" s="72">
        <f>IF(B31=0,"",IFERROR(VLOOKUP(B31,'S-ASIG-03'!$B$5:$E$88,4,0),0))</f>
        <v>3.8200000000000003</v>
      </c>
      <c r="J31" s="72">
        <f>IF(B31=0,"",IFERROR(VLOOKUP(B31,'S-ASIG-04'!$B$5:$E$88,4,0),0))</f>
        <v>4.51</v>
      </c>
      <c r="K31" s="72">
        <f>IF(B31=0,"",IFERROR(VLOOKUP(B31,'S-ASIG-05'!$B$5:$E$88,4,0),0))</f>
        <v>4.2</v>
      </c>
      <c r="L31" s="72">
        <f>IF(B31=0,"",IFERROR(VLOOKUP(B31,'S-ASIG-06'!$B$5:$E$88,4,0),0))</f>
        <v>4.6500000000000004</v>
      </c>
      <c r="M31" s="73">
        <f>IF(B31=0,"",IFERROR(VLOOKUP(B31,'S-ASIG-07'!$B$5:$E$88,4,0),0))</f>
        <v>0</v>
      </c>
      <c r="N31" s="68" t="s">
        <v>120</v>
      </c>
      <c r="O31" s="71">
        <f>IF(B31=0,"",IFERROR(VLOOKUP(B31,'T-ASIG-01'!$B$5:$D$88,3,0),0))</f>
        <v>0</v>
      </c>
      <c r="P31" s="72">
        <f>IF(B31=0,"",IFERROR(VLOOKUP(B31,'T-ASIG-02'!$B$5:$D$88,3,0),0))</f>
        <v>0</v>
      </c>
      <c r="Q31" s="72">
        <f>IF(B31=0,"",IFERROR(VLOOKUP(B31,'T-ASIG-03'!$B$5:$D$88,3,0),0))</f>
        <v>0</v>
      </c>
      <c r="R31" s="72">
        <f>IF(B31=0,"",IFERROR(VLOOKUP(B31,'T-ASIG-04'!$B$5:$D$88,3,0),0))</f>
        <v>0</v>
      </c>
      <c r="S31" s="72">
        <f>IF(B31=0,"",IFERROR(VLOOKUP(B31,'T-ASIG-05'!$B$5:$D$88,3,0),0))</f>
        <v>0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121</v>
      </c>
    </row>
    <row r="32" spans="1:22" ht="15" customHeight="1">
      <c r="A32" s="12">
        <v>28</v>
      </c>
      <c r="B32" s="70" t="str">
        <f>LIDER!C36</f>
        <v>DAIRIN ROSA TORRES ALVARADO</v>
      </c>
      <c r="C32" s="64" t="str">
        <f>IF(B32=0,"",IFERROR(VLOOKUP(B32,'S-ASIG-01'!$B$5:$E$88,2,0),0))</f>
        <v>G06</v>
      </c>
      <c r="D32" s="65">
        <f t="shared" si="2"/>
        <v>4.2949999999999999</v>
      </c>
      <c r="E32" s="66">
        <f t="shared" si="3"/>
        <v>0</v>
      </c>
      <c r="F32" s="47"/>
      <c r="G32" s="71">
        <f>IF(B32=0,"",IFERROR(VLOOKUP(B32,'S-ASIG-01'!$B$5:$E$88,4,0),0))</f>
        <v>0</v>
      </c>
      <c r="H32" s="72">
        <f>IF(B32=0,"",IFERROR(VLOOKUP(B32,'S-ASIG-02'!$B$5:$E$88,4,0),0))</f>
        <v>0</v>
      </c>
      <c r="I32" s="72">
        <f>IF(B32=0,"",IFERROR(VLOOKUP(B32,'S-ASIG-03'!$B$5:$E$88,4,0),0))</f>
        <v>3.8200000000000003</v>
      </c>
      <c r="J32" s="72">
        <f>IF(B32=0,"",IFERROR(VLOOKUP(B32,'S-ASIG-04'!$B$5:$E$88,4,0),0))</f>
        <v>4.51</v>
      </c>
      <c r="K32" s="72">
        <f>IF(B32=0,"",IFERROR(VLOOKUP(B32,'S-ASIG-05'!$B$5:$E$88,4,0),0))</f>
        <v>4.2</v>
      </c>
      <c r="L32" s="72">
        <f>IF(B32=0,"",IFERROR(VLOOKUP(B32,'S-ASIG-06'!$B$5:$E$88,4,0),0))</f>
        <v>4.6500000000000004</v>
      </c>
      <c r="M32" s="73">
        <f>IF(B32=0,"",IFERROR(VLOOKUP(B32,'S-ASIG-07'!$B$5:$E$88,4,0),0))</f>
        <v>0</v>
      </c>
      <c r="N32" s="68" t="s">
        <v>120</v>
      </c>
      <c r="O32" s="71">
        <f>IF(B32=0,"",IFERROR(VLOOKUP(B32,'T-ASIG-01'!$B$5:$D$88,3,0),0))</f>
        <v>0</v>
      </c>
      <c r="P32" s="72">
        <f>IF(B32=0,"",IFERROR(VLOOKUP(B32,'T-ASIG-02'!$B$5:$D$88,3,0),0))</f>
        <v>0</v>
      </c>
      <c r="Q32" s="72">
        <f>IF(B32=0,"",IFERROR(VLOOKUP(B32,'T-ASIG-03'!$B$5:$D$88,3,0),0))</f>
        <v>0</v>
      </c>
      <c r="R32" s="72">
        <f>IF(B32=0,"",IFERROR(VLOOKUP(B32,'T-ASIG-04'!$B$5:$D$88,3,0),0))</f>
        <v>0</v>
      </c>
      <c r="S32" s="72">
        <f>IF(B32=0,"",IFERROR(VLOOKUP(B32,'T-ASIG-05'!$B$5:$D$88,3,0),0))</f>
        <v>0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121</v>
      </c>
    </row>
    <row r="33" spans="1:22" ht="15" customHeight="1">
      <c r="A33" s="12">
        <v>29</v>
      </c>
      <c r="B33" s="70" t="str">
        <f>LIDER!C37</f>
        <v>DIANA CAROLINA VILLARREAL RAMOS</v>
      </c>
      <c r="C33" s="64" t="str">
        <f>IF(B33=0,"",IFERROR(VLOOKUP(B33,'S-ASIG-01'!$B$5:$E$88,2,0),0))</f>
        <v>G06</v>
      </c>
      <c r="D33" s="65">
        <f t="shared" si="2"/>
        <v>4.2949999999999999</v>
      </c>
      <c r="E33" s="66">
        <f t="shared" si="3"/>
        <v>0</v>
      </c>
      <c r="F33" s="47"/>
      <c r="G33" s="71">
        <f>IF(B33=0,"",IFERROR(VLOOKUP(B33,'S-ASIG-01'!$B$5:$E$88,4,0),0))</f>
        <v>0</v>
      </c>
      <c r="H33" s="72">
        <f>IF(B33=0,"",IFERROR(VLOOKUP(B33,'S-ASIG-02'!$B$5:$E$88,4,0),0))</f>
        <v>0</v>
      </c>
      <c r="I33" s="72">
        <f>IF(B33=0,"",IFERROR(VLOOKUP(B33,'S-ASIG-03'!$B$5:$E$88,4,0),0))</f>
        <v>3.8200000000000003</v>
      </c>
      <c r="J33" s="72">
        <f>IF(B33=0,"",IFERROR(VLOOKUP(B33,'S-ASIG-04'!$B$5:$E$88,4,0),0))</f>
        <v>4.51</v>
      </c>
      <c r="K33" s="72">
        <f>IF(B33=0,"",IFERROR(VLOOKUP(B33,'S-ASIG-05'!$B$5:$E$88,4,0),0))</f>
        <v>4.2</v>
      </c>
      <c r="L33" s="72">
        <f>IF(B33=0,"",IFERROR(VLOOKUP(B33,'S-ASIG-06'!$B$5:$E$88,4,0),0))</f>
        <v>4.6500000000000004</v>
      </c>
      <c r="M33" s="73">
        <f>IF(B33=0,"",IFERROR(VLOOKUP(B33,'S-ASIG-07'!$B$5:$E$88,4,0),0))</f>
        <v>0</v>
      </c>
      <c r="N33" s="68" t="s">
        <v>120</v>
      </c>
      <c r="O33" s="71">
        <f>IF(B33=0,"",IFERROR(VLOOKUP(B33,'T-ASIG-01'!$B$5:$D$88,3,0),0))</f>
        <v>0</v>
      </c>
      <c r="P33" s="72">
        <f>IF(B33=0,"",IFERROR(VLOOKUP(B33,'T-ASIG-02'!$B$5:$D$88,3,0),0))</f>
        <v>0</v>
      </c>
      <c r="Q33" s="72">
        <f>IF(B33=0,"",IFERROR(VLOOKUP(B33,'T-ASIG-03'!$B$5:$D$88,3,0),0))</f>
        <v>0</v>
      </c>
      <c r="R33" s="72">
        <f>IF(B33=0,"",IFERROR(VLOOKUP(B33,'T-ASIG-04'!$B$5:$D$88,3,0),0))</f>
        <v>0</v>
      </c>
      <c r="S33" s="72">
        <f>IF(B33=0,"",IFERROR(VLOOKUP(B33,'T-ASIG-05'!$B$5:$D$88,3,0),0))</f>
        <v>0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121</v>
      </c>
    </row>
    <row r="34" spans="1:22" ht="15" customHeight="1">
      <c r="A34" s="12">
        <v>30</v>
      </c>
      <c r="B34" s="70">
        <f>LIDER!C38</f>
        <v>0</v>
      </c>
      <c r="C34" s="64" t="str">
        <f>IF(B34=0,"",IFERROR(VLOOKUP(B34,'S-ASIG-01'!$B$5:$E$88,2,0),0))</f>
        <v/>
      </c>
      <c r="D34" s="65" t="str">
        <f t="shared" si="2"/>
        <v/>
      </c>
      <c r="E34" s="66" t="str">
        <f t="shared" si="3"/>
        <v/>
      </c>
      <c r="F34" s="47"/>
      <c r="G34" s="71" t="str">
        <f>IF(B34=0,"",IFERROR(VLOOKUP(B34,'S-ASIG-01'!$B$5:$E$88,4,0),0))</f>
        <v/>
      </c>
      <c r="H34" s="72" t="str">
        <f>IF(B34=0,"",IFERROR(VLOOKUP(B34,'S-ASIG-02'!$B$5:$E$88,4,0),0))</f>
        <v/>
      </c>
      <c r="I34" s="72" t="str">
        <f>IF(B34=0,"",IFERROR(VLOOKUP(B34,'S-ASIG-03'!$B$5:$E$88,4,0),0))</f>
        <v/>
      </c>
      <c r="J34" s="72" t="str">
        <f>IF(B34=0,"",IFERROR(VLOOKUP(B34,'S-ASIG-04'!$B$5:$E$88,4,0),0))</f>
        <v/>
      </c>
      <c r="K34" s="72" t="str">
        <f>IF(B34=0,"",IFERROR(VLOOKUP(B34,'S-ASIG-05'!$B$5:$E$88,4,0),0))</f>
        <v/>
      </c>
      <c r="L34" s="72" t="str">
        <f>IF(B34=0,"",IFERROR(VLOOKUP(B34,'S-ASIG-06'!$B$5:$E$88,4,0),0))</f>
        <v/>
      </c>
      <c r="M34" s="73" t="str">
        <f>IF(B34=0,"",IFERROR(VLOOKUP(B34,'S-ASIG-07'!$B$5:$E$88,4,0),0))</f>
        <v/>
      </c>
      <c r="N34" s="68" t="s">
        <v>120</v>
      </c>
      <c r="O34" s="71" t="str">
        <f>IF(B34=0,"",IFERROR(VLOOKUP(B34,'T-ASIG-01'!$B$5:$D$88,3,0),0))</f>
        <v/>
      </c>
      <c r="P34" s="72" t="str">
        <f>IF(B34=0,"",IFERROR(VLOOKUP(B34,'T-ASIG-02'!$B$5:$D$88,3,0),0))</f>
        <v/>
      </c>
      <c r="Q34" s="72" t="str">
        <f>IF(B34=0,"",IFERROR(VLOOKUP(B34,'T-ASIG-03'!$B$5:$D$88,3,0),0))</f>
        <v/>
      </c>
      <c r="R34" s="72" t="str">
        <f>IF(B34=0,"",IFERROR(VLOOKUP(B34,'T-ASIG-04'!$B$5:$D$88,3,0),0))</f>
        <v/>
      </c>
      <c r="S34" s="72" t="str">
        <f>IF(B34=0,"",IFERROR(VLOOKUP(B34,'T-ASIG-05'!$B$5:$D$88,3,0),0))</f>
        <v/>
      </c>
      <c r="T34" s="72" t="str">
        <f>IF(B34=0,"",IFERROR(VLOOKUP(B34,'T-ASIG-06'!$B$5:$D$88,3,0),0))</f>
        <v/>
      </c>
      <c r="U34" s="73" t="str">
        <f>IF(B34=0,"",IFERROR(VLOOKUP(B34,'T-ASIG-07'!$B$5:$D$88,3,0),0))</f>
        <v/>
      </c>
      <c r="V34" s="69" t="s">
        <v>121</v>
      </c>
    </row>
    <row r="35" spans="1:22" ht="15" customHeight="1">
      <c r="A35" s="12">
        <v>31</v>
      </c>
      <c r="B35" s="70">
        <f>LIDER!C39</f>
        <v>0</v>
      </c>
      <c r="C35" s="64" t="str">
        <f>IF(B35=0,"",IFERROR(VLOOKUP(B35,'S-ASIG-01'!$B$5:$E$88,2,0),0))</f>
        <v/>
      </c>
      <c r="D35" s="65" t="str">
        <f t="shared" si="2"/>
        <v/>
      </c>
      <c r="E35" s="66" t="str">
        <f t="shared" si="3"/>
        <v/>
      </c>
      <c r="F35" s="47"/>
      <c r="G35" s="71" t="str">
        <f>IF(B35=0,"",IFERROR(VLOOKUP(B35,'S-ASIG-01'!$B$5:$E$88,4,0),0))</f>
        <v/>
      </c>
      <c r="H35" s="72" t="str">
        <f>IF(B35=0,"",IFERROR(VLOOKUP(B35,'S-ASIG-02'!$B$5:$E$88,4,0),0))</f>
        <v/>
      </c>
      <c r="I35" s="72" t="str">
        <f>IF(B35=0,"",IFERROR(VLOOKUP(B35,'S-ASIG-03'!$B$5:$E$88,4,0),0))</f>
        <v/>
      </c>
      <c r="J35" s="72" t="str">
        <f>IF(B35=0,"",IFERROR(VLOOKUP(B35,'S-ASIG-04'!$B$5:$E$88,4,0),0))</f>
        <v/>
      </c>
      <c r="K35" s="72" t="str">
        <f>IF(B35=0,"",IFERROR(VLOOKUP(B35,'S-ASIG-05'!$B$5:$E$88,4,0),0))</f>
        <v/>
      </c>
      <c r="L35" s="72" t="str">
        <f>IF(B35=0,"",IFERROR(VLOOKUP(B35,'S-ASIG-06'!$B$5:$E$88,4,0),0))</f>
        <v/>
      </c>
      <c r="M35" s="73" t="str">
        <f>IF(B35=0,"",IFERROR(VLOOKUP(B35,'S-ASIG-07'!$B$5:$E$88,4,0),0))</f>
        <v/>
      </c>
      <c r="N35" s="68" t="s">
        <v>120</v>
      </c>
      <c r="O35" s="71" t="str">
        <f>IF(B35=0,"",IFERROR(VLOOKUP(B35,'T-ASIG-01'!$B$5:$D$88,3,0),0))</f>
        <v/>
      </c>
      <c r="P35" s="72" t="str">
        <f>IF(B35=0,"",IFERROR(VLOOKUP(B35,'T-ASIG-02'!$B$5:$D$88,3,0),0))</f>
        <v/>
      </c>
      <c r="Q35" s="72" t="str">
        <f>IF(B35=0,"",IFERROR(VLOOKUP(B35,'T-ASIG-03'!$B$5:$D$88,3,0),0))</f>
        <v/>
      </c>
      <c r="R35" s="72" t="str">
        <f>IF(B35=0,"",IFERROR(VLOOKUP(B35,'T-ASIG-04'!$B$5:$D$88,3,0),0))</f>
        <v/>
      </c>
      <c r="S35" s="72" t="str">
        <f>IF(B35=0,"",IFERROR(VLOOKUP(B35,'T-ASIG-05'!$B$5:$D$88,3,0),0))</f>
        <v/>
      </c>
      <c r="T35" s="72" t="str">
        <f>IF(B35=0,"",IFERROR(VLOOKUP(B35,'T-ASIG-06'!$B$5:$D$88,3,0),0))</f>
        <v/>
      </c>
      <c r="U35" s="73" t="str">
        <f>IF(B35=0,"",IFERROR(VLOOKUP(B35,'T-ASIG-07'!$B$5:$D$88,3,0),0))</f>
        <v/>
      </c>
      <c r="V35" s="69" t="s">
        <v>121</v>
      </c>
    </row>
    <row r="36" spans="1:22" ht="15" customHeight="1">
      <c r="A36" s="12">
        <v>32</v>
      </c>
      <c r="B36" s="70">
        <f>LIDER!C40</f>
        <v>0</v>
      </c>
      <c r="C36" s="64" t="str">
        <f>IF(B36=0,"",IFERROR(VLOOKUP(B36,'S-ASIG-01'!$B$5:$E$88,2,0),0))</f>
        <v/>
      </c>
      <c r="D36" s="65" t="str">
        <f t="shared" si="2"/>
        <v/>
      </c>
      <c r="E36" s="66" t="str">
        <f t="shared" si="3"/>
        <v/>
      </c>
      <c r="F36" s="47"/>
      <c r="G36" s="71" t="str">
        <f>IF(B36=0,"",IFERROR(VLOOKUP(B36,'S-ASIG-01'!$B$5:$E$88,4,0),0))</f>
        <v/>
      </c>
      <c r="H36" s="72" t="str">
        <f>IF(B36=0,"",IFERROR(VLOOKUP(B36,'S-ASIG-02'!$B$5:$E$88,4,0),0))</f>
        <v/>
      </c>
      <c r="I36" s="72" t="str">
        <f>IF(B36=0,"",IFERROR(VLOOKUP(B36,'S-ASIG-03'!$B$5:$E$88,4,0),0))</f>
        <v/>
      </c>
      <c r="J36" s="72" t="str">
        <f>IF(B36=0,"",IFERROR(VLOOKUP(B36,'S-ASIG-04'!$B$5:$E$88,4,0),0))</f>
        <v/>
      </c>
      <c r="K36" s="72" t="str">
        <f>IF(B36=0,"",IFERROR(VLOOKUP(B36,'S-ASIG-05'!$B$5:$E$88,4,0),0))</f>
        <v/>
      </c>
      <c r="L36" s="72" t="str">
        <f>IF(B36=0,"",IFERROR(VLOOKUP(B36,'S-ASIG-06'!$B$5:$E$88,4,0),0))</f>
        <v/>
      </c>
      <c r="M36" s="73" t="str">
        <f>IF(B36=0,"",IFERROR(VLOOKUP(B36,'S-ASIG-07'!$B$5:$E$88,4,0),0))</f>
        <v/>
      </c>
      <c r="N36" s="68" t="s">
        <v>120</v>
      </c>
      <c r="O36" s="71" t="str">
        <f>IF(B36=0,"",IFERROR(VLOOKUP(B36,'T-ASIG-01'!$B$5:$D$88,3,0),0))</f>
        <v/>
      </c>
      <c r="P36" s="72" t="str">
        <f>IF(B36=0,"",IFERROR(VLOOKUP(B36,'T-ASIG-02'!$B$5:$D$88,3,0),0))</f>
        <v/>
      </c>
      <c r="Q36" s="72" t="str">
        <f>IF(B36=0,"",IFERROR(VLOOKUP(B36,'T-ASIG-03'!$B$5:$D$88,3,0),0))</f>
        <v/>
      </c>
      <c r="R36" s="72" t="str">
        <f>IF(B36=0,"",IFERROR(VLOOKUP(B36,'T-ASIG-04'!$B$5:$D$88,3,0),0))</f>
        <v/>
      </c>
      <c r="S36" s="72" t="str">
        <f>IF(B36=0,"",IFERROR(VLOOKUP(B36,'T-ASIG-05'!$B$5:$D$88,3,0),0))</f>
        <v/>
      </c>
      <c r="T36" s="72" t="str">
        <f>IF(B36=0,"",IFERROR(VLOOKUP(B36,'T-ASIG-06'!$B$5:$D$88,3,0),0))</f>
        <v/>
      </c>
      <c r="U36" s="73" t="str">
        <f>IF(B36=0,"",IFERROR(VLOOKUP(B36,'T-ASIG-07'!$B$5:$D$88,3,0),0))</f>
        <v/>
      </c>
      <c r="V36" s="69" t="s">
        <v>121</v>
      </c>
    </row>
    <row r="37" spans="1:22" ht="15" customHeight="1">
      <c r="A37" s="12">
        <v>33</v>
      </c>
      <c r="B37" s="70">
        <f>LIDER!C41</f>
        <v>0</v>
      </c>
      <c r="C37" s="64" t="str">
        <f>IF(B37=0,"",IFERROR(VLOOKUP(B37,'S-ASIG-01'!$B$5:$E$88,2,0),0))</f>
        <v/>
      </c>
      <c r="D37" s="65" t="str">
        <f t="shared" si="2"/>
        <v/>
      </c>
      <c r="E37" s="66" t="str">
        <f t="shared" si="3"/>
        <v/>
      </c>
      <c r="F37" s="47"/>
      <c r="G37" s="71" t="str">
        <f>IF(B37=0,"",IFERROR(VLOOKUP(B37,'S-ASIG-01'!$B$5:$E$88,4,0),0))</f>
        <v/>
      </c>
      <c r="H37" s="72" t="str">
        <f>IF(B37=0,"",IFERROR(VLOOKUP(B37,'S-ASIG-02'!$B$5:$E$88,4,0),0))</f>
        <v/>
      </c>
      <c r="I37" s="72" t="str">
        <f>IF(B37=0,"",IFERROR(VLOOKUP(B37,'S-ASIG-03'!$B$5:$E$88,4,0),0))</f>
        <v/>
      </c>
      <c r="J37" s="72" t="str">
        <f>IF(B37=0,"",IFERROR(VLOOKUP(B37,'S-ASIG-04'!$B$5:$E$88,4,0),0))</f>
        <v/>
      </c>
      <c r="K37" s="72" t="str">
        <f>IF(B37=0,"",IFERROR(VLOOKUP(B37,'S-ASIG-05'!$B$5:$E$88,4,0),0))</f>
        <v/>
      </c>
      <c r="L37" s="72" t="str">
        <f>IF(B37=0,"",IFERROR(VLOOKUP(B37,'S-ASIG-06'!$B$5:$E$88,4,0),0))</f>
        <v/>
      </c>
      <c r="M37" s="73" t="str">
        <f>IF(B37=0,"",IFERROR(VLOOKUP(B37,'S-ASIG-07'!$B$5:$E$88,4,0),0))</f>
        <v/>
      </c>
      <c r="N37" s="68" t="s">
        <v>120</v>
      </c>
      <c r="O37" s="71" t="str">
        <f>IF(B37=0,"",IFERROR(VLOOKUP(B37,'T-ASIG-01'!$B$5:$D$88,3,0),0))</f>
        <v/>
      </c>
      <c r="P37" s="72" t="str">
        <f>IF(B37=0,"",IFERROR(VLOOKUP(B37,'T-ASIG-02'!$B$5:$D$88,3,0),0))</f>
        <v/>
      </c>
      <c r="Q37" s="72" t="str">
        <f>IF(B37=0,"",IFERROR(VLOOKUP(B37,'T-ASIG-03'!$B$5:$D$88,3,0),0))</f>
        <v/>
      </c>
      <c r="R37" s="72" t="str">
        <f>IF(B37=0,"",IFERROR(VLOOKUP(B37,'T-ASIG-04'!$B$5:$D$88,3,0),0))</f>
        <v/>
      </c>
      <c r="S37" s="72" t="str">
        <f>IF(B37=0,"",IFERROR(VLOOKUP(B37,'T-ASIG-05'!$B$5:$D$88,3,0),0))</f>
        <v/>
      </c>
      <c r="T37" s="72" t="str">
        <f>IF(B37=0,"",IFERROR(VLOOKUP(B37,'T-ASIG-06'!$B$5:$D$88,3,0),0))</f>
        <v/>
      </c>
      <c r="U37" s="73" t="str">
        <f>IF(B37=0,"",IFERROR(VLOOKUP(B37,'T-ASIG-07'!$B$5:$D$88,3,0),0))</f>
        <v/>
      </c>
      <c r="V37" s="69" t="s">
        <v>121</v>
      </c>
    </row>
    <row r="38" spans="1:22" ht="15" customHeight="1">
      <c r="A38" s="12">
        <v>34</v>
      </c>
      <c r="B38" s="70">
        <f>LIDER!C42</f>
        <v>0</v>
      </c>
      <c r="C38" s="64" t="str">
        <f>IF(B38=0,"",IFERROR(VLOOKUP(B38,'S-ASIG-01'!$B$5:$E$88,2,0),0))</f>
        <v/>
      </c>
      <c r="D38" s="65" t="str">
        <f t="shared" si="2"/>
        <v/>
      </c>
      <c r="E38" s="66" t="str">
        <f t="shared" si="3"/>
        <v/>
      </c>
      <c r="F38" s="47"/>
      <c r="G38" s="71" t="str">
        <f>IF(B38=0,"",IFERROR(VLOOKUP(B38,'S-ASIG-01'!$B$5:$E$88,4,0),0))</f>
        <v/>
      </c>
      <c r="H38" s="72" t="str">
        <f>IF(B38=0,"",IFERROR(VLOOKUP(B38,'S-ASIG-02'!$B$5:$E$88,4,0),0))</f>
        <v/>
      </c>
      <c r="I38" s="72" t="str">
        <f>IF(B38=0,"",IFERROR(VLOOKUP(B38,'S-ASIG-03'!$B$5:$E$88,4,0),0))</f>
        <v/>
      </c>
      <c r="J38" s="72" t="str">
        <f>IF(B38=0,"",IFERROR(VLOOKUP(B38,'S-ASIG-04'!$B$5:$E$88,4,0),0))</f>
        <v/>
      </c>
      <c r="K38" s="72" t="str">
        <f>IF(B38=0,"",IFERROR(VLOOKUP(B38,'S-ASIG-05'!$B$5:$E$88,4,0),0))</f>
        <v/>
      </c>
      <c r="L38" s="72" t="str">
        <f>IF(B38=0,"",IFERROR(VLOOKUP(B38,'S-ASIG-06'!$B$5:$E$88,4,0),0))</f>
        <v/>
      </c>
      <c r="M38" s="73" t="str">
        <f>IF(B38=0,"",IFERROR(VLOOKUP(B38,'S-ASIG-07'!$B$5:$E$88,4,0),0))</f>
        <v/>
      </c>
      <c r="N38" s="68" t="s">
        <v>120</v>
      </c>
      <c r="O38" s="71" t="str">
        <f>IF(B38=0,"",IFERROR(VLOOKUP(B38,'T-ASIG-01'!$B$5:$D$88,3,0),0))</f>
        <v/>
      </c>
      <c r="P38" s="72" t="str">
        <f>IF(B38=0,"",IFERROR(VLOOKUP(B38,'T-ASIG-02'!$B$5:$D$88,3,0),0))</f>
        <v/>
      </c>
      <c r="Q38" s="72" t="str">
        <f>IF(B38=0,"",IFERROR(VLOOKUP(B38,'T-ASIG-03'!$B$5:$D$88,3,0),0))</f>
        <v/>
      </c>
      <c r="R38" s="72" t="str">
        <f>IF(B38=0,"",IFERROR(VLOOKUP(B38,'T-ASIG-04'!$B$5:$D$88,3,0),0))</f>
        <v/>
      </c>
      <c r="S38" s="72" t="str">
        <f>IF(B38=0,"",IFERROR(VLOOKUP(B38,'T-ASIG-05'!$B$5:$D$88,3,0),0))</f>
        <v/>
      </c>
      <c r="T38" s="72" t="str">
        <f>IF(B38=0,"",IFERROR(VLOOKUP(B38,'T-ASIG-06'!$B$5:$D$88,3,0),0))</f>
        <v/>
      </c>
      <c r="U38" s="73" t="str">
        <f>IF(B38=0,"",IFERROR(VLOOKUP(B38,'T-ASIG-07'!$B$5:$D$88,3,0),0))</f>
        <v/>
      </c>
      <c r="V38" s="69" t="s">
        <v>121</v>
      </c>
    </row>
    <row r="39" spans="1:22" ht="15" customHeight="1">
      <c r="A39" s="12">
        <v>35</v>
      </c>
      <c r="B39" s="70">
        <f>LIDER!C43</f>
        <v>0</v>
      </c>
      <c r="C39" s="64" t="str">
        <f>IF(B39=0,"",IFERROR(VLOOKUP(B39,'S-ASIG-01'!$B$5:$E$88,2,0),0))</f>
        <v/>
      </c>
      <c r="D39" s="65" t="str">
        <f t="shared" si="2"/>
        <v/>
      </c>
      <c r="E39" s="66" t="str">
        <f t="shared" si="3"/>
        <v/>
      </c>
      <c r="F39" s="47"/>
      <c r="G39" s="71" t="str">
        <f>IF(B39=0,"",IFERROR(VLOOKUP(B39,'S-ASIG-01'!$B$5:$E$88,4,0),0))</f>
        <v/>
      </c>
      <c r="H39" s="72" t="str">
        <f>IF(B39=0,"",IFERROR(VLOOKUP(B39,'S-ASIG-02'!$B$5:$E$88,4,0),0))</f>
        <v/>
      </c>
      <c r="I39" s="72" t="str">
        <f>IF(B39=0,"",IFERROR(VLOOKUP(B39,'S-ASIG-03'!$B$5:$E$88,4,0),0))</f>
        <v/>
      </c>
      <c r="J39" s="72" t="str">
        <f>IF(B39=0,"",IFERROR(VLOOKUP(B39,'S-ASIG-04'!$B$5:$E$88,4,0),0))</f>
        <v/>
      </c>
      <c r="K39" s="72" t="str">
        <f>IF(B39=0,"",IFERROR(VLOOKUP(B39,'S-ASIG-05'!$B$5:$E$88,4,0),0))</f>
        <v/>
      </c>
      <c r="L39" s="72" t="str">
        <f>IF(B39=0,"",IFERROR(VLOOKUP(B39,'S-ASIG-06'!$B$5:$E$88,4,0),0))</f>
        <v/>
      </c>
      <c r="M39" s="73" t="str">
        <f>IF(B39=0,"",IFERROR(VLOOKUP(B39,'S-ASIG-07'!$B$5:$E$88,4,0),0))</f>
        <v/>
      </c>
      <c r="N39" s="68" t="s">
        <v>120</v>
      </c>
      <c r="O39" s="71" t="str">
        <f>IF(B39=0,"",IFERROR(VLOOKUP(B39,'T-ASIG-01'!$B$5:$D$88,3,0),0))</f>
        <v/>
      </c>
      <c r="P39" s="72" t="str">
        <f>IF(B39=0,"",IFERROR(VLOOKUP(B39,'T-ASIG-02'!$B$5:$D$88,3,0),0))</f>
        <v/>
      </c>
      <c r="Q39" s="72" t="str">
        <f>IF(B39=0,"",IFERROR(VLOOKUP(B39,'T-ASIG-03'!$B$5:$D$88,3,0),0))</f>
        <v/>
      </c>
      <c r="R39" s="72" t="str">
        <f>IF(B39=0,"",IFERROR(VLOOKUP(B39,'T-ASIG-04'!$B$5:$D$88,3,0),0))</f>
        <v/>
      </c>
      <c r="S39" s="72" t="str">
        <f>IF(B39=0,"",IFERROR(VLOOKUP(B39,'T-ASIG-05'!$B$5:$D$88,3,0),0))</f>
        <v/>
      </c>
      <c r="T39" s="72" t="str">
        <f>IF(B39=0,"",IFERROR(VLOOKUP(B39,'T-ASIG-06'!$B$5:$D$88,3,0),0))</f>
        <v/>
      </c>
      <c r="U39" s="73" t="str">
        <f>IF(B39=0,"",IFERROR(VLOOKUP(B39,'T-ASIG-07'!$B$5:$D$88,3,0),0))</f>
        <v/>
      </c>
      <c r="V39" s="69" t="s">
        <v>121</v>
      </c>
    </row>
    <row r="40" spans="1:22" ht="15" customHeight="1">
      <c r="A40" s="12">
        <v>36</v>
      </c>
      <c r="B40" s="70">
        <f>LIDER!C44</f>
        <v>0</v>
      </c>
      <c r="C40" s="64" t="str">
        <f>IF(B40=0,"",IFERROR(VLOOKUP(B40,'S-ASIG-01'!$B$5:$E$88,2,0),0))</f>
        <v/>
      </c>
      <c r="D40" s="65" t="str">
        <f t="shared" si="2"/>
        <v/>
      </c>
      <c r="E40" s="66" t="str">
        <f t="shared" si="3"/>
        <v/>
      </c>
      <c r="F40" s="47"/>
      <c r="G40" s="71" t="str">
        <f>IF(B40=0,"",IFERROR(VLOOKUP(B40,'S-ASIG-01'!$B$5:$E$88,4,0),0))</f>
        <v/>
      </c>
      <c r="H40" s="72" t="str">
        <f>IF(B40=0,"",IFERROR(VLOOKUP(B40,'S-ASIG-02'!$B$5:$E$88,4,0),0))</f>
        <v/>
      </c>
      <c r="I40" s="72" t="str">
        <f>IF(B40=0,"",IFERROR(VLOOKUP(B40,'S-ASIG-03'!$B$5:$E$88,4,0),0))</f>
        <v/>
      </c>
      <c r="J40" s="72" t="str">
        <f>IF(B40=0,"",IFERROR(VLOOKUP(B40,'S-ASIG-04'!$B$5:$E$88,4,0),0))</f>
        <v/>
      </c>
      <c r="K40" s="72" t="str">
        <f>IF(B40=0,"",IFERROR(VLOOKUP(B40,'S-ASIG-05'!$B$5:$E$88,4,0),0))</f>
        <v/>
      </c>
      <c r="L40" s="72" t="str">
        <f>IF(B40=0,"",IFERROR(VLOOKUP(B40,'S-ASIG-06'!$B$5:$E$88,4,0),0))</f>
        <v/>
      </c>
      <c r="M40" s="73" t="str">
        <f>IF(B40=0,"",IFERROR(VLOOKUP(B40,'S-ASIG-07'!$B$5:$E$88,4,0),0))</f>
        <v/>
      </c>
      <c r="N40" s="68" t="s">
        <v>120</v>
      </c>
      <c r="O40" s="71" t="str">
        <f>IF(B40=0,"",IFERROR(VLOOKUP(B40,'T-ASIG-01'!$B$5:$D$88,3,0),0))</f>
        <v/>
      </c>
      <c r="P40" s="72" t="str">
        <f>IF(B40=0,"",IFERROR(VLOOKUP(B40,'T-ASIG-02'!$B$5:$D$88,3,0),0))</f>
        <v/>
      </c>
      <c r="Q40" s="72" t="str">
        <f>IF(B40=0,"",IFERROR(VLOOKUP(B40,'T-ASIG-03'!$B$5:$D$88,3,0),0))</f>
        <v/>
      </c>
      <c r="R40" s="72" t="str">
        <f>IF(B40=0,"",IFERROR(VLOOKUP(B40,'T-ASIG-04'!$B$5:$D$88,3,0),0))</f>
        <v/>
      </c>
      <c r="S40" s="72" t="str">
        <f>IF(B40=0,"",IFERROR(VLOOKUP(B40,'T-ASIG-05'!$B$5:$D$88,3,0),0))</f>
        <v/>
      </c>
      <c r="T40" s="72" t="str">
        <f>IF(B40=0,"",IFERROR(VLOOKUP(B40,'T-ASIG-06'!$B$5:$D$88,3,0),0))</f>
        <v/>
      </c>
      <c r="U40" s="73" t="str">
        <f>IF(B40=0,"",IFERROR(VLOOKUP(B40,'T-ASIG-07'!$B$5:$D$88,3,0),0))</f>
        <v/>
      </c>
      <c r="V40" s="69" t="s">
        <v>121</v>
      </c>
    </row>
    <row r="41" spans="1:22" ht="15" customHeight="1">
      <c r="A41" s="12">
        <v>37</v>
      </c>
      <c r="B41" s="70">
        <f>LIDER!C45</f>
        <v>0</v>
      </c>
      <c r="C41" s="64" t="str">
        <f>IF(B41=0,"",IFERROR(VLOOKUP(B41,'S-ASIG-01'!$B$5:$E$88,2,0),0))</f>
        <v/>
      </c>
      <c r="D41" s="65" t="str">
        <f t="shared" si="2"/>
        <v/>
      </c>
      <c r="E41" s="66" t="str">
        <f t="shared" si="3"/>
        <v/>
      </c>
      <c r="F41" s="47"/>
      <c r="G41" s="71" t="str">
        <f>IF(B41=0,"",IFERROR(VLOOKUP(B41,'S-ASIG-01'!$B$5:$E$88,4,0),0))</f>
        <v/>
      </c>
      <c r="H41" s="72" t="str">
        <f>IF(B41=0,"",IFERROR(VLOOKUP(B41,'S-ASIG-02'!$B$5:$E$88,4,0),0))</f>
        <v/>
      </c>
      <c r="I41" s="72" t="str">
        <f>IF(B41=0,"",IFERROR(VLOOKUP(B41,'S-ASIG-03'!$B$5:$E$88,4,0),0))</f>
        <v/>
      </c>
      <c r="J41" s="72" t="str">
        <f>IF(B41=0,"",IFERROR(VLOOKUP(B41,'S-ASIG-04'!$B$5:$E$88,4,0),0))</f>
        <v/>
      </c>
      <c r="K41" s="72" t="str">
        <f>IF(B41=0,"",IFERROR(VLOOKUP(B41,'S-ASIG-05'!$B$5:$E$88,4,0),0))</f>
        <v/>
      </c>
      <c r="L41" s="72" t="str">
        <f>IF(B41=0,"",IFERROR(VLOOKUP(B41,'S-ASIG-06'!$B$5:$E$88,4,0),0))</f>
        <v/>
      </c>
      <c r="M41" s="73" t="str">
        <f>IF(B41=0,"",IFERROR(VLOOKUP(B41,'S-ASIG-07'!$B$5:$E$88,4,0),0))</f>
        <v/>
      </c>
      <c r="N41" s="68" t="s">
        <v>120</v>
      </c>
      <c r="O41" s="71" t="str">
        <f>IF(B41=0,"",IFERROR(VLOOKUP(B41,'T-ASIG-01'!$B$5:$D$88,3,0),0))</f>
        <v/>
      </c>
      <c r="P41" s="72" t="str">
        <f>IF(B41=0,"",IFERROR(VLOOKUP(B41,'T-ASIG-02'!$B$5:$D$88,3,0),0))</f>
        <v/>
      </c>
      <c r="Q41" s="72" t="str">
        <f>IF(B41=0,"",IFERROR(VLOOKUP(B41,'T-ASIG-03'!$B$5:$D$88,3,0),0))</f>
        <v/>
      </c>
      <c r="R41" s="72" t="str">
        <f>IF(B41=0,"",IFERROR(VLOOKUP(B41,'T-ASIG-04'!$B$5:$D$88,3,0),0))</f>
        <v/>
      </c>
      <c r="S41" s="72" t="str">
        <f>IF(B41=0,"",IFERROR(VLOOKUP(B41,'T-ASIG-05'!$B$5:$D$88,3,0),0))</f>
        <v/>
      </c>
      <c r="T41" s="72" t="str">
        <f>IF(B41=0,"",IFERROR(VLOOKUP(B41,'T-ASIG-06'!$B$5:$D$88,3,0),0))</f>
        <v/>
      </c>
      <c r="U41" s="73" t="str">
        <f>IF(B41=0,"",IFERROR(VLOOKUP(B41,'T-ASIG-07'!$B$5:$D$88,3,0),0))</f>
        <v/>
      </c>
      <c r="V41" s="69" t="s">
        <v>121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120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121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120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121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120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121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120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121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120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121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120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121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120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121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120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121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120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121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120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121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120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121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120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121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120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121</v>
      </c>
    </row>
  </sheetData>
  <sheetProtection algorithmName="SHA-512" hashValue="XWiX7QscwbYSeNVBORZza3Yn5KgVnSAA8WNO7ZM9VTV4eDnxXjKANMMxpBIgTUfUtNkIneEt4FTl/CX8k1WvlQ==" saltValue="ZPMXmTAe9mly3aGcJifltw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2026-10-16T04:59:28Z</dcterms:modified>
  <cp:category/>
  <cp:contentStatus/>
</cp:coreProperties>
</file>