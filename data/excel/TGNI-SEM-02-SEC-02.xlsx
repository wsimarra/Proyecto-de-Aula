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tecnocomfenalcoedu-my.sharepoint.com/personal/proyecto_aula_tecnocomfenalco_edu_co/Documents/2026-1-Rubricas-PA/TEC-GEST-Negocios Internacionales/SEMESTRE-2/"/>
    </mc:Choice>
  </mc:AlternateContent>
  <xr:revisionPtr revIDLastSave="708" documentId="13_ncr:1_{3F826177-552D-4F18-8131-5A9E623AD11C}" xr6:coauthVersionLast="47" xr6:coauthVersionMax="47" xr10:uidLastSave="{565DD676-5BA0-495F-9D9C-8834B9266DCD}"/>
  <bookViews>
    <workbookView xWindow="-120" yWindow="-120" windowWidth="20730" windowHeight="11040" tabRatio="720" firstSheet="13" activeTab="15" xr2:uid="{53EFF842-CF50-4897-B8D7-13D059DA06F8}"/>
  </bookViews>
  <sheets>
    <sheet name="LIDER" sheetId="2" r:id="rId1"/>
    <sheet name="S-ASIG-01" sheetId="9" state="hidden" r:id="rId2"/>
    <sheet name="S-ASIG-02" sheetId="10" state="hidden" r:id="rId3"/>
    <sheet name="S-ASIG-03" sheetId="11" state="hidden" r:id="rId4"/>
    <sheet name="S-ASIG-04" sheetId="12" state="hidden" r:id="rId5"/>
    <sheet name="S-ASIG-05" sheetId="13" state="hidden" r:id="rId6"/>
    <sheet name="S-ASIG-06" sheetId="14" state="hidden" r:id="rId7"/>
    <sheet name="S-ASIG-07" sheetId="15" state="hidden" r:id="rId8"/>
    <sheet name="T-ASIG-01" sheetId="1" r:id="rId9"/>
    <sheet name="T-ASIG-02" sheetId="3" r:id="rId10"/>
    <sheet name="T-ASIG-03" sheetId="4" r:id="rId11"/>
    <sheet name="T-ASIG-04" sheetId="5" r:id="rId12"/>
    <sheet name="T-ASIG-05" sheetId="6" r:id="rId13"/>
    <sheet name="T-ASIG-06" sheetId="7" r:id="rId14"/>
    <sheet name="T-ASIG-07" sheetId="16" r:id="rId15"/>
    <sheet name="DEFINITIVAS" sheetId="8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6" l="1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6" i="16"/>
  <c r="C5" i="16"/>
  <c r="B88" i="16"/>
  <c r="D88" i="16" s="1"/>
  <c r="D87" i="16"/>
  <c r="B87" i="16"/>
  <c r="B86" i="16"/>
  <c r="D86" i="16" s="1"/>
  <c r="B85" i="16"/>
  <c r="D85" i="16" s="1"/>
  <c r="D84" i="16"/>
  <c r="B84" i="16"/>
  <c r="D83" i="16"/>
  <c r="B83" i="16"/>
  <c r="D81" i="16"/>
  <c r="B81" i="16"/>
  <c r="B80" i="16"/>
  <c r="D80" i="16" s="1"/>
  <c r="B79" i="16"/>
  <c r="D79" i="16" s="1"/>
  <c r="D78" i="16"/>
  <c r="B78" i="16"/>
  <c r="D77" i="16"/>
  <c r="B77" i="16"/>
  <c r="B76" i="16"/>
  <c r="D76" i="16" s="1"/>
  <c r="B74" i="16"/>
  <c r="D74" i="16" s="1"/>
  <c r="B73" i="16"/>
  <c r="D73" i="16" s="1"/>
  <c r="D72" i="16"/>
  <c r="B72" i="16"/>
  <c r="D71" i="16"/>
  <c r="B71" i="16"/>
  <c r="B70" i="16"/>
  <c r="D70" i="16" s="1"/>
  <c r="B69" i="16"/>
  <c r="D69" i="16" s="1"/>
  <c r="B67" i="16"/>
  <c r="D67" i="16" s="1"/>
  <c r="D66" i="16"/>
  <c r="B66" i="16"/>
  <c r="D65" i="16"/>
  <c r="B65" i="16"/>
  <c r="B64" i="16"/>
  <c r="B63" i="16"/>
  <c r="B62" i="16"/>
  <c r="D62" i="16" s="1"/>
  <c r="B60" i="16"/>
  <c r="D60" i="16" s="1"/>
  <c r="B59" i="16"/>
  <c r="D59" i="16" s="1"/>
  <c r="B58" i="16"/>
  <c r="D58" i="16" s="1"/>
  <c r="B57" i="16"/>
  <c r="D57" i="16" s="1"/>
  <c r="B56" i="16"/>
  <c r="D56" i="16" s="1"/>
  <c r="B55" i="16"/>
  <c r="D55" i="16" s="1"/>
  <c r="D53" i="16"/>
  <c r="B53" i="16"/>
  <c r="B52" i="16"/>
  <c r="D52" i="16" s="1"/>
  <c r="B51" i="16"/>
  <c r="D51" i="16" s="1"/>
  <c r="B50" i="16"/>
  <c r="D50" i="16" s="1"/>
  <c r="B49" i="16"/>
  <c r="B48" i="16"/>
  <c r="B46" i="16"/>
  <c r="D46" i="16" s="1"/>
  <c r="B45" i="16"/>
  <c r="D45" i="16" s="1"/>
  <c r="B44" i="16"/>
  <c r="D44" i="16" s="1"/>
  <c r="B43" i="16"/>
  <c r="D43" i="16" s="1"/>
  <c r="B42" i="16"/>
  <c r="D42" i="16" s="1"/>
  <c r="B41" i="16"/>
  <c r="D41" i="16" s="1"/>
  <c r="B39" i="16"/>
  <c r="D39" i="16" s="1"/>
  <c r="B38" i="16"/>
  <c r="B37" i="16"/>
  <c r="B36" i="16"/>
  <c r="B35" i="16"/>
  <c r="B34" i="16"/>
  <c r="B32" i="16"/>
  <c r="D32" i="16" s="1"/>
  <c r="B31" i="16"/>
  <c r="D31" i="16" s="1"/>
  <c r="B30" i="16"/>
  <c r="D30" i="16" s="1"/>
  <c r="B29" i="16"/>
  <c r="D29" i="16" s="1"/>
  <c r="B28" i="16"/>
  <c r="D28" i="16" s="1"/>
  <c r="B27" i="16"/>
  <c r="D27" i="16" s="1"/>
  <c r="D25" i="16"/>
  <c r="B25" i="16"/>
  <c r="B24" i="16"/>
  <c r="D24" i="16" s="1"/>
  <c r="B23" i="16"/>
  <c r="D23" i="16" s="1"/>
  <c r="B22" i="16"/>
  <c r="B21" i="16"/>
  <c r="B20" i="16"/>
  <c r="D20" i="16" s="1"/>
  <c r="D18" i="16"/>
  <c r="B18" i="16"/>
  <c r="B17" i="16"/>
  <c r="D17" i="16" s="1"/>
  <c r="B16" i="16"/>
  <c r="D16" i="16" s="1"/>
  <c r="B15" i="16"/>
  <c r="D15" i="16" s="1"/>
  <c r="B14" i="16"/>
  <c r="D14" i="16" s="1"/>
  <c r="B13" i="16"/>
  <c r="D13" i="16" s="1"/>
  <c r="B11" i="16"/>
  <c r="D11" i="16" s="1"/>
  <c r="B10" i="16"/>
  <c r="D10" i="16" s="1"/>
  <c r="B9" i="16"/>
  <c r="D9" i="16" s="1"/>
  <c r="B8" i="16"/>
  <c r="D8" i="16" s="1"/>
  <c r="B7" i="16"/>
  <c r="D7" i="16" s="1"/>
  <c r="B6" i="16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D49" i="7" s="1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6" i="7"/>
  <c r="C5" i="7"/>
  <c r="B88" i="7"/>
  <c r="D88" i="7" s="1"/>
  <c r="B87" i="7"/>
  <c r="D87" i="7" s="1"/>
  <c r="B86" i="7"/>
  <c r="D86" i="7" s="1"/>
  <c r="B85" i="7"/>
  <c r="D85" i="7" s="1"/>
  <c r="B84" i="7"/>
  <c r="D84" i="7" s="1"/>
  <c r="D83" i="7"/>
  <c r="B83" i="7"/>
  <c r="B81" i="7"/>
  <c r="D81" i="7" s="1"/>
  <c r="B80" i="7"/>
  <c r="D80" i="7" s="1"/>
  <c r="B79" i="7"/>
  <c r="D79" i="7" s="1"/>
  <c r="B78" i="7"/>
  <c r="D78" i="7" s="1"/>
  <c r="D77" i="7"/>
  <c r="B77" i="7"/>
  <c r="B76" i="7"/>
  <c r="D76" i="7" s="1"/>
  <c r="D74" i="7"/>
  <c r="B74" i="7"/>
  <c r="B73" i="7"/>
  <c r="D73" i="7" s="1"/>
  <c r="B72" i="7"/>
  <c r="D72" i="7" s="1"/>
  <c r="D71" i="7"/>
  <c r="B71" i="7"/>
  <c r="B70" i="7"/>
  <c r="D70" i="7" s="1"/>
  <c r="B69" i="7"/>
  <c r="D69" i="7" s="1"/>
  <c r="B67" i="7"/>
  <c r="D67" i="7" s="1"/>
  <c r="B66" i="7"/>
  <c r="D66" i="7" s="1"/>
  <c r="D65" i="7"/>
  <c r="B65" i="7"/>
  <c r="B64" i="7"/>
  <c r="D64" i="7" s="1"/>
  <c r="B63" i="7"/>
  <c r="D63" i="7" s="1"/>
  <c r="B62" i="7"/>
  <c r="B60" i="7"/>
  <c r="D60" i="7" s="1"/>
  <c r="D59" i="7"/>
  <c r="B59" i="7"/>
  <c r="B58" i="7"/>
  <c r="D58" i="7" s="1"/>
  <c r="B57" i="7"/>
  <c r="D57" i="7" s="1"/>
  <c r="B56" i="7"/>
  <c r="B55" i="7"/>
  <c r="D55" i="7" s="1"/>
  <c r="B53" i="7"/>
  <c r="D53" i="7" s="1"/>
  <c r="B52" i="7"/>
  <c r="D52" i="7" s="1"/>
  <c r="B51" i="7"/>
  <c r="D51" i="7" s="1"/>
  <c r="B50" i="7"/>
  <c r="D50" i="7" s="1"/>
  <c r="B49" i="7"/>
  <c r="B48" i="7"/>
  <c r="B46" i="7"/>
  <c r="D46" i="7" s="1"/>
  <c r="B45" i="7"/>
  <c r="D45" i="7" s="1"/>
  <c r="B44" i="7"/>
  <c r="D44" i="7" s="1"/>
  <c r="B43" i="7"/>
  <c r="B42" i="7"/>
  <c r="D42" i="7" s="1"/>
  <c r="B41" i="7"/>
  <c r="D41" i="7" s="1"/>
  <c r="B39" i="7"/>
  <c r="D39" i="7" s="1"/>
  <c r="B38" i="7"/>
  <c r="B37" i="7"/>
  <c r="D37" i="7" s="1"/>
  <c r="B36" i="7"/>
  <c r="D36" i="7" s="1"/>
  <c r="B35" i="7"/>
  <c r="D35" i="7" s="1"/>
  <c r="B34" i="7"/>
  <c r="B32" i="7"/>
  <c r="D32" i="7" s="1"/>
  <c r="B31" i="7"/>
  <c r="D31" i="7" s="1"/>
  <c r="B30" i="7"/>
  <c r="D30" i="7" s="1"/>
  <c r="B29" i="7"/>
  <c r="D29" i="7" s="1"/>
  <c r="B28" i="7"/>
  <c r="D28" i="7" s="1"/>
  <c r="B27" i="7"/>
  <c r="D27" i="7" s="1"/>
  <c r="D25" i="7"/>
  <c r="B25" i="7"/>
  <c r="B24" i="7"/>
  <c r="D24" i="7" s="1"/>
  <c r="B23" i="7"/>
  <c r="D23" i="7" s="1"/>
  <c r="B22" i="7"/>
  <c r="B21" i="7"/>
  <c r="B20" i="7"/>
  <c r="D20" i="7" s="1"/>
  <c r="D18" i="7"/>
  <c r="B18" i="7"/>
  <c r="B17" i="7"/>
  <c r="D17" i="7" s="1"/>
  <c r="B16" i="7"/>
  <c r="D16" i="7" s="1"/>
  <c r="B15" i="7"/>
  <c r="D15" i="7" s="1"/>
  <c r="B14" i="7"/>
  <c r="D14" i="7" s="1"/>
  <c r="B13" i="7"/>
  <c r="D13" i="7" s="1"/>
  <c r="D11" i="7"/>
  <c r="B11" i="7"/>
  <c r="B10" i="7"/>
  <c r="D10" i="7" s="1"/>
  <c r="B9" i="7"/>
  <c r="D9" i="7" s="1"/>
  <c r="B8" i="7"/>
  <c r="D8" i="7" s="1"/>
  <c r="B7" i="7"/>
  <c r="D7" i="7" s="1"/>
  <c r="B6" i="7"/>
  <c r="D6" i="7" s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6" i="6"/>
  <c r="C5" i="6"/>
  <c r="B88" i="6"/>
  <c r="D88" i="6" s="1"/>
  <c r="D87" i="6"/>
  <c r="B87" i="6"/>
  <c r="B86" i="6"/>
  <c r="D86" i="6" s="1"/>
  <c r="B85" i="6"/>
  <c r="D85" i="6" s="1"/>
  <c r="B84" i="6"/>
  <c r="D84" i="6" s="1"/>
  <c r="D83" i="6"/>
  <c r="B83" i="6"/>
  <c r="D81" i="6"/>
  <c r="B81" i="6"/>
  <c r="B80" i="6"/>
  <c r="D80" i="6" s="1"/>
  <c r="B79" i="6"/>
  <c r="D79" i="6" s="1"/>
  <c r="B78" i="6"/>
  <c r="D78" i="6" s="1"/>
  <c r="D77" i="6"/>
  <c r="B77" i="6"/>
  <c r="D76" i="6"/>
  <c r="B76" i="6"/>
  <c r="B74" i="6"/>
  <c r="D74" i="6" s="1"/>
  <c r="B73" i="6"/>
  <c r="D73" i="6" s="1"/>
  <c r="B72" i="6"/>
  <c r="D72" i="6" s="1"/>
  <c r="D71" i="6"/>
  <c r="B71" i="6"/>
  <c r="D70" i="6"/>
  <c r="B70" i="6"/>
  <c r="B69" i="6"/>
  <c r="D69" i="6" s="1"/>
  <c r="B67" i="6"/>
  <c r="D67" i="6" s="1"/>
  <c r="B66" i="6"/>
  <c r="D66" i="6" s="1"/>
  <c r="D65" i="6"/>
  <c r="B65" i="6"/>
  <c r="B64" i="6"/>
  <c r="B63" i="6"/>
  <c r="D63" i="6" s="1"/>
  <c r="B62" i="6"/>
  <c r="B60" i="6"/>
  <c r="D60" i="6" s="1"/>
  <c r="B59" i="6"/>
  <c r="D59" i="6" s="1"/>
  <c r="B58" i="6"/>
  <c r="D58" i="6" s="1"/>
  <c r="B57" i="6"/>
  <c r="D57" i="6" s="1"/>
  <c r="B56" i="6"/>
  <c r="D56" i="6" s="1"/>
  <c r="B55" i="6"/>
  <c r="D55" i="6" s="1"/>
  <c r="B53" i="6"/>
  <c r="D53" i="6" s="1"/>
  <c r="B52" i="6"/>
  <c r="D52" i="6" s="1"/>
  <c r="B51" i="6"/>
  <c r="D51" i="6" s="1"/>
  <c r="B50" i="6"/>
  <c r="D50" i="6" s="1"/>
  <c r="B49" i="6"/>
  <c r="B48" i="6"/>
  <c r="B46" i="6"/>
  <c r="D46" i="6" s="1"/>
  <c r="B45" i="6"/>
  <c r="D45" i="6" s="1"/>
  <c r="B44" i="6"/>
  <c r="D44" i="6" s="1"/>
  <c r="B43" i="6"/>
  <c r="D43" i="6" s="1"/>
  <c r="B42" i="6"/>
  <c r="D42" i="6" s="1"/>
  <c r="B41" i="6"/>
  <c r="B39" i="6"/>
  <c r="D39" i="6" s="1"/>
  <c r="B38" i="6"/>
  <c r="B37" i="6"/>
  <c r="B36" i="6"/>
  <c r="B35" i="6"/>
  <c r="B34" i="6"/>
  <c r="D34" i="6" s="1"/>
  <c r="B32" i="6"/>
  <c r="D32" i="6" s="1"/>
  <c r="B31" i="6"/>
  <c r="D31" i="6" s="1"/>
  <c r="B30" i="6"/>
  <c r="D30" i="6" s="1"/>
  <c r="B29" i="6"/>
  <c r="D29" i="6" s="1"/>
  <c r="B28" i="6"/>
  <c r="D28" i="6" s="1"/>
  <c r="B27" i="6"/>
  <c r="D27" i="6" s="1"/>
  <c r="D25" i="6"/>
  <c r="B25" i="6"/>
  <c r="B24" i="6"/>
  <c r="D24" i="6" s="1"/>
  <c r="B23" i="6"/>
  <c r="D23" i="6" s="1"/>
  <c r="B22" i="6"/>
  <c r="B21" i="6"/>
  <c r="B20" i="6"/>
  <c r="D18" i="6"/>
  <c r="B18" i="6"/>
  <c r="B17" i="6"/>
  <c r="D17" i="6" s="1"/>
  <c r="B16" i="6"/>
  <c r="D16" i="6" s="1"/>
  <c r="B15" i="6"/>
  <c r="D15" i="6" s="1"/>
  <c r="B14" i="6"/>
  <c r="D14" i="6" s="1"/>
  <c r="B13" i="6"/>
  <c r="D13" i="6" s="1"/>
  <c r="B11" i="6"/>
  <c r="D11" i="6" s="1"/>
  <c r="B10" i="6"/>
  <c r="B9" i="6"/>
  <c r="D9" i="6" s="1"/>
  <c r="B8" i="6"/>
  <c r="D8" i="6" s="1"/>
  <c r="B7" i="6"/>
  <c r="D7" i="6" s="1"/>
  <c r="B6" i="6"/>
  <c r="D6" i="6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6" i="5"/>
  <c r="C5" i="5"/>
  <c r="D88" i="5"/>
  <c r="B88" i="5"/>
  <c r="D87" i="5"/>
  <c r="B87" i="5"/>
  <c r="B86" i="5"/>
  <c r="D86" i="5" s="1"/>
  <c r="B85" i="5"/>
  <c r="D85" i="5" s="1"/>
  <c r="B84" i="5"/>
  <c r="D84" i="5" s="1"/>
  <c r="D83" i="5"/>
  <c r="B83" i="5"/>
  <c r="D81" i="5"/>
  <c r="B81" i="5"/>
  <c r="B80" i="5"/>
  <c r="D80" i="5" s="1"/>
  <c r="B79" i="5"/>
  <c r="D79" i="5" s="1"/>
  <c r="B78" i="5"/>
  <c r="D78" i="5" s="1"/>
  <c r="D77" i="5"/>
  <c r="B77" i="5"/>
  <c r="B76" i="5"/>
  <c r="D76" i="5" s="1"/>
  <c r="B74" i="5"/>
  <c r="D74" i="5" s="1"/>
  <c r="B73" i="5"/>
  <c r="D73" i="5" s="1"/>
  <c r="B72" i="5"/>
  <c r="D72" i="5" s="1"/>
  <c r="D71" i="5"/>
  <c r="B71" i="5"/>
  <c r="B70" i="5"/>
  <c r="D70" i="5" s="1"/>
  <c r="B69" i="5"/>
  <c r="D69" i="5" s="1"/>
  <c r="B67" i="5"/>
  <c r="D67" i="5" s="1"/>
  <c r="B66" i="5"/>
  <c r="D66" i="5" s="1"/>
  <c r="D65" i="5"/>
  <c r="B65" i="5"/>
  <c r="B64" i="5"/>
  <c r="B63" i="5"/>
  <c r="B62" i="5"/>
  <c r="B60" i="5"/>
  <c r="D60" i="5" s="1"/>
  <c r="B59" i="5"/>
  <c r="D59" i="5" s="1"/>
  <c r="B58" i="5"/>
  <c r="D58" i="5" s="1"/>
  <c r="B57" i="5"/>
  <c r="D57" i="5" s="1"/>
  <c r="B56" i="5"/>
  <c r="D56" i="5" s="1"/>
  <c r="B55" i="5"/>
  <c r="D55" i="5" s="1"/>
  <c r="D53" i="5"/>
  <c r="B53" i="5"/>
  <c r="B52" i="5"/>
  <c r="D52" i="5" s="1"/>
  <c r="B51" i="5"/>
  <c r="D51" i="5" s="1"/>
  <c r="B50" i="5"/>
  <c r="D50" i="5" s="1"/>
  <c r="B49" i="5"/>
  <c r="D49" i="5" s="1"/>
  <c r="B48" i="5"/>
  <c r="D48" i="5" s="1"/>
  <c r="B46" i="5"/>
  <c r="D46" i="5" s="1"/>
  <c r="B45" i="5"/>
  <c r="D45" i="5" s="1"/>
  <c r="B44" i="5"/>
  <c r="D44" i="5" s="1"/>
  <c r="B43" i="5"/>
  <c r="D43" i="5" s="1"/>
  <c r="B42" i="5"/>
  <c r="B41" i="5"/>
  <c r="D41" i="5" s="1"/>
  <c r="B39" i="5"/>
  <c r="D39" i="5" s="1"/>
  <c r="B38" i="5"/>
  <c r="B37" i="5"/>
  <c r="D37" i="5" s="1"/>
  <c r="B36" i="5"/>
  <c r="B35" i="5"/>
  <c r="D35" i="5" s="1"/>
  <c r="B34" i="5"/>
  <c r="D34" i="5" s="1"/>
  <c r="B32" i="5"/>
  <c r="D32" i="5" s="1"/>
  <c r="B31" i="5"/>
  <c r="D31" i="5" s="1"/>
  <c r="B30" i="5"/>
  <c r="D30" i="5" s="1"/>
  <c r="B29" i="5"/>
  <c r="D29" i="5" s="1"/>
  <c r="B28" i="5"/>
  <c r="D28" i="5" s="1"/>
  <c r="B27" i="5"/>
  <c r="D27" i="5" s="1"/>
  <c r="B25" i="5"/>
  <c r="D25" i="5" s="1"/>
  <c r="B24" i="5"/>
  <c r="D24" i="5" s="1"/>
  <c r="B23" i="5"/>
  <c r="D23" i="5" s="1"/>
  <c r="B22" i="5"/>
  <c r="B21" i="5"/>
  <c r="B20" i="5"/>
  <c r="D18" i="5"/>
  <c r="B18" i="5"/>
  <c r="B17" i="5"/>
  <c r="D17" i="5" s="1"/>
  <c r="B16" i="5"/>
  <c r="D16" i="5" s="1"/>
  <c r="B15" i="5"/>
  <c r="D15" i="5" s="1"/>
  <c r="B14" i="5"/>
  <c r="D14" i="5" s="1"/>
  <c r="B13" i="5"/>
  <c r="D13" i="5" s="1"/>
  <c r="B11" i="5"/>
  <c r="D11" i="5" s="1"/>
  <c r="B10" i="5"/>
  <c r="D10" i="5" s="1"/>
  <c r="B9" i="5"/>
  <c r="D9" i="5" s="1"/>
  <c r="B8" i="5"/>
  <c r="D8" i="5" s="1"/>
  <c r="B7" i="5"/>
  <c r="D7" i="5" s="1"/>
  <c r="B6" i="5"/>
  <c r="D6" i="5" s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6" i="4"/>
  <c r="C5" i="4"/>
  <c r="B88" i="4"/>
  <c r="D88" i="4" s="1"/>
  <c r="D87" i="4"/>
  <c r="B87" i="4"/>
  <c r="B86" i="4"/>
  <c r="D86" i="4" s="1"/>
  <c r="B85" i="4"/>
  <c r="D85" i="4" s="1"/>
  <c r="D84" i="4"/>
  <c r="B84" i="4"/>
  <c r="D83" i="4"/>
  <c r="B83" i="4"/>
  <c r="D81" i="4"/>
  <c r="B81" i="4"/>
  <c r="B80" i="4"/>
  <c r="D80" i="4" s="1"/>
  <c r="B79" i="4"/>
  <c r="D79" i="4" s="1"/>
  <c r="D78" i="4"/>
  <c r="B78" i="4"/>
  <c r="D77" i="4"/>
  <c r="B77" i="4"/>
  <c r="B76" i="4"/>
  <c r="D76" i="4" s="1"/>
  <c r="B74" i="4"/>
  <c r="D74" i="4" s="1"/>
  <c r="B73" i="4"/>
  <c r="D73" i="4" s="1"/>
  <c r="D72" i="4"/>
  <c r="B72" i="4"/>
  <c r="D71" i="4"/>
  <c r="B71" i="4"/>
  <c r="B70" i="4"/>
  <c r="D70" i="4" s="1"/>
  <c r="B69" i="4"/>
  <c r="D69" i="4" s="1"/>
  <c r="B67" i="4"/>
  <c r="D67" i="4" s="1"/>
  <c r="D66" i="4"/>
  <c r="B66" i="4"/>
  <c r="D65" i="4"/>
  <c r="B65" i="4"/>
  <c r="B64" i="4"/>
  <c r="D64" i="4" s="1"/>
  <c r="B63" i="4"/>
  <c r="B62" i="4"/>
  <c r="D60" i="4"/>
  <c r="B60" i="4"/>
  <c r="B59" i="4"/>
  <c r="D59" i="4" s="1"/>
  <c r="B58" i="4"/>
  <c r="D58" i="4" s="1"/>
  <c r="B57" i="4"/>
  <c r="D57" i="4" s="1"/>
  <c r="B56" i="4"/>
  <c r="D56" i="4" s="1"/>
  <c r="B55" i="4"/>
  <c r="D55" i="4" s="1"/>
  <c r="D53" i="4"/>
  <c r="B53" i="4"/>
  <c r="B52" i="4"/>
  <c r="D52" i="4" s="1"/>
  <c r="B51" i="4"/>
  <c r="D51" i="4" s="1"/>
  <c r="B50" i="4"/>
  <c r="D50" i="4" s="1"/>
  <c r="B49" i="4"/>
  <c r="B48" i="4"/>
  <c r="B46" i="4"/>
  <c r="D46" i="4" s="1"/>
  <c r="B45" i="4"/>
  <c r="D45" i="4" s="1"/>
  <c r="B44" i="4"/>
  <c r="D44" i="4" s="1"/>
  <c r="B43" i="4"/>
  <c r="D43" i="4" s="1"/>
  <c r="B42" i="4"/>
  <c r="D42" i="4" s="1"/>
  <c r="B41" i="4"/>
  <c r="D41" i="4" s="1"/>
  <c r="B39" i="4"/>
  <c r="D39" i="4" s="1"/>
  <c r="B38" i="4"/>
  <c r="B37" i="4"/>
  <c r="B36" i="4"/>
  <c r="B35" i="4"/>
  <c r="B34" i="4"/>
  <c r="B32" i="4"/>
  <c r="D32" i="4" s="1"/>
  <c r="B31" i="4"/>
  <c r="D31" i="4" s="1"/>
  <c r="B30" i="4"/>
  <c r="D30" i="4" s="1"/>
  <c r="B29" i="4"/>
  <c r="D29" i="4" s="1"/>
  <c r="B28" i="4"/>
  <c r="D28" i="4" s="1"/>
  <c r="B27" i="4"/>
  <c r="D27" i="4" s="1"/>
  <c r="D25" i="4"/>
  <c r="B25" i="4"/>
  <c r="B24" i="4"/>
  <c r="D24" i="4" s="1"/>
  <c r="B23" i="4"/>
  <c r="D23" i="4" s="1"/>
  <c r="B22" i="4"/>
  <c r="B21" i="4"/>
  <c r="B20" i="4"/>
  <c r="D18" i="4"/>
  <c r="B18" i="4"/>
  <c r="B17" i="4"/>
  <c r="D17" i="4" s="1"/>
  <c r="B16" i="4"/>
  <c r="D16" i="4" s="1"/>
  <c r="B15" i="4"/>
  <c r="D15" i="4" s="1"/>
  <c r="B14" i="4"/>
  <c r="B13" i="4"/>
  <c r="D13" i="4" s="1"/>
  <c r="B11" i="4"/>
  <c r="D11" i="4" s="1"/>
  <c r="B10" i="4"/>
  <c r="B9" i="4"/>
  <c r="D9" i="4" s="1"/>
  <c r="B8" i="4"/>
  <c r="D8" i="4" s="1"/>
  <c r="B7" i="4"/>
  <c r="B6" i="4"/>
  <c r="D6" i="4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6" i="3"/>
  <c r="C5" i="3"/>
  <c r="B88" i="3"/>
  <c r="D88" i="3" s="1"/>
  <c r="D87" i="3"/>
  <c r="B87" i="3"/>
  <c r="B86" i="3"/>
  <c r="D86" i="3" s="1"/>
  <c r="B85" i="3"/>
  <c r="D85" i="3" s="1"/>
  <c r="B84" i="3"/>
  <c r="D84" i="3" s="1"/>
  <c r="D83" i="3"/>
  <c r="B83" i="3"/>
  <c r="D81" i="3"/>
  <c r="B81" i="3"/>
  <c r="B80" i="3"/>
  <c r="D80" i="3" s="1"/>
  <c r="B79" i="3"/>
  <c r="D79" i="3" s="1"/>
  <c r="B78" i="3"/>
  <c r="D78" i="3" s="1"/>
  <c r="D77" i="3"/>
  <c r="B77" i="3"/>
  <c r="B76" i="3"/>
  <c r="D76" i="3" s="1"/>
  <c r="B74" i="3"/>
  <c r="D74" i="3" s="1"/>
  <c r="B73" i="3"/>
  <c r="D73" i="3" s="1"/>
  <c r="B72" i="3"/>
  <c r="D72" i="3" s="1"/>
  <c r="D71" i="3"/>
  <c r="B71" i="3"/>
  <c r="B70" i="3"/>
  <c r="D70" i="3" s="1"/>
  <c r="B69" i="3"/>
  <c r="D69" i="3" s="1"/>
  <c r="B67" i="3"/>
  <c r="D67" i="3" s="1"/>
  <c r="B66" i="3"/>
  <c r="D66" i="3" s="1"/>
  <c r="D65" i="3"/>
  <c r="B65" i="3"/>
  <c r="B64" i="3"/>
  <c r="B63" i="3"/>
  <c r="B62" i="3"/>
  <c r="B60" i="3"/>
  <c r="D60" i="3" s="1"/>
  <c r="D59" i="3"/>
  <c r="B59" i="3"/>
  <c r="B58" i="3"/>
  <c r="D58" i="3" s="1"/>
  <c r="B57" i="3"/>
  <c r="B56" i="3"/>
  <c r="B55" i="3"/>
  <c r="D55" i="3" s="1"/>
  <c r="B53" i="3"/>
  <c r="D53" i="3" s="1"/>
  <c r="B52" i="3"/>
  <c r="D52" i="3" s="1"/>
  <c r="B51" i="3"/>
  <c r="D51" i="3" s="1"/>
  <c r="B50" i="3"/>
  <c r="D50" i="3" s="1"/>
  <c r="B49" i="3"/>
  <c r="B48" i="3"/>
  <c r="B46" i="3"/>
  <c r="D46" i="3" s="1"/>
  <c r="B45" i="3"/>
  <c r="D45" i="3" s="1"/>
  <c r="B44" i="3"/>
  <c r="D44" i="3" s="1"/>
  <c r="B43" i="3"/>
  <c r="D43" i="3" s="1"/>
  <c r="B42" i="3"/>
  <c r="B41" i="3"/>
  <c r="B39" i="3"/>
  <c r="D39" i="3" s="1"/>
  <c r="B38" i="3"/>
  <c r="B37" i="3"/>
  <c r="B36" i="3"/>
  <c r="D36" i="3" s="1"/>
  <c r="B35" i="3"/>
  <c r="B34" i="3"/>
  <c r="D34" i="3" s="1"/>
  <c r="B32" i="3"/>
  <c r="D32" i="3" s="1"/>
  <c r="B31" i="3"/>
  <c r="D31" i="3" s="1"/>
  <c r="B30" i="3"/>
  <c r="D30" i="3" s="1"/>
  <c r="B29" i="3"/>
  <c r="D29" i="3" s="1"/>
  <c r="B28" i="3"/>
  <c r="D28" i="3" s="1"/>
  <c r="B27" i="3"/>
  <c r="D27" i="3" s="1"/>
  <c r="D25" i="3"/>
  <c r="B25" i="3"/>
  <c r="B24" i="3"/>
  <c r="D24" i="3" s="1"/>
  <c r="B23" i="3"/>
  <c r="D23" i="3" s="1"/>
  <c r="B22" i="3"/>
  <c r="B21" i="3"/>
  <c r="B20" i="3"/>
  <c r="D18" i="3"/>
  <c r="B18" i="3"/>
  <c r="B17" i="3"/>
  <c r="D17" i="3" s="1"/>
  <c r="B16" i="3"/>
  <c r="D16" i="3" s="1"/>
  <c r="B15" i="3"/>
  <c r="D15" i="3" s="1"/>
  <c r="B14" i="3"/>
  <c r="D14" i="3" s="1"/>
  <c r="B13" i="3"/>
  <c r="D13" i="3" s="1"/>
  <c r="B11" i="3"/>
  <c r="D11" i="3" s="1"/>
  <c r="B10" i="3"/>
  <c r="D10" i="3" s="1"/>
  <c r="B9" i="3"/>
  <c r="B8" i="3"/>
  <c r="D8" i="3" s="1"/>
  <c r="B7" i="3"/>
  <c r="D7" i="3" s="1"/>
  <c r="B6" i="3"/>
  <c r="D6" i="3" s="1"/>
  <c r="C5" i="1"/>
  <c r="F4" i="15"/>
  <c r="B2" i="15"/>
  <c r="E88" i="15"/>
  <c r="B88" i="15"/>
  <c r="B87" i="15"/>
  <c r="E87" i="15" s="1"/>
  <c r="B86" i="15"/>
  <c r="E86" i="15" s="1"/>
  <c r="E85" i="15"/>
  <c r="B85" i="15"/>
  <c r="C84" i="15"/>
  <c r="C85" i="15" s="1"/>
  <c r="C86" i="15" s="1"/>
  <c r="C87" i="15" s="1"/>
  <c r="C88" i="15" s="1"/>
  <c r="B84" i="15"/>
  <c r="E84" i="15" s="1"/>
  <c r="E83" i="15"/>
  <c r="C83" i="15"/>
  <c r="B83" i="15"/>
  <c r="F82" i="15"/>
  <c r="E81" i="15"/>
  <c r="B81" i="15"/>
  <c r="B80" i="15"/>
  <c r="E80" i="15" s="1"/>
  <c r="E79" i="15"/>
  <c r="B79" i="15"/>
  <c r="C78" i="15"/>
  <c r="C79" i="15" s="1"/>
  <c r="C80" i="15" s="1"/>
  <c r="C81" i="15" s="1"/>
  <c r="B78" i="15"/>
  <c r="E78" i="15" s="1"/>
  <c r="E77" i="15"/>
  <c r="C77" i="15"/>
  <c r="B77" i="15"/>
  <c r="C76" i="15"/>
  <c r="B76" i="15"/>
  <c r="E76" i="15" s="1"/>
  <c r="F75" i="15"/>
  <c r="B74" i="15"/>
  <c r="E74" i="15" s="1"/>
  <c r="B73" i="15"/>
  <c r="E73" i="15" s="1"/>
  <c r="E72" i="15"/>
  <c r="B72" i="15"/>
  <c r="E71" i="15"/>
  <c r="B71" i="15"/>
  <c r="E70" i="15"/>
  <c r="B70" i="15"/>
  <c r="C69" i="15"/>
  <c r="C70" i="15" s="1"/>
  <c r="C71" i="15" s="1"/>
  <c r="C72" i="15" s="1"/>
  <c r="C73" i="15" s="1"/>
  <c r="C74" i="15" s="1"/>
  <c r="B69" i="15"/>
  <c r="E69" i="15" s="1"/>
  <c r="F68" i="15"/>
  <c r="B67" i="15"/>
  <c r="E67" i="15" s="1"/>
  <c r="E66" i="15"/>
  <c r="B66" i="15"/>
  <c r="B65" i="15"/>
  <c r="E65" i="15" s="1"/>
  <c r="B64" i="15"/>
  <c r="E64" i="15" s="1"/>
  <c r="B63" i="15"/>
  <c r="E63" i="15" s="1"/>
  <c r="C62" i="15"/>
  <c r="C63" i="15" s="1"/>
  <c r="C64" i="15" s="1"/>
  <c r="C65" i="15" s="1"/>
  <c r="C66" i="15" s="1"/>
  <c r="C67" i="15" s="1"/>
  <c r="B62" i="15"/>
  <c r="E62" i="15" s="1"/>
  <c r="F61" i="15"/>
  <c r="B60" i="15"/>
  <c r="E60" i="15" s="1"/>
  <c r="B59" i="15"/>
  <c r="E59" i="15" s="1"/>
  <c r="B58" i="15"/>
  <c r="E58" i="15" s="1"/>
  <c r="E57" i="15"/>
  <c r="B57" i="15"/>
  <c r="C56" i="15"/>
  <c r="C57" i="15" s="1"/>
  <c r="C58" i="15" s="1"/>
  <c r="C59" i="15" s="1"/>
  <c r="C60" i="15" s="1"/>
  <c r="B56" i="15"/>
  <c r="E56" i="15" s="1"/>
  <c r="C55" i="15"/>
  <c r="B55" i="15"/>
  <c r="E55" i="15" s="1"/>
  <c r="F54" i="15"/>
  <c r="E53" i="15"/>
  <c r="B53" i="15"/>
  <c r="B52" i="15"/>
  <c r="E52" i="15" s="1"/>
  <c r="B51" i="15"/>
  <c r="E51" i="15" s="1"/>
  <c r="C50" i="15"/>
  <c r="C51" i="15" s="1"/>
  <c r="C52" i="15" s="1"/>
  <c r="C53" i="15" s="1"/>
  <c r="B50" i="15"/>
  <c r="E50" i="15" s="1"/>
  <c r="E49" i="15"/>
  <c r="C49" i="15"/>
  <c r="B49" i="15"/>
  <c r="C48" i="15"/>
  <c r="B48" i="15"/>
  <c r="E48" i="15" s="1"/>
  <c r="F47" i="15"/>
  <c r="B46" i="15"/>
  <c r="E46" i="15" s="1"/>
  <c r="B45" i="15"/>
  <c r="E45" i="15" s="1"/>
  <c r="B44" i="15"/>
  <c r="E44" i="15" s="1"/>
  <c r="B43" i="15"/>
  <c r="E43" i="15" s="1"/>
  <c r="B42" i="15"/>
  <c r="E42" i="15" s="1"/>
  <c r="C41" i="15"/>
  <c r="C42" i="15" s="1"/>
  <c r="C43" i="15" s="1"/>
  <c r="C44" i="15" s="1"/>
  <c r="C45" i="15" s="1"/>
  <c r="C46" i="15" s="1"/>
  <c r="B41" i="15"/>
  <c r="E41" i="15" s="1"/>
  <c r="F40" i="15"/>
  <c r="B39" i="15"/>
  <c r="E39" i="15" s="1"/>
  <c r="B38" i="15"/>
  <c r="E38" i="15" s="1"/>
  <c r="B37" i="15"/>
  <c r="E37" i="15" s="1"/>
  <c r="B36" i="15"/>
  <c r="E36" i="15" s="1"/>
  <c r="B35" i="15"/>
  <c r="E35" i="15" s="1"/>
  <c r="C34" i="15"/>
  <c r="C35" i="15" s="1"/>
  <c r="C36" i="15" s="1"/>
  <c r="C37" i="15" s="1"/>
  <c r="C38" i="15" s="1"/>
  <c r="C39" i="15" s="1"/>
  <c r="B34" i="15"/>
  <c r="E34" i="15" s="1"/>
  <c r="F33" i="15"/>
  <c r="E32" i="15"/>
  <c r="B32" i="15"/>
  <c r="B31" i="15"/>
  <c r="E31" i="15" s="1"/>
  <c r="B30" i="15"/>
  <c r="E30" i="15" s="1"/>
  <c r="B29" i="15"/>
  <c r="E29" i="15" s="1"/>
  <c r="C28" i="15"/>
  <c r="C29" i="15" s="1"/>
  <c r="C30" i="15" s="1"/>
  <c r="C31" i="15" s="1"/>
  <c r="C32" i="15" s="1"/>
  <c r="B28" i="15"/>
  <c r="E28" i="15" s="1"/>
  <c r="C27" i="15"/>
  <c r="B27" i="15"/>
  <c r="E27" i="15" s="1"/>
  <c r="F26" i="15"/>
  <c r="E25" i="15"/>
  <c r="B25" i="15"/>
  <c r="B24" i="15"/>
  <c r="E24" i="15" s="1"/>
  <c r="B23" i="15"/>
  <c r="E23" i="15" s="1"/>
  <c r="C22" i="15"/>
  <c r="C23" i="15" s="1"/>
  <c r="C24" i="15" s="1"/>
  <c r="C25" i="15" s="1"/>
  <c r="B22" i="15"/>
  <c r="E22" i="15" s="1"/>
  <c r="C21" i="15"/>
  <c r="B21" i="15"/>
  <c r="E21" i="15" s="1"/>
  <c r="C20" i="15"/>
  <c r="B20" i="15"/>
  <c r="E20" i="15" s="1"/>
  <c r="F19" i="15"/>
  <c r="B18" i="15"/>
  <c r="E18" i="15" s="1"/>
  <c r="B17" i="15"/>
  <c r="E17" i="15" s="1"/>
  <c r="B16" i="15"/>
  <c r="E16" i="15" s="1"/>
  <c r="B15" i="15"/>
  <c r="E15" i="15" s="1"/>
  <c r="B14" i="15"/>
  <c r="E14" i="15" s="1"/>
  <c r="C13" i="15"/>
  <c r="C14" i="15" s="1"/>
  <c r="C15" i="15" s="1"/>
  <c r="C16" i="15" s="1"/>
  <c r="C17" i="15" s="1"/>
  <c r="C18" i="15" s="1"/>
  <c r="B13" i="15"/>
  <c r="E13" i="15" s="1"/>
  <c r="F12" i="15"/>
  <c r="D12" i="15"/>
  <c r="D19" i="15" s="1"/>
  <c r="D26" i="15" s="1"/>
  <c r="D33" i="15" s="1"/>
  <c r="D40" i="15" s="1"/>
  <c r="D47" i="15" s="1"/>
  <c r="D54" i="15" s="1"/>
  <c r="D61" i="15" s="1"/>
  <c r="D68" i="15" s="1"/>
  <c r="D75" i="15" s="1"/>
  <c r="D82" i="15" s="1"/>
  <c r="B11" i="15"/>
  <c r="E11" i="15" s="1"/>
  <c r="B10" i="15"/>
  <c r="E10" i="15" s="1"/>
  <c r="B9" i="15"/>
  <c r="E9" i="15" s="1"/>
  <c r="B8" i="15"/>
  <c r="E8" i="15" s="1"/>
  <c r="C7" i="15"/>
  <c r="C8" i="15" s="1"/>
  <c r="C9" i="15" s="1"/>
  <c r="C10" i="15" s="1"/>
  <c r="C11" i="15" s="1"/>
  <c r="B7" i="15"/>
  <c r="E7" i="15" s="1"/>
  <c r="C6" i="15"/>
  <c r="B6" i="15"/>
  <c r="E6" i="15" s="1"/>
  <c r="F5" i="15"/>
  <c r="L3" i="15"/>
  <c r="K3" i="15"/>
  <c r="J3" i="15"/>
  <c r="I3" i="15"/>
  <c r="H3" i="15"/>
  <c r="G3" i="15"/>
  <c r="F3" i="15"/>
  <c r="L1" i="15"/>
  <c r="K1" i="15"/>
  <c r="J1" i="15"/>
  <c r="I1" i="15"/>
  <c r="A1" i="15"/>
  <c r="F4" i="14"/>
  <c r="B2" i="14"/>
  <c r="B88" i="14"/>
  <c r="E88" i="14" s="1"/>
  <c r="E87" i="14"/>
  <c r="B87" i="14"/>
  <c r="B86" i="14"/>
  <c r="E86" i="14" s="1"/>
  <c r="B85" i="14"/>
  <c r="E85" i="14" s="1"/>
  <c r="C84" i="14"/>
  <c r="C85" i="14" s="1"/>
  <c r="C86" i="14" s="1"/>
  <c r="C87" i="14" s="1"/>
  <c r="C88" i="14" s="1"/>
  <c r="B84" i="14"/>
  <c r="E84" i="14" s="1"/>
  <c r="E83" i="14"/>
  <c r="C83" i="14"/>
  <c r="B83" i="14"/>
  <c r="F82" i="14"/>
  <c r="B81" i="14"/>
  <c r="E81" i="14" s="1"/>
  <c r="B80" i="14"/>
  <c r="E80" i="14" s="1"/>
  <c r="E79" i="14"/>
  <c r="B79" i="14"/>
  <c r="C78" i="14"/>
  <c r="C79" i="14" s="1"/>
  <c r="C80" i="14" s="1"/>
  <c r="C81" i="14" s="1"/>
  <c r="B78" i="14"/>
  <c r="E78" i="14" s="1"/>
  <c r="C77" i="14"/>
  <c r="B77" i="14"/>
  <c r="E77" i="14" s="1"/>
  <c r="E76" i="14"/>
  <c r="C76" i="14"/>
  <c r="B76" i="14"/>
  <c r="F75" i="14"/>
  <c r="B74" i="14"/>
  <c r="E74" i="14" s="1"/>
  <c r="E73" i="14"/>
  <c r="B73" i="14"/>
  <c r="E72" i="14"/>
  <c r="B72" i="14"/>
  <c r="B71" i="14"/>
  <c r="E71" i="14" s="1"/>
  <c r="B70" i="14"/>
  <c r="E70" i="14" s="1"/>
  <c r="C69" i="14"/>
  <c r="C70" i="14" s="1"/>
  <c r="C71" i="14" s="1"/>
  <c r="C72" i="14" s="1"/>
  <c r="C73" i="14" s="1"/>
  <c r="C74" i="14" s="1"/>
  <c r="B69" i="14"/>
  <c r="E69" i="14" s="1"/>
  <c r="F68" i="14"/>
  <c r="B67" i="14"/>
  <c r="E67" i="14" s="1"/>
  <c r="E66" i="14"/>
  <c r="B66" i="14"/>
  <c r="E65" i="14"/>
  <c r="B65" i="14"/>
  <c r="B64" i="14"/>
  <c r="E64" i="14" s="1"/>
  <c r="B63" i="14"/>
  <c r="E63" i="14" s="1"/>
  <c r="C62" i="14"/>
  <c r="C63" i="14" s="1"/>
  <c r="C64" i="14" s="1"/>
  <c r="C65" i="14" s="1"/>
  <c r="C66" i="14" s="1"/>
  <c r="C67" i="14" s="1"/>
  <c r="B62" i="14"/>
  <c r="E62" i="14" s="1"/>
  <c r="F61" i="14"/>
  <c r="B60" i="14"/>
  <c r="E60" i="14" s="1"/>
  <c r="B59" i="14"/>
  <c r="E59" i="14" s="1"/>
  <c r="B58" i="14"/>
  <c r="E58" i="14" s="1"/>
  <c r="B57" i="14"/>
  <c r="E57" i="14" s="1"/>
  <c r="C56" i="14"/>
  <c r="C57" i="14" s="1"/>
  <c r="C58" i="14" s="1"/>
  <c r="C59" i="14" s="1"/>
  <c r="C60" i="14" s="1"/>
  <c r="B56" i="14"/>
  <c r="E56" i="14" s="1"/>
  <c r="C55" i="14"/>
  <c r="B55" i="14"/>
  <c r="E55" i="14" s="1"/>
  <c r="F54" i="14"/>
  <c r="B53" i="14"/>
  <c r="E53" i="14" s="1"/>
  <c r="B52" i="14"/>
  <c r="E52" i="14" s="1"/>
  <c r="B51" i="14"/>
  <c r="E51" i="14" s="1"/>
  <c r="C50" i="14"/>
  <c r="C51" i="14" s="1"/>
  <c r="C52" i="14" s="1"/>
  <c r="C53" i="14" s="1"/>
  <c r="B50" i="14"/>
  <c r="E50" i="14" s="1"/>
  <c r="C49" i="14"/>
  <c r="B49" i="14"/>
  <c r="E49" i="14" s="1"/>
  <c r="C48" i="14"/>
  <c r="B48" i="14"/>
  <c r="E48" i="14" s="1"/>
  <c r="F47" i="14"/>
  <c r="B46" i="14"/>
  <c r="E46" i="14" s="1"/>
  <c r="B45" i="14"/>
  <c r="E45" i="14" s="1"/>
  <c r="B44" i="14"/>
  <c r="E44" i="14" s="1"/>
  <c r="B43" i="14"/>
  <c r="E43" i="14" s="1"/>
  <c r="B42" i="14"/>
  <c r="E42" i="14" s="1"/>
  <c r="C41" i="14"/>
  <c r="C42" i="14" s="1"/>
  <c r="C43" i="14" s="1"/>
  <c r="C44" i="14" s="1"/>
  <c r="C45" i="14" s="1"/>
  <c r="C46" i="14" s="1"/>
  <c r="B41" i="14"/>
  <c r="E41" i="14" s="1"/>
  <c r="F40" i="14"/>
  <c r="B39" i="14"/>
  <c r="E39" i="14" s="1"/>
  <c r="B38" i="14"/>
  <c r="E38" i="14" s="1"/>
  <c r="B37" i="14"/>
  <c r="E37" i="14" s="1"/>
  <c r="B36" i="14"/>
  <c r="E36" i="14" s="1"/>
  <c r="B35" i="14"/>
  <c r="E35" i="14" s="1"/>
  <c r="C34" i="14"/>
  <c r="C35" i="14" s="1"/>
  <c r="C36" i="14" s="1"/>
  <c r="C37" i="14" s="1"/>
  <c r="C38" i="14" s="1"/>
  <c r="C39" i="14" s="1"/>
  <c r="B34" i="14"/>
  <c r="E34" i="14" s="1"/>
  <c r="F33" i="14"/>
  <c r="B32" i="14"/>
  <c r="E32" i="14" s="1"/>
  <c r="B31" i="14"/>
  <c r="E31" i="14" s="1"/>
  <c r="B30" i="14"/>
  <c r="E30" i="14" s="1"/>
  <c r="C29" i="14"/>
  <c r="C30" i="14" s="1"/>
  <c r="C31" i="14" s="1"/>
  <c r="C32" i="14" s="1"/>
  <c r="B29" i="14"/>
  <c r="E29" i="14" s="1"/>
  <c r="C28" i="14"/>
  <c r="B28" i="14"/>
  <c r="E28" i="14" s="1"/>
  <c r="C27" i="14"/>
  <c r="B27" i="14"/>
  <c r="E27" i="14" s="1"/>
  <c r="F26" i="14"/>
  <c r="B25" i="14"/>
  <c r="E25" i="14" s="1"/>
  <c r="B24" i="14"/>
  <c r="E24" i="14" s="1"/>
  <c r="B23" i="14"/>
  <c r="E23" i="14" s="1"/>
  <c r="C22" i="14"/>
  <c r="C23" i="14" s="1"/>
  <c r="C24" i="14" s="1"/>
  <c r="C25" i="14" s="1"/>
  <c r="B22" i="14"/>
  <c r="E22" i="14" s="1"/>
  <c r="C21" i="14"/>
  <c r="B21" i="14"/>
  <c r="E21" i="14" s="1"/>
  <c r="C20" i="14"/>
  <c r="B20" i="14"/>
  <c r="E20" i="14" s="1"/>
  <c r="F19" i="14"/>
  <c r="B18" i="14"/>
  <c r="E18" i="14" s="1"/>
  <c r="B17" i="14"/>
  <c r="E17" i="14" s="1"/>
  <c r="B16" i="14"/>
  <c r="E16" i="14" s="1"/>
  <c r="B15" i="14"/>
  <c r="E15" i="14" s="1"/>
  <c r="B14" i="14"/>
  <c r="E14" i="14" s="1"/>
  <c r="C13" i="14"/>
  <c r="C14" i="14" s="1"/>
  <c r="C15" i="14" s="1"/>
  <c r="C16" i="14" s="1"/>
  <c r="C17" i="14" s="1"/>
  <c r="C18" i="14" s="1"/>
  <c r="B13" i="14"/>
  <c r="E13" i="14" s="1"/>
  <c r="F12" i="14"/>
  <c r="D12" i="14"/>
  <c r="D19" i="14" s="1"/>
  <c r="D26" i="14" s="1"/>
  <c r="D33" i="14" s="1"/>
  <c r="D40" i="14" s="1"/>
  <c r="D47" i="14" s="1"/>
  <c r="D54" i="14" s="1"/>
  <c r="D61" i="14" s="1"/>
  <c r="D68" i="14" s="1"/>
  <c r="D75" i="14" s="1"/>
  <c r="D82" i="14" s="1"/>
  <c r="B11" i="14"/>
  <c r="E11" i="14" s="1"/>
  <c r="B10" i="14"/>
  <c r="E10" i="14" s="1"/>
  <c r="B9" i="14"/>
  <c r="E9" i="14" s="1"/>
  <c r="B8" i="14"/>
  <c r="E8" i="14" s="1"/>
  <c r="B7" i="14"/>
  <c r="E7" i="14" s="1"/>
  <c r="C6" i="14"/>
  <c r="C7" i="14" s="1"/>
  <c r="C8" i="14" s="1"/>
  <c r="C9" i="14" s="1"/>
  <c r="C10" i="14" s="1"/>
  <c r="C11" i="14" s="1"/>
  <c r="B6" i="14"/>
  <c r="E6" i="14" s="1"/>
  <c r="F5" i="14"/>
  <c r="L3" i="14"/>
  <c r="K3" i="14"/>
  <c r="J3" i="14"/>
  <c r="I3" i="14"/>
  <c r="H3" i="14"/>
  <c r="G3" i="14"/>
  <c r="F3" i="14"/>
  <c r="L1" i="14"/>
  <c r="K1" i="14"/>
  <c r="J1" i="14"/>
  <c r="I1" i="14"/>
  <c r="A1" i="14"/>
  <c r="F4" i="13"/>
  <c r="B2" i="13"/>
  <c r="B88" i="13"/>
  <c r="E88" i="13" s="1"/>
  <c r="E87" i="13"/>
  <c r="B87" i="13"/>
  <c r="B86" i="13"/>
  <c r="E86" i="13" s="1"/>
  <c r="B85" i="13"/>
  <c r="E85" i="13" s="1"/>
  <c r="C84" i="13"/>
  <c r="C85" i="13" s="1"/>
  <c r="C86" i="13" s="1"/>
  <c r="C87" i="13" s="1"/>
  <c r="C88" i="13" s="1"/>
  <c r="B84" i="13"/>
  <c r="E84" i="13" s="1"/>
  <c r="E83" i="13"/>
  <c r="C83" i="13"/>
  <c r="B83" i="13"/>
  <c r="F82" i="13"/>
  <c r="B81" i="13"/>
  <c r="E81" i="13" s="1"/>
  <c r="B80" i="13"/>
  <c r="E80" i="13" s="1"/>
  <c r="E79" i="13"/>
  <c r="B79" i="13"/>
  <c r="B78" i="13"/>
  <c r="E78" i="13" s="1"/>
  <c r="E77" i="13"/>
  <c r="B77" i="13"/>
  <c r="E76" i="13"/>
  <c r="C76" i="13"/>
  <c r="C77" i="13" s="1"/>
  <c r="C78" i="13" s="1"/>
  <c r="C79" i="13" s="1"/>
  <c r="C80" i="13" s="1"/>
  <c r="C81" i="13" s="1"/>
  <c r="B76" i="13"/>
  <c r="F75" i="13"/>
  <c r="B74" i="13"/>
  <c r="E74" i="13" s="1"/>
  <c r="B73" i="13"/>
  <c r="E73" i="13" s="1"/>
  <c r="E72" i="13"/>
  <c r="B72" i="13"/>
  <c r="B71" i="13"/>
  <c r="E71" i="13" s="1"/>
  <c r="B70" i="13"/>
  <c r="E70" i="13" s="1"/>
  <c r="C69" i="13"/>
  <c r="C70" i="13" s="1"/>
  <c r="C71" i="13" s="1"/>
  <c r="C72" i="13" s="1"/>
  <c r="C73" i="13" s="1"/>
  <c r="C74" i="13" s="1"/>
  <c r="B69" i="13"/>
  <c r="E69" i="13" s="1"/>
  <c r="F68" i="13"/>
  <c r="B67" i="13"/>
  <c r="E67" i="13" s="1"/>
  <c r="E66" i="13"/>
  <c r="B66" i="13"/>
  <c r="B65" i="13"/>
  <c r="E65" i="13" s="1"/>
  <c r="B64" i="13"/>
  <c r="E64" i="13" s="1"/>
  <c r="B63" i="13"/>
  <c r="E63" i="13" s="1"/>
  <c r="C62" i="13"/>
  <c r="C63" i="13" s="1"/>
  <c r="C64" i="13" s="1"/>
  <c r="C65" i="13" s="1"/>
  <c r="C66" i="13" s="1"/>
  <c r="C67" i="13" s="1"/>
  <c r="B62" i="13"/>
  <c r="E62" i="13" s="1"/>
  <c r="F61" i="13"/>
  <c r="B60" i="13"/>
  <c r="E60" i="13" s="1"/>
  <c r="E59" i="13"/>
  <c r="B59" i="13"/>
  <c r="B58" i="13"/>
  <c r="E58" i="13" s="1"/>
  <c r="B57" i="13"/>
  <c r="E57" i="13" s="1"/>
  <c r="C56" i="13"/>
  <c r="C57" i="13" s="1"/>
  <c r="C58" i="13" s="1"/>
  <c r="C59" i="13" s="1"/>
  <c r="C60" i="13" s="1"/>
  <c r="B56" i="13"/>
  <c r="E56" i="13" s="1"/>
  <c r="C55" i="13"/>
  <c r="B55" i="13"/>
  <c r="E55" i="13" s="1"/>
  <c r="F54" i="13"/>
  <c r="B53" i="13"/>
  <c r="E53" i="13" s="1"/>
  <c r="B52" i="13"/>
  <c r="E52" i="13" s="1"/>
  <c r="E51" i="13"/>
  <c r="B51" i="13"/>
  <c r="B50" i="13"/>
  <c r="E50" i="13" s="1"/>
  <c r="B49" i="13"/>
  <c r="E49" i="13" s="1"/>
  <c r="C48" i="13"/>
  <c r="C49" i="13" s="1"/>
  <c r="C50" i="13" s="1"/>
  <c r="C51" i="13" s="1"/>
  <c r="C52" i="13" s="1"/>
  <c r="C53" i="13" s="1"/>
  <c r="B48" i="13"/>
  <c r="E48" i="13" s="1"/>
  <c r="F47" i="13"/>
  <c r="B46" i="13"/>
  <c r="E46" i="13" s="1"/>
  <c r="B45" i="13"/>
  <c r="E45" i="13" s="1"/>
  <c r="B44" i="13"/>
  <c r="E44" i="13" s="1"/>
  <c r="B43" i="13"/>
  <c r="E43" i="13" s="1"/>
  <c r="B42" i="13"/>
  <c r="E42" i="13" s="1"/>
  <c r="C41" i="13"/>
  <c r="C42" i="13" s="1"/>
  <c r="C43" i="13" s="1"/>
  <c r="C44" i="13" s="1"/>
  <c r="C45" i="13" s="1"/>
  <c r="C46" i="13" s="1"/>
  <c r="B41" i="13"/>
  <c r="E41" i="13" s="1"/>
  <c r="F40" i="13"/>
  <c r="B39" i="13"/>
  <c r="E39" i="13" s="1"/>
  <c r="B38" i="13"/>
  <c r="E38" i="13" s="1"/>
  <c r="B37" i="13"/>
  <c r="E37" i="13" s="1"/>
  <c r="B36" i="13"/>
  <c r="E36" i="13" s="1"/>
  <c r="B35" i="13"/>
  <c r="E35" i="13" s="1"/>
  <c r="C34" i="13"/>
  <c r="C35" i="13" s="1"/>
  <c r="C36" i="13" s="1"/>
  <c r="C37" i="13" s="1"/>
  <c r="C38" i="13" s="1"/>
  <c r="C39" i="13" s="1"/>
  <c r="B34" i="13"/>
  <c r="E34" i="13" s="1"/>
  <c r="F33" i="13"/>
  <c r="B32" i="13"/>
  <c r="E32" i="13" s="1"/>
  <c r="B31" i="13"/>
  <c r="E31" i="13" s="1"/>
  <c r="B30" i="13"/>
  <c r="E30" i="13" s="1"/>
  <c r="B29" i="13"/>
  <c r="E29" i="13" s="1"/>
  <c r="C28" i="13"/>
  <c r="C29" i="13" s="1"/>
  <c r="C30" i="13" s="1"/>
  <c r="C31" i="13" s="1"/>
  <c r="C32" i="13" s="1"/>
  <c r="B28" i="13"/>
  <c r="E28" i="13" s="1"/>
  <c r="C27" i="13"/>
  <c r="B27" i="13"/>
  <c r="E27" i="13" s="1"/>
  <c r="F26" i="13"/>
  <c r="B25" i="13"/>
  <c r="E25" i="13" s="1"/>
  <c r="B24" i="13"/>
  <c r="E24" i="13" s="1"/>
  <c r="B23" i="13"/>
  <c r="E23" i="13" s="1"/>
  <c r="B22" i="13"/>
  <c r="E22" i="13" s="1"/>
  <c r="B21" i="13"/>
  <c r="E21" i="13" s="1"/>
  <c r="C20" i="13"/>
  <c r="C21" i="13" s="1"/>
  <c r="C22" i="13" s="1"/>
  <c r="C23" i="13" s="1"/>
  <c r="C24" i="13" s="1"/>
  <c r="C25" i="13" s="1"/>
  <c r="B20" i="13"/>
  <c r="E20" i="13" s="1"/>
  <c r="F19" i="13"/>
  <c r="B18" i="13"/>
  <c r="E18" i="13" s="1"/>
  <c r="B17" i="13"/>
  <c r="E17" i="13" s="1"/>
  <c r="B16" i="13"/>
  <c r="E16" i="13" s="1"/>
  <c r="B15" i="13"/>
  <c r="E15" i="13" s="1"/>
  <c r="B14" i="13"/>
  <c r="E14" i="13" s="1"/>
  <c r="C13" i="13"/>
  <c r="C14" i="13" s="1"/>
  <c r="C15" i="13" s="1"/>
  <c r="C16" i="13" s="1"/>
  <c r="C17" i="13" s="1"/>
  <c r="C18" i="13" s="1"/>
  <c r="B13" i="13"/>
  <c r="E13" i="13" s="1"/>
  <c r="F12" i="13"/>
  <c r="D12" i="13"/>
  <c r="D19" i="13" s="1"/>
  <c r="D26" i="13" s="1"/>
  <c r="D33" i="13" s="1"/>
  <c r="D40" i="13" s="1"/>
  <c r="D47" i="13" s="1"/>
  <c r="D54" i="13" s="1"/>
  <c r="D61" i="13" s="1"/>
  <c r="D68" i="13" s="1"/>
  <c r="D75" i="13" s="1"/>
  <c r="D82" i="13" s="1"/>
  <c r="B11" i="13"/>
  <c r="E11" i="13" s="1"/>
  <c r="B10" i="13"/>
  <c r="E10" i="13" s="1"/>
  <c r="B9" i="13"/>
  <c r="E9" i="13" s="1"/>
  <c r="B8" i="13"/>
  <c r="E8" i="13" s="1"/>
  <c r="B7" i="13"/>
  <c r="E7" i="13" s="1"/>
  <c r="C6" i="13"/>
  <c r="C7" i="13" s="1"/>
  <c r="C8" i="13" s="1"/>
  <c r="C9" i="13" s="1"/>
  <c r="C10" i="13" s="1"/>
  <c r="C11" i="13" s="1"/>
  <c r="B6" i="13"/>
  <c r="E6" i="13" s="1"/>
  <c r="F5" i="13"/>
  <c r="L3" i="13"/>
  <c r="K3" i="13"/>
  <c r="J3" i="13"/>
  <c r="I3" i="13"/>
  <c r="H3" i="13"/>
  <c r="G3" i="13"/>
  <c r="F3" i="13"/>
  <c r="L1" i="13"/>
  <c r="K1" i="13"/>
  <c r="J1" i="13"/>
  <c r="I1" i="13"/>
  <c r="A1" i="13"/>
  <c r="B2" i="12"/>
  <c r="F4" i="12"/>
  <c r="E88" i="12"/>
  <c r="B88" i="12"/>
  <c r="B87" i="12"/>
  <c r="E87" i="12" s="1"/>
  <c r="B86" i="12"/>
  <c r="E86" i="12" s="1"/>
  <c r="B85" i="12"/>
  <c r="E85" i="12" s="1"/>
  <c r="C84" i="12"/>
  <c r="C85" i="12" s="1"/>
  <c r="C86" i="12" s="1"/>
  <c r="C87" i="12" s="1"/>
  <c r="C88" i="12" s="1"/>
  <c r="B84" i="12"/>
  <c r="E84" i="12" s="1"/>
  <c r="E83" i="12"/>
  <c r="C83" i="12"/>
  <c r="B83" i="12"/>
  <c r="F82" i="12"/>
  <c r="B81" i="12"/>
  <c r="E81" i="12" s="1"/>
  <c r="B80" i="12"/>
  <c r="E80" i="12" s="1"/>
  <c r="C79" i="12"/>
  <c r="C80" i="12" s="1"/>
  <c r="C81" i="12" s="1"/>
  <c r="B79" i="12"/>
  <c r="E79" i="12" s="1"/>
  <c r="E78" i="12"/>
  <c r="C78" i="12"/>
  <c r="B78" i="12"/>
  <c r="E77" i="12"/>
  <c r="C77" i="12"/>
  <c r="B77" i="12"/>
  <c r="C76" i="12"/>
  <c r="B76" i="12"/>
  <c r="E76" i="12" s="1"/>
  <c r="F75" i="12"/>
  <c r="B74" i="12"/>
  <c r="E74" i="12" s="1"/>
  <c r="B73" i="12"/>
  <c r="E73" i="12" s="1"/>
  <c r="E72" i="12"/>
  <c r="B72" i="12"/>
  <c r="E71" i="12"/>
  <c r="B71" i="12"/>
  <c r="E70" i="12"/>
  <c r="B70" i="12"/>
  <c r="C69" i="12"/>
  <c r="C70" i="12" s="1"/>
  <c r="C71" i="12" s="1"/>
  <c r="C72" i="12" s="1"/>
  <c r="C73" i="12" s="1"/>
  <c r="C74" i="12" s="1"/>
  <c r="B69" i="12"/>
  <c r="E69" i="12" s="1"/>
  <c r="F68" i="12"/>
  <c r="B67" i="12"/>
  <c r="E67" i="12" s="1"/>
  <c r="E66" i="12"/>
  <c r="B66" i="12"/>
  <c r="B65" i="12"/>
  <c r="E65" i="12" s="1"/>
  <c r="B64" i="12"/>
  <c r="E64" i="12" s="1"/>
  <c r="B63" i="12"/>
  <c r="E63" i="12" s="1"/>
  <c r="C62" i="12"/>
  <c r="C63" i="12" s="1"/>
  <c r="C64" i="12" s="1"/>
  <c r="C65" i="12" s="1"/>
  <c r="C66" i="12" s="1"/>
  <c r="C67" i="12" s="1"/>
  <c r="B62" i="12"/>
  <c r="E62" i="12" s="1"/>
  <c r="F61" i="12"/>
  <c r="B60" i="12"/>
  <c r="E60" i="12" s="1"/>
  <c r="B59" i="12"/>
  <c r="E59" i="12" s="1"/>
  <c r="B58" i="12"/>
  <c r="E58" i="12" s="1"/>
  <c r="B57" i="12"/>
  <c r="E57" i="12" s="1"/>
  <c r="C56" i="12"/>
  <c r="C57" i="12" s="1"/>
  <c r="C58" i="12" s="1"/>
  <c r="C59" i="12" s="1"/>
  <c r="C60" i="12" s="1"/>
  <c r="B56" i="12"/>
  <c r="E56" i="12" s="1"/>
  <c r="E55" i="12"/>
  <c r="C55" i="12"/>
  <c r="B55" i="12"/>
  <c r="F54" i="12"/>
  <c r="E53" i="12"/>
  <c r="B53" i="12"/>
  <c r="B52" i="12"/>
  <c r="E52" i="12" s="1"/>
  <c r="B51" i="12"/>
  <c r="E51" i="12" s="1"/>
  <c r="E50" i="12"/>
  <c r="C50" i="12"/>
  <c r="C51" i="12" s="1"/>
  <c r="C52" i="12" s="1"/>
  <c r="C53" i="12" s="1"/>
  <c r="B50" i="12"/>
  <c r="C49" i="12"/>
  <c r="B49" i="12"/>
  <c r="E49" i="12" s="1"/>
  <c r="C48" i="12"/>
  <c r="B48" i="12"/>
  <c r="E48" i="12" s="1"/>
  <c r="F47" i="12"/>
  <c r="B46" i="12"/>
  <c r="E46" i="12" s="1"/>
  <c r="B45" i="12"/>
  <c r="E45" i="12" s="1"/>
  <c r="C44" i="12"/>
  <c r="C45" i="12" s="1"/>
  <c r="C46" i="12" s="1"/>
  <c r="B44" i="12"/>
  <c r="E44" i="12" s="1"/>
  <c r="C43" i="12"/>
  <c r="B43" i="12"/>
  <c r="E43" i="12" s="1"/>
  <c r="C42" i="12"/>
  <c r="B42" i="12"/>
  <c r="E42" i="12" s="1"/>
  <c r="C41" i="12"/>
  <c r="B41" i="12"/>
  <c r="E41" i="12" s="1"/>
  <c r="F40" i="12"/>
  <c r="B39" i="12"/>
  <c r="E39" i="12" s="1"/>
  <c r="B38" i="12"/>
  <c r="E38" i="12" s="1"/>
  <c r="B37" i="12"/>
  <c r="E37" i="12" s="1"/>
  <c r="B36" i="12"/>
  <c r="E36" i="12" s="1"/>
  <c r="B35" i="12"/>
  <c r="E35" i="12" s="1"/>
  <c r="C34" i="12"/>
  <c r="C35" i="12" s="1"/>
  <c r="C36" i="12" s="1"/>
  <c r="C37" i="12" s="1"/>
  <c r="C38" i="12" s="1"/>
  <c r="C39" i="12" s="1"/>
  <c r="B34" i="12"/>
  <c r="E34" i="12" s="1"/>
  <c r="F33" i="12"/>
  <c r="E32" i="12"/>
  <c r="B32" i="12"/>
  <c r="B31" i="12"/>
  <c r="E31" i="12" s="1"/>
  <c r="B30" i="12"/>
  <c r="E30" i="12" s="1"/>
  <c r="B29" i="12"/>
  <c r="E29" i="12" s="1"/>
  <c r="C28" i="12"/>
  <c r="C29" i="12" s="1"/>
  <c r="C30" i="12" s="1"/>
  <c r="C31" i="12" s="1"/>
  <c r="C32" i="12" s="1"/>
  <c r="B28" i="12"/>
  <c r="E28" i="12" s="1"/>
  <c r="C27" i="12"/>
  <c r="B27" i="12"/>
  <c r="E27" i="12" s="1"/>
  <c r="F26" i="12"/>
  <c r="E25" i="12"/>
  <c r="B25" i="12"/>
  <c r="B24" i="12"/>
  <c r="E24" i="12" s="1"/>
  <c r="B23" i="12"/>
  <c r="E23" i="12" s="1"/>
  <c r="C22" i="12"/>
  <c r="C23" i="12" s="1"/>
  <c r="C24" i="12" s="1"/>
  <c r="C25" i="12" s="1"/>
  <c r="B22" i="12"/>
  <c r="E22" i="12" s="1"/>
  <c r="C21" i="12"/>
  <c r="B21" i="12"/>
  <c r="E21" i="12" s="1"/>
  <c r="C20" i="12"/>
  <c r="B20" i="12"/>
  <c r="E20" i="12" s="1"/>
  <c r="F19" i="12"/>
  <c r="B18" i="12"/>
  <c r="E18" i="12" s="1"/>
  <c r="B17" i="12"/>
  <c r="E17" i="12" s="1"/>
  <c r="C16" i="12"/>
  <c r="C17" i="12" s="1"/>
  <c r="C18" i="12" s="1"/>
  <c r="B16" i="12"/>
  <c r="E16" i="12" s="1"/>
  <c r="C15" i="12"/>
  <c r="B15" i="12"/>
  <c r="E15" i="12" s="1"/>
  <c r="C14" i="12"/>
  <c r="B14" i="12"/>
  <c r="E14" i="12" s="1"/>
  <c r="C13" i="12"/>
  <c r="B13" i="12"/>
  <c r="E13" i="12" s="1"/>
  <c r="F12" i="12"/>
  <c r="D12" i="12"/>
  <c r="D19" i="12" s="1"/>
  <c r="D26" i="12" s="1"/>
  <c r="D33" i="12" s="1"/>
  <c r="D40" i="12" s="1"/>
  <c r="D47" i="12" s="1"/>
  <c r="D54" i="12" s="1"/>
  <c r="D61" i="12" s="1"/>
  <c r="D68" i="12" s="1"/>
  <c r="D75" i="12" s="1"/>
  <c r="D82" i="12" s="1"/>
  <c r="B11" i="12"/>
  <c r="E11" i="12" s="1"/>
  <c r="B10" i="12"/>
  <c r="E10" i="12" s="1"/>
  <c r="B9" i="12"/>
  <c r="E9" i="12" s="1"/>
  <c r="B8" i="12"/>
  <c r="E8" i="12" s="1"/>
  <c r="B7" i="12"/>
  <c r="E7" i="12" s="1"/>
  <c r="C6" i="12"/>
  <c r="C7" i="12" s="1"/>
  <c r="C8" i="12" s="1"/>
  <c r="C9" i="12" s="1"/>
  <c r="C10" i="12" s="1"/>
  <c r="C11" i="12" s="1"/>
  <c r="B6" i="12"/>
  <c r="E6" i="12" s="1"/>
  <c r="F5" i="12"/>
  <c r="L3" i="12"/>
  <c r="K3" i="12"/>
  <c r="J3" i="12"/>
  <c r="I3" i="12"/>
  <c r="H3" i="12"/>
  <c r="G3" i="12"/>
  <c r="F3" i="12"/>
  <c r="L1" i="12"/>
  <c r="K1" i="12"/>
  <c r="J1" i="12"/>
  <c r="I1" i="12"/>
  <c r="A1" i="12"/>
  <c r="F4" i="11"/>
  <c r="B2" i="11"/>
  <c r="E88" i="11"/>
  <c r="B88" i="11"/>
  <c r="B87" i="11"/>
  <c r="E87" i="11" s="1"/>
  <c r="E86" i="11"/>
  <c r="B86" i="11"/>
  <c r="E85" i="11"/>
  <c r="B85" i="11"/>
  <c r="E84" i="11"/>
  <c r="C84" i="11"/>
  <c r="C85" i="11" s="1"/>
  <c r="C86" i="11" s="1"/>
  <c r="C87" i="11" s="1"/>
  <c r="C88" i="11" s="1"/>
  <c r="B84" i="11"/>
  <c r="C83" i="11"/>
  <c r="B83" i="11"/>
  <c r="E83" i="11" s="1"/>
  <c r="F82" i="11"/>
  <c r="B81" i="11"/>
  <c r="E81" i="11" s="1"/>
  <c r="E80" i="11"/>
  <c r="B80" i="11"/>
  <c r="B79" i="11"/>
  <c r="E79" i="11" s="1"/>
  <c r="E78" i="11"/>
  <c r="B78" i="11"/>
  <c r="E77" i="11"/>
  <c r="B77" i="11"/>
  <c r="C76" i="11"/>
  <c r="C77" i="11" s="1"/>
  <c r="C78" i="11" s="1"/>
  <c r="C79" i="11" s="1"/>
  <c r="C80" i="11" s="1"/>
  <c r="C81" i="11" s="1"/>
  <c r="B76" i="11"/>
  <c r="E76" i="11" s="1"/>
  <c r="F75" i="11"/>
  <c r="E74" i="11"/>
  <c r="B74" i="11"/>
  <c r="B73" i="11"/>
  <c r="E73" i="11" s="1"/>
  <c r="B72" i="11"/>
  <c r="E72" i="11" s="1"/>
  <c r="E71" i="11"/>
  <c r="B71" i="11"/>
  <c r="B70" i="11"/>
  <c r="E70" i="11" s="1"/>
  <c r="E69" i="11"/>
  <c r="C69" i="11"/>
  <c r="C70" i="11" s="1"/>
  <c r="C71" i="11" s="1"/>
  <c r="C72" i="11" s="1"/>
  <c r="C73" i="11" s="1"/>
  <c r="C74" i="11" s="1"/>
  <c r="B69" i="11"/>
  <c r="F68" i="11"/>
  <c r="E67" i="11"/>
  <c r="B67" i="11"/>
  <c r="B66" i="11"/>
  <c r="E66" i="11" s="1"/>
  <c r="B65" i="11"/>
  <c r="E65" i="11" s="1"/>
  <c r="B64" i="11"/>
  <c r="E64" i="11" s="1"/>
  <c r="E63" i="11"/>
  <c r="B63" i="11"/>
  <c r="C62" i="11"/>
  <c r="C63" i="11" s="1"/>
  <c r="C64" i="11" s="1"/>
  <c r="C65" i="11" s="1"/>
  <c r="C66" i="11" s="1"/>
  <c r="C67" i="11" s="1"/>
  <c r="B62" i="11"/>
  <c r="E62" i="11" s="1"/>
  <c r="F61" i="11"/>
  <c r="B60" i="11"/>
  <c r="E60" i="11" s="1"/>
  <c r="B59" i="11"/>
  <c r="E59" i="11" s="1"/>
  <c r="B58" i="11"/>
  <c r="E58" i="11" s="1"/>
  <c r="E57" i="11"/>
  <c r="B57" i="11"/>
  <c r="C56" i="11"/>
  <c r="C57" i="11" s="1"/>
  <c r="C58" i="11" s="1"/>
  <c r="C59" i="11" s="1"/>
  <c r="C60" i="11" s="1"/>
  <c r="B56" i="11"/>
  <c r="E56" i="11" s="1"/>
  <c r="C55" i="11"/>
  <c r="B55" i="11"/>
  <c r="E55" i="11" s="1"/>
  <c r="F54" i="11"/>
  <c r="B53" i="11"/>
  <c r="E53" i="11" s="1"/>
  <c r="E52" i="11"/>
  <c r="B52" i="11"/>
  <c r="B51" i="11"/>
  <c r="E51" i="11" s="1"/>
  <c r="E50" i="11"/>
  <c r="B50" i="11"/>
  <c r="E49" i="11"/>
  <c r="B49" i="11"/>
  <c r="C48" i="11"/>
  <c r="C49" i="11" s="1"/>
  <c r="C50" i="11" s="1"/>
  <c r="C51" i="11" s="1"/>
  <c r="C52" i="11" s="1"/>
  <c r="C53" i="11" s="1"/>
  <c r="B48" i="11"/>
  <c r="E48" i="11" s="1"/>
  <c r="F47" i="11"/>
  <c r="B46" i="11"/>
  <c r="E46" i="11" s="1"/>
  <c r="B45" i="11"/>
  <c r="E45" i="11" s="1"/>
  <c r="B44" i="11"/>
  <c r="E44" i="11" s="1"/>
  <c r="B43" i="11"/>
  <c r="E43" i="11" s="1"/>
  <c r="B42" i="11"/>
  <c r="E42" i="11" s="1"/>
  <c r="C41" i="11"/>
  <c r="C42" i="11" s="1"/>
  <c r="C43" i="11" s="1"/>
  <c r="C44" i="11" s="1"/>
  <c r="C45" i="11" s="1"/>
  <c r="C46" i="11" s="1"/>
  <c r="B41" i="11"/>
  <c r="E41" i="11" s="1"/>
  <c r="F40" i="11"/>
  <c r="B39" i="11"/>
  <c r="E39" i="11" s="1"/>
  <c r="B38" i="11"/>
  <c r="E38" i="11" s="1"/>
  <c r="B37" i="11"/>
  <c r="E37" i="11" s="1"/>
  <c r="B36" i="11"/>
  <c r="E36" i="11" s="1"/>
  <c r="B35" i="11"/>
  <c r="E35" i="11" s="1"/>
  <c r="C34" i="11"/>
  <c r="C35" i="11" s="1"/>
  <c r="C36" i="11" s="1"/>
  <c r="C37" i="11" s="1"/>
  <c r="C38" i="11" s="1"/>
  <c r="C39" i="11" s="1"/>
  <c r="B34" i="11"/>
  <c r="E34" i="11" s="1"/>
  <c r="F33" i="11"/>
  <c r="E32" i="11"/>
  <c r="B32" i="11"/>
  <c r="B31" i="11"/>
  <c r="E31" i="11" s="1"/>
  <c r="B30" i="11"/>
  <c r="E30" i="11" s="1"/>
  <c r="B29" i="11"/>
  <c r="E29" i="11" s="1"/>
  <c r="C28" i="11"/>
  <c r="C29" i="11" s="1"/>
  <c r="C30" i="11" s="1"/>
  <c r="C31" i="11" s="1"/>
  <c r="C32" i="11" s="1"/>
  <c r="B28" i="11"/>
  <c r="E28" i="11" s="1"/>
  <c r="C27" i="11"/>
  <c r="B27" i="11"/>
  <c r="E27" i="11" s="1"/>
  <c r="F26" i="11"/>
  <c r="B25" i="11"/>
  <c r="E25" i="11" s="1"/>
  <c r="B24" i="11"/>
  <c r="E24" i="11" s="1"/>
  <c r="B23" i="11"/>
  <c r="E23" i="11" s="1"/>
  <c r="B22" i="11"/>
  <c r="E22" i="11" s="1"/>
  <c r="B21" i="11"/>
  <c r="E21" i="11" s="1"/>
  <c r="C20" i="11"/>
  <c r="C21" i="11" s="1"/>
  <c r="C22" i="11" s="1"/>
  <c r="C23" i="11" s="1"/>
  <c r="C24" i="11" s="1"/>
  <c r="C25" i="11" s="1"/>
  <c r="B20" i="11"/>
  <c r="E20" i="11" s="1"/>
  <c r="F19" i="11"/>
  <c r="D19" i="11"/>
  <c r="D26" i="11" s="1"/>
  <c r="D33" i="11" s="1"/>
  <c r="D40" i="11" s="1"/>
  <c r="D47" i="11" s="1"/>
  <c r="D54" i="11" s="1"/>
  <c r="D61" i="11" s="1"/>
  <c r="D68" i="11" s="1"/>
  <c r="D75" i="11" s="1"/>
  <c r="D82" i="11" s="1"/>
  <c r="E18" i="11"/>
  <c r="B18" i="11"/>
  <c r="B17" i="11"/>
  <c r="E17" i="11" s="1"/>
  <c r="B16" i="11"/>
  <c r="E16" i="11" s="1"/>
  <c r="B15" i="11"/>
  <c r="E15" i="11" s="1"/>
  <c r="B14" i="11"/>
  <c r="E14" i="11" s="1"/>
  <c r="C13" i="11"/>
  <c r="C14" i="11" s="1"/>
  <c r="C15" i="11" s="1"/>
  <c r="C16" i="11" s="1"/>
  <c r="C17" i="11" s="1"/>
  <c r="C18" i="11" s="1"/>
  <c r="B13" i="11"/>
  <c r="E13" i="11" s="1"/>
  <c r="F12" i="11"/>
  <c r="D12" i="11"/>
  <c r="E11" i="11"/>
  <c r="B11" i="11"/>
  <c r="B10" i="11"/>
  <c r="E10" i="11" s="1"/>
  <c r="B9" i="11"/>
  <c r="E9" i="11" s="1"/>
  <c r="B8" i="11"/>
  <c r="E8" i="11" s="1"/>
  <c r="B7" i="11"/>
  <c r="E7" i="11" s="1"/>
  <c r="C6" i="11"/>
  <c r="C7" i="11" s="1"/>
  <c r="C8" i="11" s="1"/>
  <c r="C9" i="11" s="1"/>
  <c r="C10" i="11" s="1"/>
  <c r="C11" i="11" s="1"/>
  <c r="B6" i="11"/>
  <c r="E6" i="11" s="1"/>
  <c r="F5" i="11"/>
  <c r="L3" i="11"/>
  <c r="K3" i="11"/>
  <c r="J3" i="11"/>
  <c r="I3" i="11"/>
  <c r="H3" i="11"/>
  <c r="G3" i="11"/>
  <c r="F3" i="11"/>
  <c r="L1" i="11"/>
  <c r="K1" i="11"/>
  <c r="J1" i="11"/>
  <c r="I1" i="11"/>
  <c r="A1" i="11"/>
  <c r="F4" i="10"/>
  <c r="B2" i="10"/>
  <c r="B88" i="10"/>
  <c r="E88" i="10" s="1"/>
  <c r="B87" i="10"/>
  <c r="E87" i="10" s="1"/>
  <c r="B86" i="10"/>
  <c r="E86" i="10" s="1"/>
  <c r="E85" i="10"/>
  <c r="B85" i="10"/>
  <c r="C84" i="10"/>
  <c r="C85" i="10" s="1"/>
  <c r="C86" i="10" s="1"/>
  <c r="C87" i="10" s="1"/>
  <c r="C88" i="10" s="1"/>
  <c r="B84" i="10"/>
  <c r="E84" i="10" s="1"/>
  <c r="E83" i="10"/>
  <c r="C83" i="10"/>
  <c r="B83" i="10"/>
  <c r="F82" i="10"/>
  <c r="B81" i="10"/>
  <c r="E81" i="10" s="1"/>
  <c r="B80" i="10"/>
  <c r="E80" i="10" s="1"/>
  <c r="B79" i="10"/>
  <c r="E79" i="10" s="1"/>
  <c r="C78" i="10"/>
  <c r="C79" i="10" s="1"/>
  <c r="C80" i="10" s="1"/>
  <c r="C81" i="10" s="1"/>
  <c r="B78" i="10"/>
  <c r="E78" i="10" s="1"/>
  <c r="C77" i="10"/>
  <c r="B77" i="10"/>
  <c r="E77" i="10" s="1"/>
  <c r="C76" i="10"/>
  <c r="B76" i="10"/>
  <c r="E76" i="10" s="1"/>
  <c r="F75" i="10"/>
  <c r="B74" i="10"/>
  <c r="E74" i="10" s="1"/>
  <c r="B73" i="10"/>
  <c r="E73" i="10" s="1"/>
  <c r="E72" i="10"/>
  <c r="B72" i="10"/>
  <c r="E71" i="10"/>
  <c r="B71" i="10"/>
  <c r="E70" i="10"/>
  <c r="B70" i="10"/>
  <c r="C69" i="10"/>
  <c r="C70" i="10" s="1"/>
  <c r="C71" i="10" s="1"/>
  <c r="C72" i="10" s="1"/>
  <c r="C73" i="10" s="1"/>
  <c r="C74" i="10" s="1"/>
  <c r="B69" i="10"/>
  <c r="E69" i="10" s="1"/>
  <c r="F68" i="10"/>
  <c r="B67" i="10"/>
  <c r="E67" i="10" s="1"/>
  <c r="E66" i="10"/>
  <c r="B66" i="10"/>
  <c r="E65" i="10"/>
  <c r="B65" i="10"/>
  <c r="B64" i="10"/>
  <c r="E64" i="10" s="1"/>
  <c r="C63" i="10"/>
  <c r="C64" i="10" s="1"/>
  <c r="C65" i="10" s="1"/>
  <c r="C66" i="10" s="1"/>
  <c r="C67" i="10" s="1"/>
  <c r="B63" i="10"/>
  <c r="E63" i="10" s="1"/>
  <c r="C62" i="10"/>
  <c r="B62" i="10"/>
  <c r="E62" i="10" s="1"/>
  <c r="F61" i="10"/>
  <c r="B60" i="10"/>
  <c r="E60" i="10" s="1"/>
  <c r="B59" i="10"/>
  <c r="E59" i="10" s="1"/>
  <c r="B58" i="10"/>
  <c r="E58" i="10" s="1"/>
  <c r="B57" i="10"/>
  <c r="E57" i="10" s="1"/>
  <c r="C56" i="10"/>
  <c r="C57" i="10" s="1"/>
  <c r="C58" i="10" s="1"/>
  <c r="C59" i="10" s="1"/>
  <c r="C60" i="10" s="1"/>
  <c r="B56" i="10"/>
  <c r="E56" i="10" s="1"/>
  <c r="C55" i="10"/>
  <c r="B55" i="10"/>
  <c r="E55" i="10" s="1"/>
  <c r="F54" i="10"/>
  <c r="B53" i="10"/>
  <c r="E53" i="10" s="1"/>
  <c r="B52" i="10"/>
  <c r="E52" i="10" s="1"/>
  <c r="B51" i="10"/>
  <c r="E51" i="10" s="1"/>
  <c r="C50" i="10"/>
  <c r="C51" i="10" s="1"/>
  <c r="C52" i="10" s="1"/>
  <c r="C53" i="10" s="1"/>
  <c r="B50" i="10"/>
  <c r="E50" i="10" s="1"/>
  <c r="C49" i="10"/>
  <c r="B49" i="10"/>
  <c r="E49" i="10" s="1"/>
  <c r="C48" i="10"/>
  <c r="B48" i="10"/>
  <c r="E48" i="10" s="1"/>
  <c r="F47" i="10"/>
  <c r="B46" i="10"/>
  <c r="E46" i="10" s="1"/>
  <c r="B45" i="10"/>
  <c r="E45" i="10" s="1"/>
  <c r="B44" i="10"/>
  <c r="E44" i="10" s="1"/>
  <c r="B43" i="10"/>
  <c r="E43" i="10" s="1"/>
  <c r="B42" i="10"/>
  <c r="E42" i="10" s="1"/>
  <c r="C41" i="10"/>
  <c r="C42" i="10" s="1"/>
  <c r="C43" i="10" s="1"/>
  <c r="C44" i="10" s="1"/>
  <c r="C45" i="10" s="1"/>
  <c r="C46" i="10" s="1"/>
  <c r="B41" i="10"/>
  <c r="E41" i="10" s="1"/>
  <c r="F40" i="10"/>
  <c r="B39" i="10"/>
  <c r="E39" i="10" s="1"/>
  <c r="B38" i="10"/>
  <c r="E38" i="10" s="1"/>
  <c r="B37" i="10"/>
  <c r="E37" i="10" s="1"/>
  <c r="B36" i="10"/>
  <c r="E36" i="10" s="1"/>
  <c r="C35" i="10"/>
  <c r="C36" i="10" s="1"/>
  <c r="C37" i="10" s="1"/>
  <c r="C38" i="10" s="1"/>
  <c r="C39" i="10" s="1"/>
  <c r="B35" i="10"/>
  <c r="E35" i="10" s="1"/>
  <c r="C34" i="10"/>
  <c r="B34" i="10"/>
  <c r="E34" i="10" s="1"/>
  <c r="F33" i="10"/>
  <c r="B32" i="10"/>
  <c r="E32" i="10" s="1"/>
  <c r="B31" i="10"/>
  <c r="E31" i="10" s="1"/>
  <c r="B30" i="10"/>
  <c r="E30" i="10" s="1"/>
  <c r="B29" i="10"/>
  <c r="E29" i="10" s="1"/>
  <c r="C28" i="10"/>
  <c r="C29" i="10" s="1"/>
  <c r="C30" i="10" s="1"/>
  <c r="C31" i="10" s="1"/>
  <c r="C32" i="10" s="1"/>
  <c r="B28" i="10"/>
  <c r="E28" i="10" s="1"/>
  <c r="C27" i="10"/>
  <c r="B27" i="10"/>
  <c r="E27" i="10" s="1"/>
  <c r="F26" i="10"/>
  <c r="B25" i="10"/>
  <c r="E25" i="10" s="1"/>
  <c r="B24" i="10"/>
  <c r="E24" i="10" s="1"/>
  <c r="B23" i="10"/>
  <c r="E23" i="10" s="1"/>
  <c r="C22" i="10"/>
  <c r="C23" i="10" s="1"/>
  <c r="C24" i="10" s="1"/>
  <c r="C25" i="10" s="1"/>
  <c r="B22" i="10"/>
  <c r="E22" i="10" s="1"/>
  <c r="C21" i="10"/>
  <c r="B21" i="10"/>
  <c r="E21" i="10" s="1"/>
  <c r="C20" i="10"/>
  <c r="B20" i="10"/>
  <c r="E20" i="10" s="1"/>
  <c r="F19" i="10"/>
  <c r="B18" i="10"/>
  <c r="E18" i="10" s="1"/>
  <c r="B17" i="10"/>
  <c r="E17" i="10" s="1"/>
  <c r="B16" i="10"/>
  <c r="E16" i="10" s="1"/>
  <c r="B15" i="10"/>
  <c r="E15" i="10" s="1"/>
  <c r="B14" i="10"/>
  <c r="E14" i="10" s="1"/>
  <c r="C13" i="10"/>
  <c r="C14" i="10" s="1"/>
  <c r="C15" i="10" s="1"/>
  <c r="C16" i="10" s="1"/>
  <c r="C17" i="10" s="1"/>
  <c r="C18" i="10" s="1"/>
  <c r="B13" i="10"/>
  <c r="E13" i="10" s="1"/>
  <c r="F12" i="10"/>
  <c r="D12" i="10"/>
  <c r="D19" i="10" s="1"/>
  <c r="D26" i="10" s="1"/>
  <c r="D33" i="10" s="1"/>
  <c r="D40" i="10" s="1"/>
  <c r="D47" i="10" s="1"/>
  <c r="D54" i="10" s="1"/>
  <c r="D61" i="10" s="1"/>
  <c r="D68" i="10" s="1"/>
  <c r="D75" i="10" s="1"/>
  <c r="D82" i="10" s="1"/>
  <c r="B11" i="10"/>
  <c r="E11" i="10" s="1"/>
  <c r="B10" i="10"/>
  <c r="E10" i="10" s="1"/>
  <c r="B9" i="10"/>
  <c r="E9" i="10" s="1"/>
  <c r="B8" i="10"/>
  <c r="E8" i="10" s="1"/>
  <c r="C7" i="10"/>
  <c r="C8" i="10" s="1"/>
  <c r="C9" i="10" s="1"/>
  <c r="C10" i="10" s="1"/>
  <c r="C11" i="10" s="1"/>
  <c r="B7" i="10"/>
  <c r="E7" i="10" s="1"/>
  <c r="C6" i="10"/>
  <c r="B6" i="10"/>
  <c r="E6" i="10" s="1"/>
  <c r="F5" i="10"/>
  <c r="L3" i="10"/>
  <c r="K3" i="10"/>
  <c r="J3" i="10"/>
  <c r="I3" i="10"/>
  <c r="H3" i="10"/>
  <c r="G3" i="10"/>
  <c r="F3" i="10"/>
  <c r="L1" i="10"/>
  <c r="K1" i="10"/>
  <c r="J1" i="10"/>
  <c r="I1" i="10"/>
  <c r="A1" i="10"/>
  <c r="F4" i="9"/>
  <c r="E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6" i="1"/>
  <c r="E4" i="16"/>
  <c r="B2" i="16"/>
  <c r="E82" i="16"/>
  <c r="E75" i="16"/>
  <c r="E68" i="16"/>
  <c r="E61" i="16"/>
  <c r="E54" i="16"/>
  <c r="E47" i="16"/>
  <c r="E40" i="16"/>
  <c r="E33" i="16"/>
  <c r="E26" i="16"/>
  <c r="E19" i="16"/>
  <c r="E12" i="16"/>
  <c r="E5" i="16"/>
  <c r="K3" i="16"/>
  <c r="J3" i="16"/>
  <c r="I3" i="16"/>
  <c r="H3" i="16"/>
  <c r="G3" i="16"/>
  <c r="F3" i="16"/>
  <c r="E3" i="16"/>
  <c r="K1" i="16"/>
  <c r="J1" i="16"/>
  <c r="I1" i="16"/>
  <c r="H1" i="16"/>
  <c r="A1" i="16"/>
  <c r="E4" i="7"/>
  <c r="B2" i="7"/>
  <c r="E82" i="7"/>
  <c r="E75" i="7"/>
  <c r="E68" i="7"/>
  <c r="E61" i="7"/>
  <c r="E54" i="7"/>
  <c r="E47" i="7"/>
  <c r="E40" i="7"/>
  <c r="E33" i="7"/>
  <c r="E26" i="7"/>
  <c r="E19" i="7"/>
  <c r="E12" i="7"/>
  <c r="E5" i="7"/>
  <c r="K3" i="7"/>
  <c r="J3" i="7"/>
  <c r="I3" i="7"/>
  <c r="H3" i="7"/>
  <c r="G3" i="7"/>
  <c r="F3" i="7"/>
  <c r="E3" i="7"/>
  <c r="K1" i="7"/>
  <c r="J1" i="7"/>
  <c r="I1" i="7"/>
  <c r="H1" i="7"/>
  <c r="A1" i="7"/>
  <c r="E4" i="6"/>
  <c r="B2" i="6"/>
  <c r="E82" i="6"/>
  <c r="E75" i="6"/>
  <c r="E68" i="6"/>
  <c r="E61" i="6"/>
  <c r="E54" i="6"/>
  <c r="E47" i="6"/>
  <c r="E40" i="6"/>
  <c r="E33" i="6"/>
  <c r="E26" i="6"/>
  <c r="E19" i="6"/>
  <c r="E12" i="6"/>
  <c r="E5" i="6"/>
  <c r="K3" i="6"/>
  <c r="J3" i="6"/>
  <c r="I3" i="6"/>
  <c r="H3" i="6"/>
  <c r="G3" i="6"/>
  <c r="F3" i="6"/>
  <c r="E3" i="6"/>
  <c r="K1" i="6"/>
  <c r="J1" i="6"/>
  <c r="I1" i="6"/>
  <c r="H1" i="6"/>
  <c r="A1" i="6"/>
  <c r="E4" i="5"/>
  <c r="B2" i="5"/>
  <c r="E82" i="5"/>
  <c r="E75" i="5"/>
  <c r="E68" i="5"/>
  <c r="E61" i="5"/>
  <c r="E54" i="5"/>
  <c r="E47" i="5"/>
  <c r="E40" i="5"/>
  <c r="E33" i="5"/>
  <c r="E26" i="5"/>
  <c r="E19" i="5"/>
  <c r="E12" i="5"/>
  <c r="E5" i="5"/>
  <c r="K3" i="5"/>
  <c r="J3" i="5"/>
  <c r="I3" i="5"/>
  <c r="H3" i="5"/>
  <c r="G3" i="5"/>
  <c r="F3" i="5"/>
  <c r="E3" i="5"/>
  <c r="K1" i="5"/>
  <c r="J1" i="5"/>
  <c r="I1" i="5"/>
  <c r="H1" i="5"/>
  <c r="A1" i="5"/>
  <c r="E4" i="4"/>
  <c r="B2" i="4"/>
  <c r="E82" i="4"/>
  <c r="E75" i="4"/>
  <c r="E68" i="4"/>
  <c r="E61" i="4"/>
  <c r="E54" i="4"/>
  <c r="E47" i="4"/>
  <c r="E40" i="4"/>
  <c r="E33" i="4"/>
  <c r="E26" i="4"/>
  <c r="E19" i="4"/>
  <c r="E12" i="4"/>
  <c r="E5" i="4"/>
  <c r="K3" i="4"/>
  <c r="J3" i="4"/>
  <c r="I3" i="4"/>
  <c r="H3" i="4"/>
  <c r="G3" i="4"/>
  <c r="F3" i="4"/>
  <c r="E3" i="4"/>
  <c r="K1" i="4"/>
  <c r="J1" i="4"/>
  <c r="I1" i="4"/>
  <c r="H1" i="4"/>
  <c r="A1" i="4"/>
  <c r="E4" i="3"/>
  <c r="B2" i="3"/>
  <c r="E82" i="3"/>
  <c r="E75" i="3"/>
  <c r="E68" i="3"/>
  <c r="E61" i="3"/>
  <c r="E54" i="3"/>
  <c r="E47" i="3"/>
  <c r="E40" i="3"/>
  <c r="E33" i="3"/>
  <c r="E26" i="3"/>
  <c r="E19" i="3"/>
  <c r="E12" i="3"/>
  <c r="E5" i="3"/>
  <c r="K3" i="3"/>
  <c r="J3" i="3"/>
  <c r="I3" i="3"/>
  <c r="H3" i="3"/>
  <c r="G3" i="3"/>
  <c r="F3" i="3"/>
  <c r="E3" i="3"/>
  <c r="K1" i="3"/>
  <c r="J1" i="3"/>
  <c r="I1" i="3"/>
  <c r="H1" i="3"/>
  <c r="A1" i="3"/>
  <c r="H3" i="8"/>
  <c r="P3" i="8" s="1"/>
  <c r="I3" i="8"/>
  <c r="Q3" i="8" s="1"/>
  <c r="J3" i="8"/>
  <c r="R3" i="8" s="1"/>
  <c r="K3" i="8"/>
  <c r="S3" i="8" s="1"/>
  <c r="L3" i="8"/>
  <c r="T3" i="8" s="1"/>
  <c r="M3" i="8"/>
  <c r="U3" i="8" s="1"/>
  <c r="G3" i="8"/>
  <c r="O3" i="8" s="1"/>
  <c r="H58" i="2"/>
  <c r="G58" i="2"/>
  <c r="F58" i="2"/>
  <c r="E58" i="2"/>
  <c r="H50" i="2"/>
  <c r="G50" i="2"/>
  <c r="F50" i="2"/>
  <c r="E50" i="2"/>
  <c r="H42" i="2"/>
  <c r="G42" i="2"/>
  <c r="F42" i="2"/>
  <c r="E42" i="2"/>
  <c r="M4" i="8"/>
  <c r="U4" i="8" s="1"/>
  <c r="L4" i="8"/>
  <c r="K4" i="8"/>
  <c r="J4" i="8"/>
  <c r="I4" i="8"/>
  <c r="H4" i="8"/>
  <c r="G4" i="8"/>
  <c r="B6" i="9"/>
  <c r="E6" i="9" s="1"/>
  <c r="C83" i="9"/>
  <c r="C84" i="9" s="1"/>
  <c r="C85" i="9" s="1"/>
  <c r="C86" i="9" s="1"/>
  <c r="C87" i="9" s="1"/>
  <c r="C88" i="9" s="1"/>
  <c r="C76" i="9"/>
  <c r="C77" i="9" s="1"/>
  <c r="C78" i="9" s="1"/>
  <c r="C79" i="9" s="1"/>
  <c r="C80" i="9" s="1"/>
  <c r="C81" i="9" s="1"/>
  <c r="C69" i="9"/>
  <c r="C70" i="9" s="1"/>
  <c r="C71" i="9" s="1"/>
  <c r="C72" i="9" s="1"/>
  <c r="C73" i="9" s="1"/>
  <c r="C74" i="9" s="1"/>
  <c r="C62" i="9"/>
  <c r="C63" i="9" s="1"/>
  <c r="C64" i="9" s="1"/>
  <c r="C65" i="9" s="1"/>
  <c r="C66" i="9" s="1"/>
  <c r="C67" i="9" s="1"/>
  <c r="C55" i="9"/>
  <c r="C56" i="9" s="1"/>
  <c r="C57" i="9" s="1"/>
  <c r="C58" i="9" s="1"/>
  <c r="C59" i="9" s="1"/>
  <c r="C60" i="9" s="1"/>
  <c r="C48" i="9"/>
  <c r="C49" i="9" s="1"/>
  <c r="C50" i="9" s="1"/>
  <c r="C51" i="9" s="1"/>
  <c r="C52" i="9" s="1"/>
  <c r="C53" i="9" s="1"/>
  <c r="C41" i="9"/>
  <c r="C42" i="9" s="1"/>
  <c r="C43" i="9" s="1"/>
  <c r="C44" i="9" s="1"/>
  <c r="C45" i="9" s="1"/>
  <c r="C46" i="9" s="1"/>
  <c r="C34" i="9"/>
  <c r="C35" i="9" s="1"/>
  <c r="C36" i="9" s="1"/>
  <c r="C37" i="9" s="1"/>
  <c r="C38" i="9" s="1"/>
  <c r="C39" i="9" s="1"/>
  <c r="C27" i="9"/>
  <c r="C28" i="9" s="1"/>
  <c r="C29" i="9" s="1"/>
  <c r="C30" i="9" s="1"/>
  <c r="C31" i="9" s="1"/>
  <c r="C32" i="9" s="1"/>
  <c r="C20" i="9"/>
  <c r="C21" i="9" s="1"/>
  <c r="C22" i="9" s="1"/>
  <c r="C23" i="9" s="1"/>
  <c r="C24" i="9" s="1"/>
  <c r="C25" i="9" s="1"/>
  <c r="C13" i="9"/>
  <c r="C14" i="9" s="1"/>
  <c r="C15" i="9" s="1"/>
  <c r="C16" i="9" s="1"/>
  <c r="C17" i="9" s="1"/>
  <c r="C18" i="9" s="1"/>
  <c r="C7" i="9"/>
  <c r="C8" i="9" s="1"/>
  <c r="C9" i="9" s="1"/>
  <c r="C10" i="9" s="1"/>
  <c r="C11" i="9" s="1"/>
  <c r="C6" i="9"/>
  <c r="N1" i="8"/>
  <c r="D48" i="4" l="1"/>
  <c r="D22" i="3"/>
  <c r="D22" i="5"/>
  <c r="D22" i="7"/>
  <c r="D21" i="16"/>
  <c r="D20" i="5"/>
  <c r="D10" i="4"/>
  <c r="D64" i="6"/>
  <c r="D37" i="3"/>
  <c r="D43" i="7"/>
  <c r="D37" i="16"/>
  <c r="D49" i="6"/>
  <c r="D34" i="7"/>
  <c r="D36" i="16"/>
  <c r="D37" i="4"/>
  <c r="D48" i="6"/>
  <c r="D42" i="3"/>
  <c r="D36" i="4"/>
  <c r="D36" i="5"/>
  <c r="D48" i="7"/>
  <c r="D34" i="16"/>
  <c r="D49" i="3"/>
  <c r="D49" i="16"/>
  <c r="D48" i="3"/>
  <c r="D34" i="4"/>
  <c r="D42" i="5"/>
  <c r="D37" i="6"/>
  <c r="D48" i="16"/>
  <c r="D49" i="4"/>
  <c r="D36" i="6"/>
  <c r="D22" i="16"/>
  <c r="D21" i="6"/>
  <c r="D21" i="7"/>
  <c r="D22" i="4"/>
  <c r="D21" i="4"/>
  <c r="D21" i="5"/>
  <c r="D7" i="4"/>
  <c r="D35" i="16"/>
  <c r="D63" i="16"/>
  <c r="D64" i="16"/>
  <c r="D38" i="16"/>
  <c r="D6" i="16"/>
  <c r="D38" i="7"/>
  <c r="D56" i="7"/>
  <c r="D62" i="7"/>
  <c r="D20" i="6"/>
  <c r="D22" i="6"/>
  <c r="D35" i="6"/>
  <c r="D10" i="6"/>
  <c r="D62" i="6"/>
  <c r="D38" i="6"/>
  <c r="D41" i="6"/>
  <c r="D38" i="5"/>
  <c r="D62" i="5"/>
  <c r="D63" i="5"/>
  <c r="D64" i="5"/>
  <c r="D20" i="4"/>
  <c r="D35" i="4"/>
  <c r="D62" i="4"/>
  <c r="D14" i="4"/>
  <c r="D63" i="4"/>
  <c r="D38" i="4"/>
  <c r="D64" i="3"/>
  <c r="D38" i="3"/>
  <c r="D41" i="3"/>
  <c r="D56" i="3"/>
  <c r="D57" i="3"/>
  <c r="D20" i="3"/>
  <c r="D21" i="3"/>
  <c r="D9" i="3"/>
  <c r="D35" i="3"/>
  <c r="D62" i="3"/>
  <c r="D63" i="3"/>
  <c r="R1" i="8"/>
  <c r="Q1" i="8"/>
  <c r="P1" i="8"/>
  <c r="G1" i="8"/>
  <c r="K1" i="1"/>
  <c r="J1" i="1"/>
  <c r="I1" i="1"/>
  <c r="H1" i="1"/>
  <c r="A1" i="1"/>
  <c r="I1" i="9"/>
  <c r="J1" i="9"/>
  <c r="K1" i="9"/>
  <c r="L1" i="9"/>
  <c r="L3" i="9"/>
  <c r="K3" i="9"/>
  <c r="J3" i="9"/>
  <c r="I3" i="9"/>
  <c r="H3" i="9"/>
  <c r="G3" i="9"/>
  <c r="F3" i="9"/>
  <c r="B88" i="9"/>
  <c r="E88" i="9" s="1"/>
  <c r="B87" i="9"/>
  <c r="E87" i="9" s="1"/>
  <c r="B86" i="9"/>
  <c r="E86" i="9" s="1"/>
  <c r="B85" i="9"/>
  <c r="E85" i="9" s="1"/>
  <c r="B84" i="9"/>
  <c r="E84" i="9" s="1"/>
  <c r="B83" i="9"/>
  <c r="E83" i="9" s="1"/>
  <c r="F82" i="9"/>
  <c r="B81" i="9"/>
  <c r="E81" i="9" s="1"/>
  <c r="B80" i="9"/>
  <c r="E80" i="9" s="1"/>
  <c r="B79" i="9"/>
  <c r="E79" i="9" s="1"/>
  <c r="B78" i="9"/>
  <c r="E78" i="9" s="1"/>
  <c r="B77" i="9"/>
  <c r="E77" i="9" s="1"/>
  <c r="B76" i="9"/>
  <c r="E76" i="9" s="1"/>
  <c r="F75" i="9"/>
  <c r="B74" i="9"/>
  <c r="E74" i="9" s="1"/>
  <c r="B73" i="9"/>
  <c r="E73" i="9" s="1"/>
  <c r="B72" i="9"/>
  <c r="E72" i="9" s="1"/>
  <c r="B71" i="9"/>
  <c r="E71" i="9" s="1"/>
  <c r="B70" i="9"/>
  <c r="E70" i="9" s="1"/>
  <c r="B69" i="9"/>
  <c r="E69" i="9" s="1"/>
  <c r="F68" i="9"/>
  <c r="B67" i="9"/>
  <c r="E67" i="9" s="1"/>
  <c r="B66" i="9"/>
  <c r="E66" i="9" s="1"/>
  <c r="B65" i="9"/>
  <c r="E65" i="9" s="1"/>
  <c r="B64" i="9"/>
  <c r="E64" i="9" s="1"/>
  <c r="B63" i="9"/>
  <c r="E63" i="9" s="1"/>
  <c r="B62" i="9"/>
  <c r="E62" i="9" s="1"/>
  <c r="F61" i="9"/>
  <c r="B60" i="9"/>
  <c r="E60" i="9" s="1"/>
  <c r="B59" i="9"/>
  <c r="E59" i="9" s="1"/>
  <c r="B58" i="9"/>
  <c r="E58" i="9" s="1"/>
  <c r="B57" i="9"/>
  <c r="E57" i="9" s="1"/>
  <c r="B56" i="9"/>
  <c r="E56" i="9" s="1"/>
  <c r="B55" i="9"/>
  <c r="E55" i="9" s="1"/>
  <c r="F54" i="9"/>
  <c r="B53" i="9"/>
  <c r="E53" i="9" s="1"/>
  <c r="B52" i="9"/>
  <c r="E52" i="9" s="1"/>
  <c r="B51" i="9"/>
  <c r="E51" i="9" s="1"/>
  <c r="B50" i="9"/>
  <c r="E50" i="9" s="1"/>
  <c r="B49" i="9"/>
  <c r="E49" i="9" s="1"/>
  <c r="B48" i="9"/>
  <c r="E48" i="9" s="1"/>
  <c r="F47" i="9"/>
  <c r="B46" i="9"/>
  <c r="E46" i="9" s="1"/>
  <c r="B45" i="9"/>
  <c r="E45" i="9" s="1"/>
  <c r="B44" i="9"/>
  <c r="E44" i="9" s="1"/>
  <c r="B43" i="9"/>
  <c r="E43" i="9" s="1"/>
  <c r="B42" i="9"/>
  <c r="E42" i="9" s="1"/>
  <c r="B41" i="9"/>
  <c r="E41" i="9" s="1"/>
  <c r="F40" i="9"/>
  <c r="B39" i="9"/>
  <c r="E39" i="9" s="1"/>
  <c r="B38" i="9"/>
  <c r="E38" i="9" s="1"/>
  <c r="B37" i="9"/>
  <c r="E37" i="9" s="1"/>
  <c r="B36" i="9"/>
  <c r="E36" i="9" s="1"/>
  <c r="B35" i="9"/>
  <c r="E35" i="9" s="1"/>
  <c r="B34" i="9"/>
  <c r="E34" i="9" s="1"/>
  <c r="F33" i="9"/>
  <c r="B32" i="9"/>
  <c r="E32" i="9" s="1"/>
  <c r="B31" i="9"/>
  <c r="E31" i="9" s="1"/>
  <c r="B30" i="9"/>
  <c r="E30" i="9" s="1"/>
  <c r="B29" i="9"/>
  <c r="E29" i="9" s="1"/>
  <c r="B28" i="9"/>
  <c r="E28" i="9" s="1"/>
  <c r="B27" i="9"/>
  <c r="E27" i="9" s="1"/>
  <c r="F26" i="9"/>
  <c r="B25" i="9"/>
  <c r="E25" i="9" s="1"/>
  <c r="B24" i="9"/>
  <c r="E24" i="9" s="1"/>
  <c r="B23" i="9"/>
  <c r="E23" i="9" s="1"/>
  <c r="B22" i="9"/>
  <c r="E22" i="9" s="1"/>
  <c r="B21" i="9"/>
  <c r="E21" i="9" s="1"/>
  <c r="B20" i="9"/>
  <c r="E20" i="9" s="1"/>
  <c r="F19" i="9"/>
  <c r="D19" i="9"/>
  <c r="D26" i="9" s="1"/>
  <c r="D33" i="9" s="1"/>
  <c r="D40" i="9" s="1"/>
  <c r="D47" i="9" s="1"/>
  <c r="D54" i="9" s="1"/>
  <c r="D61" i="9" s="1"/>
  <c r="D68" i="9" s="1"/>
  <c r="D75" i="9" s="1"/>
  <c r="D82" i="9" s="1"/>
  <c r="B18" i="9"/>
  <c r="E18" i="9" s="1"/>
  <c r="B17" i="9"/>
  <c r="E17" i="9" s="1"/>
  <c r="B16" i="9"/>
  <c r="E16" i="9" s="1"/>
  <c r="B15" i="9"/>
  <c r="E15" i="9" s="1"/>
  <c r="B14" i="9"/>
  <c r="E14" i="9" s="1"/>
  <c r="B13" i="9"/>
  <c r="E13" i="9" s="1"/>
  <c r="F12" i="9"/>
  <c r="D12" i="9"/>
  <c r="B11" i="9"/>
  <c r="E11" i="9" s="1"/>
  <c r="B10" i="9"/>
  <c r="E10" i="9" s="1"/>
  <c r="B9" i="9"/>
  <c r="E9" i="9" s="1"/>
  <c r="B8" i="9"/>
  <c r="E8" i="9" s="1"/>
  <c r="B7" i="9"/>
  <c r="E7" i="9" s="1"/>
  <c r="F5" i="9"/>
  <c r="B2" i="9"/>
  <c r="A1" i="9"/>
  <c r="P4" i="8"/>
  <c r="Q4" i="8"/>
  <c r="R4" i="8"/>
  <c r="S4" i="8"/>
  <c r="T4" i="8"/>
  <c r="O4" i="8"/>
  <c r="B6" i="8"/>
  <c r="H6" i="8" s="1"/>
  <c r="B7" i="8"/>
  <c r="H7" i="8" s="1"/>
  <c r="B8" i="8"/>
  <c r="B9" i="8"/>
  <c r="I9" i="8" s="1"/>
  <c r="B10" i="8"/>
  <c r="B11" i="8"/>
  <c r="B12" i="8"/>
  <c r="B13" i="8"/>
  <c r="B14" i="8"/>
  <c r="I14" i="8" s="1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" i="8"/>
  <c r="H5" i="8" s="1"/>
  <c r="H16" i="2"/>
  <c r="H26" i="2"/>
  <c r="E3" i="1"/>
  <c r="B84" i="1"/>
  <c r="D84" i="1" s="1"/>
  <c r="B85" i="1"/>
  <c r="D85" i="1" s="1"/>
  <c r="B86" i="1"/>
  <c r="D86" i="1" s="1"/>
  <c r="B87" i="1"/>
  <c r="D87" i="1" s="1"/>
  <c r="B88" i="1"/>
  <c r="D88" i="1" s="1"/>
  <c r="B83" i="1"/>
  <c r="D83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70" i="1"/>
  <c r="D70" i="1" s="1"/>
  <c r="B71" i="1"/>
  <c r="D71" i="1" s="1"/>
  <c r="B72" i="1"/>
  <c r="D72" i="1" s="1"/>
  <c r="B73" i="1"/>
  <c r="D73" i="1" s="1"/>
  <c r="B74" i="1"/>
  <c r="D74" i="1" s="1"/>
  <c r="B69" i="1"/>
  <c r="D69" i="1" s="1"/>
  <c r="B63" i="1"/>
  <c r="D63" i="1" s="1"/>
  <c r="B64" i="1"/>
  <c r="D64" i="1" s="1"/>
  <c r="B65" i="1"/>
  <c r="D65" i="1" s="1"/>
  <c r="B66" i="1"/>
  <c r="D66" i="1" s="1"/>
  <c r="B67" i="1"/>
  <c r="D67" i="1" s="1"/>
  <c r="B62" i="1"/>
  <c r="D62" i="1" s="1"/>
  <c r="B56" i="1"/>
  <c r="D56" i="1" s="1"/>
  <c r="B57" i="1"/>
  <c r="D57" i="1" s="1"/>
  <c r="B58" i="1"/>
  <c r="D58" i="1" s="1"/>
  <c r="B59" i="1"/>
  <c r="D59" i="1" s="1"/>
  <c r="B60" i="1"/>
  <c r="D60" i="1" s="1"/>
  <c r="B55" i="1"/>
  <c r="D55" i="1" s="1"/>
  <c r="B49" i="1"/>
  <c r="D49" i="1" s="1"/>
  <c r="B50" i="1"/>
  <c r="D50" i="1" s="1"/>
  <c r="B51" i="1"/>
  <c r="D51" i="1" s="1"/>
  <c r="B52" i="1"/>
  <c r="D52" i="1" s="1"/>
  <c r="B53" i="1"/>
  <c r="D53" i="1" s="1"/>
  <c r="B48" i="1"/>
  <c r="D48" i="1" s="1"/>
  <c r="B42" i="1"/>
  <c r="D42" i="1" s="1"/>
  <c r="B43" i="1"/>
  <c r="D43" i="1" s="1"/>
  <c r="B44" i="1"/>
  <c r="D44" i="1" s="1"/>
  <c r="B45" i="1"/>
  <c r="D45" i="1" s="1"/>
  <c r="B46" i="1"/>
  <c r="D46" i="1" s="1"/>
  <c r="B41" i="1"/>
  <c r="D41" i="1" s="1"/>
  <c r="B35" i="1"/>
  <c r="D35" i="1" s="1"/>
  <c r="B36" i="1"/>
  <c r="D36" i="1" s="1"/>
  <c r="B37" i="1"/>
  <c r="D37" i="1" s="1"/>
  <c r="B38" i="1"/>
  <c r="D38" i="1" s="1"/>
  <c r="B39" i="1"/>
  <c r="D39" i="1" s="1"/>
  <c r="B34" i="1"/>
  <c r="D34" i="1" s="1"/>
  <c r="B28" i="1"/>
  <c r="D28" i="1" s="1"/>
  <c r="B29" i="1"/>
  <c r="D29" i="1" s="1"/>
  <c r="B30" i="1"/>
  <c r="D30" i="1" s="1"/>
  <c r="B31" i="1"/>
  <c r="D31" i="1" s="1"/>
  <c r="B32" i="1"/>
  <c r="D32" i="1" s="1"/>
  <c r="B27" i="1"/>
  <c r="D27" i="1" s="1"/>
  <c r="B21" i="1"/>
  <c r="D21" i="1" s="1"/>
  <c r="B22" i="1"/>
  <c r="D22" i="1" s="1"/>
  <c r="B23" i="1"/>
  <c r="D23" i="1" s="1"/>
  <c r="B24" i="1"/>
  <c r="D24" i="1" s="1"/>
  <c r="B25" i="1"/>
  <c r="D25" i="1" s="1"/>
  <c r="B20" i="1"/>
  <c r="D20" i="1" s="1"/>
  <c r="B14" i="1"/>
  <c r="D14" i="1" s="1"/>
  <c r="B15" i="1"/>
  <c r="D15" i="1" s="1"/>
  <c r="B16" i="1"/>
  <c r="D16" i="1" s="1"/>
  <c r="B17" i="1"/>
  <c r="D17" i="1" s="1"/>
  <c r="B18" i="1"/>
  <c r="D18" i="1" s="1"/>
  <c r="B13" i="1"/>
  <c r="D13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H3" i="1"/>
  <c r="K3" i="1"/>
  <c r="J3" i="1"/>
  <c r="I3" i="1"/>
  <c r="G3" i="1"/>
  <c r="F3" i="1"/>
  <c r="E82" i="1"/>
  <c r="E75" i="1"/>
  <c r="E68" i="1"/>
  <c r="E61" i="1"/>
  <c r="E54" i="1"/>
  <c r="E47" i="1"/>
  <c r="E40" i="1"/>
  <c r="E33" i="1"/>
  <c r="E26" i="1"/>
  <c r="E19" i="1"/>
  <c r="E12" i="1"/>
  <c r="E5" i="1"/>
  <c r="B2" i="1"/>
  <c r="I6" i="8" l="1"/>
  <c r="H50" i="8"/>
  <c r="M50" i="8"/>
  <c r="L50" i="8"/>
  <c r="D50" i="8"/>
  <c r="I50" i="8"/>
  <c r="K50" i="8"/>
  <c r="J50" i="8"/>
  <c r="O50" i="8"/>
  <c r="P50" i="8"/>
  <c r="Q50" i="8"/>
  <c r="C50" i="8"/>
  <c r="R50" i="8"/>
  <c r="S50" i="8"/>
  <c r="E50" i="8"/>
  <c r="T50" i="8"/>
  <c r="U50" i="8"/>
  <c r="G50" i="8"/>
  <c r="H34" i="8"/>
  <c r="M34" i="8"/>
  <c r="I34" i="8"/>
  <c r="K34" i="8"/>
  <c r="J34" i="8"/>
  <c r="L34" i="8"/>
  <c r="H18" i="8"/>
  <c r="M18" i="8"/>
  <c r="I18" i="8"/>
  <c r="L18" i="8"/>
  <c r="K18" i="8"/>
  <c r="J18" i="8"/>
  <c r="D49" i="8"/>
  <c r="E49" i="8"/>
  <c r="M49" i="8"/>
  <c r="L49" i="8"/>
  <c r="G49" i="8"/>
  <c r="K49" i="8"/>
  <c r="J49" i="8"/>
  <c r="C49" i="8"/>
  <c r="O49" i="8"/>
  <c r="P49" i="8"/>
  <c r="Q49" i="8"/>
  <c r="R49" i="8"/>
  <c r="S49" i="8"/>
  <c r="T49" i="8"/>
  <c r="U49" i="8"/>
  <c r="H49" i="8"/>
  <c r="I49" i="8"/>
  <c r="M33" i="8"/>
  <c r="L33" i="8"/>
  <c r="K33" i="8"/>
  <c r="J33" i="8"/>
  <c r="I33" i="8"/>
  <c r="H33" i="8"/>
  <c r="M17" i="8"/>
  <c r="I17" i="8"/>
  <c r="L17" i="8"/>
  <c r="K17" i="8"/>
  <c r="J17" i="8"/>
  <c r="H17" i="8"/>
  <c r="I8" i="8"/>
  <c r="L15" i="8"/>
  <c r="K15" i="8"/>
  <c r="J15" i="8"/>
  <c r="H15" i="8"/>
  <c r="M15" i="8"/>
  <c r="I7" i="8"/>
  <c r="U51" i="8"/>
  <c r="D51" i="8"/>
  <c r="H51" i="8"/>
  <c r="E51" i="8"/>
  <c r="M51" i="8"/>
  <c r="L51" i="8"/>
  <c r="G51" i="8"/>
  <c r="K51" i="8"/>
  <c r="J51" i="8"/>
  <c r="O51" i="8"/>
  <c r="P51" i="8"/>
  <c r="C51" i="8"/>
  <c r="Q51" i="8"/>
  <c r="R51" i="8"/>
  <c r="S51" i="8"/>
  <c r="I51" i="8"/>
  <c r="T51" i="8"/>
  <c r="M32" i="8"/>
  <c r="K32" i="8"/>
  <c r="I32" i="8"/>
  <c r="J32" i="8"/>
  <c r="H32" i="8"/>
  <c r="L32" i="8"/>
  <c r="L46" i="8"/>
  <c r="G46" i="8"/>
  <c r="J46" i="8"/>
  <c r="K46" i="8"/>
  <c r="O46" i="8"/>
  <c r="C46" i="8"/>
  <c r="P46" i="8"/>
  <c r="Q46" i="8"/>
  <c r="R46" i="8"/>
  <c r="S46" i="8"/>
  <c r="T46" i="8"/>
  <c r="U46" i="8"/>
  <c r="H46" i="8"/>
  <c r="D46" i="8"/>
  <c r="E46" i="8"/>
  <c r="M46" i="8"/>
  <c r="I46" i="8"/>
  <c r="K45" i="8"/>
  <c r="J45" i="8"/>
  <c r="P45" i="8"/>
  <c r="C45" i="8"/>
  <c r="Q45" i="8"/>
  <c r="R45" i="8"/>
  <c r="S45" i="8"/>
  <c r="T45" i="8"/>
  <c r="U45" i="8"/>
  <c r="H45" i="8"/>
  <c r="D45" i="8"/>
  <c r="E45" i="8"/>
  <c r="M45" i="8"/>
  <c r="I45" i="8"/>
  <c r="L45" i="8"/>
  <c r="G45" i="8"/>
  <c r="O45" i="8"/>
  <c r="K29" i="8"/>
  <c r="J29" i="8"/>
  <c r="H29" i="8"/>
  <c r="M29" i="8"/>
  <c r="I29" i="8"/>
  <c r="L29" i="8"/>
  <c r="K13" i="8"/>
  <c r="J13" i="8"/>
  <c r="H13" i="8"/>
  <c r="M13" i="8"/>
  <c r="L13" i="8"/>
  <c r="I13" i="8"/>
  <c r="H36" i="8"/>
  <c r="M36" i="8"/>
  <c r="I36" i="8"/>
  <c r="L36" i="8"/>
  <c r="K36" i="8"/>
  <c r="J36" i="8"/>
  <c r="K44" i="8"/>
  <c r="J44" i="8"/>
  <c r="O44" i="8"/>
  <c r="Q44" i="8"/>
  <c r="C44" i="8"/>
  <c r="R44" i="8"/>
  <c r="S44" i="8"/>
  <c r="T44" i="8"/>
  <c r="U44" i="8"/>
  <c r="H44" i="8"/>
  <c r="D44" i="8"/>
  <c r="E44" i="8"/>
  <c r="M44" i="8"/>
  <c r="I44" i="8"/>
  <c r="L44" i="8"/>
  <c r="G44" i="8"/>
  <c r="P44" i="8"/>
  <c r="K28" i="8"/>
  <c r="J28" i="8"/>
  <c r="H28" i="8"/>
  <c r="M28" i="8"/>
  <c r="I28" i="8"/>
  <c r="L28" i="8"/>
  <c r="T52" i="8"/>
  <c r="E52" i="8"/>
  <c r="U52" i="8"/>
  <c r="H52" i="8"/>
  <c r="D52" i="8"/>
  <c r="I52" i="8"/>
  <c r="L52" i="8"/>
  <c r="G52" i="8"/>
  <c r="K52" i="8"/>
  <c r="J52" i="8"/>
  <c r="O52" i="8"/>
  <c r="P52" i="8"/>
  <c r="C52" i="8"/>
  <c r="Q52" i="8"/>
  <c r="R52" i="8"/>
  <c r="S52" i="8"/>
  <c r="M52" i="8"/>
  <c r="K12" i="8"/>
  <c r="I12" i="8"/>
  <c r="J12" i="8"/>
  <c r="H12" i="8"/>
  <c r="M12" i="8"/>
  <c r="L12" i="8"/>
  <c r="J43" i="8"/>
  <c r="P43" i="8"/>
  <c r="R43" i="8"/>
  <c r="S43" i="8"/>
  <c r="T43" i="8"/>
  <c r="U43" i="8"/>
  <c r="H43" i="8"/>
  <c r="D43" i="8"/>
  <c r="E43" i="8"/>
  <c r="M43" i="8"/>
  <c r="I43" i="8"/>
  <c r="L43" i="8"/>
  <c r="G43" i="8"/>
  <c r="K43" i="8"/>
  <c r="O43" i="8"/>
  <c r="Q43" i="8"/>
  <c r="C43" i="8"/>
  <c r="J27" i="8"/>
  <c r="H27" i="8"/>
  <c r="M27" i="8"/>
  <c r="I27" i="8"/>
  <c r="L27" i="8"/>
  <c r="K27" i="8"/>
  <c r="J11" i="8"/>
  <c r="H11" i="8"/>
  <c r="M11" i="8"/>
  <c r="L11" i="8"/>
  <c r="K11" i="8"/>
  <c r="I11" i="8"/>
  <c r="H8" i="8"/>
  <c r="M16" i="8"/>
  <c r="L16" i="8"/>
  <c r="K16" i="8"/>
  <c r="I16" i="8"/>
  <c r="J16" i="8"/>
  <c r="H16" i="8"/>
  <c r="J42" i="8"/>
  <c r="P42" i="8"/>
  <c r="O42" i="8"/>
  <c r="Q42" i="8"/>
  <c r="C42" i="8"/>
  <c r="S42" i="8"/>
  <c r="T42" i="8"/>
  <c r="U42" i="8"/>
  <c r="H42" i="8"/>
  <c r="D42" i="8"/>
  <c r="E42" i="8"/>
  <c r="M42" i="8"/>
  <c r="I42" i="8"/>
  <c r="L42" i="8"/>
  <c r="G42" i="8"/>
  <c r="K42" i="8"/>
  <c r="R42" i="8"/>
  <c r="J10" i="8"/>
  <c r="H10" i="8"/>
  <c r="M10" i="8"/>
  <c r="L10" i="8"/>
  <c r="K10" i="8"/>
  <c r="I10" i="8"/>
  <c r="H20" i="8"/>
  <c r="I20" i="8"/>
  <c r="L20" i="8"/>
  <c r="K20" i="8"/>
  <c r="J20" i="8"/>
  <c r="M20" i="8"/>
  <c r="H35" i="8"/>
  <c r="M35" i="8"/>
  <c r="L35" i="8"/>
  <c r="K35" i="8"/>
  <c r="J35" i="8"/>
  <c r="I35" i="8"/>
  <c r="J26" i="8"/>
  <c r="H26" i="8"/>
  <c r="M26" i="8"/>
  <c r="I26" i="8"/>
  <c r="L26" i="8"/>
  <c r="K26" i="8"/>
  <c r="O41" i="8"/>
  <c r="P41" i="8"/>
  <c r="R41" i="8"/>
  <c r="T41" i="8"/>
  <c r="U41" i="8"/>
  <c r="H41" i="8"/>
  <c r="D41" i="8"/>
  <c r="E41" i="8"/>
  <c r="M41" i="8"/>
  <c r="I41" i="8"/>
  <c r="L41" i="8"/>
  <c r="G41" i="8"/>
  <c r="Q41" i="8"/>
  <c r="K41" i="8"/>
  <c r="J41" i="8"/>
  <c r="C41" i="8"/>
  <c r="S41" i="8"/>
  <c r="H25" i="8"/>
  <c r="M25" i="8"/>
  <c r="I25" i="8"/>
  <c r="L25" i="8"/>
  <c r="K25" i="8"/>
  <c r="J25" i="8"/>
  <c r="M9" i="8"/>
  <c r="L9" i="8"/>
  <c r="K9" i="8"/>
  <c r="J9" i="8"/>
  <c r="I5" i="8"/>
  <c r="I19" i="8"/>
  <c r="H19" i="8"/>
  <c r="M19" i="8"/>
  <c r="L19" i="8"/>
  <c r="K19" i="8"/>
  <c r="J19" i="8"/>
  <c r="I31" i="8"/>
  <c r="L31" i="8"/>
  <c r="K31" i="8"/>
  <c r="J31" i="8"/>
  <c r="H31" i="8"/>
  <c r="M31" i="8"/>
  <c r="P40" i="8"/>
  <c r="C40" i="8"/>
  <c r="Q40" i="8"/>
  <c r="R40" i="8"/>
  <c r="S40" i="8"/>
  <c r="U40" i="8"/>
  <c r="H40" i="8"/>
  <c r="D40" i="8"/>
  <c r="E40" i="8"/>
  <c r="M40" i="8"/>
  <c r="I40" i="8"/>
  <c r="L40" i="8"/>
  <c r="G40" i="8"/>
  <c r="K40" i="8"/>
  <c r="J40" i="8"/>
  <c r="O40" i="8"/>
  <c r="T40" i="8"/>
  <c r="I47" i="8"/>
  <c r="L47" i="8"/>
  <c r="G47" i="8"/>
  <c r="K47" i="8"/>
  <c r="J47" i="8"/>
  <c r="C47" i="8"/>
  <c r="O47" i="8"/>
  <c r="P47" i="8"/>
  <c r="Q47" i="8"/>
  <c r="R47" i="8"/>
  <c r="S47" i="8"/>
  <c r="T47" i="8"/>
  <c r="U47" i="8"/>
  <c r="H47" i="8"/>
  <c r="D47" i="8"/>
  <c r="E47" i="8"/>
  <c r="M47" i="8"/>
  <c r="E48" i="8"/>
  <c r="M48" i="8"/>
  <c r="L48" i="8"/>
  <c r="G48" i="8"/>
  <c r="K48" i="8"/>
  <c r="I48" i="8"/>
  <c r="J48" i="8"/>
  <c r="O48" i="8"/>
  <c r="P48" i="8"/>
  <c r="Q48" i="8"/>
  <c r="C48" i="8"/>
  <c r="R48" i="8"/>
  <c r="S48" i="8"/>
  <c r="T48" i="8"/>
  <c r="U48" i="8"/>
  <c r="H48" i="8"/>
  <c r="D48" i="8"/>
  <c r="L30" i="8"/>
  <c r="K30" i="8"/>
  <c r="J30" i="8"/>
  <c r="H30" i="8"/>
  <c r="M30" i="8"/>
  <c r="I30" i="8"/>
  <c r="M8" i="8"/>
  <c r="L8" i="8"/>
  <c r="K8" i="8"/>
  <c r="J8" i="8"/>
  <c r="M5" i="8"/>
  <c r="L5" i="8"/>
  <c r="K5" i="8"/>
  <c r="J5" i="8"/>
  <c r="H23" i="8"/>
  <c r="M23" i="8"/>
  <c r="I23" i="8"/>
  <c r="L23" i="8"/>
  <c r="K23" i="8"/>
  <c r="J23" i="8"/>
  <c r="R54" i="8"/>
  <c r="S54" i="8"/>
  <c r="U54" i="8"/>
  <c r="D54" i="8"/>
  <c r="E54" i="8"/>
  <c r="M54" i="8"/>
  <c r="I54" i="8"/>
  <c r="L54" i="8"/>
  <c r="G54" i="8"/>
  <c r="K54" i="8"/>
  <c r="J54" i="8"/>
  <c r="O54" i="8"/>
  <c r="P54" i="8"/>
  <c r="T54" i="8"/>
  <c r="Q54" i="8"/>
  <c r="C54" i="8"/>
  <c r="H54" i="8"/>
  <c r="M38" i="8"/>
  <c r="I38" i="8"/>
  <c r="L38" i="8"/>
  <c r="K38" i="8"/>
  <c r="J38" i="8"/>
  <c r="H38" i="8"/>
  <c r="H22" i="8"/>
  <c r="M22" i="8"/>
  <c r="I22" i="8"/>
  <c r="L22" i="8"/>
  <c r="K22" i="8"/>
  <c r="J22" i="8"/>
  <c r="M6" i="8"/>
  <c r="L6" i="8"/>
  <c r="K6" i="8"/>
  <c r="J6" i="8"/>
  <c r="I15" i="8"/>
  <c r="L14" i="8"/>
  <c r="K14" i="8"/>
  <c r="J14" i="8"/>
  <c r="H14" i="8"/>
  <c r="M14" i="8"/>
  <c r="H24" i="8"/>
  <c r="M24" i="8"/>
  <c r="I24" i="8"/>
  <c r="L24" i="8"/>
  <c r="K24" i="8"/>
  <c r="J24" i="8"/>
  <c r="H39" i="8"/>
  <c r="M39" i="8"/>
  <c r="I39" i="8"/>
  <c r="L39" i="8"/>
  <c r="K39" i="8"/>
  <c r="J39" i="8"/>
  <c r="M7" i="8"/>
  <c r="L7" i="8"/>
  <c r="K7" i="8"/>
  <c r="J7" i="8"/>
  <c r="S53" i="8"/>
  <c r="U53" i="8"/>
  <c r="T53" i="8"/>
  <c r="H53" i="8"/>
  <c r="D53" i="8"/>
  <c r="E53" i="8"/>
  <c r="M53" i="8"/>
  <c r="I53" i="8"/>
  <c r="L53" i="8"/>
  <c r="G53" i="8"/>
  <c r="K53" i="8"/>
  <c r="J53" i="8"/>
  <c r="O53" i="8"/>
  <c r="P53" i="8"/>
  <c r="Q53" i="8"/>
  <c r="C53" i="8"/>
  <c r="R53" i="8"/>
  <c r="H37" i="8"/>
  <c r="M37" i="8"/>
  <c r="I37" i="8"/>
  <c r="L37" i="8"/>
  <c r="K37" i="8"/>
  <c r="J37" i="8"/>
  <c r="H21" i="8"/>
  <c r="M21" i="8"/>
  <c r="I21" i="8"/>
  <c r="L21" i="8"/>
  <c r="K21" i="8"/>
  <c r="J21" i="8"/>
  <c r="H9" i="8"/>
  <c r="S18" i="8"/>
  <c r="T18" i="8"/>
  <c r="U18" i="8"/>
  <c r="O18" i="8"/>
  <c r="G18" i="8"/>
  <c r="P18" i="8"/>
  <c r="R18" i="8"/>
  <c r="Q18" i="8"/>
  <c r="C18" i="8"/>
  <c r="O39" i="8"/>
  <c r="G39" i="8"/>
  <c r="P39" i="8"/>
  <c r="Q39" i="8"/>
  <c r="R39" i="8"/>
  <c r="S39" i="8"/>
  <c r="U39" i="8"/>
  <c r="C39" i="8"/>
  <c r="T39" i="8"/>
  <c r="R35" i="8"/>
  <c r="S35" i="8"/>
  <c r="G35" i="8"/>
  <c r="T35" i="8"/>
  <c r="U35" i="8"/>
  <c r="Q35" i="8"/>
  <c r="C35" i="8"/>
  <c r="P35" i="8"/>
  <c r="O35" i="8"/>
  <c r="R27" i="8"/>
  <c r="S27" i="8"/>
  <c r="T27" i="8"/>
  <c r="G27" i="8"/>
  <c r="U27" i="8"/>
  <c r="Q27" i="8"/>
  <c r="C27" i="8"/>
  <c r="O27" i="8"/>
  <c r="P27" i="8"/>
  <c r="R19" i="8"/>
  <c r="S19" i="8"/>
  <c r="G19" i="8"/>
  <c r="T19" i="8"/>
  <c r="U19" i="8"/>
  <c r="O19" i="8"/>
  <c r="Q19" i="8"/>
  <c r="C19" i="8"/>
  <c r="P19" i="8"/>
  <c r="R11" i="8"/>
  <c r="G11" i="8"/>
  <c r="S11" i="8"/>
  <c r="T11" i="8"/>
  <c r="U11" i="8"/>
  <c r="Q11" i="8"/>
  <c r="C11" i="8"/>
  <c r="O11" i="8"/>
  <c r="P11" i="8"/>
  <c r="S26" i="8"/>
  <c r="T26" i="8"/>
  <c r="U26" i="8"/>
  <c r="O26" i="8"/>
  <c r="G26" i="8"/>
  <c r="R26" i="8"/>
  <c r="P26" i="8"/>
  <c r="C26" i="8"/>
  <c r="Q26" i="8"/>
  <c r="S10" i="8"/>
  <c r="T10" i="8"/>
  <c r="U10" i="8"/>
  <c r="O10" i="8"/>
  <c r="G10" i="8"/>
  <c r="R10" i="8"/>
  <c r="P10" i="8"/>
  <c r="Q10" i="8"/>
  <c r="C10" i="8"/>
  <c r="T33" i="8"/>
  <c r="U33" i="8"/>
  <c r="O33" i="8"/>
  <c r="G33" i="8"/>
  <c r="P33" i="8"/>
  <c r="S33" i="8"/>
  <c r="Q33" i="8"/>
  <c r="R33" i="8"/>
  <c r="C33" i="8"/>
  <c r="T25" i="8"/>
  <c r="U25" i="8"/>
  <c r="O25" i="8"/>
  <c r="G25" i="8"/>
  <c r="P25" i="8"/>
  <c r="Q25" i="8"/>
  <c r="S25" i="8"/>
  <c r="C25" i="8"/>
  <c r="R25" i="8"/>
  <c r="T17" i="8"/>
  <c r="U17" i="8"/>
  <c r="O17" i="8"/>
  <c r="G17" i="8"/>
  <c r="P17" i="8"/>
  <c r="S17" i="8"/>
  <c r="Q17" i="8"/>
  <c r="C17" i="8"/>
  <c r="R17" i="8"/>
  <c r="T9" i="8"/>
  <c r="U9" i="8"/>
  <c r="O9" i="8"/>
  <c r="G9" i="8"/>
  <c r="P9" i="8"/>
  <c r="Q9" i="8"/>
  <c r="S9" i="8"/>
  <c r="R9" i="8"/>
  <c r="C9" i="8"/>
  <c r="U32" i="8"/>
  <c r="O32" i="8"/>
  <c r="G32" i="8"/>
  <c r="P32" i="8"/>
  <c r="Q32" i="8"/>
  <c r="C32" i="8"/>
  <c r="R32" i="8"/>
  <c r="T32" i="8"/>
  <c r="S32" i="8"/>
  <c r="U24" i="8"/>
  <c r="O24" i="8"/>
  <c r="G24" i="8"/>
  <c r="P24" i="8"/>
  <c r="Q24" i="8"/>
  <c r="C24" i="8"/>
  <c r="T24" i="8"/>
  <c r="R24" i="8"/>
  <c r="S24" i="8"/>
  <c r="U16" i="8"/>
  <c r="O16" i="8"/>
  <c r="G16" i="8"/>
  <c r="P16" i="8"/>
  <c r="Q16" i="8"/>
  <c r="C16" i="8"/>
  <c r="R16" i="8"/>
  <c r="T16" i="8"/>
  <c r="S16" i="8"/>
  <c r="U8" i="8"/>
  <c r="O8" i="8"/>
  <c r="G8" i="8"/>
  <c r="P8" i="8"/>
  <c r="Q8" i="8"/>
  <c r="C8" i="8"/>
  <c r="R8" i="8"/>
  <c r="T8" i="8"/>
  <c r="S8" i="8"/>
  <c r="O23" i="8"/>
  <c r="G23" i="8"/>
  <c r="C23" i="8"/>
  <c r="P23" i="8"/>
  <c r="Q23" i="8"/>
  <c r="R23" i="8"/>
  <c r="S23" i="8"/>
  <c r="U23" i="8"/>
  <c r="T23" i="8"/>
  <c r="O15" i="8"/>
  <c r="G15" i="8"/>
  <c r="P15" i="8"/>
  <c r="Q15" i="8"/>
  <c r="R15" i="8"/>
  <c r="S15" i="8"/>
  <c r="U15" i="8"/>
  <c r="C15" i="8"/>
  <c r="T15" i="8"/>
  <c r="O38" i="8"/>
  <c r="G38" i="8"/>
  <c r="P38" i="8"/>
  <c r="Q38" i="8"/>
  <c r="C38" i="8"/>
  <c r="R38" i="8"/>
  <c r="S38" i="8"/>
  <c r="T38" i="8"/>
  <c r="U38" i="8"/>
  <c r="O30" i="8"/>
  <c r="G30" i="8"/>
  <c r="P30" i="8"/>
  <c r="Q30" i="8"/>
  <c r="C30" i="8"/>
  <c r="R30" i="8"/>
  <c r="S30" i="8"/>
  <c r="T30" i="8"/>
  <c r="U30" i="8"/>
  <c r="O22" i="8"/>
  <c r="G22" i="8"/>
  <c r="P22" i="8"/>
  <c r="Q22" i="8"/>
  <c r="C22" i="8"/>
  <c r="R22" i="8"/>
  <c r="S22" i="8"/>
  <c r="T22" i="8"/>
  <c r="U22" i="8"/>
  <c r="O14" i="8"/>
  <c r="G14" i="8"/>
  <c r="P14" i="8"/>
  <c r="Q14" i="8"/>
  <c r="C14" i="8"/>
  <c r="R14" i="8"/>
  <c r="S14" i="8"/>
  <c r="T14" i="8"/>
  <c r="U14" i="8"/>
  <c r="S34" i="8"/>
  <c r="T34" i="8"/>
  <c r="U34" i="8"/>
  <c r="O34" i="8"/>
  <c r="G34" i="8"/>
  <c r="P34" i="8"/>
  <c r="R34" i="8"/>
  <c r="Q34" i="8"/>
  <c r="C34" i="8"/>
  <c r="O31" i="8"/>
  <c r="G31" i="8"/>
  <c r="P31" i="8"/>
  <c r="C31" i="8"/>
  <c r="Q31" i="8"/>
  <c r="R31" i="8"/>
  <c r="S31" i="8"/>
  <c r="U31" i="8"/>
  <c r="T31" i="8"/>
  <c r="P37" i="8"/>
  <c r="Q37" i="8"/>
  <c r="C37" i="8"/>
  <c r="R37" i="8"/>
  <c r="U37" i="8"/>
  <c r="S37" i="8"/>
  <c r="T37" i="8"/>
  <c r="O37" i="8"/>
  <c r="G37" i="8"/>
  <c r="P29" i="8"/>
  <c r="Q29" i="8"/>
  <c r="C29" i="8"/>
  <c r="R29" i="8"/>
  <c r="S29" i="8"/>
  <c r="T29" i="8"/>
  <c r="O29" i="8"/>
  <c r="G29" i="8"/>
  <c r="U29" i="8"/>
  <c r="P21" i="8"/>
  <c r="U21" i="8"/>
  <c r="Q21" i="8"/>
  <c r="C21" i="8"/>
  <c r="R21" i="8"/>
  <c r="S21" i="8"/>
  <c r="T21" i="8"/>
  <c r="O21" i="8"/>
  <c r="G21" i="8"/>
  <c r="P13" i="8"/>
  <c r="Q13" i="8"/>
  <c r="C13" i="8"/>
  <c r="R13" i="8"/>
  <c r="S13" i="8"/>
  <c r="T13" i="8"/>
  <c r="U13" i="8"/>
  <c r="O13" i="8"/>
  <c r="G13" i="8"/>
  <c r="Q36" i="8"/>
  <c r="C36" i="8"/>
  <c r="R36" i="8"/>
  <c r="S36" i="8"/>
  <c r="T36" i="8"/>
  <c r="U36" i="8"/>
  <c r="P36" i="8"/>
  <c r="G36" i="8"/>
  <c r="O36" i="8"/>
  <c r="Q28" i="8"/>
  <c r="C28" i="8"/>
  <c r="R28" i="8"/>
  <c r="S28" i="8"/>
  <c r="T28" i="8"/>
  <c r="U28" i="8"/>
  <c r="P28" i="8"/>
  <c r="G28" i="8"/>
  <c r="O28" i="8"/>
  <c r="Q20" i="8"/>
  <c r="C20" i="8"/>
  <c r="R20" i="8"/>
  <c r="S20" i="8"/>
  <c r="T20" i="8"/>
  <c r="U20" i="8"/>
  <c r="P20" i="8"/>
  <c r="G20" i="8"/>
  <c r="O20" i="8"/>
  <c r="Q12" i="8"/>
  <c r="C12" i="8"/>
  <c r="R12" i="8"/>
  <c r="S12" i="8"/>
  <c r="T12" i="8"/>
  <c r="U12" i="8"/>
  <c r="P12" i="8"/>
  <c r="G12" i="8"/>
  <c r="O12" i="8"/>
  <c r="T5" i="8"/>
  <c r="G5" i="8"/>
  <c r="P5" i="8"/>
  <c r="S5" i="8"/>
  <c r="O5" i="8"/>
  <c r="R5" i="8"/>
  <c r="U5" i="8"/>
  <c r="Q5" i="8"/>
  <c r="U7" i="8"/>
  <c r="G7" i="8"/>
  <c r="P7" i="8"/>
  <c r="T7" i="8"/>
  <c r="S7" i="8"/>
  <c r="O7" i="8"/>
  <c r="R7" i="8"/>
  <c r="Q7" i="8"/>
  <c r="U6" i="8"/>
  <c r="Q6" i="8"/>
  <c r="G6" i="8"/>
  <c r="R6" i="8"/>
  <c r="P6" i="8"/>
  <c r="T6" i="8"/>
  <c r="S6" i="8"/>
  <c r="O6" i="8"/>
  <c r="C7" i="8"/>
  <c r="C6" i="8"/>
  <c r="C5" i="8"/>
  <c r="D22" i="8" l="1"/>
  <c r="D10" i="8"/>
  <c r="D34" i="8"/>
  <c r="D6" i="8"/>
  <c r="D23" i="8"/>
  <c r="D32" i="8"/>
  <c r="D11" i="8"/>
  <c r="D17" i="8"/>
  <c r="D13" i="8"/>
  <c r="D26" i="8"/>
  <c r="D36" i="8"/>
  <c r="D12" i="8"/>
  <c r="D30" i="8"/>
  <c r="D19" i="8"/>
  <c r="D31" i="8"/>
  <c r="D37" i="8"/>
  <c r="D5" i="8"/>
  <c r="D18" i="8"/>
  <c r="D16" i="8"/>
  <c r="D33" i="8"/>
  <c r="D38" i="8"/>
  <c r="D28" i="8"/>
  <c r="D15" i="8"/>
  <c r="D39" i="8"/>
  <c r="D8" i="8"/>
  <c r="D29" i="8"/>
  <c r="D24" i="8"/>
  <c r="D20" i="8"/>
  <c r="D35" i="8"/>
  <c r="E38" i="8"/>
  <c r="D7" i="8"/>
  <c r="D9" i="8"/>
  <c r="D25" i="8"/>
  <c r="D21" i="8"/>
  <c r="D14" i="8"/>
  <c r="D27" i="8"/>
  <c r="E21" i="8"/>
  <c r="E29" i="8"/>
  <c r="E27" i="8"/>
  <c r="E23" i="8"/>
  <c r="E25" i="8"/>
  <c r="E9" i="8"/>
  <c r="E22" i="8"/>
  <c r="E15" i="8"/>
  <c r="E39" i="8"/>
  <c r="E16" i="8"/>
  <c r="E34" i="8"/>
  <c r="E26" i="8"/>
  <c r="E19" i="8"/>
  <c r="E12" i="8"/>
  <c r="E28" i="8"/>
  <c r="E8" i="8"/>
  <c r="E32" i="8"/>
  <c r="E13" i="8"/>
  <c r="E5" i="8"/>
  <c r="E35" i="8"/>
  <c r="E17" i="8"/>
  <c r="E33" i="8"/>
  <c r="E7" i="8"/>
  <c r="E31" i="8"/>
  <c r="E14" i="8"/>
  <c r="E24" i="8"/>
  <c r="E30" i="8"/>
  <c r="E37" i="8"/>
  <c r="E18" i="8"/>
  <c r="E20" i="8"/>
  <c r="E36" i="8"/>
  <c r="E10" i="8"/>
  <c r="E11" i="8"/>
  <c r="E6" i="8"/>
</calcChain>
</file>

<file path=xl/sharedStrings.xml><?xml version="1.0" encoding="utf-8"?>
<sst xmlns="http://schemas.openxmlformats.org/spreadsheetml/2006/main" count="699" uniqueCount="119">
  <si>
    <t>TECNOLOGÍA EN GESTIÓN DE NEGOCIOS INTERN</t>
  </si>
  <si>
    <t>SEMESTRE:</t>
  </si>
  <si>
    <t>SEM-02</t>
  </si>
  <si>
    <t>SECCIÓN:</t>
  </si>
  <si>
    <t>LIDER</t>
  </si>
  <si>
    <t>METODOLÓGICO</t>
  </si>
  <si>
    <t>DISCIPLINAR#3</t>
  </si>
  <si>
    <t>DISCIPLINAR#4</t>
  </si>
  <si>
    <t>DISCIPLINAR#5</t>
  </si>
  <si>
    <t>DISCIPLINAR#6</t>
  </si>
  <si>
    <t>DISCIPLINAR#7</t>
  </si>
  <si>
    <t>INTRODUCCIÓN A LOS NEGOCIOS IN</t>
  </si>
  <si>
    <t>SEMINARIO INVESTIGATIVO</t>
  </si>
  <si>
    <t>COSTOS Y PRESUPUESTO</t>
  </si>
  <si>
    <t>LEGISLACION EMPRESARIAL</t>
  </si>
  <si>
    <t>ECONOMÍA GENERAL</t>
  </si>
  <si>
    <t>PROCESO ADMINISTRATIVO</t>
  </si>
  <si>
    <t>TATIANA MILENA ROJAS AROCA</t>
  </si>
  <si>
    <t>MARELYS MULFORD HOYOS</t>
  </si>
  <si>
    <t>OMAR BLANCO PUELLO</t>
  </si>
  <si>
    <t>ELENA MELENDEZ TAPIA</t>
  </si>
  <si>
    <t>GENIS PATRON ANTEQUERA</t>
  </si>
  <si>
    <t>JAFET GOMEZ IZQUIERDO</t>
  </si>
  <si>
    <t>LISTA DE ESTUDIANTES</t>
  </si>
  <si>
    <t>SEGUNDA ENTREGA - CRITERIOS DE EVALUACIÓN DOCUMENTO - SEGUNDO CORTE</t>
  </si>
  <si>
    <t>PONDERACIÓN</t>
  </si>
  <si>
    <t>ADMINISTRACIÓN DE EMPRESAS C.I</t>
  </si>
  <si>
    <t>Valeria Balesteros Almentero</t>
  </si>
  <si>
    <t>PRESENTACIÓN GENERAL: Adopta la norma APA, tamaño de la hoja, margenes, titulo, portadas, numeración de paginas, tabla de contenido automatizada, ortografia, justificacion del texto, citas automatizadas, listas, figuras,etc.</t>
  </si>
  <si>
    <t>ADMINTRACIÓN EN SEGURIDAD Y SALUD EN EL TRABAJO</t>
  </si>
  <si>
    <t>Valentina Castro Ibarra</t>
  </si>
  <si>
    <t>ANTEPROYECTO: Portada, planteamiento del problema, justificacion del trabajo o proyecto de aula, objetivos, marco teorico, diseño metodologico.</t>
  </si>
  <si>
    <t>CONTADURÍA PÚBLICA</t>
  </si>
  <si>
    <t>Carmen Manuek Cruzate</t>
  </si>
  <si>
    <t>RESULTADOS:  Analiza, integra y aplica de manera coherente los aspectos legales y administrativos en el desarrollo de la propuesta investigativa, evidenciando capacidad para generar soluciones viables, pertinentes y sostenibles.</t>
  </si>
  <si>
    <t>NEGOCIOS INTERNACIONALES PROFESIONAL</t>
  </si>
  <si>
    <t>Yulieth Martinez Carrasquilla</t>
  </si>
  <si>
    <t>BILIOGRAFIA: Las referencias bibliograficas: adoptan las normas APA. El documento es producto de un rastreo bibliografico que muestra analisis y sistensis.</t>
  </si>
  <si>
    <t>Angello Ortega Mesino</t>
  </si>
  <si>
    <t>ASESORIAS: Anexó la hoja de tutoria firmada ( 3 fimas minmimo).</t>
  </si>
  <si>
    <t>TECNOLOGíA EN GESTION CONTABLE</t>
  </si>
  <si>
    <t>Cesar Pajaro Ramos</t>
  </si>
  <si>
    <t>TECNOLOGÍA EN GESTIÓN DE MARKETING</t>
  </si>
  <si>
    <t>Elian Polo Soto</t>
  </si>
  <si>
    <t>TECNOLOGÍA EN GESTIÓN DEL TALENTO HUMANO</t>
  </si>
  <si>
    <t>Juan C Corrales de la Rosa</t>
  </si>
  <si>
    <t>TECNOLOGÍA EN GESTIÓN FINANCIERA</t>
  </si>
  <si>
    <t>Katerin Silva Peñate</t>
  </si>
  <si>
    <t>TECNOLOGÍA EN GESTIÓN LOGISTICA Y PORTUARIA</t>
  </si>
  <si>
    <t>Yorcelis Mercado Guerra</t>
  </si>
  <si>
    <t>ENTREGA FINAL - CRITERIO DE EVALUACIÓN SUSTENTACIÓN - TERCER CORTE</t>
  </si>
  <si>
    <t>TECNOLOGÍA EN GESTIÓN TURISTICA Y HOTELERA</t>
  </si>
  <si>
    <t>Lauren castilla Gonzalez</t>
  </si>
  <si>
    <t>Evaluación del Documento Final</t>
  </si>
  <si>
    <t>Duvan Cespedes perez</t>
  </si>
  <si>
    <t>Sustentación de los Resultados: Se refleja un dominio del tema, la  información está delimitada y es clara. Hay una jerarquía y fluidez en las ideas que presenta.</t>
  </si>
  <si>
    <t>Isaac Faciolince Bustos</t>
  </si>
  <si>
    <t>Expresión Oral: Se oberva buena  vocalización y buen tono de voz  durante toda la presentación empleando un lenguaje técnico pertinente con su nivel academico.
Su discurso es adecuado en la presentacion de la sustentación de los resultados</t>
  </si>
  <si>
    <t>Jesus Lopez Morales</t>
  </si>
  <si>
    <t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t>
  </si>
  <si>
    <t>Dakar Moarles Paternina</t>
  </si>
  <si>
    <t>Tiempo: El uso del tiempo fue apropiado, se ajusta al previsto.
Ofrece una conclusión donde condensa las ideas principales del objetivo general y los específicos.</t>
  </si>
  <si>
    <t>Ian Yoraco Berrio</t>
  </si>
  <si>
    <t>Uso de Recursos Audiovisuales Tecnológicos: La sustentación se acompaña de recursos visuales pertinentes, atractivos y de gran calidad</t>
  </si>
  <si>
    <t>Nataly Castro Jimenez</t>
  </si>
  <si>
    <t>Oscar Lorduy Neira</t>
  </si>
  <si>
    <t>Carlos Orozco Valdes</t>
  </si>
  <si>
    <t>Sandri Valdez Sepulveda</t>
  </si>
  <si>
    <t>TITULOS DE LOS PROYECTOS DE AULA</t>
  </si>
  <si>
    <t>Adrian Marriaga Muñoz</t>
  </si>
  <si>
    <t>GRUPO#1</t>
  </si>
  <si>
    <t>Kristin Perez martinez</t>
  </si>
  <si>
    <t>GRUPO#2</t>
  </si>
  <si>
    <t>Nina Aguilar Sarabia</t>
  </si>
  <si>
    <t>GRUPO#3</t>
  </si>
  <si>
    <t>Theres Theran caicedo</t>
  </si>
  <si>
    <t>GRUPO#4</t>
  </si>
  <si>
    <t>Diego Cardona Bolaño</t>
  </si>
  <si>
    <t>GRUPO#5</t>
  </si>
  <si>
    <t>Jhamer Luis Maza Ramos</t>
  </si>
  <si>
    <t>GRUPO#6</t>
  </si>
  <si>
    <t>Yureidy Alarez Castellano</t>
  </si>
  <si>
    <t>GRUPO#7</t>
  </si>
  <si>
    <t>Juan C Baldiris Espitia</t>
  </si>
  <si>
    <t>GRUPO#8</t>
  </si>
  <si>
    <t>Andres F Torres Arroyo</t>
  </si>
  <si>
    <t>GRUPO#9</t>
  </si>
  <si>
    <t>Sherlyn Villegas Maza</t>
  </si>
  <si>
    <t>GRUPO#10</t>
  </si>
  <si>
    <t>Isaac Zapata Zapata</t>
  </si>
  <si>
    <t>GRUPO#11</t>
  </si>
  <si>
    <t>GRUPO#12</t>
  </si>
  <si>
    <t>CRITERIOS DE EVALUACIÓN</t>
  </si>
  <si>
    <t>Estudiantes</t>
  </si>
  <si>
    <t>G01</t>
  </si>
  <si>
    <t>LIST</t>
  </si>
  <si>
    <t>DEF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</si>
  <si>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</si>
  <si>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</si>
  <si>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</si>
  <si>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</si>
  <si>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</si>
  <si>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</si>
  <si>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</si>
  <si>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</si>
  <si>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</si>
  <si>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</si>
  <si>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</si>
  <si>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NA</t>
  </si>
  <si>
    <t xml:space="preserve"> </t>
  </si>
  <si>
    <t>SEGUNDO CORTE</t>
  </si>
  <si>
    <t>TERCER CORTE</t>
  </si>
  <si>
    <t>GP</t>
  </si>
  <si>
    <t>SEG-CORTE</t>
  </si>
  <si>
    <t>TER-CORTE</t>
  </si>
  <si>
    <t>P2</t>
  </si>
  <si>
    <t>P3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</si>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</sst>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8"/>
      <color theme="1"/>
      <name val="Calibri"/>
      <family val="2"/>
    </font>
    <font>
      <b/>
      <sz val="7"/>
      <color theme="0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color theme="0"/>
      <name val="Calibri"/>
      <family val="2"/>
    </font>
    <font>
      <b/>
      <sz val="14"/>
      <color rgb="FFFFFF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B7F2"/>
        <bgColor indexed="64"/>
      </patternFill>
    </fill>
    <fill>
      <patternFill patternType="solid">
        <fgColor rgb="FF8FE3FF"/>
        <bgColor indexed="64"/>
      </patternFill>
    </fill>
    <fill>
      <patternFill patternType="solid">
        <fgColor rgb="FFDEF7FF"/>
        <bgColor indexed="64"/>
      </patternFill>
    </fill>
    <fill>
      <patternFill patternType="solid">
        <fgColor rgb="FFBCEEFF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8">
    <xf numFmtId="0" fontId="0" fillId="0" borderId="0" xfId="0"/>
    <xf numFmtId="0" fontId="2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8" fillId="4" borderId="0" xfId="0" applyFont="1" applyFill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top" wrapText="1"/>
      <protection hidden="1"/>
    </xf>
    <xf numFmtId="0" fontId="4" fillId="0" borderId="0" xfId="0" applyFont="1" applyProtection="1">
      <protection hidden="1"/>
    </xf>
    <xf numFmtId="0" fontId="4" fillId="4" borderId="17" xfId="0" applyFont="1" applyFill="1" applyBorder="1" applyProtection="1">
      <protection hidden="1"/>
    </xf>
    <xf numFmtId="0" fontId="4" fillId="0" borderId="37" xfId="0" applyFont="1" applyBorder="1" applyProtection="1">
      <protection hidden="1"/>
    </xf>
    <xf numFmtId="0" fontId="4" fillId="0" borderId="25" xfId="0" applyFont="1" applyBorder="1" applyAlignment="1" applyProtection="1">
      <alignment horizontal="left" vertical="top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hidden="1"/>
    </xf>
    <xf numFmtId="0" fontId="4" fillId="0" borderId="20" xfId="0" applyFont="1" applyBorder="1" applyProtection="1">
      <protection hidden="1"/>
    </xf>
    <xf numFmtId="0" fontId="4" fillId="0" borderId="38" xfId="0" applyFont="1" applyBorder="1" applyProtection="1">
      <protection hidden="1"/>
    </xf>
    <xf numFmtId="0" fontId="4" fillId="4" borderId="20" xfId="0" applyFont="1" applyFill="1" applyBorder="1" applyProtection="1">
      <protection hidden="1"/>
    </xf>
    <xf numFmtId="0" fontId="4" fillId="0" borderId="21" xfId="0" applyFont="1" applyBorder="1" applyProtection="1">
      <protection hidden="1"/>
    </xf>
    <xf numFmtId="0" fontId="4" fillId="0" borderId="28" xfId="0" applyFont="1" applyBorder="1" applyAlignment="1" applyProtection="1">
      <alignment horizontal="left" vertical="top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64" fontId="4" fillId="0" borderId="26" xfId="0" applyNumberFormat="1" applyFont="1" applyBorder="1" applyAlignment="1" applyProtection="1">
      <alignment horizontal="center" vertical="center"/>
      <protection locked="0"/>
    </xf>
    <xf numFmtId="164" fontId="4" fillId="0" borderId="24" xfId="0" applyNumberFormat="1" applyFont="1" applyBorder="1" applyAlignment="1" applyProtection="1">
      <alignment horizontal="center" vertical="center"/>
      <protection locked="0"/>
    </xf>
    <xf numFmtId="0" fontId="3" fillId="8" borderId="19" xfId="0" applyFont="1" applyFill="1" applyBorder="1" applyAlignment="1" applyProtection="1">
      <alignment horizontal="center" vertical="center"/>
      <protection hidden="1"/>
    </xf>
    <xf numFmtId="0" fontId="10" fillId="9" borderId="19" xfId="0" applyFont="1" applyFill="1" applyBorder="1" applyAlignment="1" applyProtection="1">
      <alignment horizontal="center" vertical="center"/>
      <protection hidden="1"/>
    </xf>
    <xf numFmtId="0" fontId="25" fillId="11" borderId="28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4" fillId="0" borderId="27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left" vertical="top"/>
      <protection hidden="1"/>
    </xf>
    <xf numFmtId="0" fontId="4" fillId="0" borderId="40" xfId="0" applyFont="1" applyBorder="1" applyAlignment="1" applyProtection="1">
      <alignment horizontal="left" vertical="top"/>
      <protection hidden="1"/>
    </xf>
    <xf numFmtId="164" fontId="4" fillId="0" borderId="31" xfId="0" applyNumberFormat="1" applyFont="1" applyBorder="1" applyAlignment="1" applyProtection="1">
      <alignment horizontal="center" vertical="center"/>
      <protection hidden="1"/>
    </xf>
    <xf numFmtId="164" fontId="4" fillId="0" borderId="29" xfId="0" applyNumberFormat="1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5" borderId="35" xfId="0" applyFont="1" applyFill="1" applyBorder="1" applyAlignment="1" applyProtection="1">
      <alignment horizontal="center" vertical="center"/>
      <protection hidden="1"/>
    </xf>
    <xf numFmtId="9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top" wrapText="1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0" fontId="3" fillId="8" borderId="17" xfId="0" applyFont="1" applyFill="1" applyBorder="1" applyAlignment="1" applyProtection="1">
      <alignment vertical="center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0" fontId="3" fillId="8" borderId="18" xfId="0" applyFont="1" applyFill="1" applyBorder="1" applyAlignment="1" applyProtection="1">
      <alignment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3" fillId="8" borderId="19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4" fillId="0" borderId="42" xfId="0" applyFont="1" applyBorder="1" applyProtection="1">
      <protection hidden="1"/>
    </xf>
    <xf numFmtId="0" fontId="24" fillId="8" borderId="4" xfId="0" applyFont="1" applyFill="1" applyBorder="1" applyAlignment="1" applyProtection="1">
      <alignment horizontal="center" vertical="center"/>
      <protection hidden="1"/>
    </xf>
    <xf numFmtId="0" fontId="18" fillId="9" borderId="43" xfId="0" applyFont="1" applyFill="1" applyBorder="1" applyAlignment="1" applyProtection="1">
      <alignment horizontal="center" vertical="center"/>
      <protection hidden="1"/>
    </xf>
    <xf numFmtId="0" fontId="8" fillId="8" borderId="5" xfId="0" applyFont="1" applyFill="1" applyBorder="1" applyAlignment="1" applyProtection="1">
      <alignment horizontal="center" vertical="center"/>
      <protection hidden="1"/>
    </xf>
    <xf numFmtId="0" fontId="5" fillId="9" borderId="6" xfId="0" applyFont="1" applyFill="1" applyBorder="1" applyAlignment="1" applyProtection="1">
      <alignment horizontal="center" vertical="center"/>
      <protection hidden="1"/>
    </xf>
    <xf numFmtId="0" fontId="20" fillId="9" borderId="9" xfId="0" applyFont="1" applyFill="1" applyBorder="1" applyAlignment="1" applyProtection="1">
      <alignment horizontal="center" vertical="center"/>
      <protection hidden="1"/>
    </xf>
    <xf numFmtId="0" fontId="20" fillId="9" borderId="10" xfId="0" applyFont="1" applyFill="1" applyBorder="1" applyAlignment="1" applyProtection="1">
      <alignment horizontal="center" vertical="center"/>
      <protection hidden="1"/>
    </xf>
    <xf numFmtId="0" fontId="20" fillId="9" borderId="11" xfId="0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7" fillId="8" borderId="9" xfId="0" applyFont="1" applyFill="1" applyBorder="1" applyAlignment="1" applyProtection="1">
      <alignment horizontal="center" vertical="center"/>
      <protection hidden="1"/>
    </xf>
    <xf numFmtId="0" fontId="27" fillId="8" borderId="10" xfId="0" applyFont="1" applyFill="1" applyBorder="1" applyAlignment="1" applyProtection="1">
      <alignment horizontal="center" vertical="center"/>
      <protection hidden="1"/>
    </xf>
    <xf numFmtId="0" fontId="27" fillId="8" borderId="11" xfId="0" applyFont="1" applyFill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5" fillId="0" borderId="47" xfId="0" applyFont="1" applyBorder="1" applyAlignment="1" applyProtection="1">
      <alignment horizontal="lef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164" fontId="4" fillId="0" borderId="8" xfId="0" applyNumberFormat="1" applyFont="1" applyBorder="1" applyAlignment="1" applyProtection="1">
      <alignment horizontal="center" vertical="center"/>
      <protection hidden="1"/>
    </xf>
    <xf numFmtId="164" fontId="4" fillId="0" borderId="7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0" fontId="4" fillId="0" borderId="12" xfId="0" applyFont="1" applyBorder="1" applyAlignment="1" applyProtection="1">
      <alignment horizontal="left" vertical="center"/>
      <protection hidden="1"/>
    </xf>
    <xf numFmtId="164" fontId="4" fillId="0" borderId="12" xfId="0" applyNumberFormat="1" applyFont="1" applyBorder="1" applyAlignment="1" applyProtection="1">
      <alignment horizontal="center" vertical="center"/>
      <protection hidden="1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164" fontId="4" fillId="0" borderId="13" xfId="0" applyNumberFormat="1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left" vertical="center"/>
      <protection hidden="1"/>
    </xf>
    <xf numFmtId="0" fontId="15" fillId="0" borderId="50" xfId="0" applyFont="1" applyBorder="1" applyAlignment="1" applyProtection="1">
      <alignment horizontal="left" vertical="center"/>
      <protection hidden="1"/>
    </xf>
    <xf numFmtId="164" fontId="4" fillId="0" borderId="15" xfId="0" applyNumberFormat="1" applyFont="1" applyBorder="1" applyAlignment="1" applyProtection="1">
      <alignment horizontal="center" vertical="center"/>
      <protection hidden="1"/>
    </xf>
    <xf numFmtId="164" fontId="4" fillId="0" borderId="16" xfId="0" applyNumberFormat="1" applyFont="1" applyBorder="1" applyAlignment="1" applyProtection="1">
      <alignment horizontal="center" vertical="center"/>
      <protection hidden="1"/>
    </xf>
    <xf numFmtId="164" fontId="4" fillId="0" borderId="9" xfId="0" applyNumberFormat="1" applyFont="1" applyBorder="1" applyAlignment="1" applyProtection="1">
      <alignment horizontal="center" vertical="center"/>
      <protection hidden="1"/>
    </xf>
    <xf numFmtId="164" fontId="4" fillId="0" borderId="10" xfId="0" applyNumberFormat="1" applyFont="1" applyBorder="1" applyAlignment="1" applyProtection="1">
      <alignment horizontal="center" vertical="center"/>
      <protection hidden="1"/>
    </xf>
    <xf numFmtId="164" fontId="4" fillId="0" borderId="11" xfId="0" applyNumberFormat="1" applyFont="1" applyBorder="1" applyAlignment="1" applyProtection="1">
      <alignment horizontal="center" vertical="center"/>
      <protection hidden="1"/>
    </xf>
    <xf numFmtId="0" fontId="5" fillId="11" borderId="28" xfId="0" applyFont="1" applyFill="1" applyBorder="1" applyAlignment="1" applyProtection="1">
      <alignment horizontal="center" vertical="center"/>
      <protection hidden="1"/>
    </xf>
    <xf numFmtId="0" fontId="8" fillId="7" borderId="0" xfId="0" applyFont="1" applyFill="1" applyAlignment="1" applyProtection="1">
      <alignment horizontal="center" vertical="center"/>
      <protection hidden="1"/>
    </xf>
    <xf numFmtId="0" fontId="5" fillId="0" borderId="4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6" borderId="48" xfId="0" applyFont="1" applyFill="1" applyBorder="1" applyAlignment="1" applyProtection="1">
      <alignment horizontal="left" vertical="top" wrapText="1"/>
      <protection hidden="1"/>
    </xf>
    <xf numFmtId="0" fontId="4" fillId="0" borderId="48" xfId="0" applyFont="1" applyBorder="1" applyAlignment="1" applyProtection="1">
      <alignment horizontal="left" vertical="top" wrapTex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9" fontId="8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left" vertical="top"/>
      <protection hidden="1"/>
    </xf>
    <xf numFmtId="0" fontId="4" fillId="0" borderId="46" xfId="0" applyFont="1" applyBorder="1" applyAlignment="1" applyProtection="1">
      <alignment horizontal="left" vertical="top"/>
      <protection hidden="1"/>
    </xf>
    <xf numFmtId="0" fontId="17" fillId="0" borderId="46" xfId="0" applyFont="1" applyBorder="1" applyAlignment="1" applyProtection="1">
      <alignment horizontal="left" vertical="top"/>
      <protection hidden="1"/>
    </xf>
    <xf numFmtId="164" fontId="4" fillId="0" borderId="46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top"/>
      <protection hidden="1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10" fillId="9" borderId="5" xfId="0" applyFont="1" applyFill="1" applyBorder="1" applyAlignment="1" applyProtection="1">
      <alignment horizontal="right" vertical="center"/>
      <protection hidden="1"/>
    </xf>
    <xf numFmtId="0" fontId="3" fillId="8" borderId="5" xfId="0" applyFont="1" applyFill="1" applyBorder="1" applyAlignment="1" applyProtection="1">
      <alignment horizontal="center" vertical="center"/>
      <protection hidden="1"/>
    </xf>
    <xf numFmtId="0" fontId="5" fillId="8" borderId="19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23" fillId="8" borderId="1" xfId="0" applyFont="1" applyFill="1" applyBorder="1" applyAlignment="1" applyProtection="1">
      <alignment horizontal="center" vertical="center"/>
      <protection hidden="1"/>
    </xf>
    <xf numFmtId="0" fontId="5" fillId="8" borderId="45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5" fillId="8" borderId="4" xfId="0" applyFont="1" applyFill="1" applyBorder="1" applyAlignment="1" applyProtection="1">
      <alignment horizontal="center" vertical="center"/>
      <protection locked="0"/>
    </xf>
    <xf numFmtId="0" fontId="5" fillId="8" borderId="5" xfId="0" applyFont="1" applyFill="1" applyBorder="1" applyAlignment="1" applyProtection="1">
      <alignment horizontal="center" vertical="center"/>
      <protection locked="0"/>
    </xf>
    <xf numFmtId="0" fontId="5" fillId="8" borderId="6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10" borderId="12" xfId="0" applyFont="1" applyFill="1" applyBorder="1" applyProtection="1">
      <protection locked="0"/>
    </xf>
    <xf numFmtId="0" fontId="7" fillId="10" borderId="1" xfId="0" applyFont="1" applyFill="1" applyBorder="1" applyProtection="1">
      <protection locked="0"/>
    </xf>
    <xf numFmtId="0" fontId="7" fillId="10" borderId="13" xfId="0" applyFont="1" applyFill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10" borderId="9" xfId="0" applyFont="1" applyFill="1" applyBorder="1" applyProtection="1">
      <protection locked="0"/>
    </xf>
    <xf numFmtId="0" fontId="7" fillId="10" borderId="10" xfId="0" applyFont="1" applyFill="1" applyBorder="1" applyProtection="1">
      <protection locked="0"/>
    </xf>
    <xf numFmtId="0" fontId="7" fillId="10" borderId="11" xfId="0" applyFont="1" applyFill="1" applyBorder="1" applyProtection="1">
      <protection locked="0"/>
    </xf>
    <xf numFmtId="165" fontId="4" fillId="4" borderId="32" xfId="1" applyNumberFormat="1" applyFont="1" applyFill="1" applyBorder="1" applyAlignment="1" applyProtection="1">
      <alignment horizontal="center" vertical="center"/>
      <protection hidden="1"/>
    </xf>
    <xf numFmtId="165" fontId="4" fillId="10" borderId="32" xfId="1" applyNumberFormat="1" applyFont="1" applyFill="1" applyBorder="1" applyAlignment="1" applyProtection="1">
      <alignment horizontal="center" vertical="center"/>
      <protection hidden="1"/>
    </xf>
    <xf numFmtId="9" fontId="9" fillId="8" borderId="28" xfId="1" applyFont="1" applyFill="1" applyBorder="1" applyAlignment="1" applyProtection="1">
      <alignment horizontal="center" vertical="center"/>
      <protection hidden="1"/>
    </xf>
    <xf numFmtId="9" fontId="4" fillId="0" borderId="31" xfId="1" applyFont="1" applyBorder="1" applyAlignment="1" applyProtection="1">
      <alignment horizontal="center" vertical="center"/>
      <protection hidden="1"/>
    </xf>
    <xf numFmtId="9" fontId="4" fillId="10" borderId="32" xfId="1" applyFont="1" applyFill="1" applyBorder="1" applyAlignment="1" applyProtection="1">
      <alignment horizontal="center" vertical="center"/>
      <protection hidden="1"/>
    </xf>
    <xf numFmtId="9" fontId="4" fillId="0" borderId="32" xfId="1" applyFont="1" applyBorder="1" applyAlignment="1" applyProtection="1">
      <alignment horizontal="center" vertical="center"/>
      <protection hidden="1"/>
    </xf>
    <xf numFmtId="9" fontId="4" fillId="0" borderId="33" xfId="1" applyFont="1" applyBorder="1" applyAlignment="1" applyProtection="1">
      <alignment horizontal="center" vertical="center"/>
      <protection hidden="1"/>
    </xf>
    <xf numFmtId="0" fontId="4" fillId="6" borderId="22" xfId="0" applyFont="1" applyFill="1" applyBorder="1" applyAlignment="1" applyProtection="1">
      <alignment horizontal="center" vertical="center"/>
      <protection hidden="1"/>
    </xf>
    <xf numFmtId="0" fontId="4" fillId="6" borderId="23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164" fontId="19" fillId="0" borderId="46" xfId="0" applyNumberFormat="1" applyFont="1" applyBorder="1" applyAlignment="1" applyProtection="1">
      <alignment horizontal="center" vertical="center"/>
      <protection locked="0"/>
    </xf>
    <xf numFmtId="0" fontId="3" fillId="8" borderId="17" xfId="0" applyFont="1" applyFill="1" applyBorder="1" applyAlignment="1" applyProtection="1">
      <alignment horizontal="center"/>
      <protection hidden="1"/>
    </xf>
    <xf numFmtId="0" fontId="3" fillId="8" borderId="18" xfId="0" applyFont="1" applyFill="1" applyBorder="1" applyAlignment="1" applyProtection="1">
      <alignment horizontal="center"/>
      <protection hidden="1"/>
    </xf>
    <xf numFmtId="0" fontId="3" fillId="8" borderId="19" xfId="0" applyFont="1" applyFill="1" applyBorder="1" applyAlignment="1" applyProtection="1">
      <alignment horizontal="center"/>
      <protection hidden="1"/>
    </xf>
    <xf numFmtId="0" fontId="8" fillId="8" borderId="1" xfId="0" applyFont="1" applyFill="1" applyBorder="1" applyAlignment="1" applyProtection="1">
      <alignment horizontal="center" vertical="center"/>
      <protection hidden="1"/>
    </xf>
    <xf numFmtId="0" fontId="26" fillId="11" borderId="40" xfId="0" applyFont="1" applyFill="1" applyBorder="1" applyAlignment="1" applyProtection="1">
      <alignment horizontal="center" vertical="center"/>
      <protection hidden="1"/>
    </xf>
    <xf numFmtId="0" fontId="26" fillId="11" borderId="39" xfId="0" applyFont="1" applyFill="1" applyBorder="1" applyAlignment="1" applyProtection="1">
      <alignment horizontal="center" vertical="center"/>
      <protection hidden="1"/>
    </xf>
    <xf numFmtId="0" fontId="26" fillId="11" borderId="29" xfId="0" applyFont="1" applyFill="1" applyBorder="1" applyAlignment="1" applyProtection="1">
      <alignment horizontal="center" vertical="center"/>
      <protection hidden="1"/>
    </xf>
    <xf numFmtId="0" fontId="28" fillId="3" borderId="34" xfId="0" applyFont="1" applyFill="1" applyBorder="1" applyAlignment="1" applyProtection="1">
      <alignment horizontal="center" vertical="center" wrapText="1"/>
      <protection hidden="1"/>
    </xf>
    <xf numFmtId="0" fontId="28" fillId="3" borderId="30" xfId="0" applyFont="1" applyFill="1" applyBorder="1" applyAlignment="1" applyProtection="1">
      <alignment horizontal="center" vertical="center" wrapText="1"/>
      <protection hidden="1"/>
    </xf>
    <xf numFmtId="0" fontId="28" fillId="3" borderId="41" xfId="0" applyFont="1" applyFill="1" applyBorder="1" applyAlignment="1" applyProtection="1">
      <alignment horizontal="center" vertical="center" wrapText="1"/>
      <protection hidden="1"/>
    </xf>
    <xf numFmtId="164" fontId="19" fillId="0" borderId="28" xfId="0" applyNumberFormat="1" applyFont="1" applyBorder="1" applyAlignment="1" applyProtection="1">
      <alignment horizontal="center" vertical="center"/>
      <protection locked="0"/>
    </xf>
    <xf numFmtId="0" fontId="13" fillId="8" borderId="17" xfId="0" applyFont="1" applyFill="1" applyBorder="1" applyAlignment="1" applyProtection="1">
      <alignment horizontal="center" vertical="center" wrapText="1"/>
      <protection hidden="1"/>
    </xf>
    <xf numFmtId="0" fontId="13" fillId="8" borderId="18" xfId="0" applyFont="1" applyFill="1" applyBorder="1" applyAlignment="1" applyProtection="1">
      <alignment horizontal="center" vertical="center" wrapText="1"/>
      <protection hidden="1"/>
    </xf>
    <xf numFmtId="0" fontId="13" fillId="8" borderId="43" xfId="0" applyFont="1" applyFill="1" applyBorder="1" applyAlignment="1" applyProtection="1">
      <alignment horizontal="center" vertical="center" wrapText="1"/>
      <protection hidden="1"/>
    </xf>
    <xf numFmtId="0" fontId="22" fillId="8" borderId="42" xfId="0" applyFont="1" applyFill="1" applyBorder="1" applyAlignment="1" applyProtection="1">
      <alignment horizontal="center" vertical="center"/>
      <protection hidden="1"/>
    </xf>
    <xf numFmtId="0" fontId="22" fillId="8" borderId="44" xfId="0" applyFont="1" applyFill="1" applyBorder="1" applyAlignment="1" applyProtection="1">
      <alignment horizontal="center" vertical="center"/>
      <protection hidden="1"/>
    </xf>
    <xf numFmtId="0" fontId="22" fillId="8" borderId="45" xfId="0" applyFont="1" applyFill="1" applyBorder="1" applyAlignment="1" applyProtection="1">
      <alignment horizontal="center" vertical="center"/>
      <protection hidden="1"/>
    </xf>
    <xf numFmtId="0" fontId="4" fillId="4" borderId="20" xfId="0" applyFont="1" applyFill="1" applyBorder="1" applyAlignment="1" applyProtection="1">
      <alignment horizontal="left" vertical="top"/>
      <protection hidden="1"/>
    </xf>
    <xf numFmtId="0" fontId="4" fillId="4" borderId="54" xfId="0" applyFont="1" applyFill="1" applyBorder="1" applyAlignment="1" applyProtection="1">
      <alignment horizontal="left" vertical="top"/>
      <protection hidden="1"/>
    </xf>
    <xf numFmtId="0" fontId="4" fillId="4" borderId="32" xfId="0" applyFont="1" applyFill="1" applyBorder="1" applyAlignment="1" applyProtection="1">
      <alignment horizontal="left" vertical="top"/>
      <protection hidden="1"/>
    </xf>
    <xf numFmtId="0" fontId="4" fillId="10" borderId="20" xfId="0" applyFont="1" applyFill="1" applyBorder="1" applyAlignment="1" applyProtection="1">
      <alignment horizontal="left" vertical="top"/>
      <protection hidden="1"/>
    </xf>
    <xf numFmtId="0" fontId="4" fillId="10" borderId="54" xfId="0" applyFont="1" applyFill="1" applyBorder="1" applyAlignment="1" applyProtection="1">
      <alignment horizontal="left" vertical="top"/>
      <protection hidden="1"/>
    </xf>
    <xf numFmtId="0" fontId="4" fillId="10" borderId="32" xfId="0" applyFont="1" applyFill="1" applyBorder="1" applyAlignment="1" applyProtection="1">
      <alignment horizontal="left" vertical="top"/>
      <protection hidden="1"/>
    </xf>
    <xf numFmtId="0" fontId="4" fillId="4" borderId="12" xfId="0" applyFont="1" applyFill="1" applyBorder="1" applyAlignment="1" applyProtection="1">
      <alignment horizontal="left" vertical="top"/>
      <protection hidden="1"/>
    </xf>
    <xf numFmtId="0" fontId="4" fillId="4" borderId="1" xfId="0" applyFont="1" applyFill="1" applyBorder="1" applyAlignment="1" applyProtection="1">
      <alignment horizontal="left" vertical="top"/>
      <protection hidden="1"/>
    </xf>
    <xf numFmtId="0" fontId="4" fillId="4" borderId="13" xfId="0" applyFont="1" applyFill="1" applyBorder="1" applyAlignment="1" applyProtection="1">
      <alignment horizontal="left" vertical="top"/>
      <protection hidden="1"/>
    </xf>
    <xf numFmtId="0" fontId="4" fillId="10" borderId="12" xfId="0" applyFont="1" applyFill="1" applyBorder="1" applyAlignment="1" applyProtection="1">
      <alignment horizontal="left" vertical="top"/>
      <protection hidden="1"/>
    </xf>
    <xf numFmtId="0" fontId="4" fillId="10" borderId="1" xfId="0" applyFont="1" applyFill="1" applyBorder="1" applyAlignment="1" applyProtection="1">
      <alignment horizontal="left" vertical="top"/>
      <protection hidden="1"/>
    </xf>
    <xf numFmtId="0" fontId="4" fillId="10" borderId="13" xfId="0" applyFont="1" applyFill="1" applyBorder="1" applyAlignment="1" applyProtection="1">
      <alignment horizontal="left" vertical="top"/>
      <protection hidden="1"/>
    </xf>
    <xf numFmtId="0" fontId="4" fillId="10" borderId="17" xfId="0" applyFont="1" applyFill="1" applyBorder="1" applyAlignment="1" applyProtection="1">
      <alignment vertical="center"/>
      <protection locked="0"/>
    </xf>
    <xf numFmtId="0" fontId="4" fillId="10" borderId="18" xfId="0" applyFont="1" applyFill="1" applyBorder="1" applyAlignment="1" applyProtection="1">
      <alignment vertical="center"/>
      <protection locked="0"/>
    </xf>
    <xf numFmtId="0" fontId="4" fillId="10" borderId="19" xfId="0" applyFont="1" applyFill="1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4" fillId="4" borderId="9" xfId="0" applyFont="1" applyFill="1" applyBorder="1" applyAlignment="1" applyProtection="1">
      <alignment horizontal="left" vertical="top"/>
      <protection hidden="1"/>
    </xf>
    <xf numFmtId="0" fontId="4" fillId="4" borderId="10" xfId="0" applyFont="1" applyFill="1" applyBorder="1" applyAlignment="1" applyProtection="1">
      <alignment horizontal="left" vertical="top"/>
      <protection hidden="1"/>
    </xf>
    <xf numFmtId="0" fontId="4" fillId="4" borderId="11" xfId="0" applyFont="1" applyFill="1" applyBorder="1" applyAlignment="1" applyProtection="1">
      <alignment horizontal="left" vertical="top"/>
      <protection hidden="1"/>
    </xf>
    <xf numFmtId="0" fontId="4" fillId="0" borderId="9" xfId="0" applyFont="1" applyBorder="1" applyAlignment="1" applyProtection="1">
      <alignment horizontal="center" vertical="top" wrapText="1"/>
      <protection hidden="1"/>
    </xf>
    <xf numFmtId="0" fontId="4" fillId="0" borderId="10" xfId="0" applyFont="1" applyBorder="1" applyAlignment="1" applyProtection="1">
      <alignment horizontal="center" vertical="top" wrapText="1"/>
      <protection hidden="1"/>
    </xf>
    <xf numFmtId="0" fontId="4" fillId="0" borderId="11" xfId="0" applyFont="1" applyBorder="1" applyAlignment="1" applyProtection="1">
      <alignment horizontal="center" vertical="top" wrapText="1"/>
      <protection hidden="1"/>
    </xf>
    <xf numFmtId="0" fontId="4" fillId="0" borderId="22" xfId="0" applyFont="1" applyBorder="1" applyAlignment="1" applyProtection="1">
      <alignment horizontal="left" wrapText="1"/>
      <protection hidden="1"/>
    </xf>
    <xf numFmtId="0" fontId="4" fillId="0" borderId="35" xfId="0" applyFont="1" applyBorder="1" applyAlignment="1" applyProtection="1">
      <alignment horizontal="left" wrapText="1"/>
      <protection hidden="1"/>
    </xf>
    <xf numFmtId="0" fontId="4" fillId="0" borderId="36" xfId="0" applyFont="1" applyBorder="1" applyAlignment="1" applyProtection="1">
      <alignment horizontal="left" wrapText="1"/>
      <protection hidden="1"/>
    </xf>
    <xf numFmtId="0" fontId="4" fillId="0" borderId="39" xfId="0" applyFont="1" applyBorder="1" applyAlignment="1" applyProtection="1">
      <alignment horizontal="center"/>
      <protection locked="0"/>
    </xf>
    <xf numFmtId="0" fontId="4" fillId="10" borderId="12" xfId="0" applyFont="1" applyFill="1" applyBorder="1" applyAlignment="1" applyProtection="1">
      <alignment horizontal="left" vertical="top" wrapText="1"/>
      <protection hidden="1"/>
    </xf>
    <xf numFmtId="0" fontId="4" fillId="10" borderId="1" xfId="0" applyFont="1" applyFill="1" applyBorder="1" applyAlignment="1" applyProtection="1">
      <alignment horizontal="left" vertical="top" wrapText="1"/>
      <protection hidden="1"/>
    </xf>
    <xf numFmtId="0" fontId="4" fillId="10" borderId="13" xfId="0" applyFont="1" applyFill="1" applyBorder="1" applyAlignment="1" applyProtection="1">
      <alignment horizontal="left" vertical="top" wrapText="1"/>
      <protection hidden="1"/>
    </xf>
    <xf numFmtId="0" fontId="24" fillId="8" borderId="17" xfId="0" applyFont="1" applyFill="1" applyBorder="1" applyAlignment="1" applyProtection="1">
      <alignment horizontal="center" vertical="center"/>
      <protection locked="0"/>
    </xf>
    <xf numFmtId="0" fontId="24" fillId="8" borderId="18" xfId="0" applyFont="1" applyFill="1" applyBorder="1" applyAlignment="1" applyProtection="1">
      <alignment horizontal="center" vertical="center"/>
      <protection locked="0"/>
    </xf>
    <xf numFmtId="0" fontId="24" fillId="8" borderId="19" xfId="0" applyFont="1" applyFill="1" applyBorder="1" applyAlignment="1" applyProtection="1">
      <alignment horizontal="center" vertical="center"/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0" xfId="0" applyFont="1" applyFill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/>
      <protection hidden="1"/>
    </xf>
    <xf numFmtId="0" fontId="4" fillId="0" borderId="13" xfId="0" applyFont="1" applyBorder="1" applyAlignment="1" applyProtection="1">
      <alignment horizontal="left" vertical="top"/>
      <protection hidden="1"/>
    </xf>
    <xf numFmtId="164" fontId="19" fillId="6" borderId="46" xfId="0" applyNumberFormat="1" applyFont="1" applyFill="1" applyBorder="1" applyAlignment="1" applyProtection="1">
      <alignment horizontal="center" vertical="center"/>
      <protection locked="0"/>
    </xf>
    <xf numFmtId="164" fontId="19" fillId="6" borderId="28" xfId="0" applyNumberFormat="1" applyFont="1" applyFill="1" applyBorder="1" applyAlignment="1" applyProtection="1">
      <alignment horizontal="center" vertical="center"/>
      <protection locked="0"/>
    </xf>
    <xf numFmtId="164" fontId="19" fillId="6" borderId="49" xfId="0" applyNumberFormat="1" applyFont="1" applyFill="1" applyBorder="1" applyAlignment="1" applyProtection="1">
      <alignment horizontal="center" vertical="center"/>
      <protection locked="0"/>
    </xf>
    <xf numFmtId="164" fontId="19" fillId="6" borderId="29" xfId="0" applyNumberFormat="1" applyFont="1" applyFill="1" applyBorder="1" applyAlignment="1" applyProtection="1">
      <alignment horizontal="center" vertical="center"/>
      <protection locked="0"/>
    </xf>
    <xf numFmtId="0" fontId="23" fillId="11" borderId="40" xfId="0" applyFont="1" applyFill="1" applyBorder="1" applyAlignment="1" applyProtection="1">
      <alignment horizontal="center" vertical="center"/>
      <protection hidden="1"/>
    </xf>
    <xf numFmtId="0" fontId="23" fillId="11" borderId="39" xfId="0" applyFont="1" applyFill="1" applyBorder="1" applyAlignment="1" applyProtection="1">
      <alignment horizontal="center" vertical="center"/>
      <protection hidden="1"/>
    </xf>
    <xf numFmtId="0" fontId="23" fillId="11" borderId="29" xfId="0" applyFont="1" applyFill="1" applyBorder="1" applyAlignment="1" applyProtection="1">
      <alignment horizontal="center" vertical="center"/>
      <protection hidden="1"/>
    </xf>
    <xf numFmtId="0" fontId="28" fillId="3" borderId="1" xfId="0" applyFont="1" applyFill="1" applyBorder="1" applyAlignment="1" applyProtection="1">
      <alignment horizontal="center" vertical="center" wrapText="1"/>
      <protection hidden="1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0" fontId="8" fillId="8" borderId="55" xfId="0" applyFont="1" applyFill="1" applyBorder="1" applyAlignment="1" applyProtection="1">
      <alignment horizontal="center" vertical="center"/>
      <protection hidden="1"/>
    </xf>
    <xf numFmtId="164" fontId="19" fillId="0" borderId="29" xfId="0" applyNumberFormat="1" applyFont="1" applyBorder="1" applyAlignment="1" applyProtection="1">
      <alignment horizontal="center" vertical="center"/>
      <protection locked="0"/>
    </xf>
    <xf numFmtId="0" fontId="14" fillId="8" borderId="51" xfId="0" applyFont="1" applyFill="1" applyBorder="1" applyAlignment="1" applyProtection="1">
      <alignment horizontal="center" vertical="center"/>
      <protection hidden="1"/>
    </xf>
    <xf numFmtId="0" fontId="14" fillId="8" borderId="52" xfId="0" applyFont="1" applyFill="1" applyBorder="1" applyAlignment="1" applyProtection="1">
      <alignment horizontal="center" vertical="center"/>
      <protection hidden="1"/>
    </xf>
    <xf numFmtId="0" fontId="14" fillId="8" borderId="53" xfId="0" applyFont="1" applyFill="1" applyBorder="1" applyAlignment="1" applyProtection="1">
      <alignment horizontal="center"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12" fillId="8" borderId="18" xfId="0" applyFont="1" applyFill="1" applyBorder="1" applyAlignment="1" applyProtection="1">
      <alignment horizontal="center" vertical="center"/>
      <protection hidden="1"/>
    </xf>
    <xf numFmtId="0" fontId="13" fillId="9" borderId="34" xfId="0" applyFont="1" applyFill="1" applyBorder="1" applyAlignment="1" applyProtection="1">
      <alignment horizontal="center" vertical="center"/>
      <protection hidden="1"/>
    </xf>
    <xf numFmtId="0" fontId="13" fillId="9" borderId="30" xfId="0" applyFont="1" applyFill="1" applyBorder="1" applyAlignment="1" applyProtection="1">
      <alignment horizontal="center" vertical="center"/>
      <protection hidden="1"/>
    </xf>
    <xf numFmtId="0" fontId="13" fillId="9" borderId="41" xfId="0" applyFont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Porcentaje" xfId="1" builtinId="5"/>
  </cellStyles>
  <dxfs count="214">
    <dxf>
      <font>
        <b/>
        <i val="0"/>
        <color theme="1"/>
      </font>
      <fill>
        <patternFill>
          <bgColor rgb="FFFFC000"/>
        </patternFill>
      </fill>
    </dxf>
    <dxf>
      <font>
        <b val="0"/>
        <i/>
        <color theme="1"/>
      </font>
      <fill>
        <patternFill>
          <bgColor rgb="FF92D05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</dxfs>
  <tableStyles count="1" defaultTableStyle="TableStyleMedium2" defaultPivotStyle="PivotStyleLight16">
    <tableStyle name="Invisible" pivot="0" table="0" count="0" xr9:uid="{5A9E57B7-A67E-41FA-950E-63A27064175A}"/>
  </tableStyles>
  <colors>
    <mruColors>
      <color rgb="FFDEF7FF"/>
      <color rgb="FF0CB7F2"/>
      <color rgb="FFBCEEFF"/>
      <color rgb="FF8F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T-ASIG-02'!A1"/><Relationship Id="rId13" Type="http://schemas.openxmlformats.org/officeDocument/2006/relationships/hyperlink" Target="#LIDER!A1"/><Relationship Id="rId3" Type="http://schemas.openxmlformats.org/officeDocument/2006/relationships/hyperlink" Target="#'S-ASIG-03'!A1"/><Relationship Id="rId7" Type="http://schemas.openxmlformats.org/officeDocument/2006/relationships/hyperlink" Target="#'T-ASIG-01'!A1"/><Relationship Id="rId12" Type="http://schemas.openxmlformats.org/officeDocument/2006/relationships/hyperlink" Target="#'T-ASIG-06'!A1"/><Relationship Id="rId2" Type="http://schemas.openxmlformats.org/officeDocument/2006/relationships/hyperlink" Target="#'S-ASIG-02'!A1"/><Relationship Id="rId1" Type="http://schemas.openxmlformats.org/officeDocument/2006/relationships/hyperlink" Target="#'S-ASIG-01'!A1"/><Relationship Id="rId6" Type="http://schemas.openxmlformats.org/officeDocument/2006/relationships/hyperlink" Target="#'S-ASIG-06'!A1"/><Relationship Id="rId11" Type="http://schemas.openxmlformats.org/officeDocument/2006/relationships/hyperlink" Target="#'T-ASIG-05'!A1"/><Relationship Id="rId5" Type="http://schemas.openxmlformats.org/officeDocument/2006/relationships/hyperlink" Target="#'S-ASIG-05'!A1"/><Relationship Id="rId15" Type="http://schemas.openxmlformats.org/officeDocument/2006/relationships/hyperlink" Target="#'T-ASIG-07'!A1"/><Relationship Id="rId10" Type="http://schemas.openxmlformats.org/officeDocument/2006/relationships/hyperlink" Target="#'T-ASIG-04'!A1"/><Relationship Id="rId4" Type="http://schemas.openxmlformats.org/officeDocument/2006/relationships/hyperlink" Target="#'S-ASIG-04'!A1"/><Relationship Id="rId9" Type="http://schemas.openxmlformats.org/officeDocument/2006/relationships/hyperlink" Target="#'T-ASIG-03'!A1"/><Relationship Id="rId14" Type="http://schemas.openxmlformats.org/officeDocument/2006/relationships/hyperlink" Target="#'S-ASIG-07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8</xdr:row>
      <xdr:rowOff>9525</xdr:rowOff>
    </xdr:from>
    <xdr:to>
      <xdr:col>3</xdr:col>
      <xdr:colOff>1819275</xdr:colOff>
      <xdr:row>10</xdr:row>
      <xdr:rowOff>9525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7C2B8-9E05-49FE-9047-FB11B0AB313E}"/>
            </a:ext>
          </a:extLst>
        </xdr:cNvPr>
        <xdr:cNvSpPr/>
      </xdr:nvSpPr>
      <xdr:spPr>
        <a:xfrm>
          <a:off x="3267075" y="1743075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DEE6F-5C86-DBD0-754D-24663357F53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49876-F88C-49BE-9E16-DCA215A99F5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15149-62E9-4B76-9102-151BE33D1D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41BA6-F107-433C-87D7-69377738D9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9F99B-1256-4253-91FC-296C8A8CD4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7A0C7-EC17-4BA6-A053-ADAAE03B3F0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EAFA4-8C25-4B09-BC6A-FDE369A6B23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07D3F-F8A6-4EAA-B697-D95ACFDC46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5A724-3FA1-409C-A486-9AFBE32E148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5941C-61EF-49F7-A1D8-02E46E2FB7A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0BFFC-B459-47FC-8222-3AE98F1237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9720E-1D5D-4A61-9795-DB53BE733E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A49B-0D9F-4A9F-AF46-D0FA3B4B60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28552-3639-448F-862E-92CAC9521C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A51C3-83D9-4F2A-A257-9DD08AAC20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24098-4724-44CD-8BD8-BFFC7A62B2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70547-6ADF-4892-A588-DF715711C0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08393-63C4-4AAD-ADD5-84CFBA435DC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C772C-56E5-430C-84D2-BB48B175CA6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389EA-D4A6-42CD-8CFF-975EA43FEF8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1B3FB-94F1-4CB9-B23B-EBB12042340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2A848-A3A2-499C-A061-C5A9F6FBED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D5670-F5D0-4C9A-8F93-91D9BBCD14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FD4F4-C429-469B-83F5-ECA1543D84A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238C6-E93C-488E-A800-AA45B333A4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C71A8-0E4C-46AB-B687-D1A2585F0C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D9A20-A158-4F1A-816A-B3736FCD311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704D4-325C-49CE-9DA1-71C4777575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975E7-52CA-430E-8698-6F56BFA8B62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7A493-635E-4D91-A5DC-66E6E59B5C5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B4DE2-C13E-4849-9C7A-E683BE14A7C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A30E1-685A-4896-9B93-9785680737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3A8D2-91B8-4C63-AFC6-425545E640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48E77-F6E0-4088-8326-CCFF5D6AC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DDCB6-E1BA-4723-8AD3-76E4F0749FE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DA502-AA21-40D0-8D75-7BDCE27CF5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1CB7A-EEE3-44F2-80AA-C8F12ABBC34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15CDF-3171-4E0F-AAA0-834FB0574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25C9D-BCF2-4B84-9661-86F38C32171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47B55-A80A-47AE-B04B-6D8EBD2170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08A82-6007-419B-AF0B-EF7AA49B48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6C5CF-C3D0-4620-8F9C-F02E28585E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E086D-F6FA-4DF6-BB41-E28733A0F3F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2E604-F3CB-42EF-B495-DAA478081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E53CA-E351-47DD-B2D4-14A2C271FA7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97CE4-B45C-40AF-9531-F507A4F3F31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32927-5064-43DA-B485-B6A90D83B4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BA6D7-1691-4AFF-BC70-CA782D76BD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747AF-9D41-4E8E-833E-D44B2A194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8EF4A-1817-4C45-BAD9-7056F5DC730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C30C1-86C8-4C41-AF96-EAA7645519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D4DF2-F185-4319-A671-713F1DDB3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78851-ADC9-4DBA-8676-05E9DA76F26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CB303-4F93-4318-8E51-C2206D1926E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DC3AF-089B-4821-BDC6-6DD0D191B9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9C345-DF61-4957-AA91-F8DC8F2E3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C7862-0020-4FCA-971E-F44AED23C3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BC8AC-F3A4-4DDA-B46A-2B849CFD92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D49678-CC68-4F12-9BCF-9488CA82188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E3710-2B72-4320-8206-FBC283141B6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9FF86E-C4AE-4B05-89FF-95ECB38BE5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3304E-D6FD-4385-B995-14A60CEBD90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F810D-84EA-435C-881B-ABE1454575B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5B8B3-766D-4450-A202-A1510F3ACF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E1717-8AC0-45B4-93E7-DFA1090C2C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B4FFF-10B7-4C24-A4F4-5CBE764DFF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D8C45-BD19-4357-8354-CE66E2DE432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A2A68-1F96-4B79-B49A-85D2C1B6F06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A9F1-4156-4E41-BAAB-B436520F8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D9B21-B7B6-4DD6-AAD0-DA8A3FE2C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CF97A-3592-4837-B50D-0905663F46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F2F1D2-5600-41EB-9AC0-2C5EFFC6172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DC44C-58A1-4BFA-9D59-F35302AAEA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61B4-98E9-41B7-8ABB-7D724671BAE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45182-6735-46AB-B6EA-58BCFC3A45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95377-D9D0-4FF6-AAF7-7C60731AD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CF90A-AA52-4E4F-A8C5-E528119DA9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04F8-6C55-496A-8CB7-554C16BAF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D69C0-A97A-4496-AA67-5347FA8872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C5FD0-4D84-4100-B56D-5DD76B5653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EA3CD-A69C-4932-9F04-D6B9C504DA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1839A-0DF4-447E-A7EC-24A54C4CD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E6ECF-D6E5-4945-8816-4D0F86D8FE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576A6-D485-40BC-8C1A-39104CD7771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EBDFD-AD54-4949-9417-FD043EBFEFC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CED25-C116-4931-A653-8EDC7E4D2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1A0D6-ACBE-41A8-824D-29E68EA8544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0AE09-2189-414B-A2CE-545CE3EE78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85840-D582-4464-ABF7-6B298258BFB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54D7A-5A8F-439E-BAAD-A901B7C10F8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DBDB1-25C9-4593-8E71-B2F3084F7D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BAC65-AC8B-4C12-A265-5C524A8401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8EA34-775C-478B-ACDB-8FE5B91561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E6D42-B302-4F3D-A6EC-1F0444F687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8D77A3-32ED-4665-9D07-17247B7440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647B1-B622-453D-9123-93B0C55E302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354A5-9F75-4F32-85E3-0CE4F94D55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73B2C-ED26-427D-8DF6-7687ECD1ED1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4DFCF-404E-453E-B435-31D44D0F9F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7306B-13BE-4AE3-AD63-B20EA1BE3E3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FDC14-DFD1-4610-AB6B-22A980EDD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BA51B-56AB-4937-B804-7D1D831FC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725D2-5F40-4513-A92A-DD90C9DA26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BAA0A-196D-4028-9FA8-BBA49DEDB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BDD42-BF4B-4C06-8221-783987FBD32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E80F9-F359-46DC-A08B-284EE75D02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5F3AF-D327-4565-A235-13A4229D1FC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CCA30-0055-4EF3-B9A3-0392FFF3B19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B6A0A-58D2-4D71-899B-4EA9DFDAF8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8037F-3903-4461-926E-D43C6D72CF7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3A465-9BBC-416D-B0D4-BD82630D47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F3A8B-BB96-4CE9-A71A-129690F082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7E68C-128C-472A-8B5E-BD162D41DFA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D7D88-5E70-42B7-9CB1-18B709D9A2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D4741-FB0B-4129-AE65-AAD3B3E6E66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4E24C-04AC-4B7A-8BBD-8351C2C44B9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B89BE-C72D-447C-98D4-EDB62CBDB0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22203-1BD6-4F12-818A-193937B43F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84804-3F8D-40A6-B40B-C6F62185A20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B09E4-FE1D-4AF1-BB72-39924C078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D6751-F8B0-40CF-8DF1-046761D5D9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3DD5B-9B89-4794-91C1-CCEABFA6540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DEC39-FE37-417B-A3EF-D564FEF51D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CD67F-A988-4DDC-B166-D02E1D210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639BF-65C4-4140-A374-0A5D36CD10C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E5399-4356-49D7-98DB-8D3C1499B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3D35A-60B3-4B86-ADA6-AF0007CD78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6621B-B422-4284-AA48-333D56184D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0BB7B-B4EC-431F-A7C3-C23B3B5A873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7D0E5-63CF-46A9-B6E2-737637A4EDA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A4AD6-5DD0-4034-BE0D-5191969E51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4E41C-5002-4AD8-A9F9-C9C4CDAEF6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2B3EB-2B20-4D98-BABB-C8CCD1F92ED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848DF-FFD6-4C07-A6DF-AE122FCA567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21D54-C4BC-4F42-98E5-2F97662867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DB83-BC06-4852-AA83-79D18ACA74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83595-3EBF-4801-84FC-C8852F8FDE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370AE-87D8-4926-B0C3-73EE97359E4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E5C6B-D75C-4DC2-8CD1-2F4E2CA728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6A1BE-A803-4832-B095-2A1D1A8D15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B384B-A0CF-4D18-B794-1F15760604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FE49A-9319-4DCA-8068-0B23044F1C9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A9866-6C0F-41C9-B45F-47317E7750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EC013-9936-4AD5-AF7C-1C0AA499DE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7175D-6164-46CB-97F6-2D337AD0A0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A82D79-262E-4F3E-9E12-57235B3617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1C545-2FFB-4F80-88E5-FF5ADCABB2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9C9FE-F9E7-4449-80BE-7B220720047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F3078-56E1-4B6D-97DB-9ABDEB2A89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9" name="Rectángulo: esquinas redondeadas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0897C-873C-4360-B9C5-BE4A458711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0" name="Rectángulo: esquinas redondeadas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6A3E4-E4BE-443B-8CE9-1CE1235A5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1" name="Rectángulo: esquinas redondeadas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14B23-6B74-46EB-965C-A20D14C79EB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2" name="Rectángulo: esquinas redondeadas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E987F-B830-424D-A71E-0DC4A3DFF5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3" name="Rectángulo: esquinas redondeadas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2DBEF-000C-4876-BF10-7B8A9DEACD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4" name="Rectángulo: esquinas redondeadas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25493-C840-4612-B84D-B8F3CFD1A8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C6A82-B87B-4957-BFDE-8F7864502B9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2C799-E22F-47F5-B07F-F0F4C1FD7F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BAF0A-4FC0-47AB-8044-02BBA5EE60F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63C4B-CF02-4E44-9B79-28A794533A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AAAC0-ECE8-42FF-A806-44E783A0894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C2548-975F-46D7-977B-F029BA321C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7023A-41F6-42D0-9E72-0364015367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BC0C-B566-4130-9641-2BA25AC6D2A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7BED1-9513-4351-9E26-B8375CCBE9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F32FAB-8247-41A9-A3CB-AFED240BF9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D1069-5327-46F8-BBBF-020AE033077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04697-41F2-40C9-B1BA-B0D9BA49E58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29115-B11F-4329-8E11-7A7F7A89A9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64D26-4A1D-460B-BED5-347059ADC3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30F7D-7547-425E-A455-A8DAB07FEC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A2EC4-84DA-4839-B7EA-0EF12104065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177CD-B046-4938-AE47-B6F303A45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10F6-5437-4FB1-AF08-793BF9F94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E9CB7-9786-4C20-BB58-880A6FF9CAB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FC213-A014-4FC1-811D-4B62E3D33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645B6-6439-4B10-B0CA-CA704399D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2BC9B-9A64-4E69-B860-6614EF1E184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769F-CFE8-417F-BD9A-3C8A6E324F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81B8A-8C5B-4DAF-BED3-F48B78CFFA0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53CBC-CEAE-4CBE-9701-5D1BF7612C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5A6E4-4676-4098-8485-9E16409379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CC29D-4133-477F-A834-59A58126372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1A506-1349-431D-BAE1-1C0922D6B4B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11DE7-8F20-494C-A55E-4B3E3BC0CF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DB6E6-A770-44CF-80AE-D40CD9D6A59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DCC83-7666-44F5-ABF5-5C6390C1AD1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1B7A4-EC1E-4787-9ED5-6641B1F92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2D430-2E87-4301-BDD9-9BBD10951DC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998FB-0885-4DDD-B221-DBE8C23B28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525F1-77CE-4C0A-BC59-D9B85A59585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4C8FA-4F6C-4039-A792-0D53FF1B7E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CC615-FCFE-45F9-97DE-7E6BA8E7FA4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4022D-F995-4BA4-A64C-AEA27E861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356F6-2DD0-4511-9C11-3D6F7190042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5D24FB-74DF-4F6B-94DF-49BD2BC1E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266F9-D092-4FA1-9B61-BD5B65BE10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807D6-6883-4393-9AC5-D15C54487F3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1E0E2-45CF-4FF2-B984-0ED722D579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4D17F-F62C-4745-87B9-4D2AD5A7B9C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93A6-A700-4FF9-9F6D-B3642D8F96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6EEB9-3C8C-480A-AB84-151C4DEA5F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4ED8F-ED05-41BE-B309-0D9B6C2277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97BF0-999D-49D9-9FAE-6A53445C67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1827A-A044-4CF8-9F02-1BDFDCF7EB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6917F-4C32-4488-A6B3-63EDF2C6F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ECA44-8E7E-4631-A0D9-DF7A959690A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134CF-E71C-4006-8718-F04FA1AD629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B1A31-8255-4CC4-B710-65410CDB5D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0DE31-6B25-4CAE-A531-BE47D8A5E28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DF47C-F813-4040-8C5B-538C007D20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FAA09-DA00-4948-BA36-9159CE272C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6ACC8-2BF5-46BD-9971-0C59EC683C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4AE80-8F5E-459A-AF33-48BC24EC54A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CD4F3-7D3C-4FB6-B297-4AE3B99590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7AD6D-85C8-4100-A475-388093A1A6D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AB1BF-8B22-446D-A6F4-154F91674F6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DE3F2-DD22-47FD-A0E1-571AA4C464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93D23-1A80-4982-B09A-12F901AF1C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378C9-C397-4020-B003-0382D5D7CB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2203A-BD9B-4585-9A36-7834D90320E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D39E4-868F-489D-9607-25CEC9C6DB7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FE113-E87B-4305-9CE9-708C06E886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03787-B884-4E49-8B6B-52150F5B8F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8D593-6E6B-4413-8D4A-F31124BEBE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CBA72-4590-41F8-B19A-A1D0D3F5632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76045-172A-4299-9B0C-43750D7EEB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260F-7F8B-404A-BAB2-1C7B05DFE79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F8C63-C33C-47F2-A703-B954FB36307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04DE1-1893-4DB1-9026-28823625E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E9F8C-B190-414C-9111-5956503092D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14080-7AA1-48D4-AA28-3B47D09182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4ED6F-B331-4A59-96FC-BB50B2E7C5E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88A43-04B7-4F09-AE1A-5CE03C25640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66675</xdr:rowOff>
    </xdr:from>
    <xdr:to>
      <xdr:col>6</xdr:col>
      <xdr:colOff>714375</xdr:colOff>
      <xdr:row>3</xdr:row>
      <xdr:rowOff>285750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C82C9-FC1D-A9CD-5E16-9B56375FF7A2}"/>
            </a:ext>
          </a:extLst>
        </xdr:cNvPr>
        <xdr:cNvSpPr/>
      </xdr:nvSpPr>
      <xdr:spPr>
        <a:xfrm>
          <a:off x="4543425" y="695325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66675</xdr:colOff>
      <xdr:row>2</xdr:row>
      <xdr:rowOff>57150</xdr:rowOff>
    </xdr:from>
    <xdr:to>
      <xdr:col>7</xdr:col>
      <xdr:colOff>755025</xdr:colOff>
      <xdr:row>3</xdr:row>
      <xdr:rowOff>266700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AA4123-2309-4F91-9C3B-ED4C51D33B5A}"/>
            </a:ext>
          </a:extLst>
        </xdr:cNvPr>
        <xdr:cNvSpPr/>
      </xdr:nvSpPr>
      <xdr:spPr>
        <a:xfrm>
          <a:off x="5343525" y="685800"/>
          <a:ext cx="6883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95250</xdr:colOff>
      <xdr:row>2</xdr:row>
      <xdr:rowOff>57150</xdr:rowOff>
    </xdr:from>
    <xdr:to>
      <xdr:col>8</xdr:col>
      <xdr:colOff>695325</xdr:colOff>
      <xdr:row>3</xdr:row>
      <xdr:rowOff>285750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93D513-8053-4E81-B455-5F3B260ED568}"/>
            </a:ext>
          </a:extLst>
        </xdr:cNvPr>
        <xdr:cNvSpPr/>
      </xdr:nvSpPr>
      <xdr:spPr>
        <a:xfrm>
          <a:off x="6153150" y="685800"/>
          <a:ext cx="600075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95250</xdr:colOff>
      <xdr:row>2</xdr:row>
      <xdr:rowOff>76200</xdr:rowOff>
    </xdr:from>
    <xdr:to>
      <xdr:col>9</xdr:col>
      <xdr:colOff>723900</xdr:colOff>
      <xdr:row>3</xdr:row>
      <xdr:rowOff>276225</xdr:rowOff>
    </xdr:to>
    <xdr:sp macro="" textlink="">
      <xdr:nvSpPr>
        <xdr:cNvPr id="7" name="Rectá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FC79B-0E91-4A1C-AC3E-4A3AA55E1D30}"/>
            </a:ext>
          </a:extLst>
        </xdr:cNvPr>
        <xdr:cNvSpPr/>
      </xdr:nvSpPr>
      <xdr:spPr>
        <a:xfrm>
          <a:off x="6934200" y="704850"/>
          <a:ext cx="628650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66676</xdr:colOff>
      <xdr:row>2</xdr:row>
      <xdr:rowOff>57150</xdr:rowOff>
    </xdr:from>
    <xdr:to>
      <xdr:col>10</xdr:col>
      <xdr:colOff>714376</xdr:colOff>
      <xdr:row>3</xdr:row>
      <xdr:rowOff>285750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46458A-6F5D-459D-B3BD-A3349440A43C}"/>
            </a:ext>
          </a:extLst>
        </xdr:cNvPr>
        <xdr:cNvSpPr/>
      </xdr:nvSpPr>
      <xdr:spPr>
        <a:xfrm>
          <a:off x="7686676" y="685800"/>
          <a:ext cx="6477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57150</xdr:colOff>
      <xdr:row>2</xdr:row>
      <xdr:rowOff>57150</xdr:rowOff>
    </xdr:from>
    <xdr:to>
      <xdr:col>11</xdr:col>
      <xdr:colOff>723900</xdr:colOff>
      <xdr:row>3</xdr:row>
      <xdr:rowOff>304800</xdr:rowOff>
    </xdr:to>
    <xdr:sp macro="" textlink="">
      <xdr:nvSpPr>
        <xdr:cNvPr id="9" name="Rectá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12E1E9-EF3B-4DB0-8D0F-59338CD36943}"/>
            </a:ext>
          </a:extLst>
        </xdr:cNvPr>
        <xdr:cNvSpPr/>
      </xdr:nvSpPr>
      <xdr:spPr>
        <a:xfrm>
          <a:off x="8458200" y="685800"/>
          <a:ext cx="666750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114299</xdr:colOff>
      <xdr:row>2</xdr:row>
      <xdr:rowOff>47625</xdr:rowOff>
    </xdr:from>
    <xdr:to>
      <xdr:col>14</xdr:col>
      <xdr:colOff>723900</xdr:colOff>
      <xdr:row>3</xdr:row>
      <xdr:rowOff>276225</xdr:rowOff>
    </xdr:to>
    <xdr:sp macro="" textlink="">
      <xdr:nvSpPr>
        <xdr:cNvPr id="10" name="Rectá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F1FBB9-31A9-42A4-9211-CE4C5178C800}"/>
            </a:ext>
          </a:extLst>
        </xdr:cNvPr>
        <xdr:cNvSpPr/>
      </xdr:nvSpPr>
      <xdr:spPr>
        <a:xfrm>
          <a:off x="10191749" y="676275"/>
          <a:ext cx="609601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47625</xdr:colOff>
      <xdr:row>2</xdr:row>
      <xdr:rowOff>47625</xdr:rowOff>
    </xdr:from>
    <xdr:to>
      <xdr:col>15</xdr:col>
      <xdr:colOff>695325</xdr:colOff>
      <xdr:row>3</xdr:row>
      <xdr:rowOff>266700</xdr:rowOff>
    </xdr:to>
    <xdr:sp macro="" textlink="">
      <xdr:nvSpPr>
        <xdr:cNvPr id="11" name="Rectá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AE04C-4D51-4F29-95B7-F1E5B9771948}"/>
            </a:ext>
          </a:extLst>
        </xdr:cNvPr>
        <xdr:cNvSpPr/>
      </xdr:nvSpPr>
      <xdr:spPr>
        <a:xfrm>
          <a:off x="10906125" y="676275"/>
          <a:ext cx="6477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66675</xdr:colOff>
      <xdr:row>2</xdr:row>
      <xdr:rowOff>57150</xdr:rowOff>
    </xdr:from>
    <xdr:to>
      <xdr:col>16</xdr:col>
      <xdr:colOff>733425</xdr:colOff>
      <xdr:row>3</xdr:row>
      <xdr:rowOff>276225</xdr:rowOff>
    </xdr:to>
    <xdr:sp macro="" textlink="">
      <xdr:nvSpPr>
        <xdr:cNvPr id="12" name="Rectá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4197D4-FB29-4275-A48E-6972E3B16321}"/>
            </a:ext>
          </a:extLst>
        </xdr:cNvPr>
        <xdr:cNvSpPr/>
      </xdr:nvSpPr>
      <xdr:spPr>
        <a:xfrm>
          <a:off x="11706225" y="685800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85725</xdr:colOff>
      <xdr:row>2</xdr:row>
      <xdr:rowOff>47626</xdr:rowOff>
    </xdr:from>
    <xdr:to>
      <xdr:col>17</xdr:col>
      <xdr:colOff>685801</xdr:colOff>
      <xdr:row>3</xdr:row>
      <xdr:rowOff>285750</xdr:rowOff>
    </xdr:to>
    <xdr:sp macro="" textlink="">
      <xdr:nvSpPr>
        <xdr:cNvPr id="13" name="Rectá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A355E3-209E-40DA-9346-B0AFEA198834}"/>
            </a:ext>
          </a:extLst>
        </xdr:cNvPr>
        <xdr:cNvSpPr/>
      </xdr:nvSpPr>
      <xdr:spPr>
        <a:xfrm>
          <a:off x="12506325" y="676276"/>
          <a:ext cx="600076" cy="4857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95250</xdr:colOff>
      <xdr:row>2</xdr:row>
      <xdr:rowOff>47625</xdr:rowOff>
    </xdr:from>
    <xdr:to>
      <xdr:col>18</xdr:col>
      <xdr:colOff>676275</xdr:colOff>
      <xdr:row>3</xdr:row>
      <xdr:rowOff>314325</xdr:rowOff>
    </xdr:to>
    <xdr:sp macro="" textlink="">
      <xdr:nvSpPr>
        <xdr:cNvPr id="14" name="Rectá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CF541F-1A98-4DF6-9082-8895BD001408}"/>
            </a:ext>
          </a:extLst>
        </xdr:cNvPr>
        <xdr:cNvSpPr/>
      </xdr:nvSpPr>
      <xdr:spPr>
        <a:xfrm>
          <a:off x="13296900" y="676275"/>
          <a:ext cx="581025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114300</xdr:colOff>
      <xdr:row>2</xdr:row>
      <xdr:rowOff>38100</xdr:rowOff>
    </xdr:from>
    <xdr:to>
      <xdr:col>19</xdr:col>
      <xdr:colOff>685800</xdr:colOff>
      <xdr:row>3</xdr:row>
      <xdr:rowOff>276225</xdr:rowOff>
    </xdr:to>
    <xdr:sp macro="" textlink="">
      <xdr:nvSpPr>
        <xdr:cNvPr id="15" name="Rectá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459E3F-E924-4086-83A6-79DB9E164AD1}"/>
            </a:ext>
          </a:extLst>
        </xdr:cNvPr>
        <xdr:cNvSpPr/>
      </xdr:nvSpPr>
      <xdr:spPr>
        <a:xfrm>
          <a:off x="14097000" y="666750"/>
          <a:ext cx="5715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66675</xdr:colOff>
      <xdr:row>1</xdr:row>
      <xdr:rowOff>47625</xdr:rowOff>
    </xdr:from>
    <xdr:to>
      <xdr:col>4</xdr:col>
      <xdr:colOff>561975</xdr:colOff>
      <xdr:row>2</xdr:row>
      <xdr:rowOff>200175</xdr:rowOff>
    </xdr:to>
    <xdr:sp macro="" textlink="">
      <xdr:nvSpPr>
        <xdr:cNvPr id="16" name="Rectá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0E7DAF-8306-7AB7-C5C1-5704C875BF87}"/>
            </a:ext>
          </a:extLst>
        </xdr:cNvPr>
        <xdr:cNvSpPr/>
      </xdr:nvSpPr>
      <xdr:spPr>
        <a:xfrm>
          <a:off x="266700" y="361950"/>
          <a:ext cx="4114800" cy="324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800" b="1"/>
            <a:t>LÍDER DEL COLECTIVO</a:t>
          </a:r>
          <a:r>
            <a:rPr lang="es-CO" sz="1800" b="1" baseline="0"/>
            <a:t> DOCENTE</a:t>
          </a:r>
          <a:endParaRPr lang="es-CO" sz="1800" b="1"/>
        </a:p>
      </xdr:txBody>
    </xdr:sp>
    <xdr:clientData/>
  </xdr:twoCellAnchor>
  <xdr:twoCellAnchor>
    <xdr:from>
      <xdr:col>12</xdr:col>
      <xdr:colOff>38099</xdr:colOff>
      <xdr:row>2</xdr:row>
      <xdr:rowOff>47625</xdr:rowOff>
    </xdr:from>
    <xdr:to>
      <xdr:col>12</xdr:col>
      <xdr:colOff>695324</xdr:colOff>
      <xdr:row>3</xdr:row>
      <xdr:rowOff>285750</xdr:rowOff>
    </xdr:to>
    <xdr:sp macro="" textlink="">
      <xdr:nvSpPr>
        <xdr:cNvPr id="3" name="Rectángulo 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CE6623-2B05-4D20-B726-8909DE02A85C}"/>
            </a:ext>
          </a:extLst>
        </xdr:cNvPr>
        <xdr:cNvSpPr/>
      </xdr:nvSpPr>
      <xdr:spPr>
        <a:xfrm>
          <a:off x="9220199" y="676275"/>
          <a:ext cx="65722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95250</xdr:colOff>
      <xdr:row>2</xdr:row>
      <xdr:rowOff>47625</xdr:rowOff>
    </xdr:from>
    <xdr:to>
      <xdr:col>20</xdr:col>
      <xdr:colOff>657225</xdr:colOff>
      <xdr:row>3</xdr:row>
      <xdr:rowOff>266700</xdr:rowOff>
    </xdr:to>
    <xdr:sp macro="" textlink="">
      <xdr:nvSpPr>
        <xdr:cNvPr id="4" name="Rectángulo 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FCBB12-139F-4A07-BE4D-A02B4670597B}"/>
            </a:ext>
          </a:extLst>
        </xdr:cNvPr>
        <xdr:cNvSpPr/>
      </xdr:nvSpPr>
      <xdr:spPr>
        <a:xfrm>
          <a:off x="14859000" y="676275"/>
          <a:ext cx="5619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8CA-82D1-4300-A1EF-B31C37E69C3F}">
  <dimension ref="B1:I68"/>
  <sheetViews>
    <sheetView showGridLines="0" zoomScale="86" zoomScaleNormal="86" workbookViewId="0"/>
  </sheetViews>
  <sheetFormatPr defaultColWidth="11.42578125" defaultRowHeight="12.75"/>
  <cols>
    <col min="1" max="1" width="2.7109375" style="7" customWidth="1"/>
    <col min="2" max="2" width="3" style="7" bestFit="1" customWidth="1"/>
    <col min="3" max="9" width="35.7109375" style="7" customWidth="1"/>
    <col min="10" max="16384" width="11.42578125" style="7"/>
  </cols>
  <sheetData>
    <row r="1" spans="2:9" ht="13.5" thickBot="1"/>
    <row r="2" spans="2:9" s="104" customFormat="1" ht="30" customHeight="1" thickBot="1">
      <c r="B2" s="154" t="s">
        <v>0</v>
      </c>
      <c r="C2" s="155"/>
      <c r="D2" s="156"/>
      <c r="E2" s="101" t="s">
        <v>1</v>
      </c>
      <c r="F2" s="102" t="s">
        <v>2</v>
      </c>
      <c r="G2" s="101" t="s">
        <v>3</v>
      </c>
      <c r="H2" s="41">
        <v>2</v>
      </c>
      <c r="I2" s="103"/>
    </row>
    <row r="3" spans="2:9" ht="20.100000000000001" customHeight="1" thickBot="1">
      <c r="C3" s="105" t="s">
        <v>4</v>
      </c>
      <c r="D3" s="106" t="s">
        <v>5</v>
      </c>
      <c r="E3" s="106" t="s">
        <v>6</v>
      </c>
      <c r="F3" s="106" t="s">
        <v>7</v>
      </c>
      <c r="G3" s="106" t="s">
        <v>8</v>
      </c>
      <c r="H3" s="107" t="s">
        <v>9</v>
      </c>
      <c r="I3" s="106" t="s">
        <v>10</v>
      </c>
    </row>
    <row r="4" spans="2:9" ht="24.95" customHeight="1">
      <c r="C4" s="137" t="s">
        <v>11</v>
      </c>
      <c r="D4" s="137" t="s">
        <v>12</v>
      </c>
      <c r="E4" s="137" t="s">
        <v>13</v>
      </c>
      <c r="F4" s="137" t="s">
        <v>14</v>
      </c>
      <c r="G4" s="137" t="s">
        <v>15</v>
      </c>
      <c r="H4" s="138" t="s">
        <v>16</v>
      </c>
      <c r="I4" s="138"/>
    </row>
    <row r="5" spans="2:9" ht="24.95" customHeight="1" thickBot="1">
      <c r="C5" s="139" t="s">
        <v>17</v>
      </c>
      <c r="D5" s="139" t="s">
        <v>18</v>
      </c>
      <c r="E5" s="139" t="s">
        <v>19</v>
      </c>
      <c r="F5" s="139" t="s">
        <v>20</v>
      </c>
      <c r="G5" s="139" t="s">
        <v>21</v>
      </c>
      <c r="H5" s="140" t="s">
        <v>22</v>
      </c>
      <c r="I5" s="140"/>
    </row>
    <row r="6" spans="2:9" ht="24.95" customHeight="1" thickBot="1">
      <c r="C6" s="141">
        <v>2475</v>
      </c>
      <c r="D6" s="141">
        <v>2049</v>
      </c>
      <c r="E6" s="141">
        <v>2358</v>
      </c>
      <c r="F6" s="141">
        <v>2370</v>
      </c>
      <c r="G6" s="141">
        <v>1470</v>
      </c>
      <c r="H6" s="141">
        <v>1387</v>
      </c>
      <c r="I6" s="141"/>
    </row>
    <row r="7" spans="2:9" ht="13.5" thickBot="1"/>
    <row r="8" spans="2:9" ht="20.100000000000001" customHeight="1">
      <c r="B8" s="108"/>
      <c r="C8" s="109" t="s">
        <v>23</v>
      </c>
      <c r="E8" s="157" t="s">
        <v>24</v>
      </c>
      <c r="F8" s="158"/>
      <c r="G8" s="159"/>
      <c r="H8" s="110" t="s">
        <v>25</v>
      </c>
      <c r="I8" s="69" t="s">
        <v>26</v>
      </c>
    </row>
    <row r="9" spans="2:9" ht="15" customHeight="1">
      <c r="B9" s="108">
        <v>1</v>
      </c>
      <c r="C9" s="111" t="s">
        <v>27</v>
      </c>
      <c r="E9" s="160" t="s">
        <v>28</v>
      </c>
      <c r="F9" s="161"/>
      <c r="G9" s="162"/>
      <c r="H9" s="130">
        <v>0.2</v>
      </c>
      <c r="I9" s="69" t="s">
        <v>29</v>
      </c>
    </row>
    <row r="10" spans="2:9" ht="15" customHeight="1">
      <c r="B10" s="108">
        <v>2</v>
      </c>
      <c r="C10" s="111" t="s">
        <v>30</v>
      </c>
      <c r="E10" s="163" t="s">
        <v>31</v>
      </c>
      <c r="F10" s="164"/>
      <c r="G10" s="165"/>
      <c r="H10" s="131">
        <v>0.2</v>
      </c>
      <c r="I10" s="69" t="s">
        <v>32</v>
      </c>
    </row>
    <row r="11" spans="2:9" ht="15" customHeight="1">
      <c r="B11" s="108">
        <v>3</v>
      </c>
      <c r="C11" s="111" t="s">
        <v>33</v>
      </c>
      <c r="E11" s="160" t="s">
        <v>34</v>
      </c>
      <c r="F11" s="161"/>
      <c r="G11" s="162"/>
      <c r="H11" s="130">
        <v>0.3</v>
      </c>
      <c r="I11" s="69" t="s">
        <v>35</v>
      </c>
    </row>
    <row r="12" spans="2:9" ht="15" customHeight="1">
      <c r="B12" s="108">
        <v>4</v>
      </c>
      <c r="C12" s="111" t="s">
        <v>36</v>
      </c>
      <c r="E12" s="163" t="s">
        <v>37</v>
      </c>
      <c r="F12" s="164"/>
      <c r="G12" s="165"/>
      <c r="H12" s="131">
        <v>0.2</v>
      </c>
      <c r="I12" s="69" t="s">
        <v>0</v>
      </c>
    </row>
    <row r="13" spans="2:9" ht="15" customHeight="1">
      <c r="B13" s="108">
        <v>5</v>
      </c>
      <c r="C13" s="111" t="s">
        <v>38</v>
      </c>
      <c r="E13" s="166" t="s">
        <v>39</v>
      </c>
      <c r="F13" s="167"/>
      <c r="G13" s="168"/>
      <c r="H13" s="130">
        <v>0.1</v>
      </c>
      <c r="I13" s="69" t="s">
        <v>40</v>
      </c>
    </row>
    <row r="14" spans="2:9" ht="15" customHeight="1">
      <c r="B14" s="108">
        <v>6</v>
      </c>
      <c r="C14" s="111" t="s">
        <v>41</v>
      </c>
      <c r="E14" s="169"/>
      <c r="F14" s="170"/>
      <c r="G14" s="171"/>
      <c r="H14" s="131">
        <v>0</v>
      </c>
      <c r="I14" s="69" t="s">
        <v>42</v>
      </c>
    </row>
    <row r="15" spans="2:9" ht="15" customHeight="1" thickBot="1">
      <c r="B15" s="108">
        <v>7</v>
      </c>
      <c r="C15" s="111" t="s">
        <v>43</v>
      </c>
      <c r="E15" s="178"/>
      <c r="F15" s="179"/>
      <c r="G15" s="180"/>
      <c r="H15" s="130">
        <v>0</v>
      </c>
      <c r="I15" s="69" t="s">
        <v>44</v>
      </c>
    </row>
    <row r="16" spans="2:9" ht="15" customHeight="1" thickBot="1">
      <c r="B16" s="108">
        <v>8</v>
      </c>
      <c r="C16" s="111" t="s">
        <v>45</v>
      </c>
      <c r="E16" s="112"/>
      <c r="F16" s="112"/>
      <c r="G16" s="112"/>
      <c r="H16" s="132">
        <f>IF(SUM(H9:H15)&gt;1,"Más del 100%",SUM(H9:H15))</f>
        <v>0.99999999999999989</v>
      </c>
      <c r="I16" s="69" t="s">
        <v>46</v>
      </c>
    </row>
    <row r="17" spans="2:9" ht="15" customHeight="1" thickBot="1">
      <c r="B17" s="108">
        <v>9</v>
      </c>
      <c r="C17" s="111" t="s">
        <v>47</v>
      </c>
      <c r="E17" s="187"/>
      <c r="F17" s="187"/>
      <c r="G17" s="187"/>
      <c r="H17" s="187"/>
      <c r="I17" s="69" t="s">
        <v>48</v>
      </c>
    </row>
    <row r="18" spans="2:9" ht="15" customHeight="1" thickBot="1">
      <c r="B18" s="108">
        <v>10</v>
      </c>
      <c r="C18" s="111" t="s">
        <v>49</v>
      </c>
      <c r="E18" s="194" t="s">
        <v>50</v>
      </c>
      <c r="F18" s="195"/>
      <c r="G18" s="195"/>
      <c r="H18" s="113" t="s">
        <v>25</v>
      </c>
      <c r="I18" s="69" t="s">
        <v>51</v>
      </c>
    </row>
    <row r="19" spans="2:9" ht="15" customHeight="1">
      <c r="B19" s="108">
        <v>11</v>
      </c>
      <c r="C19" s="111" t="s">
        <v>52</v>
      </c>
      <c r="E19" s="184" t="s">
        <v>53</v>
      </c>
      <c r="F19" s="185"/>
      <c r="G19" s="186"/>
      <c r="H19" s="133">
        <v>0.5</v>
      </c>
    </row>
    <row r="20" spans="2:9" ht="15" customHeight="1">
      <c r="B20" s="108">
        <v>12</v>
      </c>
      <c r="C20" s="111" t="s">
        <v>54</v>
      </c>
      <c r="E20" s="188" t="s">
        <v>55</v>
      </c>
      <c r="F20" s="189"/>
      <c r="G20" s="190"/>
      <c r="H20" s="134">
        <v>0.2</v>
      </c>
    </row>
    <row r="21" spans="2:9" ht="15" customHeight="1">
      <c r="B21" s="108">
        <v>13</v>
      </c>
      <c r="C21" s="111" t="s">
        <v>56</v>
      </c>
      <c r="E21" s="196" t="s">
        <v>57</v>
      </c>
      <c r="F21" s="197"/>
      <c r="G21" s="198"/>
      <c r="H21" s="135">
        <v>0.1</v>
      </c>
    </row>
    <row r="22" spans="2:9" ht="15" customHeight="1">
      <c r="B22" s="108">
        <v>14</v>
      </c>
      <c r="C22" s="111" t="s">
        <v>58</v>
      </c>
      <c r="E22" s="188" t="s">
        <v>59</v>
      </c>
      <c r="F22" s="170"/>
      <c r="G22" s="171"/>
      <c r="H22" s="134">
        <v>0.05</v>
      </c>
    </row>
    <row r="23" spans="2:9" ht="15" customHeight="1">
      <c r="B23" s="108">
        <v>15</v>
      </c>
      <c r="C23" s="111" t="s">
        <v>60</v>
      </c>
      <c r="E23" s="196" t="s">
        <v>61</v>
      </c>
      <c r="F23" s="197"/>
      <c r="G23" s="198"/>
      <c r="H23" s="136">
        <v>0.05</v>
      </c>
    </row>
    <row r="24" spans="2:9" ht="15" customHeight="1">
      <c r="B24" s="108">
        <v>16</v>
      </c>
      <c r="C24" s="111" t="s">
        <v>62</v>
      </c>
      <c r="E24" s="188" t="s">
        <v>63</v>
      </c>
      <c r="F24" s="189"/>
      <c r="G24" s="190"/>
      <c r="H24" s="134">
        <v>0.1</v>
      </c>
    </row>
    <row r="25" spans="2:9" ht="15" customHeight="1" thickBot="1">
      <c r="B25" s="108">
        <v>17</v>
      </c>
      <c r="C25" s="111" t="s">
        <v>64</v>
      </c>
      <c r="E25" s="181"/>
      <c r="F25" s="182"/>
      <c r="G25" s="183"/>
      <c r="H25" s="135"/>
    </row>
    <row r="26" spans="2:9" ht="15" customHeight="1" thickBot="1">
      <c r="B26" s="108">
        <v>18</v>
      </c>
      <c r="C26" s="111" t="s">
        <v>65</v>
      </c>
      <c r="E26" s="114"/>
      <c r="F26" s="114"/>
      <c r="G26" s="114"/>
      <c r="H26" s="132">
        <f>IF(SUM(H19:H25)&gt;1,"Más del 100%",SUM(H19:H25))</f>
        <v>1</v>
      </c>
    </row>
    <row r="27" spans="2:9" ht="15" customHeight="1" thickBot="1">
      <c r="B27" s="108">
        <v>19</v>
      </c>
      <c r="C27" s="111" t="s">
        <v>66</v>
      </c>
      <c r="E27" s="114"/>
      <c r="F27" s="114"/>
      <c r="G27" s="114"/>
      <c r="H27" s="114"/>
    </row>
    <row r="28" spans="2:9" ht="15" customHeight="1" thickBot="1">
      <c r="B28" s="108">
        <v>20</v>
      </c>
      <c r="C28" s="111" t="s">
        <v>67</v>
      </c>
      <c r="E28" s="191" t="s">
        <v>68</v>
      </c>
      <c r="F28" s="192"/>
      <c r="G28" s="192"/>
      <c r="H28" s="193"/>
    </row>
    <row r="29" spans="2:9" ht="15" customHeight="1" thickBot="1">
      <c r="B29" s="108">
        <v>21</v>
      </c>
      <c r="C29" s="111" t="s">
        <v>69</v>
      </c>
      <c r="E29" s="175" t="s">
        <v>70</v>
      </c>
      <c r="F29" s="176"/>
      <c r="G29" s="176"/>
      <c r="H29" s="177"/>
    </row>
    <row r="30" spans="2:9" ht="15" customHeight="1" thickBot="1">
      <c r="B30" s="108">
        <v>22</v>
      </c>
      <c r="C30" s="111" t="s">
        <v>71</v>
      </c>
      <c r="E30" s="172" t="s">
        <v>72</v>
      </c>
      <c r="F30" s="173"/>
      <c r="G30" s="173"/>
      <c r="H30" s="174"/>
    </row>
    <row r="31" spans="2:9" ht="15" customHeight="1" thickBot="1">
      <c r="B31" s="108">
        <v>23</v>
      </c>
      <c r="C31" s="111" t="s">
        <v>73</v>
      </c>
      <c r="E31" s="175" t="s">
        <v>74</v>
      </c>
      <c r="F31" s="176"/>
      <c r="G31" s="176"/>
      <c r="H31" s="177"/>
    </row>
    <row r="32" spans="2:9" ht="15" customHeight="1" thickBot="1">
      <c r="B32" s="108">
        <v>24</v>
      </c>
      <c r="C32" s="111" t="s">
        <v>75</v>
      </c>
      <c r="E32" s="172" t="s">
        <v>76</v>
      </c>
      <c r="F32" s="173"/>
      <c r="G32" s="173"/>
      <c r="H32" s="174"/>
    </row>
    <row r="33" spans="2:8" ht="15" customHeight="1" thickBot="1">
      <c r="B33" s="108">
        <v>25</v>
      </c>
      <c r="C33" s="111" t="s">
        <v>77</v>
      </c>
      <c r="E33" s="175" t="s">
        <v>78</v>
      </c>
      <c r="F33" s="176"/>
      <c r="G33" s="176"/>
      <c r="H33" s="177"/>
    </row>
    <row r="34" spans="2:8" ht="15" customHeight="1" thickBot="1">
      <c r="B34" s="108">
        <v>26</v>
      </c>
      <c r="C34" s="111" t="s">
        <v>79</v>
      </c>
      <c r="E34" s="172" t="s">
        <v>80</v>
      </c>
      <c r="F34" s="173"/>
      <c r="G34" s="173"/>
      <c r="H34" s="174"/>
    </row>
    <row r="35" spans="2:8" ht="15" customHeight="1" thickBot="1">
      <c r="B35" s="108">
        <v>27</v>
      </c>
      <c r="C35" s="111" t="s">
        <v>81</v>
      </c>
      <c r="E35" s="175" t="s">
        <v>82</v>
      </c>
      <c r="F35" s="176"/>
      <c r="G35" s="176"/>
      <c r="H35" s="177"/>
    </row>
    <row r="36" spans="2:8" ht="15" customHeight="1" thickBot="1">
      <c r="B36" s="108">
        <v>28</v>
      </c>
      <c r="C36" s="111" t="s">
        <v>83</v>
      </c>
      <c r="E36" s="172" t="s">
        <v>84</v>
      </c>
      <c r="F36" s="173"/>
      <c r="G36" s="173"/>
      <c r="H36" s="174"/>
    </row>
    <row r="37" spans="2:8" ht="15" customHeight="1" thickBot="1">
      <c r="B37" s="108">
        <v>29</v>
      </c>
      <c r="C37" s="111" t="s">
        <v>85</v>
      </c>
      <c r="E37" s="175" t="s">
        <v>86</v>
      </c>
      <c r="F37" s="176"/>
      <c r="G37" s="176"/>
      <c r="H37" s="177"/>
    </row>
    <row r="38" spans="2:8" ht="15" customHeight="1" thickBot="1">
      <c r="B38" s="108">
        <v>30</v>
      </c>
      <c r="C38" s="111" t="s">
        <v>87</v>
      </c>
      <c r="E38" s="172" t="s">
        <v>88</v>
      </c>
      <c r="F38" s="173"/>
      <c r="G38" s="173"/>
      <c r="H38" s="174"/>
    </row>
    <row r="39" spans="2:8" ht="15" customHeight="1" thickBot="1">
      <c r="B39" s="108">
        <v>31</v>
      </c>
      <c r="C39" s="111" t="s">
        <v>89</v>
      </c>
      <c r="E39" s="175" t="s">
        <v>90</v>
      </c>
      <c r="F39" s="176"/>
      <c r="G39" s="176"/>
      <c r="H39" s="177"/>
    </row>
    <row r="40" spans="2:8" ht="15" customHeight="1" thickBot="1">
      <c r="B40" s="108">
        <v>32</v>
      </c>
      <c r="C40" s="111"/>
      <c r="E40" s="172" t="s">
        <v>91</v>
      </c>
      <c r="F40" s="173"/>
      <c r="G40" s="173"/>
      <c r="H40" s="174"/>
    </row>
    <row r="41" spans="2:8" ht="15" customHeight="1" thickBot="1">
      <c r="B41" s="108">
        <v>33</v>
      </c>
      <c r="C41" s="111"/>
      <c r="E41" s="114"/>
      <c r="F41" s="114"/>
      <c r="G41" s="114"/>
      <c r="H41" s="114"/>
    </row>
    <row r="42" spans="2:8" ht="15" customHeight="1" thickBot="1">
      <c r="B42" s="108">
        <v>34</v>
      </c>
      <c r="C42" s="111"/>
      <c r="E42" s="115" t="str">
        <f>MID(E29,1,20)</f>
        <v>GRUPO#1</v>
      </c>
      <c r="F42" s="116" t="str">
        <f>MID(E30,1,20)</f>
        <v>GRUPO#2</v>
      </c>
      <c r="G42" s="116" t="str">
        <f>MID(E31,1,20)</f>
        <v>GRUPO#3</v>
      </c>
      <c r="H42" s="117" t="str">
        <f>MID(E32,1,20)</f>
        <v>GRUPO#4</v>
      </c>
    </row>
    <row r="43" spans="2:8" ht="15" customHeight="1">
      <c r="B43" s="108">
        <v>35</v>
      </c>
      <c r="C43" s="111"/>
      <c r="E43" s="118"/>
      <c r="F43" s="119" t="s">
        <v>41</v>
      </c>
      <c r="G43" s="119" t="s">
        <v>52</v>
      </c>
      <c r="H43" s="120" t="s">
        <v>62</v>
      </c>
    </row>
    <row r="44" spans="2:8" ht="15" customHeight="1">
      <c r="B44" s="108">
        <v>36</v>
      </c>
      <c r="C44" s="111"/>
      <c r="E44" s="121" t="s">
        <v>30</v>
      </c>
      <c r="F44" s="122" t="s">
        <v>43</v>
      </c>
      <c r="G44" s="122" t="s">
        <v>54</v>
      </c>
      <c r="H44" s="123" t="s">
        <v>64</v>
      </c>
    </row>
    <row r="45" spans="2:8" ht="15" customHeight="1">
      <c r="B45" s="108">
        <v>37</v>
      </c>
      <c r="C45" s="111"/>
      <c r="E45" s="124" t="s">
        <v>33</v>
      </c>
      <c r="F45" s="125" t="s">
        <v>45</v>
      </c>
      <c r="G45" s="125" t="s">
        <v>56</v>
      </c>
      <c r="H45" s="126" t="s">
        <v>65</v>
      </c>
    </row>
    <row r="46" spans="2:8" ht="15" customHeight="1">
      <c r="B46" s="108">
        <v>38</v>
      </c>
      <c r="C46" s="111"/>
      <c r="E46" s="121" t="s">
        <v>36</v>
      </c>
      <c r="F46" s="122" t="s">
        <v>47</v>
      </c>
      <c r="G46" s="122" t="s">
        <v>58</v>
      </c>
      <c r="H46" s="123" t="s">
        <v>66</v>
      </c>
    </row>
    <row r="47" spans="2:8" ht="15" customHeight="1">
      <c r="B47" s="108">
        <v>39</v>
      </c>
      <c r="C47" s="111"/>
      <c r="E47" s="124" t="s">
        <v>38</v>
      </c>
      <c r="F47" s="125" t="s">
        <v>49</v>
      </c>
      <c r="G47" s="125" t="s">
        <v>60</v>
      </c>
      <c r="H47" s="126" t="s">
        <v>67</v>
      </c>
    </row>
    <row r="48" spans="2:8" ht="15" customHeight="1" thickBot="1">
      <c r="B48" s="108">
        <v>40</v>
      </c>
      <c r="C48" s="111"/>
      <c r="E48" s="127"/>
      <c r="F48" s="128"/>
      <c r="G48" s="128"/>
      <c r="H48" s="129"/>
    </row>
    <row r="49" spans="2:8" ht="15" customHeight="1" thickBot="1">
      <c r="B49" s="108">
        <v>41</v>
      </c>
      <c r="C49" s="111"/>
      <c r="E49" s="114"/>
      <c r="F49" s="114"/>
      <c r="G49" s="114"/>
      <c r="H49" s="114"/>
    </row>
    <row r="50" spans="2:8" ht="15" customHeight="1" thickBot="1">
      <c r="B50" s="108">
        <v>42</v>
      </c>
      <c r="C50" s="111"/>
      <c r="E50" s="115" t="str">
        <f>MID(E33,1,20)</f>
        <v>GRUPO#5</v>
      </c>
      <c r="F50" s="116" t="str">
        <f>MID(E34,1,20)</f>
        <v>GRUPO#6</v>
      </c>
      <c r="G50" s="116" t="str">
        <f>MID(E35,1,20)</f>
        <v>GRUPO#7</v>
      </c>
      <c r="H50" s="117" t="str">
        <f>MID(E36,1,20)</f>
        <v>GRUPO#8</v>
      </c>
    </row>
    <row r="51" spans="2:8" ht="15" customHeight="1">
      <c r="B51" s="108">
        <v>43</v>
      </c>
      <c r="C51" s="111"/>
      <c r="E51" s="118" t="s">
        <v>69</v>
      </c>
      <c r="F51" s="119" t="s">
        <v>81</v>
      </c>
      <c r="G51" s="119" t="s">
        <v>27</v>
      </c>
      <c r="H51" s="120"/>
    </row>
    <row r="52" spans="2:8" ht="15" customHeight="1">
      <c r="B52" s="108">
        <v>44</v>
      </c>
      <c r="C52" s="111"/>
      <c r="E52" s="121" t="s">
        <v>71</v>
      </c>
      <c r="F52" s="122" t="s">
        <v>83</v>
      </c>
      <c r="G52" s="122"/>
      <c r="H52" s="123"/>
    </row>
    <row r="53" spans="2:8" ht="15" customHeight="1">
      <c r="B53" s="108">
        <v>45</v>
      </c>
      <c r="C53" s="111"/>
      <c r="E53" s="124" t="s">
        <v>73</v>
      </c>
      <c r="F53" s="125" t="s">
        <v>85</v>
      </c>
      <c r="G53" s="125"/>
      <c r="H53" s="126"/>
    </row>
    <row r="54" spans="2:8" ht="15" customHeight="1">
      <c r="B54" s="108">
        <v>46</v>
      </c>
      <c r="C54" s="111"/>
      <c r="E54" s="121" t="s">
        <v>75</v>
      </c>
      <c r="F54" s="122" t="s">
        <v>87</v>
      </c>
      <c r="G54" s="122"/>
      <c r="H54" s="123"/>
    </row>
    <row r="55" spans="2:8" ht="15" customHeight="1">
      <c r="B55" s="108">
        <v>47</v>
      </c>
      <c r="C55" s="111"/>
      <c r="E55" s="124" t="s">
        <v>77</v>
      </c>
      <c r="F55" s="125" t="s">
        <v>89</v>
      </c>
      <c r="G55" s="125"/>
      <c r="H55" s="126"/>
    </row>
    <row r="56" spans="2:8" ht="15" customHeight="1" thickBot="1">
      <c r="B56" s="108">
        <v>48</v>
      </c>
      <c r="C56" s="111"/>
      <c r="E56" s="127" t="s">
        <v>79</v>
      </c>
      <c r="F56" s="128"/>
      <c r="G56" s="128"/>
      <c r="H56" s="129"/>
    </row>
    <row r="57" spans="2:8" ht="15" customHeight="1" thickBot="1">
      <c r="B57" s="108">
        <v>49</v>
      </c>
      <c r="C57" s="111"/>
      <c r="E57" s="114"/>
      <c r="F57" s="114"/>
      <c r="G57" s="114"/>
      <c r="H57" s="114"/>
    </row>
    <row r="58" spans="2:8" ht="15" customHeight="1" thickBot="1">
      <c r="B58" s="108">
        <v>50</v>
      </c>
      <c r="C58" s="111"/>
      <c r="E58" s="115" t="str">
        <f>MID(E37,1,20)</f>
        <v>GRUPO#9</v>
      </c>
      <c r="F58" s="116" t="str">
        <f>MID(E38,1,20)</f>
        <v>GRUPO#10</v>
      </c>
      <c r="G58" s="116" t="str">
        <f>MID(E39,1,20)</f>
        <v>GRUPO#11</v>
      </c>
      <c r="H58" s="117" t="str">
        <f>MID(E40,1,20)</f>
        <v>GRUPO#12</v>
      </c>
    </row>
    <row r="59" spans="2:8" ht="15" customHeight="1">
      <c r="E59" s="118"/>
      <c r="F59" s="119"/>
      <c r="G59" s="119"/>
      <c r="H59" s="120"/>
    </row>
    <row r="60" spans="2:8" ht="15" customHeight="1">
      <c r="E60" s="121"/>
      <c r="F60" s="122"/>
      <c r="G60" s="122"/>
      <c r="H60" s="123"/>
    </row>
    <row r="61" spans="2:8" ht="15" customHeight="1">
      <c r="E61" s="124"/>
      <c r="F61" s="125"/>
      <c r="G61" s="125"/>
      <c r="H61" s="126"/>
    </row>
    <row r="62" spans="2:8" ht="15" customHeight="1">
      <c r="E62" s="121"/>
      <c r="F62" s="122"/>
      <c r="G62" s="122"/>
      <c r="H62" s="123"/>
    </row>
    <row r="63" spans="2:8" ht="15" customHeight="1">
      <c r="E63" s="124"/>
      <c r="F63" s="125"/>
      <c r="G63" s="125"/>
      <c r="H63" s="126"/>
    </row>
    <row r="64" spans="2:8" ht="15" customHeight="1" thickBot="1">
      <c r="E64" s="127"/>
      <c r="F64" s="128"/>
      <c r="G64" s="128"/>
      <c r="H64" s="129"/>
    </row>
    <row r="65" s="7" customFormat="1" ht="15" customHeight="1"/>
    <row r="66" s="7" customFormat="1" ht="15" customHeight="1"/>
    <row r="67" s="7" customFormat="1" ht="15" customHeight="1"/>
    <row r="68" s="7" customFormat="1" ht="15" customHeight="1"/>
  </sheetData>
  <sheetProtection algorithmName="SHA-512" hashValue="ecRrXrr2CjehgK0Ggs0w0q6TbmPtnStwvyqTwSz4DA3aehHj2vNl2O7S3VXoqhLDX8XRdotaHSXyaHVIUdu9WQ==" saltValue="513LXSM/PTtNZVCDDwb6Qw==" spinCount="100000" sheet="1" objects="1" scenarios="1"/>
  <dataConsolidate/>
  <mergeCells count="31">
    <mergeCell ref="E38:H38"/>
    <mergeCell ref="E39:H39"/>
    <mergeCell ref="E40:H40"/>
    <mergeCell ref="E18:G18"/>
    <mergeCell ref="E20:G20"/>
    <mergeCell ref="E21:G21"/>
    <mergeCell ref="E22:G22"/>
    <mergeCell ref="E23:G23"/>
    <mergeCell ref="E30:H30"/>
    <mergeCell ref="E31:H31"/>
    <mergeCell ref="E12:G12"/>
    <mergeCell ref="E13:G13"/>
    <mergeCell ref="E14:G14"/>
    <mergeCell ref="E36:H36"/>
    <mergeCell ref="E37:H37"/>
    <mergeCell ref="E35:H35"/>
    <mergeCell ref="E32:H32"/>
    <mergeCell ref="E33:H33"/>
    <mergeCell ref="E34:H34"/>
    <mergeCell ref="E15:G15"/>
    <mergeCell ref="E25:G25"/>
    <mergeCell ref="E19:G19"/>
    <mergeCell ref="E17:H17"/>
    <mergeCell ref="E24:G24"/>
    <mergeCell ref="E28:H28"/>
    <mergeCell ref="E29:H29"/>
    <mergeCell ref="B2:D2"/>
    <mergeCell ref="E8:G8"/>
    <mergeCell ref="E9:G9"/>
    <mergeCell ref="E10:G10"/>
    <mergeCell ref="E11:G11"/>
  </mergeCells>
  <phoneticPr fontId="6" type="noConversion"/>
  <conditionalFormatting sqref="E43:H48 E51:H56 E59:H64">
    <cfRule type="duplicateValues" dxfId="213" priority="1"/>
  </conditionalFormatting>
  <conditionalFormatting sqref="H16">
    <cfRule type="containsText" dxfId="212" priority="2" operator="containsText" text="Más del 100%">
      <formula>NOT(ISERROR(SEARCH("Más del 100%",H16)))</formula>
    </cfRule>
  </conditionalFormatting>
  <conditionalFormatting sqref="H26">
    <cfRule type="containsText" dxfId="211" priority="3" operator="containsText" text="Más del 100%">
      <formula>NOT(ISERROR(SEARCH("Más del 100%",H26)))</formula>
    </cfRule>
  </conditionalFormatting>
  <dataValidations count="4">
    <dataValidation type="list" allowBlank="1" showInputMessage="1" showErrorMessage="1" sqref="E43:H48 E51:H56 E59:H64" xr:uid="{D038FE3D-5B78-4849-B3FF-09B06E2C4C50}">
      <formula1>$C$9:$C$68</formula1>
    </dataValidation>
    <dataValidation type="list" allowBlank="1" showInputMessage="1" showErrorMessage="1" sqref="F2" xr:uid="{CE0E5529-204E-4B33-AA66-17E8EB2DCC10}">
      <formula1>"SEM-01,SEM-02,SEM-03,SEM-04,SEM-05,SEM-06,SEM-07,SEM-08,SEM-09"</formula1>
    </dataValidation>
    <dataValidation type="list" allowBlank="1" showInputMessage="1" showErrorMessage="1" sqref="H2" xr:uid="{CD23E9A0-5463-4174-9374-F0098780E2CF}">
      <formula1>"1,2,3,4,5,6,7,8,9"</formula1>
    </dataValidation>
    <dataValidation type="list" allowBlank="1" showInputMessage="1" showErrorMessage="1" sqref="B2:D2" xr:uid="{193638CE-078B-45EE-9391-DCA50143AAC2}">
      <formula1>$I$8:$I$18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716-E719-4A07-A57E-B6E6A201938D}">
  <dimension ref="A1:L88"/>
  <sheetViews>
    <sheetView showGridLines="0" zoomScale="87" zoomScaleNormal="87" workbookViewId="0">
      <pane xSplit="5" ySplit="3" topLeftCell="F4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3" t="str">
        <f>LIDER!B2</f>
        <v>TECNOLOGÍA EN GESTIÓN DE NEGOCIOS INTERN</v>
      </c>
      <c r="B1" s="144"/>
      <c r="C1" s="144"/>
      <c r="D1" s="144"/>
      <c r="E1" s="144"/>
      <c r="F1" s="144"/>
      <c r="G1" s="144"/>
      <c r="H1" s="145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LIDER!C4</f>
        <v>INTRODUCCIÓN A LOS NEGOCIOS IN</v>
      </c>
      <c r="C2" s="82"/>
      <c r="D2" s="3"/>
      <c r="F2" s="203" t="s">
        <v>92</v>
      </c>
      <c r="G2" s="204"/>
      <c r="H2" s="204"/>
      <c r="I2" s="204"/>
      <c r="J2" s="204"/>
      <c r="K2" s="204"/>
      <c r="L2" s="205"/>
    </row>
    <row r="3" spans="1:12" s="2" customFormat="1" ht="145.5" customHeight="1">
      <c r="B3" s="83" t="s">
        <v>93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6" t="str">
        <f>CONCATENATE(LIDER!C4," - ",LIDER!C6," - ",LIDER!C5)</f>
        <v>INTRODUCCIÓN A LOS NEGOCIOS IN - 2475 - TATIANA MILENA ROJAS AROCA</v>
      </c>
      <c r="G4" s="206"/>
      <c r="H4" s="206"/>
      <c r="I4" s="206"/>
      <c r="J4" s="206"/>
      <c r="K4" s="206"/>
      <c r="L4" s="206"/>
    </row>
    <row r="5" spans="1:12" s="2" customFormat="1" ht="15.75" customHeight="1" thickBot="1">
      <c r="A5" s="8"/>
      <c r="B5" s="25" t="s">
        <v>70</v>
      </c>
      <c r="C5" s="88" t="s">
        <v>94</v>
      </c>
      <c r="D5" s="32" t="s">
        <v>95</v>
      </c>
      <c r="E5" s="89" t="s">
        <v>96</v>
      </c>
      <c r="F5" s="146" t="str">
        <f>LIDER!$E$29</f>
        <v>GRUPO#1</v>
      </c>
      <c r="G5" s="146"/>
      <c r="H5" s="146"/>
      <c r="I5" s="146"/>
      <c r="J5" s="146"/>
      <c r="K5" s="146"/>
      <c r="L5" s="146"/>
    </row>
    <row r="6" spans="1:12" s="2" customFormat="1" ht="12.75">
      <c r="A6" s="9">
        <v>1</v>
      </c>
      <c r="B6" s="10">
        <f>LIDER!E43</f>
        <v>0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201">
        <v>3.7</v>
      </c>
      <c r="G6" s="142">
        <v>3.7</v>
      </c>
      <c r="H6" s="199">
        <v>3.7</v>
      </c>
      <c r="I6" s="142">
        <v>3.7</v>
      </c>
      <c r="J6" s="199">
        <v>3.7</v>
      </c>
      <c r="K6" s="142"/>
      <c r="L6" s="199"/>
    </row>
    <row r="7" spans="1:12" s="2" customFormat="1" ht="15" customHeight="1">
      <c r="A7" s="12">
        <v>2</v>
      </c>
      <c r="B7" s="10" t="str">
        <f>LIDER!E44</f>
        <v>Valentina Castro Ibarra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3.7000000000000006</v>
      </c>
      <c r="F7" s="201"/>
      <c r="G7" s="142"/>
      <c r="H7" s="199"/>
      <c r="I7" s="142"/>
      <c r="J7" s="199"/>
      <c r="K7" s="142"/>
      <c r="L7" s="199"/>
    </row>
    <row r="8" spans="1:12" s="2" customFormat="1" ht="15" customHeight="1">
      <c r="A8" s="12">
        <v>3</v>
      </c>
      <c r="B8" s="10" t="str">
        <f>LIDER!E45</f>
        <v>Carmen Manuek Cruzate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3.7000000000000006</v>
      </c>
      <c r="F8" s="201"/>
      <c r="G8" s="142"/>
      <c r="H8" s="199"/>
      <c r="I8" s="142"/>
      <c r="J8" s="199"/>
      <c r="K8" s="142"/>
      <c r="L8" s="199"/>
    </row>
    <row r="9" spans="1:12" s="2" customFormat="1" ht="15" customHeight="1">
      <c r="A9" s="12">
        <v>4</v>
      </c>
      <c r="B9" s="10" t="str">
        <f>LIDER!E46</f>
        <v>Yulieth Martinez Carrasquilla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3.7000000000000006</v>
      </c>
      <c r="F9" s="201"/>
      <c r="G9" s="142"/>
      <c r="H9" s="199"/>
      <c r="I9" s="142"/>
      <c r="J9" s="199"/>
      <c r="K9" s="142"/>
      <c r="L9" s="199"/>
    </row>
    <row r="10" spans="1:12" s="2" customFormat="1" ht="15" customHeight="1">
      <c r="A10" s="12">
        <v>5</v>
      </c>
      <c r="B10" s="10" t="str">
        <f>LIDER!E47</f>
        <v>Angello Ortega Mesino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3.7000000000000006</v>
      </c>
      <c r="F10" s="201"/>
      <c r="G10" s="142"/>
      <c r="H10" s="199"/>
      <c r="I10" s="142"/>
      <c r="J10" s="199"/>
      <c r="K10" s="142"/>
      <c r="L10" s="199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1"/>
      <c r="G11" s="142"/>
      <c r="H11" s="199"/>
      <c r="I11" s="142"/>
      <c r="J11" s="199"/>
      <c r="K11" s="142"/>
      <c r="L11" s="199"/>
    </row>
    <row r="12" spans="1:12" s="2" customFormat="1" ht="15.75" customHeight="1" thickBot="1">
      <c r="A12" s="8"/>
      <c r="B12" s="25" t="s">
        <v>72</v>
      </c>
      <c r="C12" s="88" t="s">
        <v>97</v>
      </c>
      <c r="D12" s="32" t="str">
        <f>D5</f>
        <v>LIST</v>
      </c>
      <c r="E12" s="89" t="s">
        <v>96</v>
      </c>
      <c r="F12" s="146" t="str">
        <f>LIDER!$E$30</f>
        <v>GRUPO#2</v>
      </c>
      <c r="G12" s="146"/>
      <c r="H12" s="146"/>
      <c r="I12" s="146"/>
      <c r="J12" s="146"/>
      <c r="K12" s="146"/>
      <c r="L12" s="146"/>
    </row>
    <row r="13" spans="1:12" s="2" customFormat="1" ht="12.75">
      <c r="A13" s="9">
        <v>1</v>
      </c>
      <c r="B13" s="10" t="str">
        <f>LIDER!F43</f>
        <v>Cesar Pajaro Ramos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4.0999999999999996</v>
      </c>
      <c r="F13" s="201">
        <v>4.0999999999999996</v>
      </c>
      <c r="G13" s="142">
        <v>4.0999999999999996</v>
      </c>
      <c r="H13" s="199">
        <v>4.0999999999999996</v>
      </c>
      <c r="I13" s="142">
        <v>4.0999999999999996</v>
      </c>
      <c r="J13" s="199">
        <v>4.0999999999999996</v>
      </c>
      <c r="K13" s="142"/>
      <c r="L13" s="199"/>
    </row>
    <row r="14" spans="1:12" s="2" customFormat="1" ht="15" customHeight="1">
      <c r="A14" s="12">
        <v>2</v>
      </c>
      <c r="B14" s="10" t="str">
        <f>LIDER!F44</f>
        <v>Elian Polo Soto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4.0999999999999996</v>
      </c>
      <c r="F14" s="201"/>
      <c r="G14" s="142"/>
      <c r="H14" s="199"/>
      <c r="I14" s="142"/>
      <c r="J14" s="199"/>
      <c r="K14" s="142"/>
      <c r="L14" s="199"/>
    </row>
    <row r="15" spans="1:12" s="2" customFormat="1" ht="15" customHeight="1">
      <c r="A15" s="12">
        <v>3</v>
      </c>
      <c r="B15" s="10" t="str">
        <f>LIDER!F45</f>
        <v>Juan C Corrales de la Rosa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4.0999999999999996</v>
      </c>
      <c r="F15" s="201"/>
      <c r="G15" s="142"/>
      <c r="H15" s="199"/>
      <c r="I15" s="142"/>
      <c r="J15" s="199"/>
      <c r="K15" s="142"/>
      <c r="L15" s="199"/>
    </row>
    <row r="16" spans="1:12" s="2" customFormat="1" ht="15" customHeight="1">
      <c r="A16" s="12">
        <v>4</v>
      </c>
      <c r="B16" s="10" t="str">
        <f>LIDER!F46</f>
        <v>Katerin Silva Peñate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4.0999999999999996</v>
      </c>
      <c r="F16" s="201"/>
      <c r="G16" s="142"/>
      <c r="H16" s="199"/>
      <c r="I16" s="142"/>
      <c r="J16" s="199"/>
      <c r="K16" s="142"/>
      <c r="L16" s="199"/>
    </row>
    <row r="17" spans="1:12" s="2" customFormat="1" ht="15" customHeight="1">
      <c r="A17" s="12">
        <v>5</v>
      </c>
      <c r="B17" s="10" t="str">
        <f>LIDER!F47</f>
        <v>Yorcelis Mercado Guerra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4.0999999999999996</v>
      </c>
      <c r="F17" s="201"/>
      <c r="G17" s="142"/>
      <c r="H17" s="199"/>
      <c r="I17" s="142"/>
      <c r="J17" s="199"/>
      <c r="K17" s="142"/>
      <c r="L17" s="199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1"/>
      <c r="G18" s="142"/>
      <c r="H18" s="199"/>
      <c r="I18" s="142"/>
      <c r="J18" s="199"/>
      <c r="K18" s="142"/>
      <c r="L18" s="199"/>
    </row>
    <row r="19" spans="1:12" s="2" customFormat="1" ht="15.75" customHeight="1">
      <c r="A19" s="14"/>
      <c r="B19" s="25" t="s">
        <v>74</v>
      </c>
      <c r="C19" s="88" t="s">
        <v>98</v>
      </c>
      <c r="D19" s="32" t="str">
        <f>D12</f>
        <v>LIST</v>
      </c>
      <c r="E19" s="89" t="s">
        <v>96</v>
      </c>
      <c r="F19" s="146" t="str">
        <f>LIDER!$E$31</f>
        <v>GRUPO#3</v>
      </c>
      <c r="G19" s="146"/>
      <c r="H19" s="146"/>
      <c r="I19" s="146"/>
      <c r="J19" s="146"/>
      <c r="K19" s="146"/>
      <c r="L19" s="146"/>
    </row>
    <row r="20" spans="1:12" s="2" customFormat="1" ht="12.75">
      <c r="A20" s="9">
        <v>1</v>
      </c>
      <c r="B20" s="10" t="str">
        <f>LIDER!G43</f>
        <v>Lauren castilla Gonzalez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4.0999999999999996</v>
      </c>
      <c r="F20" s="201">
        <v>4.0999999999999996</v>
      </c>
      <c r="G20" s="142">
        <v>4.0999999999999996</v>
      </c>
      <c r="H20" s="199">
        <v>4.0999999999999996</v>
      </c>
      <c r="I20" s="142">
        <v>4.0999999999999996</v>
      </c>
      <c r="J20" s="199">
        <v>4.0999999999999996</v>
      </c>
      <c r="K20" s="142"/>
      <c r="L20" s="199"/>
    </row>
    <row r="21" spans="1:12" s="2" customFormat="1" ht="15" customHeight="1">
      <c r="A21" s="12">
        <v>2</v>
      </c>
      <c r="B21" s="10" t="str">
        <f>LIDER!G44</f>
        <v>Duvan Cespedes perez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4.0999999999999996</v>
      </c>
      <c r="F21" s="201"/>
      <c r="G21" s="142"/>
      <c r="H21" s="199"/>
      <c r="I21" s="142"/>
      <c r="J21" s="199"/>
      <c r="K21" s="142"/>
      <c r="L21" s="199"/>
    </row>
    <row r="22" spans="1:12" s="2" customFormat="1" ht="15" customHeight="1">
      <c r="A22" s="12">
        <v>3</v>
      </c>
      <c r="B22" s="10" t="str">
        <f>LIDER!G45</f>
        <v>Isaac Faciolince Bustos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4.0999999999999996</v>
      </c>
      <c r="F22" s="201"/>
      <c r="G22" s="142"/>
      <c r="H22" s="199"/>
      <c r="I22" s="142"/>
      <c r="J22" s="199"/>
      <c r="K22" s="142"/>
      <c r="L22" s="199"/>
    </row>
    <row r="23" spans="1:12" s="2" customFormat="1" ht="15" customHeight="1">
      <c r="A23" s="12">
        <v>4</v>
      </c>
      <c r="B23" s="10" t="str">
        <f>LIDER!G46</f>
        <v>Jesus Lopez Morales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4.0999999999999996</v>
      </c>
      <c r="F23" s="201"/>
      <c r="G23" s="142"/>
      <c r="H23" s="199"/>
      <c r="I23" s="142"/>
      <c r="J23" s="199"/>
      <c r="K23" s="142"/>
      <c r="L23" s="199"/>
    </row>
    <row r="24" spans="1:12" s="2" customFormat="1" ht="15" customHeight="1">
      <c r="A24" s="12">
        <v>5</v>
      </c>
      <c r="B24" s="10" t="str">
        <f>LIDER!G47</f>
        <v>Dakar Moarles Paternina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4.0999999999999996</v>
      </c>
      <c r="F24" s="201"/>
      <c r="G24" s="142"/>
      <c r="H24" s="199"/>
      <c r="I24" s="142"/>
      <c r="J24" s="199"/>
      <c r="K24" s="142"/>
      <c r="L24" s="199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1"/>
      <c r="G25" s="142"/>
      <c r="H25" s="199"/>
      <c r="I25" s="142"/>
      <c r="J25" s="199"/>
      <c r="K25" s="142"/>
      <c r="L25" s="199"/>
    </row>
    <row r="26" spans="1:12" s="2" customFormat="1" ht="15.75" customHeight="1">
      <c r="A26" s="14"/>
      <c r="B26" s="25" t="s">
        <v>76</v>
      </c>
      <c r="C26" s="88" t="s">
        <v>99</v>
      </c>
      <c r="D26" s="32" t="str">
        <f>D19</f>
        <v>LIST</v>
      </c>
      <c r="E26" s="89" t="s">
        <v>96</v>
      </c>
      <c r="F26" s="146" t="str">
        <f>LIDER!$E$32</f>
        <v>GRUPO#4</v>
      </c>
      <c r="G26" s="146"/>
      <c r="H26" s="146"/>
      <c r="I26" s="146"/>
      <c r="J26" s="146"/>
      <c r="K26" s="146"/>
      <c r="L26" s="146"/>
    </row>
    <row r="27" spans="1:12" s="2" customFormat="1" ht="12.75">
      <c r="A27" s="9">
        <v>1</v>
      </c>
      <c r="B27" s="10" t="str">
        <f>LIDER!H43</f>
        <v>Ian Yoraco Berrio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1"/>
      <c r="G27" s="142"/>
      <c r="H27" s="199"/>
      <c r="I27" s="142"/>
      <c r="J27" s="199"/>
      <c r="K27" s="142"/>
      <c r="L27" s="199"/>
    </row>
    <row r="28" spans="1:12" s="2" customFormat="1" ht="15" customHeight="1">
      <c r="A28" s="12">
        <v>2</v>
      </c>
      <c r="B28" s="10" t="str">
        <f>LIDER!H44</f>
        <v>Nataly Castro Jimenez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1"/>
      <c r="G28" s="142"/>
      <c r="H28" s="199"/>
      <c r="I28" s="142"/>
      <c r="J28" s="199"/>
      <c r="K28" s="142"/>
      <c r="L28" s="199"/>
    </row>
    <row r="29" spans="1:12" s="2" customFormat="1" ht="15" customHeight="1">
      <c r="A29" s="12">
        <v>3</v>
      </c>
      <c r="B29" s="10" t="str">
        <f>LIDER!H45</f>
        <v>Oscar Lorduy Neira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1"/>
      <c r="G29" s="142"/>
      <c r="H29" s="199"/>
      <c r="I29" s="142"/>
      <c r="J29" s="199"/>
      <c r="K29" s="142"/>
      <c r="L29" s="199"/>
    </row>
    <row r="30" spans="1:12" s="2" customFormat="1" ht="15" customHeight="1">
      <c r="A30" s="12">
        <v>4</v>
      </c>
      <c r="B30" s="10" t="str">
        <f>LIDER!H46</f>
        <v>Carlos Orozco Valdes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1"/>
      <c r="G30" s="142"/>
      <c r="H30" s="199"/>
      <c r="I30" s="142"/>
      <c r="J30" s="199"/>
      <c r="K30" s="142"/>
      <c r="L30" s="199"/>
    </row>
    <row r="31" spans="1:12" s="2" customFormat="1" ht="15" customHeight="1">
      <c r="A31" s="12">
        <v>5</v>
      </c>
      <c r="B31" s="10" t="str">
        <f>LIDER!H47</f>
        <v>Sandri Valdez Sepulveda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1"/>
      <c r="G31" s="142"/>
      <c r="H31" s="199"/>
      <c r="I31" s="142"/>
      <c r="J31" s="199"/>
      <c r="K31" s="142"/>
      <c r="L31" s="199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1"/>
      <c r="G32" s="142"/>
      <c r="H32" s="199"/>
      <c r="I32" s="142"/>
      <c r="J32" s="199"/>
      <c r="K32" s="142"/>
      <c r="L32" s="199"/>
    </row>
    <row r="33" spans="1:12" s="2" customFormat="1" ht="15.75" customHeight="1">
      <c r="A33" s="14"/>
      <c r="B33" s="25" t="s">
        <v>78</v>
      </c>
      <c r="C33" s="88" t="s">
        <v>100</v>
      </c>
      <c r="D33" s="32" t="str">
        <f>D26</f>
        <v>LIST</v>
      </c>
      <c r="E33" s="89" t="s">
        <v>96</v>
      </c>
      <c r="F33" s="146" t="str">
        <f>LIDER!$E$33</f>
        <v>GRUPO#5</v>
      </c>
      <c r="G33" s="146"/>
      <c r="H33" s="146"/>
      <c r="I33" s="146"/>
      <c r="J33" s="146"/>
      <c r="K33" s="146"/>
      <c r="L33" s="146"/>
    </row>
    <row r="34" spans="1:12" s="2" customFormat="1" ht="12.75">
      <c r="A34" s="9">
        <v>1</v>
      </c>
      <c r="B34" s="10" t="str">
        <f>LIDER!E51</f>
        <v>Adrian Marriaga Muñoz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1"/>
      <c r="G34" s="142"/>
      <c r="H34" s="199"/>
      <c r="I34" s="142"/>
      <c r="J34" s="199"/>
      <c r="K34" s="142"/>
      <c r="L34" s="199"/>
    </row>
    <row r="35" spans="1:12" s="2" customFormat="1" ht="15" customHeight="1">
      <c r="A35" s="12">
        <v>2</v>
      </c>
      <c r="B35" s="10" t="str">
        <f>LIDER!E52</f>
        <v>Kristin Perez martinez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1"/>
      <c r="G35" s="142"/>
      <c r="H35" s="199"/>
      <c r="I35" s="142"/>
      <c r="J35" s="199"/>
      <c r="K35" s="142"/>
      <c r="L35" s="199"/>
    </row>
    <row r="36" spans="1:12" s="2" customFormat="1" ht="15" customHeight="1">
      <c r="A36" s="12">
        <v>3</v>
      </c>
      <c r="B36" s="10" t="str">
        <f>LIDER!E53</f>
        <v>Nina Aguilar Sarabia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1"/>
      <c r="G36" s="142"/>
      <c r="H36" s="199"/>
      <c r="I36" s="142"/>
      <c r="J36" s="199"/>
      <c r="K36" s="142"/>
      <c r="L36" s="199"/>
    </row>
    <row r="37" spans="1:12" s="2" customFormat="1" ht="15" customHeight="1">
      <c r="A37" s="12">
        <v>4</v>
      </c>
      <c r="B37" s="10" t="str">
        <f>LIDER!E54</f>
        <v>Theres Theran caicedo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1"/>
      <c r="G37" s="142"/>
      <c r="H37" s="199"/>
      <c r="I37" s="142"/>
      <c r="J37" s="199"/>
      <c r="K37" s="142"/>
      <c r="L37" s="199"/>
    </row>
    <row r="38" spans="1:12" s="2" customFormat="1" ht="15" customHeight="1">
      <c r="A38" s="12">
        <v>5</v>
      </c>
      <c r="B38" s="10" t="str">
        <f>LIDER!E55</f>
        <v>Diego Cardona Bolaño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1"/>
      <c r="G38" s="142"/>
      <c r="H38" s="199"/>
      <c r="I38" s="142"/>
      <c r="J38" s="199"/>
      <c r="K38" s="142"/>
      <c r="L38" s="199"/>
    </row>
    <row r="39" spans="1:12" s="2" customFormat="1" ht="15.75" customHeight="1">
      <c r="A39" s="13">
        <v>6</v>
      </c>
      <c r="B39" s="91" t="str">
        <f>LIDER!E56</f>
        <v>Jhamer Luis Maza Ramos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1"/>
      <c r="G39" s="142"/>
      <c r="H39" s="199"/>
      <c r="I39" s="142"/>
      <c r="J39" s="199"/>
      <c r="K39" s="142"/>
      <c r="L39" s="199"/>
    </row>
    <row r="40" spans="1:12" s="2" customFormat="1" ht="15.75" customHeight="1">
      <c r="A40" s="14"/>
      <c r="B40" s="25" t="s">
        <v>80</v>
      </c>
      <c r="C40" s="88" t="s">
        <v>101</v>
      </c>
      <c r="D40" s="32" t="str">
        <f>D33</f>
        <v>LIST</v>
      </c>
      <c r="E40" s="89" t="s">
        <v>96</v>
      </c>
      <c r="F40" s="146" t="str">
        <f>LIDER!$E$34</f>
        <v>GRUPO#6</v>
      </c>
      <c r="G40" s="146"/>
      <c r="H40" s="146"/>
      <c r="I40" s="146"/>
      <c r="J40" s="146"/>
      <c r="K40" s="146"/>
      <c r="L40" s="146"/>
    </row>
    <row r="41" spans="1:12" s="2" customFormat="1" ht="12.75">
      <c r="A41" s="9">
        <v>1</v>
      </c>
      <c r="B41" s="10" t="str">
        <f>LIDER!F51</f>
        <v>Yureidy Alarez Castellano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1"/>
      <c r="G41" s="142"/>
      <c r="H41" s="199"/>
      <c r="I41" s="142"/>
      <c r="J41" s="199"/>
      <c r="K41" s="142"/>
      <c r="L41" s="199"/>
    </row>
    <row r="42" spans="1:12" s="2" customFormat="1" ht="15" customHeight="1">
      <c r="A42" s="12">
        <v>2</v>
      </c>
      <c r="B42" s="10" t="str">
        <f>LIDER!F52</f>
        <v>Juan C Baldiris Espitia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1"/>
      <c r="G42" s="142"/>
      <c r="H42" s="199"/>
      <c r="I42" s="142"/>
      <c r="J42" s="199"/>
      <c r="K42" s="142"/>
      <c r="L42" s="199"/>
    </row>
    <row r="43" spans="1:12" s="2" customFormat="1" ht="15" customHeight="1">
      <c r="A43" s="12">
        <v>3</v>
      </c>
      <c r="B43" s="10" t="str">
        <f>LIDER!F53</f>
        <v>Andres F Torres Arroyo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1"/>
      <c r="G43" s="142"/>
      <c r="H43" s="199"/>
      <c r="I43" s="142"/>
      <c r="J43" s="199"/>
      <c r="K43" s="142"/>
      <c r="L43" s="199"/>
    </row>
    <row r="44" spans="1:12" s="2" customFormat="1" ht="15" customHeight="1">
      <c r="A44" s="12">
        <v>4</v>
      </c>
      <c r="B44" s="10" t="str">
        <f>LIDER!F54</f>
        <v>Sherlyn Villegas Maza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1"/>
      <c r="G44" s="142"/>
      <c r="H44" s="199"/>
      <c r="I44" s="142"/>
      <c r="J44" s="199"/>
      <c r="K44" s="142"/>
      <c r="L44" s="199"/>
    </row>
    <row r="45" spans="1:12" s="2" customFormat="1" ht="15" customHeight="1">
      <c r="A45" s="12">
        <v>5</v>
      </c>
      <c r="B45" s="10" t="str">
        <f>LIDER!F55</f>
        <v>Isaac Zapata Zapata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1"/>
      <c r="G45" s="142"/>
      <c r="H45" s="199"/>
      <c r="I45" s="142"/>
      <c r="J45" s="199"/>
      <c r="K45" s="142"/>
      <c r="L45" s="199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1"/>
      <c r="G46" s="142"/>
      <c r="H46" s="199"/>
      <c r="I46" s="142"/>
      <c r="J46" s="199"/>
      <c r="K46" s="142"/>
      <c r="L46" s="199"/>
    </row>
    <row r="47" spans="1:12" s="2" customFormat="1" ht="15.75" customHeight="1">
      <c r="A47" s="14"/>
      <c r="B47" s="25" t="s">
        <v>82</v>
      </c>
      <c r="C47" s="88" t="s">
        <v>102</v>
      </c>
      <c r="D47" s="32" t="str">
        <f>D40</f>
        <v>LIST</v>
      </c>
      <c r="E47" s="89" t="s">
        <v>96</v>
      </c>
      <c r="F47" s="146" t="str">
        <f>LIDER!$E$35</f>
        <v>GRUPO#7</v>
      </c>
      <c r="G47" s="146"/>
      <c r="H47" s="146"/>
      <c r="I47" s="146"/>
      <c r="J47" s="146"/>
      <c r="K47" s="146"/>
      <c r="L47" s="146"/>
    </row>
    <row r="48" spans="1:12" s="2" customFormat="1" ht="12.75">
      <c r="A48" s="9">
        <v>1</v>
      </c>
      <c r="B48" s="10" t="str">
        <f>LIDER!G51</f>
        <v>Valeria Balesteros Almentero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1"/>
      <c r="G48" s="142"/>
      <c r="H48" s="199"/>
      <c r="I48" s="142"/>
      <c r="J48" s="199"/>
      <c r="K48" s="142"/>
      <c r="L48" s="199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1"/>
      <c r="G49" s="142"/>
      <c r="H49" s="199"/>
      <c r="I49" s="142"/>
      <c r="J49" s="199"/>
      <c r="K49" s="142"/>
      <c r="L49" s="199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1"/>
      <c r="G50" s="142"/>
      <c r="H50" s="199"/>
      <c r="I50" s="142"/>
      <c r="J50" s="199"/>
      <c r="K50" s="142"/>
      <c r="L50" s="199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1"/>
      <c r="G51" s="142"/>
      <c r="H51" s="199"/>
      <c r="I51" s="142"/>
      <c r="J51" s="199"/>
      <c r="K51" s="142"/>
      <c r="L51" s="199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1"/>
      <c r="G52" s="142"/>
      <c r="H52" s="199"/>
      <c r="I52" s="142"/>
      <c r="J52" s="199"/>
      <c r="K52" s="142"/>
      <c r="L52" s="199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1"/>
      <c r="G53" s="142"/>
      <c r="H53" s="199"/>
      <c r="I53" s="142"/>
      <c r="J53" s="199"/>
      <c r="K53" s="142"/>
      <c r="L53" s="199"/>
    </row>
    <row r="54" spans="1:12" s="2" customFormat="1" ht="15.75" customHeight="1">
      <c r="A54" s="14"/>
      <c r="B54" s="25" t="s">
        <v>84</v>
      </c>
      <c r="C54" s="88" t="s">
        <v>103</v>
      </c>
      <c r="D54" s="32" t="str">
        <f>D47</f>
        <v>LIST</v>
      </c>
      <c r="E54" s="89" t="s">
        <v>96</v>
      </c>
      <c r="F54" s="146" t="str">
        <f>LIDER!$E$36</f>
        <v>GRUPO#8</v>
      </c>
      <c r="G54" s="146"/>
      <c r="H54" s="146"/>
      <c r="I54" s="146"/>
      <c r="J54" s="146"/>
      <c r="K54" s="146"/>
      <c r="L54" s="146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1"/>
      <c r="G55" s="142"/>
      <c r="H55" s="199"/>
      <c r="I55" s="142"/>
      <c r="J55" s="199"/>
      <c r="K55" s="142"/>
      <c r="L55" s="199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1"/>
      <c r="G56" s="142"/>
      <c r="H56" s="199"/>
      <c r="I56" s="142"/>
      <c r="J56" s="199"/>
      <c r="K56" s="142"/>
      <c r="L56" s="199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1"/>
      <c r="G57" s="142"/>
      <c r="H57" s="199"/>
      <c r="I57" s="142"/>
      <c r="J57" s="199"/>
      <c r="K57" s="142"/>
      <c r="L57" s="199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1"/>
      <c r="G58" s="142"/>
      <c r="H58" s="199"/>
      <c r="I58" s="142"/>
      <c r="J58" s="199"/>
      <c r="K58" s="142"/>
      <c r="L58" s="199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1"/>
      <c r="G59" s="142"/>
      <c r="H59" s="199"/>
      <c r="I59" s="142"/>
      <c r="J59" s="199"/>
      <c r="K59" s="142"/>
      <c r="L59" s="199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1"/>
      <c r="G60" s="142"/>
      <c r="H60" s="199"/>
      <c r="I60" s="142"/>
      <c r="J60" s="199"/>
      <c r="K60" s="142"/>
      <c r="L60" s="199"/>
    </row>
    <row r="61" spans="1:12" s="2" customFormat="1" ht="15.75" customHeight="1">
      <c r="A61" s="14"/>
      <c r="B61" s="25" t="s">
        <v>86</v>
      </c>
      <c r="C61" s="88" t="s">
        <v>104</v>
      </c>
      <c r="D61" s="32" t="str">
        <f>D54</f>
        <v>LIST</v>
      </c>
      <c r="E61" s="89" t="s">
        <v>96</v>
      </c>
      <c r="F61" s="146" t="str">
        <f>LIDER!$E$37</f>
        <v>GRUPO#9</v>
      </c>
      <c r="G61" s="146"/>
      <c r="H61" s="146"/>
      <c r="I61" s="146"/>
      <c r="J61" s="146"/>
      <c r="K61" s="146"/>
      <c r="L61" s="146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1"/>
      <c r="G62" s="142"/>
      <c r="H62" s="199"/>
      <c r="I62" s="142"/>
      <c r="J62" s="199"/>
      <c r="K62" s="142"/>
      <c r="L62" s="199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1"/>
      <c r="G63" s="142"/>
      <c r="H63" s="199"/>
      <c r="I63" s="142"/>
      <c r="J63" s="199"/>
      <c r="K63" s="142"/>
      <c r="L63" s="199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1"/>
      <c r="G64" s="142"/>
      <c r="H64" s="199"/>
      <c r="I64" s="142"/>
      <c r="J64" s="199"/>
      <c r="K64" s="142"/>
      <c r="L64" s="199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1"/>
      <c r="G65" s="142"/>
      <c r="H65" s="199"/>
      <c r="I65" s="142"/>
      <c r="J65" s="199"/>
      <c r="K65" s="142"/>
      <c r="L65" s="199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1"/>
      <c r="G66" s="142"/>
      <c r="H66" s="199"/>
      <c r="I66" s="142"/>
      <c r="J66" s="199"/>
      <c r="K66" s="142"/>
      <c r="L66" s="199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1"/>
      <c r="G67" s="142"/>
      <c r="H67" s="199"/>
      <c r="I67" s="142"/>
      <c r="J67" s="199"/>
      <c r="K67" s="142"/>
      <c r="L67" s="199"/>
    </row>
    <row r="68" spans="1:12" s="2" customFormat="1" ht="15.75" customHeight="1">
      <c r="A68" s="14"/>
      <c r="B68" s="25" t="s">
        <v>88</v>
      </c>
      <c r="C68" s="88" t="s">
        <v>105</v>
      </c>
      <c r="D68" s="32" t="str">
        <f>D61</f>
        <v>LIST</v>
      </c>
      <c r="E68" s="89" t="s">
        <v>96</v>
      </c>
      <c r="F68" s="146" t="str">
        <f>LIDER!$E$38</f>
        <v>GRUPO#10</v>
      </c>
      <c r="G68" s="146"/>
      <c r="H68" s="146"/>
      <c r="I68" s="146"/>
      <c r="J68" s="146"/>
      <c r="K68" s="146"/>
      <c r="L68" s="146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1"/>
      <c r="G69" s="142"/>
      <c r="H69" s="199"/>
      <c r="I69" s="142"/>
      <c r="J69" s="199"/>
      <c r="K69" s="142"/>
      <c r="L69" s="199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1"/>
      <c r="G70" s="142"/>
      <c r="H70" s="199"/>
      <c r="I70" s="142"/>
      <c r="J70" s="199"/>
      <c r="K70" s="142"/>
      <c r="L70" s="199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1"/>
      <c r="G71" s="142"/>
      <c r="H71" s="199"/>
      <c r="I71" s="142"/>
      <c r="J71" s="199"/>
      <c r="K71" s="142"/>
      <c r="L71" s="199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1"/>
      <c r="G72" s="142"/>
      <c r="H72" s="199"/>
      <c r="I72" s="142"/>
      <c r="J72" s="199"/>
      <c r="K72" s="142"/>
      <c r="L72" s="199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1"/>
      <c r="G73" s="142"/>
      <c r="H73" s="199"/>
      <c r="I73" s="142"/>
      <c r="J73" s="199"/>
      <c r="K73" s="142"/>
      <c r="L73" s="199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1"/>
      <c r="G74" s="142"/>
      <c r="H74" s="199"/>
      <c r="I74" s="142"/>
      <c r="J74" s="199"/>
      <c r="K74" s="142"/>
      <c r="L74" s="199"/>
    </row>
    <row r="75" spans="1:12" s="2" customFormat="1" ht="15.75" customHeight="1">
      <c r="A75" s="14"/>
      <c r="B75" s="25" t="s">
        <v>90</v>
      </c>
      <c r="C75" s="88" t="s">
        <v>106</v>
      </c>
      <c r="D75" s="32" t="str">
        <f>D68</f>
        <v>LIST</v>
      </c>
      <c r="E75" s="89" t="s">
        <v>96</v>
      </c>
      <c r="F75" s="146" t="str">
        <f>LIDER!$E$39</f>
        <v>GRUPO#11</v>
      </c>
      <c r="G75" s="146"/>
      <c r="H75" s="146"/>
      <c r="I75" s="146"/>
      <c r="J75" s="146"/>
      <c r="K75" s="146"/>
      <c r="L75" s="146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1"/>
      <c r="G76" s="142"/>
      <c r="H76" s="199"/>
      <c r="I76" s="142"/>
      <c r="J76" s="199"/>
      <c r="K76" s="142"/>
      <c r="L76" s="199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1"/>
      <c r="G77" s="142"/>
      <c r="H77" s="199"/>
      <c r="I77" s="142"/>
      <c r="J77" s="199"/>
      <c r="K77" s="142"/>
      <c r="L77" s="199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1"/>
      <c r="G78" s="142"/>
      <c r="H78" s="199"/>
      <c r="I78" s="142"/>
      <c r="J78" s="199"/>
      <c r="K78" s="142"/>
      <c r="L78" s="199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1"/>
      <c r="G79" s="142"/>
      <c r="H79" s="199"/>
      <c r="I79" s="142"/>
      <c r="J79" s="199"/>
      <c r="K79" s="142"/>
      <c r="L79" s="199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1"/>
      <c r="G80" s="142"/>
      <c r="H80" s="199"/>
      <c r="I80" s="142"/>
      <c r="J80" s="199"/>
      <c r="K80" s="142"/>
      <c r="L80" s="199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1"/>
      <c r="G81" s="142"/>
      <c r="H81" s="199"/>
      <c r="I81" s="142"/>
      <c r="J81" s="199"/>
      <c r="K81" s="142"/>
      <c r="L81" s="199"/>
    </row>
    <row r="82" spans="1:12" s="2" customFormat="1" ht="15.75" customHeight="1">
      <c r="A82" s="14"/>
      <c r="B82" s="25" t="s">
        <v>91</v>
      </c>
      <c r="C82" s="88" t="s">
        <v>107</v>
      </c>
      <c r="D82" s="32" t="str">
        <f>D75</f>
        <v>LIST</v>
      </c>
      <c r="E82" s="89" t="s">
        <v>96</v>
      </c>
      <c r="F82" s="146" t="str">
        <f>LIDER!$E$40</f>
        <v>GRUPO#12</v>
      </c>
      <c r="G82" s="146"/>
      <c r="H82" s="146"/>
      <c r="I82" s="146"/>
      <c r="J82" s="146"/>
      <c r="K82" s="146"/>
      <c r="L82" s="146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1"/>
      <c r="G83" s="142"/>
      <c r="H83" s="199"/>
      <c r="I83" s="142"/>
      <c r="J83" s="199"/>
      <c r="K83" s="142"/>
      <c r="L83" s="199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1"/>
      <c r="G84" s="142"/>
      <c r="H84" s="199"/>
      <c r="I84" s="142"/>
      <c r="J84" s="199"/>
      <c r="K84" s="142"/>
      <c r="L84" s="199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1"/>
      <c r="G85" s="142"/>
      <c r="H85" s="199"/>
      <c r="I85" s="142"/>
      <c r="J85" s="199"/>
      <c r="K85" s="142"/>
      <c r="L85" s="199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1"/>
      <c r="G86" s="142"/>
      <c r="H86" s="199"/>
      <c r="I86" s="142"/>
      <c r="J86" s="199"/>
      <c r="K86" s="142"/>
      <c r="L86" s="199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1"/>
      <c r="G87" s="142"/>
      <c r="H87" s="199"/>
      <c r="I87" s="142"/>
      <c r="J87" s="199"/>
      <c r="K87" s="142"/>
      <c r="L87" s="199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2"/>
      <c r="G88" s="153"/>
      <c r="H88" s="200"/>
      <c r="I88" s="153"/>
      <c r="J88" s="200"/>
      <c r="K88" s="153"/>
      <c r="L88" s="200"/>
    </row>
  </sheetData>
  <sheetProtection algorithmName="SHA-512" hashValue="uGjMzID4tdUajvJvoGrcEHHk/LcLQnb7KniRQ3aB92+3rGOPKvW359EbXKP7WG2S+ywveGm/JLwJOQB82i2gFQ==" saltValue="UuaFAdApoBRXQwPsLmg+8g==" spinCount="100000" sheet="1" objects="1" scenarios="1"/>
  <mergeCells count="99">
    <mergeCell ref="K13:K18"/>
    <mergeCell ref="L13:L18"/>
    <mergeCell ref="F12:L12"/>
    <mergeCell ref="F19:L19"/>
    <mergeCell ref="F13:F18"/>
    <mergeCell ref="G13:G18"/>
    <mergeCell ref="H13:H18"/>
    <mergeCell ref="I13:I18"/>
    <mergeCell ref="J13:J18"/>
    <mergeCell ref="F68:L68"/>
    <mergeCell ref="F34:F39"/>
    <mergeCell ref="G34:G39"/>
    <mergeCell ref="H34:H39"/>
    <mergeCell ref="I34:I39"/>
    <mergeCell ref="J34:J39"/>
    <mergeCell ref="L41:L46"/>
    <mergeCell ref="F48:F53"/>
    <mergeCell ref="G48:G53"/>
    <mergeCell ref="H48:H53"/>
    <mergeCell ref="K34:K39"/>
    <mergeCell ref="L34:L39"/>
    <mergeCell ref="F62:F67"/>
    <mergeCell ref="G62:G67"/>
    <mergeCell ref="H62:H67"/>
    <mergeCell ref="I62:I67"/>
    <mergeCell ref="F33:L33"/>
    <mergeCell ref="F40:L40"/>
    <mergeCell ref="F47:L47"/>
    <mergeCell ref="F54:L54"/>
    <mergeCell ref="F61:L61"/>
    <mergeCell ref="J48:J53"/>
    <mergeCell ref="K48:K53"/>
    <mergeCell ref="L48:L53"/>
    <mergeCell ref="G41:G46"/>
    <mergeCell ref="H41:H46"/>
    <mergeCell ref="I41:I46"/>
    <mergeCell ref="J41:J46"/>
    <mergeCell ref="K41:K46"/>
    <mergeCell ref="F41:F46"/>
    <mergeCell ref="K55:K60"/>
    <mergeCell ref="L55:L60"/>
    <mergeCell ref="A1:H1"/>
    <mergeCell ref="F6:F11"/>
    <mergeCell ref="G6:G11"/>
    <mergeCell ref="H6:H11"/>
    <mergeCell ref="I6:I11"/>
    <mergeCell ref="F2:L2"/>
    <mergeCell ref="F5:L5"/>
    <mergeCell ref="J6:J11"/>
    <mergeCell ref="K6:K11"/>
    <mergeCell ref="L6:L11"/>
    <mergeCell ref="F4:L4"/>
    <mergeCell ref="I27:I32"/>
    <mergeCell ref="J27:J32"/>
    <mergeCell ref="K27:K32"/>
    <mergeCell ref="L27:L32"/>
    <mergeCell ref="F20:F25"/>
    <mergeCell ref="G20:G25"/>
    <mergeCell ref="H20:H25"/>
    <mergeCell ref="I20:I25"/>
    <mergeCell ref="J20:J25"/>
    <mergeCell ref="F26:L26"/>
    <mergeCell ref="K20:K25"/>
    <mergeCell ref="L20:L25"/>
    <mergeCell ref="F27:F32"/>
    <mergeCell ref="G27:G32"/>
    <mergeCell ref="H27:H32"/>
    <mergeCell ref="J62:J67"/>
    <mergeCell ref="K62:K67"/>
    <mergeCell ref="L62:L67"/>
    <mergeCell ref="F55:F60"/>
    <mergeCell ref="G55:G60"/>
    <mergeCell ref="H55:H60"/>
    <mergeCell ref="I55:I60"/>
    <mergeCell ref="J55:J60"/>
    <mergeCell ref="I48:I53"/>
    <mergeCell ref="F69:F74"/>
    <mergeCell ref="F76:F81"/>
    <mergeCell ref="F83:F88"/>
    <mergeCell ref="G69:G74"/>
    <mergeCell ref="G76:G81"/>
    <mergeCell ref="G83:G88"/>
    <mergeCell ref="F82:L82"/>
    <mergeCell ref="H69:H74"/>
    <mergeCell ref="H76:H81"/>
    <mergeCell ref="H83:H88"/>
    <mergeCell ref="I76:I81"/>
    <mergeCell ref="I83:I88"/>
    <mergeCell ref="I69:I74"/>
    <mergeCell ref="J69:J74"/>
    <mergeCell ref="J76:J81"/>
    <mergeCell ref="J83:J88"/>
    <mergeCell ref="K69:K74"/>
    <mergeCell ref="L69:L74"/>
    <mergeCell ref="K76:K81"/>
    <mergeCell ref="L76:L81"/>
    <mergeCell ref="K83:K88"/>
    <mergeCell ref="L83:L88"/>
    <mergeCell ref="F75:L75"/>
  </mergeCells>
  <conditionalFormatting sqref="A6:E11 A13:E18 A20:E25 A27:E32 A34:E39 A41:E46 A48:E53 A55:E60 A62:E67 A69:E74 A76:E81 A83:E88">
    <cfRule type="expression" dxfId="210" priority="3">
      <formula>$D6="N"</formula>
    </cfRule>
    <cfRule type="expression" dxfId="209" priority="4">
      <formula>ISEVEN($A6)</formula>
    </cfRule>
  </conditionalFormatting>
  <conditionalFormatting sqref="B5:B88">
    <cfRule type="cellIs" dxfId="208" priority="1" operator="equal">
      <formula>0</formula>
    </cfRule>
  </conditionalFormatting>
  <conditionalFormatting sqref="E6:E88">
    <cfRule type="cellIs" dxfId="20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A8B89531-A654-4DB0-881F-4901619196F5}">
      <formula1>"N"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E0BA-14E1-42B2-B994-568E5CE7F46E}">
  <dimension ref="A1:L88"/>
  <sheetViews>
    <sheetView workbookViewId="0">
      <pane xSplit="5" ySplit="3" topLeftCell="F89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3" t="str">
        <f>LIDER!B2</f>
        <v>TECNOLOGÍA EN GESTIÓN DE NEGOCIOS INTERN</v>
      </c>
      <c r="B1" s="144"/>
      <c r="C1" s="144"/>
      <c r="D1" s="144"/>
      <c r="E1" s="144"/>
      <c r="F1" s="144"/>
      <c r="G1" s="144"/>
      <c r="H1" s="145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LIDER!D4</f>
        <v>SEMINARIO INVESTIGATIVO</v>
      </c>
      <c r="C2" s="82"/>
      <c r="D2" s="3"/>
      <c r="F2" s="203" t="s">
        <v>92</v>
      </c>
      <c r="G2" s="204"/>
      <c r="H2" s="204"/>
      <c r="I2" s="204"/>
      <c r="J2" s="204"/>
      <c r="K2" s="204"/>
      <c r="L2" s="205"/>
    </row>
    <row r="3" spans="1:12" s="2" customFormat="1" ht="145.5" customHeight="1">
      <c r="B3" s="83" t="s">
        <v>93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6" t="str">
        <f>CONCATENATE(LIDER!D4," - ",LIDER!D6," - ",LIDER!D5)</f>
        <v>SEMINARIO INVESTIGATIVO - 2049 - MARELYS MULFORD HOYOS</v>
      </c>
      <c r="G4" s="206"/>
      <c r="H4" s="206"/>
      <c r="I4" s="206"/>
      <c r="J4" s="206"/>
      <c r="K4" s="206"/>
      <c r="L4" s="206"/>
    </row>
    <row r="5" spans="1:12" s="2" customFormat="1" ht="15.75" customHeight="1" thickBot="1">
      <c r="A5" s="8"/>
      <c r="B5" s="25" t="s">
        <v>70</v>
      </c>
      <c r="C5" s="88" t="s">
        <v>94</v>
      </c>
      <c r="D5" s="32" t="s">
        <v>95</v>
      </c>
      <c r="E5" s="89" t="s">
        <v>96</v>
      </c>
      <c r="F5" s="146" t="str">
        <f>LIDER!$E$29</f>
        <v>GRUPO#1</v>
      </c>
      <c r="G5" s="146"/>
      <c r="H5" s="146"/>
      <c r="I5" s="146"/>
      <c r="J5" s="146"/>
      <c r="K5" s="146"/>
      <c r="L5" s="146"/>
    </row>
    <row r="6" spans="1:12" s="2" customFormat="1" ht="12.75">
      <c r="A6" s="9">
        <v>1</v>
      </c>
      <c r="B6" s="10">
        <f>LIDER!E43</f>
        <v>0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201">
        <v>4</v>
      </c>
      <c r="G6" s="142">
        <v>4</v>
      </c>
      <c r="H6" s="199">
        <v>4</v>
      </c>
      <c r="I6" s="142">
        <v>4</v>
      </c>
      <c r="J6" s="199">
        <v>5</v>
      </c>
      <c r="K6" s="142"/>
      <c r="L6" s="199"/>
    </row>
    <row r="7" spans="1:12" s="2" customFormat="1" ht="15" customHeight="1">
      <c r="A7" s="12">
        <v>2</v>
      </c>
      <c r="B7" s="10" t="str">
        <f>LIDER!E44</f>
        <v>Valentina Castro Ibarra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4.0999999999999996</v>
      </c>
      <c r="F7" s="201"/>
      <c r="G7" s="142"/>
      <c r="H7" s="199"/>
      <c r="I7" s="142"/>
      <c r="J7" s="199"/>
      <c r="K7" s="142"/>
      <c r="L7" s="199"/>
    </row>
    <row r="8" spans="1:12" s="2" customFormat="1" ht="15" customHeight="1">
      <c r="A8" s="12">
        <v>3</v>
      </c>
      <c r="B8" s="10" t="str">
        <f>LIDER!E45</f>
        <v>Carmen Manuek Cruzate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4.0999999999999996</v>
      </c>
      <c r="F8" s="201"/>
      <c r="G8" s="142"/>
      <c r="H8" s="199"/>
      <c r="I8" s="142"/>
      <c r="J8" s="199"/>
      <c r="K8" s="142"/>
      <c r="L8" s="199"/>
    </row>
    <row r="9" spans="1:12" s="2" customFormat="1" ht="15" customHeight="1">
      <c r="A9" s="12">
        <v>4</v>
      </c>
      <c r="B9" s="10" t="str">
        <f>LIDER!E46</f>
        <v>Yulieth Martinez Carrasquilla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4.0999999999999996</v>
      </c>
      <c r="F9" s="201"/>
      <c r="G9" s="142"/>
      <c r="H9" s="199"/>
      <c r="I9" s="142"/>
      <c r="J9" s="199"/>
      <c r="K9" s="142"/>
      <c r="L9" s="199"/>
    </row>
    <row r="10" spans="1:12" s="2" customFormat="1" ht="15" customHeight="1">
      <c r="A10" s="12">
        <v>5</v>
      </c>
      <c r="B10" s="10" t="str">
        <f>LIDER!E47</f>
        <v>Angello Ortega Mesino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4.0999999999999996</v>
      </c>
      <c r="F10" s="201"/>
      <c r="G10" s="142"/>
      <c r="H10" s="199"/>
      <c r="I10" s="142"/>
      <c r="J10" s="199"/>
      <c r="K10" s="142"/>
      <c r="L10" s="199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1"/>
      <c r="G11" s="142"/>
      <c r="H11" s="199"/>
      <c r="I11" s="142"/>
      <c r="J11" s="199"/>
      <c r="K11" s="142"/>
      <c r="L11" s="199"/>
    </row>
    <row r="12" spans="1:12" s="2" customFormat="1" ht="15.75" customHeight="1" thickBot="1">
      <c r="A12" s="8"/>
      <c r="B12" s="25" t="s">
        <v>72</v>
      </c>
      <c r="C12" s="88" t="s">
        <v>97</v>
      </c>
      <c r="D12" s="32" t="str">
        <f>D5</f>
        <v>LIST</v>
      </c>
      <c r="E12" s="89" t="s">
        <v>96</v>
      </c>
      <c r="F12" s="146" t="str">
        <f>LIDER!$E$30</f>
        <v>GRUPO#2</v>
      </c>
      <c r="G12" s="146"/>
      <c r="H12" s="146"/>
      <c r="I12" s="146"/>
      <c r="J12" s="146"/>
      <c r="K12" s="146"/>
      <c r="L12" s="146"/>
    </row>
    <row r="13" spans="1:12" s="2" customFormat="1" ht="12.75">
      <c r="A13" s="9">
        <v>1</v>
      </c>
      <c r="B13" s="10" t="str">
        <f>LIDER!F43</f>
        <v>Cesar Pajaro Ramos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4.46</v>
      </c>
      <c r="F13" s="201">
        <v>4.4000000000000004</v>
      </c>
      <c r="G13" s="142">
        <v>4.4000000000000004</v>
      </c>
      <c r="H13" s="199">
        <v>4.4000000000000004</v>
      </c>
      <c r="I13" s="142">
        <v>4.4000000000000004</v>
      </c>
      <c r="J13" s="199">
        <v>5</v>
      </c>
      <c r="K13" s="142"/>
      <c r="L13" s="199"/>
    </row>
    <row r="14" spans="1:12" s="2" customFormat="1" ht="15" customHeight="1">
      <c r="A14" s="12">
        <v>2</v>
      </c>
      <c r="B14" s="10" t="str">
        <f>LIDER!F44</f>
        <v>Elian Polo Soto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4.46</v>
      </c>
      <c r="F14" s="201"/>
      <c r="G14" s="142"/>
      <c r="H14" s="199"/>
      <c r="I14" s="142"/>
      <c r="J14" s="199"/>
      <c r="K14" s="142"/>
      <c r="L14" s="199"/>
    </row>
    <row r="15" spans="1:12" s="2" customFormat="1" ht="15" customHeight="1">
      <c r="A15" s="12">
        <v>3</v>
      </c>
      <c r="B15" s="10" t="str">
        <f>LIDER!F45</f>
        <v>Juan C Corrales de la Rosa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4.46</v>
      </c>
      <c r="F15" s="201"/>
      <c r="G15" s="142"/>
      <c r="H15" s="199"/>
      <c r="I15" s="142"/>
      <c r="J15" s="199"/>
      <c r="K15" s="142"/>
      <c r="L15" s="199"/>
    </row>
    <row r="16" spans="1:12" s="2" customFormat="1" ht="15" customHeight="1">
      <c r="A16" s="12">
        <v>4</v>
      </c>
      <c r="B16" s="10" t="str">
        <f>LIDER!F46</f>
        <v>Katerin Silva Peñate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4.46</v>
      </c>
      <c r="F16" s="201"/>
      <c r="G16" s="142"/>
      <c r="H16" s="199"/>
      <c r="I16" s="142"/>
      <c r="J16" s="199"/>
      <c r="K16" s="142"/>
      <c r="L16" s="199"/>
    </row>
    <row r="17" spans="1:12" s="2" customFormat="1" ht="15" customHeight="1">
      <c r="A17" s="12">
        <v>5</v>
      </c>
      <c r="B17" s="10" t="str">
        <f>LIDER!F47</f>
        <v>Yorcelis Mercado Guerra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4.46</v>
      </c>
      <c r="F17" s="201"/>
      <c r="G17" s="142"/>
      <c r="H17" s="199"/>
      <c r="I17" s="142"/>
      <c r="J17" s="199"/>
      <c r="K17" s="142"/>
      <c r="L17" s="199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1"/>
      <c r="G18" s="142"/>
      <c r="H18" s="199"/>
      <c r="I18" s="142"/>
      <c r="J18" s="199"/>
      <c r="K18" s="142"/>
      <c r="L18" s="199"/>
    </row>
    <row r="19" spans="1:12" s="2" customFormat="1" ht="15.75" customHeight="1">
      <c r="A19" s="14"/>
      <c r="B19" s="25" t="s">
        <v>74</v>
      </c>
      <c r="C19" s="88" t="s">
        <v>98</v>
      </c>
      <c r="D19" s="32" t="str">
        <f>D12</f>
        <v>LIST</v>
      </c>
      <c r="E19" s="89" t="s">
        <v>96</v>
      </c>
      <c r="F19" s="146" t="str">
        <f>LIDER!$E$31</f>
        <v>GRUPO#3</v>
      </c>
      <c r="G19" s="146"/>
      <c r="H19" s="146"/>
      <c r="I19" s="146"/>
      <c r="J19" s="146"/>
      <c r="K19" s="146"/>
      <c r="L19" s="146"/>
    </row>
    <row r="20" spans="1:12" s="2" customFormat="1" ht="12.75">
      <c r="A20" s="9">
        <v>1</v>
      </c>
      <c r="B20" s="10" t="str">
        <f>LIDER!G43</f>
        <v>Lauren castilla Gonzalez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4.4000000000000004</v>
      </c>
      <c r="F20" s="201">
        <v>4.3</v>
      </c>
      <c r="G20" s="142">
        <v>4.3</v>
      </c>
      <c r="H20" s="199">
        <v>4.4000000000000004</v>
      </c>
      <c r="I20" s="142">
        <v>4.3</v>
      </c>
      <c r="J20" s="199">
        <v>5</v>
      </c>
      <c r="K20" s="142"/>
      <c r="L20" s="199"/>
    </row>
    <row r="21" spans="1:12" s="2" customFormat="1" ht="15" customHeight="1">
      <c r="A21" s="12">
        <v>2</v>
      </c>
      <c r="B21" s="10" t="str">
        <f>LIDER!G44</f>
        <v>Duvan Cespedes perez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4.4000000000000004</v>
      </c>
      <c r="F21" s="201"/>
      <c r="G21" s="142"/>
      <c r="H21" s="199"/>
      <c r="I21" s="142"/>
      <c r="J21" s="199"/>
      <c r="K21" s="142"/>
      <c r="L21" s="199"/>
    </row>
    <row r="22" spans="1:12" s="2" customFormat="1" ht="15" customHeight="1">
      <c r="A22" s="12">
        <v>3</v>
      </c>
      <c r="B22" s="10" t="str">
        <f>LIDER!G45</f>
        <v>Isaac Faciolince Bustos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4.4000000000000004</v>
      </c>
      <c r="F22" s="201"/>
      <c r="G22" s="142"/>
      <c r="H22" s="199"/>
      <c r="I22" s="142"/>
      <c r="J22" s="199"/>
      <c r="K22" s="142"/>
      <c r="L22" s="199"/>
    </row>
    <row r="23" spans="1:12" s="2" customFormat="1" ht="15" customHeight="1">
      <c r="A23" s="12">
        <v>4</v>
      </c>
      <c r="B23" s="10" t="str">
        <f>LIDER!G46</f>
        <v>Jesus Lopez Morales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4.4000000000000004</v>
      </c>
      <c r="F23" s="201"/>
      <c r="G23" s="142"/>
      <c r="H23" s="199"/>
      <c r="I23" s="142"/>
      <c r="J23" s="199"/>
      <c r="K23" s="142"/>
      <c r="L23" s="199"/>
    </row>
    <row r="24" spans="1:12" s="2" customFormat="1" ht="15" customHeight="1">
      <c r="A24" s="12">
        <v>5</v>
      </c>
      <c r="B24" s="10" t="str">
        <f>LIDER!G47</f>
        <v>Dakar Moarles Paternina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4.4000000000000004</v>
      </c>
      <c r="F24" s="201"/>
      <c r="G24" s="142"/>
      <c r="H24" s="199"/>
      <c r="I24" s="142"/>
      <c r="J24" s="199"/>
      <c r="K24" s="142"/>
      <c r="L24" s="199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1"/>
      <c r="G25" s="142"/>
      <c r="H25" s="199"/>
      <c r="I25" s="142"/>
      <c r="J25" s="199"/>
      <c r="K25" s="142"/>
      <c r="L25" s="199"/>
    </row>
    <row r="26" spans="1:12" s="2" customFormat="1" ht="15.75" customHeight="1">
      <c r="A26" s="14"/>
      <c r="B26" s="25" t="s">
        <v>76</v>
      </c>
      <c r="C26" s="88" t="s">
        <v>99</v>
      </c>
      <c r="D26" s="32" t="str">
        <f>D19</f>
        <v>LIST</v>
      </c>
      <c r="E26" s="89" t="s">
        <v>96</v>
      </c>
      <c r="F26" s="146" t="str">
        <f>LIDER!$E$32</f>
        <v>GRUPO#4</v>
      </c>
      <c r="G26" s="146"/>
      <c r="H26" s="146"/>
      <c r="I26" s="146"/>
      <c r="J26" s="146"/>
      <c r="K26" s="146"/>
      <c r="L26" s="146"/>
    </row>
    <row r="27" spans="1:12" s="2" customFormat="1" ht="12.75">
      <c r="A27" s="9">
        <v>1</v>
      </c>
      <c r="B27" s="10" t="str">
        <f>LIDER!H43</f>
        <v>Ian Yoraco Berrio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3.47</v>
      </c>
      <c r="F27" s="201">
        <v>3.3</v>
      </c>
      <c r="G27" s="142">
        <v>3.3</v>
      </c>
      <c r="H27" s="199">
        <v>3.3</v>
      </c>
      <c r="I27" s="142">
        <v>3.3</v>
      </c>
      <c r="J27" s="199">
        <v>5</v>
      </c>
      <c r="K27" s="142">
        <v>3.3</v>
      </c>
      <c r="L27" s="199"/>
    </row>
    <row r="28" spans="1:12" s="2" customFormat="1" ht="15" customHeight="1">
      <c r="A28" s="12">
        <v>2</v>
      </c>
      <c r="B28" s="10" t="str">
        <f>LIDER!H44</f>
        <v>Nataly Castro Jimenez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3.47</v>
      </c>
      <c r="F28" s="201"/>
      <c r="G28" s="142"/>
      <c r="H28" s="199"/>
      <c r="I28" s="142"/>
      <c r="J28" s="199"/>
      <c r="K28" s="142"/>
      <c r="L28" s="199"/>
    </row>
    <row r="29" spans="1:12" s="2" customFormat="1" ht="15" customHeight="1">
      <c r="A29" s="12">
        <v>3</v>
      </c>
      <c r="B29" s="10" t="str">
        <f>LIDER!H45</f>
        <v>Oscar Lorduy Neira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3.47</v>
      </c>
      <c r="F29" s="201"/>
      <c r="G29" s="142"/>
      <c r="H29" s="199"/>
      <c r="I29" s="142"/>
      <c r="J29" s="199"/>
      <c r="K29" s="142"/>
      <c r="L29" s="199"/>
    </row>
    <row r="30" spans="1:12" s="2" customFormat="1" ht="15" customHeight="1">
      <c r="A30" s="12">
        <v>4</v>
      </c>
      <c r="B30" s="10" t="str">
        <f>LIDER!H46</f>
        <v>Carlos Orozco Valdes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3.47</v>
      </c>
      <c r="F30" s="201"/>
      <c r="G30" s="142"/>
      <c r="H30" s="199"/>
      <c r="I30" s="142"/>
      <c r="J30" s="199"/>
      <c r="K30" s="142"/>
      <c r="L30" s="199"/>
    </row>
    <row r="31" spans="1:12" s="2" customFormat="1" ht="15" customHeight="1">
      <c r="A31" s="12">
        <v>5</v>
      </c>
      <c r="B31" s="10" t="str">
        <f>LIDER!H47</f>
        <v>Sandri Valdez Sepulveda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3.47</v>
      </c>
      <c r="F31" s="201"/>
      <c r="G31" s="142"/>
      <c r="H31" s="199"/>
      <c r="I31" s="142"/>
      <c r="J31" s="199"/>
      <c r="K31" s="142"/>
      <c r="L31" s="199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1"/>
      <c r="G32" s="142"/>
      <c r="H32" s="199"/>
      <c r="I32" s="142"/>
      <c r="J32" s="199"/>
      <c r="K32" s="142"/>
      <c r="L32" s="199"/>
    </row>
    <row r="33" spans="1:12" s="2" customFormat="1" ht="15.75" customHeight="1">
      <c r="A33" s="14"/>
      <c r="B33" s="25" t="s">
        <v>78</v>
      </c>
      <c r="C33" s="88" t="s">
        <v>100</v>
      </c>
      <c r="D33" s="32" t="str">
        <f>D26</f>
        <v>LIST</v>
      </c>
      <c r="E33" s="89" t="s">
        <v>96</v>
      </c>
      <c r="F33" s="146" t="str">
        <f>LIDER!$E$33</f>
        <v>GRUPO#5</v>
      </c>
      <c r="G33" s="146"/>
      <c r="H33" s="146"/>
      <c r="I33" s="146"/>
      <c r="J33" s="146"/>
      <c r="K33" s="146"/>
      <c r="L33" s="146"/>
    </row>
    <row r="34" spans="1:12" s="2" customFormat="1" ht="12.75">
      <c r="A34" s="9">
        <v>1</v>
      </c>
      <c r="B34" s="10" t="str">
        <f>LIDER!E51</f>
        <v>Adrian Marriaga Muñoz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3.16</v>
      </c>
      <c r="F34" s="201"/>
      <c r="G34" s="142">
        <v>3.8</v>
      </c>
      <c r="H34" s="199">
        <v>3.8</v>
      </c>
      <c r="I34" s="142">
        <v>3.8</v>
      </c>
      <c r="J34" s="199">
        <v>5</v>
      </c>
      <c r="K34" s="142"/>
      <c r="L34" s="199"/>
    </row>
    <row r="35" spans="1:12" s="2" customFormat="1" ht="15" customHeight="1">
      <c r="A35" s="12">
        <v>2</v>
      </c>
      <c r="B35" s="10" t="str">
        <f>LIDER!E52</f>
        <v>Kristin Perez martinez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3.16</v>
      </c>
      <c r="F35" s="201"/>
      <c r="G35" s="142"/>
      <c r="H35" s="199"/>
      <c r="I35" s="142"/>
      <c r="J35" s="199"/>
      <c r="K35" s="142"/>
      <c r="L35" s="199"/>
    </row>
    <row r="36" spans="1:12" s="2" customFormat="1" ht="15" customHeight="1">
      <c r="A36" s="12">
        <v>3</v>
      </c>
      <c r="B36" s="10" t="str">
        <f>LIDER!E53</f>
        <v>Nina Aguilar Sarabia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3.16</v>
      </c>
      <c r="F36" s="201"/>
      <c r="G36" s="142"/>
      <c r="H36" s="199"/>
      <c r="I36" s="142"/>
      <c r="J36" s="199"/>
      <c r="K36" s="142"/>
      <c r="L36" s="199"/>
    </row>
    <row r="37" spans="1:12" s="2" customFormat="1" ht="15" customHeight="1">
      <c r="A37" s="12">
        <v>4</v>
      </c>
      <c r="B37" s="10" t="str">
        <f>LIDER!E54</f>
        <v>Theres Theran caicedo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3.16</v>
      </c>
      <c r="F37" s="201"/>
      <c r="G37" s="142"/>
      <c r="H37" s="199"/>
      <c r="I37" s="142"/>
      <c r="J37" s="199"/>
      <c r="K37" s="142"/>
      <c r="L37" s="199"/>
    </row>
    <row r="38" spans="1:12" s="2" customFormat="1" ht="15" customHeight="1">
      <c r="A38" s="12">
        <v>5</v>
      </c>
      <c r="B38" s="10" t="str">
        <f>LIDER!E55</f>
        <v>Diego Cardona Bolaño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3.16</v>
      </c>
      <c r="F38" s="201"/>
      <c r="G38" s="142"/>
      <c r="H38" s="199"/>
      <c r="I38" s="142"/>
      <c r="J38" s="199"/>
      <c r="K38" s="142"/>
      <c r="L38" s="199"/>
    </row>
    <row r="39" spans="1:12" s="2" customFormat="1" ht="15.75" customHeight="1">
      <c r="A39" s="13">
        <v>6</v>
      </c>
      <c r="B39" s="91" t="str">
        <f>LIDER!E56</f>
        <v>Jhamer Luis Maza Ramos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3.16</v>
      </c>
      <c r="F39" s="201"/>
      <c r="G39" s="142"/>
      <c r="H39" s="199"/>
      <c r="I39" s="142"/>
      <c r="J39" s="199"/>
      <c r="K39" s="142"/>
      <c r="L39" s="199"/>
    </row>
    <row r="40" spans="1:12" s="2" customFormat="1" ht="15.75" customHeight="1">
      <c r="A40" s="14"/>
      <c r="B40" s="25" t="s">
        <v>80</v>
      </c>
      <c r="C40" s="88" t="s">
        <v>101</v>
      </c>
      <c r="D40" s="32" t="str">
        <f>D33</f>
        <v>LIST</v>
      </c>
      <c r="E40" s="89" t="s">
        <v>96</v>
      </c>
      <c r="F40" s="146" t="str">
        <f>LIDER!$E$34</f>
        <v>GRUPO#6</v>
      </c>
      <c r="G40" s="146"/>
      <c r="H40" s="146"/>
      <c r="I40" s="146"/>
      <c r="J40" s="146"/>
      <c r="K40" s="146"/>
      <c r="L40" s="146"/>
    </row>
    <row r="41" spans="1:12" s="2" customFormat="1" ht="12.75">
      <c r="A41" s="9">
        <v>1</v>
      </c>
      <c r="B41" s="10" t="str">
        <f>LIDER!F51</f>
        <v>Yureidy Alarez Castellano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1"/>
      <c r="G41" s="142"/>
      <c r="H41" s="199"/>
      <c r="I41" s="142"/>
      <c r="J41" s="199"/>
      <c r="K41" s="142"/>
      <c r="L41" s="199"/>
    </row>
    <row r="42" spans="1:12" s="2" customFormat="1" ht="15" customHeight="1">
      <c r="A42" s="12">
        <v>2</v>
      </c>
      <c r="B42" s="10" t="str">
        <f>LIDER!F52</f>
        <v>Juan C Baldiris Espitia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1"/>
      <c r="G42" s="142"/>
      <c r="H42" s="199"/>
      <c r="I42" s="142"/>
      <c r="J42" s="199"/>
      <c r="K42" s="142"/>
      <c r="L42" s="199"/>
    </row>
    <row r="43" spans="1:12" s="2" customFormat="1" ht="15" customHeight="1">
      <c r="A43" s="12">
        <v>3</v>
      </c>
      <c r="B43" s="10" t="str">
        <f>LIDER!F53</f>
        <v>Andres F Torres Arroyo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1"/>
      <c r="G43" s="142"/>
      <c r="H43" s="199"/>
      <c r="I43" s="142"/>
      <c r="J43" s="199"/>
      <c r="K43" s="142"/>
      <c r="L43" s="199"/>
    </row>
    <row r="44" spans="1:12" s="2" customFormat="1" ht="15" customHeight="1">
      <c r="A44" s="12">
        <v>4</v>
      </c>
      <c r="B44" s="10" t="str">
        <f>LIDER!F54</f>
        <v>Sherlyn Villegas Maza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1"/>
      <c r="G44" s="142"/>
      <c r="H44" s="199"/>
      <c r="I44" s="142"/>
      <c r="J44" s="199"/>
      <c r="K44" s="142"/>
      <c r="L44" s="199"/>
    </row>
    <row r="45" spans="1:12" s="2" customFormat="1" ht="15" customHeight="1">
      <c r="A45" s="12">
        <v>5</v>
      </c>
      <c r="B45" s="10" t="str">
        <f>LIDER!F55</f>
        <v>Isaac Zapata Zapata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1"/>
      <c r="G45" s="142"/>
      <c r="H45" s="199"/>
      <c r="I45" s="142"/>
      <c r="J45" s="199"/>
      <c r="K45" s="142"/>
      <c r="L45" s="199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1"/>
      <c r="G46" s="142"/>
      <c r="H46" s="199"/>
      <c r="I46" s="142"/>
      <c r="J46" s="199"/>
      <c r="K46" s="142"/>
      <c r="L46" s="199"/>
    </row>
    <row r="47" spans="1:12" s="2" customFormat="1" ht="15.75" customHeight="1">
      <c r="A47" s="14"/>
      <c r="B47" s="25" t="s">
        <v>82</v>
      </c>
      <c r="C47" s="88" t="s">
        <v>102</v>
      </c>
      <c r="D47" s="32" t="str">
        <f>D40</f>
        <v>LIST</v>
      </c>
      <c r="E47" s="89" t="s">
        <v>96</v>
      </c>
      <c r="F47" s="146" t="str">
        <f>LIDER!$E$35</f>
        <v>GRUPO#7</v>
      </c>
      <c r="G47" s="146"/>
      <c r="H47" s="146"/>
      <c r="I47" s="146"/>
      <c r="J47" s="146"/>
      <c r="K47" s="146"/>
      <c r="L47" s="146"/>
    </row>
    <row r="48" spans="1:12" s="2" customFormat="1" ht="12.75">
      <c r="A48" s="9">
        <v>1</v>
      </c>
      <c r="B48" s="10" t="str">
        <f>LIDER!G51</f>
        <v>Valeria Balesteros Almentero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1"/>
      <c r="G48" s="142"/>
      <c r="H48" s="199"/>
      <c r="I48" s="142"/>
      <c r="J48" s="199"/>
      <c r="K48" s="142"/>
      <c r="L48" s="199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1"/>
      <c r="G49" s="142"/>
      <c r="H49" s="199"/>
      <c r="I49" s="142"/>
      <c r="J49" s="199"/>
      <c r="K49" s="142"/>
      <c r="L49" s="199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1"/>
      <c r="G50" s="142"/>
      <c r="H50" s="199"/>
      <c r="I50" s="142"/>
      <c r="J50" s="199"/>
      <c r="K50" s="142"/>
      <c r="L50" s="199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1"/>
      <c r="G51" s="142"/>
      <c r="H51" s="199"/>
      <c r="I51" s="142"/>
      <c r="J51" s="199"/>
      <c r="K51" s="142"/>
      <c r="L51" s="199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1"/>
      <c r="G52" s="142"/>
      <c r="H52" s="199"/>
      <c r="I52" s="142"/>
      <c r="J52" s="199"/>
      <c r="K52" s="142"/>
      <c r="L52" s="199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1"/>
      <c r="G53" s="142"/>
      <c r="H53" s="199"/>
      <c r="I53" s="142"/>
      <c r="J53" s="199"/>
      <c r="K53" s="142"/>
      <c r="L53" s="199"/>
    </row>
    <row r="54" spans="1:12" s="2" customFormat="1" ht="15.75" customHeight="1">
      <c r="A54" s="14"/>
      <c r="B54" s="25" t="s">
        <v>84</v>
      </c>
      <c r="C54" s="88" t="s">
        <v>103</v>
      </c>
      <c r="D54" s="32" t="str">
        <f>D47</f>
        <v>LIST</v>
      </c>
      <c r="E54" s="89" t="s">
        <v>96</v>
      </c>
      <c r="F54" s="146" t="str">
        <f>LIDER!$E$36</f>
        <v>GRUPO#8</v>
      </c>
      <c r="G54" s="146"/>
      <c r="H54" s="146"/>
      <c r="I54" s="146"/>
      <c r="J54" s="146"/>
      <c r="K54" s="146"/>
      <c r="L54" s="146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1"/>
      <c r="G55" s="142"/>
      <c r="H55" s="199"/>
      <c r="I55" s="142"/>
      <c r="J55" s="199"/>
      <c r="K55" s="142"/>
      <c r="L55" s="199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1"/>
      <c r="G56" s="142"/>
      <c r="H56" s="199"/>
      <c r="I56" s="142"/>
      <c r="J56" s="199"/>
      <c r="K56" s="142"/>
      <c r="L56" s="199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1"/>
      <c r="G57" s="142"/>
      <c r="H57" s="199"/>
      <c r="I57" s="142"/>
      <c r="J57" s="199"/>
      <c r="K57" s="142"/>
      <c r="L57" s="199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1"/>
      <c r="G58" s="142"/>
      <c r="H58" s="199"/>
      <c r="I58" s="142"/>
      <c r="J58" s="199"/>
      <c r="K58" s="142"/>
      <c r="L58" s="199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1"/>
      <c r="G59" s="142"/>
      <c r="H59" s="199"/>
      <c r="I59" s="142"/>
      <c r="J59" s="199"/>
      <c r="K59" s="142"/>
      <c r="L59" s="199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1"/>
      <c r="G60" s="142"/>
      <c r="H60" s="199"/>
      <c r="I60" s="142"/>
      <c r="J60" s="199"/>
      <c r="K60" s="142"/>
      <c r="L60" s="199"/>
    </row>
    <row r="61" spans="1:12" s="2" customFormat="1" ht="15.75" customHeight="1">
      <c r="A61" s="14"/>
      <c r="B61" s="25" t="s">
        <v>86</v>
      </c>
      <c r="C61" s="88" t="s">
        <v>104</v>
      </c>
      <c r="D61" s="32" t="str">
        <f>D54</f>
        <v>LIST</v>
      </c>
      <c r="E61" s="89" t="s">
        <v>96</v>
      </c>
      <c r="F61" s="146" t="str">
        <f>LIDER!$E$37</f>
        <v>GRUPO#9</v>
      </c>
      <c r="G61" s="146"/>
      <c r="H61" s="146"/>
      <c r="I61" s="146"/>
      <c r="J61" s="146"/>
      <c r="K61" s="146"/>
      <c r="L61" s="146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1"/>
      <c r="G62" s="142"/>
      <c r="H62" s="199"/>
      <c r="I62" s="142"/>
      <c r="J62" s="199"/>
      <c r="K62" s="142"/>
      <c r="L62" s="199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1"/>
      <c r="G63" s="142"/>
      <c r="H63" s="199"/>
      <c r="I63" s="142"/>
      <c r="J63" s="199"/>
      <c r="K63" s="142"/>
      <c r="L63" s="199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1"/>
      <c r="G64" s="142"/>
      <c r="H64" s="199"/>
      <c r="I64" s="142"/>
      <c r="J64" s="199"/>
      <c r="K64" s="142"/>
      <c r="L64" s="199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1"/>
      <c r="G65" s="142"/>
      <c r="H65" s="199"/>
      <c r="I65" s="142"/>
      <c r="J65" s="199"/>
      <c r="K65" s="142"/>
      <c r="L65" s="199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1"/>
      <c r="G66" s="142"/>
      <c r="H66" s="199"/>
      <c r="I66" s="142"/>
      <c r="J66" s="199"/>
      <c r="K66" s="142"/>
      <c r="L66" s="199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1"/>
      <c r="G67" s="142"/>
      <c r="H67" s="199"/>
      <c r="I67" s="142"/>
      <c r="J67" s="199"/>
      <c r="K67" s="142"/>
      <c r="L67" s="199"/>
    </row>
    <row r="68" spans="1:12" s="2" customFormat="1" ht="15.75" customHeight="1">
      <c r="A68" s="14"/>
      <c r="B68" s="25" t="s">
        <v>88</v>
      </c>
      <c r="C68" s="88" t="s">
        <v>105</v>
      </c>
      <c r="D68" s="32" t="str">
        <f>D61</f>
        <v>LIST</v>
      </c>
      <c r="E68" s="89" t="s">
        <v>96</v>
      </c>
      <c r="F68" s="146" t="str">
        <f>LIDER!$E$38</f>
        <v>GRUPO#10</v>
      </c>
      <c r="G68" s="146"/>
      <c r="H68" s="146"/>
      <c r="I68" s="146"/>
      <c r="J68" s="146"/>
      <c r="K68" s="146"/>
      <c r="L68" s="146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1"/>
      <c r="G69" s="142"/>
      <c r="H69" s="199"/>
      <c r="I69" s="142"/>
      <c r="J69" s="199"/>
      <c r="K69" s="142"/>
      <c r="L69" s="199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1"/>
      <c r="G70" s="142"/>
      <c r="H70" s="199"/>
      <c r="I70" s="142"/>
      <c r="J70" s="199"/>
      <c r="K70" s="142"/>
      <c r="L70" s="199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1"/>
      <c r="G71" s="142"/>
      <c r="H71" s="199"/>
      <c r="I71" s="142"/>
      <c r="J71" s="199"/>
      <c r="K71" s="142"/>
      <c r="L71" s="199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1"/>
      <c r="G72" s="142"/>
      <c r="H72" s="199"/>
      <c r="I72" s="142"/>
      <c r="J72" s="199"/>
      <c r="K72" s="142"/>
      <c r="L72" s="199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1"/>
      <c r="G73" s="142"/>
      <c r="H73" s="199"/>
      <c r="I73" s="142"/>
      <c r="J73" s="199"/>
      <c r="K73" s="142"/>
      <c r="L73" s="199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1"/>
      <c r="G74" s="142"/>
      <c r="H74" s="199"/>
      <c r="I74" s="142"/>
      <c r="J74" s="199"/>
      <c r="K74" s="142"/>
      <c r="L74" s="199"/>
    </row>
    <row r="75" spans="1:12" s="2" customFormat="1" ht="15.75" customHeight="1">
      <c r="A75" s="14"/>
      <c r="B75" s="25" t="s">
        <v>90</v>
      </c>
      <c r="C75" s="88" t="s">
        <v>106</v>
      </c>
      <c r="D75" s="32" t="str">
        <f>D68</f>
        <v>LIST</v>
      </c>
      <c r="E75" s="89" t="s">
        <v>96</v>
      </c>
      <c r="F75" s="146" t="str">
        <f>LIDER!$E$39</f>
        <v>GRUPO#11</v>
      </c>
      <c r="G75" s="146"/>
      <c r="H75" s="146"/>
      <c r="I75" s="146"/>
      <c r="J75" s="146"/>
      <c r="K75" s="146"/>
      <c r="L75" s="146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1"/>
      <c r="G76" s="142"/>
      <c r="H76" s="199"/>
      <c r="I76" s="142"/>
      <c r="J76" s="199"/>
      <c r="K76" s="142"/>
      <c r="L76" s="199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1"/>
      <c r="G77" s="142"/>
      <c r="H77" s="199"/>
      <c r="I77" s="142"/>
      <c r="J77" s="199"/>
      <c r="K77" s="142"/>
      <c r="L77" s="199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1"/>
      <c r="G78" s="142"/>
      <c r="H78" s="199"/>
      <c r="I78" s="142"/>
      <c r="J78" s="199"/>
      <c r="K78" s="142"/>
      <c r="L78" s="199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1"/>
      <c r="G79" s="142"/>
      <c r="H79" s="199"/>
      <c r="I79" s="142"/>
      <c r="J79" s="199"/>
      <c r="K79" s="142"/>
      <c r="L79" s="199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1"/>
      <c r="G80" s="142"/>
      <c r="H80" s="199"/>
      <c r="I80" s="142"/>
      <c r="J80" s="199"/>
      <c r="K80" s="142"/>
      <c r="L80" s="199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1"/>
      <c r="G81" s="142"/>
      <c r="H81" s="199"/>
      <c r="I81" s="142"/>
      <c r="J81" s="199"/>
      <c r="K81" s="142"/>
      <c r="L81" s="199"/>
    </row>
    <row r="82" spans="1:12" s="2" customFormat="1" ht="15.75" customHeight="1">
      <c r="A82" s="14"/>
      <c r="B82" s="25" t="s">
        <v>91</v>
      </c>
      <c r="C82" s="88" t="s">
        <v>107</v>
      </c>
      <c r="D82" s="32" t="str">
        <f>D75</f>
        <v>LIST</v>
      </c>
      <c r="E82" s="89" t="s">
        <v>96</v>
      </c>
      <c r="F82" s="146" t="str">
        <f>LIDER!$E$40</f>
        <v>GRUPO#12</v>
      </c>
      <c r="G82" s="146"/>
      <c r="H82" s="146"/>
      <c r="I82" s="146"/>
      <c r="J82" s="146"/>
      <c r="K82" s="146"/>
      <c r="L82" s="146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1"/>
      <c r="G83" s="142"/>
      <c r="H83" s="199"/>
      <c r="I83" s="142"/>
      <c r="J83" s="199"/>
      <c r="K83" s="142"/>
      <c r="L83" s="199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1"/>
      <c r="G84" s="142"/>
      <c r="H84" s="199"/>
      <c r="I84" s="142"/>
      <c r="J84" s="199"/>
      <c r="K84" s="142"/>
      <c r="L84" s="199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1"/>
      <c r="G85" s="142"/>
      <c r="H85" s="199"/>
      <c r="I85" s="142"/>
      <c r="J85" s="199"/>
      <c r="K85" s="142"/>
      <c r="L85" s="199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1"/>
      <c r="G86" s="142"/>
      <c r="H86" s="199"/>
      <c r="I86" s="142"/>
      <c r="J86" s="199"/>
      <c r="K86" s="142"/>
      <c r="L86" s="199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1"/>
      <c r="G87" s="142"/>
      <c r="H87" s="199"/>
      <c r="I87" s="142"/>
      <c r="J87" s="199"/>
      <c r="K87" s="142"/>
      <c r="L87" s="199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2"/>
      <c r="G88" s="153"/>
      <c r="H88" s="200"/>
      <c r="I88" s="153"/>
      <c r="J88" s="200"/>
      <c r="K88" s="153"/>
      <c r="L88" s="200"/>
    </row>
  </sheetData>
  <sheetProtection algorithmName="SHA-512" hashValue="kmBcEoVThoij00CsqBKtCvvAo3gU+IEJIAslXtJqbg3eUeWpDNV4QefLpQVer/f1ohlveHwuB2a+dFhnoBjUVg==" saltValue="8aJdS5U92W2jHFWLxzR/v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6" priority="3">
      <formula>$D6="N"</formula>
    </cfRule>
    <cfRule type="expression" dxfId="205" priority="4">
      <formula>ISEVEN($A6)</formula>
    </cfRule>
  </conditionalFormatting>
  <conditionalFormatting sqref="B5:B88">
    <cfRule type="cellIs" dxfId="204" priority="1" operator="equal">
      <formula>0</formula>
    </cfRule>
  </conditionalFormatting>
  <conditionalFormatting sqref="E6:E88">
    <cfRule type="cellIs" dxfId="20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2DBBCCCA-181A-4F8C-AB2D-B723FD257D18}">
      <formula1>"N"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F2BB-6DF1-4F2A-8494-7E575CD567C8}">
  <dimension ref="A1:L88"/>
  <sheetViews>
    <sheetView zoomScale="86" zoomScaleNormal="86" workbookViewId="0">
      <pane xSplit="5" ySplit="3" topLeftCell="F4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3" t="str">
        <f>LIDER!B2</f>
        <v>TECNOLOGÍA EN GESTIÓN DE NEGOCIOS INTERN</v>
      </c>
      <c r="B1" s="144"/>
      <c r="C1" s="144"/>
      <c r="D1" s="144"/>
      <c r="E1" s="144"/>
      <c r="F1" s="144"/>
      <c r="G1" s="144"/>
      <c r="H1" s="145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LIDER!E4</f>
        <v>COSTOS Y PRESUPUESTO</v>
      </c>
      <c r="C2" s="82"/>
      <c r="D2" s="3"/>
      <c r="F2" s="203" t="s">
        <v>92</v>
      </c>
      <c r="G2" s="204"/>
      <c r="H2" s="204"/>
      <c r="I2" s="204"/>
      <c r="J2" s="204"/>
      <c r="K2" s="204"/>
      <c r="L2" s="205"/>
    </row>
    <row r="3" spans="1:12" s="2" customFormat="1" ht="145.5" customHeight="1">
      <c r="B3" s="83" t="s">
        <v>93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6" t="str">
        <f>CONCATENATE(LIDER!E4," - ",LIDER!E6," - ",LIDER!E5)</f>
        <v>COSTOS Y PRESUPUESTO - 2358 - OMAR BLANCO PUELLO</v>
      </c>
      <c r="G4" s="206"/>
      <c r="H4" s="206"/>
      <c r="I4" s="206"/>
      <c r="J4" s="206"/>
      <c r="K4" s="206"/>
      <c r="L4" s="206"/>
    </row>
    <row r="5" spans="1:12" s="2" customFormat="1" ht="15.75" customHeight="1" thickBot="1">
      <c r="A5" s="8"/>
      <c r="B5" s="25" t="s">
        <v>70</v>
      </c>
      <c r="C5" s="88" t="s">
        <v>94</v>
      </c>
      <c r="D5" s="32" t="s">
        <v>95</v>
      </c>
      <c r="E5" s="89" t="s">
        <v>96</v>
      </c>
      <c r="F5" s="146" t="str">
        <f>LIDER!$E$29</f>
        <v>GRUPO#1</v>
      </c>
      <c r="G5" s="146"/>
      <c r="H5" s="146"/>
      <c r="I5" s="146"/>
      <c r="J5" s="146"/>
      <c r="K5" s="146"/>
      <c r="L5" s="146"/>
    </row>
    <row r="6" spans="1:12" s="2" customFormat="1" ht="12.75">
      <c r="A6" s="9">
        <v>1</v>
      </c>
      <c r="B6" s="10">
        <f>LIDER!E43</f>
        <v>0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201">
        <v>3.8</v>
      </c>
      <c r="G6" s="142">
        <v>3.8</v>
      </c>
      <c r="H6" s="199">
        <v>3.8</v>
      </c>
      <c r="I6" s="142">
        <v>3.8</v>
      </c>
      <c r="J6" s="199">
        <v>5</v>
      </c>
      <c r="K6" s="142"/>
      <c r="L6" s="199"/>
    </row>
    <row r="7" spans="1:12" s="2" customFormat="1" ht="15" customHeight="1">
      <c r="A7" s="12">
        <v>2</v>
      </c>
      <c r="B7" s="10" t="str">
        <f>LIDER!E44</f>
        <v>Valentina Castro Ibarra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3.92</v>
      </c>
      <c r="F7" s="201"/>
      <c r="G7" s="142"/>
      <c r="H7" s="199"/>
      <c r="I7" s="142"/>
      <c r="J7" s="199"/>
      <c r="K7" s="142"/>
      <c r="L7" s="199"/>
    </row>
    <row r="8" spans="1:12" s="2" customFormat="1" ht="15" customHeight="1">
      <c r="A8" s="12">
        <v>3</v>
      </c>
      <c r="B8" s="10" t="str">
        <f>LIDER!E45</f>
        <v>Carmen Manuek Cruzate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3.92</v>
      </c>
      <c r="F8" s="201"/>
      <c r="G8" s="142"/>
      <c r="H8" s="199"/>
      <c r="I8" s="142"/>
      <c r="J8" s="199"/>
      <c r="K8" s="142"/>
      <c r="L8" s="199"/>
    </row>
    <row r="9" spans="1:12" s="2" customFormat="1" ht="15" customHeight="1">
      <c r="A9" s="12">
        <v>4</v>
      </c>
      <c r="B9" s="10" t="str">
        <f>LIDER!E46</f>
        <v>Yulieth Martinez Carrasquilla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3.92</v>
      </c>
      <c r="F9" s="201"/>
      <c r="G9" s="142"/>
      <c r="H9" s="199"/>
      <c r="I9" s="142"/>
      <c r="J9" s="199"/>
      <c r="K9" s="142"/>
      <c r="L9" s="199"/>
    </row>
    <row r="10" spans="1:12" s="2" customFormat="1" ht="15" customHeight="1">
      <c r="A10" s="12">
        <v>5</v>
      </c>
      <c r="B10" s="10" t="str">
        <f>LIDER!E47</f>
        <v>Angello Ortega Mesino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3.92</v>
      </c>
      <c r="F10" s="201"/>
      <c r="G10" s="142"/>
      <c r="H10" s="199"/>
      <c r="I10" s="142"/>
      <c r="J10" s="199"/>
      <c r="K10" s="142"/>
      <c r="L10" s="199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1"/>
      <c r="G11" s="142"/>
      <c r="H11" s="199"/>
      <c r="I11" s="142"/>
      <c r="J11" s="199"/>
      <c r="K11" s="142"/>
      <c r="L11" s="199"/>
    </row>
    <row r="12" spans="1:12" s="2" customFormat="1" ht="15.75" customHeight="1" thickBot="1">
      <c r="A12" s="8"/>
      <c r="B12" s="25" t="s">
        <v>72</v>
      </c>
      <c r="C12" s="88" t="s">
        <v>97</v>
      </c>
      <c r="D12" s="32" t="str">
        <f>D5</f>
        <v>LIST</v>
      </c>
      <c r="E12" s="89" t="s">
        <v>96</v>
      </c>
      <c r="F12" s="146" t="str">
        <f>LIDER!$E$30</f>
        <v>GRUPO#2</v>
      </c>
      <c r="G12" s="146"/>
      <c r="H12" s="146"/>
      <c r="I12" s="146"/>
      <c r="J12" s="146"/>
      <c r="K12" s="146"/>
      <c r="L12" s="146"/>
    </row>
    <row r="13" spans="1:12" s="2" customFormat="1" ht="12.75">
      <c r="A13" s="9">
        <v>1</v>
      </c>
      <c r="B13" s="10" t="str">
        <f>LIDER!F43</f>
        <v>Cesar Pajaro Ramos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4.0599999999999996</v>
      </c>
      <c r="F13" s="201">
        <v>3.8</v>
      </c>
      <c r="G13" s="142">
        <v>4</v>
      </c>
      <c r="H13" s="199">
        <v>4</v>
      </c>
      <c r="I13" s="142">
        <v>4</v>
      </c>
      <c r="J13" s="199">
        <v>5</v>
      </c>
      <c r="K13" s="142"/>
      <c r="L13" s="199"/>
    </row>
    <row r="14" spans="1:12" s="2" customFormat="1" ht="15" customHeight="1">
      <c r="A14" s="12">
        <v>2</v>
      </c>
      <c r="B14" s="10" t="str">
        <f>LIDER!F44</f>
        <v>Elian Polo Soto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4.0599999999999996</v>
      </c>
      <c r="F14" s="201"/>
      <c r="G14" s="142"/>
      <c r="H14" s="199"/>
      <c r="I14" s="142"/>
      <c r="J14" s="199"/>
      <c r="K14" s="142"/>
      <c r="L14" s="199"/>
    </row>
    <row r="15" spans="1:12" s="2" customFormat="1" ht="15" customHeight="1">
      <c r="A15" s="12">
        <v>3</v>
      </c>
      <c r="B15" s="10" t="str">
        <f>LIDER!F45</f>
        <v>Juan C Corrales de la Rosa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4.0599999999999996</v>
      </c>
      <c r="F15" s="201"/>
      <c r="G15" s="142"/>
      <c r="H15" s="199"/>
      <c r="I15" s="142"/>
      <c r="J15" s="199"/>
      <c r="K15" s="142"/>
      <c r="L15" s="199"/>
    </row>
    <row r="16" spans="1:12" s="2" customFormat="1" ht="15" customHeight="1">
      <c r="A16" s="12">
        <v>4</v>
      </c>
      <c r="B16" s="10" t="str">
        <f>LIDER!F46</f>
        <v>Katerin Silva Peñate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4.0599999999999996</v>
      </c>
      <c r="F16" s="201"/>
      <c r="G16" s="142"/>
      <c r="H16" s="199"/>
      <c r="I16" s="142"/>
      <c r="J16" s="199"/>
      <c r="K16" s="142"/>
      <c r="L16" s="199"/>
    </row>
    <row r="17" spans="1:12" s="2" customFormat="1" ht="15" customHeight="1">
      <c r="A17" s="12">
        <v>5</v>
      </c>
      <c r="B17" s="10" t="str">
        <f>LIDER!F47</f>
        <v>Yorcelis Mercado Guerra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4.0599999999999996</v>
      </c>
      <c r="F17" s="201"/>
      <c r="G17" s="142"/>
      <c r="H17" s="199"/>
      <c r="I17" s="142"/>
      <c r="J17" s="199"/>
      <c r="K17" s="142"/>
      <c r="L17" s="199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1"/>
      <c r="G18" s="142"/>
      <c r="H18" s="199"/>
      <c r="I18" s="142"/>
      <c r="J18" s="199"/>
      <c r="K18" s="142"/>
      <c r="L18" s="199"/>
    </row>
    <row r="19" spans="1:12" s="2" customFormat="1" ht="15.75" customHeight="1">
      <c r="A19" s="14"/>
      <c r="B19" s="25" t="s">
        <v>74</v>
      </c>
      <c r="C19" s="88" t="s">
        <v>98</v>
      </c>
      <c r="D19" s="32" t="str">
        <f>D12</f>
        <v>LIST</v>
      </c>
      <c r="E19" s="89" t="s">
        <v>96</v>
      </c>
      <c r="F19" s="146" t="str">
        <f>LIDER!$E$31</f>
        <v>GRUPO#3</v>
      </c>
      <c r="G19" s="146"/>
      <c r="H19" s="146"/>
      <c r="I19" s="146"/>
      <c r="J19" s="146"/>
      <c r="K19" s="146"/>
      <c r="L19" s="146"/>
    </row>
    <row r="20" spans="1:12" s="2" customFormat="1" ht="12.75">
      <c r="A20" s="9">
        <v>1</v>
      </c>
      <c r="B20" s="10" t="str">
        <f>LIDER!G43</f>
        <v>Lauren castilla Gonzalez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4.18</v>
      </c>
      <c r="F20" s="201">
        <v>3.5</v>
      </c>
      <c r="G20" s="142">
        <v>4.3</v>
      </c>
      <c r="H20" s="199">
        <v>4.4000000000000004</v>
      </c>
      <c r="I20" s="142">
        <v>4</v>
      </c>
      <c r="J20" s="199">
        <v>5</v>
      </c>
      <c r="K20" s="142"/>
      <c r="L20" s="199"/>
    </row>
    <row r="21" spans="1:12" s="2" customFormat="1" ht="15" customHeight="1">
      <c r="A21" s="12">
        <v>2</v>
      </c>
      <c r="B21" s="10" t="str">
        <f>LIDER!G44</f>
        <v>Duvan Cespedes perez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4.18</v>
      </c>
      <c r="F21" s="201"/>
      <c r="G21" s="142"/>
      <c r="H21" s="199"/>
      <c r="I21" s="142"/>
      <c r="J21" s="199"/>
      <c r="K21" s="142"/>
      <c r="L21" s="199"/>
    </row>
    <row r="22" spans="1:12" s="2" customFormat="1" ht="15" customHeight="1">
      <c r="A22" s="12">
        <v>3</v>
      </c>
      <c r="B22" s="10" t="str">
        <f>LIDER!G45</f>
        <v>Isaac Faciolince Bustos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4.18</v>
      </c>
      <c r="F22" s="201"/>
      <c r="G22" s="142"/>
      <c r="H22" s="199"/>
      <c r="I22" s="142"/>
      <c r="J22" s="199"/>
      <c r="K22" s="142"/>
      <c r="L22" s="199"/>
    </row>
    <row r="23" spans="1:12" s="2" customFormat="1" ht="15" customHeight="1">
      <c r="A23" s="12">
        <v>4</v>
      </c>
      <c r="B23" s="10" t="str">
        <f>LIDER!G46</f>
        <v>Jesus Lopez Morales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4.18</v>
      </c>
      <c r="F23" s="201"/>
      <c r="G23" s="142"/>
      <c r="H23" s="199"/>
      <c r="I23" s="142"/>
      <c r="J23" s="199"/>
      <c r="K23" s="142"/>
      <c r="L23" s="199"/>
    </row>
    <row r="24" spans="1:12" s="2" customFormat="1" ht="15" customHeight="1">
      <c r="A24" s="12">
        <v>5</v>
      </c>
      <c r="B24" s="10" t="str">
        <f>LIDER!G47</f>
        <v>Dakar Moarles Paternina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4.18</v>
      </c>
      <c r="F24" s="201"/>
      <c r="G24" s="142"/>
      <c r="H24" s="199"/>
      <c r="I24" s="142"/>
      <c r="J24" s="199"/>
      <c r="K24" s="142"/>
      <c r="L24" s="199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1"/>
      <c r="G25" s="142"/>
      <c r="H25" s="199"/>
      <c r="I25" s="142"/>
      <c r="J25" s="199"/>
      <c r="K25" s="142"/>
      <c r="L25" s="199"/>
    </row>
    <row r="26" spans="1:12" s="2" customFormat="1" ht="15.75" customHeight="1">
      <c r="A26" s="14"/>
      <c r="B26" s="25" t="s">
        <v>76</v>
      </c>
      <c r="C26" s="88" t="s">
        <v>99</v>
      </c>
      <c r="D26" s="32" t="str">
        <f>D19</f>
        <v>LIST</v>
      </c>
      <c r="E26" s="89" t="s">
        <v>96</v>
      </c>
      <c r="F26" s="146" t="str">
        <f>LIDER!$E$32</f>
        <v>GRUPO#4</v>
      </c>
      <c r="G26" s="146"/>
      <c r="H26" s="146"/>
      <c r="I26" s="146"/>
      <c r="J26" s="146"/>
      <c r="K26" s="146"/>
      <c r="L26" s="146"/>
    </row>
    <row r="27" spans="1:12" s="2" customFormat="1" ht="12.75">
      <c r="A27" s="9">
        <v>1</v>
      </c>
      <c r="B27" s="10" t="str">
        <f>LIDER!H43</f>
        <v>Ian Yoraco Berrio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3.6500000000000004</v>
      </c>
      <c r="F27" s="201">
        <v>3.5</v>
      </c>
      <c r="G27" s="142">
        <v>3.5</v>
      </c>
      <c r="H27" s="199">
        <v>3.5</v>
      </c>
      <c r="I27" s="142">
        <v>3.5</v>
      </c>
      <c r="J27" s="199">
        <v>5</v>
      </c>
      <c r="K27" s="142"/>
      <c r="L27" s="199"/>
    </row>
    <row r="28" spans="1:12" s="2" customFormat="1" ht="15" customHeight="1">
      <c r="A28" s="12">
        <v>2</v>
      </c>
      <c r="B28" s="10" t="str">
        <f>LIDER!H44</f>
        <v>Nataly Castro Jimenez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3.6500000000000004</v>
      </c>
      <c r="F28" s="201"/>
      <c r="G28" s="142"/>
      <c r="H28" s="199"/>
      <c r="I28" s="142"/>
      <c r="J28" s="199"/>
      <c r="K28" s="142"/>
      <c r="L28" s="199"/>
    </row>
    <row r="29" spans="1:12" s="2" customFormat="1" ht="15" customHeight="1">
      <c r="A29" s="12">
        <v>3</v>
      </c>
      <c r="B29" s="10" t="str">
        <f>LIDER!H45</f>
        <v>Oscar Lorduy Neira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3.6500000000000004</v>
      </c>
      <c r="F29" s="201"/>
      <c r="G29" s="142"/>
      <c r="H29" s="199"/>
      <c r="I29" s="142"/>
      <c r="J29" s="199"/>
      <c r="K29" s="142"/>
      <c r="L29" s="199"/>
    </row>
    <row r="30" spans="1:12" s="2" customFormat="1" ht="15" customHeight="1">
      <c r="A30" s="12">
        <v>4</v>
      </c>
      <c r="B30" s="10" t="str">
        <f>LIDER!H46</f>
        <v>Carlos Orozco Valdes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3.6500000000000004</v>
      </c>
      <c r="F30" s="201"/>
      <c r="G30" s="142"/>
      <c r="H30" s="199"/>
      <c r="I30" s="142"/>
      <c r="J30" s="199"/>
      <c r="K30" s="142"/>
      <c r="L30" s="199"/>
    </row>
    <row r="31" spans="1:12" s="2" customFormat="1" ht="15" customHeight="1">
      <c r="A31" s="12">
        <v>5</v>
      </c>
      <c r="B31" s="10" t="str">
        <f>LIDER!H47</f>
        <v>Sandri Valdez Sepulveda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3.6500000000000004</v>
      </c>
      <c r="F31" s="201"/>
      <c r="G31" s="142"/>
      <c r="H31" s="199"/>
      <c r="I31" s="142"/>
      <c r="J31" s="199"/>
      <c r="K31" s="142"/>
      <c r="L31" s="199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1"/>
      <c r="G32" s="142"/>
      <c r="H32" s="199"/>
      <c r="I32" s="142"/>
      <c r="J32" s="199"/>
      <c r="K32" s="142"/>
      <c r="L32" s="199"/>
    </row>
    <row r="33" spans="1:12" s="2" customFormat="1" ht="15.75" customHeight="1">
      <c r="A33" s="14"/>
      <c r="B33" s="25" t="s">
        <v>78</v>
      </c>
      <c r="C33" s="88" t="s">
        <v>100</v>
      </c>
      <c r="D33" s="32" t="str">
        <f>D26</f>
        <v>LIST</v>
      </c>
      <c r="E33" s="89" t="s">
        <v>96</v>
      </c>
      <c r="F33" s="146" t="str">
        <f>LIDER!$E$33</f>
        <v>GRUPO#5</v>
      </c>
      <c r="G33" s="146"/>
      <c r="H33" s="146"/>
      <c r="I33" s="146"/>
      <c r="J33" s="146"/>
      <c r="K33" s="146"/>
      <c r="L33" s="146"/>
    </row>
    <row r="34" spans="1:12" s="2" customFormat="1" ht="12.75">
      <c r="A34" s="9">
        <v>1</v>
      </c>
      <c r="B34" s="10" t="str">
        <f>LIDER!E51</f>
        <v>Adrian Marriaga Muñoz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4.55</v>
      </c>
      <c r="F34" s="201">
        <v>4.5</v>
      </c>
      <c r="G34" s="142">
        <v>4.5</v>
      </c>
      <c r="H34" s="199">
        <v>4.5</v>
      </c>
      <c r="I34" s="142">
        <v>4.5</v>
      </c>
      <c r="J34" s="199">
        <v>5</v>
      </c>
      <c r="K34" s="142"/>
      <c r="L34" s="199"/>
    </row>
    <row r="35" spans="1:12" s="2" customFormat="1" ht="15" customHeight="1">
      <c r="A35" s="12">
        <v>2</v>
      </c>
      <c r="B35" s="10" t="str">
        <f>LIDER!E52</f>
        <v>Kristin Perez martinez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4.55</v>
      </c>
      <c r="F35" s="201"/>
      <c r="G35" s="142"/>
      <c r="H35" s="199"/>
      <c r="I35" s="142"/>
      <c r="J35" s="199"/>
      <c r="K35" s="142"/>
      <c r="L35" s="199"/>
    </row>
    <row r="36" spans="1:12" s="2" customFormat="1" ht="15" customHeight="1">
      <c r="A36" s="12">
        <v>3</v>
      </c>
      <c r="B36" s="10" t="str">
        <f>LIDER!E53</f>
        <v>Nina Aguilar Sarabia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4.55</v>
      </c>
      <c r="F36" s="201"/>
      <c r="G36" s="142"/>
      <c r="H36" s="199"/>
      <c r="I36" s="142"/>
      <c r="J36" s="199"/>
      <c r="K36" s="142"/>
      <c r="L36" s="199"/>
    </row>
    <row r="37" spans="1:12" s="2" customFormat="1" ht="15" customHeight="1">
      <c r="A37" s="12">
        <v>4</v>
      </c>
      <c r="B37" s="10" t="str">
        <f>LIDER!E54</f>
        <v>Theres Theran caicedo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4.55</v>
      </c>
      <c r="F37" s="201"/>
      <c r="G37" s="142"/>
      <c r="H37" s="199"/>
      <c r="I37" s="142"/>
      <c r="J37" s="199"/>
      <c r="K37" s="142"/>
      <c r="L37" s="199"/>
    </row>
    <row r="38" spans="1:12" s="2" customFormat="1" ht="15" customHeight="1">
      <c r="A38" s="12">
        <v>5</v>
      </c>
      <c r="B38" s="10" t="str">
        <f>LIDER!E55</f>
        <v>Diego Cardona Bolaño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4.55</v>
      </c>
      <c r="F38" s="201"/>
      <c r="G38" s="142"/>
      <c r="H38" s="199"/>
      <c r="I38" s="142"/>
      <c r="J38" s="199"/>
      <c r="K38" s="142"/>
      <c r="L38" s="199"/>
    </row>
    <row r="39" spans="1:12" s="2" customFormat="1" ht="15.75" customHeight="1">
      <c r="A39" s="13">
        <v>6</v>
      </c>
      <c r="B39" s="91" t="str">
        <f>LIDER!E56</f>
        <v>Jhamer Luis Maza Ramos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4.55</v>
      </c>
      <c r="F39" s="201"/>
      <c r="G39" s="142"/>
      <c r="H39" s="199"/>
      <c r="I39" s="142"/>
      <c r="J39" s="199"/>
      <c r="K39" s="142"/>
      <c r="L39" s="199"/>
    </row>
    <row r="40" spans="1:12" s="2" customFormat="1" ht="15.75" customHeight="1">
      <c r="A40" s="14"/>
      <c r="B40" s="25" t="s">
        <v>80</v>
      </c>
      <c r="C40" s="88" t="s">
        <v>101</v>
      </c>
      <c r="D40" s="32" t="str">
        <f>D33</f>
        <v>LIST</v>
      </c>
      <c r="E40" s="89" t="s">
        <v>96</v>
      </c>
      <c r="F40" s="146" t="str">
        <f>LIDER!$E$34</f>
        <v>GRUPO#6</v>
      </c>
      <c r="G40" s="146"/>
      <c r="H40" s="146"/>
      <c r="I40" s="146"/>
      <c r="J40" s="146"/>
      <c r="K40" s="146"/>
      <c r="L40" s="146"/>
    </row>
    <row r="41" spans="1:12" s="2" customFormat="1" ht="12.75">
      <c r="A41" s="9">
        <v>1</v>
      </c>
      <c r="B41" s="10" t="str">
        <f>LIDER!F51</f>
        <v>Yureidy Alarez Castellano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4.3699999999999992</v>
      </c>
      <c r="F41" s="201">
        <v>4.3</v>
      </c>
      <c r="G41" s="142">
        <v>4.3</v>
      </c>
      <c r="H41" s="199">
        <v>4.3</v>
      </c>
      <c r="I41" s="142">
        <v>4.3</v>
      </c>
      <c r="J41" s="199">
        <v>5</v>
      </c>
      <c r="K41" s="142"/>
      <c r="L41" s="199"/>
    </row>
    <row r="42" spans="1:12" s="2" customFormat="1" ht="15" customHeight="1">
      <c r="A42" s="12">
        <v>2</v>
      </c>
      <c r="B42" s="10" t="str">
        <f>LIDER!F52</f>
        <v>Juan C Baldiris Espitia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4.3699999999999992</v>
      </c>
      <c r="F42" s="201"/>
      <c r="G42" s="142"/>
      <c r="H42" s="199"/>
      <c r="I42" s="142"/>
      <c r="J42" s="199"/>
      <c r="K42" s="142"/>
      <c r="L42" s="199"/>
    </row>
    <row r="43" spans="1:12" s="2" customFormat="1" ht="15" customHeight="1">
      <c r="A43" s="12">
        <v>3</v>
      </c>
      <c r="B43" s="10" t="str">
        <f>LIDER!F53</f>
        <v>Andres F Torres Arroyo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4.3699999999999992</v>
      </c>
      <c r="F43" s="201"/>
      <c r="G43" s="142"/>
      <c r="H43" s="199"/>
      <c r="I43" s="142"/>
      <c r="J43" s="199"/>
      <c r="K43" s="142"/>
      <c r="L43" s="199"/>
    </row>
    <row r="44" spans="1:12" s="2" customFormat="1" ht="15" customHeight="1">
      <c r="A44" s="12">
        <v>4</v>
      </c>
      <c r="B44" s="10" t="str">
        <f>LIDER!F54</f>
        <v>Sherlyn Villegas Maza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4.3699999999999992</v>
      </c>
      <c r="F44" s="201"/>
      <c r="G44" s="142"/>
      <c r="H44" s="199"/>
      <c r="I44" s="142"/>
      <c r="J44" s="199"/>
      <c r="K44" s="142"/>
      <c r="L44" s="199"/>
    </row>
    <row r="45" spans="1:12" s="2" customFormat="1" ht="15" customHeight="1">
      <c r="A45" s="12">
        <v>5</v>
      </c>
      <c r="B45" s="10" t="str">
        <f>LIDER!F55</f>
        <v>Isaac Zapata Zapata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4.3699999999999992</v>
      </c>
      <c r="F45" s="201"/>
      <c r="G45" s="142"/>
      <c r="H45" s="199"/>
      <c r="I45" s="142"/>
      <c r="J45" s="199"/>
      <c r="K45" s="142"/>
      <c r="L45" s="199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1"/>
      <c r="G46" s="142"/>
      <c r="H46" s="199"/>
      <c r="I46" s="142"/>
      <c r="J46" s="199"/>
      <c r="K46" s="142"/>
      <c r="L46" s="199"/>
    </row>
    <row r="47" spans="1:12" s="2" customFormat="1" ht="15.75" customHeight="1">
      <c r="A47" s="14"/>
      <c r="B47" s="25" t="s">
        <v>82</v>
      </c>
      <c r="C47" s="88" t="s">
        <v>102</v>
      </c>
      <c r="D47" s="32" t="str">
        <f>D40</f>
        <v>LIST</v>
      </c>
      <c r="E47" s="89" t="s">
        <v>96</v>
      </c>
      <c r="F47" s="146" t="str">
        <f>LIDER!$E$35</f>
        <v>GRUPO#7</v>
      </c>
      <c r="G47" s="146"/>
      <c r="H47" s="146"/>
      <c r="I47" s="146"/>
      <c r="J47" s="146"/>
      <c r="K47" s="146"/>
      <c r="L47" s="146"/>
    </row>
    <row r="48" spans="1:12" s="2" customFormat="1" ht="12.75">
      <c r="A48" s="9">
        <v>1</v>
      </c>
      <c r="B48" s="10" t="str">
        <f>LIDER!G51</f>
        <v>Valeria Balesteros Almentero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1"/>
      <c r="G48" s="142"/>
      <c r="H48" s="199"/>
      <c r="I48" s="142"/>
      <c r="J48" s="199"/>
      <c r="K48" s="142"/>
      <c r="L48" s="199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1"/>
      <c r="G49" s="142"/>
      <c r="H49" s="199"/>
      <c r="I49" s="142"/>
      <c r="J49" s="199"/>
      <c r="K49" s="142"/>
      <c r="L49" s="199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1"/>
      <c r="G50" s="142"/>
      <c r="H50" s="199"/>
      <c r="I50" s="142"/>
      <c r="J50" s="199"/>
      <c r="K50" s="142"/>
      <c r="L50" s="199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1"/>
      <c r="G51" s="142"/>
      <c r="H51" s="199"/>
      <c r="I51" s="142"/>
      <c r="J51" s="199"/>
      <c r="K51" s="142"/>
      <c r="L51" s="199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1"/>
      <c r="G52" s="142"/>
      <c r="H52" s="199"/>
      <c r="I52" s="142"/>
      <c r="J52" s="199"/>
      <c r="K52" s="142"/>
      <c r="L52" s="199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1"/>
      <c r="G53" s="142"/>
      <c r="H53" s="199"/>
      <c r="I53" s="142"/>
      <c r="J53" s="199"/>
      <c r="K53" s="142"/>
      <c r="L53" s="199"/>
    </row>
    <row r="54" spans="1:12" s="2" customFormat="1" ht="15.75" customHeight="1">
      <c r="A54" s="14"/>
      <c r="B54" s="25" t="s">
        <v>84</v>
      </c>
      <c r="C54" s="88" t="s">
        <v>103</v>
      </c>
      <c r="D54" s="32" t="str">
        <f>D47</f>
        <v>LIST</v>
      </c>
      <c r="E54" s="89" t="s">
        <v>96</v>
      </c>
      <c r="F54" s="146" t="str">
        <f>LIDER!$E$36</f>
        <v>GRUPO#8</v>
      </c>
      <c r="G54" s="146"/>
      <c r="H54" s="146"/>
      <c r="I54" s="146"/>
      <c r="J54" s="146"/>
      <c r="K54" s="146"/>
      <c r="L54" s="146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1"/>
      <c r="G55" s="142"/>
      <c r="H55" s="199"/>
      <c r="I55" s="142"/>
      <c r="J55" s="199"/>
      <c r="K55" s="142"/>
      <c r="L55" s="199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1"/>
      <c r="G56" s="142"/>
      <c r="H56" s="199"/>
      <c r="I56" s="142"/>
      <c r="J56" s="199"/>
      <c r="K56" s="142"/>
      <c r="L56" s="199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1"/>
      <c r="G57" s="142"/>
      <c r="H57" s="199"/>
      <c r="I57" s="142"/>
      <c r="J57" s="199"/>
      <c r="K57" s="142"/>
      <c r="L57" s="199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1"/>
      <c r="G58" s="142"/>
      <c r="H58" s="199"/>
      <c r="I58" s="142"/>
      <c r="J58" s="199"/>
      <c r="K58" s="142"/>
      <c r="L58" s="199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1"/>
      <c r="G59" s="142"/>
      <c r="H59" s="199"/>
      <c r="I59" s="142"/>
      <c r="J59" s="199"/>
      <c r="K59" s="142"/>
      <c r="L59" s="199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1"/>
      <c r="G60" s="142"/>
      <c r="H60" s="199"/>
      <c r="I60" s="142"/>
      <c r="J60" s="199"/>
      <c r="K60" s="142"/>
      <c r="L60" s="199"/>
    </row>
    <row r="61" spans="1:12" s="2" customFormat="1" ht="15.75" customHeight="1">
      <c r="A61" s="14"/>
      <c r="B61" s="25" t="s">
        <v>86</v>
      </c>
      <c r="C61" s="88" t="s">
        <v>104</v>
      </c>
      <c r="D61" s="32" t="str">
        <f>D54</f>
        <v>LIST</v>
      </c>
      <c r="E61" s="89" t="s">
        <v>96</v>
      </c>
      <c r="F61" s="146" t="str">
        <f>LIDER!$E$37</f>
        <v>GRUPO#9</v>
      </c>
      <c r="G61" s="146"/>
      <c r="H61" s="146"/>
      <c r="I61" s="146"/>
      <c r="J61" s="146"/>
      <c r="K61" s="146"/>
      <c r="L61" s="146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1"/>
      <c r="G62" s="142"/>
      <c r="H62" s="199"/>
      <c r="I62" s="142"/>
      <c r="J62" s="199"/>
      <c r="K62" s="142"/>
      <c r="L62" s="199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1"/>
      <c r="G63" s="142"/>
      <c r="H63" s="199"/>
      <c r="I63" s="142"/>
      <c r="J63" s="199"/>
      <c r="K63" s="142"/>
      <c r="L63" s="199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1"/>
      <c r="G64" s="142"/>
      <c r="H64" s="199"/>
      <c r="I64" s="142"/>
      <c r="J64" s="199"/>
      <c r="K64" s="142"/>
      <c r="L64" s="199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1"/>
      <c r="G65" s="142"/>
      <c r="H65" s="199"/>
      <c r="I65" s="142"/>
      <c r="J65" s="199"/>
      <c r="K65" s="142"/>
      <c r="L65" s="199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1"/>
      <c r="G66" s="142"/>
      <c r="H66" s="199"/>
      <c r="I66" s="142"/>
      <c r="J66" s="199"/>
      <c r="K66" s="142"/>
      <c r="L66" s="199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1"/>
      <c r="G67" s="142"/>
      <c r="H67" s="199"/>
      <c r="I67" s="142"/>
      <c r="J67" s="199"/>
      <c r="K67" s="142"/>
      <c r="L67" s="199"/>
    </row>
    <row r="68" spans="1:12" s="2" customFormat="1" ht="15.75" customHeight="1">
      <c r="A68" s="14"/>
      <c r="B68" s="25" t="s">
        <v>88</v>
      </c>
      <c r="C68" s="88" t="s">
        <v>105</v>
      </c>
      <c r="D68" s="32" t="str">
        <f>D61</f>
        <v>LIST</v>
      </c>
      <c r="E68" s="89" t="s">
        <v>96</v>
      </c>
      <c r="F68" s="146" t="str">
        <f>LIDER!$E$38</f>
        <v>GRUPO#10</v>
      </c>
      <c r="G68" s="146"/>
      <c r="H68" s="146"/>
      <c r="I68" s="146"/>
      <c r="J68" s="146"/>
      <c r="K68" s="146"/>
      <c r="L68" s="146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1"/>
      <c r="G69" s="142"/>
      <c r="H69" s="199"/>
      <c r="I69" s="142"/>
      <c r="J69" s="199"/>
      <c r="K69" s="142"/>
      <c r="L69" s="199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1"/>
      <c r="G70" s="142"/>
      <c r="H70" s="199"/>
      <c r="I70" s="142"/>
      <c r="J70" s="199"/>
      <c r="K70" s="142"/>
      <c r="L70" s="199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1"/>
      <c r="G71" s="142"/>
      <c r="H71" s="199"/>
      <c r="I71" s="142"/>
      <c r="J71" s="199"/>
      <c r="K71" s="142"/>
      <c r="L71" s="199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1"/>
      <c r="G72" s="142"/>
      <c r="H72" s="199"/>
      <c r="I72" s="142"/>
      <c r="J72" s="199"/>
      <c r="K72" s="142"/>
      <c r="L72" s="199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1"/>
      <c r="G73" s="142"/>
      <c r="H73" s="199"/>
      <c r="I73" s="142"/>
      <c r="J73" s="199"/>
      <c r="K73" s="142"/>
      <c r="L73" s="199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1"/>
      <c r="G74" s="142"/>
      <c r="H74" s="199"/>
      <c r="I74" s="142"/>
      <c r="J74" s="199"/>
      <c r="K74" s="142"/>
      <c r="L74" s="199"/>
    </row>
    <row r="75" spans="1:12" s="2" customFormat="1" ht="15.75" customHeight="1">
      <c r="A75" s="14"/>
      <c r="B75" s="25" t="s">
        <v>90</v>
      </c>
      <c r="C75" s="88" t="s">
        <v>106</v>
      </c>
      <c r="D75" s="32" t="str">
        <f>D68</f>
        <v>LIST</v>
      </c>
      <c r="E75" s="89" t="s">
        <v>96</v>
      </c>
      <c r="F75" s="146" t="str">
        <f>LIDER!$E$39</f>
        <v>GRUPO#11</v>
      </c>
      <c r="G75" s="146"/>
      <c r="H75" s="146"/>
      <c r="I75" s="146"/>
      <c r="J75" s="146"/>
      <c r="K75" s="146"/>
      <c r="L75" s="146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1"/>
      <c r="G76" s="142"/>
      <c r="H76" s="199"/>
      <c r="I76" s="142"/>
      <c r="J76" s="199"/>
      <c r="K76" s="142"/>
      <c r="L76" s="199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1"/>
      <c r="G77" s="142"/>
      <c r="H77" s="199"/>
      <c r="I77" s="142"/>
      <c r="J77" s="199"/>
      <c r="K77" s="142"/>
      <c r="L77" s="199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1"/>
      <c r="G78" s="142"/>
      <c r="H78" s="199"/>
      <c r="I78" s="142"/>
      <c r="J78" s="199"/>
      <c r="K78" s="142"/>
      <c r="L78" s="199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1"/>
      <c r="G79" s="142"/>
      <c r="H79" s="199"/>
      <c r="I79" s="142"/>
      <c r="J79" s="199"/>
      <c r="K79" s="142"/>
      <c r="L79" s="199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1"/>
      <c r="G80" s="142"/>
      <c r="H80" s="199"/>
      <c r="I80" s="142"/>
      <c r="J80" s="199"/>
      <c r="K80" s="142"/>
      <c r="L80" s="199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1"/>
      <c r="G81" s="142"/>
      <c r="H81" s="199"/>
      <c r="I81" s="142"/>
      <c r="J81" s="199"/>
      <c r="K81" s="142"/>
      <c r="L81" s="199"/>
    </row>
    <row r="82" spans="1:12" s="2" customFormat="1" ht="15.75" customHeight="1">
      <c r="A82" s="14"/>
      <c r="B82" s="25" t="s">
        <v>91</v>
      </c>
      <c r="C82" s="88" t="s">
        <v>107</v>
      </c>
      <c r="D82" s="32" t="str">
        <f>D75</f>
        <v>LIST</v>
      </c>
      <c r="E82" s="89" t="s">
        <v>96</v>
      </c>
      <c r="F82" s="146" t="str">
        <f>LIDER!$E$40</f>
        <v>GRUPO#12</v>
      </c>
      <c r="G82" s="146"/>
      <c r="H82" s="146"/>
      <c r="I82" s="146"/>
      <c r="J82" s="146"/>
      <c r="K82" s="146"/>
      <c r="L82" s="146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1"/>
      <c r="G83" s="142"/>
      <c r="H83" s="199"/>
      <c r="I83" s="142"/>
      <c r="J83" s="199"/>
      <c r="K83" s="142"/>
      <c r="L83" s="199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1"/>
      <c r="G84" s="142"/>
      <c r="H84" s="199"/>
      <c r="I84" s="142"/>
      <c r="J84" s="199"/>
      <c r="K84" s="142"/>
      <c r="L84" s="199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1"/>
      <c r="G85" s="142"/>
      <c r="H85" s="199"/>
      <c r="I85" s="142"/>
      <c r="J85" s="199"/>
      <c r="K85" s="142"/>
      <c r="L85" s="199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1"/>
      <c r="G86" s="142"/>
      <c r="H86" s="199"/>
      <c r="I86" s="142"/>
      <c r="J86" s="199"/>
      <c r="K86" s="142"/>
      <c r="L86" s="199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1"/>
      <c r="G87" s="142"/>
      <c r="H87" s="199"/>
      <c r="I87" s="142"/>
      <c r="J87" s="199"/>
      <c r="K87" s="142"/>
      <c r="L87" s="199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2"/>
      <c r="G88" s="153"/>
      <c r="H88" s="200"/>
      <c r="I88" s="153"/>
      <c r="J88" s="200"/>
      <c r="K88" s="153"/>
      <c r="L88" s="200"/>
    </row>
  </sheetData>
  <sheetProtection algorithmName="SHA-512" hashValue="p/2YSu/PBgbsyT4cmf6Sh7S3AtXD/0+TWoOT6ujIE3yxzR24pJWQhzUEnvnXbS09dRoUanPSkCIrf+rF8uOrtQ==" saltValue="yTRWrdSOU6n6mwgyf/ffh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2" priority="3">
      <formula>$D6="N"</formula>
    </cfRule>
    <cfRule type="expression" dxfId="201" priority="4">
      <formula>ISEVEN($A6)</formula>
    </cfRule>
  </conditionalFormatting>
  <conditionalFormatting sqref="B5:B88">
    <cfRule type="cellIs" dxfId="200" priority="1" operator="equal">
      <formula>0</formula>
    </cfRule>
  </conditionalFormatting>
  <conditionalFormatting sqref="E6:E88">
    <cfRule type="cellIs" dxfId="199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FFA1553C-6BCD-47DC-878E-05734B833AE0}">
      <formula1>"N"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CF8-63E5-444C-A707-C4BBCD7AEB46}">
  <dimension ref="A1:L88"/>
  <sheetViews>
    <sheetView workbookViewId="0">
      <pane xSplit="5" ySplit="3" topLeftCell="F4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3" t="str">
        <f>LIDER!B2</f>
        <v>TECNOLOGÍA EN GESTIÓN DE NEGOCIOS INTERN</v>
      </c>
      <c r="B1" s="144"/>
      <c r="C1" s="144"/>
      <c r="D1" s="144"/>
      <c r="E1" s="144"/>
      <c r="F1" s="144"/>
      <c r="G1" s="144"/>
      <c r="H1" s="145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LIDER!F4</f>
        <v>LEGISLACION EMPRESARIAL</v>
      </c>
      <c r="C2" s="82"/>
      <c r="D2" s="3"/>
      <c r="F2" s="203" t="s">
        <v>92</v>
      </c>
      <c r="G2" s="204"/>
      <c r="H2" s="204"/>
      <c r="I2" s="204"/>
      <c r="J2" s="204"/>
      <c r="K2" s="204"/>
      <c r="L2" s="205"/>
    </row>
    <row r="3" spans="1:12" s="2" customFormat="1" ht="145.5" customHeight="1">
      <c r="B3" s="83" t="s">
        <v>93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6" t="str">
        <f>CONCATENATE(LIDER!F4," - ",LIDER!F6," - ",LIDER!F5)</f>
        <v>LEGISLACION EMPRESARIAL - 2370 - ELENA MELENDEZ TAPIA</v>
      </c>
      <c r="G4" s="206"/>
      <c r="H4" s="206"/>
      <c r="I4" s="206"/>
      <c r="J4" s="206"/>
      <c r="K4" s="206"/>
      <c r="L4" s="206"/>
    </row>
    <row r="5" spans="1:12" s="2" customFormat="1" ht="15.75" customHeight="1" thickBot="1">
      <c r="A5" s="8"/>
      <c r="B5" s="25" t="s">
        <v>70</v>
      </c>
      <c r="C5" s="88" t="s">
        <v>94</v>
      </c>
      <c r="D5" s="32" t="s">
        <v>95</v>
      </c>
      <c r="E5" s="89" t="s">
        <v>96</v>
      </c>
      <c r="F5" s="146" t="str">
        <f>LIDER!$E$29</f>
        <v>GRUPO#1</v>
      </c>
      <c r="G5" s="146"/>
      <c r="H5" s="146"/>
      <c r="I5" s="146"/>
      <c r="J5" s="146"/>
      <c r="K5" s="146"/>
      <c r="L5" s="146"/>
    </row>
    <row r="6" spans="1:12" s="2" customFormat="1" ht="12.75">
      <c r="A6" s="9">
        <v>1</v>
      </c>
      <c r="B6" s="10">
        <f>LIDER!E43</f>
        <v>0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201">
        <v>3.5</v>
      </c>
      <c r="G6" s="142">
        <v>3.5</v>
      </c>
      <c r="H6" s="199">
        <v>3</v>
      </c>
      <c r="I6" s="142">
        <v>3.5</v>
      </c>
      <c r="J6" s="199">
        <v>5</v>
      </c>
      <c r="K6" s="142"/>
      <c r="L6" s="199"/>
    </row>
    <row r="7" spans="1:12" s="2" customFormat="1" ht="15" customHeight="1">
      <c r="A7" s="12">
        <v>2</v>
      </c>
      <c r="B7" s="10" t="str">
        <f>LIDER!E44</f>
        <v>Valentina Castro Ibarra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3.5</v>
      </c>
      <c r="F7" s="201"/>
      <c r="G7" s="142"/>
      <c r="H7" s="199"/>
      <c r="I7" s="142"/>
      <c r="J7" s="199"/>
      <c r="K7" s="142"/>
      <c r="L7" s="199"/>
    </row>
    <row r="8" spans="1:12" s="2" customFormat="1" ht="15" customHeight="1">
      <c r="A8" s="12">
        <v>3</v>
      </c>
      <c r="B8" s="10" t="str">
        <f>LIDER!E45</f>
        <v>Carmen Manuek Cruzate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3.5</v>
      </c>
      <c r="F8" s="201"/>
      <c r="G8" s="142"/>
      <c r="H8" s="199"/>
      <c r="I8" s="142"/>
      <c r="J8" s="199"/>
      <c r="K8" s="142"/>
      <c r="L8" s="199"/>
    </row>
    <row r="9" spans="1:12" s="2" customFormat="1" ht="15" customHeight="1">
      <c r="A9" s="12">
        <v>4</v>
      </c>
      <c r="B9" s="10" t="str">
        <f>LIDER!E46</f>
        <v>Yulieth Martinez Carrasquilla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3.5</v>
      </c>
      <c r="F9" s="201"/>
      <c r="G9" s="142"/>
      <c r="H9" s="199"/>
      <c r="I9" s="142"/>
      <c r="J9" s="199"/>
      <c r="K9" s="142"/>
      <c r="L9" s="199"/>
    </row>
    <row r="10" spans="1:12" s="2" customFormat="1" ht="15" customHeight="1">
      <c r="A10" s="12">
        <v>5</v>
      </c>
      <c r="B10" s="10" t="str">
        <f>LIDER!E47</f>
        <v>Angello Ortega Mesino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3.5</v>
      </c>
      <c r="F10" s="201"/>
      <c r="G10" s="142"/>
      <c r="H10" s="199"/>
      <c r="I10" s="142"/>
      <c r="J10" s="199"/>
      <c r="K10" s="142"/>
      <c r="L10" s="199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1"/>
      <c r="G11" s="142"/>
      <c r="H11" s="199"/>
      <c r="I11" s="142"/>
      <c r="J11" s="199"/>
      <c r="K11" s="142"/>
      <c r="L11" s="199"/>
    </row>
    <row r="12" spans="1:12" s="2" customFormat="1" ht="15.75" customHeight="1" thickBot="1">
      <c r="A12" s="8"/>
      <c r="B12" s="25" t="s">
        <v>72</v>
      </c>
      <c r="C12" s="88" t="s">
        <v>97</v>
      </c>
      <c r="D12" s="32" t="str">
        <f>D5</f>
        <v>LIST</v>
      </c>
      <c r="E12" s="89" t="s">
        <v>96</v>
      </c>
      <c r="F12" s="146" t="str">
        <f>LIDER!$E$30</f>
        <v>GRUPO#2</v>
      </c>
      <c r="G12" s="146"/>
      <c r="H12" s="146"/>
      <c r="I12" s="146"/>
      <c r="J12" s="146"/>
      <c r="K12" s="146"/>
      <c r="L12" s="146"/>
    </row>
    <row r="13" spans="1:12" s="2" customFormat="1" ht="12.75">
      <c r="A13" s="9">
        <v>1</v>
      </c>
      <c r="B13" s="10" t="str">
        <f>LIDER!F43</f>
        <v>Cesar Pajaro Ramos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3.7</v>
      </c>
      <c r="F13" s="201">
        <v>3.5</v>
      </c>
      <c r="G13" s="142">
        <v>4</v>
      </c>
      <c r="H13" s="199">
        <v>3</v>
      </c>
      <c r="I13" s="142">
        <v>4</v>
      </c>
      <c r="J13" s="199">
        <v>5</v>
      </c>
      <c r="K13" s="142"/>
      <c r="L13" s="199"/>
    </row>
    <row r="14" spans="1:12" s="2" customFormat="1" ht="15" customHeight="1">
      <c r="A14" s="12">
        <v>2</v>
      </c>
      <c r="B14" s="10" t="str">
        <f>LIDER!F44</f>
        <v>Elian Polo Soto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3.7</v>
      </c>
      <c r="F14" s="201"/>
      <c r="G14" s="142"/>
      <c r="H14" s="199"/>
      <c r="I14" s="142"/>
      <c r="J14" s="199"/>
      <c r="K14" s="142"/>
      <c r="L14" s="199"/>
    </row>
    <row r="15" spans="1:12" s="2" customFormat="1" ht="15" customHeight="1">
      <c r="A15" s="12">
        <v>3</v>
      </c>
      <c r="B15" s="10" t="str">
        <f>LIDER!F45</f>
        <v>Juan C Corrales de la Rosa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3.7</v>
      </c>
      <c r="F15" s="201"/>
      <c r="G15" s="142"/>
      <c r="H15" s="199"/>
      <c r="I15" s="142"/>
      <c r="J15" s="199"/>
      <c r="K15" s="142"/>
      <c r="L15" s="199"/>
    </row>
    <row r="16" spans="1:12" s="2" customFormat="1" ht="15" customHeight="1">
      <c r="A16" s="12">
        <v>4</v>
      </c>
      <c r="B16" s="10" t="str">
        <f>LIDER!F46</f>
        <v>Katerin Silva Peñate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3.7</v>
      </c>
      <c r="F16" s="201"/>
      <c r="G16" s="142"/>
      <c r="H16" s="199"/>
      <c r="I16" s="142"/>
      <c r="J16" s="199"/>
      <c r="K16" s="142"/>
      <c r="L16" s="199"/>
    </row>
    <row r="17" spans="1:12" s="2" customFormat="1" ht="15" customHeight="1">
      <c r="A17" s="12">
        <v>5</v>
      </c>
      <c r="B17" s="10" t="str">
        <f>LIDER!F47</f>
        <v>Yorcelis Mercado Guerra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3.7</v>
      </c>
      <c r="F17" s="201"/>
      <c r="G17" s="142"/>
      <c r="H17" s="199"/>
      <c r="I17" s="142"/>
      <c r="J17" s="199"/>
      <c r="K17" s="142"/>
      <c r="L17" s="199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1"/>
      <c r="G18" s="142"/>
      <c r="H18" s="199"/>
      <c r="I18" s="142"/>
      <c r="J18" s="199"/>
      <c r="K18" s="142"/>
      <c r="L18" s="199"/>
    </row>
    <row r="19" spans="1:12" s="2" customFormat="1" ht="15.75" customHeight="1">
      <c r="A19" s="14"/>
      <c r="B19" s="25" t="s">
        <v>74</v>
      </c>
      <c r="C19" s="88" t="s">
        <v>98</v>
      </c>
      <c r="D19" s="32" t="str">
        <f>D12</f>
        <v>LIST</v>
      </c>
      <c r="E19" s="89" t="s">
        <v>96</v>
      </c>
      <c r="F19" s="146" t="str">
        <f>LIDER!$E$31</f>
        <v>GRUPO#3</v>
      </c>
      <c r="G19" s="146"/>
      <c r="H19" s="146"/>
      <c r="I19" s="146"/>
      <c r="J19" s="146"/>
      <c r="K19" s="146"/>
      <c r="L19" s="146"/>
    </row>
    <row r="20" spans="1:12" s="2" customFormat="1" ht="12.75">
      <c r="A20" s="9">
        <v>1</v>
      </c>
      <c r="B20" s="10" t="str">
        <f>LIDER!G43</f>
        <v>Lauren castilla Gonzalez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</v>
      </c>
      <c r="F20" s="201">
        <v>3</v>
      </c>
      <c r="G20" s="142">
        <v>4.5</v>
      </c>
      <c r="H20" s="199">
        <v>3</v>
      </c>
      <c r="I20" s="142">
        <v>3</v>
      </c>
      <c r="J20" s="199">
        <v>0</v>
      </c>
      <c r="K20" s="142"/>
      <c r="L20" s="199"/>
    </row>
    <row r="21" spans="1:12" s="2" customFormat="1" ht="15" customHeight="1">
      <c r="A21" s="12">
        <v>2</v>
      </c>
      <c r="B21" s="10" t="str">
        <f>LIDER!G44</f>
        <v>Duvan Cespedes perez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</v>
      </c>
      <c r="F21" s="201"/>
      <c r="G21" s="142"/>
      <c r="H21" s="199"/>
      <c r="I21" s="142"/>
      <c r="J21" s="199"/>
      <c r="K21" s="142"/>
      <c r="L21" s="199"/>
    </row>
    <row r="22" spans="1:12" s="2" customFormat="1" ht="15" customHeight="1">
      <c r="A22" s="12">
        <v>3</v>
      </c>
      <c r="B22" s="10" t="str">
        <f>LIDER!G45</f>
        <v>Isaac Faciolince Bustos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</v>
      </c>
      <c r="F22" s="201"/>
      <c r="G22" s="142"/>
      <c r="H22" s="199"/>
      <c r="I22" s="142"/>
      <c r="J22" s="199"/>
      <c r="K22" s="142"/>
      <c r="L22" s="199"/>
    </row>
    <row r="23" spans="1:12" s="2" customFormat="1" ht="15" customHeight="1">
      <c r="A23" s="12">
        <v>4</v>
      </c>
      <c r="B23" s="10" t="str">
        <f>LIDER!G46</f>
        <v>Jesus Lopez Morales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</v>
      </c>
      <c r="F23" s="201"/>
      <c r="G23" s="142"/>
      <c r="H23" s="199"/>
      <c r="I23" s="142"/>
      <c r="J23" s="199"/>
      <c r="K23" s="142"/>
      <c r="L23" s="199"/>
    </row>
    <row r="24" spans="1:12" s="2" customFormat="1" ht="15" customHeight="1">
      <c r="A24" s="12">
        <v>5</v>
      </c>
      <c r="B24" s="10" t="str">
        <f>LIDER!G47</f>
        <v>Dakar Moarles Paternina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</v>
      </c>
      <c r="F24" s="201"/>
      <c r="G24" s="142"/>
      <c r="H24" s="199"/>
      <c r="I24" s="142"/>
      <c r="J24" s="199"/>
      <c r="K24" s="142"/>
      <c r="L24" s="199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1"/>
      <c r="G25" s="142"/>
      <c r="H25" s="199"/>
      <c r="I25" s="142"/>
      <c r="J25" s="199"/>
      <c r="K25" s="142"/>
      <c r="L25" s="199"/>
    </row>
    <row r="26" spans="1:12" s="2" customFormat="1" ht="15.75" customHeight="1">
      <c r="A26" s="14"/>
      <c r="B26" s="25" t="s">
        <v>76</v>
      </c>
      <c r="C26" s="88" t="s">
        <v>99</v>
      </c>
      <c r="D26" s="32" t="str">
        <f>D19</f>
        <v>LIST</v>
      </c>
      <c r="E26" s="89" t="s">
        <v>96</v>
      </c>
      <c r="F26" s="146" t="str">
        <f>LIDER!$E$32</f>
        <v>GRUPO#4</v>
      </c>
      <c r="G26" s="146"/>
      <c r="H26" s="146"/>
      <c r="I26" s="146"/>
      <c r="J26" s="146"/>
      <c r="K26" s="146"/>
      <c r="L26" s="146"/>
    </row>
    <row r="27" spans="1:12" s="2" customFormat="1" ht="12.75">
      <c r="A27" s="9">
        <v>1</v>
      </c>
      <c r="B27" s="10" t="str">
        <f>LIDER!H43</f>
        <v>Ian Yoraco Berrio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3.5999999999999996</v>
      </c>
      <c r="F27" s="201">
        <v>3.5</v>
      </c>
      <c r="G27" s="142">
        <v>3.5</v>
      </c>
      <c r="H27" s="199">
        <v>3</v>
      </c>
      <c r="I27" s="142">
        <v>4</v>
      </c>
      <c r="J27" s="199">
        <v>5</v>
      </c>
      <c r="K27" s="142"/>
      <c r="L27" s="199"/>
    </row>
    <row r="28" spans="1:12" s="2" customFormat="1" ht="15" customHeight="1">
      <c r="A28" s="12">
        <v>2</v>
      </c>
      <c r="B28" s="10" t="str">
        <f>LIDER!H44</f>
        <v>Nataly Castro Jimenez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3.5999999999999996</v>
      </c>
      <c r="F28" s="201"/>
      <c r="G28" s="142"/>
      <c r="H28" s="199"/>
      <c r="I28" s="142"/>
      <c r="J28" s="199"/>
      <c r="K28" s="142"/>
      <c r="L28" s="199"/>
    </row>
    <row r="29" spans="1:12" s="2" customFormat="1" ht="15" customHeight="1">
      <c r="A29" s="12">
        <v>3</v>
      </c>
      <c r="B29" s="10" t="str">
        <f>LIDER!H45</f>
        <v>Oscar Lorduy Neira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3.5999999999999996</v>
      </c>
      <c r="F29" s="201"/>
      <c r="G29" s="142"/>
      <c r="H29" s="199"/>
      <c r="I29" s="142"/>
      <c r="J29" s="199"/>
      <c r="K29" s="142"/>
      <c r="L29" s="199"/>
    </row>
    <row r="30" spans="1:12" s="2" customFormat="1" ht="15" customHeight="1">
      <c r="A30" s="12">
        <v>4</v>
      </c>
      <c r="B30" s="10" t="str">
        <f>LIDER!H46</f>
        <v>Carlos Orozco Valdes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3.5999999999999996</v>
      </c>
      <c r="F30" s="201"/>
      <c r="G30" s="142"/>
      <c r="H30" s="199"/>
      <c r="I30" s="142"/>
      <c r="J30" s="199"/>
      <c r="K30" s="142"/>
      <c r="L30" s="199"/>
    </row>
    <row r="31" spans="1:12" s="2" customFormat="1" ht="15" customHeight="1">
      <c r="A31" s="12">
        <v>5</v>
      </c>
      <c r="B31" s="10" t="str">
        <f>LIDER!H47</f>
        <v>Sandri Valdez Sepulveda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3.5999999999999996</v>
      </c>
      <c r="F31" s="201"/>
      <c r="G31" s="142"/>
      <c r="H31" s="199"/>
      <c r="I31" s="142"/>
      <c r="J31" s="199"/>
      <c r="K31" s="142"/>
      <c r="L31" s="199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1"/>
      <c r="G32" s="142"/>
      <c r="H32" s="199"/>
      <c r="I32" s="142"/>
      <c r="J32" s="199"/>
      <c r="K32" s="142"/>
      <c r="L32" s="199"/>
    </row>
    <row r="33" spans="1:12" s="2" customFormat="1" ht="15.75" customHeight="1">
      <c r="A33" s="14"/>
      <c r="B33" s="25" t="s">
        <v>78</v>
      </c>
      <c r="C33" s="88" t="s">
        <v>100</v>
      </c>
      <c r="D33" s="32" t="str">
        <f>D26</f>
        <v>LIST</v>
      </c>
      <c r="E33" s="89" t="s">
        <v>96</v>
      </c>
      <c r="F33" s="146" t="str">
        <f>LIDER!$E$33</f>
        <v>GRUPO#5</v>
      </c>
      <c r="G33" s="146"/>
      <c r="H33" s="146"/>
      <c r="I33" s="146"/>
      <c r="J33" s="146"/>
      <c r="K33" s="146"/>
      <c r="L33" s="146"/>
    </row>
    <row r="34" spans="1:12" s="2" customFormat="1" ht="12.75">
      <c r="A34" s="9">
        <v>1</v>
      </c>
      <c r="B34" s="10" t="str">
        <f>LIDER!E51</f>
        <v>Adrian Marriaga Muñoz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4.3000000000000007</v>
      </c>
      <c r="F34" s="201">
        <v>4.5</v>
      </c>
      <c r="G34" s="142">
        <v>4</v>
      </c>
      <c r="H34" s="199">
        <v>4</v>
      </c>
      <c r="I34" s="142">
        <v>4.5</v>
      </c>
      <c r="J34" s="199">
        <v>5</v>
      </c>
      <c r="K34" s="142"/>
      <c r="L34" s="199"/>
    </row>
    <row r="35" spans="1:12" s="2" customFormat="1" ht="15" customHeight="1">
      <c r="A35" s="12">
        <v>2</v>
      </c>
      <c r="B35" s="10" t="str">
        <f>LIDER!E52</f>
        <v>Kristin Perez martinez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4.3000000000000007</v>
      </c>
      <c r="F35" s="201"/>
      <c r="G35" s="142"/>
      <c r="H35" s="199"/>
      <c r="I35" s="142"/>
      <c r="J35" s="199"/>
      <c r="K35" s="142"/>
      <c r="L35" s="199"/>
    </row>
    <row r="36" spans="1:12" s="2" customFormat="1" ht="15" customHeight="1">
      <c r="A36" s="12">
        <v>3</v>
      </c>
      <c r="B36" s="10" t="str">
        <f>LIDER!E53</f>
        <v>Nina Aguilar Sarabia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4.3000000000000007</v>
      </c>
      <c r="F36" s="201"/>
      <c r="G36" s="142"/>
      <c r="H36" s="199"/>
      <c r="I36" s="142"/>
      <c r="J36" s="199"/>
      <c r="K36" s="142"/>
      <c r="L36" s="199"/>
    </row>
    <row r="37" spans="1:12" s="2" customFormat="1" ht="15" customHeight="1">
      <c r="A37" s="12">
        <v>4</v>
      </c>
      <c r="B37" s="10" t="str">
        <f>LIDER!E54</f>
        <v>Theres Theran caicedo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4.3000000000000007</v>
      </c>
      <c r="F37" s="201"/>
      <c r="G37" s="142"/>
      <c r="H37" s="199"/>
      <c r="I37" s="142"/>
      <c r="J37" s="199"/>
      <c r="K37" s="142"/>
      <c r="L37" s="199"/>
    </row>
    <row r="38" spans="1:12" s="2" customFormat="1" ht="15" customHeight="1">
      <c r="A38" s="12">
        <v>5</v>
      </c>
      <c r="B38" s="10" t="str">
        <f>LIDER!E55</f>
        <v>Diego Cardona Bolaño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4.3000000000000007</v>
      </c>
      <c r="F38" s="201"/>
      <c r="G38" s="142"/>
      <c r="H38" s="199"/>
      <c r="I38" s="142"/>
      <c r="J38" s="199"/>
      <c r="K38" s="142"/>
      <c r="L38" s="199"/>
    </row>
    <row r="39" spans="1:12" s="2" customFormat="1" ht="15.75" customHeight="1">
      <c r="A39" s="13">
        <v>6</v>
      </c>
      <c r="B39" s="91" t="str">
        <f>LIDER!E56</f>
        <v>Jhamer Luis Maza Ramos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4.3000000000000007</v>
      </c>
      <c r="F39" s="201"/>
      <c r="G39" s="142"/>
      <c r="H39" s="199"/>
      <c r="I39" s="142"/>
      <c r="J39" s="199"/>
      <c r="K39" s="142"/>
      <c r="L39" s="199"/>
    </row>
    <row r="40" spans="1:12" s="2" customFormat="1" ht="15.75" customHeight="1">
      <c r="A40" s="14"/>
      <c r="B40" s="25" t="s">
        <v>80</v>
      </c>
      <c r="C40" s="88" t="s">
        <v>101</v>
      </c>
      <c r="D40" s="32" t="str">
        <f>D33</f>
        <v>LIST</v>
      </c>
      <c r="E40" s="89" t="s">
        <v>96</v>
      </c>
      <c r="F40" s="146" t="str">
        <f>LIDER!$E$34</f>
        <v>GRUPO#6</v>
      </c>
      <c r="G40" s="146"/>
      <c r="H40" s="146"/>
      <c r="I40" s="146"/>
      <c r="J40" s="146"/>
      <c r="K40" s="146"/>
      <c r="L40" s="146"/>
    </row>
    <row r="41" spans="1:12" s="2" customFormat="1" ht="12.75">
      <c r="A41" s="9">
        <v>1</v>
      </c>
      <c r="B41" s="10" t="str">
        <f>LIDER!F51</f>
        <v>Yureidy Alarez Castellano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4.0999999999999996</v>
      </c>
      <c r="F41" s="201">
        <v>4</v>
      </c>
      <c r="G41" s="142">
        <v>4</v>
      </c>
      <c r="H41" s="199">
        <v>4</v>
      </c>
      <c r="I41" s="142">
        <v>4</v>
      </c>
      <c r="J41" s="199">
        <v>5</v>
      </c>
      <c r="K41" s="142"/>
      <c r="L41" s="199"/>
    </row>
    <row r="42" spans="1:12" s="2" customFormat="1" ht="15" customHeight="1">
      <c r="A42" s="12">
        <v>2</v>
      </c>
      <c r="B42" s="10" t="str">
        <f>LIDER!F52</f>
        <v>Juan C Baldiris Espitia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4.0999999999999996</v>
      </c>
      <c r="F42" s="201"/>
      <c r="G42" s="142"/>
      <c r="H42" s="199"/>
      <c r="I42" s="142"/>
      <c r="J42" s="199"/>
      <c r="K42" s="142"/>
      <c r="L42" s="199"/>
    </row>
    <row r="43" spans="1:12" s="2" customFormat="1" ht="15" customHeight="1">
      <c r="A43" s="12">
        <v>3</v>
      </c>
      <c r="B43" s="10" t="str">
        <f>LIDER!F53</f>
        <v>Andres F Torres Arroyo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4.0999999999999996</v>
      </c>
      <c r="F43" s="201"/>
      <c r="G43" s="142"/>
      <c r="H43" s="199"/>
      <c r="I43" s="142"/>
      <c r="J43" s="199"/>
      <c r="K43" s="142"/>
      <c r="L43" s="199"/>
    </row>
    <row r="44" spans="1:12" s="2" customFormat="1" ht="15" customHeight="1">
      <c r="A44" s="12">
        <v>4</v>
      </c>
      <c r="B44" s="10" t="str">
        <f>LIDER!F54</f>
        <v>Sherlyn Villegas Maza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4.0999999999999996</v>
      </c>
      <c r="F44" s="201"/>
      <c r="G44" s="142"/>
      <c r="H44" s="199"/>
      <c r="I44" s="142"/>
      <c r="J44" s="199"/>
      <c r="K44" s="142"/>
      <c r="L44" s="199"/>
    </row>
    <row r="45" spans="1:12" s="2" customFormat="1" ht="15" customHeight="1">
      <c r="A45" s="12">
        <v>5</v>
      </c>
      <c r="B45" s="10" t="str">
        <f>LIDER!F55</f>
        <v>Isaac Zapata Zapata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4.0999999999999996</v>
      </c>
      <c r="F45" s="201"/>
      <c r="G45" s="142"/>
      <c r="H45" s="199"/>
      <c r="I45" s="142"/>
      <c r="J45" s="199"/>
      <c r="K45" s="142"/>
      <c r="L45" s="199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1"/>
      <c r="G46" s="142"/>
      <c r="H46" s="199"/>
      <c r="I46" s="142"/>
      <c r="J46" s="199"/>
      <c r="K46" s="142"/>
      <c r="L46" s="199"/>
    </row>
    <row r="47" spans="1:12" s="2" customFormat="1" ht="15.75" customHeight="1">
      <c r="A47" s="14"/>
      <c r="B47" s="25" t="s">
        <v>82</v>
      </c>
      <c r="C47" s="88" t="s">
        <v>102</v>
      </c>
      <c r="D47" s="32" t="str">
        <f>D40</f>
        <v>LIST</v>
      </c>
      <c r="E47" s="89" t="s">
        <v>96</v>
      </c>
      <c r="F47" s="146" t="str">
        <f>LIDER!$E$35</f>
        <v>GRUPO#7</v>
      </c>
      <c r="G47" s="146"/>
      <c r="H47" s="146"/>
      <c r="I47" s="146"/>
      <c r="J47" s="146"/>
      <c r="K47" s="146"/>
      <c r="L47" s="146"/>
    </row>
    <row r="48" spans="1:12" s="2" customFormat="1" ht="12.75">
      <c r="A48" s="9">
        <v>1</v>
      </c>
      <c r="B48" s="10" t="str">
        <f>LIDER!G51</f>
        <v>Valeria Balesteros Almentero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1"/>
      <c r="G48" s="142"/>
      <c r="H48" s="199"/>
      <c r="I48" s="142"/>
      <c r="J48" s="199"/>
      <c r="K48" s="142"/>
      <c r="L48" s="199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1"/>
      <c r="G49" s="142"/>
      <c r="H49" s="199"/>
      <c r="I49" s="142"/>
      <c r="J49" s="199"/>
      <c r="K49" s="142"/>
      <c r="L49" s="199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1"/>
      <c r="G50" s="142"/>
      <c r="H50" s="199"/>
      <c r="I50" s="142"/>
      <c r="J50" s="199"/>
      <c r="K50" s="142"/>
      <c r="L50" s="199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1"/>
      <c r="G51" s="142"/>
      <c r="H51" s="199"/>
      <c r="I51" s="142"/>
      <c r="J51" s="199"/>
      <c r="K51" s="142"/>
      <c r="L51" s="199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1"/>
      <c r="G52" s="142"/>
      <c r="H52" s="199"/>
      <c r="I52" s="142"/>
      <c r="J52" s="199"/>
      <c r="K52" s="142"/>
      <c r="L52" s="199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1"/>
      <c r="G53" s="142"/>
      <c r="H53" s="199"/>
      <c r="I53" s="142"/>
      <c r="J53" s="199"/>
      <c r="K53" s="142"/>
      <c r="L53" s="199"/>
    </row>
    <row r="54" spans="1:12" s="2" customFormat="1" ht="15.75" customHeight="1">
      <c r="A54" s="14"/>
      <c r="B54" s="25" t="s">
        <v>84</v>
      </c>
      <c r="C54" s="88" t="s">
        <v>103</v>
      </c>
      <c r="D54" s="32" t="str">
        <f>D47</f>
        <v>LIST</v>
      </c>
      <c r="E54" s="89" t="s">
        <v>96</v>
      </c>
      <c r="F54" s="146" t="str">
        <f>LIDER!$E$36</f>
        <v>GRUPO#8</v>
      </c>
      <c r="G54" s="146"/>
      <c r="H54" s="146"/>
      <c r="I54" s="146"/>
      <c r="J54" s="146"/>
      <c r="K54" s="146"/>
      <c r="L54" s="146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1"/>
      <c r="G55" s="142"/>
      <c r="H55" s="199"/>
      <c r="I55" s="142"/>
      <c r="J55" s="199"/>
      <c r="K55" s="142"/>
      <c r="L55" s="199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1"/>
      <c r="G56" s="142"/>
      <c r="H56" s="199"/>
      <c r="I56" s="142"/>
      <c r="J56" s="199"/>
      <c r="K56" s="142"/>
      <c r="L56" s="199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1"/>
      <c r="G57" s="142"/>
      <c r="H57" s="199"/>
      <c r="I57" s="142"/>
      <c r="J57" s="199"/>
      <c r="K57" s="142"/>
      <c r="L57" s="199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1"/>
      <c r="G58" s="142"/>
      <c r="H58" s="199"/>
      <c r="I58" s="142"/>
      <c r="J58" s="199"/>
      <c r="K58" s="142"/>
      <c r="L58" s="199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1"/>
      <c r="G59" s="142"/>
      <c r="H59" s="199"/>
      <c r="I59" s="142"/>
      <c r="J59" s="199"/>
      <c r="K59" s="142"/>
      <c r="L59" s="199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1"/>
      <c r="G60" s="142"/>
      <c r="H60" s="199"/>
      <c r="I60" s="142"/>
      <c r="J60" s="199"/>
      <c r="K60" s="142"/>
      <c r="L60" s="199"/>
    </row>
    <row r="61" spans="1:12" s="2" customFormat="1" ht="15.75" customHeight="1">
      <c r="A61" s="14"/>
      <c r="B61" s="25" t="s">
        <v>86</v>
      </c>
      <c r="C61" s="88" t="s">
        <v>104</v>
      </c>
      <c r="D61" s="32" t="str">
        <f>D54</f>
        <v>LIST</v>
      </c>
      <c r="E61" s="89" t="s">
        <v>96</v>
      </c>
      <c r="F61" s="146" t="str">
        <f>LIDER!$E$37</f>
        <v>GRUPO#9</v>
      </c>
      <c r="G61" s="146"/>
      <c r="H61" s="146"/>
      <c r="I61" s="146"/>
      <c r="J61" s="146"/>
      <c r="K61" s="146"/>
      <c r="L61" s="146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1"/>
      <c r="G62" s="142"/>
      <c r="H62" s="199"/>
      <c r="I62" s="142"/>
      <c r="J62" s="199"/>
      <c r="K62" s="142"/>
      <c r="L62" s="199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1"/>
      <c r="G63" s="142"/>
      <c r="H63" s="199"/>
      <c r="I63" s="142"/>
      <c r="J63" s="199"/>
      <c r="K63" s="142"/>
      <c r="L63" s="199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1"/>
      <c r="G64" s="142"/>
      <c r="H64" s="199"/>
      <c r="I64" s="142"/>
      <c r="J64" s="199"/>
      <c r="K64" s="142"/>
      <c r="L64" s="199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1"/>
      <c r="G65" s="142"/>
      <c r="H65" s="199"/>
      <c r="I65" s="142"/>
      <c r="J65" s="199"/>
      <c r="K65" s="142"/>
      <c r="L65" s="199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1"/>
      <c r="G66" s="142"/>
      <c r="H66" s="199"/>
      <c r="I66" s="142"/>
      <c r="J66" s="199"/>
      <c r="K66" s="142"/>
      <c r="L66" s="199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1"/>
      <c r="G67" s="142"/>
      <c r="H67" s="199"/>
      <c r="I67" s="142"/>
      <c r="J67" s="199"/>
      <c r="K67" s="142"/>
      <c r="L67" s="199"/>
    </row>
    <row r="68" spans="1:12" s="2" customFormat="1" ht="15.75" customHeight="1">
      <c r="A68" s="14"/>
      <c r="B68" s="25" t="s">
        <v>88</v>
      </c>
      <c r="C68" s="88" t="s">
        <v>105</v>
      </c>
      <c r="D68" s="32" t="str">
        <f>D61</f>
        <v>LIST</v>
      </c>
      <c r="E68" s="89" t="s">
        <v>96</v>
      </c>
      <c r="F68" s="146" t="str">
        <f>LIDER!$E$38</f>
        <v>GRUPO#10</v>
      </c>
      <c r="G68" s="146"/>
      <c r="H68" s="146"/>
      <c r="I68" s="146"/>
      <c r="J68" s="146"/>
      <c r="K68" s="146"/>
      <c r="L68" s="146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1"/>
      <c r="G69" s="142"/>
      <c r="H69" s="199"/>
      <c r="I69" s="142"/>
      <c r="J69" s="199"/>
      <c r="K69" s="142"/>
      <c r="L69" s="199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1"/>
      <c r="G70" s="142"/>
      <c r="H70" s="199"/>
      <c r="I70" s="142"/>
      <c r="J70" s="199"/>
      <c r="K70" s="142"/>
      <c r="L70" s="199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1"/>
      <c r="G71" s="142"/>
      <c r="H71" s="199"/>
      <c r="I71" s="142"/>
      <c r="J71" s="199"/>
      <c r="K71" s="142"/>
      <c r="L71" s="199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1"/>
      <c r="G72" s="142"/>
      <c r="H72" s="199"/>
      <c r="I72" s="142"/>
      <c r="J72" s="199"/>
      <c r="K72" s="142"/>
      <c r="L72" s="199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1"/>
      <c r="G73" s="142"/>
      <c r="H73" s="199"/>
      <c r="I73" s="142"/>
      <c r="J73" s="199"/>
      <c r="K73" s="142"/>
      <c r="L73" s="199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1"/>
      <c r="G74" s="142"/>
      <c r="H74" s="199"/>
      <c r="I74" s="142"/>
      <c r="J74" s="199"/>
      <c r="K74" s="142"/>
      <c r="L74" s="199"/>
    </row>
    <row r="75" spans="1:12" s="2" customFormat="1" ht="15.75" customHeight="1">
      <c r="A75" s="14"/>
      <c r="B75" s="25" t="s">
        <v>90</v>
      </c>
      <c r="C75" s="88" t="s">
        <v>106</v>
      </c>
      <c r="D75" s="32" t="str">
        <f>D68</f>
        <v>LIST</v>
      </c>
      <c r="E75" s="89" t="s">
        <v>96</v>
      </c>
      <c r="F75" s="146" t="str">
        <f>LIDER!$E$39</f>
        <v>GRUPO#11</v>
      </c>
      <c r="G75" s="146"/>
      <c r="H75" s="146"/>
      <c r="I75" s="146"/>
      <c r="J75" s="146"/>
      <c r="K75" s="146"/>
      <c r="L75" s="146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1"/>
      <c r="G76" s="142"/>
      <c r="H76" s="199"/>
      <c r="I76" s="142"/>
      <c r="J76" s="199"/>
      <c r="K76" s="142"/>
      <c r="L76" s="199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1"/>
      <c r="G77" s="142"/>
      <c r="H77" s="199"/>
      <c r="I77" s="142"/>
      <c r="J77" s="199"/>
      <c r="K77" s="142"/>
      <c r="L77" s="199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1"/>
      <c r="G78" s="142"/>
      <c r="H78" s="199"/>
      <c r="I78" s="142"/>
      <c r="J78" s="199"/>
      <c r="K78" s="142"/>
      <c r="L78" s="199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1"/>
      <c r="G79" s="142"/>
      <c r="H79" s="199"/>
      <c r="I79" s="142"/>
      <c r="J79" s="199"/>
      <c r="K79" s="142"/>
      <c r="L79" s="199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1"/>
      <c r="G80" s="142"/>
      <c r="H80" s="199"/>
      <c r="I80" s="142"/>
      <c r="J80" s="199"/>
      <c r="K80" s="142"/>
      <c r="L80" s="199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1"/>
      <c r="G81" s="142"/>
      <c r="H81" s="199"/>
      <c r="I81" s="142"/>
      <c r="J81" s="199"/>
      <c r="K81" s="142"/>
      <c r="L81" s="199"/>
    </row>
    <row r="82" spans="1:12" s="2" customFormat="1" ht="15.75" customHeight="1">
      <c r="A82" s="14"/>
      <c r="B82" s="25" t="s">
        <v>91</v>
      </c>
      <c r="C82" s="88" t="s">
        <v>107</v>
      </c>
      <c r="D82" s="32" t="str">
        <f>D75</f>
        <v>LIST</v>
      </c>
      <c r="E82" s="89" t="s">
        <v>96</v>
      </c>
      <c r="F82" s="146" t="str">
        <f>LIDER!$E$40</f>
        <v>GRUPO#12</v>
      </c>
      <c r="G82" s="146"/>
      <c r="H82" s="146"/>
      <c r="I82" s="146"/>
      <c r="J82" s="146"/>
      <c r="K82" s="146"/>
      <c r="L82" s="146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1"/>
      <c r="G83" s="142"/>
      <c r="H83" s="199"/>
      <c r="I83" s="142"/>
      <c r="J83" s="199"/>
      <c r="K83" s="142"/>
      <c r="L83" s="199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1"/>
      <c r="G84" s="142"/>
      <c r="H84" s="199"/>
      <c r="I84" s="142"/>
      <c r="J84" s="199"/>
      <c r="K84" s="142"/>
      <c r="L84" s="199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1"/>
      <c r="G85" s="142"/>
      <c r="H85" s="199"/>
      <c r="I85" s="142"/>
      <c r="J85" s="199"/>
      <c r="K85" s="142"/>
      <c r="L85" s="199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1"/>
      <c r="G86" s="142"/>
      <c r="H86" s="199"/>
      <c r="I86" s="142"/>
      <c r="J86" s="199"/>
      <c r="K86" s="142"/>
      <c r="L86" s="199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1"/>
      <c r="G87" s="142"/>
      <c r="H87" s="199"/>
      <c r="I87" s="142"/>
      <c r="J87" s="199"/>
      <c r="K87" s="142"/>
      <c r="L87" s="199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2"/>
      <c r="G88" s="153"/>
      <c r="H88" s="200"/>
      <c r="I88" s="153"/>
      <c r="J88" s="200"/>
      <c r="K88" s="153"/>
      <c r="L88" s="200"/>
    </row>
  </sheetData>
  <sheetProtection algorithmName="SHA-512" hashValue="dos0kVflZQmY85E2tetvKtBBfBcV6Kcnc/qUaqCMsev/vrGl2/Bs0Xl6fpNz2L/DNS5lxTtcZ9aUdU3zW0CRzg==" saltValue="G/lICiOCZUUS6ikU8bN+f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8" priority="3">
      <formula>$D6="N"</formula>
    </cfRule>
    <cfRule type="expression" dxfId="197" priority="4">
      <formula>ISEVEN($A6)</formula>
    </cfRule>
  </conditionalFormatting>
  <conditionalFormatting sqref="B5:B88">
    <cfRule type="cellIs" dxfId="196" priority="1" operator="equal">
      <formula>0</formula>
    </cfRule>
  </conditionalFormatting>
  <conditionalFormatting sqref="E6:E88">
    <cfRule type="cellIs" dxfId="195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9EED3538-3724-467F-AC31-38120C0C030A}">
      <formula1>"N"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7FC5-DAC8-4997-AD62-742761F74FF3}">
  <dimension ref="A1:L88"/>
  <sheetViews>
    <sheetView workbookViewId="0">
      <pane xSplit="5" ySplit="3" topLeftCell="F4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3" t="str">
        <f>LIDER!B2</f>
        <v>TECNOLOGÍA EN GESTIÓN DE NEGOCIOS INTERN</v>
      </c>
      <c r="B1" s="144"/>
      <c r="C1" s="144"/>
      <c r="D1" s="144"/>
      <c r="E1" s="144"/>
      <c r="F1" s="144"/>
      <c r="G1" s="144"/>
      <c r="H1" s="145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LIDER!G4</f>
        <v>ECONOMÍA GENERAL</v>
      </c>
      <c r="C2" s="82"/>
      <c r="D2" s="3"/>
      <c r="F2" s="203" t="s">
        <v>92</v>
      </c>
      <c r="G2" s="204"/>
      <c r="H2" s="204"/>
      <c r="I2" s="204"/>
      <c r="J2" s="204"/>
      <c r="K2" s="204"/>
      <c r="L2" s="205"/>
    </row>
    <row r="3" spans="1:12" s="2" customFormat="1" ht="145.5" customHeight="1">
      <c r="B3" s="83" t="s">
        <v>93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6" t="str">
        <f>CONCATENATE(LIDER!G4," - ",LIDER!G6," - ",LIDER!G5)</f>
        <v>ECONOMÍA GENERAL - 1470 - GENIS PATRON ANTEQUERA</v>
      </c>
      <c r="G4" s="206"/>
      <c r="H4" s="206"/>
      <c r="I4" s="206"/>
      <c r="J4" s="206"/>
      <c r="K4" s="206"/>
      <c r="L4" s="206"/>
    </row>
    <row r="5" spans="1:12" s="2" customFormat="1" ht="15.75" customHeight="1" thickBot="1">
      <c r="A5" s="8"/>
      <c r="B5" s="25" t="s">
        <v>70</v>
      </c>
      <c r="C5" s="88" t="s">
        <v>94</v>
      </c>
      <c r="D5" s="32" t="s">
        <v>95</v>
      </c>
      <c r="E5" s="89" t="s">
        <v>96</v>
      </c>
      <c r="F5" s="146" t="str">
        <f>LIDER!$E$29</f>
        <v>GRUPO#1</v>
      </c>
      <c r="G5" s="146"/>
      <c r="H5" s="146"/>
      <c r="I5" s="146"/>
      <c r="J5" s="146"/>
      <c r="K5" s="146"/>
      <c r="L5" s="146"/>
    </row>
    <row r="6" spans="1:12" s="2" customFormat="1" ht="12.75">
      <c r="A6" s="9">
        <v>1</v>
      </c>
      <c r="B6" s="10">
        <f>LIDER!E43</f>
        <v>0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201">
        <v>3.5</v>
      </c>
      <c r="G6" s="142">
        <v>3.3</v>
      </c>
      <c r="H6" s="199">
        <v>3.5</v>
      </c>
      <c r="I6" s="142">
        <v>3.5</v>
      </c>
      <c r="J6" s="199">
        <v>5</v>
      </c>
      <c r="K6" s="142"/>
      <c r="L6" s="199"/>
    </row>
    <row r="7" spans="1:12" s="2" customFormat="1" ht="15" customHeight="1">
      <c r="A7" s="12">
        <v>2</v>
      </c>
      <c r="B7" s="10" t="str">
        <f>LIDER!E44</f>
        <v>Valentina Castro Ibarra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3.6100000000000003</v>
      </c>
      <c r="F7" s="201"/>
      <c r="G7" s="142"/>
      <c r="H7" s="199"/>
      <c r="I7" s="142"/>
      <c r="J7" s="199"/>
      <c r="K7" s="142"/>
      <c r="L7" s="199"/>
    </row>
    <row r="8" spans="1:12" s="2" customFormat="1" ht="15" customHeight="1">
      <c r="A8" s="12">
        <v>3</v>
      </c>
      <c r="B8" s="10" t="str">
        <f>LIDER!E45</f>
        <v>Carmen Manuek Cruzate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3.6100000000000003</v>
      </c>
      <c r="F8" s="201"/>
      <c r="G8" s="142"/>
      <c r="H8" s="199"/>
      <c r="I8" s="142"/>
      <c r="J8" s="199"/>
      <c r="K8" s="142"/>
      <c r="L8" s="199"/>
    </row>
    <row r="9" spans="1:12" s="2" customFormat="1" ht="15" customHeight="1">
      <c r="A9" s="12">
        <v>4</v>
      </c>
      <c r="B9" s="10" t="str">
        <f>LIDER!E46</f>
        <v>Yulieth Martinez Carrasquilla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3.6100000000000003</v>
      </c>
      <c r="F9" s="201"/>
      <c r="G9" s="142"/>
      <c r="H9" s="199"/>
      <c r="I9" s="142"/>
      <c r="J9" s="199"/>
      <c r="K9" s="142"/>
      <c r="L9" s="199"/>
    </row>
    <row r="10" spans="1:12" s="2" customFormat="1" ht="15" customHeight="1">
      <c r="A10" s="12">
        <v>5</v>
      </c>
      <c r="B10" s="10" t="str">
        <f>LIDER!E47</f>
        <v>Angello Ortega Mesino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3.6100000000000003</v>
      </c>
      <c r="F10" s="201"/>
      <c r="G10" s="142"/>
      <c r="H10" s="199"/>
      <c r="I10" s="142"/>
      <c r="J10" s="199"/>
      <c r="K10" s="142"/>
      <c r="L10" s="199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1"/>
      <c r="G11" s="142"/>
      <c r="H11" s="199"/>
      <c r="I11" s="142"/>
      <c r="J11" s="199"/>
      <c r="K11" s="142"/>
      <c r="L11" s="199"/>
    </row>
    <row r="12" spans="1:12" s="2" customFormat="1" ht="15.75" customHeight="1" thickBot="1">
      <c r="A12" s="8"/>
      <c r="B12" s="25" t="s">
        <v>72</v>
      </c>
      <c r="C12" s="88" t="s">
        <v>97</v>
      </c>
      <c r="D12" s="32" t="str">
        <f>D5</f>
        <v>LIST</v>
      </c>
      <c r="E12" s="89" t="s">
        <v>96</v>
      </c>
      <c r="F12" s="146" t="str">
        <f>LIDER!$E$30</f>
        <v>GRUPO#2</v>
      </c>
      <c r="G12" s="146"/>
      <c r="H12" s="146"/>
      <c r="I12" s="146"/>
      <c r="J12" s="146"/>
      <c r="K12" s="146"/>
      <c r="L12" s="146"/>
    </row>
    <row r="13" spans="1:12" s="2" customFormat="1" ht="12.75">
      <c r="A13" s="9">
        <v>1</v>
      </c>
      <c r="B13" s="10" t="str">
        <f>LIDER!F43</f>
        <v>Cesar Pajaro Ramos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4.0999999999999996</v>
      </c>
      <c r="F13" s="201">
        <v>4</v>
      </c>
      <c r="G13" s="142">
        <v>4</v>
      </c>
      <c r="H13" s="199">
        <v>4</v>
      </c>
      <c r="I13" s="142">
        <v>4</v>
      </c>
      <c r="J13" s="199">
        <v>5</v>
      </c>
      <c r="K13" s="142"/>
      <c r="L13" s="199"/>
    </row>
    <row r="14" spans="1:12" s="2" customFormat="1" ht="15" customHeight="1">
      <c r="A14" s="12">
        <v>2</v>
      </c>
      <c r="B14" s="10" t="str">
        <f>LIDER!F44</f>
        <v>Elian Polo Soto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4.0999999999999996</v>
      </c>
      <c r="F14" s="201"/>
      <c r="G14" s="142"/>
      <c r="H14" s="199"/>
      <c r="I14" s="142"/>
      <c r="J14" s="199"/>
      <c r="K14" s="142"/>
      <c r="L14" s="199"/>
    </row>
    <row r="15" spans="1:12" s="2" customFormat="1" ht="15" customHeight="1">
      <c r="A15" s="12">
        <v>3</v>
      </c>
      <c r="B15" s="10" t="str">
        <f>LIDER!F45</f>
        <v>Juan C Corrales de la Rosa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4.0999999999999996</v>
      </c>
      <c r="F15" s="201"/>
      <c r="G15" s="142"/>
      <c r="H15" s="199"/>
      <c r="I15" s="142"/>
      <c r="J15" s="199"/>
      <c r="K15" s="142"/>
      <c r="L15" s="199"/>
    </row>
    <row r="16" spans="1:12" s="2" customFormat="1" ht="15" customHeight="1">
      <c r="A16" s="12">
        <v>4</v>
      </c>
      <c r="B16" s="10" t="str">
        <f>LIDER!F46</f>
        <v>Katerin Silva Peñate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4.0999999999999996</v>
      </c>
      <c r="F16" s="201"/>
      <c r="G16" s="142"/>
      <c r="H16" s="199"/>
      <c r="I16" s="142"/>
      <c r="J16" s="199"/>
      <c r="K16" s="142"/>
      <c r="L16" s="199"/>
    </row>
    <row r="17" spans="1:12" s="2" customFormat="1" ht="15" customHeight="1">
      <c r="A17" s="12">
        <v>5</v>
      </c>
      <c r="B17" s="10" t="str">
        <f>LIDER!F47</f>
        <v>Yorcelis Mercado Guerra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4.0999999999999996</v>
      </c>
      <c r="F17" s="201"/>
      <c r="G17" s="142"/>
      <c r="H17" s="199"/>
      <c r="I17" s="142"/>
      <c r="J17" s="199"/>
      <c r="K17" s="142"/>
      <c r="L17" s="199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1"/>
      <c r="G18" s="142"/>
      <c r="H18" s="199"/>
      <c r="I18" s="142"/>
      <c r="J18" s="199"/>
      <c r="K18" s="142"/>
      <c r="L18" s="199"/>
    </row>
    <row r="19" spans="1:12" s="2" customFormat="1" ht="15.75" customHeight="1">
      <c r="A19" s="14"/>
      <c r="B19" s="25" t="s">
        <v>74</v>
      </c>
      <c r="C19" s="88" t="s">
        <v>98</v>
      </c>
      <c r="D19" s="32" t="str">
        <f>D12</f>
        <v>LIST</v>
      </c>
      <c r="E19" s="89" t="s">
        <v>96</v>
      </c>
      <c r="F19" s="146" t="str">
        <f>LIDER!$E$31</f>
        <v>GRUPO#3</v>
      </c>
      <c r="G19" s="146"/>
      <c r="H19" s="146"/>
      <c r="I19" s="146"/>
      <c r="J19" s="146"/>
      <c r="K19" s="146"/>
      <c r="L19" s="146"/>
    </row>
    <row r="20" spans="1:12" s="2" customFormat="1" ht="12.75">
      <c r="A20" s="9">
        <v>1</v>
      </c>
      <c r="B20" s="10" t="str">
        <f>LIDER!G43</f>
        <v>Lauren castilla Gonzalez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3.31</v>
      </c>
      <c r="F20" s="201">
        <v>3.4</v>
      </c>
      <c r="G20" s="142">
        <v>3.4</v>
      </c>
      <c r="H20" s="199">
        <v>3.5</v>
      </c>
      <c r="I20" s="142">
        <v>4</v>
      </c>
      <c r="J20" s="199">
        <v>1</v>
      </c>
      <c r="K20" s="142"/>
      <c r="L20" s="199"/>
    </row>
    <row r="21" spans="1:12" s="2" customFormat="1" ht="15" customHeight="1">
      <c r="A21" s="12">
        <v>2</v>
      </c>
      <c r="B21" s="10" t="str">
        <f>LIDER!G44</f>
        <v>Duvan Cespedes perez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3.31</v>
      </c>
      <c r="F21" s="201"/>
      <c r="G21" s="142"/>
      <c r="H21" s="199"/>
      <c r="I21" s="142"/>
      <c r="J21" s="199"/>
      <c r="K21" s="142"/>
      <c r="L21" s="199"/>
    </row>
    <row r="22" spans="1:12" s="2" customFormat="1" ht="15" customHeight="1">
      <c r="A22" s="12">
        <v>3</v>
      </c>
      <c r="B22" s="10" t="str">
        <f>LIDER!G45</f>
        <v>Isaac Faciolince Bustos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3.31</v>
      </c>
      <c r="F22" s="201"/>
      <c r="G22" s="142"/>
      <c r="H22" s="199"/>
      <c r="I22" s="142"/>
      <c r="J22" s="199"/>
      <c r="K22" s="142"/>
      <c r="L22" s="199"/>
    </row>
    <row r="23" spans="1:12" s="2" customFormat="1" ht="15" customHeight="1">
      <c r="A23" s="12">
        <v>4</v>
      </c>
      <c r="B23" s="10" t="str">
        <f>LIDER!G46</f>
        <v>Jesus Lopez Morales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3.31</v>
      </c>
      <c r="F23" s="201"/>
      <c r="G23" s="142"/>
      <c r="H23" s="199"/>
      <c r="I23" s="142"/>
      <c r="J23" s="199"/>
      <c r="K23" s="142"/>
      <c r="L23" s="199"/>
    </row>
    <row r="24" spans="1:12" s="2" customFormat="1" ht="15" customHeight="1">
      <c r="A24" s="12">
        <v>5</v>
      </c>
      <c r="B24" s="10" t="str">
        <f>LIDER!G47</f>
        <v>Dakar Moarles Paternina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3.31</v>
      </c>
      <c r="F24" s="201"/>
      <c r="G24" s="142"/>
      <c r="H24" s="199"/>
      <c r="I24" s="142"/>
      <c r="J24" s="199"/>
      <c r="K24" s="142"/>
      <c r="L24" s="199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1"/>
      <c r="G25" s="142"/>
      <c r="H25" s="199"/>
      <c r="I25" s="142"/>
      <c r="J25" s="199"/>
      <c r="K25" s="142"/>
      <c r="L25" s="199"/>
    </row>
    <row r="26" spans="1:12" s="2" customFormat="1" ht="15.75" customHeight="1">
      <c r="A26" s="14"/>
      <c r="B26" s="25" t="s">
        <v>76</v>
      </c>
      <c r="C26" s="88" t="s">
        <v>99</v>
      </c>
      <c r="D26" s="32" t="str">
        <f>D19</f>
        <v>LIST</v>
      </c>
      <c r="E26" s="89" t="s">
        <v>96</v>
      </c>
      <c r="F26" s="146" t="str">
        <f>LIDER!$E$32</f>
        <v>GRUPO#4</v>
      </c>
      <c r="G26" s="146"/>
      <c r="H26" s="146"/>
      <c r="I26" s="146"/>
      <c r="J26" s="146"/>
      <c r="K26" s="146"/>
      <c r="L26" s="146"/>
    </row>
    <row r="27" spans="1:12" s="2" customFormat="1" ht="12.75">
      <c r="A27" s="9">
        <v>1</v>
      </c>
      <c r="B27" s="10" t="str">
        <f>LIDER!H43</f>
        <v>Ian Yoraco Berrio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3.7</v>
      </c>
      <c r="F27" s="201">
        <v>3.5</v>
      </c>
      <c r="G27" s="142">
        <v>3.5</v>
      </c>
      <c r="H27" s="199">
        <v>4</v>
      </c>
      <c r="I27" s="142">
        <v>3</v>
      </c>
      <c r="J27" s="199">
        <v>5</v>
      </c>
      <c r="K27" s="142"/>
      <c r="L27" s="199"/>
    </row>
    <row r="28" spans="1:12" s="2" customFormat="1" ht="15" customHeight="1">
      <c r="A28" s="12">
        <v>2</v>
      </c>
      <c r="B28" s="10" t="str">
        <f>LIDER!H44</f>
        <v>Nataly Castro Jimenez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3.7</v>
      </c>
      <c r="F28" s="201"/>
      <c r="G28" s="142"/>
      <c r="H28" s="199"/>
      <c r="I28" s="142"/>
      <c r="J28" s="199"/>
      <c r="K28" s="142"/>
      <c r="L28" s="199"/>
    </row>
    <row r="29" spans="1:12" s="2" customFormat="1" ht="15" customHeight="1">
      <c r="A29" s="12">
        <v>3</v>
      </c>
      <c r="B29" s="10" t="str">
        <f>LIDER!H45</f>
        <v>Oscar Lorduy Neira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3.7</v>
      </c>
      <c r="F29" s="201"/>
      <c r="G29" s="142"/>
      <c r="H29" s="199"/>
      <c r="I29" s="142"/>
      <c r="J29" s="199"/>
      <c r="K29" s="142"/>
      <c r="L29" s="199"/>
    </row>
    <row r="30" spans="1:12" s="2" customFormat="1" ht="15" customHeight="1">
      <c r="A30" s="12">
        <v>4</v>
      </c>
      <c r="B30" s="10" t="str">
        <f>LIDER!H46</f>
        <v>Carlos Orozco Valdes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3.7</v>
      </c>
      <c r="F30" s="201"/>
      <c r="G30" s="142"/>
      <c r="H30" s="199"/>
      <c r="I30" s="142"/>
      <c r="J30" s="199"/>
      <c r="K30" s="142"/>
      <c r="L30" s="199"/>
    </row>
    <row r="31" spans="1:12" s="2" customFormat="1" ht="15" customHeight="1">
      <c r="A31" s="12">
        <v>5</v>
      </c>
      <c r="B31" s="10" t="str">
        <f>LIDER!H47</f>
        <v>Sandri Valdez Sepulveda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3.7</v>
      </c>
      <c r="F31" s="201"/>
      <c r="G31" s="142"/>
      <c r="H31" s="199"/>
      <c r="I31" s="142"/>
      <c r="J31" s="199"/>
      <c r="K31" s="142"/>
      <c r="L31" s="199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1"/>
      <c r="G32" s="142"/>
      <c r="H32" s="199"/>
      <c r="I32" s="142"/>
      <c r="J32" s="199"/>
      <c r="K32" s="142"/>
      <c r="L32" s="199"/>
    </row>
    <row r="33" spans="1:12" s="2" customFormat="1" ht="15.75" customHeight="1">
      <c r="A33" s="14"/>
      <c r="B33" s="25" t="s">
        <v>78</v>
      </c>
      <c r="C33" s="88" t="s">
        <v>100</v>
      </c>
      <c r="D33" s="32" t="str">
        <f>D26</f>
        <v>LIST</v>
      </c>
      <c r="E33" s="89" t="s">
        <v>96</v>
      </c>
      <c r="F33" s="146" t="str">
        <f>LIDER!$E$33</f>
        <v>GRUPO#5</v>
      </c>
      <c r="G33" s="146"/>
      <c r="H33" s="146"/>
      <c r="I33" s="146"/>
      <c r="J33" s="146"/>
      <c r="K33" s="146"/>
      <c r="L33" s="146"/>
    </row>
    <row r="34" spans="1:12" s="2" customFormat="1" ht="12.75">
      <c r="A34" s="9">
        <v>1</v>
      </c>
      <c r="B34" s="10" t="str">
        <f>LIDER!E51</f>
        <v>Adrian Marriaga Muñoz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3.8000000000000003</v>
      </c>
      <c r="F34" s="201">
        <v>3.5</v>
      </c>
      <c r="G34" s="142">
        <v>3.5</v>
      </c>
      <c r="H34" s="199">
        <v>4</v>
      </c>
      <c r="I34" s="142">
        <v>4</v>
      </c>
      <c r="J34" s="199">
        <v>4</v>
      </c>
      <c r="K34" s="142"/>
      <c r="L34" s="199"/>
    </row>
    <row r="35" spans="1:12" s="2" customFormat="1" ht="15" customHeight="1">
      <c r="A35" s="12">
        <v>2</v>
      </c>
      <c r="B35" s="10" t="str">
        <f>LIDER!E52</f>
        <v>Kristin Perez martinez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3.8000000000000003</v>
      </c>
      <c r="F35" s="201"/>
      <c r="G35" s="142"/>
      <c r="H35" s="199"/>
      <c r="I35" s="142"/>
      <c r="J35" s="199"/>
      <c r="K35" s="142"/>
      <c r="L35" s="199"/>
    </row>
    <row r="36" spans="1:12" s="2" customFormat="1" ht="15" customHeight="1">
      <c r="A36" s="12">
        <v>3</v>
      </c>
      <c r="B36" s="10" t="str">
        <f>LIDER!E53</f>
        <v>Nina Aguilar Sarabia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3.8000000000000003</v>
      </c>
      <c r="F36" s="201"/>
      <c r="G36" s="142"/>
      <c r="H36" s="199"/>
      <c r="I36" s="142"/>
      <c r="J36" s="199"/>
      <c r="K36" s="142"/>
      <c r="L36" s="199"/>
    </row>
    <row r="37" spans="1:12" s="2" customFormat="1" ht="15" customHeight="1">
      <c r="A37" s="12">
        <v>4</v>
      </c>
      <c r="B37" s="10" t="str">
        <f>LIDER!E54</f>
        <v>Theres Theran caicedo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3.8000000000000003</v>
      </c>
      <c r="F37" s="201"/>
      <c r="G37" s="142"/>
      <c r="H37" s="199"/>
      <c r="I37" s="142"/>
      <c r="J37" s="199"/>
      <c r="K37" s="142"/>
      <c r="L37" s="199"/>
    </row>
    <row r="38" spans="1:12" s="2" customFormat="1" ht="15" customHeight="1">
      <c r="A38" s="12">
        <v>5</v>
      </c>
      <c r="B38" s="10" t="str">
        <f>LIDER!E55</f>
        <v>Diego Cardona Bolaño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3.8000000000000003</v>
      </c>
      <c r="F38" s="201"/>
      <c r="G38" s="142"/>
      <c r="H38" s="199"/>
      <c r="I38" s="142"/>
      <c r="J38" s="199"/>
      <c r="K38" s="142"/>
      <c r="L38" s="199"/>
    </row>
    <row r="39" spans="1:12" s="2" customFormat="1" ht="15.75" customHeight="1">
      <c r="A39" s="13">
        <v>6</v>
      </c>
      <c r="B39" s="91" t="str">
        <f>LIDER!E56</f>
        <v>Jhamer Luis Maza Ramos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3.8000000000000003</v>
      </c>
      <c r="F39" s="201"/>
      <c r="G39" s="142"/>
      <c r="H39" s="199"/>
      <c r="I39" s="142"/>
      <c r="J39" s="199"/>
      <c r="K39" s="142"/>
      <c r="L39" s="199"/>
    </row>
    <row r="40" spans="1:12" s="2" customFormat="1" ht="15.75" customHeight="1">
      <c r="A40" s="14"/>
      <c r="B40" s="25" t="s">
        <v>80</v>
      </c>
      <c r="C40" s="88" t="s">
        <v>101</v>
      </c>
      <c r="D40" s="32" t="str">
        <f>D33</f>
        <v>LIST</v>
      </c>
      <c r="E40" s="89" t="s">
        <v>96</v>
      </c>
      <c r="F40" s="146" t="str">
        <f>LIDER!$E$34</f>
        <v>GRUPO#6</v>
      </c>
      <c r="G40" s="146"/>
      <c r="H40" s="146"/>
      <c r="I40" s="146"/>
      <c r="J40" s="146"/>
      <c r="K40" s="146"/>
      <c r="L40" s="146"/>
    </row>
    <row r="41" spans="1:12" s="2" customFormat="1" ht="12.75">
      <c r="A41" s="9">
        <v>1</v>
      </c>
      <c r="B41" s="10" t="str">
        <f>LIDER!F51</f>
        <v>Yureidy Alarez Castellano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3.8499999999999996</v>
      </c>
      <c r="F41" s="201">
        <v>3.5</v>
      </c>
      <c r="G41" s="142">
        <v>4</v>
      </c>
      <c r="H41" s="199">
        <v>3.5</v>
      </c>
      <c r="I41" s="142">
        <v>4</v>
      </c>
      <c r="J41" s="199">
        <v>5</v>
      </c>
      <c r="K41" s="142"/>
      <c r="L41" s="199"/>
    </row>
    <row r="42" spans="1:12" s="2" customFormat="1" ht="15" customHeight="1">
      <c r="A42" s="12">
        <v>2</v>
      </c>
      <c r="B42" s="10" t="str">
        <f>LIDER!F52</f>
        <v>Juan C Baldiris Espitia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3.8499999999999996</v>
      </c>
      <c r="F42" s="201"/>
      <c r="G42" s="142"/>
      <c r="H42" s="199"/>
      <c r="I42" s="142"/>
      <c r="J42" s="199"/>
      <c r="K42" s="142"/>
      <c r="L42" s="199"/>
    </row>
    <row r="43" spans="1:12" s="2" customFormat="1" ht="15" customHeight="1">
      <c r="A43" s="12">
        <v>3</v>
      </c>
      <c r="B43" s="10" t="str">
        <f>LIDER!F53</f>
        <v>Andres F Torres Arroyo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3.8499999999999996</v>
      </c>
      <c r="F43" s="201"/>
      <c r="G43" s="142"/>
      <c r="H43" s="199"/>
      <c r="I43" s="142"/>
      <c r="J43" s="199"/>
      <c r="K43" s="142"/>
      <c r="L43" s="199"/>
    </row>
    <row r="44" spans="1:12" s="2" customFormat="1" ht="15" customHeight="1">
      <c r="A44" s="12">
        <v>4</v>
      </c>
      <c r="B44" s="10" t="str">
        <f>LIDER!F54</f>
        <v>Sherlyn Villegas Maza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3.8499999999999996</v>
      </c>
      <c r="F44" s="201"/>
      <c r="G44" s="142"/>
      <c r="H44" s="199"/>
      <c r="I44" s="142"/>
      <c r="J44" s="199"/>
      <c r="K44" s="142"/>
      <c r="L44" s="199"/>
    </row>
    <row r="45" spans="1:12" s="2" customFormat="1" ht="15" customHeight="1">
      <c r="A45" s="12">
        <v>5</v>
      </c>
      <c r="B45" s="10" t="str">
        <f>LIDER!F55</f>
        <v>Isaac Zapata Zapata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3.8499999999999996</v>
      </c>
      <c r="F45" s="201"/>
      <c r="G45" s="142"/>
      <c r="H45" s="199"/>
      <c r="I45" s="142"/>
      <c r="J45" s="199"/>
      <c r="K45" s="142"/>
      <c r="L45" s="199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1"/>
      <c r="G46" s="142"/>
      <c r="H46" s="199"/>
      <c r="I46" s="142"/>
      <c r="J46" s="199"/>
      <c r="K46" s="142"/>
      <c r="L46" s="199"/>
    </row>
    <row r="47" spans="1:12" s="2" customFormat="1" ht="15.75" customHeight="1">
      <c r="A47" s="14"/>
      <c r="B47" s="25" t="s">
        <v>82</v>
      </c>
      <c r="C47" s="88" t="s">
        <v>102</v>
      </c>
      <c r="D47" s="32" t="str">
        <f>D40</f>
        <v>LIST</v>
      </c>
      <c r="E47" s="89" t="s">
        <v>96</v>
      </c>
      <c r="F47" s="146" t="str">
        <f>LIDER!$E$35</f>
        <v>GRUPO#7</v>
      </c>
      <c r="G47" s="146"/>
      <c r="H47" s="146"/>
      <c r="I47" s="146"/>
      <c r="J47" s="146"/>
      <c r="K47" s="146"/>
      <c r="L47" s="146"/>
    </row>
    <row r="48" spans="1:12" s="2" customFormat="1" ht="12.75">
      <c r="A48" s="9">
        <v>1</v>
      </c>
      <c r="B48" s="10" t="str">
        <f>LIDER!G51</f>
        <v>Valeria Balesteros Almentero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1"/>
      <c r="G48" s="142"/>
      <c r="H48" s="199"/>
      <c r="I48" s="142"/>
      <c r="J48" s="199"/>
      <c r="K48" s="142"/>
      <c r="L48" s="199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1"/>
      <c r="G49" s="142"/>
      <c r="H49" s="199"/>
      <c r="I49" s="142"/>
      <c r="J49" s="199"/>
      <c r="K49" s="142"/>
      <c r="L49" s="199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1"/>
      <c r="G50" s="142"/>
      <c r="H50" s="199"/>
      <c r="I50" s="142"/>
      <c r="J50" s="199"/>
      <c r="K50" s="142"/>
      <c r="L50" s="199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1"/>
      <c r="G51" s="142"/>
      <c r="H51" s="199"/>
      <c r="I51" s="142"/>
      <c r="J51" s="199"/>
      <c r="K51" s="142"/>
      <c r="L51" s="199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1"/>
      <c r="G52" s="142"/>
      <c r="H52" s="199"/>
      <c r="I52" s="142"/>
      <c r="J52" s="199"/>
      <c r="K52" s="142"/>
      <c r="L52" s="199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1"/>
      <c r="G53" s="142"/>
      <c r="H53" s="199"/>
      <c r="I53" s="142"/>
      <c r="J53" s="199"/>
      <c r="K53" s="142"/>
      <c r="L53" s="199"/>
    </row>
    <row r="54" spans="1:12" s="2" customFormat="1" ht="15.75" customHeight="1">
      <c r="A54" s="14"/>
      <c r="B54" s="25" t="s">
        <v>84</v>
      </c>
      <c r="C54" s="88" t="s">
        <v>103</v>
      </c>
      <c r="D54" s="32" t="str">
        <f>D47</f>
        <v>LIST</v>
      </c>
      <c r="E54" s="89" t="s">
        <v>96</v>
      </c>
      <c r="F54" s="146" t="str">
        <f>LIDER!$E$36</f>
        <v>GRUPO#8</v>
      </c>
      <c r="G54" s="146"/>
      <c r="H54" s="146"/>
      <c r="I54" s="146"/>
      <c r="J54" s="146"/>
      <c r="K54" s="146"/>
      <c r="L54" s="146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1"/>
      <c r="G55" s="142"/>
      <c r="H55" s="199"/>
      <c r="I55" s="142"/>
      <c r="J55" s="199"/>
      <c r="K55" s="142"/>
      <c r="L55" s="199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1"/>
      <c r="G56" s="142"/>
      <c r="H56" s="199"/>
      <c r="I56" s="142"/>
      <c r="J56" s="199"/>
      <c r="K56" s="142"/>
      <c r="L56" s="199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1"/>
      <c r="G57" s="142"/>
      <c r="H57" s="199"/>
      <c r="I57" s="142"/>
      <c r="J57" s="199"/>
      <c r="K57" s="142"/>
      <c r="L57" s="199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1"/>
      <c r="G58" s="142"/>
      <c r="H58" s="199"/>
      <c r="I58" s="142"/>
      <c r="J58" s="199"/>
      <c r="K58" s="142"/>
      <c r="L58" s="199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1"/>
      <c r="G59" s="142"/>
      <c r="H59" s="199"/>
      <c r="I59" s="142"/>
      <c r="J59" s="199"/>
      <c r="K59" s="142"/>
      <c r="L59" s="199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1"/>
      <c r="G60" s="142"/>
      <c r="H60" s="199"/>
      <c r="I60" s="142"/>
      <c r="J60" s="199"/>
      <c r="K60" s="142"/>
      <c r="L60" s="199"/>
    </row>
    <row r="61" spans="1:12" s="2" customFormat="1" ht="15.75" customHeight="1">
      <c r="A61" s="14"/>
      <c r="B61" s="25" t="s">
        <v>86</v>
      </c>
      <c r="C61" s="88" t="s">
        <v>104</v>
      </c>
      <c r="D61" s="32" t="str">
        <f>D54</f>
        <v>LIST</v>
      </c>
      <c r="E61" s="89" t="s">
        <v>96</v>
      </c>
      <c r="F61" s="146" t="str">
        <f>LIDER!$E$37</f>
        <v>GRUPO#9</v>
      </c>
      <c r="G61" s="146"/>
      <c r="H61" s="146"/>
      <c r="I61" s="146"/>
      <c r="J61" s="146"/>
      <c r="K61" s="146"/>
      <c r="L61" s="146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1"/>
      <c r="G62" s="142"/>
      <c r="H62" s="199"/>
      <c r="I62" s="142"/>
      <c r="J62" s="199"/>
      <c r="K62" s="142"/>
      <c r="L62" s="199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1"/>
      <c r="G63" s="142"/>
      <c r="H63" s="199"/>
      <c r="I63" s="142"/>
      <c r="J63" s="199"/>
      <c r="K63" s="142"/>
      <c r="L63" s="199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1"/>
      <c r="G64" s="142"/>
      <c r="H64" s="199"/>
      <c r="I64" s="142"/>
      <c r="J64" s="199"/>
      <c r="K64" s="142"/>
      <c r="L64" s="199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1"/>
      <c r="G65" s="142"/>
      <c r="H65" s="199"/>
      <c r="I65" s="142"/>
      <c r="J65" s="199"/>
      <c r="K65" s="142"/>
      <c r="L65" s="199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1"/>
      <c r="G66" s="142"/>
      <c r="H66" s="199"/>
      <c r="I66" s="142"/>
      <c r="J66" s="199"/>
      <c r="K66" s="142"/>
      <c r="L66" s="199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1"/>
      <c r="G67" s="142"/>
      <c r="H67" s="199"/>
      <c r="I67" s="142"/>
      <c r="J67" s="199"/>
      <c r="K67" s="142"/>
      <c r="L67" s="199"/>
    </row>
    <row r="68" spans="1:12" s="2" customFormat="1" ht="15.75" customHeight="1">
      <c r="A68" s="14"/>
      <c r="B68" s="25" t="s">
        <v>88</v>
      </c>
      <c r="C68" s="88" t="s">
        <v>105</v>
      </c>
      <c r="D68" s="32" t="str">
        <f>D61</f>
        <v>LIST</v>
      </c>
      <c r="E68" s="89" t="s">
        <v>96</v>
      </c>
      <c r="F68" s="146" t="str">
        <f>LIDER!$E$38</f>
        <v>GRUPO#10</v>
      </c>
      <c r="G68" s="146"/>
      <c r="H68" s="146"/>
      <c r="I68" s="146"/>
      <c r="J68" s="146"/>
      <c r="K68" s="146"/>
      <c r="L68" s="146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1"/>
      <c r="G69" s="142"/>
      <c r="H69" s="199"/>
      <c r="I69" s="142"/>
      <c r="J69" s="199"/>
      <c r="K69" s="142"/>
      <c r="L69" s="199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1"/>
      <c r="G70" s="142"/>
      <c r="H70" s="199"/>
      <c r="I70" s="142"/>
      <c r="J70" s="199"/>
      <c r="K70" s="142"/>
      <c r="L70" s="199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1"/>
      <c r="G71" s="142"/>
      <c r="H71" s="199"/>
      <c r="I71" s="142"/>
      <c r="J71" s="199"/>
      <c r="K71" s="142"/>
      <c r="L71" s="199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1"/>
      <c r="G72" s="142"/>
      <c r="H72" s="199"/>
      <c r="I72" s="142"/>
      <c r="J72" s="199"/>
      <c r="K72" s="142"/>
      <c r="L72" s="199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1"/>
      <c r="G73" s="142"/>
      <c r="H73" s="199"/>
      <c r="I73" s="142"/>
      <c r="J73" s="199"/>
      <c r="K73" s="142"/>
      <c r="L73" s="199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1"/>
      <c r="G74" s="142"/>
      <c r="H74" s="199"/>
      <c r="I74" s="142"/>
      <c r="J74" s="199"/>
      <c r="K74" s="142"/>
      <c r="L74" s="199"/>
    </row>
    <row r="75" spans="1:12" s="2" customFormat="1" ht="15.75" customHeight="1">
      <c r="A75" s="14"/>
      <c r="B75" s="25" t="s">
        <v>90</v>
      </c>
      <c r="C75" s="88" t="s">
        <v>106</v>
      </c>
      <c r="D75" s="32" t="str">
        <f>D68</f>
        <v>LIST</v>
      </c>
      <c r="E75" s="89" t="s">
        <v>96</v>
      </c>
      <c r="F75" s="146" t="str">
        <f>LIDER!$E$39</f>
        <v>GRUPO#11</v>
      </c>
      <c r="G75" s="146"/>
      <c r="H75" s="146"/>
      <c r="I75" s="146"/>
      <c r="J75" s="146"/>
      <c r="K75" s="146"/>
      <c r="L75" s="146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1"/>
      <c r="G76" s="142"/>
      <c r="H76" s="199"/>
      <c r="I76" s="142"/>
      <c r="J76" s="199"/>
      <c r="K76" s="142"/>
      <c r="L76" s="199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1"/>
      <c r="G77" s="142"/>
      <c r="H77" s="199"/>
      <c r="I77" s="142"/>
      <c r="J77" s="199"/>
      <c r="K77" s="142"/>
      <c r="L77" s="199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1"/>
      <c r="G78" s="142"/>
      <c r="H78" s="199"/>
      <c r="I78" s="142"/>
      <c r="J78" s="199"/>
      <c r="K78" s="142"/>
      <c r="L78" s="199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1"/>
      <c r="G79" s="142"/>
      <c r="H79" s="199"/>
      <c r="I79" s="142"/>
      <c r="J79" s="199"/>
      <c r="K79" s="142"/>
      <c r="L79" s="199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1"/>
      <c r="G80" s="142"/>
      <c r="H80" s="199"/>
      <c r="I80" s="142"/>
      <c r="J80" s="199"/>
      <c r="K80" s="142"/>
      <c r="L80" s="199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1"/>
      <c r="G81" s="142"/>
      <c r="H81" s="199"/>
      <c r="I81" s="142"/>
      <c r="J81" s="199"/>
      <c r="K81" s="142"/>
      <c r="L81" s="199"/>
    </row>
    <row r="82" spans="1:12" s="2" customFormat="1" ht="15.75" customHeight="1">
      <c r="A82" s="14"/>
      <c r="B82" s="25" t="s">
        <v>91</v>
      </c>
      <c r="C82" s="88" t="s">
        <v>107</v>
      </c>
      <c r="D82" s="32" t="str">
        <f>D75</f>
        <v>LIST</v>
      </c>
      <c r="E82" s="89" t="s">
        <v>96</v>
      </c>
      <c r="F82" s="146" t="str">
        <f>LIDER!$E$40</f>
        <v>GRUPO#12</v>
      </c>
      <c r="G82" s="146"/>
      <c r="H82" s="146"/>
      <c r="I82" s="146"/>
      <c r="J82" s="146"/>
      <c r="K82" s="146"/>
      <c r="L82" s="146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1"/>
      <c r="G83" s="142"/>
      <c r="H83" s="199"/>
      <c r="I83" s="142"/>
      <c r="J83" s="199"/>
      <c r="K83" s="142"/>
      <c r="L83" s="199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1"/>
      <c r="G84" s="142"/>
      <c r="H84" s="199"/>
      <c r="I84" s="142"/>
      <c r="J84" s="199"/>
      <c r="K84" s="142"/>
      <c r="L84" s="199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1"/>
      <c r="G85" s="142"/>
      <c r="H85" s="199"/>
      <c r="I85" s="142"/>
      <c r="J85" s="199"/>
      <c r="K85" s="142"/>
      <c r="L85" s="199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1"/>
      <c r="G86" s="142"/>
      <c r="H86" s="199"/>
      <c r="I86" s="142"/>
      <c r="J86" s="199"/>
      <c r="K86" s="142"/>
      <c r="L86" s="199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1"/>
      <c r="G87" s="142"/>
      <c r="H87" s="199"/>
      <c r="I87" s="142"/>
      <c r="J87" s="199"/>
      <c r="K87" s="142"/>
      <c r="L87" s="199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2"/>
      <c r="G88" s="153"/>
      <c r="H88" s="200"/>
      <c r="I88" s="153"/>
      <c r="J88" s="200"/>
      <c r="K88" s="153"/>
      <c r="L88" s="200"/>
    </row>
  </sheetData>
  <sheetProtection algorithmName="SHA-512" hashValue="EWYsBKk/yWLrklUNGZHJzF4aeTLjMCvy5hPsFj+LI4t+ia+25As96/bi2dMbZ5msjuPjl3L68TqjttgilqscTw==" saltValue="G6p9U4VLnjaAGEiAOnO1y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4" priority="3">
      <formula>$D6="N"</formula>
    </cfRule>
    <cfRule type="expression" dxfId="193" priority="4">
      <formula>ISEVEN($A6)</formula>
    </cfRule>
  </conditionalFormatting>
  <conditionalFormatting sqref="B5:B88">
    <cfRule type="cellIs" dxfId="192" priority="1" operator="equal">
      <formula>0</formula>
    </cfRule>
  </conditionalFormatting>
  <conditionalFormatting sqref="E6:E88">
    <cfRule type="cellIs" dxfId="191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6A5768-4C92-4586-8B61-70101C962A71}">
      <formula1>"N"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3FD-A2DC-4926-85EE-1A8EA4F43026}">
  <dimension ref="A1:L88"/>
  <sheetViews>
    <sheetView workbookViewId="0">
      <pane xSplit="5" ySplit="3" topLeftCell="F4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3" t="str">
        <f>LIDER!B2</f>
        <v>TECNOLOGÍA EN GESTIÓN DE NEGOCIOS INTERN</v>
      </c>
      <c r="B1" s="144"/>
      <c r="C1" s="144"/>
      <c r="D1" s="144"/>
      <c r="E1" s="144"/>
      <c r="F1" s="144"/>
      <c r="G1" s="144"/>
      <c r="H1" s="145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 t="str">
        <f>LIDER!H4</f>
        <v>PROCESO ADMINISTRATIVO</v>
      </c>
      <c r="C2" s="82"/>
      <c r="D2" s="3"/>
      <c r="F2" s="203" t="s">
        <v>92</v>
      </c>
      <c r="G2" s="204"/>
      <c r="H2" s="204"/>
      <c r="I2" s="204"/>
      <c r="J2" s="204"/>
      <c r="K2" s="204"/>
      <c r="L2" s="205"/>
    </row>
    <row r="3" spans="1:12" s="2" customFormat="1" ht="145.5" customHeight="1">
      <c r="B3" s="83" t="s">
        <v>93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6" t="str">
        <f>CONCATENATE(LIDER!H4," - ",LIDER!H6," - ",LIDER!H5)</f>
        <v>PROCESO ADMINISTRATIVO - 1387 - JAFET GOMEZ IZQUIERDO</v>
      </c>
      <c r="G4" s="206"/>
      <c r="H4" s="206"/>
      <c r="I4" s="206"/>
      <c r="J4" s="206"/>
      <c r="K4" s="206"/>
      <c r="L4" s="206"/>
    </row>
    <row r="5" spans="1:12" s="2" customFormat="1" ht="15.75" customHeight="1" thickBot="1">
      <c r="A5" s="8"/>
      <c r="B5" s="25" t="s">
        <v>70</v>
      </c>
      <c r="C5" s="88" t="s">
        <v>94</v>
      </c>
      <c r="D5" s="32" t="s">
        <v>95</v>
      </c>
      <c r="E5" s="89" t="s">
        <v>96</v>
      </c>
      <c r="F5" s="146" t="str">
        <f>LIDER!$E$29</f>
        <v>GRUPO#1</v>
      </c>
      <c r="G5" s="146"/>
      <c r="H5" s="146"/>
      <c r="I5" s="146"/>
      <c r="J5" s="146"/>
      <c r="K5" s="146"/>
      <c r="L5" s="146"/>
    </row>
    <row r="6" spans="1:12" s="2" customFormat="1" ht="12.75">
      <c r="A6" s="9">
        <v>1</v>
      </c>
      <c r="B6" s="10">
        <f>LIDER!E43</f>
        <v>0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201">
        <v>4</v>
      </c>
      <c r="G6" s="142">
        <v>4</v>
      </c>
      <c r="H6" s="199">
        <v>4</v>
      </c>
      <c r="I6" s="142">
        <v>4</v>
      </c>
      <c r="J6" s="199">
        <v>4</v>
      </c>
      <c r="K6" s="142"/>
      <c r="L6" s="199"/>
    </row>
    <row r="7" spans="1:12" s="2" customFormat="1" ht="15" customHeight="1">
      <c r="A7" s="12">
        <v>2</v>
      </c>
      <c r="B7" s="10" t="str">
        <f>LIDER!E44</f>
        <v>Valentina Castro Ibarra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3.9999999999999996</v>
      </c>
      <c r="F7" s="201"/>
      <c r="G7" s="142"/>
      <c r="H7" s="199"/>
      <c r="I7" s="142"/>
      <c r="J7" s="199"/>
      <c r="K7" s="142"/>
      <c r="L7" s="199"/>
    </row>
    <row r="8" spans="1:12" s="2" customFormat="1" ht="15" customHeight="1">
      <c r="A8" s="12">
        <v>3</v>
      </c>
      <c r="B8" s="10" t="str">
        <f>LIDER!E45</f>
        <v>Carmen Manuek Cruzate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3.9999999999999996</v>
      </c>
      <c r="F8" s="201"/>
      <c r="G8" s="142"/>
      <c r="H8" s="199"/>
      <c r="I8" s="142"/>
      <c r="J8" s="199"/>
      <c r="K8" s="142"/>
      <c r="L8" s="199"/>
    </row>
    <row r="9" spans="1:12" s="2" customFormat="1" ht="15" customHeight="1">
      <c r="A9" s="12">
        <v>4</v>
      </c>
      <c r="B9" s="10" t="str">
        <f>LIDER!E46</f>
        <v>Yulieth Martinez Carrasquilla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3.9999999999999996</v>
      </c>
      <c r="F9" s="201"/>
      <c r="G9" s="142"/>
      <c r="H9" s="199"/>
      <c r="I9" s="142"/>
      <c r="J9" s="199"/>
      <c r="K9" s="142"/>
      <c r="L9" s="199"/>
    </row>
    <row r="10" spans="1:12" s="2" customFormat="1" ht="15" customHeight="1">
      <c r="A10" s="12">
        <v>5</v>
      </c>
      <c r="B10" s="10" t="str">
        <f>LIDER!E47</f>
        <v>Angello Ortega Mesino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3.9999999999999996</v>
      </c>
      <c r="F10" s="201"/>
      <c r="G10" s="142"/>
      <c r="H10" s="199"/>
      <c r="I10" s="142"/>
      <c r="J10" s="199"/>
      <c r="K10" s="142"/>
      <c r="L10" s="199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1"/>
      <c r="G11" s="142"/>
      <c r="H11" s="199"/>
      <c r="I11" s="142"/>
      <c r="J11" s="199"/>
      <c r="K11" s="142"/>
      <c r="L11" s="199"/>
    </row>
    <row r="12" spans="1:12" s="2" customFormat="1" ht="15.75" customHeight="1" thickBot="1">
      <c r="A12" s="8"/>
      <c r="B12" s="25" t="s">
        <v>72</v>
      </c>
      <c r="C12" s="88" t="s">
        <v>97</v>
      </c>
      <c r="D12" s="32" t="str">
        <f>D5</f>
        <v>LIST</v>
      </c>
      <c r="E12" s="89" t="s">
        <v>96</v>
      </c>
      <c r="F12" s="146" t="str">
        <f>LIDER!$E$30</f>
        <v>GRUPO#2</v>
      </c>
      <c r="G12" s="146"/>
      <c r="H12" s="146"/>
      <c r="I12" s="146"/>
      <c r="J12" s="146"/>
      <c r="K12" s="146"/>
      <c r="L12" s="146"/>
    </row>
    <row r="13" spans="1:12" s="2" customFormat="1" ht="12.75">
      <c r="A13" s="9">
        <v>1</v>
      </c>
      <c r="B13" s="10" t="str">
        <f>LIDER!F43</f>
        <v>Cesar Pajaro Ramos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3.9999999999999996</v>
      </c>
      <c r="F13" s="201">
        <v>4</v>
      </c>
      <c r="G13" s="142">
        <v>4</v>
      </c>
      <c r="H13" s="199">
        <v>4</v>
      </c>
      <c r="I13" s="142">
        <v>4</v>
      </c>
      <c r="J13" s="199">
        <v>4</v>
      </c>
      <c r="K13" s="142"/>
      <c r="L13" s="199"/>
    </row>
    <row r="14" spans="1:12" s="2" customFormat="1" ht="15" customHeight="1">
      <c r="A14" s="12">
        <v>2</v>
      </c>
      <c r="B14" s="10" t="str">
        <f>LIDER!F44</f>
        <v>Elian Polo Soto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3.9999999999999996</v>
      </c>
      <c r="F14" s="201"/>
      <c r="G14" s="142"/>
      <c r="H14" s="199"/>
      <c r="I14" s="142"/>
      <c r="J14" s="199"/>
      <c r="K14" s="142"/>
      <c r="L14" s="199"/>
    </row>
    <row r="15" spans="1:12" s="2" customFormat="1" ht="15" customHeight="1">
      <c r="A15" s="12">
        <v>3</v>
      </c>
      <c r="B15" s="10" t="str">
        <f>LIDER!F45</f>
        <v>Juan C Corrales de la Rosa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3.9999999999999996</v>
      </c>
      <c r="F15" s="201"/>
      <c r="G15" s="142"/>
      <c r="H15" s="199"/>
      <c r="I15" s="142"/>
      <c r="J15" s="199"/>
      <c r="K15" s="142"/>
      <c r="L15" s="199"/>
    </row>
    <row r="16" spans="1:12" s="2" customFormat="1" ht="15" customHeight="1">
      <c r="A16" s="12">
        <v>4</v>
      </c>
      <c r="B16" s="10" t="str">
        <f>LIDER!F46</f>
        <v>Katerin Silva Peñate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3.9999999999999996</v>
      </c>
      <c r="F16" s="201"/>
      <c r="G16" s="142"/>
      <c r="H16" s="199"/>
      <c r="I16" s="142"/>
      <c r="J16" s="199"/>
      <c r="K16" s="142"/>
      <c r="L16" s="199"/>
    </row>
    <row r="17" spans="1:12" s="2" customFormat="1" ht="15" customHeight="1">
      <c r="A17" s="12">
        <v>5</v>
      </c>
      <c r="B17" s="10" t="str">
        <f>LIDER!F47</f>
        <v>Yorcelis Mercado Guerra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3.9999999999999996</v>
      </c>
      <c r="F17" s="201"/>
      <c r="G17" s="142"/>
      <c r="H17" s="199"/>
      <c r="I17" s="142"/>
      <c r="J17" s="199"/>
      <c r="K17" s="142"/>
      <c r="L17" s="199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1"/>
      <c r="G18" s="142"/>
      <c r="H18" s="199"/>
      <c r="I18" s="142"/>
      <c r="J18" s="199"/>
      <c r="K18" s="142"/>
      <c r="L18" s="199"/>
    </row>
    <row r="19" spans="1:12" s="2" customFormat="1" ht="15.75" customHeight="1">
      <c r="A19" s="14"/>
      <c r="B19" s="25" t="s">
        <v>74</v>
      </c>
      <c r="C19" s="88" t="s">
        <v>98</v>
      </c>
      <c r="D19" s="32" t="str">
        <f>D12</f>
        <v>LIST</v>
      </c>
      <c r="E19" s="89" t="s">
        <v>96</v>
      </c>
      <c r="F19" s="146" t="str">
        <f>LIDER!$E$31</f>
        <v>GRUPO#3</v>
      </c>
      <c r="G19" s="146"/>
      <c r="H19" s="146"/>
      <c r="I19" s="146"/>
      <c r="J19" s="146"/>
      <c r="K19" s="146"/>
      <c r="L19" s="146"/>
    </row>
    <row r="20" spans="1:12" s="2" customFormat="1" ht="12.75">
      <c r="A20" s="9">
        <v>1</v>
      </c>
      <c r="B20" s="10" t="str">
        <f>LIDER!G43</f>
        <v>Lauren castilla Gonzalez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3.9999999999999996</v>
      </c>
      <c r="F20" s="201">
        <v>4</v>
      </c>
      <c r="G20" s="142">
        <v>4</v>
      </c>
      <c r="H20" s="199">
        <v>4</v>
      </c>
      <c r="I20" s="142">
        <v>4</v>
      </c>
      <c r="J20" s="199">
        <v>4</v>
      </c>
      <c r="K20" s="142"/>
      <c r="L20" s="199"/>
    </row>
    <row r="21" spans="1:12" s="2" customFormat="1" ht="15" customHeight="1">
      <c r="A21" s="12">
        <v>2</v>
      </c>
      <c r="B21" s="10" t="str">
        <f>LIDER!G44</f>
        <v>Duvan Cespedes perez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3.9999999999999996</v>
      </c>
      <c r="F21" s="201"/>
      <c r="G21" s="142"/>
      <c r="H21" s="199"/>
      <c r="I21" s="142"/>
      <c r="J21" s="199"/>
      <c r="K21" s="142"/>
      <c r="L21" s="199"/>
    </row>
    <row r="22" spans="1:12" s="2" customFormat="1" ht="15" customHeight="1">
      <c r="A22" s="12">
        <v>3</v>
      </c>
      <c r="B22" s="10" t="str">
        <f>LIDER!G45</f>
        <v>Isaac Faciolince Bustos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3.9999999999999996</v>
      </c>
      <c r="F22" s="201"/>
      <c r="G22" s="142"/>
      <c r="H22" s="199"/>
      <c r="I22" s="142"/>
      <c r="J22" s="199"/>
      <c r="K22" s="142"/>
      <c r="L22" s="199"/>
    </row>
    <row r="23" spans="1:12" s="2" customFormat="1" ht="15" customHeight="1">
      <c r="A23" s="12">
        <v>4</v>
      </c>
      <c r="B23" s="10" t="str">
        <f>LIDER!G46</f>
        <v>Jesus Lopez Morales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3.9999999999999996</v>
      </c>
      <c r="F23" s="201"/>
      <c r="G23" s="142"/>
      <c r="H23" s="199"/>
      <c r="I23" s="142"/>
      <c r="J23" s="199"/>
      <c r="K23" s="142"/>
      <c r="L23" s="199"/>
    </row>
    <row r="24" spans="1:12" s="2" customFormat="1" ht="15" customHeight="1">
      <c r="A24" s="12">
        <v>5</v>
      </c>
      <c r="B24" s="10" t="str">
        <f>LIDER!G47</f>
        <v>Dakar Moarles Paternina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3.9999999999999996</v>
      </c>
      <c r="F24" s="201"/>
      <c r="G24" s="142"/>
      <c r="H24" s="199"/>
      <c r="I24" s="142"/>
      <c r="J24" s="199"/>
      <c r="K24" s="142"/>
      <c r="L24" s="199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1"/>
      <c r="G25" s="142"/>
      <c r="H25" s="199"/>
      <c r="I25" s="142"/>
      <c r="J25" s="199"/>
      <c r="K25" s="142"/>
      <c r="L25" s="199"/>
    </row>
    <row r="26" spans="1:12" s="2" customFormat="1" ht="15.75" customHeight="1">
      <c r="A26" s="14"/>
      <c r="B26" s="25" t="s">
        <v>76</v>
      </c>
      <c r="C26" s="88" t="s">
        <v>99</v>
      </c>
      <c r="D26" s="32" t="str">
        <f>D19</f>
        <v>LIST</v>
      </c>
      <c r="E26" s="89" t="s">
        <v>96</v>
      </c>
      <c r="F26" s="146" t="str">
        <f>LIDER!$E$32</f>
        <v>GRUPO#4</v>
      </c>
      <c r="G26" s="146"/>
      <c r="H26" s="146"/>
      <c r="I26" s="146"/>
      <c r="J26" s="146"/>
      <c r="K26" s="146"/>
      <c r="L26" s="146"/>
    </row>
    <row r="27" spans="1:12" s="2" customFormat="1" ht="12.75">
      <c r="A27" s="9">
        <v>1</v>
      </c>
      <c r="B27" s="10" t="str">
        <f>LIDER!H43</f>
        <v>Ian Yoraco Berrio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3.9999999999999996</v>
      </c>
      <c r="F27" s="201">
        <v>4</v>
      </c>
      <c r="G27" s="142">
        <v>4</v>
      </c>
      <c r="H27" s="199">
        <v>4</v>
      </c>
      <c r="I27" s="142">
        <v>4</v>
      </c>
      <c r="J27" s="199">
        <v>4</v>
      </c>
      <c r="K27" s="142"/>
      <c r="L27" s="199"/>
    </row>
    <row r="28" spans="1:12" s="2" customFormat="1" ht="15" customHeight="1">
      <c r="A28" s="12">
        <v>2</v>
      </c>
      <c r="B28" s="10" t="str">
        <f>LIDER!H44</f>
        <v>Nataly Castro Jimenez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3.9999999999999996</v>
      </c>
      <c r="F28" s="201"/>
      <c r="G28" s="142"/>
      <c r="H28" s="199"/>
      <c r="I28" s="142"/>
      <c r="J28" s="199"/>
      <c r="K28" s="142"/>
      <c r="L28" s="199"/>
    </row>
    <row r="29" spans="1:12" s="2" customFormat="1" ht="15" customHeight="1">
      <c r="A29" s="12">
        <v>3</v>
      </c>
      <c r="B29" s="10" t="str">
        <f>LIDER!H45</f>
        <v>Oscar Lorduy Neira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3.9999999999999996</v>
      </c>
      <c r="F29" s="201"/>
      <c r="G29" s="142"/>
      <c r="H29" s="199"/>
      <c r="I29" s="142"/>
      <c r="J29" s="199"/>
      <c r="K29" s="142"/>
      <c r="L29" s="199"/>
    </row>
    <row r="30" spans="1:12" s="2" customFormat="1" ht="15" customHeight="1">
      <c r="A30" s="12">
        <v>4</v>
      </c>
      <c r="B30" s="10" t="str">
        <f>LIDER!H46</f>
        <v>Carlos Orozco Valdes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3.9999999999999996</v>
      </c>
      <c r="F30" s="201"/>
      <c r="G30" s="142"/>
      <c r="H30" s="199"/>
      <c r="I30" s="142"/>
      <c r="J30" s="199"/>
      <c r="K30" s="142"/>
      <c r="L30" s="199"/>
    </row>
    <row r="31" spans="1:12" s="2" customFormat="1" ht="15" customHeight="1">
      <c r="A31" s="12">
        <v>5</v>
      </c>
      <c r="B31" s="10" t="str">
        <f>LIDER!H47</f>
        <v>Sandri Valdez Sepulveda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3.9999999999999996</v>
      </c>
      <c r="F31" s="201"/>
      <c r="G31" s="142"/>
      <c r="H31" s="199"/>
      <c r="I31" s="142"/>
      <c r="J31" s="199"/>
      <c r="K31" s="142"/>
      <c r="L31" s="199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1"/>
      <c r="G32" s="142"/>
      <c r="H32" s="199"/>
      <c r="I32" s="142"/>
      <c r="J32" s="199"/>
      <c r="K32" s="142"/>
      <c r="L32" s="199"/>
    </row>
    <row r="33" spans="1:12" s="2" customFormat="1" ht="15.75" customHeight="1">
      <c r="A33" s="14"/>
      <c r="B33" s="25" t="s">
        <v>78</v>
      </c>
      <c r="C33" s="88" t="s">
        <v>100</v>
      </c>
      <c r="D33" s="32" t="str">
        <f>D26</f>
        <v>LIST</v>
      </c>
      <c r="E33" s="89" t="s">
        <v>96</v>
      </c>
      <c r="F33" s="146" t="str">
        <f>LIDER!$E$33</f>
        <v>GRUPO#5</v>
      </c>
      <c r="G33" s="146"/>
      <c r="H33" s="146"/>
      <c r="I33" s="146"/>
      <c r="J33" s="146"/>
      <c r="K33" s="146"/>
      <c r="L33" s="146"/>
    </row>
    <row r="34" spans="1:12" s="2" customFormat="1" ht="12.75">
      <c r="A34" s="9">
        <v>1</v>
      </c>
      <c r="B34" s="10" t="str">
        <f>LIDER!E51</f>
        <v>Adrian Marriaga Muñoz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3.9999999999999996</v>
      </c>
      <c r="F34" s="201">
        <v>4</v>
      </c>
      <c r="G34" s="142">
        <v>4</v>
      </c>
      <c r="H34" s="199">
        <v>4</v>
      </c>
      <c r="I34" s="142">
        <v>4</v>
      </c>
      <c r="J34" s="199">
        <v>4</v>
      </c>
      <c r="K34" s="142"/>
      <c r="L34" s="199"/>
    </row>
    <row r="35" spans="1:12" s="2" customFormat="1" ht="15" customHeight="1">
      <c r="A35" s="12">
        <v>2</v>
      </c>
      <c r="B35" s="10" t="str">
        <f>LIDER!E52</f>
        <v>Kristin Perez martinez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3.9999999999999996</v>
      </c>
      <c r="F35" s="201"/>
      <c r="G35" s="142"/>
      <c r="H35" s="199"/>
      <c r="I35" s="142"/>
      <c r="J35" s="199"/>
      <c r="K35" s="142"/>
      <c r="L35" s="199"/>
    </row>
    <row r="36" spans="1:12" s="2" customFormat="1" ht="15" customHeight="1">
      <c r="A36" s="12">
        <v>3</v>
      </c>
      <c r="B36" s="10" t="str">
        <f>LIDER!E53</f>
        <v>Nina Aguilar Sarabia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3.9999999999999996</v>
      </c>
      <c r="F36" s="201"/>
      <c r="G36" s="142"/>
      <c r="H36" s="199"/>
      <c r="I36" s="142"/>
      <c r="J36" s="199"/>
      <c r="K36" s="142"/>
      <c r="L36" s="199"/>
    </row>
    <row r="37" spans="1:12" s="2" customFormat="1" ht="15" customHeight="1">
      <c r="A37" s="12">
        <v>4</v>
      </c>
      <c r="B37" s="10" t="str">
        <f>LIDER!E54</f>
        <v>Theres Theran caicedo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3.9999999999999996</v>
      </c>
      <c r="F37" s="201"/>
      <c r="G37" s="142"/>
      <c r="H37" s="199"/>
      <c r="I37" s="142"/>
      <c r="J37" s="199"/>
      <c r="K37" s="142"/>
      <c r="L37" s="199"/>
    </row>
    <row r="38" spans="1:12" s="2" customFormat="1" ht="15" customHeight="1">
      <c r="A38" s="12">
        <v>5</v>
      </c>
      <c r="B38" s="10" t="str">
        <f>LIDER!E55</f>
        <v>Diego Cardona Bolaño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3.9999999999999996</v>
      </c>
      <c r="F38" s="201"/>
      <c r="G38" s="142"/>
      <c r="H38" s="199"/>
      <c r="I38" s="142"/>
      <c r="J38" s="199"/>
      <c r="K38" s="142"/>
      <c r="L38" s="199"/>
    </row>
    <row r="39" spans="1:12" s="2" customFormat="1" ht="15.75" customHeight="1">
      <c r="A39" s="13">
        <v>6</v>
      </c>
      <c r="B39" s="91" t="str">
        <f>LIDER!E56</f>
        <v>Jhamer Luis Maza Ramos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3.9999999999999996</v>
      </c>
      <c r="F39" s="201"/>
      <c r="G39" s="142"/>
      <c r="H39" s="199"/>
      <c r="I39" s="142"/>
      <c r="J39" s="199"/>
      <c r="K39" s="142"/>
      <c r="L39" s="199"/>
    </row>
    <row r="40" spans="1:12" s="2" customFormat="1" ht="15.75" customHeight="1">
      <c r="A40" s="14"/>
      <c r="B40" s="25" t="s">
        <v>80</v>
      </c>
      <c r="C40" s="88" t="s">
        <v>101</v>
      </c>
      <c r="D40" s="32" t="str">
        <f>D33</f>
        <v>LIST</v>
      </c>
      <c r="E40" s="89" t="s">
        <v>96</v>
      </c>
      <c r="F40" s="146" t="str">
        <f>LIDER!$E$34</f>
        <v>GRUPO#6</v>
      </c>
      <c r="G40" s="146"/>
      <c r="H40" s="146"/>
      <c r="I40" s="146"/>
      <c r="J40" s="146"/>
      <c r="K40" s="146"/>
      <c r="L40" s="146"/>
    </row>
    <row r="41" spans="1:12" s="2" customFormat="1" ht="12.75">
      <c r="A41" s="9">
        <v>1</v>
      </c>
      <c r="B41" s="10" t="str">
        <f>LIDER!F51</f>
        <v>Yureidy Alarez Castellano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3.9999999999999996</v>
      </c>
      <c r="F41" s="201">
        <v>4</v>
      </c>
      <c r="G41" s="142">
        <v>4</v>
      </c>
      <c r="H41" s="199">
        <v>4</v>
      </c>
      <c r="I41" s="142">
        <v>4</v>
      </c>
      <c r="J41" s="199">
        <v>4</v>
      </c>
      <c r="K41" s="142"/>
      <c r="L41" s="199"/>
    </row>
    <row r="42" spans="1:12" s="2" customFormat="1" ht="15" customHeight="1">
      <c r="A42" s="12">
        <v>2</v>
      </c>
      <c r="B42" s="10" t="str">
        <f>LIDER!F52</f>
        <v>Juan C Baldiris Espitia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3.9999999999999996</v>
      </c>
      <c r="F42" s="201"/>
      <c r="G42" s="142"/>
      <c r="H42" s="199"/>
      <c r="I42" s="142"/>
      <c r="J42" s="199"/>
      <c r="K42" s="142"/>
      <c r="L42" s="199"/>
    </row>
    <row r="43" spans="1:12" s="2" customFormat="1" ht="15" customHeight="1">
      <c r="A43" s="12">
        <v>3</v>
      </c>
      <c r="B43" s="10" t="str">
        <f>LIDER!F53</f>
        <v>Andres F Torres Arroyo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3.9999999999999996</v>
      </c>
      <c r="F43" s="201"/>
      <c r="G43" s="142"/>
      <c r="H43" s="199"/>
      <c r="I43" s="142"/>
      <c r="J43" s="199"/>
      <c r="K43" s="142"/>
      <c r="L43" s="199"/>
    </row>
    <row r="44" spans="1:12" s="2" customFormat="1" ht="15" customHeight="1">
      <c r="A44" s="12">
        <v>4</v>
      </c>
      <c r="B44" s="10" t="str">
        <f>LIDER!F54</f>
        <v>Sherlyn Villegas Maza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3.9999999999999996</v>
      </c>
      <c r="F44" s="201"/>
      <c r="G44" s="142"/>
      <c r="H44" s="199"/>
      <c r="I44" s="142"/>
      <c r="J44" s="199"/>
      <c r="K44" s="142"/>
      <c r="L44" s="199"/>
    </row>
    <row r="45" spans="1:12" s="2" customFormat="1" ht="15" customHeight="1">
      <c r="A45" s="12">
        <v>5</v>
      </c>
      <c r="B45" s="10" t="str">
        <f>LIDER!F55</f>
        <v>Isaac Zapata Zapata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3.9999999999999996</v>
      </c>
      <c r="F45" s="201"/>
      <c r="G45" s="142"/>
      <c r="H45" s="199"/>
      <c r="I45" s="142"/>
      <c r="J45" s="199"/>
      <c r="K45" s="142"/>
      <c r="L45" s="199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1"/>
      <c r="G46" s="142"/>
      <c r="H46" s="199"/>
      <c r="I46" s="142"/>
      <c r="J46" s="199"/>
      <c r="K46" s="142"/>
      <c r="L46" s="199"/>
    </row>
    <row r="47" spans="1:12" s="2" customFormat="1" ht="15.75" customHeight="1">
      <c r="A47" s="14"/>
      <c r="B47" s="25" t="s">
        <v>82</v>
      </c>
      <c r="C47" s="88" t="s">
        <v>102</v>
      </c>
      <c r="D47" s="32" t="str">
        <f>D40</f>
        <v>LIST</v>
      </c>
      <c r="E47" s="89" t="s">
        <v>96</v>
      </c>
      <c r="F47" s="146" t="str">
        <f>LIDER!$E$35</f>
        <v>GRUPO#7</v>
      </c>
      <c r="G47" s="146"/>
      <c r="H47" s="146"/>
      <c r="I47" s="146"/>
      <c r="J47" s="146"/>
      <c r="K47" s="146"/>
      <c r="L47" s="146"/>
    </row>
    <row r="48" spans="1:12" s="2" customFormat="1" ht="12.75">
      <c r="A48" s="9">
        <v>1</v>
      </c>
      <c r="B48" s="10" t="str">
        <f>LIDER!G51</f>
        <v>Valeria Balesteros Almentero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1"/>
      <c r="G48" s="142"/>
      <c r="H48" s="199"/>
      <c r="I48" s="142"/>
      <c r="J48" s="199"/>
      <c r="K48" s="142"/>
      <c r="L48" s="199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1"/>
      <c r="G49" s="142"/>
      <c r="H49" s="199"/>
      <c r="I49" s="142"/>
      <c r="J49" s="199"/>
      <c r="K49" s="142"/>
      <c r="L49" s="199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1"/>
      <c r="G50" s="142"/>
      <c r="H50" s="199"/>
      <c r="I50" s="142"/>
      <c r="J50" s="199"/>
      <c r="K50" s="142"/>
      <c r="L50" s="199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1"/>
      <c r="G51" s="142"/>
      <c r="H51" s="199"/>
      <c r="I51" s="142"/>
      <c r="J51" s="199"/>
      <c r="K51" s="142"/>
      <c r="L51" s="199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1"/>
      <c r="G52" s="142"/>
      <c r="H52" s="199"/>
      <c r="I52" s="142"/>
      <c r="J52" s="199"/>
      <c r="K52" s="142"/>
      <c r="L52" s="199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1"/>
      <c r="G53" s="142"/>
      <c r="H53" s="199"/>
      <c r="I53" s="142"/>
      <c r="J53" s="199"/>
      <c r="K53" s="142"/>
      <c r="L53" s="199"/>
    </row>
    <row r="54" spans="1:12" s="2" customFormat="1" ht="15.75" customHeight="1">
      <c r="A54" s="14"/>
      <c r="B54" s="25" t="s">
        <v>84</v>
      </c>
      <c r="C54" s="88" t="s">
        <v>103</v>
      </c>
      <c r="D54" s="32" t="str">
        <f>D47</f>
        <v>LIST</v>
      </c>
      <c r="E54" s="89" t="s">
        <v>96</v>
      </c>
      <c r="F54" s="146" t="str">
        <f>LIDER!$E$36</f>
        <v>GRUPO#8</v>
      </c>
      <c r="G54" s="146"/>
      <c r="H54" s="146"/>
      <c r="I54" s="146"/>
      <c r="J54" s="146"/>
      <c r="K54" s="146"/>
      <c r="L54" s="146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1"/>
      <c r="G55" s="142"/>
      <c r="H55" s="199"/>
      <c r="I55" s="142"/>
      <c r="J55" s="199"/>
      <c r="K55" s="142"/>
      <c r="L55" s="199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1"/>
      <c r="G56" s="142"/>
      <c r="H56" s="199"/>
      <c r="I56" s="142"/>
      <c r="J56" s="199"/>
      <c r="K56" s="142"/>
      <c r="L56" s="199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1"/>
      <c r="G57" s="142"/>
      <c r="H57" s="199"/>
      <c r="I57" s="142"/>
      <c r="J57" s="199"/>
      <c r="K57" s="142"/>
      <c r="L57" s="199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1"/>
      <c r="G58" s="142"/>
      <c r="H58" s="199"/>
      <c r="I58" s="142"/>
      <c r="J58" s="199"/>
      <c r="K58" s="142"/>
      <c r="L58" s="199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1"/>
      <c r="G59" s="142"/>
      <c r="H59" s="199"/>
      <c r="I59" s="142"/>
      <c r="J59" s="199"/>
      <c r="K59" s="142"/>
      <c r="L59" s="199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1"/>
      <c r="G60" s="142"/>
      <c r="H60" s="199"/>
      <c r="I60" s="142"/>
      <c r="J60" s="199"/>
      <c r="K60" s="142"/>
      <c r="L60" s="199"/>
    </row>
    <row r="61" spans="1:12" s="2" customFormat="1" ht="15.75" customHeight="1">
      <c r="A61" s="14"/>
      <c r="B61" s="25" t="s">
        <v>86</v>
      </c>
      <c r="C61" s="88" t="s">
        <v>104</v>
      </c>
      <c r="D61" s="32" t="str">
        <f>D54</f>
        <v>LIST</v>
      </c>
      <c r="E61" s="89" t="s">
        <v>96</v>
      </c>
      <c r="F61" s="146" t="str">
        <f>LIDER!$E$37</f>
        <v>GRUPO#9</v>
      </c>
      <c r="G61" s="146"/>
      <c r="H61" s="146"/>
      <c r="I61" s="146"/>
      <c r="J61" s="146"/>
      <c r="K61" s="146"/>
      <c r="L61" s="146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1"/>
      <c r="G62" s="142"/>
      <c r="H62" s="199"/>
      <c r="I62" s="142"/>
      <c r="J62" s="199"/>
      <c r="K62" s="142"/>
      <c r="L62" s="199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1"/>
      <c r="G63" s="142"/>
      <c r="H63" s="199"/>
      <c r="I63" s="142"/>
      <c r="J63" s="199"/>
      <c r="K63" s="142"/>
      <c r="L63" s="199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1"/>
      <c r="G64" s="142"/>
      <c r="H64" s="199"/>
      <c r="I64" s="142"/>
      <c r="J64" s="199"/>
      <c r="K64" s="142"/>
      <c r="L64" s="199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1"/>
      <c r="G65" s="142"/>
      <c r="H65" s="199"/>
      <c r="I65" s="142"/>
      <c r="J65" s="199"/>
      <c r="K65" s="142"/>
      <c r="L65" s="199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1"/>
      <c r="G66" s="142"/>
      <c r="H66" s="199"/>
      <c r="I66" s="142"/>
      <c r="J66" s="199"/>
      <c r="K66" s="142"/>
      <c r="L66" s="199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1"/>
      <c r="G67" s="142"/>
      <c r="H67" s="199"/>
      <c r="I67" s="142"/>
      <c r="J67" s="199"/>
      <c r="K67" s="142"/>
      <c r="L67" s="199"/>
    </row>
    <row r="68" spans="1:12" s="2" customFormat="1" ht="15.75" customHeight="1">
      <c r="A68" s="14"/>
      <c r="B68" s="25" t="s">
        <v>88</v>
      </c>
      <c r="C68" s="88" t="s">
        <v>105</v>
      </c>
      <c r="D68" s="32" t="str">
        <f>D61</f>
        <v>LIST</v>
      </c>
      <c r="E68" s="89" t="s">
        <v>96</v>
      </c>
      <c r="F68" s="146" t="str">
        <f>LIDER!$E$38</f>
        <v>GRUPO#10</v>
      </c>
      <c r="G68" s="146"/>
      <c r="H68" s="146"/>
      <c r="I68" s="146"/>
      <c r="J68" s="146"/>
      <c r="K68" s="146"/>
      <c r="L68" s="146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1"/>
      <c r="G69" s="142"/>
      <c r="H69" s="199"/>
      <c r="I69" s="142"/>
      <c r="J69" s="199"/>
      <c r="K69" s="142"/>
      <c r="L69" s="199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1"/>
      <c r="G70" s="142"/>
      <c r="H70" s="199"/>
      <c r="I70" s="142"/>
      <c r="J70" s="199"/>
      <c r="K70" s="142"/>
      <c r="L70" s="199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1"/>
      <c r="G71" s="142"/>
      <c r="H71" s="199"/>
      <c r="I71" s="142"/>
      <c r="J71" s="199"/>
      <c r="K71" s="142"/>
      <c r="L71" s="199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1"/>
      <c r="G72" s="142"/>
      <c r="H72" s="199"/>
      <c r="I72" s="142"/>
      <c r="J72" s="199"/>
      <c r="K72" s="142"/>
      <c r="L72" s="199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1"/>
      <c r="G73" s="142"/>
      <c r="H73" s="199"/>
      <c r="I73" s="142"/>
      <c r="J73" s="199"/>
      <c r="K73" s="142"/>
      <c r="L73" s="199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1"/>
      <c r="G74" s="142"/>
      <c r="H74" s="199"/>
      <c r="I74" s="142"/>
      <c r="J74" s="199"/>
      <c r="K74" s="142"/>
      <c r="L74" s="199"/>
    </row>
    <row r="75" spans="1:12" s="2" customFormat="1" ht="15.75" customHeight="1">
      <c r="A75" s="14"/>
      <c r="B75" s="25" t="s">
        <v>90</v>
      </c>
      <c r="C75" s="88" t="s">
        <v>106</v>
      </c>
      <c r="D75" s="32" t="str">
        <f>D68</f>
        <v>LIST</v>
      </c>
      <c r="E75" s="89" t="s">
        <v>96</v>
      </c>
      <c r="F75" s="146" t="str">
        <f>LIDER!$E$39</f>
        <v>GRUPO#11</v>
      </c>
      <c r="G75" s="146"/>
      <c r="H75" s="146"/>
      <c r="I75" s="146"/>
      <c r="J75" s="146"/>
      <c r="K75" s="146"/>
      <c r="L75" s="146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1"/>
      <c r="G76" s="142"/>
      <c r="H76" s="199"/>
      <c r="I76" s="142"/>
      <c r="J76" s="199"/>
      <c r="K76" s="142"/>
      <c r="L76" s="199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1"/>
      <c r="G77" s="142"/>
      <c r="H77" s="199"/>
      <c r="I77" s="142"/>
      <c r="J77" s="199"/>
      <c r="K77" s="142"/>
      <c r="L77" s="199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1"/>
      <c r="G78" s="142"/>
      <c r="H78" s="199"/>
      <c r="I78" s="142"/>
      <c r="J78" s="199"/>
      <c r="K78" s="142"/>
      <c r="L78" s="199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1"/>
      <c r="G79" s="142"/>
      <c r="H79" s="199"/>
      <c r="I79" s="142"/>
      <c r="J79" s="199"/>
      <c r="K79" s="142"/>
      <c r="L79" s="199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1"/>
      <c r="G80" s="142"/>
      <c r="H80" s="199"/>
      <c r="I80" s="142"/>
      <c r="J80" s="199"/>
      <c r="K80" s="142"/>
      <c r="L80" s="199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1"/>
      <c r="G81" s="142"/>
      <c r="H81" s="199"/>
      <c r="I81" s="142"/>
      <c r="J81" s="199"/>
      <c r="K81" s="142"/>
      <c r="L81" s="199"/>
    </row>
    <row r="82" spans="1:12" s="2" customFormat="1" ht="15.75" customHeight="1">
      <c r="A82" s="14"/>
      <c r="B82" s="25" t="s">
        <v>91</v>
      </c>
      <c r="C82" s="88" t="s">
        <v>107</v>
      </c>
      <c r="D82" s="32" t="str">
        <f>D75</f>
        <v>LIST</v>
      </c>
      <c r="E82" s="89" t="s">
        <v>96</v>
      </c>
      <c r="F82" s="146" t="str">
        <f>LIDER!$E$40</f>
        <v>GRUPO#12</v>
      </c>
      <c r="G82" s="146"/>
      <c r="H82" s="146"/>
      <c r="I82" s="146"/>
      <c r="J82" s="146"/>
      <c r="K82" s="146"/>
      <c r="L82" s="146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1"/>
      <c r="G83" s="142"/>
      <c r="H83" s="199"/>
      <c r="I83" s="142"/>
      <c r="J83" s="199"/>
      <c r="K83" s="142"/>
      <c r="L83" s="199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1"/>
      <c r="G84" s="142"/>
      <c r="H84" s="199"/>
      <c r="I84" s="142"/>
      <c r="J84" s="199"/>
      <c r="K84" s="142"/>
      <c r="L84" s="199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1"/>
      <c r="G85" s="142"/>
      <c r="H85" s="199"/>
      <c r="I85" s="142"/>
      <c r="J85" s="199"/>
      <c r="K85" s="142"/>
      <c r="L85" s="199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1"/>
      <c r="G86" s="142"/>
      <c r="H86" s="199"/>
      <c r="I86" s="142"/>
      <c r="J86" s="199"/>
      <c r="K86" s="142"/>
      <c r="L86" s="199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1"/>
      <c r="G87" s="142"/>
      <c r="H87" s="199"/>
      <c r="I87" s="142"/>
      <c r="J87" s="199"/>
      <c r="K87" s="142"/>
      <c r="L87" s="199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2"/>
      <c r="G88" s="153"/>
      <c r="H88" s="200"/>
      <c r="I88" s="153"/>
      <c r="J88" s="200"/>
      <c r="K88" s="153"/>
      <c r="L88" s="200"/>
    </row>
  </sheetData>
  <sheetProtection algorithmName="SHA-512" hashValue="LV+M6TEBnLEvEDZvkMos/MEdRZoIqoXq1dLXM4pXZlOVJXDla2ksbD2gdljpk//ERSAst61EcrXkizWk7zW2+Q==" saltValue="4MK1ZtUyVBuiih5d7J72lA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0" priority="3">
      <formula>$D6="N"</formula>
    </cfRule>
    <cfRule type="expression" dxfId="189" priority="4">
      <formula>ISEVEN($A6)</formula>
    </cfRule>
  </conditionalFormatting>
  <conditionalFormatting sqref="B5:B88">
    <cfRule type="cellIs" dxfId="188" priority="1" operator="equal">
      <formula>0</formula>
    </cfRule>
  </conditionalFormatting>
  <conditionalFormatting sqref="E6:E88">
    <cfRule type="cellIs" dxfId="18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92F8D1-C3FC-4691-ADCB-4A8D124EB423}">
      <formula1>"N"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31B3-84AC-4018-AA0E-22FF9CF0EF82}">
  <dimension ref="A1:L88"/>
  <sheetViews>
    <sheetView workbookViewId="0">
      <pane xSplit="5" ySplit="3" topLeftCell="F4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3" t="str">
        <f>LIDER!B2</f>
        <v>TECNOLOGÍA EN GESTIÓN DE NEGOCIOS INTERN</v>
      </c>
      <c r="B1" s="144"/>
      <c r="C1" s="144"/>
      <c r="D1" s="144"/>
      <c r="E1" s="144"/>
      <c r="F1" s="144"/>
      <c r="G1" s="144"/>
      <c r="H1" s="145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2</v>
      </c>
    </row>
    <row r="2" spans="1:12" s="2" customFormat="1" ht="20.100000000000001" customHeight="1" thickBot="1">
      <c r="B2" s="81">
        <f>LIDER!I4</f>
        <v>0</v>
      </c>
      <c r="C2" s="82"/>
      <c r="D2" s="3"/>
      <c r="F2" s="203" t="s">
        <v>92</v>
      </c>
      <c r="G2" s="204"/>
      <c r="H2" s="204"/>
      <c r="I2" s="204"/>
      <c r="J2" s="204"/>
      <c r="K2" s="204"/>
      <c r="L2" s="205"/>
    </row>
    <row r="3" spans="1:12" s="2" customFormat="1" ht="145.5" customHeight="1">
      <c r="B3" s="83" t="s">
        <v>93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6" t="str">
        <f>CONCATENATE(LIDER!I4," - ",LIDER!I6," - ",LIDER!I5)</f>
        <v xml:space="preserve"> -  - </v>
      </c>
      <c r="G4" s="206"/>
      <c r="H4" s="206"/>
      <c r="I4" s="206"/>
      <c r="J4" s="206"/>
      <c r="K4" s="206"/>
      <c r="L4" s="206"/>
    </row>
    <row r="5" spans="1:12" s="2" customFormat="1" ht="15.75" customHeight="1" thickBot="1">
      <c r="A5" s="8"/>
      <c r="B5" s="25" t="s">
        <v>70</v>
      </c>
      <c r="C5" s="88" t="s">
        <v>94</v>
      </c>
      <c r="D5" s="32" t="s">
        <v>95</v>
      </c>
      <c r="E5" s="89" t="s">
        <v>96</v>
      </c>
      <c r="F5" s="146" t="str">
        <f>LIDER!$E$29</f>
        <v>GRUPO#1</v>
      </c>
      <c r="G5" s="146"/>
      <c r="H5" s="146"/>
      <c r="I5" s="146"/>
      <c r="J5" s="146"/>
      <c r="K5" s="146"/>
      <c r="L5" s="146"/>
    </row>
    <row r="6" spans="1:12" s="2" customFormat="1" ht="12.75">
      <c r="A6" s="9">
        <v>1</v>
      </c>
      <c r="B6" s="10">
        <f>LIDER!E43</f>
        <v>0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201"/>
      <c r="G6" s="142"/>
      <c r="H6" s="199"/>
      <c r="I6" s="142"/>
      <c r="J6" s="199"/>
      <c r="K6" s="142"/>
      <c r="L6" s="199"/>
    </row>
    <row r="7" spans="1:12" s="2" customFormat="1" ht="15" customHeight="1">
      <c r="A7" s="12">
        <v>2</v>
      </c>
      <c r="B7" s="10" t="str">
        <f>LIDER!E44</f>
        <v>Valentina Castro Ibarra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201"/>
      <c r="G7" s="142"/>
      <c r="H7" s="199"/>
      <c r="I7" s="142"/>
      <c r="J7" s="199"/>
      <c r="K7" s="142"/>
      <c r="L7" s="199"/>
    </row>
    <row r="8" spans="1:12" s="2" customFormat="1" ht="15" customHeight="1">
      <c r="A8" s="12">
        <v>3</v>
      </c>
      <c r="B8" s="10" t="str">
        <f>LIDER!E45</f>
        <v>Carmen Manuek Cruzate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201"/>
      <c r="G8" s="142"/>
      <c r="H8" s="199"/>
      <c r="I8" s="142"/>
      <c r="J8" s="199"/>
      <c r="K8" s="142"/>
      <c r="L8" s="199"/>
    </row>
    <row r="9" spans="1:12" s="2" customFormat="1" ht="15" customHeight="1">
      <c r="A9" s="12">
        <v>4</v>
      </c>
      <c r="B9" s="10" t="str">
        <f>LIDER!E46</f>
        <v>Yulieth Martinez Carrasquilla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1"/>
      <c r="G9" s="142"/>
      <c r="H9" s="199"/>
      <c r="I9" s="142"/>
      <c r="J9" s="199"/>
      <c r="K9" s="142"/>
      <c r="L9" s="199"/>
    </row>
    <row r="10" spans="1:12" s="2" customFormat="1" ht="15" customHeight="1">
      <c r="A10" s="12">
        <v>5</v>
      </c>
      <c r="B10" s="10" t="str">
        <f>LIDER!E47</f>
        <v>Angello Ortega Mesino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1"/>
      <c r="G10" s="142"/>
      <c r="H10" s="199"/>
      <c r="I10" s="142"/>
      <c r="J10" s="199"/>
      <c r="K10" s="142"/>
      <c r="L10" s="199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1"/>
      <c r="G11" s="142"/>
      <c r="H11" s="199"/>
      <c r="I11" s="142"/>
      <c r="J11" s="199"/>
      <c r="K11" s="142"/>
      <c r="L11" s="199"/>
    </row>
    <row r="12" spans="1:12" s="2" customFormat="1" ht="15.75" customHeight="1" thickBot="1">
      <c r="A12" s="8"/>
      <c r="B12" s="25" t="s">
        <v>72</v>
      </c>
      <c r="C12" s="88" t="s">
        <v>97</v>
      </c>
      <c r="D12" s="32" t="str">
        <f>D5</f>
        <v>LIST</v>
      </c>
      <c r="E12" s="89" t="s">
        <v>96</v>
      </c>
      <c r="F12" s="146" t="str">
        <f>LIDER!$E$30</f>
        <v>GRUPO#2</v>
      </c>
      <c r="G12" s="146"/>
      <c r="H12" s="146"/>
      <c r="I12" s="146"/>
      <c r="J12" s="146"/>
      <c r="K12" s="146"/>
      <c r="L12" s="146"/>
    </row>
    <row r="13" spans="1:12" s="2" customFormat="1" ht="12.75">
      <c r="A13" s="9">
        <v>1</v>
      </c>
      <c r="B13" s="10" t="str">
        <f>LIDER!F43</f>
        <v>Cesar Pajaro Ramos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201"/>
      <c r="G13" s="142"/>
      <c r="H13" s="199"/>
      <c r="I13" s="142"/>
      <c r="J13" s="199"/>
      <c r="K13" s="142"/>
      <c r="L13" s="199"/>
    </row>
    <row r="14" spans="1:12" s="2" customFormat="1" ht="15" customHeight="1">
      <c r="A14" s="12">
        <v>2</v>
      </c>
      <c r="B14" s="10" t="str">
        <f>LIDER!F44</f>
        <v>Elian Polo Soto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201"/>
      <c r="G14" s="142"/>
      <c r="H14" s="199"/>
      <c r="I14" s="142"/>
      <c r="J14" s="199"/>
      <c r="K14" s="142"/>
      <c r="L14" s="199"/>
    </row>
    <row r="15" spans="1:12" s="2" customFormat="1" ht="15" customHeight="1">
      <c r="A15" s="12">
        <v>3</v>
      </c>
      <c r="B15" s="10" t="str">
        <f>LIDER!F45</f>
        <v>Juan C Corrales de la Rosa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201"/>
      <c r="G15" s="142"/>
      <c r="H15" s="199"/>
      <c r="I15" s="142"/>
      <c r="J15" s="199"/>
      <c r="K15" s="142"/>
      <c r="L15" s="199"/>
    </row>
    <row r="16" spans="1:12" s="2" customFormat="1" ht="15" customHeight="1">
      <c r="A16" s="12">
        <v>4</v>
      </c>
      <c r="B16" s="10" t="str">
        <f>LIDER!F46</f>
        <v>Katerin Silva Peñate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1"/>
      <c r="G16" s="142"/>
      <c r="H16" s="199"/>
      <c r="I16" s="142"/>
      <c r="J16" s="199"/>
      <c r="K16" s="142"/>
      <c r="L16" s="199"/>
    </row>
    <row r="17" spans="1:12" s="2" customFormat="1" ht="15" customHeight="1">
      <c r="A17" s="12">
        <v>5</v>
      </c>
      <c r="B17" s="10" t="str">
        <f>LIDER!F47</f>
        <v>Yorcelis Mercado Guerra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1"/>
      <c r="G17" s="142"/>
      <c r="H17" s="199"/>
      <c r="I17" s="142"/>
      <c r="J17" s="199"/>
      <c r="K17" s="142"/>
      <c r="L17" s="199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1"/>
      <c r="G18" s="142"/>
      <c r="H18" s="199"/>
      <c r="I18" s="142"/>
      <c r="J18" s="199"/>
      <c r="K18" s="142"/>
      <c r="L18" s="199"/>
    </row>
    <row r="19" spans="1:12" s="2" customFormat="1" ht="15.75" customHeight="1">
      <c r="A19" s="14"/>
      <c r="B19" s="25" t="s">
        <v>74</v>
      </c>
      <c r="C19" s="88" t="s">
        <v>98</v>
      </c>
      <c r="D19" s="32" t="str">
        <f>D12</f>
        <v>LIST</v>
      </c>
      <c r="E19" s="89" t="s">
        <v>96</v>
      </c>
      <c r="F19" s="146" t="str">
        <f>LIDER!$E$31</f>
        <v>GRUPO#3</v>
      </c>
      <c r="G19" s="146"/>
      <c r="H19" s="146"/>
      <c r="I19" s="146"/>
      <c r="J19" s="146"/>
      <c r="K19" s="146"/>
      <c r="L19" s="146"/>
    </row>
    <row r="20" spans="1:12" s="2" customFormat="1" ht="12.75">
      <c r="A20" s="9">
        <v>1</v>
      </c>
      <c r="B20" s="10" t="str">
        <f>LIDER!G43</f>
        <v>Lauren castilla Gonzalez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201"/>
      <c r="G20" s="142"/>
      <c r="H20" s="199"/>
      <c r="I20" s="142"/>
      <c r="J20" s="199"/>
      <c r="K20" s="142"/>
      <c r="L20" s="199"/>
    </row>
    <row r="21" spans="1:12" s="2" customFormat="1" ht="15" customHeight="1">
      <c r="A21" s="12">
        <v>2</v>
      </c>
      <c r="B21" s="10" t="str">
        <f>LIDER!G44</f>
        <v>Duvan Cespedes perez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201"/>
      <c r="G21" s="142"/>
      <c r="H21" s="199"/>
      <c r="I21" s="142"/>
      <c r="J21" s="199"/>
      <c r="K21" s="142"/>
      <c r="L21" s="199"/>
    </row>
    <row r="22" spans="1:12" s="2" customFormat="1" ht="15" customHeight="1">
      <c r="A22" s="12">
        <v>3</v>
      </c>
      <c r="B22" s="10" t="str">
        <f>LIDER!G45</f>
        <v>Isaac Faciolince Bustos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1"/>
      <c r="G22" s="142"/>
      <c r="H22" s="199"/>
      <c r="I22" s="142"/>
      <c r="J22" s="199"/>
      <c r="K22" s="142"/>
      <c r="L22" s="199"/>
    </row>
    <row r="23" spans="1:12" s="2" customFormat="1" ht="15" customHeight="1">
      <c r="A23" s="12">
        <v>4</v>
      </c>
      <c r="B23" s="10" t="str">
        <f>LIDER!G46</f>
        <v>Jesus Lopez Morales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1"/>
      <c r="G23" s="142"/>
      <c r="H23" s="199"/>
      <c r="I23" s="142"/>
      <c r="J23" s="199"/>
      <c r="K23" s="142"/>
      <c r="L23" s="199"/>
    </row>
    <row r="24" spans="1:12" s="2" customFormat="1" ht="15" customHeight="1">
      <c r="A24" s="12">
        <v>5</v>
      </c>
      <c r="B24" s="10" t="str">
        <f>LIDER!G47</f>
        <v>Dakar Moarles Paternina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1"/>
      <c r="G24" s="142"/>
      <c r="H24" s="199"/>
      <c r="I24" s="142"/>
      <c r="J24" s="199"/>
      <c r="K24" s="142"/>
      <c r="L24" s="199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1"/>
      <c r="G25" s="142"/>
      <c r="H25" s="199"/>
      <c r="I25" s="142"/>
      <c r="J25" s="199"/>
      <c r="K25" s="142"/>
      <c r="L25" s="199"/>
    </row>
    <row r="26" spans="1:12" s="2" customFormat="1" ht="15.75" customHeight="1">
      <c r="A26" s="14"/>
      <c r="B26" s="25" t="s">
        <v>76</v>
      </c>
      <c r="C26" s="88" t="s">
        <v>99</v>
      </c>
      <c r="D26" s="32" t="str">
        <f>D19</f>
        <v>LIST</v>
      </c>
      <c r="E26" s="89" t="s">
        <v>96</v>
      </c>
      <c r="F26" s="146" t="str">
        <f>LIDER!$E$32</f>
        <v>GRUPO#4</v>
      </c>
      <c r="G26" s="146"/>
      <c r="H26" s="146"/>
      <c r="I26" s="146"/>
      <c r="J26" s="146"/>
      <c r="K26" s="146"/>
      <c r="L26" s="146"/>
    </row>
    <row r="27" spans="1:12" s="2" customFormat="1" ht="12.75">
      <c r="A27" s="9">
        <v>1</v>
      </c>
      <c r="B27" s="10" t="str">
        <f>LIDER!H43</f>
        <v>Ian Yoraco Berrio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1"/>
      <c r="G27" s="142"/>
      <c r="H27" s="199"/>
      <c r="I27" s="142"/>
      <c r="J27" s="199"/>
      <c r="K27" s="142"/>
      <c r="L27" s="199"/>
    </row>
    <row r="28" spans="1:12" s="2" customFormat="1" ht="15" customHeight="1">
      <c r="A28" s="12">
        <v>2</v>
      </c>
      <c r="B28" s="10" t="str">
        <f>LIDER!H44</f>
        <v>Nataly Castro Jimenez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1"/>
      <c r="G28" s="142"/>
      <c r="H28" s="199"/>
      <c r="I28" s="142"/>
      <c r="J28" s="199"/>
      <c r="K28" s="142"/>
      <c r="L28" s="199"/>
    </row>
    <row r="29" spans="1:12" s="2" customFormat="1" ht="15" customHeight="1">
      <c r="A29" s="12">
        <v>3</v>
      </c>
      <c r="B29" s="10" t="str">
        <f>LIDER!H45</f>
        <v>Oscar Lorduy Neira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1"/>
      <c r="G29" s="142"/>
      <c r="H29" s="199"/>
      <c r="I29" s="142"/>
      <c r="J29" s="199"/>
      <c r="K29" s="142"/>
      <c r="L29" s="199"/>
    </row>
    <row r="30" spans="1:12" s="2" customFormat="1" ht="15" customHeight="1">
      <c r="A30" s="12">
        <v>4</v>
      </c>
      <c r="B30" s="10" t="str">
        <f>LIDER!H46</f>
        <v>Carlos Orozco Valdes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1"/>
      <c r="G30" s="142"/>
      <c r="H30" s="199"/>
      <c r="I30" s="142"/>
      <c r="J30" s="199"/>
      <c r="K30" s="142"/>
      <c r="L30" s="199"/>
    </row>
    <row r="31" spans="1:12" s="2" customFormat="1" ht="15" customHeight="1">
      <c r="A31" s="12">
        <v>5</v>
      </c>
      <c r="B31" s="10" t="str">
        <f>LIDER!H47</f>
        <v>Sandri Valdez Sepulveda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1"/>
      <c r="G31" s="142"/>
      <c r="H31" s="199"/>
      <c r="I31" s="142"/>
      <c r="J31" s="199"/>
      <c r="K31" s="142"/>
      <c r="L31" s="199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1"/>
      <c r="G32" s="142"/>
      <c r="H32" s="199"/>
      <c r="I32" s="142"/>
      <c r="J32" s="199"/>
      <c r="K32" s="142"/>
      <c r="L32" s="199"/>
    </row>
    <row r="33" spans="1:12" s="2" customFormat="1" ht="15.75" customHeight="1">
      <c r="A33" s="14"/>
      <c r="B33" s="25" t="s">
        <v>78</v>
      </c>
      <c r="C33" s="88" t="s">
        <v>100</v>
      </c>
      <c r="D33" s="32" t="str">
        <f>D26</f>
        <v>LIST</v>
      </c>
      <c r="E33" s="89" t="s">
        <v>96</v>
      </c>
      <c r="F33" s="146" t="str">
        <f>LIDER!$E$33</f>
        <v>GRUPO#5</v>
      </c>
      <c r="G33" s="146"/>
      <c r="H33" s="146"/>
      <c r="I33" s="146"/>
      <c r="J33" s="146"/>
      <c r="K33" s="146"/>
      <c r="L33" s="146"/>
    </row>
    <row r="34" spans="1:12" s="2" customFormat="1" ht="12.75">
      <c r="A34" s="9">
        <v>1</v>
      </c>
      <c r="B34" s="10" t="str">
        <f>LIDER!E51</f>
        <v>Adrian Marriaga Muñoz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1"/>
      <c r="G34" s="142"/>
      <c r="H34" s="199"/>
      <c r="I34" s="142"/>
      <c r="J34" s="199"/>
      <c r="K34" s="142"/>
      <c r="L34" s="199"/>
    </row>
    <row r="35" spans="1:12" s="2" customFormat="1" ht="15" customHeight="1">
      <c r="A35" s="12">
        <v>2</v>
      </c>
      <c r="B35" s="10" t="str">
        <f>LIDER!E52</f>
        <v>Kristin Perez martinez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1"/>
      <c r="G35" s="142"/>
      <c r="H35" s="199"/>
      <c r="I35" s="142"/>
      <c r="J35" s="199"/>
      <c r="K35" s="142"/>
      <c r="L35" s="199"/>
    </row>
    <row r="36" spans="1:12" s="2" customFormat="1" ht="15" customHeight="1">
      <c r="A36" s="12">
        <v>3</v>
      </c>
      <c r="B36" s="10" t="str">
        <f>LIDER!E53</f>
        <v>Nina Aguilar Sarabia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1"/>
      <c r="G36" s="142"/>
      <c r="H36" s="199"/>
      <c r="I36" s="142"/>
      <c r="J36" s="199"/>
      <c r="K36" s="142"/>
      <c r="L36" s="199"/>
    </row>
    <row r="37" spans="1:12" s="2" customFormat="1" ht="15" customHeight="1">
      <c r="A37" s="12">
        <v>4</v>
      </c>
      <c r="B37" s="10" t="str">
        <f>LIDER!E54</f>
        <v>Theres Theran caicedo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1"/>
      <c r="G37" s="142"/>
      <c r="H37" s="199"/>
      <c r="I37" s="142"/>
      <c r="J37" s="199"/>
      <c r="K37" s="142"/>
      <c r="L37" s="199"/>
    </row>
    <row r="38" spans="1:12" s="2" customFormat="1" ht="15" customHeight="1">
      <c r="A38" s="12">
        <v>5</v>
      </c>
      <c r="B38" s="10" t="str">
        <f>LIDER!E55</f>
        <v>Diego Cardona Bolaño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1"/>
      <c r="G38" s="142"/>
      <c r="H38" s="199"/>
      <c r="I38" s="142"/>
      <c r="J38" s="199"/>
      <c r="K38" s="142"/>
      <c r="L38" s="199"/>
    </row>
    <row r="39" spans="1:12" s="2" customFormat="1" ht="15.75" customHeight="1">
      <c r="A39" s="13">
        <v>6</v>
      </c>
      <c r="B39" s="91" t="str">
        <f>LIDER!E56</f>
        <v>Jhamer Luis Maza Ramos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1"/>
      <c r="G39" s="142"/>
      <c r="H39" s="199"/>
      <c r="I39" s="142"/>
      <c r="J39" s="199"/>
      <c r="K39" s="142"/>
      <c r="L39" s="199"/>
    </row>
    <row r="40" spans="1:12" s="2" customFormat="1" ht="15.75" customHeight="1">
      <c r="A40" s="14"/>
      <c r="B40" s="25" t="s">
        <v>80</v>
      </c>
      <c r="C40" s="88" t="s">
        <v>101</v>
      </c>
      <c r="D40" s="32" t="str">
        <f>D33</f>
        <v>LIST</v>
      </c>
      <c r="E40" s="89" t="s">
        <v>96</v>
      </c>
      <c r="F40" s="146" t="str">
        <f>LIDER!$E$34</f>
        <v>GRUPO#6</v>
      </c>
      <c r="G40" s="146"/>
      <c r="H40" s="146"/>
      <c r="I40" s="146"/>
      <c r="J40" s="146"/>
      <c r="K40" s="146"/>
      <c r="L40" s="146"/>
    </row>
    <row r="41" spans="1:12" s="2" customFormat="1" ht="12.75">
      <c r="A41" s="9">
        <v>1</v>
      </c>
      <c r="B41" s="10" t="str">
        <f>LIDER!F51</f>
        <v>Yureidy Alarez Castellano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1"/>
      <c r="G41" s="142"/>
      <c r="H41" s="199"/>
      <c r="I41" s="142"/>
      <c r="J41" s="199"/>
      <c r="K41" s="142"/>
      <c r="L41" s="199"/>
    </row>
    <row r="42" spans="1:12" s="2" customFormat="1" ht="15" customHeight="1">
      <c r="A42" s="12">
        <v>2</v>
      </c>
      <c r="B42" s="10" t="str">
        <f>LIDER!F52</f>
        <v>Juan C Baldiris Espitia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1"/>
      <c r="G42" s="142"/>
      <c r="H42" s="199"/>
      <c r="I42" s="142"/>
      <c r="J42" s="199"/>
      <c r="K42" s="142"/>
      <c r="L42" s="199"/>
    </row>
    <row r="43" spans="1:12" s="2" customFormat="1" ht="15" customHeight="1">
      <c r="A43" s="12">
        <v>3</v>
      </c>
      <c r="B43" s="10" t="str">
        <f>LIDER!F53</f>
        <v>Andres F Torres Arroyo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1"/>
      <c r="G43" s="142"/>
      <c r="H43" s="199"/>
      <c r="I43" s="142"/>
      <c r="J43" s="199"/>
      <c r="K43" s="142"/>
      <c r="L43" s="199"/>
    </row>
    <row r="44" spans="1:12" s="2" customFormat="1" ht="15" customHeight="1">
      <c r="A44" s="12">
        <v>4</v>
      </c>
      <c r="B44" s="10" t="str">
        <f>LIDER!F54</f>
        <v>Sherlyn Villegas Maza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1"/>
      <c r="G44" s="142"/>
      <c r="H44" s="199"/>
      <c r="I44" s="142"/>
      <c r="J44" s="199"/>
      <c r="K44" s="142"/>
      <c r="L44" s="199"/>
    </row>
    <row r="45" spans="1:12" s="2" customFormat="1" ht="15" customHeight="1">
      <c r="A45" s="12">
        <v>5</v>
      </c>
      <c r="B45" s="10" t="str">
        <f>LIDER!F55</f>
        <v>Isaac Zapata Zapata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1"/>
      <c r="G45" s="142"/>
      <c r="H45" s="199"/>
      <c r="I45" s="142"/>
      <c r="J45" s="199"/>
      <c r="K45" s="142"/>
      <c r="L45" s="199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1"/>
      <c r="G46" s="142"/>
      <c r="H46" s="199"/>
      <c r="I46" s="142"/>
      <c r="J46" s="199"/>
      <c r="K46" s="142"/>
      <c r="L46" s="199"/>
    </row>
    <row r="47" spans="1:12" s="2" customFormat="1" ht="15.75" customHeight="1">
      <c r="A47" s="14"/>
      <c r="B47" s="25" t="s">
        <v>82</v>
      </c>
      <c r="C47" s="88" t="s">
        <v>102</v>
      </c>
      <c r="D47" s="32" t="str">
        <f>D40</f>
        <v>LIST</v>
      </c>
      <c r="E47" s="89" t="s">
        <v>96</v>
      </c>
      <c r="F47" s="146" t="str">
        <f>LIDER!$E$35</f>
        <v>GRUPO#7</v>
      </c>
      <c r="G47" s="146"/>
      <c r="H47" s="146"/>
      <c r="I47" s="146"/>
      <c r="J47" s="146"/>
      <c r="K47" s="146"/>
      <c r="L47" s="146"/>
    </row>
    <row r="48" spans="1:12" s="2" customFormat="1" ht="12.75">
      <c r="A48" s="9">
        <v>1</v>
      </c>
      <c r="B48" s="10" t="str">
        <f>LIDER!G51</f>
        <v>Valeria Balesteros Almentero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1"/>
      <c r="G48" s="142"/>
      <c r="H48" s="199"/>
      <c r="I48" s="142"/>
      <c r="J48" s="199"/>
      <c r="K48" s="142"/>
      <c r="L48" s="199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1"/>
      <c r="G49" s="142"/>
      <c r="H49" s="199"/>
      <c r="I49" s="142"/>
      <c r="J49" s="199"/>
      <c r="K49" s="142"/>
      <c r="L49" s="199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1"/>
      <c r="G50" s="142"/>
      <c r="H50" s="199"/>
      <c r="I50" s="142"/>
      <c r="J50" s="199"/>
      <c r="K50" s="142"/>
      <c r="L50" s="199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1"/>
      <c r="G51" s="142"/>
      <c r="H51" s="199"/>
      <c r="I51" s="142"/>
      <c r="J51" s="199"/>
      <c r="K51" s="142"/>
      <c r="L51" s="199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1"/>
      <c r="G52" s="142"/>
      <c r="H52" s="199"/>
      <c r="I52" s="142"/>
      <c r="J52" s="199"/>
      <c r="K52" s="142"/>
      <c r="L52" s="199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1"/>
      <c r="G53" s="142"/>
      <c r="H53" s="199"/>
      <c r="I53" s="142"/>
      <c r="J53" s="199"/>
      <c r="K53" s="142"/>
      <c r="L53" s="199"/>
    </row>
    <row r="54" spans="1:12" s="2" customFormat="1" ht="15.75" customHeight="1">
      <c r="A54" s="14"/>
      <c r="B54" s="25" t="s">
        <v>84</v>
      </c>
      <c r="C54" s="88" t="s">
        <v>103</v>
      </c>
      <c r="D54" s="32" t="str">
        <f>D47</f>
        <v>LIST</v>
      </c>
      <c r="E54" s="89" t="s">
        <v>96</v>
      </c>
      <c r="F54" s="146" t="str">
        <f>LIDER!$E$36</f>
        <v>GRUPO#8</v>
      </c>
      <c r="G54" s="146"/>
      <c r="H54" s="146"/>
      <c r="I54" s="146"/>
      <c r="J54" s="146"/>
      <c r="K54" s="146"/>
      <c r="L54" s="146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1"/>
      <c r="G55" s="142"/>
      <c r="H55" s="199"/>
      <c r="I55" s="142"/>
      <c r="J55" s="199"/>
      <c r="K55" s="142"/>
      <c r="L55" s="199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1"/>
      <c r="G56" s="142"/>
      <c r="H56" s="199"/>
      <c r="I56" s="142"/>
      <c r="J56" s="199"/>
      <c r="K56" s="142"/>
      <c r="L56" s="199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1"/>
      <c r="G57" s="142"/>
      <c r="H57" s="199"/>
      <c r="I57" s="142"/>
      <c r="J57" s="199"/>
      <c r="K57" s="142"/>
      <c r="L57" s="199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1"/>
      <c r="G58" s="142"/>
      <c r="H58" s="199"/>
      <c r="I58" s="142"/>
      <c r="J58" s="199"/>
      <c r="K58" s="142"/>
      <c r="L58" s="199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1"/>
      <c r="G59" s="142"/>
      <c r="H59" s="199"/>
      <c r="I59" s="142"/>
      <c r="J59" s="199"/>
      <c r="K59" s="142"/>
      <c r="L59" s="199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1"/>
      <c r="G60" s="142"/>
      <c r="H60" s="199"/>
      <c r="I60" s="142"/>
      <c r="J60" s="199"/>
      <c r="K60" s="142"/>
      <c r="L60" s="199"/>
    </row>
    <row r="61" spans="1:12" s="2" customFormat="1" ht="15.75" customHeight="1">
      <c r="A61" s="14"/>
      <c r="B61" s="25" t="s">
        <v>86</v>
      </c>
      <c r="C61" s="88" t="s">
        <v>104</v>
      </c>
      <c r="D61" s="32" t="str">
        <f>D54</f>
        <v>LIST</v>
      </c>
      <c r="E61" s="89" t="s">
        <v>96</v>
      </c>
      <c r="F61" s="146" t="str">
        <f>LIDER!$E$37</f>
        <v>GRUPO#9</v>
      </c>
      <c r="G61" s="146"/>
      <c r="H61" s="146"/>
      <c r="I61" s="146"/>
      <c r="J61" s="146"/>
      <c r="K61" s="146"/>
      <c r="L61" s="146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1"/>
      <c r="G62" s="142"/>
      <c r="H62" s="199"/>
      <c r="I62" s="142"/>
      <c r="J62" s="199"/>
      <c r="K62" s="142"/>
      <c r="L62" s="199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1"/>
      <c r="G63" s="142"/>
      <c r="H63" s="199"/>
      <c r="I63" s="142"/>
      <c r="J63" s="199"/>
      <c r="K63" s="142"/>
      <c r="L63" s="199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1"/>
      <c r="G64" s="142"/>
      <c r="H64" s="199"/>
      <c r="I64" s="142"/>
      <c r="J64" s="199"/>
      <c r="K64" s="142"/>
      <c r="L64" s="199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1"/>
      <c r="G65" s="142"/>
      <c r="H65" s="199"/>
      <c r="I65" s="142"/>
      <c r="J65" s="199"/>
      <c r="K65" s="142"/>
      <c r="L65" s="199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1"/>
      <c r="G66" s="142"/>
      <c r="H66" s="199"/>
      <c r="I66" s="142"/>
      <c r="J66" s="199"/>
      <c r="K66" s="142"/>
      <c r="L66" s="199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1"/>
      <c r="G67" s="142"/>
      <c r="H67" s="199"/>
      <c r="I67" s="142"/>
      <c r="J67" s="199"/>
      <c r="K67" s="142"/>
      <c r="L67" s="199"/>
    </row>
    <row r="68" spans="1:12" s="2" customFormat="1" ht="15.75" customHeight="1">
      <c r="A68" s="14"/>
      <c r="B68" s="25" t="s">
        <v>88</v>
      </c>
      <c r="C68" s="88" t="s">
        <v>105</v>
      </c>
      <c r="D68" s="32" t="str">
        <f>D61</f>
        <v>LIST</v>
      </c>
      <c r="E68" s="89" t="s">
        <v>96</v>
      </c>
      <c r="F68" s="146" t="str">
        <f>LIDER!$E$38</f>
        <v>GRUPO#10</v>
      </c>
      <c r="G68" s="146"/>
      <c r="H68" s="146"/>
      <c r="I68" s="146"/>
      <c r="J68" s="146"/>
      <c r="K68" s="146"/>
      <c r="L68" s="146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1"/>
      <c r="G69" s="142"/>
      <c r="H69" s="199"/>
      <c r="I69" s="142"/>
      <c r="J69" s="199"/>
      <c r="K69" s="142"/>
      <c r="L69" s="199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1"/>
      <c r="G70" s="142"/>
      <c r="H70" s="199"/>
      <c r="I70" s="142"/>
      <c r="J70" s="199"/>
      <c r="K70" s="142"/>
      <c r="L70" s="199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1"/>
      <c r="G71" s="142"/>
      <c r="H71" s="199"/>
      <c r="I71" s="142"/>
      <c r="J71" s="199"/>
      <c r="K71" s="142"/>
      <c r="L71" s="199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1"/>
      <c r="G72" s="142"/>
      <c r="H72" s="199"/>
      <c r="I72" s="142"/>
      <c r="J72" s="199"/>
      <c r="K72" s="142"/>
      <c r="L72" s="199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1"/>
      <c r="G73" s="142"/>
      <c r="H73" s="199"/>
      <c r="I73" s="142"/>
      <c r="J73" s="199"/>
      <c r="K73" s="142"/>
      <c r="L73" s="199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1"/>
      <c r="G74" s="142"/>
      <c r="H74" s="199"/>
      <c r="I74" s="142"/>
      <c r="J74" s="199"/>
      <c r="K74" s="142"/>
      <c r="L74" s="199"/>
    </row>
    <row r="75" spans="1:12" s="2" customFormat="1" ht="15.75" customHeight="1">
      <c r="A75" s="14"/>
      <c r="B75" s="25" t="s">
        <v>90</v>
      </c>
      <c r="C75" s="88" t="s">
        <v>106</v>
      </c>
      <c r="D75" s="32" t="str">
        <f>D68</f>
        <v>LIST</v>
      </c>
      <c r="E75" s="89" t="s">
        <v>96</v>
      </c>
      <c r="F75" s="146" t="str">
        <f>LIDER!$E$39</f>
        <v>GRUPO#11</v>
      </c>
      <c r="G75" s="146"/>
      <c r="H75" s="146"/>
      <c r="I75" s="146"/>
      <c r="J75" s="146"/>
      <c r="K75" s="146"/>
      <c r="L75" s="146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1"/>
      <c r="G76" s="142"/>
      <c r="H76" s="199"/>
      <c r="I76" s="142"/>
      <c r="J76" s="199"/>
      <c r="K76" s="142"/>
      <c r="L76" s="199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1"/>
      <c r="G77" s="142"/>
      <c r="H77" s="199"/>
      <c r="I77" s="142"/>
      <c r="J77" s="199"/>
      <c r="K77" s="142"/>
      <c r="L77" s="199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1"/>
      <c r="G78" s="142"/>
      <c r="H78" s="199"/>
      <c r="I78" s="142"/>
      <c r="J78" s="199"/>
      <c r="K78" s="142"/>
      <c r="L78" s="199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1"/>
      <c r="G79" s="142"/>
      <c r="H79" s="199"/>
      <c r="I79" s="142"/>
      <c r="J79" s="199"/>
      <c r="K79" s="142"/>
      <c r="L79" s="199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1"/>
      <c r="G80" s="142"/>
      <c r="H80" s="199"/>
      <c r="I80" s="142"/>
      <c r="J80" s="199"/>
      <c r="K80" s="142"/>
      <c r="L80" s="199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1"/>
      <c r="G81" s="142"/>
      <c r="H81" s="199"/>
      <c r="I81" s="142"/>
      <c r="J81" s="199"/>
      <c r="K81" s="142"/>
      <c r="L81" s="199"/>
    </row>
    <row r="82" spans="1:12" s="2" customFormat="1" ht="15.75" customHeight="1">
      <c r="A82" s="14"/>
      <c r="B82" s="25" t="s">
        <v>91</v>
      </c>
      <c r="C82" s="88" t="s">
        <v>107</v>
      </c>
      <c r="D82" s="32" t="str">
        <f>D75</f>
        <v>LIST</v>
      </c>
      <c r="E82" s="89" t="s">
        <v>96</v>
      </c>
      <c r="F82" s="146" t="str">
        <f>LIDER!$E$40</f>
        <v>GRUPO#12</v>
      </c>
      <c r="G82" s="146"/>
      <c r="H82" s="146"/>
      <c r="I82" s="146"/>
      <c r="J82" s="146"/>
      <c r="K82" s="146"/>
      <c r="L82" s="146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1"/>
      <c r="G83" s="142"/>
      <c r="H83" s="199"/>
      <c r="I83" s="142"/>
      <c r="J83" s="199"/>
      <c r="K83" s="142"/>
      <c r="L83" s="199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1"/>
      <c r="G84" s="142"/>
      <c r="H84" s="199"/>
      <c r="I84" s="142"/>
      <c r="J84" s="199"/>
      <c r="K84" s="142"/>
      <c r="L84" s="199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1"/>
      <c r="G85" s="142"/>
      <c r="H85" s="199"/>
      <c r="I85" s="142"/>
      <c r="J85" s="199"/>
      <c r="K85" s="142"/>
      <c r="L85" s="199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1"/>
      <c r="G86" s="142"/>
      <c r="H86" s="199"/>
      <c r="I86" s="142"/>
      <c r="J86" s="199"/>
      <c r="K86" s="142"/>
      <c r="L86" s="199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1"/>
      <c r="G87" s="142"/>
      <c r="H87" s="199"/>
      <c r="I87" s="142"/>
      <c r="J87" s="199"/>
      <c r="K87" s="142"/>
      <c r="L87" s="199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2"/>
      <c r="G88" s="153"/>
      <c r="H88" s="200"/>
      <c r="I88" s="153"/>
      <c r="J88" s="200"/>
      <c r="K88" s="153"/>
      <c r="L88" s="200"/>
    </row>
  </sheetData>
  <sheetProtection algorithmName="SHA-512" hashValue="JM4rti48HJi4nJPpEHDzNKpU1N9MkXRW3pP9QuAdg0Pf9m4o+ElgWTUoNGu37hzccpP89S7n4hSHW/KhRg2gpg==" saltValue="2BfXLZFt3Fmka8iJGGyQ1A==" spinCount="100000" sheet="1" objects="1" scenarios="1"/>
  <mergeCells count="99"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33:L33"/>
    <mergeCell ref="F34:F39"/>
    <mergeCell ref="G34:G39"/>
    <mergeCell ref="H34:H39"/>
    <mergeCell ref="I34:I39"/>
    <mergeCell ref="J34:J39"/>
    <mergeCell ref="K34:K39"/>
    <mergeCell ref="L34:L39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86" priority="3">
      <formula>$D6="N"</formula>
    </cfRule>
    <cfRule type="expression" dxfId="185" priority="4">
      <formula>ISEVEN($A6)</formula>
    </cfRule>
  </conditionalFormatting>
  <conditionalFormatting sqref="B5:B88">
    <cfRule type="cellIs" dxfId="184" priority="1" operator="equal">
      <formula>0</formula>
    </cfRule>
  </conditionalFormatting>
  <conditionalFormatting sqref="E6:E88">
    <cfRule type="cellIs" dxfId="18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3AC1001D-6CA4-4289-8768-2168A9423C11}">
      <formula1>"N"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B82-6942-467F-847E-835385049722}">
  <dimension ref="A1:K88"/>
  <sheetViews>
    <sheetView zoomScale="82" zoomScaleNormal="82" workbookViewId="0">
      <pane xSplit="4" ySplit="3" topLeftCell="E4" activePane="bottomRight" state="frozen"/>
      <selection pane="bottomRight" activeCell="E20" sqref="E20:E25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3" t="str">
        <f>LIDER!B2</f>
        <v>TECNOLOGÍA EN GESTIÓN DE NEGOCIOS INTERN</v>
      </c>
      <c r="B1" s="144"/>
      <c r="C1" s="144"/>
      <c r="D1" s="144"/>
      <c r="E1" s="144"/>
      <c r="F1" s="144"/>
      <c r="G1" s="145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LIDER!C4</f>
        <v>INTRODUCCIÓN A LOS NEGOCIOS IN</v>
      </c>
      <c r="C2" s="3"/>
      <c r="E2" s="147" t="s">
        <v>92</v>
      </c>
      <c r="F2" s="148"/>
      <c r="G2" s="148"/>
      <c r="H2" s="148"/>
      <c r="I2" s="148"/>
      <c r="J2" s="148"/>
      <c r="K2" s="149"/>
    </row>
    <row r="3" spans="1:11" s="2" customFormat="1" ht="145.5" customHeight="1" thickBot="1">
      <c r="B3" s="4" t="s">
        <v>93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0" t="str">
        <f>CONCATENATE(LIDER!C4," - ",LIDER!C6," - ",LIDER!C5)</f>
        <v>INTRODUCCIÓN A LOS NEGOCIOS IN - 2475 - TATIANA MILENA ROJAS AROCA</v>
      </c>
      <c r="F4" s="151"/>
      <c r="G4" s="151"/>
      <c r="H4" s="151"/>
      <c r="I4" s="151"/>
      <c r="J4" s="151"/>
      <c r="K4" s="152"/>
    </row>
    <row r="5" spans="1:11" s="2" customFormat="1" ht="15.75" customHeight="1" thickBot="1">
      <c r="A5" s="8"/>
      <c r="B5" s="27" t="s">
        <v>70</v>
      </c>
      <c r="C5" s="32" t="str">
        <f>IF('S-ASIG-01'!D5="","",'S-ASIG-01'!D5)</f>
        <v>LIST</v>
      </c>
      <c r="D5" s="35" t="s">
        <v>96</v>
      </c>
      <c r="E5" s="208" t="str">
        <f>LIDER!$E$29</f>
        <v>GRUPO#1</v>
      </c>
      <c r="F5" s="146"/>
      <c r="G5" s="146"/>
      <c r="H5" s="146"/>
      <c r="I5" s="146"/>
      <c r="J5" s="146"/>
      <c r="K5" s="146"/>
    </row>
    <row r="6" spans="1:11" s="2" customFormat="1" ht="12.75">
      <c r="A6" s="9">
        <v>1</v>
      </c>
      <c r="B6" s="28">
        <f>LIDER!E43</f>
        <v>0</v>
      </c>
      <c r="C6" s="33" t="str">
        <f>IF('S-ASIG-01'!D6="","",'S-ASIG-01'!D6)</f>
        <v/>
      </c>
      <c r="D6" s="30" t="str">
        <f>IF(B6=0,"",IF(C6="",$E$6*LIDER!$H$19+F6*LIDER!$H$20+G6*LIDER!$H$21+H6*LIDER!$H$22+I6*LIDER!$H$23+J6*LIDER!$H$24+K6*LIDER!$H$25,"N"))</f>
        <v/>
      </c>
      <c r="E6" s="207">
        <v>4</v>
      </c>
      <c r="F6" s="24">
        <v>4</v>
      </c>
      <c r="G6" s="24">
        <v>4</v>
      </c>
      <c r="H6" s="24">
        <v>4</v>
      </c>
      <c r="I6" s="24">
        <v>4</v>
      </c>
      <c r="J6" s="24">
        <v>4</v>
      </c>
      <c r="K6" s="24"/>
    </row>
    <row r="7" spans="1:11" s="2" customFormat="1" ht="15" customHeight="1">
      <c r="A7" s="12">
        <v>2</v>
      </c>
      <c r="B7" s="28" t="str">
        <f>LIDER!E44</f>
        <v>Valentina Castro Ibarra</v>
      </c>
      <c r="C7" s="33" t="str">
        <f>IF('S-ASIG-01'!D7="","",'S-ASIG-01'!D7)</f>
        <v/>
      </c>
      <c r="D7" s="30">
        <f>IF(B7=0,"",IF(C7="",$E$6*LIDER!$H$19+F7*LIDER!$H$20+G7*LIDER!$H$21+H7*LIDER!$H$22+I7*LIDER!$H$23+J7*LIDER!$H$24+K7*LIDER!$H$25,"N"))</f>
        <v>4</v>
      </c>
      <c r="E7" s="207"/>
      <c r="F7" s="18">
        <v>4</v>
      </c>
      <c r="G7" s="18">
        <v>4</v>
      </c>
      <c r="H7" s="18">
        <v>4</v>
      </c>
      <c r="I7" s="18">
        <v>4</v>
      </c>
      <c r="J7" s="18">
        <v>4</v>
      </c>
      <c r="K7" s="18"/>
    </row>
    <row r="8" spans="1:11" s="2" customFormat="1" ht="15" customHeight="1">
      <c r="A8" s="12">
        <v>3</v>
      </c>
      <c r="B8" s="28" t="str">
        <f>LIDER!E45</f>
        <v>Carmen Manuek Cruzate</v>
      </c>
      <c r="C8" s="33" t="str">
        <f>IF('S-ASIG-01'!D8="","",'S-ASIG-01'!D8)</f>
        <v/>
      </c>
      <c r="D8" s="30">
        <f>IF(B8=0,"",IF(C8="",$E$6*LIDER!$H$19+F8*LIDER!$H$20+G8*LIDER!$H$21+H8*LIDER!$H$22+I8*LIDER!$H$23+J8*LIDER!$H$24+K8*LIDER!$H$25,"N"))</f>
        <v>4</v>
      </c>
      <c r="E8" s="207"/>
      <c r="F8" s="18">
        <v>4</v>
      </c>
      <c r="G8" s="18">
        <v>4</v>
      </c>
      <c r="H8" s="18">
        <v>4</v>
      </c>
      <c r="I8" s="18">
        <v>4</v>
      </c>
      <c r="J8" s="18">
        <v>4</v>
      </c>
      <c r="K8" s="18"/>
    </row>
    <row r="9" spans="1:11" s="2" customFormat="1" ht="15" customHeight="1">
      <c r="A9" s="12">
        <v>4</v>
      </c>
      <c r="B9" s="28" t="str">
        <f>LIDER!E46</f>
        <v>Yulieth Martinez Carrasquilla</v>
      </c>
      <c r="C9" s="33" t="str">
        <f>IF('S-ASIG-01'!D9="","",'S-ASIG-01'!D9)</f>
        <v/>
      </c>
      <c r="D9" s="30">
        <f>IF(B9=0,"",IF(C9="",$E$6*LIDER!$H$19+F9*LIDER!$H$20+G9*LIDER!$H$21+H9*LIDER!$H$22+I9*LIDER!$H$23+J9*LIDER!$H$24+K9*LIDER!$H$25,"N"))</f>
        <v>4</v>
      </c>
      <c r="E9" s="207"/>
      <c r="F9" s="18">
        <v>4</v>
      </c>
      <c r="G9" s="18">
        <v>4</v>
      </c>
      <c r="H9" s="18">
        <v>4</v>
      </c>
      <c r="I9" s="18">
        <v>4</v>
      </c>
      <c r="J9" s="18">
        <v>4</v>
      </c>
      <c r="K9" s="18"/>
    </row>
    <row r="10" spans="1:11" s="2" customFormat="1" ht="15" customHeight="1">
      <c r="A10" s="12">
        <v>5</v>
      </c>
      <c r="B10" s="28" t="str">
        <f>LIDER!E47</f>
        <v>Angello Ortega Mesino</v>
      </c>
      <c r="C10" s="33" t="str">
        <f>IF('S-ASIG-01'!D10="","",'S-ASIG-01'!D10)</f>
        <v/>
      </c>
      <c r="D10" s="30">
        <f>IF(B10=0,"",IF(C10="",$E$6*LIDER!$H$19+F10*LIDER!$H$20+G10*LIDER!$H$21+H10*LIDER!$H$22+I10*LIDER!$H$23+J10*LIDER!$H$24+K10*LIDER!$H$25,"N"))</f>
        <v>4</v>
      </c>
      <c r="E10" s="207"/>
      <c r="F10" s="18">
        <v>4</v>
      </c>
      <c r="G10" s="18">
        <v>4</v>
      </c>
      <c r="H10" s="18">
        <v>4</v>
      </c>
      <c r="I10" s="18">
        <v>4</v>
      </c>
      <c r="J10" s="18">
        <v>4</v>
      </c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IF('S-ASIG-01'!D11="","",'S-ASIG-01'!D11)</f>
        <v/>
      </c>
      <c r="D11" s="30" t="str">
        <f>IF(B11=0,"",IF(C11="",$E$6*LIDER!$H$19+F11*LIDER!$H$20+G11*LIDER!$H$21+H11*LIDER!$H$22+I11*LIDER!$H$23+J11*LIDER!$H$24+K11*LIDER!$H$25,"N"))</f>
        <v/>
      </c>
      <c r="E11" s="207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72</v>
      </c>
      <c r="C12" s="32" t="str">
        <f>IF('S-ASIG-01'!D12="","",'S-ASIG-01'!D12)</f>
        <v>LIST</v>
      </c>
      <c r="D12" s="35" t="s">
        <v>96</v>
      </c>
      <c r="E12" s="208" t="str">
        <f>LIDER!$E$30</f>
        <v>GRUPO#2</v>
      </c>
      <c r="F12" s="146"/>
      <c r="G12" s="146"/>
      <c r="H12" s="146"/>
      <c r="I12" s="146"/>
      <c r="J12" s="146"/>
      <c r="K12" s="146"/>
    </row>
    <row r="13" spans="1:11" s="2" customFormat="1" ht="12.75">
      <c r="A13" s="9">
        <v>1</v>
      </c>
      <c r="B13" s="28" t="str">
        <f>LIDER!F43</f>
        <v>Cesar Pajaro Ramos</v>
      </c>
      <c r="C13" s="33" t="str">
        <f>IF('S-ASIG-01'!D13="","",'S-ASIG-01'!D13)</f>
        <v/>
      </c>
      <c r="D13" s="30">
        <f>IF(B13=0,"",IF(C13="",$E$13*LIDER!$H$19+F13*LIDER!$H$20+G13*LIDER!$H$21+H13*LIDER!$H$22+I13*LIDER!$H$23+J13*LIDER!$H$24+K13*LIDER!$H$25,"N"))</f>
        <v>3.8500000000000005</v>
      </c>
      <c r="E13" s="207">
        <v>4</v>
      </c>
      <c r="F13" s="24">
        <v>3.7</v>
      </c>
      <c r="G13" s="24">
        <v>3.7</v>
      </c>
      <c r="H13" s="24">
        <v>3.7</v>
      </c>
      <c r="I13" s="24">
        <v>3.7</v>
      </c>
      <c r="J13" s="24">
        <v>3.7</v>
      </c>
      <c r="K13" s="24"/>
    </row>
    <row r="14" spans="1:11" s="2" customFormat="1" ht="15" customHeight="1">
      <c r="A14" s="12">
        <v>2</v>
      </c>
      <c r="B14" s="28" t="str">
        <f>LIDER!F44</f>
        <v>Elian Polo Soto</v>
      </c>
      <c r="C14" s="33" t="str">
        <f>IF('S-ASIG-01'!D14="","",'S-ASIG-01'!D14)</f>
        <v/>
      </c>
      <c r="D14" s="30">
        <f>IF(B14=0,"",IF(C14="",$E$13*LIDER!$H$19+F14*LIDER!$H$20+G14*LIDER!$H$21+H14*LIDER!$H$22+I14*LIDER!$H$23+J14*LIDER!$H$24+K14*LIDER!$H$25,"N"))</f>
        <v>3.8500000000000005</v>
      </c>
      <c r="E14" s="207"/>
      <c r="F14" s="18">
        <v>3.7</v>
      </c>
      <c r="G14" s="18">
        <v>3.7</v>
      </c>
      <c r="H14" s="18">
        <v>3.7</v>
      </c>
      <c r="I14" s="18">
        <v>3.7</v>
      </c>
      <c r="J14" s="18">
        <v>3.7</v>
      </c>
      <c r="K14" s="18"/>
    </row>
    <row r="15" spans="1:11" s="2" customFormat="1" ht="15" customHeight="1">
      <c r="A15" s="12">
        <v>3</v>
      </c>
      <c r="B15" s="28" t="str">
        <f>LIDER!F45</f>
        <v>Juan C Corrales de la Rosa</v>
      </c>
      <c r="C15" s="33" t="str">
        <f>IF('S-ASIG-01'!D15="","",'S-ASIG-01'!D15)</f>
        <v/>
      </c>
      <c r="D15" s="30">
        <f>IF(B15=0,"",IF(C15="",$E$13*LIDER!$H$19+F15*LIDER!$H$20+G15*LIDER!$H$21+H15*LIDER!$H$22+I15*LIDER!$H$23+J15*LIDER!$H$24+K15*LIDER!$H$25,"N"))</f>
        <v>3.8500000000000005</v>
      </c>
      <c r="E15" s="207"/>
      <c r="F15" s="18">
        <v>3.7</v>
      </c>
      <c r="G15" s="18">
        <v>3.7</v>
      </c>
      <c r="H15" s="18">
        <v>3.7</v>
      </c>
      <c r="I15" s="18">
        <v>3.7</v>
      </c>
      <c r="J15" s="18">
        <v>3.7</v>
      </c>
      <c r="K15" s="18"/>
    </row>
    <row r="16" spans="1:11" s="2" customFormat="1" ht="15" customHeight="1">
      <c r="A16" s="12">
        <v>4</v>
      </c>
      <c r="B16" s="28" t="str">
        <f>LIDER!F46</f>
        <v>Katerin Silva Peñate</v>
      </c>
      <c r="C16" s="33" t="str">
        <f>IF('S-ASIG-01'!D16="","",'S-ASIG-01'!D16)</f>
        <v/>
      </c>
      <c r="D16" s="30">
        <f>IF(B16=0,"",IF(C16="",$E$13*LIDER!$H$19+F16*LIDER!$H$20+G16*LIDER!$H$21+H16*LIDER!$H$22+I16*LIDER!$H$23+J16*LIDER!$H$24+K16*LIDER!$H$25,"N"))</f>
        <v>3.8500000000000005</v>
      </c>
      <c r="E16" s="207"/>
      <c r="F16" s="18">
        <v>3.7</v>
      </c>
      <c r="G16" s="18">
        <v>3.7</v>
      </c>
      <c r="H16" s="18">
        <v>3.7</v>
      </c>
      <c r="I16" s="18">
        <v>3.7</v>
      </c>
      <c r="J16" s="18">
        <v>3.7</v>
      </c>
      <c r="K16" s="18"/>
    </row>
    <row r="17" spans="1:11" s="2" customFormat="1" ht="15" customHeight="1">
      <c r="A17" s="12">
        <v>5</v>
      </c>
      <c r="B17" s="28" t="str">
        <f>LIDER!F47</f>
        <v>Yorcelis Mercado Guerra</v>
      </c>
      <c r="C17" s="33" t="str">
        <f>IF('S-ASIG-01'!D17="","",'S-ASIG-01'!D17)</f>
        <v/>
      </c>
      <c r="D17" s="30">
        <f>IF(B17=0,"",IF(C17="",$E$13*LIDER!$H$19+F17*LIDER!$H$20+G17*LIDER!$H$21+H17*LIDER!$H$22+I17*LIDER!$H$23+J17*LIDER!$H$24+K17*LIDER!$H$25,"N"))</f>
        <v>3.8500000000000005</v>
      </c>
      <c r="E17" s="207"/>
      <c r="F17" s="18">
        <v>3.7</v>
      </c>
      <c r="G17" s="18">
        <v>3.7</v>
      </c>
      <c r="H17" s="18">
        <v>3.7</v>
      </c>
      <c r="I17" s="18">
        <v>3.7</v>
      </c>
      <c r="J17" s="18">
        <v>3.7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IF('S-ASIG-01'!D18="","",'S-ASIG-01'!D18)</f>
        <v/>
      </c>
      <c r="D18" s="30" t="str">
        <f>IF(B18=0,"",IF(C18="",$E$13*LIDER!$H$19+F18*LIDER!$H$20+G18*LIDER!$H$21+H18*LIDER!$H$22+I18*LIDER!$H$23+J18*LIDER!$H$24+K18*LIDER!$H$25,"N"))</f>
        <v/>
      </c>
      <c r="E18" s="207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74</v>
      </c>
      <c r="C19" s="32" t="str">
        <f>IF('S-ASIG-01'!D19="","",'S-ASIG-01'!D19)</f>
        <v>LIST</v>
      </c>
      <c r="D19" s="35" t="s">
        <v>96</v>
      </c>
      <c r="E19" s="208" t="str">
        <f>LIDER!$E$31</f>
        <v>GRUPO#3</v>
      </c>
      <c r="F19" s="146"/>
      <c r="G19" s="146"/>
      <c r="H19" s="146"/>
      <c r="I19" s="146"/>
      <c r="J19" s="146"/>
      <c r="K19" s="146"/>
    </row>
    <row r="20" spans="1:11" s="2" customFormat="1" ht="12.75">
      <c r="A20" s="9">
        <v>1</v>
      </c>
      <c r="B20" s="28" t="str">
        <f>LIDER!G43</f>
        <v>Lauren castilla Gonzalez</v>
      </c>
      <c r="C20" s="33" t="str">
        <f>IF('S-ASIG-01'!D20="","",'S-ASIG-01'!D20)</f>
        <v/>
      </c>
      <c r="D20" s="30">
        <f>IF(B20=0,"",IF(C20="",$E$20*LIDER!$H$19+F20*LIDER!$H$20+G20*LIDER!$H$21+H20*LIDER!$H$22+I20*LIDER!$H$23+J20*LIDER!$H$24+K20*LIDER!$H$25,"N"))</f>
        <v>4</v>
      </c>
      <c r="E20" s="207">
        <v>4</v>
      </c>
      <c r="F20" s="24">
        <v>4</v>
      </c>
      <c r="G20" s="24">
        <v>4</v>
      </c>
      <c r="H20" s="24">
        <v>4</v>
      </c>
      <c r="I20" s="24">
        <v>4</v>
      </c>
      <c r="J20" s="24">
        <v>4</v>
      </c>
      <c r="K20" s="24"/>
    </row>
    <row r="21" spans="1:11" s="2" customFormat="1" ht="15" customHeight="1">
      <c r="A21" s="12">
        <v>2</v>
      </c>
      <c r="B21" s="28" t="str">
        <f>LIDER!G44</f>
        <v>Duvan Cespedes perez</v>
      </c>
      <c r="C21" s="33" t="str">
        <f>IF('S-ASIG-01'!D21="","",'S-ASIG-01'!D21)</f>
        <v/>
      </c>
      <c r="D21" s="30">
        <f>IF(B21=0,"",IF(C21="",$E$20*LIDER!$H$19+F21*LIDER!$H$20+G21*LIDER!$H$21+H21*LIDER!$H$22+I21*LIDER!$H$23+J21*LIDER!$H$24+K21*LIDER!$H$25,"N"))</f>
        <v>4</v>
      </c>
      <c r="E21" s="207"/>
      <c r="F21" s="18">
        <v>4</v>
      </c>
      <c r="G21" s="18">
        <v>4</v>
      </c>
      <c r="H21" s="18">
        <v>4</v>
      </c>
      <c r="I21" s="18">
        <v>4</v>
      </c>
      <c r="J21" s="18">
        <v>4</v>
      </c>
      <c r="K21" s="18"/>
    </row>
    <row r="22" spans="1:11" s="2" customFormat="1" ht="15" customHeight="1">
      <c r="A22" s="12">
        <v>3</v>
      </c>
      <c r="B22" s="28" t="str">
        <f>LIDER!G45</f>
        <v>Isaac Faciolince Bustos</v>
      </c>
      <c r="C22" s="33" t="str">
        <f>IF('S-ASIG-01'!D22="","",'S-ASIG-01'!D22)</f>
        <v/>
      </c>
      <c r="D22" s="30">
        <f>IF(B22=0,"",IF(C22="",$E$20*LIDER!$H$19+F22*LIDER!$H$20+G22*LIDER!$H$21+H22*LIDER!$H$22+I22*LIDER!$H$23+J22*LIDER!$H$24+K22*LIDER!$H$25,"N"))</f>
        <v>4</v>
      </c>
      <c r="E22" s="207"/>
      <c r="F22" s="18">
        <v>4</v>
      </c>
      <c r="G22" s="18">
        <v>4</v>
      </c>
      <c r="H22" s="18">
        <v>4</v>
      </c>
      <c r="I22" s="18">
        <v>4</v>
      </c>
      <c r="J22" s="18">
        <v>4</v>
      </c>
      <c r="K22" s="18"/>
    </row>
    <row r="23" spans="1:11" s="2" customFormat="1" ht="15" customHeight="1">
      <c r="A23" s="12">
        <v>4</v>
      </c>
      <c r="B23" s="28" t="str">
        <f>LIDER!G46</f>
        <v>Jesus Lopez Morales</v>
      </c>
      <c r="C23" s="33" t="str">
        <f>IF('S-ASIG-01'!D23="","",'S-ASIG-01'!D23)</f>
        <v/>
      </c>
      <c r="D23" s="30">
        <f>IF(B23=0,"",IF(C23="",$E$20*LIDER!$H$19+F23*LIDER!$H$20+G23*LIDER!$H$21+H23*LIDER!$H$22+I23*LIDER!$H$23+J23*LIDER!$H$24+K23*LIDER!$H$25,"N"))</f>
        <v>4</v>
      </c>
      <c r="E23" s="207"/>
      <c r="F23" s="18">
        <v>4</v>
      </c>
      <c r="G23" s="18">
        <v>4</v>
      </c>
      <c r="H23" s="18">
        <v>4</v>
      </c>
      <c r="I23" s="18">
        <v>4</v>
      </c>
      <c r="J23" s="18">
        <v>4</v>
      </c>
      <c r="K23" s="18"/>
    </row>
    <row r="24" spans="1:11" s="2" customFormat="1" ht="15" customHeight="1">
      <c r="A24" s="12">
        <v>5</v>
      </c>
      <c r="B24" s="28" t="str">
        <f>LIDER!G47</f>
        <v>Dakar Moarles Paternina</v>
      </c>
      <c r="C24" s="33" t="str">
        <f>IF('S-ASIG-01'!D24="","",'S-ASIG-01'!D24)</f>
        <v/>
      </c>
      <c r="D24" s="30">
        <f>IF(B24=0,"",IF(C24="",$E$20*LIDER!$H$19+F24*LIDER!$H$20+G24*LIDER!$H$21+H24*LIDER!$H$22+I24*LIDER!$H$23+J24*LIDER!$H$24+K24*LIDER!$H$25,"N"))</f>
        <v>4</v>
      </c>
      <c r="E24" s="207"/>
      <c r="F24" s="18">
        <v>4</v>
      </c>
      <c r="G24" s="18">
        <v>4</v>
      </c>
      <c r="H24" s="18">
        <v>4</v>
      </c>
      <c r="I24" s="18">
        <v>4</v>
      </c>
      <c r="J24" s="18">
        <v>4</v>
      </c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IF('S-ASIG-01'!D25="","",'S-ASIG-01'!D25)</f>
        <v/>
      </c>
      <c r="D25" s="30" t="str">
        <f>IF(B25=0,"",IF(C25="",$E$20*LIDER!$H$19+F25*LIDER!$H$20+G25*LIDER!$H$21+H25*LIDER!$H$22+I25*LIDER!$H$23+J25*LIDER!$H$24+K25*LIDER!$H$25,"N"))</f>
        <v/>
      </c>
      <c r="E25" s="207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76</v>
      </c>
      <c r="C26" s="32" t="str">
        <f>IF('S-ASIG-01'!D26="","",'S-ASIG-01'!D26)</f>
        <v>LIST</v>
      </c>
      <c r="D26" s="35" t="s">
        <v>96</v>
      </c>
      <c r="E26" s="208" t="str">
        <f>LIDER!$E$32</f>
        <v>GRUPO#4</v>
      </c>
      <c r="F26" s="146"/>
      <c r="G26" s="146"/>
      <c r="H26" s="146"/>
      <c r="I26" s="146"/>
      <c r="J26" s="146"/>
      <c r="K26" s="146"/>
    </row>
    <row r="27" spans="1:11" s="2" customFormat="1" ht="12.75">
      <c r="A27" s="9">
        <v>1</v>
      </c>
      <c r="B27" s="28" t="str">
        <f>LIDER!H43</f>
        <v>Ian Yoraco Berrio</v>
      </c>
      <c r="C27" s="33" t="str">
        <f>IF('S-ASIG-01'!D27="","",'S-ASIG-01'!D27)</f>
        <v/>
      </c>
      <c r="D27" s="30">
        <f>IF(B27=0,"",IF(C27="",$E$27*LIDER!$H$19+F27*LIDER!$H$20+G27*LIDER!$H$21+H27*LIDER!$H$22+I27*LIDER!$H$23+J27*LIDER!$H$24+K27*LIDER!$H$25,"N"))</f>
        <v>4.3</v>
      </c>
      <c r="E27" s="207">
        <v>4.3</v>
      </c>
      <c r="F27" s="24">
        <v>4.3</v>
      </c>
      <c r="G27" s="24">
        <v>4.3</v>
      </c>
      <c r="H27" s="24">
        <v>4.3</v>
      </c>
      <c r="I27" s="24">
        <v>4.3</v>
      </c>
      <c r="J27" s="24">
        <v>4.3</v>
      </c>
      <c r="K27" s="24"/>
    </row>
    <row r="28" spans="1:11" s="2" customFormat="1" ht="15" customHeight="1">
      <c r="A28" s="12">
        <v>2</v>
      </c>
      <c r="B28" s="28" t="str">
        <f>LIDER!H44</f>
        <v>Nataly Castro Jimenez</v>
      </c>
      <c r="C28" s="33" t="str">
        <f>IF('S-ASIG-01'!D28="","",'S-ASIG-01'!D28)</f>
        <v/>
      </c>
      <c r="D28" s="30">
        <f>IF(B28=0,"",IF(C28="",$E$27*LIDER!$H$19+F28*LIDER!$H$20+G28*LIDER!$H$21+H28*LIDER!$H$22+I28*LIDER!$H$23+J28*LIDER!$H$24+K28*LIDER!$H$25,"N"))</f>
        <v>4.3</v>
      </c>
      <c r="E28" s="207"/>
      <c r="F28" s="18">
        <v>4.3</v>
      </c>
      <c r="G28" s="18">
        <v>4.3</v>
      </c>
      <c r="H28" s="18">
        <v>4.3</v>
      </c>
      <c r="I28" s="18">
        <v>4.3</v>
      </c>
      <c r="J28" s="18">
        <v>4.3</v>
      </c>
      <c r="K28" s="18"/>
    </row>
    <row r="29" spans="1:11" s="2" customFormat="1" ht="15" customHeight="1">
      <c r="A29" s="12">
        <v>3</v>
      </c>
      <c r="B29" s="28" t="str">
        <f>LIDER!H45</f>
        <v>Oscar Lorduy Neira</v>
      </c>
      <c r="C29" s="33" t="str">
        <f>IF('S-ASIG-01'!D29="","",'S-ASIG-01'!D29)</f>
        <v/>
      </c>
      <c r="D29" s="30">
        <f>IF(B29=0,"",IF(C29="",$E$27*LIDER!$H$19+F29*LIDER!$H$20+G29*LIDER!$H$21+H29*LIDER!$H$22+I29*LIDER!$H$23+J29*LIDER!$H$24+K29*LIDER!$H$25,"N"))</f>
        <v>4.3</v>
      </c>
      <c r="E29" s="207"/>
      <c r="F29" s="18">
        <v>4.3</v>
      </c>
      <c r="G29" s="18">
        <v>4.3</v>
      </c>
      <c r="H29" s="18">
        <v>4.3</v>
      </c>
      <c r="I29" s="18">
        <v>4.3</v>
      </c>
      <c r="J29" s="18">
        <v>4.3</v>
      </c>
      <c r="K29" s="18"/>
    </row>
    <row r="30" spans="1:11" s="2" customFormat="1" ht="15" customHeight="1">
      <c r="A30" s="12">
        <v>4</v>
      </c>
      <c r="B30" s="28" t="str">
        <f>LIDER!H46</f>
        <v>Carlos Orozco Valdes</v>
      </c>
      <c r="C30" s="33" t="str">
        <f>IF('S-ASIG-01'!D30="","",'S-ASIG-01'!D30)</f>
        <v/>
      </c>
      <c r="D30" s="30">
        <f>IF(B30=0,"",IF(C30="",$E$27*LIDER!$H$19+F30*LIDER!$H$20+G30*LIDER!$H$21+H30*LIDER!$H$22+I30*LIDER!$H$23+J30*LIDER!$H$24+K30*LIDER!$H$25,"N"))</f>
        <v>4.3</v>
      </c>
      <c r="E30" s="207"/>
      <c r="F30" s="18">
        <v>4.3</v>
      </c>
      <c r="G30" s="18">
        <v>4.3</v>
      </c>
      <c r="H30" s="18">
        <v>4.3</v>
      </c>
      <c r="I30" s="18">
        <v>4.3</v>
      </c>
      <c r="J30" s="18">
        <v>4.3</v>
      </c>
      <c r="K30" s="18"/>
    </row>
    <row r="31" spans="1:11" s="2" customFormat="1" ht="15" customHeight="1">
      <c r="A31" s="12">
        <v>5</v>
      </c>
      <c r="B31" s="28" t="str">
        <f>LIDER!H47</f>
        <v>Sandri Valdez Sepulveda</v>
      </c>
      <c r="C31" s="33" t="str">
        <f>IF('S-ASIG-01'!D31="","",'S-ASIG-01'!D31)</f>
        <v/>
      </c>
      <c r="D31" s="30">
        <f>IF(B31=0,"",IF(C31="",$E$27*LIDER!$H$19+F31*LIDER!$H$20+G31*LIDER!$H$21+H31*LIDER!$H$22+I31*LIDER!$H$23+J31*LIDER!$H$24+K31*LIDER!$H$25,"N"))</f>
        <v>4.3</v>
      </c>
      <c r="E31" s="207"/>
      <c r="F31" s="18">
        <v>4.3</v>
      </c>
      <c r="G31" s="18">
        <v>4.3</v>
      </c>
      <c r="H31" s="18">
        <v>4.3</v>
      </c>
      <c r="I31" s="18">
        <v>4.3</v>
      </c>
      <c r="J31" s="18">
        <v>4.3</v>
      </c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IF('S-ASIG-01'!D32="","",'S-ASIG-01'!D32)</f>
        <v/>
      </c>
      <c r="D32" s="30" t="str">
        <f>IF(B32=0,"",IF(C32="",$E$27*LIDER!$H$19+F32*LIDER!$H$20+G32*LIDER!$H$21+H32*LIDER!$H$22+I32*LIDER!$H$23+J32*LIDER!$H$24+K32*LIDER!$H$25,"N"))</f>
        <v/>
      </c>
      <c r="E32" s="207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78</v>
      </c>
      <c r="C33" s="32" t="str">
        <f>IF('S-ASIG-01'!D33="","",'S-ASIG-01'!D33)</f>
        <v>LIST</v>
      </c>
      <c r="D33" s="35" t="s">
        <v>96</v>
      </c>
      <c r="E33" s="208" t="str">
        <f>LIDER!$E$33</f>
        <v>GRUPO#5</v>
      </c>
      <c r="F33" s="146"/>
      <c r="G33" s="146"/>
      <c r="H33" s="146"/>
      <c r="I33" s="146"/>
      <c r="J33" s="146"/>
      <c r="K33" s="146"/>
    </row>
    <row r="34" spans="1:11" s="2" customFormat="1" ht="12.75">
      <c r="A34" s="9">
        <v>1</v>
      </c>
      <c r="B34" s="28" t="str">
        <f>LIDER!E51</f>
        <v>Adrian Marriaga Muñoz</v>
      </c>
      <c r="C34" s="33" t="str">
        <f>IF('S-ASIG-01'!D34="","",'S-ASIG-01'!D34)</f>
        <v/>
      </c>
      <c r="D34" s="30">
        <f>IF(B34=0,"",IF(C34="",$E$34*LIDER!$H$19+F34*LIDER!$H$20+G34*LIDER!$H$21+H34*LIDER!$H$22+I34*LIDER!$H$23+J34*LIDER!$H$24+K34*LIDER!$H$25,"N"))</f>
        <v>4.3</v>
      </c>
      <c r="E34" s="207">
        <v>4.3</v>
      </c>
      <c r="F34" s="24">
        <v>4.3</v>
      </c>
      <c r="G34" s="24">
        <v>4.3</v>
      </c>
      <c r="H34" s="24">
        <v>4.3</v>
      </c>
      <c r="I34" s="24">
        <v>4.3</v>
      </c>
      <c r="J34" s="24">
        <v>4.3</v>
      </c>
      <c r="K34" s="24"/>
    </row>
    <row r="35" spans="1:11" s="2" customFormat="1" ht="15" customHeight="1">
      <c r="A35" s="12">
        <v>2</v>
      </c>
      <c r="B35" s="28" t="str">
        <f>LIDER!E52</f>
        <v>Kristin Perez martinez</v>
      </c>
      <c r="C35" s="33" t="str">
        <f>IF('S-ASIG-01'!D35="","",'S-ASIG-01'!D35)</f>
        <v/>
      </c>
      <c r="D35" s="30">
        <f>IF(B35=0,"",IF(C35="",$E$34*LIDER!$H$19+F35*LIDER!$H$20+G35*LIDER!$H$21+H35*LIDER!$H$22+I35*LIDER!$H$23+J35*LIDER!$H$24+K35*LIDER!$H$25,"N"))</f>
        <v>4.3</v>
      </c>
      <c r="E35" s="207"/>
      <c r="F35" s="18">
        <v>4.3</v>
      </c>
      <c r="G35" s="18">
        <v>4.3</v>
      </c>
      <c r="H35" s="18">
        <v>4.3</v>
      </c>
      <c r="I35" s="18">
        <v>4.3</v>
      </c>
      <c r="J35" s="18">
        <v>4.3</v>
      </c>
      <c r="K35" s="18"/>
    </row>
    <row r="36" spans="1:11" s="2" customFormat="1" ht="15" customHeight="1">
      <c r="A36" s="12">
        <v>3</v>
      </c>
      <c r="B36" s="28" t="str">
        <f>LIDER!E53</f>
        <v>Nina Aguilar Sarabia</v>
      </c>
      <c r="C36" s="33" t="str">
        <f>IF('S-ASIG-01'!D36="","",'S-ASIG-01'!D36)</f>
        <v/>
      </c>
      <c r="D36" s="30" t="e">
        <f>IF(B36=0,"",IF(C36="",$E$34*LIDER!$H$19+F36*LIDER!$H$20+G36*LIDER!$H$21+H36*LIDER!$H$22+I36*LIDER!$H$23+J36*LIDER!$H$24+K36*LIDER!$H$25,"N"))</f>
        <v>#VALUE!</v>
      </c>
      <c r="E36" s="207"/>
      <c r="F36" s="18" t="s">
        <v>108</v>
      </c>
      <c r="G36" s="18" t="s">
        <v>108</v>
      </c>
      <c r="H36" s="18" t="s">
        <v>108</v>
      </c>
      <c r="I36" s="18" t="s">
        <v>108</v>
      </c>
      <c r="J36" s="18" t="s">
        <v>108</v>
      </c>
      <c r="K36" s="18"/>
    </row>
    <row r="37" spans="1:11" s="2" customFormat="1" ht="15" customHeight="1">
      <c r="A37" s="12">
        <v>4</v>
      </c>
      <c r="B37" s="28" t="str">
        <f>LIDER!E54</f>
        <v>Theres Theran caicedo</v>
      </c>
      <c r="C37" s="33" t="str">
        <f>IF('S-ASIG-01'!D37="","",'S-ASIG-01'!D37)</f>
        <v/>
      </c>
      <c r="D37" s="30">
        <f>IF(B37=0,"",IF(C37="",$E$34*LIDER!$H$19+F37*LIDER!$H$20+G37*LIDER!$H$21+H37*LIDER!$H$22+I37*LIDER!$H$23+J37*LIDER!$H$24+K37*LIDER!$H$25,"N"))</f>
        <v>4.3</v>
      </c>
      <c r="E37" s="207"/>
      <c r="F37" s="18">
        <v>4.3</v>
      </c>
      <c r="G37" s="18">
        <v>4.3</v>
      </c>
      <c r="H37" s="18">
        <v>4.3</v>
      </c>
      <c r="I37" s="18">
        <v>4.3</v>
      </c>
      <c r="J37" s="18">
        <v>4.3</v>
      </c>
      <c r="K37" s="18"/>
    </row>
    <row r="38" spans="1:11" s="2" customFormat="1" ht="15" customHeight="1">
      <c r="A38" s="12">
        <v>5</v>
      </c>
      <c r="B38" s="28" t="str">
        <f>LIDER!E55</f>
        <v>Diego Cardona Bolaño</v>
      </c>
      <c r="C38" s="33" t="str">
        <f>IF('S-ASIG-01'!D38="","",'S-ASIG-01'!D38)</f>
        <v/>
      </c>
      <c r="D38" s="30">
        <f>IF(B38=0,"",IF(C38="",$E$34*LIDER!$H$19+F38*LIDER!$H$20+G38*LIDER!$H$21+H38*LIDER!$H$22+I38*LIDER!$H$23+J38*LIDER!$H$24+K38*LIDER!$H$25,"N"))</f>
        <v>4.3</v>
      </c>
      <c r="E38" s="207"/>
      <c r="F38" s="18">
        <v>4.3</v>
      </c>
      <c r="G38" s="18">
        <v>4.3</v>
      </c>
      <c r="H38" s="18">
        <v>4.3</v>
      </c>
      <c r="I38" s="18">
        <v>4.3</v>
      </c>
      <c r="J38" s="18">
        <v>4.3</v>
      </c>
      <c r="K38" s="18"/>
    </row>
    <row r="39" spans="1:11" s="2" customFormat="1" ht="15.75" customHeight="1" thickBot="1">
      <c r="A39" s="13">
        <v>6</v>
      </c>
      <c r="B39" s="28" t="str">
        <f>LIDER!E56</f>
        <v>Jhamer Luis Maza Ramos</v>
      </c>
      <c r="C39" s="33" t="str">
        <f>IF('S-ASIG-01'!D39="","",'S-ASIG-01'!D39)</f>
        <v/>
      </c>
      <c r="D39" s="30">
        <f>IF(B39=0,"",IF(C39="",$E$34*LIDER!$H$19+F39*LIDER!$H$20+G39*LIDER!$H$21+H39*LIDER!$H$22+I39*LIDER!$H$23+J39*LIDER!$H$24+K39*LIDER!$H$25,"N"))</f>
        <v>4.3</v>
      </c>
      <c r="E39" s="207"/>
      <c r="F39" s="26">
        <v>4.3</v>
      </c>
      <c r="G39" s="26">
        <v>4.3</v>
      </c>
      <c r="H39" s="26">
        <v>4.3</v>
      </c>
      <c r="I39" s="26">
        <v>4.3</v>
      </c>
      <c r="J39" s="26">
        <v>4.3</v>
      </c>
      <c r="K39" s="26"/>
    </row>
    <row r="40" spans="1:11" s="2" customFormat="1" ht="15.75" customHeight="1" thickBot="1">
      <c r="A40" s="14"/>
      <c r="B40" s="27" t="s">
        <v>80</v>
      </c>
      <c r="C40" s="32" t="str">
        <f>IF('S-ASIG-01'!D40="","",'S-ASIG-01'!D40)</f>
        <v>LIST</v>
      </c>
      <c r="D40" s="35" t="s">
        <v>96</v>
      </c>
      <c r="E40" s="208" t="str">
        <f>LIDER!$E$34</f>
        <v>GRUPO#6</v>
      </c>
      <c r="F40" s="146"/>
      <c r="G40" s="146"/>
      <c r="H40" s="146"/>
      <c r="I40" s="146"/>
      <c r="J40" s="146"/>
      <c r="K40" s="146"/>
    </row>
    <row r="41" spans="1:11" s="2" customFormat="1" ht="12.75">
      <c r="A41" s="9">
        <v>1</v>
      </c>
      <c r="B41" s="28" t="str">
        <f>LIDER!F51</f>
        <v>Yureidy Alarez Castellano</v>
      </c>
      <c r="C41" s="33" t="str">
        <f>IF('S-ASIG-01'!D41="","",'S-ASIG-01'!D41)</f>
        <v/>
      </c>
      <c r="D41" s="30">
        <f>IF(B41=0,"",IF(C41="",$E$41*LIDER!$H$19+F41*LIDER!$H$20+G41*LIDER!$H$21+H41*LIDER!$H$22+I41*LIDER!$H$23+J41*LIDER!$H$24+K41*LIDER!$H$25,"N"))</f>
        <v>3.6000000000000005</v>
      </c>
      <c r="E41" s="207">
        <v>3.2</v>
      </c>
      <c r="F41" s="24">
        <v>4</v>
      </c>
      <c r="G41" s="24">
        <v>4</v>
      </c>
      <c r="H41" s="24">
        <v>4</v>
      </c>
      <c r="I41" s="24">
        <v>4</v>
      </c>
      <c r="J41" s="24">
        <v>4</v>
      </c>
      <c r="K41" s="24"/>
    </row>
    <row r="42" spans="1:11" s="2" customFormat="1" ht="15" customHeight="1">
      <c r="A42" s="12">
        <v>2</v>
      </c>
      <c r="B42" s="28" t="str">
        <f>LIDER!F52</f>
        <v>Juan C Baldiris Espitia</v>
      </c>
      <c r="C42" s="33" t="str">
        <f>IF('S-ASIG-01'!D42="","",'S-ASIG-01'!D42)</f>
        <v/>
      </c>
      <c r="D42" s="30">
        <f>IF(B42=0,"",IF(C42="",$E$41*LIDER!$H$19+F42*LIDER!$H$20+G42*LIDER!$H$21+H42*LIDER!$H$22+I42*LIDER!$H$23+J42*LIDER!$H$24+K42*LIDER!$H$25,"N"))</f>
        <v>3.6000000000000005</v>
      </c>
      <c r="E42" s="207"/>
      <c r="F42" s="18">
        <v>4</v>
      </c>
      <c r="G42" s="18">
        <v>4</v>
      </c>
      <c r="H42" s="18">
        <v>4</v>
      </c>
      <c r="I42" s="18">
        <v>4</v>
      </c>
      <c r="J42" s="18">
        <v>4</v>
      </c>
      <c r="K42" s="18"/>
    </row>
    <row r="43" spans="1:11" s="2" customFormat="1" ht="15" customHeight="1">
      <c r="A43" s="12">
        <v>3</v>
      </c>
      <c r="B43" s="28" t="str">
        <f>LIDER!F53</f>
        <v>Andres F Torres Arroyo</v>
      </c>
      <c r="C43" s="33" t="str">
        <f>IF('S-ASIG-01'!D43="","",'S-ASIG-01'!D43)</f>
        <v/>
      </c>
      <c r="D43" s="30">
        <f>IF(B43=0,"",IF(C43="",$E$41*LIDER!$H$19+F43*LIDER!$H$20+G43*LIDER!$H$21+H43*LIDER!$H$22+I43*LIDER!$H$23+J43*LIDER!$H$24+K43*LIDER!$H$25,"N"))</f>
        <v>3.6000000000000005</v>
      </c>
      <c r="E43" s="207"/>
      <c r="F43" s="18">
        <v>4</v>
      </c>
      <c r="G43" s="18">
        <v>4</v>
      </c>
      <c r="H43" s="18">
        <v>4</v>
      </c>
      <c r="I43" s="18">
        <v>4</v>
      </c>
      <c r="J43" s="18">
        <v>4</v>
      </c>
      <c r="K43" s="18"/>
    </row>
    <row r="44" spans="1:11" s="2" customFormat="1" ht="15" customHeight="1">
      <c r="A44" s="12">
        <v>4</v>
      </c>
      <c r="B44" s="28" t="str">
        <f>LIDER!F54</f>
        <v>Sherlyn Villegas Maza</v>
      </c>
      <c r="C44" s="33" t="str">
        <f>IF('S-ASIG-01'!D44="","",'S-ASIG-01'!D44)</f>
        <v/>
      </c>
      <c r="D44" s="30">
        <f>IF(B44=0,"",IF(C44="",$E$41*LIDER!$H$19+F44*LIDER!$H$20+G44*LIDER!$H$21+H44*LIDER!$H$22+I44*LIDER!$H$23+J44*LIDER!$H$24+K44*LIDER!$H$25,"N"))</f>
        <v>3.6000000000000005</v>
      </c>
      <c r="E44" s="207"/>
      <c r="F44" s="18">
        <v>4</v>
      </c>
      <c r="G44" s="18">
        <v>4</v>
      </c>
      <c r="H44" s="18">
        <v>4</v>
      </c>
      <c r="I44" s="18">
        <v>4</v>
      </c>
      <c r="J44" s="18">
        <v>4</v>
      </c>
      <c r="K44" s="18"/>
    </row>
    <row r="45" spans="1:11" s="2" customFormat="1" ht="15" customHeight="1">
      <c r="A45" s="12">
        <v>5</v>
      </c>
      <c r="B45" s="28" t="str">
        <f>LIDER!F55</f>
        <v>Isaac Zapata Zapata</v>
      </c>
      <c r="C45" s="33" t="str">
        <f>IF('S-ASIG-01'!D45="","",'S-ASIG-01'!D45)</f>
        <v/>
      </c>
      <c r="D45" s="30">
        <f>IF(B45=0,"",IF(C45="",$E$41*LIDER!$H$19+F45*LIDER!$H$20+G45*LIDER!$H$21+H45*LIDER!$H$22+I45*LIDER!$H$23+J45*LIDER!$H$24+K45*LIDER!$H$25,"N"))</f>
        <v>3.6000000000000005</v>
      </c>
      <c r="E45" s="207"/>
      <c r="F45" s="18">
        <v>4</v>
      </c>
      <c r="G45" s="18">
        <v>4</v>
      </c>
      <c r="H45" s="18">
        <v>4</v>
      </c>
      <c r="I45" s="18">
        <v>4</v>
      </c>
      <c r="J45" s="18">
        <v>4</v>
      </c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IF('S-ASIG-01'!D46="","",'S-ASIG-01'!D46)</f>
        <v/>
      </c>
      <c r="D46" s="30" t="str">
        <f>IF(B46=0,"",IF(C46="",$E$41*LIDER!$H$19+F46*LIDER!$H$20+G46*LIDER!$H$21+H46*LIDER!$H$22+I46*LIDER!$H$23+J46*LIDER!$H$24+K46*LIDER!$H$25,"N"))</f>
        <v/>
      </c>
      <c r="E46" s="207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82</v>
      </c>
      <c r="C47" s="32" t="str">
        <f>IF('S-ASIG-01'!D47="","",'S-ASIG-01'!D47)</f>
        <v>LIST</v>
      </c>
      <c r="D47" s="35" t="s">
        <v>96</v>
      </c>
      <c r="E47" s="208" t="str">
        <f>LIDER!$E$35</f>
        <v>GRUPO#7</v>
      </c>
      <c r="F47" s="146"/>
      <c r="G47" s="146"/>
      <c r="H47" s="146"/>
      <c r="I47" s="146"/>
      <c r="J47" s="146"/>
      <c r="K47" s="146"/>
    </row>
    <row r="48" spans="1:11" s="2" customFormat="1" ht="12.75">
      <c r="A48" s="9">
        <v>1</v>
      </c>
      <c r="B48" s="28" t="str">
        <f>LIDER!G51</f>
        <v>Valeria Balesteros Almentero</v>
      </c>
      <c r="C48" s="33" t="str">
        <f>IF('S-ASIG-01'!D48="","",'S-ASIG-01'!D48)</f>
        <v/>
      </c>
      <c r="D48" s="30">
        <f>IF(B48=0,"",IF(C48="",$E$48*LIDER!$H$19+F48*LIDER!$H$20+G48*LIDER!$H$21+H48*LIDER!$H$22+I48*LIDER!$H$23+J48*LIDER!$H$24+K48*LIDER!$H$25,"N"))</f>
        <v>3</v>
      </c>
      <c r="E48" s="207">
        <v>3</v>
      </c>
      <c r="F48" s="24">
        <v>3</v>
      </c>
      <c r="G48" s="24">
        <v>3</v>
      </c>
      <c r="H48" s="24">
        <v>3</v>
      </c>
      <c r="I48" s="24">
        <v>3</v>
      </c>
      <c r="J48" s="24">
        <v>3</v>
      </c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IF('S-ASIG-01'!D49="","",'S-ASIG-01'!D49)</f>
        <v/>
      </c>
      <c r="D49" s="30" t="str">
        <f>IF(B49=0,"",IF(C49="",$E$48*LIDER!$H$19+F49*LIDER!$H$20+G49*LIDER!$H$21+H49*LIDER!$H$22+I49*LIDER!$H$23+J49*LIDER!$H$24+K49*LIDER!$H$25,"N"))</f>
        <v/>
      </c>
      <c r="E49" s="207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IF('S-ASIG-01'!D50="","",'S-ASIG-01'!D50)</f>
        <v/>
      </c>
      <c r="D50" s="30" t="str">
        <f>IF(B50=0,"",IF(C50="",$E$48*LIDER!$H$19+F50*LIDER!$H$20+G50*LIDER!$H$21+H50*LIDER!$H$22+I50*LIDER!$H$23+J50*LIDER!$H$24+K50*LIDER!$H$25,"N"))</f>
        <v/>
      </c>
      <c r="E50" s="207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IF('S-ASIG-01'!D51="","",'S-ASIG-01'!D51)</f>
        <v/>
      </c>
      <c r="D51" s="30" t="str">
        <f>IF(B51=0,"",IF(C51="",$E$48*LIDER!$H$19+F51*LIDER!$H$20+G51*LIDER!$H$21+H51*LIDER!$H$22+I51*LIDER!$H$23+J51*LIDER!$H$24+K51*LIDER!$H$25,"N"))</f>
        <v/>
      </c>
      <c r="E51" s="207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IF('S-ASIG-01'!D52="","",'S-ASIG-01'!D52)</f>
        <v/>
      </c>
      <c r="D52" s="30" t="str">
        <f>IF(B52=0,"",IF(C52="",$E$48*LIDER!$H$19+F52*LIDER!$H$20+G52*LIDER!$H$21+H52*LIDER!$H$22+I52*LIDER!$H$23+J52*LIDER!$H$24+K52*LIDER!$H$25,"N"))</f>
        <v/>
      </c>
      <c r="E52" s="207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IF('S-ASIG-01'!D53="","",'S-ASIG-01'!D53)</f>
        <v/>
      </c>
      <c r="D53" s="30" t="str">
        <f>IF(B53=0,"",IF(C53="",$E$48*LIDER!$H$19+F53*LIDER!$H$20+G53*LIDER!$H$21+H53*LIDER!$H$22+I53*LIDER!$H$23+J53*LIDER!$H$24+K53*LIDER!$H$25,"N"))</f>
        <v/>
      </c>
      <c r="E53" s="207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84</v>
      </c>
      <c r="C54" s="32" t="str">
        <f>IF('S-ASIG-01'!D54="","",'S-ASIG-01'!D54)</f>
        <v>LIST</v>
      </c>
      <c r="D54" s="35" t="s">
        <v>96</v>
      </c>
      <c r="E54" s="208" t="str">
        <f>LIDER!$E$36</f>
        <v>GRUPO#8</v>
      </c>
      <c r="F54" s="146"/>
      <c r="G54" s="146"/>
      <c r="H54" s="146"/>
      <c r="I54" s="146"/>
      <c r="J54" s="146"/>
      <c r="K54" s="146"/>
    </row>
    <row r="55" spans="1:11" s="2" customFormat="1" ht="12.75">
      <c r="A55" s="9">
        <v>1</v>
      </c>
      <c r="B55" s="28">
        <f>LIDER!H51</f>
        <v>0</v>
      </c>
      <c r="C55" s="33" t="str">
        <f>IF('S-ASIG-01'!D55="","",'S-ASIG-01'!D55)</f>
        <v/>
      </c>
      <c r="D55" s="30" t="str">
        <f>IF(B55=0,"",IF(C55="",$E$55*LIDER!$H$19+F55*LIDER!$H$20+G55*LIDER!$H$21+H55*LIDER!$H$22+I55*LIDER!$H$23+J55*LIDER!$H$24+K55*LIDER!$H$25,"N"))</f>
        <v/>
      </c>
      <c r="E55" s="207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IF('S-ASIG-01'!D56="","",'S-ASIG-01'!D56)</f>
        <v/>
      </c>
      <c r="D56" s="30" t="str">
        <f>IF(B56=0,"",IF(C56="",$E$55*LIDER!$H$19+F56*LIDER!$H$20+G56*LIDER!$H$21+H56*LIDER!$H$22+I56*LIDER!$H$23+J56*LIDER!$H$24+K56*LIDER!$H$25,"N"))</f>
        <v/>
      </c>
      <c r="E56" s="207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IF('S-ASIG-01'!D57="","",'S-ASIG-01'!D57)</f>
        <v/>
      </c>
      <c r="D57" s="30" t="str">
        <f>IF(B57=0,"",IF(C57="",$E$55*LIDER!$H$19+F57*LIDER!$H$20+G57*LIDER!$H$21+H57*LIDER!$H$22+I57*LIDER!$H$23+J57*LIDER!$H$24+K57*LIDER!$H$25,"N"))</f>
        <v/>
      </c>
      <c r="E57" s="207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IF('S-ASIG-01'!D58="","",'S-ASIG-01'!D58)</f>
        <v/>
      </c>
      <c r="D58" s="30" t="str">
        <f>IF(B58=0,"",IF(C58="",$E$55*LIDER!$H$19+F58*LIDER!$H$20+G58*LIDER!$H$21+H58*LIDER!$H$22+I58*LIDER!$H$23+J58*LIDER!$H$24+K58*LIDER!$H$25,"N"))</f>
        <v/>
      </c>
      <c r="E58" s="207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IF('S-ASIG-01'!D59="","",'S-ASIG-01'!D59)</f>
        <v/>
      </c>
      <c r="D59" s="30" t="str">
        <f>IF(B59=0,"",IF(C59="",$E$55*LIDER!$H$19+F59*LIDER!$H$20+G59*LIDER!$H$21+H59*LIDER!$H$22+I59*LIDER!$H$23+J59*LIDER!$H$24+K59*LIDER!$H$25,"N"))</f>
        <v/>
      </c>
      <c r="E59" s="207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IF('S-ASIG-01'!D60="","",'S-ASIG-01'!D60)</f>
        <v/>
      </c>
      <c r="D60" s="30" t="str">
        <f>IF(B60=0,"",IF(C60="",$E$55*LIDER!$H$19+F60*LIDER!$H$20+G60*LIDER!$H$21+H60*LIDER!$H$22+I60*LIDER!$H$23+J60*LIDER!$H$24+K60*LIDER!$H$25,"N"))</f>
        <v/>
      </c>
      <c r="E60" s="207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86</v>
      </c>
      <c r="C61" s="32" t="str">
        <f>IF('S-ASIG-01'!D61="","",'S-ASIG-01'!D61)</f>
        <v>LIST</v>
      </c>
      <c r="D61" s="35" t="s">
        <v>96</v>
      </c>
      <c r="E61" s="208" t="str">
        <f>LIDER!$E$37</f>
        <v>GRUPO#9</v>
      </c>
      <c r="F61" s="146"/>
      <c r="G61" s="146"/>
      <c r="H61" s="146"/>
      <c r="I61" s="146"/>
      <c r="J61" s="146"/>
      <c r="K61" s="146"/>
    </row>
    <row r="62" spans="1:11" s="2" customFormat="1" ht="12.75">
      <c r="A62" s="9">
        <v>1</v>
      </c>
      <c r="B62" s="28">
        <f>LIDER!E59</f>
        <v>0</v>
      </c>
      <c r="C62" s="33" t="str">
        <f>IF('S-ASIG-01'!D62="","",'S-ASIG-01'!D62)</f>
        <v/>
      </c>
      <c r="D62" s="30" t="str">
        <f>IF(B62=0,"",IF(C62="",$E$62*LIDER!$H$19+F62*LIDER!$H$20+G62*LIDER!$H$21+H62*LIDER!$H$22+I62*LIDER!$H$23+J62*LIDER!$H$24+K62*LIDER!$H$25,"N"))</f>
        <v/>
      </c>
      <c r="E62" s="207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IF('S-ASIG-01'!D63="","",'S-ASIG-01'!D63)</f>
        <v/>
      </c>
      <c r="D63" s="30" t="str">
        <f>IF(B63=0,"",IF(C63="",$E$62*LIDER!$H$19+F63*LIDER!$H$20+G63*LIDER!$H$21+H63*LIDER!$H$22+I63*LIDER!$H$23+J63*LIDER!$H$24+K63*LIDER!$H$25,"N"))</f>
        <v/>
      </c>
      <c r="E63" s="207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IF('S-ASIG-01'!D64="","",'S-ASIG-01'!D64)</f>
        <v/>
      </c>
      <c r="D64" s="30" t="str">
        <f>IF(B64=0,"",IF(C64="",$E$62*LIDER!$H$19+F64*LIDER!$H$20+G64*LIDER!$H$21+H64*LIDER!$H$22+I64*LIDER!$H$23+J64*LIDER!$H$24+K64*LIDER!$H$25,"N"))</f>
        <v/>
      </c>
      <c r="E64" s="207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IF('S-ASIG-01'!D65="","",'S-ASIG-01'!D65)</f>
        <v/>
      </c>
      <c r="D65" s="30" t="str">
        <f>IF(B65=0,"",IF(C65="",$E$62*LIDER!$H$19+F65*LIDER!$H$20+G65*LIDER!$H$21+H65*LIDER!$H$22+I65*LIDER!$H$23+J65*LIDER!$H$24+K65*LIDER!$H$25,"N"))</f>
        <v/>
      </c>
      <c r="E65" s="207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IF('S-ASIG-01'!D66="","",'S-ASIG-01'!D66)</f>
        <v/>
      </c>
      <c r="D66" s="30" t="str">
        <f>IF(B66=0,"",IF(C66="",$E$62*LIDER!$H$19+F66*LIDER!$H$20+G66*LIDER!$H$21+H66*LIDER!$H$22+I66*LIDER!$H$23+J66*LIDER!$H$24+K66*LIDER!$H$25,"N"))</f>
        <v/>
      </c>
      <c r="E66" s="207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IF('S-ASIG-01'!D67="","",'S-ASIG-01'!D67)</f>
        <v/>
      </c>
      <c r="D67" s="30" t="str">
        <f>IF(B67=0,"",IF(C67="",$E$62*LIDER!$H$19+F67*LIDER!$H$20+G67*LIDER!$H$21+H67*LIDER!$H$22+I67*LIDER!$H$23+J67*LIDER!$H$24+K67*LIDER!$H$25,"N"))</f>
        <v/>
      </c>
      <c r="E67" s="207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88</v>
      </c>
      <c r="C68" s="32" t="str">
        <f>IF('S-ASIG-01'!D68="","",'S-ASIG-01'!D68)</f>
        <v>LIST</v>
      </c>
      <c r="D68" s="35" t="s">
        <v>96</v>
      </c>
      <c r="E68" s="208" t="str">
        <f>LIDER!$E$38</f>
        <v>GRUPO#10</v>
      </c>
      <c r="F68" s="146"/>
      <c r="G68" s="146"/>
      <c r="H68" s="146"/>
      <c r="I68" s="146"/>
      <c r="J68" s="146"/>
      <c r="K68" s="146"/>
    </row>
    <row r="69" spans="1:11" s="2" customFormat="1" ht="12.75">
      <c r="A69" s="9">
        <v>1</v>
      </c>
      <c r="B69" s="28">
        <f>LIDER!F59</f>
        <v>0</v>
      </c>
      <c r="C69" s="33" t="str">
        <f>IF('S-ASIG-01'!D69="","",'S-ASIG-01'!D69)</f>
        <v/>
      </c>
      <c r="D69" s="30" t="str">
        <f>IF(B69=0,"",IF(C69="",$E$69*LIDER!$H$19+F69*LIDER!$H$20+G69*LIDER!$H$21+H69*LIDER!$H$22+I69*LIDER!$H$23+J69*LIDER!$H$24+K69*LIDER!$H$25,"N"))</f>
        <v/>
      </c>
      <c r="E69" s="207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IF('S-ASIG-01'!D70="","",'S-ASIG-01'!D70)</f>
        <v/>
      </c>
      <c r="D70" s="30" t="str">
        <f>IF(B70=0,"",IF(C70="",$E$69*LIDER!$H$19+F70*LIDER!$H$20+G70*LIDER!$H$21+H70*LIDER!$H$22+I70*LIDER!$H$23+J70*LIDER!$H$24+K70*LIDER!$H$25,"N"))</f>
        <v/>
      </c>
      <c r="E70" s="207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IF('S-ASIG-01'!D71="","",'S-ASIG-01'!D71)</f>
        <v/>
      </c>
      <c r="D71" s="30" t="str">
        <f>IF(B71=0,"",IF(C71="",$E$69*LIDER!$H$19+F71*LIDER!$H$20+G71*LIDER!$H$21+H71*LIDER!$H$22+I71*LIDER!$H$23+J71*LIDER!$H$24+K71*LIDER!$H$25,"N"))</f>
        <v/>
      </c>
      <c r="E71" s="207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IF('S-ASIG-01'!D72="","",'S-ASIG-01'!D72)</f>
        <v/>
      </c>
      <c r="D72" s="30" t="str">
        <f>IF(B72=0,"",IF(C72="",$E$69*LIDER!$H$19+F72*LIDER!$H$20+G72*LIDER!$H$21+H72*LIDER!$H$22+I72*LIDER!$H$23+J72*LIDER!$H$24+K72*LIDER!$H$25,"N"))</f>
        <v/>
      </c>
      <c r="E72" s="207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IF('S-ASIG-01'!D73="","",'S-ASIG-01'!D73)</f>
        <v/>
      </c>
      <c r="D73" s="30" t="str">
        <f>IF(B73=0,"",IF(C73="",$E$69*LIDER!$H$19+F73*LIDER!$H$20+G73*LIDER!$H$21+H73*LIDER!$H$22+I73*LIDER!$H$23+J73*LIDER!$H$24+K73*LIDER!$H$25,"N"))</f>
        <v/>
      </c>
      <c r="E73" s="207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IF('S-ASIG-01'!D74="","",'S-ASIG-01'!D74)</f>
        <v/>
      </c>
      <c r="D74" s="30" t="str">
        <f>IF(B74=0,"",IF(C74="",$E$69*LIDER!$H$19+F74*LIDER!$H$20+G74*LIDER!$H$21+H74*LIDER!$H$22+I74*LIDER!$H$23+J74*LIDER!$H$24+K74*LIDER!$H$25,"N"))</f>
        <v/>
      </c>
      <c r="E74" s="207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90</v>
      </c>
      <c r="C75" s="32" t="str">
        <f>IF('S-ASIG-01'!D75="","",'S-ASIG-01'!D75)</f>
        <v>LIST</v>
      </c>
      <c r="D75" s="35" t="s">
        <v>96</v>
      </c>
      <c r="E75" s="208" t="str">
        <f>LIDER!$E$39</f>
        <v>GRUPO#11</v>
      </c>
      <c r="F75" s="146"/>
      <c r="G75" s="146"/>
      <c r="H75" s="146"/>
      <c r="I75" s="146"/>
      <c r="J75" s="146"/>
      <c r="K75" s="146"/>
    </row>
    <row r="76" spans="1:11" s="2" customFormat="1" ht="12.75">
      <c r="A76" s="9">
        <v>1</v>
      </c>
      <c r="B76" s="28">
        <f>LIDER!G59</f>
        <v>0</v>
      </c>
      <c r="C76" s="33" t="str">
        <f>IF('S-ASIG-01'!D76="","",'S-ASIG-01'!D76)</f>
        <v/>
      </c>
      <c r="D76" s="30" t="str">
        <f>IF(B76=0,"",IF(C76="",E76*LIDER!$H$19+F76*LIDER!$H$20+G76*LIDER!$H$21+H76*LIDER!$H$22+I76*LIDER!$H$23+J76*LIDER!$H$24+K76*LIDER!$H$25,"N"))</f>
        <v/>
      </c>
      <c r="E76" s="207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IF('S-ASIG-01'!D77="","",'S-ASIG-01'!D77)</f>
        <v/>
      </c>
      <c r="D77" s="30" t="str">
        <f>IF(B77=0,"",IF(C77="",E77*LIDER!$H$19+F77*LIDER!$H$20+G77*LIDER!$H$21+H77*LIDER!$H$22+I77*LIDER!$H$23+J77*LIDER!$H$24+K77*LIDER!$H$25,"N"))</f>
        <v/>
      </c>
      <c r="E77" s="207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IF('S-ASIG-01'!D78="","",'S-ASIG-01'!D78)</f>
        <v/>
      </c>
      <c r="D78" s="30" t="str">
        <f>IF(B78=0,"",IF(C78="",E78*LIDER!$H$19+F78*LIDER!$H$20+G78*LIDER!$H$21+H78*LIDER!$H$22+I78*LIDER!$H$23+J78*LIDER!$H$24+K78*LIDER!$H$25,"N"))</f>
        <v/>
      </c>
      <c r="E78" s="207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IF('S-ASIG-01'!D79="","",'S-ASIG-01'!D79)</f>
        <v/>
      </c>
      <c r="D79" s="30" t="str">
        <f>IF(B79=0,"",IF(C79="",E79*LIDER!$H$19+F79*LIDER!$H$20+G79*LIDER!$H$21+H79*LIDER!$H$22+I79*LIDER!$H$23+J79*LIDER!$H$24+K79*LIDER!$H$25,"N"))</f>
        <v/>
      </c>
      <c r="E79" s="207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IF('S-ASIG-01'!D80="","",'S-ASIG-01'!D80)</f>
        <v/>
      </c>
      <c r="D80" s="30" t="str">
        <f>IF(B80=0,"",IF(C80="",E80*LIDER!$H$19+F80*LIDER!$H$20+G80*LIDER!$H$21+H80*LIDER!$H$22+I80*LIDER!$H$23+J80*LIDER!$H$24+K80*LIDER!$H$25,"N"))</f>
        <v/>
      </c>
      <c r="E80" s="207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IF('S-ASIG-01'!D81="","",'S-ASIG-01'!D81)</f>
        <v/>
      </c>
      <c r="D81" s="30" t="str">
        <f>IF(B81=0,"",IF(C81="",E81*LIDER!$H$19+F81*LIDER!$H$20+G81*LIDER!$H$21+H81*LIDER!$H$22+I81*LIDER!$H$23+J81*LIDER!$H$24+K81*LIDER!$H$25,"N"))</f>
        <v/>
      </c>
      <c r="E81" s="207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91</v>
      </c>
      <c r="C82" s="32" t="str">
        <f>IF('S-ASIG-01'!D82="","",'S-ASIG-01'!D82)</f>
        <v>LIST</v>
      </c>
      <c r="D82" s="35" t="s">
        <v>96</v>
      </c>
      <c r="E82" s="208" t="str">
        <f>LIDER!$E$40</f>
        <v>GRUPO#12</v>
      </c>
      <c r="F82" s="146"/>
      <c r="G82" s="146"/>
      <c r="H82" s="146"/>
      <c r="I82" s="146"/>
      <c r="J82" s="146"/>
      <c r="K82" s="146"/>
    </row>
    <row r="83" spans="1:11" s="2" customFormat="1" ht="12.75">
      <c r="A83" s="9">
        <v>1</v>
      </c>
      <c r="B83" s="28">
        <f>LIDER!H59</f>
        <v>0</v>
      </c>
      <c r="C83" s="33" t="str">
        <f>IF('S-ASIG-01'!D83="","",'S-ASIG-01'!D83)</f>
        <v/>
      </c>
      <c r="D83" s="30" t="str">
        <f>IF(B83=0,"",IF(C83="",$E$83*LIDER!$H$19+F83*LIDER!$H$20+G83*LIDER!$H$21+H83*LIDER!$H$22+I83*LIDER!$H$23+J83*LIDER!$H$24+K83*LIDER!$H$25,"N"))</f>
        <v/>
      </c>
      <c r="E83" s="207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IF('S-ASIG-01'!D84="","",'S-ASIG-01'!D84)</f>
        <v/>
      </c>
      <c r="D84" s="30" t="str">
        <f>IF(B84=0,"",IF(C84="",$E$83*LIDER!$H$19+F84*LIDER!$H$20+G84*LIDER!$H$21+H84*LIDER!$H$22+I84*LIDER!$H$23+J84*LIDER!$H$24+K84*LIDER!$H$25,"N"))</f>
        <v/>
      </c>
      <c r="E84" s="207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IF('S-ASIG-01'!D85="","",'S-ASIG-01'!D85)</f>
        <v/>
      </c>
      <c r="D85" s="30" t="str">
        <f>IF(B85=0,"",IF(C85="",$E$83*LIDER!$H$19+F85*LIDER!$H$20+G85*LIDER!$H$21+H85*LIDER!$H$22+I85*LIDER!$H$23+J85*LIDER!$H$24+K85*LIDER!$H$25,"N"))</f>
        <v/>
      </c>
      <c r="E85" s="207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IF('S-ASIG-01'!D86="","",'S-ASIG-01'!D86)</f>
        <v/>
      </c>
      <c r="D86" s="30" t="str">
        <f>IF(B86=0,"",IF(C86="",$E$83*LIDER!$H$19+F86*LIDER!$H$20+G86*LIDER!$H$21+H86*LIDER!$H$22+I86*LIDER!$H$23+J86*LIDER!$H$24+K86*LIDER!$H$25,"N"))</f>
        <v/>
      </c>
      <c r="E86" s="207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IF('S-ASIG-01'!D87="","",'S-ASIG-01'!D87)</f>
        <v/>
      </c>
      <c r="D87" s="30" t="str">
        <f>IF(B87=0,"",IF(C87="",$E$83*LIDER!$H$19+F87*LIDER!$H$20+G87*LIDER!$H$21+H87*LIDER!$H$22+I87*LIDER!$H$23+J87*LIDER!$H$24+K87*LIDER!$H$25,"N"))</f>
        <v/>
      </c>
      <c r="E87" s="207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IF('S-ASIG-01'!D88="","",'S-ASIG-01'!D88)</f>
        <v/>
      </c>
      <c r="D88" s="31" t="str">
        <f>IF(B88=0,"",IF(C88="",$E$83*LIDER!$H$19+F88*LIDER!$H$20+G88*LIDER!$H$21+H88*LIDER!$H$22+I88*LIDER!$H$23+J88*LIDER!$H$24+K88*LIDER!$H$25,"N"))</f>
        <v/>
      </c>
      <c r="E88" s="209"/>
      <c r="F88" s="19"/>
      <c r="G88" s="19"/>
      <c r="H88" s="19"/>
      <c r="I88" s="19"/>
      <c r="J88" s="19"/>
      <c r="K88" s="19"/>
    </row>
  </sheetData>
  <sheetProtection algorithmName="SHA-512" hashValue="ZDwFr9wrqpHmxPTFjHOwcxcRb7bJb60EqCcB8x6TMA5HFHv5ydgvfZUew+cN9AkdxBSFoqDejSkTChVrWzI8QA==" saltValue="UFhjqRgMaxRhGljAUP5/4g==" spinCount="100000" sheet="1" objects="1" scenarios="1"/>
  <mergeCells count="27">
    <mergeCell ref="A1:G1"/>
    <mergeCell ref="E6:E11"/>
    <mergeCell ref="E13:E18"/>
    <mergeCell ref="E83:E88"/>
    <mergeCell ref="E4:K4"/>
    <mergeCell ref="E20:E25"/>
    <mergeCell ref="E27:E32"/>
    <mergeCell ref="E34:E39"/>
    <mergeCell ref="E41:E46"/>
    <mergeCell ref="E48:E53"/>
    <mergeCell ref="E75:K75"/>
    <mergeCell ref="E82:K82"/>
    <mergeCell ref="E26:K26"/>
    <mergeCell ref="E33:K33"/>
    <mergeCell ref="E40:K40"/>
    <mergeCell ref="E47:K47"/>
    <mergeCell ref="E55:E60"/>
    <mergeCell ref="E62:E67"/>
    <mergeCell ref="E69:E74"/>
    <mergeCell ref="E76:E81"/>
    <mergeCell ref="E2:K2"/>
    <mergeCell ref="E5:K5"/>
    <mergeCell ref="E12:K12"/>
    <mergeCell ref="E19:K19"/>
    <mergeCell ref="E54:K54"/>
    <mergeCell ref="E61:K61"/>
    <mergeCell ref="E68:K68"/>
  </mergeCells>
  <conditionalFormatting sqref="A6:B11 D6:K6 D7:D11 F7:K11">
    <cfRule type="expression" dxfId="182" priority="16">
      <formula>ISEVEN($A6)</formula>
    </cfRule>
  </conditionalFormatting>
  <conditionalFormatting sqref="A13:B18 D13:K13 D14:D18 F14:K18">
    <cfRule type="expression" dxfId="181" priority="15">
      <formula>ISEVEN($A13)</formula>
    </cfRule>
  </conditionalFormatting>
  <conditionalFormatting sqref="A20:B25 D20:K20 D21:D25 F21:K25">
    <cfRule type="expression" dxfId="180" priority="14">
      <formula>ISEVEN($A20)</formula>
    </cfRule>
  </conditionalFormatting>
  <conditionalFormatting sqref="A27:B32 D27:K27 D28:D32 F28:K32">
    <cfRule type="expression" dxfId="179" priority="13">
      <formula>ISEVEN($A27)</formula>
    </cfRule>
  </conditionalFormatting>
  <conditionalFormatting sqref="A34:B39 D34:K34 D35:D39 F35:K39">
    <cfRule type="expression" dxfId="178" priority="12">
      <formula>ISEVEN($A34)</formula>
    </cfRule>
  </conditionalFormatting>
  <conditionalFormatting sqref="A41:B46 D41:K41 D42:D46 F42:K46">
    <cfRule type="expression" dxfId="177" priority="11">
      <formula>ISEVEN($A41)</formula>
    </cfRule>
  </conditionalFormatting>
  <conditionalFormatting sqref="A48:B53 D48:K48 D49:D53 F49:K53">
    <cfRule type="expression" dxfId="176" priority="10">
      <formula>ISEVEN($A48)</formula>
    </cfRule>
  </conditionalFormatting>
  <conditionalFormatting sqref="A55:B60 D55:K55 D56:D60 F56:K60">
    <cfRule type="expression" dxfId="175" priority="9">
      <formula>ISEVEN($A55)</formula>
    </cfRule>
  </conditionalFormatting>
  <conditionalFormatting sqref="A62:B67 D62:K62 D63:D67 F63:K67">
    <cfRule type="expression" dxfId="174" priority="8">
      <formula>ISEVEN($A62)</formula>
    </cfRule>
  </conditionalFormatting>
  <conditionalFormatting sqref="A69:B74 D69:K69 D70:D74 F70:K74">
    <cfRule type="expression" dxfId="173" priority="7">
      <formula>ISEVEN($A69)</formula>
    </cfRule>
  </conditionalFormatting>
  <conditionalFormatting sqref="A76:B81 D76:K76 D77:D81 F77:K81">
    <cfRule type="expression" dxfId="172" priority="6">
      <formula>ISEVEN($A76)</formula>
    </cfRule>
  </conditionalFormatting>
  <conditionalFormatting sqref="A83:B88 D83:K83 D84:D88 F84:K88">
    <cfRule type="expression" dxfId="171" priority="5">
      <formula>ISEVEN($A83)</formula>
    </cfRule>
  </conditionalFormatting>
  <conditionalFormatting sqref="B6:B88">
    <cfRule type="cellIs" dxfId="170" priority="3" operator="equal">
      <formula>0</formula>
    </cfRule>
  </conditionalFormatting>
  <conditionalFormatting sqref="C5 B6:D88">
    <cfRule type="expression" dxfId="169" priority="2">
      <formula>$C5="N"</formula>
    </cfRule>
  </conditionalFormatting>
  <conditionalFormatting sqref="F6:K11 F13:K18 F20:K25 F27:K32 F34:K39 F41:K46 F48:K53 F55:K60 F62:K67 F69:K74 F76:K81 F83:K88">
    <cfRule type="expression" dxfId="168" priority="1">
      <formula>$D6="N"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3408-9C86-488A-9238-15D01BF043EF}">
  <dimension ref="A1:K88"/>
  <sheetViews>
    <sheetView zoomScale="84" zoomScaleNormal="84" workbookViewId="0">
      <pane xSplit="4" ySplit="3" topLeftCell="E6" activePane="bottomRight" state="frozen"/>
      <selection pane="bottomRight" activeCell="E34" sqref="E34:E39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3" t="str">
        <f>LIDER!B2</f>
        <v>TECNOLOGÍA EN GESTIÓN DE NEGOCIOS INTERN</v>
      </c>
      <c r="B1" s="144"/>
      <c r="C1" s="144"/>
      <c r="D1" s="144"/>
      <c r="E1" s="144"/>
      <c r="F1" s="144"/>
      <c r="G1" s="145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LIDER!D4</f>
        <v>SEMINARIO INVESTIGATIVO</v>
      </c>
      <c r="C2" s="3"/>
      <c r="E2" s="147" t="s">
        <v>92</v>
      </c>
      <c r="F2" s="148"/>
      <c r="G2" s="148"/>
      <c r="H2" s="148"/>
      <c r="I2" s="148"/>
      <c r="J2" s="148"/>
      <c r="K2" s="149"/>
    </row>
    <row r="3" spans="1:11" s="2" customFormat="1" ht="145.5" customHeight="1" thickBot="1">
      <c r="B3" s="4" t="s">
        <v>93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0" t="str">
        <f>CONCATENATE(LIDER!D4," - ",LIDER!D6," - ",LIDER!D5)</f>
        <v>SEMINARIO INVESTIGATIVO - 2049 - MARELYS MULFORD HOYOS</v>
      </c>
      <c r="F4" s="151"/>
      <c r="G4" s="151"/>
      <c r="H4" s="151"/>
      <c r="I4" s="151"/>
      <c r="J4" s="151"/>
      <c r="K4" s="152"/>
    </row>
    <row r="5" spans="1:11" s="2" customFormat="1" ht="15.75" customHeight="1" thickBot="1">
      <c r="A5" s="8"/>
      <c r="B5" s="27" t="s">
        <v>70</v>
      </c>
      <c r="C5" s="34" t="str">
        <f>IF('S-ASIG-02'!D5="","",'S-ASIG-02'!D5)</f>
        <v>LIST</v>
      </c>
      <c r="D5" s="35" t="s">
        <v>96</v>
      </c>
      <c r="E5" s="146" t="str">
        <f>LIDER!$E$29</f>
        <v>GRUPO#1</v>
      </c>
      <c r="F5" s="146"/>
      <c r="G5" s="146"/>
      <c r="H5" s="146"/>
      <c r="I5" s="146"/>
      <c r="J5" s="146"/>
      <c r="K5" s="146"/>
    </row>
    <row r="6" spans="1:11" s="2" customFormat="1" ht="12.75">
      <c r="A6" s="9">
        <v>1</v>
      </c>
      <c r="B6" s="28">
        <f>LIDER!E43</f>
        <v>0</v>
      </c>
      <c r="C6" s="33" t="str">
        <f>IF('S-ASIG-02'!D6="","",'S-ASIG-02'!D6)</f>
        <v/>
      </c>
      <c r="D6" s="30" t="str">
        <f>IF(B6=0,"",IF(C6="",$E$6*LIDER!$H$19+F6*LIDER!$H$20+G6*LIDER!$H$21+H6*LIDER!$H$22+I6*LIDER!$H$23+J6*LIDER!$H$24+K6*LIDER!$H$25,"N"))</f>
        <v/>
      </c>
      <c r="E6" s="142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Valentina Castro Ibarra</v>
      </c>
      <c r="C7" s="33" t="str">
        <f>IF('S-ASIG-02'!D7="","",'S-ASIG-02'!D7)</f>
        <v/>
      </c>
      <c r="D7" s="30">
        <f>IF(B7=0,"",IF(C7="",$E$6*LIDER!$H$19+F7*LIDER!$H$20+G7*LIDER!$H$21+H7*LIDER!$H$22+I7*LIDER!$H$23+J7*LIDER!$H$24+K7*LIDER!$H$25,"N"))</f>
        <v>0</v>
      </c>
      <c r="E7" s="142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Carmen Manuek Cruzate</v>
      </c>
      <c r="C8" s="33" t="str">
        <f>IF('S-ASIG-02'!D8="","",'S-ASIG-02'!D8)</f>
        <v/>
      </c>
      <c r="D8" s="30">
        <f>IF(B8=0,"",IF(C8="",$E$6*LIDER!$H$19+F8*LIDER!$H$20+G8*LIDER!$H$21+H8*LIDER!$H$22+I8*LIDER!$H$23+J8*LIDER!$H$24+K8*LIDER!$H$25,"N"))</f>
        <v>0</v>
      </c>
      <c r="E8" s="142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Yulieth Martinez Carrasquilla</v>
      </c>
      <c r="C9" s="33" t="str">
        <f>IF('S-ASIG-02'!D9="","",'S-ASIG-02'!D9)</f>
        <v/>
      </c>
      <c r="D9" s="30">
        <f>IF(B9=0,"",IF(C9="",$E$6*LIDER!$H$19+F9*LIDER!$H$20+G9*LIDER!$H$21+H9*LIDER!$H$22+I9*LIDER!$H$23+J9*LIDER!$H$24+K9*LIDER!$H$25,"N"))</f>
        <v>0</v>
      </c>
      <c r="E9" s="142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Angello Ortega Mesino</v>
      </c>
      <c r="C10" s="33" t="str">
        <f>IF('S-ASIG-02'!D10="","",'S-ASIG-02'!D10)</f>
        <v/>
      </c>
      <c r="D10" s="30">
        <f>IF(B10=0,"",IF(C10="",$E$6*LIDER!$H$19+F10*LIDER!$H$20+G10*LIDER!$H$21+H10*LIDER!$H$22+I10*LIDER!$H$23+J10*LIDER!$H$24+K10*LIDER!$H$25,"N"))</f>
        <v>0</v>
      </c>
      <c r="E10" s="142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IF('S-ASIG-02'!D11="","",'S-ASIG-02'!D11)</f>
        <v/>
      </c>
      <c r="D11" s="30" t="str">
        <f>IF(B11=0,"",IF(C11="",$E$6*LIDER!$H$19+F11*LIDER!$H$20+G11*LIDER!$H$21+H11*LIDER!$H$22+I11*LIDER!$H$23+J11*LIDER!$H$24+K11*LIDER!$H$25,"N"))</f>
        <v/>
      </c>
      <c r="E11" s="142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72</v>
      </c>
      <c r="C12" s="32" t="str">
        <f>IF('S-ASIG-02'!D12="","",'S-ASIG-02'!D12)</f>
        <v>LIST</v>
      </c>
      <c r="D12" s="35" t="s">
        <v>96</v>
      </c>
      <c r="E12" s="146" t="str">
        <f>LIDER!$E$30</f>
        <v>GRUPO#2</v>
      </c>
      <c r="F12" s="146"/>
      <c r="G12" s="146"/>
      <c r="H12" s="146"/>
      <c r="I12" s="146"/>
      <c r="J12" s="146"/>
      <c r="K12" s="146"/>
    </row>
    <row r="13" spans="1:11" s="2" customFormat="1" ht="12.75">
      <c r="A13" s="9">
        <v>1</v>
      </c>
      <c r="B13" s="28" t="str">
        <f>LIDER!F43</f>
        <v>Cesar Pajaro Ramos</v>
      </c>
      <c r="C13" s="33" t="str">
        <f>IF('S-ASIG-02'!D13="","",'S-ASIG-02'!D13)</f>
        <v/>
      </c>
      <c r="D13" s="30">
        <f>IF(B13=0,"",IF(C13="",$E$13*LIDER!$H$19+F13*LIDER!$H$20+G13*LIDER!$H$21+H13*LIDER!$H$22+I13*LIDER!$H$23+J13*LIDER!$H$24+K13*LIDER!$H$25,"N"))</f>
        <v>0</v>
      </c>
      <c r="E13" s="142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Elian Polo Soto</v>
      </c>
      <c r="C14" s="33" t="str">
        <f>IF('S-ASIG-02'!D14="","",'S-ASIG-02'!D14)</f>
        <v/>
      </c>
      <c r="D14" s="30">
        <f>IF(B14=0,"",IF(C14="",$E$13*LIDER!$H$19+F14*LIDER!$H$20+G14*LIDER!$H$21+H14*LIDER!$H$22+I14*LIDER!$H$23+J14*LIDER!$H$24+K14*LIDER!$H$25,"N"))</f>
        <v>0</v>
      </c>
      <c r="E14" s="142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Juan C Corrales de la Rosa</v>
      </c>
      <c r="C15" s="33" t="str">
        <f>IF('S-ASIG-02'!D15="","",'S-ASIG-02'!D15)</f>
        <v/>
      </c>
      <c r="D15" s="30">
        <f>IF(B15=0,"",IF(C15="",$E$13*LIDER!$H$19+F15*LIDER!$H$20+G15*LIDER!$H$21+H15*LIDER!$H$22+I15*LIDER!$H$23+J15*LIDER!$H$24+K15*LIDER!$H$25,"N"))</f>
        <v>0</v>
      </c>
      <c r="E15" s="142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Katerin Silva Peñate</v>
      </c>
      <c r="C16" s="33" t="str">
        <f>IF('S-ASIG-02'!D16="","",'S-ASIG-02'!D16)</f>
        <v/>
      </c>
      <c r="D16" s="30">
        <f>IF(B16=0,"",IF(C16="",$E$13*LIDER!$H$19+F16*LIDER!$H$20+G16*LIDER!$H$21+H16*LIDER!$H$22+I16*LIDER!$H$23+J16*LIDER!$H$24+K16*LIDER!$H$25,"N"))</f>
        <v>0</v>
      </c>
      <c r="E16" s="142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Yorcelis Mercado Guerra</v>
      </c>
      <c r="C17" s="33" t="str">
        <f>IF('S-ASIG-02'!D17="","",'S-ASIG-02'!D17)</f>
        <v/>
      </c>
      <c r="D17" s="30">
        <f>IF(B17=0,"",IF(C17="",$E$13*LIDER!$H$19+F17*LIDER!$H$20+G17*LIDER!$H$21+H17*LIDER!$H$22+I17*LIDER!$H$23+J17*LIDER!$H$24+K17*LIDER!$H$25,"N"))</f>
        <v>0</v>
      </c>
      <c r="E17" s="142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IF('S-ASIG-02'!D18="","",'S-ASIG-02'!D18)</f>
        <v/>
      </c>
      <c r="D18" s="30" t="str">
        <f>IF(B18=0,"",IF(C18="",$E$13*LIDER!$H$19+F18*LIDER!$H$20+G18*LIDER!$H$21+H18*LIDER!$H$22+I18*LIDER!$H$23+J18*LIDER!$H$24+K18*LIDER!$H$25,"N"))</f>
        <v/>
      </c>
      <c r="E18" s="142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74</v>
      </c>
      <c r="C19" s="32" t="str">
        <f>IF('S-ASIG-02'!D19="","",'S-ASIG-02'!D19)</f>
        <v>LIST</v>
      </c>
      <c r="D19" s="35" t="s">
        <v>96</v>
      </c>
      <c r="E19" s="146" t="str">
        <f>LIDER!$E$31</f>
        <v>GRUPO#3</v>
      </c>
      <c r="F19" s="146"/>
      <c r="G19" s="146"/>
      <c r="H19" s="146"/>
      <c r="I19" s="146"/>
      <c r="J19" s="146"/>
      <c r="K19" s="146"/>
    </row>
    <row r="20" spans="1:11" s="2" customFormat="1" ht="12.75">
      <c r="A20" s="9">
        <v>1</v>
      </c>
      <c r="B20" s="28" t="str">
        <f>LIDER!G43</f>
        <v>Lauren castilla Gonzalez</v>
      </c>
      <c r="C20" s="33" t="str">
        <f>IF('S-ASIG-02'!D20="","",'S-ASIG-02'!D20)</f>
        <v/>
      </c>
      <c r="D20" s="30">
        <f>IF(B20=0,"",IF(C20="",$E$20*LIDER!$H$19+F20*LIDER!$H$20+G20*LIDER!$H$21+H20*LIDER!$H$22+I20*LIDER!$H$23+J20*LIDER!$H$24+K20*LIDER!$H$25,"N"))</f>
        <v>0</v>
      </c>
      <c r="E20" s="142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Duvan Cespedes perez</v>
      </c>
      <c r="C21" s="33" t="str">
        <f>IF('S-ASIG-02'!D21="","",'S-ASIG-02'!D21)</f>
        <v/>
      </c>
      <c r="D21" s="30">
        <f>IF(B21=0,"",IF(C21="",$E$20*LIDER!$H$19+F21*LIDER!$H$20+G21*LIDER!$H$21+H21*LIDER!$H$22+I21*LIDER!$H$23+J21*LIDER!$H$24+K21*LIDER!$H$25,"N"))</f>
        <v>0</v>
      </c>
      <c r="E21" s="142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Isaac Faciolince Bustos</v>
      </c>
      <c r="C22" s="33" t="str">
        <f>IF('S-ASIG-02'!D22="","",'S-ASIG-02'!D22)</f>
        <v/>
      </c>
      <c r="D22" s="30">
        <f>IF(B22=0,"",IF(C22="",$E$20*LIDER!$H$19+F22*LIDER!$H$20+G22*LIDER!$H$21+H22*LIDER!$H$22+I22*LIDER!$H$23+J22*LIDER!$H$24+K22*LIDER!$H$25,"N"))</f>
        <v>0</v>
      </c>
      <c r="E22" s="142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Jesus Lopez Morales</v>
      </c>
      <c r="C23" s="33" t="str">
        <f>IF('S-ASIG-02'!D23="","",'S-ASIG-02'!D23)</f>
        <v/>
      </c>
      <c r="D23" s="30">
        <f>IF(B23=0,"",IF(C23="",$E$20*LIDER!$H$19+F23*LIDER!$H$20+G23*LIDER!$H$21+H23*LIDER!$H$22+I23*LIDER!$H$23+J23*LIDER!$H$24+K23*LIDER!$H$25,"N"))</f>
        <v>0</v>
      </c>
      <c r="E23" s="142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Dakar Moarles Paternina</v>
      </c>
      <c r="C24" s="33" t="str">
        <f>IF('S-ASIG-02'!D24="","",'S-ASIG-02'!D24)</f>
        <v/>
      </c>
      <c r="D24" s="30">
        <f>IF(B24=0,"",IF(C24="",$E$20*LIDER!$H$19+F24*LIDER!$H$20+G24*LIDER!$H$21+H24*LIDER!$H$22+I24*LIDER!$H$23+J24*LIDER!$H$24+K24*LIDER!$H$25,"N"))</f>
        <v>0</v>
      </c>
      <c r="E24" s="142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IF('S-ASIG-02'!D25="","",'S-ASIG-02'!D25)</f>
        <v/>
      </c>
      <c r="D25" s="30" t="str">
        <f>IF(B25=0,"",IF(C25="",$E$20*LIDER!$H$19+F25*LIDER!$H$20+G25*LIDER!$H$21+H25*LIDER!$H$22+I25*LIDER!$H$23+J25*LIDER!$H$24+K25*LIDER!$H$25,"N"))</f>
        <v/>
      </c>
      <c r="E25" s="142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76</v>
      </c>
      <c r="C26" s="32" t="str">
        <f>IF('S-ASIG-02'!D26="","",'S-ASIG-02'!D26)</f>
        <v>LIST</v>
      </c>
      <c r="D26" s="35" t="s">
        <v>96</v>
      </c>
      <c r="E26" s="146" t="str">
        <f>LIDER!$E$32</f>
        <v>GRUPO#4</v>
      </c>
      <c r="F26" s="146"/>
      <c r="G26" s="146"/>
      <c r="H26" s="146"/>
      <c r="I26" s="146"/>
      <c r="J26" s="146"/>
      <c r="K26" s="146"/>
    </row>
    <row r="27" spans="1:11" s="2" customFormat="1" ht="12.75">
      <c r="A27" s="9">
        <v>1</v>
      </c>
      <c r="B27" s="28" t="str">
        <f>LIDER!H43</f>
        <v>Ian Yoraco Berrio</v>
      </c>
      <c r="C27" s="33" t="str">
        <f>IF('S-ASIG-02'!D27="","",'S-ASIG-02'!D27)</f>
        <v/>
      </c>
      <c r="D27" s="30">
        <f>IF(B27=0,"",IF(C27="",$E$27*LIDER!$H$19+F27*LIDER!$H$20+G27*LIDER!$H$21+H27*LIDER!$H$22+I27*LIDER!$H$23+J27*LIDER!$H$24+K27*LIDER!$H$25,"N"))</f>
        <v>0</v>
      </c>
      <c r="E27" s="142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Nataly Castro Jimenez</v>
      </c>
      <c r="C28" s="33" t="str">
        <f>IF('S-ASIG-02'!D28="","",'S-ASIG-02'!D28)</f>
        <v/>
      </c>
      <c r="D28" s="30">
        <f>IF(B28=0,"",IF(C28="",$E$27*LIDER!$H$19+F28*LIDER!$H$20+G28*LIDER!$H$21+H28*LIDER!$H$22+I28*LIDER!$H$23+J28*LIDER!$H$24+K28*LIDER!$H$25,"N"))</f>
        <v>0</v>
      </c>
      <c r="E28" s="142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Oscar Lorduy Neira</v>
      </c>
      <c r="C29" s="33" t="str">
        <f>IF('S-ASIG-02'!D29="","",'S-ASIG-02'!D29)</f>
        <v/>
      </c>
      <c r="D29" s="30">
        <f>IF(B29=0,"",IF(C29="",$E$27*LIDER!$H$19+F29*LIDER!$H$20+G29*LIDER!$H$21+H29*LIDER!$H$22+I29*LIDER!$H$23+J29*LIDER!$H$24+K29*LIDER!$H$25,"N"))</f>
        <v>0</v>
      </c>
      <c r="E29" s="142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Carlos Orozco Valdes</v>
      </c>
      <c r="C30" s="33" t="str">
        <f>IF('S-ASIG-02'!D30="","",'S-ASIG-02'!D30)</f>
        <v/>
      </c>
      <c r="D30" s="30">
        <f>IF(B30=0,"",IF(C30="",$E$27*LIDER!$H$19+F30*LIDER!$H$20+G30*LIDER!$H$21+H30*LIDER!$H$22+I30*LIDER!$H$23+J30*LIDER!$H$24+K30*LIDER!$H$25,"N"))</f>
        <v>0</v>
      </c>
      <c r="E30" s="142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Sandri Valdez Sepulveda</v>
      </c>
      <c r="C31" s="33" t="str">
        <f>IF('S-ASIG-02'!D31="","",'S-ASIG-02'!D31)</f>
        <v/>
      </c>
      <c r="D31" s="30">
        <f>IF(B31=0,"",IF(C31="",$E$27*LIDER!$H$19+F31*LIDER!$H$20+G31*LIDER!$H$21+H31*LIDER!$H$22+I31*LIDER!$H$23+J31*LIDER!$H$24+K31*LIDER!$H$25,"N"))</f>
        <v>0</v>
      </c>
      <c r="E31" s="142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IF('S-ASIG-02'!D32="","",'S-ASIG-02'!D32)</f>
        <v/>
      </c>
      <c r="D32" s="30" t="str">
        <f>IF(B32=0,"",IF(C32="",$E$27*LIDER!$H$19+F32*LIDER!$H$20+G32*LIDER!$H$21+H32*LIDER!$H$22+I32*LIDER!$H$23+J32*LIDER!$H$24+K32*LIDER!$H$25,"N"))</f>
        <v/>
      </c>
      <c r="E32" s="142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78</v>
      </c>
      <c r="C33" s="32" t="str">
        <f>IF('S-ASIG-02'!D33="","",'S-ASIG-02'!D33)</f>
        <v>LIST</v>
      </c>
      <c r="D33" s="35" t="s">
        <v>96</v>
      </c>
      <c r="E33" s="146" t="str">
        <f>LIDER!$E$33</f>
        <v>GRUPO#5</v>
      </c>
      <c r="F33" s="146"/>
      <c r="G33" s="146"/>
      <c r="H33" s="146"/>
      <c r="I33" s="146"/>
      <c r="J33" s="146"/>
      <c r="K33" s="146"/>
    </row>
    <row r="34" spans="1:11" s="2" customFormat="1" ht="12.75">
      <c r="A34" s="9">
        <v>1</v>
      </c>
      <c r="B34" s="28" t="str">
        <f>LIDER!E51</f>
        <v>Adrian Marriaga Muñoz</v>
      </c>
      <c r="C34" s="33" t="str">
        <f>IF('S-ASIG-02'!D34="","",'S-ASIG-02'!D34)</f>
        <v/>
      </c>
      <c r="D34" s="30">
        <f>IF(B34=0,"",IF(C34="",$E$34*LIDER!$H$19+F34*LIDER!$H$20+G34*LIDER!$H$21+H34*LIDER!$H$22+I34*LIDER!$H$23+J34*LIDER!$H$24+K34*LIDER!$H$25,"N"))</f>
        <v>0</v>
      </c>
      <c r="E34" s="142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Kristin Perez martinez</v>
      </c>
      <c r="C35" s="33" t="str">
        <f>IF('S-ASIG-02'!D35="","",'S-ASIG-02'!D35)</f>
        <v/>
      </c>
      <c r="D35" s="30">
        <f>IF(B35=0,"",IF(C35="",$E$34*LIDER!$H$19+F35*LIDER!$H$20+G35*LIDER!$H$21+H35*LIDER!$H$22+I35*LIDER!$H$23+J35*LIDER!$H$24+K35*LIDER!$H$25,"N"))</f>
        <v>0</v>
      </c>
      <c r="E35" s="142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Nina Aguilar Sarabia</v>
      </c>
      <c r="C36" s="33" t="str">
        <f>IF('S-ASIG-02'!D36="","",'S-ASIG-02'!D36)</f>
        <v/>
      </c>
      <c r="D36" s="30">
        <f>IF(B36=0,"",IF(C36="",$E$34*LIDER!$H$19+F36*LIDER!$H$20+G36*LIDER!$H$21+H36*LIDER!$H$22+I36*LIDER!$H$23+J36*LIDER!$H$24+K36*LIDER!$H$25,"N"))</f>
        <v>0</v>
      </c>
      <c r="E36" s="142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Theres Theran caicedo</v>
      </c>
      <c r="C37" s="33" t="str">
        <f>IF('S-ASIG-02'!D37="","",'S-ASIG-02'!D37)</f>
        <v/>
      </c>
      <c r="D37" s="30">
        <f>IF(B37=0,"",IF(C37="",$E$34*LIDER!$H$19+F37*LIDER!$H$20+G37*LIDER!$H$21+H37*LIDER!$H$22+I37*LIDER!$H$23+J37*LIDER!$H$24+K37*LIDER!$H$25,"N"))</f>
        <v>0</v>
      </c>
      <c r="E37" s="142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Diego Cardona Bolaño</v>
      </c>
      <c r="C38" s="33" t="str">
        <f>IF('S-ASIG-02'!D38="","",'S-ASIG-02'!D38)</f>
        <v/>
      </c>
      <c r="D38" s="30">
        <f>IF(B38=0,"",IF(C38="",$E$34*LIDER!$H$19+F38*LIDER!$H$20+G38*LIDER!$H$21+H38*LIDER!$H$22+I38*LIDER!$H$23+J38*LIDER!$H$24+K38*LIDER!$H$25,"N"))</f>
        <v>0</v>
      </c>
      <c r="E38" s="142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 t="str">
        <f>LIDER!E56</f>
        <v>Jhamer Luis Maza Ramos</v>
      </c>
      <c r="C39" s="33" t="str">
        <f>IF('S-ASIG-02'!D39="","",'S-ASIG-02'!D39)</f>
        <v/>
      </c>
      <c r="D39" s="30">
        <f>IF(B39=0,"",IF(C39="",$E$34*LIDER!$H$19+F39*LIDER!$H$20+G39*LIDER!$H$21+H39*LIDER!$H$22+I39*LIDER!$H$23+J39*LIDER!$H$24+K39*LIDER!$H$25,"N"))</f>
        <v>0</v>
      </c>
      <c r="E39" s="142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80</v>
      </c>
      <c r="C40" s="32" t="str">
        <f>IF('S-ASIG-02'!D40="","",'S-ASIG-02'!D40)</f>
        <v>LIST</v>
      </c>
      <c r="D40" s="35" t="s">
        <v>96</v>
      </c>
      <c r="E40" s="146" t="str">
        <f>LIDER!$E$34</f>
        <v>GRUPO#6</v>
      </c>
      <c r="F40" s="146"/>
      <c r="G40" s="146"/>
      <c r="H40" s="146"/>
      <c r="I40" s="146"/>
      <c r="J40" s="146"/>
      <c r="K40" s="146"/>
    </row>
    <row r="41" spans="1:11" s="2" customFormat="1" ht="12.75">
      <c r="A41" s="9">
        <v>1</v>
      </c>
      <c r="B41" s="28" t="str">
        <f>LIDER!F51</f>
        <v>Yureidy Alarez Castellano</v>
      </c>
      <c r="C41" s="33" t="str">
        <f>IF('S-ASIG-02'!D41="","",'S-ASIG-02'!D41)</f>
        <v/>
      </c>
      <c r="D41" s="30">
        <f>IF(B41=0,"",IF(C41="",$E$41*LIDER!$H$19+F41*LIDER!$H$20+G41*LIDER!$H$21+H41*LIDER!$H$22+I41*LIDER!$H$23+J41*LIDER!$H$24+K41*LIDER!$H$25,"N"))</f>
        <v>0</v>
      </c>
      <c r="E41" s="142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Juan C Baldiris Espitia</v>
      </c>
      <c r="C42" s="33" t="str">
        <f>IF('S-ASIG-02'!D42="","",'S-ASIG-02'!D42)</f>
        <v/>
      </c>
      <c r="D42" s="30">
        <f>IF(B42=0,"",IF(C42="",$E$41*LIDER!$H$19+F42*LIDER!$H$20+G42*LIDER!$H$21+H42*LIDER!$H$22+I42*LIDER!$H$23+J42*LIDER!$H$24+K42*LIDER!$H$25,"N"))</f>
        <v>0</v>
      </c>
      <c r="E42" s="142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Andres F Torres Arroyo</v>
      </c>
      <c r="C43" s="33" t="str">
        <f>IF('S-ASIG-02'!D43="","",'S-ASIG-02'!D43)</f>
        <v/>
      </c>
      <c r="D43" s="30">
        <f>IF(B43=0,"",IF(C43="",$E$41*LIDER!$H$19+F43*LIDER!$H$20+G43*LIDER!$H$21+H43*LIDER!$H$22+I43*LIDER!$H$23+J43*LIDER!$H$24+K43*LIDER!$H$25,"N"))</f>
        <v>0</v>
      </c>
      <c r="E43" s="142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Sherlyn Villegas Maza</v>
      </c>
      <c r="C44" s="33" t="str">
        <f>IF('S-ASIG-02'!D44="","",'S-ASIG-02'!D44)</f>
        <v/>
      </c>
      <c r="D44" s="30">
        <f>IF(B44=0,"",IF(C44="",$E$41*LIDER!$H$19+F44*LIDER!$H$20+G44*LIDER!$H$21+H44*LIDER!$H$22+I44*LIDER!$H$23+J44*LIDER!$H$24+K44*LIDER!$H$25,"N"))</f>
        <v>0</v>
      </c>
      <c r="E44" s="142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Isaac Zapata Zapata</v>
      </c>
      <c r="C45" s="33" t="str">
        <f>IF('S-ASIG-02'!D45="","",'S-ASIG-02'!D45)</f>
        <v/>
      </c>
      <c r="D45" s="30">
        <f>IF(B45=0,"",IF(C45="",$E$41*LIDER!$H$19+F45*LIDER!$H$20+G45*LIDER!$H$21+H45*LIDER!$H$22+I45*LIDER!$H$23+J45*LIDER!$H$24+K45*LIDER!$H$25,"N"))</f>
        <v>0</v>
      </c>
      <c r="E45" s="142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IF('S-ASIG-02'!D46="","",'S-ASIG-02'!D46)</f>
        <v/>
      </c>
      <c r="D46" s="30" t="str">
        <f>IF(B46=0,"",IF(C46="",$E$41*LIDER!$H$19+F46*LIDER!$H$20+G46*LIDER!$H$21+H46*LIDER!$H$22+I46*LIDER!$H$23+J46*LIDER!$H$24+K46*LIDER!$H$25,"N"))</f>
        <v/>
      </c>
      <c r="E46" s="142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82</v>
      </c>
      <c r="C47" s="32" t="str">
        <f>IF('S-ASIG-02'!D47="","",'S-ASIG-02'!D47)</f>
        <v>LIST</v>
      </c>
      <c r="D47" s="35" t="s">
        <v>96</v>
      </c>
      <c r="E47" s="146" t="str">
        <f>LIDER!$E$35</f>
        <v>GRUPO#7</v>
      </c>
      <c r="F47" s="146"/>
      <c r="G47" s="146"/>
      <c r="H47" s="146"/>
      <c r="I47" s="146"/>
      <c r="J47" s="146"/>
      <c r="K47" s="146"/>
    </row>
    <row r="48" spans="1:11" s="2" customFormat="1" ht="12.75">
      <c r="A48" s="9">
        <v>1</v>
      </c>
      <c r="B48" s="28" t="str">
        <f>LIDER!G51</f>
        <v>Valeria Balesteros Almentero</v>
      </c>
      <c r="C48" s="33" t="str">
        <f>IF('S-ASIG-02'!D48="","",'S-ASIG-02'!D48)</f>
        <v/>
      </c>
      <c r="D48" s="30">
        <f>IF(B48=0,"",IF(C48="",$E$48*LIDER!$H$19+F48*LIDER!$H$20+G48*LIDER!$H$21+H48*LIDER!$H$22+I48*LIDER!$H$23+J48*LIDER!$H$24+K48*LIDER!$H$25,"N"))</f>
        <v>0</v>
      </c>
      <c r="E48" s="142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IF('S-ASIG-02'!D49="","",'S-ASIG-02'!D49)</f>
        <v/>
      </c>
      <c r="D49" s="30" t="str">
        <f>IF(B49=0,"",IF(C49="",$E$48*LIDER!$H$19+F49*LIDER!$H$20+G49*LIDER!$H$21+H49*LIDER!$H$22+I49*LIDER!$H$23+J49*LIDER!$H$24+K49*LIDER!$H$25,"N"))</f>
        <v/>
      </c>
      <c r="E49" s="142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IF('S-ASIG-02'!D50="","",'S-ASIG-02'!D50)</f>
        <v/>
      </c>
      <c r="D50" s="30" t="str">
        <f>IF(B50=0,"",IF(C50="",$E$48*LIDER!$H$19+F50*LIDER!$H$20+G50*LIDER!$H$21+H50*LIDER!$H$22+I50*LIDER!$H$23+J50*LIDER!$H$24+K50*LIDER!$H$25,"N"))</f>
        <v/>
      </c>
      <c r="E50" s="142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IF('S-ASIG-02'!D51="","",'S-ASIG-02'!D51)</f>
        <v/>
      </c>
      <c r="D51" s="30" t="str">
        <f>IF(B51=0,"",IF(C51="",$E$48*LIDER!$H$19+F51*LIDER!$H$20+G51*LIDER!$H$21+H51*LIDER!$H$22+I51*LIDER!$H$23+J51*LIDER!$H$24+K51*LIDER!$H$25,"N"))</f>
        <v/>
      </c>
      <c r="E51" s="142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IF('S-ASIG-02'!D52="","",'S-ASIG-02'!D52)</f>
        <v/>
      </c>
      <c r="D52" s="30" t="str">
        <f>IF(B52=0,"",IF(C52="",$E$48*LIDER!$H$19+F52*LIDER!$H$20+G52*LIDER!$H$21+H52*LIDER!$H$22+I52*LIDER!$H$23+J52*LIDER!$H$24+K52*LIDER!$H$25,"N"))</f>
        <v/>
      </c>
      <c r="E52" s="142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IF('S-ASIG-02'!D53="","",'S-ASIG-02'!D53)</f>
        <v/>
      </c>
      <c r="D53" s="30" t="str">
        <f>IF(B53=0,"",IF(C53="",$E$48*LIDER!$H$19+F53*LIDER!$H$20+G53*LIDER!$H$21+H53*LIDER!$H$22+I53*LIDER!$H$23+J53*LIDER!$H$24+K53*LIDER!$H$25,"N"))</f>
        <v/>
      </c>
      <c r="E53" s="142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84</v>
      </c>
      <c r="C54" s="32" t="str">
        <f>IF('S-ASIG-02'!D54="","",'S-ASIG-02'!D54)</f>
        <v>LIST</v>
      </c>
      <c r="D54" s="35" t="s">
        <v>96</v>
      </c>
      <c r="E54" s="146" t="str">
        <f>LIDER!$E$36</f>
        <v>GRUPO#8</v>
      </c>
      <c r="F54" s="146"/>
      <c r="G54" s="146"/>
      <c r="H54" s="146"/>
      <c r="I54" s="146"/>
      <c r="J54" s="146"/>
      <c r="K54" s="146"/>
    </row>
    <row r="55" spans="1:11" s="2" customFormat="1" ht="12.75">
      <c r="A55" s="9">
        <v>1</v>
      </c>
      <c r="B55" s="28">
        <f>LIDER!H51</f>
        <v>0</v>
      </c>
      <c r="C55" s="33" t="str">
        <f>IF('S-ASIG-02'!D55="","",'S-ASIG-02'!D55)</f>
        <v/>
      </c>
      <c r="D55" s="30" t="str">
        <f>IF(B55=0,"",IF(C55="",$E$55*LIDER!$H$19+F55*LIDER!$H$20+G55*LIDER!$H$21+H55*LIDER!$H$22+I55*LIDER!$H$23+J55*LIDER!$H$24+K55*LIDER!$H$25,"N"))</f>
        <v/>
      </c>
      <c r="E55" s="142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IF('S-ASIG-02'!D56="","",'S-ASIG-02'!D56)</f>
        <v/>
      </c>
      <c r="D56" s="30" t="str">
        <f>IF(B56=0,"",IF(C56="",$E$55*LIDER!$H$19+F56*LIDER!$H$20+G56*LIDER!$H$21+H56*LIDER!$H$22+I56*LIDER!$H$23+J56*LIDER!$H$24+K56*LIDER!$H$25,"N"))</f>
        <v/>
      </c>
      <c r="E56" s="142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IF('S-ASIG-02'!D57="","",'S-ASIG-02'!D57)</f>
        <v/>
      </c>
      <c r="D57" s="30" t="str">
        <f>IF(B57=0,"",IF(C57="",$E$55*LIDER!$H$19+F57*LIDER!$H$20+G57*LIDER!$H$21+H57*LIDER!$H$22+I57*LIDER!$H$23+J57*LIDER!$H$24+K57*LIDER!$H$25,"N"))</f>
        <v/>
      </c>
      <c r="E57" s="142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IF('S-ASIG-02'!D58="","",'S-ASIG-02'!D58)</f>
        <v/>
      </c>
      <c r="D58" s="30" t="str">
        <f>IF(B58=0,"",IF(C58="",$E$55*LIDER!$H$19+F58*LIDER!$H$20+G58*LIDER!$H$21+H58*LIDER!$H$22+I58*LIDER!$H$23+J58*LIDER!$H$24+K58*LIDER!$H$25,"N"))</f>
        <v/>
      </c>
      <c r="E58" s="142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IF('S-ASIG-02'!D59="","",'S-ASIG-02'!D59)</f>
        <v/>
      </c>
      <c r="D59" s="30" t="str">
        <f>IF(B59=0,"",IF(C59="",$E$55*LIDER!$H$19+F59*LIDER!$H$20+G59*LIDER!$H$21+H59*LIDER!$H$22+I59*LIDER!$H$23+J59*LIDER!$H$24+K59*LIDER!$H$25,"N"))</f>
        <v/>
      </c>
      <c r="E59" s="142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IF('S-ASIG-02'!D60="","",'S-ASIG-02'!D60)</f>
        <v/>
      </c>
      <c r="D60" s="30" t="str">
        <f>IF(B60=0,"",IF(C60="",$E$55*LIDER!$H$19+F60*LIDER!$H$20+G60*LIDER!$H$21+H60*LIDER!$H$22+I60*LIDER!$H$23+J60*LIDER!$H$24+K60*LIDER!$H$25,"N"))</f>
        <v/>
      </c>
      <c r="E60" s="14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86</v>
      </c>
      <c r="C61" s="32" t="str">
        <f>IF('S-ASIG-02'!D61="","",'S-ASIG-02'!D61)</f>
        <v>LIST</v>
      </c>
      <c r="D61" s="35" t="s">
        <v>96</v>
      </c>
      <c r="E61" s="146" t="str">
        <f>LIDER!$E$37</f>
        <v>GRUPO#9</v>
      </c>
      <c r="F61" s="146"/>
      <c r="G61" s="146"/>
      <c r="H61" s="146"/>
      <c r="I61" s="146"/>
      <c r="J61" s="146"/>
      <c r="K61" s="146"/>
    </row>
    <row r="62" spans="1:11" s="2" customFormat="1" ht="12.75">
      <c r="A62" s="9">
        <v>1</v>
      </c>
      <c r="B62" s="28">
        <f>LIDER!E59</f>
        <v>0</v>
      </c>
      <c r="C62" s="33" t="str">
        <f>IF('S-ASIG-02'!D62="","",'S-ASIG-02'!D62)</f>
        <v/>
      </c>
      <c r="D62" s="30" t="str">
        <f>IF(B62=0,"",IF(C62="",$E$62*LIDER!$H$19+F62*LIDER!$H$20+G62*LIDER!$H$21+H62*LIDER!$H$22+I62*LIDER!$H$23+J62*LIDER!$H$24+K62*LIDER!$H$25,"N"))</f>
        <v/>
      </c>
      <c r="E62" s="14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IF('S-ASIG-02'!D63="","",'S-ASIG-02'!D63)</f>
        <v/>
      </c>
      <c r="D63" s="30" t="str">
        <f>IF(B63=0,"",IF(C63="",$E$62*LIDER!$H$19+F63*LIDER!$H$20+G63*LIDER!$H$21+H63*LIDER!$H$22+I63*LIDER!$H$23+J63*LIDER!$H$24+K63*LIDER!$H$25,"N"))</f>
        <v/>
      </c>
      <c r="E63" s="14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IF('S-ASIG-02'!D64="","",'S-ASIG-02'!D64)</f>
        <v/>
      </c>
      <c r="D64" s="30" t="str">
        <f>IF(B64=0,"",IF(C64="",$E$62*LIDER!$H$19+F64*LIDER!$H$20+G64*LIDER!$H$21+H64*LIDER!$H$22+I64*LIDER!$H$23+J64*LIDER!$H$24+K64*LIDER!$H$25,"N"))</f>
        <v/>
      </c>
      <c r="E64" s="14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IF('S-ASIG-02'!D65="","",'S-ASIG-02'!D65)</f>
        <v/>
      </c>
      <c r="D65" s="30" t="str">
        <f>IF(B65=0,"",IF(C65="",$E$62*LIDER!$H$19+F65*LIDER!$H$20+G65*LIDER!$H$21+H65*LIDER!$H$22+I65*LIDER!$H$23+J65*LIDER!$H$24+K65*LIDER!$H$25,"N"))</f>
        <v/>
      </c>
      <c r="E65" s="14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IF('S-ASIG-02'!D66="","",'S-ASIG-02'!D66)</f>
        <v/>
      </c>
      <c r="D66" s="30" t="str">
        <f>IF(B66=0,"",IF(C66="",$E$62*LIDER!$H$19+F66*LIDER!$H$20+G66*LIDER!$H$21+H66*LIDER!$H$22+I66*LIDER!$H$23+J66*LIDER!$H$24+K66*LIDER!$H$25,"N"))</f>
        <v/>
      </c>
      <c r="E66" s="14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IF('S-ASIG-02'!D67="","",'S-ASIG-02'!D67)</f>
        <v/>
      </c>
      <c r="D67" s="30" t="str">
        <f>IF(B67=0,"",IF(C67="",$E$62*LIDER!$H$19+F67*LIDER!$H$20+G67*LIDER!$H$21+H67*LIDER!$H$22+I67*LIDER!$H$23+J67*LIDER!$H$24+K67*LIDER!$H$25,"N"))</f>
        <v/>
      </c>
      <c r="E67" s="14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88</v>
      </c>
      <c r="C68" s="32" t="str">
        <f>IF('S-ASIG-02'!D68="","",'S-ASIG-02'!D68)</f>
        <v>LIST</v>
      </c>
      <c r="D68" s="35" t="s">
        <v>96</v>
      </c>
      <c r="E68" s="146" t="str">
        <f>LIDER!$E$38</f>
        <v>GRUPO#10</v>
      </c>
      <c r="F68" s="146"/>
      <c r="G68" s="146"/>
      <c r="H68" s="146"/>
      <c r="I68" s="146"/>
      <c r="J68" s="146"/>
      <c r="K68" s="146"/>
    </row>
    <row r="69" spans="1:11" s="2" customFormat="1" ht="12.75">
      <c r="A69" s="9">
        <v>1</v>
      </c>
      <c r="B69" s="28">
        <f>LIDER!F59</f>
        <v>0</v>
      </c>
      <c r="C69" s="33" t="str">
        <f>IF('S-ASIG-02'!D69="","",'S-ASIG-02'!D69)</f>
        <v/>
      </c>
      <c r="D69" s="30" t="str">
        <f>IF(B69=0,"",IF(C69="",$E$69*LIDER!$H$19+F69*LIDER!$H$20+G69*LIDER!$H$21+H69*LIDER!$H$22+I69*LIDER!$H$23+J69*LIDER!$H$24+K69*LIDER!$H$25,"N"))</f>
        <v/>
      </c>
      <c r="E69" s="14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IF('S-ASIG-02'!D70="","",'S-ASIG-02'!D70)</f>
        <v/>
      </c>
      <c r="D70" s="30" t="str">
        <f>IF(B70=0,"",IF(C70="",$E$69*LIDER!$H$19+F70*LIDER!$H$20+G70*LIDER!$H$21+H70*LIDER!$H$22+I70*LIDER!$H$23+J70*LIDER!$H$24+K70*LIDER!$H$25,"N"))</f>
        <v/>
      </c>
      <c r="E70" s="14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IF('S-ASIG-02'!D71="","",'S-ASIG-02'!D71)</f>
        <v/>
      </c>
      <c r="D71" s="30" t="str">
        <f>IF(B71=0,"",IF(C71="",$E$69*LIDER!$H$19+F71*LIDER!$H$20+G71*LIDER!$H$21+H71*LIDER!$H$22+I71*LIDER!$H$23+J71*LIDER!$H$24+K71*LIDER!$H$25,"N"))</f>
        <v/>
      </c>
      <c r="E71" s="14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IF('S-ASIG-02'!D72="","",'S-ASIG-02'!D72)</f>
        <v/>
      </c>
      <c r="D72" s="30" t="str">
        <f>IF(B72=0,"",IF(C72="",$E$69*LIDER!$H$19+F72*LIDER!$H$20+G72*LIDER!$H$21+H72*LIDER!$H$22+I72*LIDER!$H$23+J72*LIDER!$H$24+K72*LIDER!$H$25,"N"))</f>
        <v/>
      </c>
      <c r="E72" s="14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IF('S-ASIG-02'!D73="","",'S-ASIG-02'!D73)</f>
        <v/>
      </c>
      <c r="D73" s="30" t="str">
        <f>IF(B73=0,"",IF(C73="",$E$69*LIDER!$H$19+F73*LIDER!$H$20+G73*LIDER!$H$21+H73*LIDER!$H$22+I73*LIDER!$H$23+J73*LIDER!$H$24+K73*LIDER!$H$25,"N"))</f>
        <v/>
      </c>
      <c r="E73" s="14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IF('S-ASIG-02'!D74="","",'S-ASIG-02'!D74)</f>
        <v/>
      </c>
      <c r="D74" s="30" t="str">
        <f>IF(B74=0,"",IF(C74="",$E$69*LIDER!$H$19+F74*LIDER!$H$20+G74*LIDER!$H$21+H74*LIDER!$H$22+I74*LIDER!$H$23+J74*LIDER!$H$24+K74*LIDER!$H$25,"N"))</f>
        <v/>
      </c>
      <c r="E74" s="14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90</v>
      </c>
      <c r="C75" s="32" t="str">
        <f>IF('S-ASIG-02'!D75="","",'S-ASIG-02'!D75)</f>
        <v>LIST</v>
      </c>
      <c r="D75" s="35" t="s">
        <v>96</v>
      </c>
      <c r="E75" s="146" t="str">
        <f>LIDER!$E$39</f>
        <v>GRUPO#11</v>
      </c>
      <c r="F75" s="146"/>
      <c r="G75" s="146"/>
      <c r="H75" s="146"/>
      <c r="I75" s="146"/>
      <c r="J75" s="146"/>
      <c r="K75" s="146"/>
    </row>
    <row r="76" spans="1:11" s="2" customFormat="1" ht="12.75">
      <c r="A76" s="9">
        <v>1</v>
      </c>
      <c r="B76" s="28">
        <f>LIDER!G59</f>
        <v>0</v>
      </c>
      <c r="C76" s="33" t="str">
        <f>IF('S-ASIG-02'!D76="","",'S-ASIG-02'!D76)</f>
        <v/>
      </c>
      <c r="D76" s="30" t="str">
        <f>IF(B76=0,"",IF(C76="",E76*LIDER!$H$19+F76*LIDER!$H$20+G76*LIDER!$H$21+H76*LIDER!$H$22+I76*LIDER!$H$23+J76*LIDER!$H$24+K76*LIDER!$H$25,"N"))</f>
        <v/>
      </c>
      <c r="E76" s="14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IF('S-ASIG-02'!D77="","",'S-ASIG-02'!D77)</f>
        <v/>
      </c>
      <c r="D77" s="30" t="str">
        <f>IF(B77=0,"",IF(C77="",E77*LIDER!$H$19+F77*LIDER!$H$20+G77*LIDER!$H$21+H77*LIDER!$H$22+I77*LIDER!$H$23+J77*LIDER!$H$24+K77*LIDER!$H$25,"N"))</f>
        <v/>
      </c>
      <c r="E77" s="14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IF('S-ASIG-02'!D78="","",'S-ASIG-02'!D78)</f>
        <v/>
      </c>
      <c r="D78" s="30" t="str">
        <f>IF(B78=0,"",IF(C78="",E78*LIDER!$H$19+F78*LIDER!$H$20+G78*LIDER!$H$21+H78*LIDER!$H$22+I78*LIDER!$H$23+J78*LIDER!$H$24+K78*LIDER!$H$25,"N"))</f>
        <v/>
      </c>
      <c r="E78" s="14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IF('S-ASIG-02'!D79="","",'S-ASIG-02'!D79)</f>
        <v/>
      </c>
      <c r="D79" s="30" t="str">
        <f>IF(B79=0,"",IF(C79="",E79*LIDER!$H$19+F79*LIDER!$H$20+G79*LIDER!$H$21+H79*LIDER!$H$22+I79*LIDER!$H$23+J79*LIDER!$H$24+K79*LIDER!$H$25,"N"))</f>
        <v/>
      </c>
      <c r="E79" s="14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IF('S-ASIG-02'!D80="","",'S-ASIG-02'!D80)</f>
        <v/>
      </c>
      <c r="D80" s="30" t="str">
        <f>IF(B80=0,"",IF(C80="",E80*LIDER!$H$19+F80*LIDER!$H$20+G80*LIDER!$H$21+H80*LIDER!$H$22+I80*LIDER!$H$23+J80*LIDER!$H$24+K80*LIDER!$H$25,"N"))</f>
        <v/>
      </c>
      <c r="E80" s="14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IF('S-ASIG-02'!D81="","",'S-ASIG-02'!D81)</f>
        <v/>
      </c>
      <c r="D81" s="30" t="str">
        <f>IF(B81=0,"",IF(C81="",E81*LIDER!$H$19+F81*LIDER!$H$20+G81*LIDER!$H$21+H81*LIDER!$H$22+I81*LIDER!$H$23+J81*LIDER!$H$24+K81*LIDER!$H$25,"N"))</f>
        <v/>
      </c>
      <c r="E81" s="14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91</v>
      </c>
      <c r="C82" s="32" t="str">
        <f>IF('S-ASIG-02'!D82="","",'S-ASIG-02'!D82)</f>
        <v>LIST</v>
      </c>
      <c r="D82" s="35" t="s">
        <v>96</v>
      </c>
      <c r="E82" s="146" t="str">
        <f>LIDER!$E$40</f>
        <v>GRUPO#12</v>
      </c>
      <c r="F82" s="146"/>
      <c r="G82" s="146"/>
      <c r="H82" s="146"/>
      <c r="I82" s="146"/>
      <c r="J82" s="146"/>
      <c r="K82" s="146"/>
    </row>
    <row r="83" spans="1:11" s="2" customFormat="1" ht="12.75">
      <c r="A83" s="9">
        <v>1</v>
      </c>
      <c r="B83" s="28">
        <f>LIDER!H59</f>
        <v>0</v>
      </c>
      <c r="C83" s="33" t="str">
        <f>IF('S-ASIG-02'!D83="","",'S-ASIG-02'!D83)</f>
        <v/>
      </c>
      <c r="D83" s="30" t="str">
        <f>IF(B83=0,"",IF(C83="",$E$83*LIDER!$H$19+F83*LIDER!$H$20+G83*LIDER!$H$21+H83*LIDER!$H$22+I83*LIDER!$H$23+J83*LIDER!$H$24+K83*LIDER!$H$25,"N"))</f>
        <v/>
      </c>
      <c r="E83" s="14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IF('S-ASIG-02'!D84="","",'S-ASIG-02'!D84)</f>
        <v/>
      </c>
      <c r="D84" s="30" t="str">
        <f>IF(B84=0,"",IF(C84="",$E$83*LIDER!$H$19+F84*LIDER!$H$20+G84*LIDER!$H$21+H84*LIDER!$H$22+I84*LIDER!$H$23+J84*LIDER!$H$24+K84*LIDER!$H$25,"N"))</f>
        <v/>
      </c>
      <c r="E84" s="14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IF('S-ASIG-02'!D85="","",'S-ASIG-02'!D85)</f>
        <v/>
      </c>
      <c r="D85" s="30" t="str">
        <f>IF(B85=0,"",IF(C85="",$E$83*LIDER!$H$19+F85*LIDER!$H$20+G85*LIDER!$H$21+H85*LIDER!$H$22+I85*LIDER!$H$23+J85*LIDER!$H$24+K85*LIDER!$H$25,"N"))</f>
        <v/>
      </c>
      <c r="E85" s="14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IF('S-ASIG-02'!D86="","",'S-ASIG-02'!D86)</f>
        <v/>
      </c>
      <c r="D86" s="30" t="str">
        <f>IF(B86=0,"",IF(C86="",$E$83*LIDER!$H$19+F86*LIDER!$H$20+G86*LIDER!$H$21+H86*LIDER!$H$22+I86*LIDER!$H$23+J86*LIDER!$H$24+K86*LIDER!$H$25,"N"))</f>
        <v/>
      </c>
      <c r="E86" s="14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IF('S-ASIG-02'!D87="","",'S-ASIG-02'!D87)</f>
        <v/>
      </c>
      <c r="D87" s="30" t="str">
        <f>IF(B87=0,"",IF(C87="",$E$83*LIDER!$H$19+F87*LIDER!$H$20+G87*LIDER!$H$21+H87*LIDER!$H$22+I87*LIDER!$H$23+J87*LIDER!$H$24+K87*LIDER!$H$25,"N"))</f>
        <v/>
      </c>
      <c r="E87" s="14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IF('S-ASIG-02'!D88="","",'S-ASIG-02'!D88)</f>
        <v/>
      </c>
      <c r="D88" s="31" t="str">
        <f>IF(B88=0,"",IF(C88="",$E$83*LIDER!$H$19+F88*LIDER!$H$20+G88*LIDER!$H$21+H88*LIDER!$H$22+I88*LIDER!$H$23+J88*LIDER!$H$24+K88*LIDER!$H$25,"N"))</f>
        <v/>
      </c>
      <c r="E88" s="153"/>
      <c r="F88" s="19"/>
      <c r="G88" s="19"/>
      <c r="H88" s="19"/>
      <c r="I88" s="19"/>
      <c r="J88" s="19"/>
      <c r="K88" s="19"/>
    </row>
  </sheetData>
  <sheetProtection algorithmName="SHA-512" hashValue="IAq+zOfhbJDf2nOplY0tcMchjWw+/BKvU/GLkCjGAdAi+2pI7foK4zkF1ax1z15l8YXCNpmirVa/Kem/oJDRuQ==" saltValue="tGlJAg2KZXjNTJQ0B6fEWg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67" priority="14">
      <formula>ISEVEN($A6)</formula>
    </cfRule>
  </conditionalFormatting>
  <conditionalFormatting sqref="A13:B18 D13:D18">
    <cfRule type="expression" dxfId="166" priority="13">
      <formula>ISEVEN($A13)</formula>
    </cfRule>
  </conditionalFormatting>
  <conditionalFormatting sqref="A20:B25 D20:D25">
    <cfRule type="expression" dxfId="165" priority="12">
      <formula>ISEVEN($A20)</formula>
    </cfRule>
  </conditionalFormatting>
  <conditionalFormatting sqref="A27:B32 D27:D32">
    <cfRule type="expression" dxfId="164" priority="11">
      <formula>ISEVEN($A27)</formula>
    </cfRule>
  </conditionalFormatting>
  <conditionalFormatting sqref="A34:B39 D34:D39">
    <cfRule type="expression" dxfId="163" priority="10">
      <formula>ISEVEN($A34)</formula>
    </cfRule>
  </conditionalFormatting>
  <conditionalFormatting sqref="A41:B46 D41:D46">
    <cfRule type="expression" dxfId="162" priority="9">
      <formula>ISEVEN($A41)</formula>
    </cfRule>
  </conditionalFormatting>
  <conditionalFormatting sqref="A48:B53 D48:D53">
    <cfRule type="expression" dxfId="161" priority="8">
      <formula>ISEVEN($A48)</formula>
    </cfRule>
  </conditionalFormatting>
  <conditionalFormatting sqref="A55:B60 D55:D60">
    <cfRule type="expression" dxfId="160" priority="7">
      <formula>ISEVEN($A55)</formula>
    </cfRule>
  </conditionalFormatting>
  <conditionalFormatting sqref="A62:B67 D62:D67">
    <cfRule type="expression" dxfId="159" priority="6">
      <formula>ISEVEN($A62)</formula>
    </cfRule>
  </conditionalFormatting>
  <conditionalFormatting sqref="A69:B74 D69:D74">
    <cfRule type="expression" dxfId="158" priority="5">
      <formula>ISEVEN($A69)</formula>
    </cfRule>
  </conditionalFormatting>
  <conditionalFormatting sqref="A76:B81 D76:D81">
    <cfRule type="expression" dxfId="157" priority="4">
      <formula>ISEVEN($A76)</formula>
    </cfRule>
  </conditionalFormatting>
  <conditionalFormatting sqref="A83:B88 D83:D88">
    <cfRule type="expression" dxfId="156" priority="3">
      <formula>ISEVEN($A83)</formula>
    </cfRule>
  </conditionalFormatting>
  <conditionalFormatting sqref="B6:B88">
    <cfRule type="cellIs" dxfId="155" priority="2" operator="equal">
      <formula>0</formula>
    </cfRule>
  </conditionalFormatting>
  <conditionalFormatting sqref="C5 B6:D88">
    <cfRule type="expression" dxfId="154" priority="1">
      <formula>$C5="N"</formula>
    </cfRule>
  </conditionalFormatting>
  <conditionalFormatting sqref="E6:K6 F7:K11">
    <cfRule type="expression" dxfId="153" priority="30">
      <formula>ISEVEN($A6)</formula>
    </cfRule>
  </conditionalFormatting>
  <conditionalFormatting sqref="E13:K13 F14:K18">
    <cfRule type="expression" dxfId="152" priority="29">
      <formula>ISEVEN($A13)</formula>
    </cfRule>
  </conditionalFormatting>
  <conditionalFormatting sqref="E20:K20 F21:K25">
    <cfRule type="expression" dxfId="151" priority="28">
      <formula>ISEVEN($A20)</formula>
    </cfRule>
  </conditionalFormatting>
  <conditionalFormatting sqref="E27:K27 F28:K32">
    <cfRule type="expression" dxfId="150" priority="27">
      <formula>ISEVEN($A27)</formula>
    </cfRule>
  </conditionalFormatting>
  <conditionalFormatting sqref="E34:K34 F35:K39">
    <cfRule type="expression" dxfId="149" priority="26">
      <formula>ISEVEN($A34)</formula>
    </cfRule>
  </conditionalFormatting>
  <conditionalFormatting sqref="E41:K41 F42:K46">
    <cfRule type="expression" dxfId="148" priority="25">
      <formula>ISEVEN($A41)</formula>
    </cfRule>
  </conditionalFormatting>
  <conditionalFormatting sqref="E48:K48 F49:K53">
    <cfRule type="expression" dxfId="147" priority="24">
      <formula>ISEVEN($A48)</formula>
    </cfRule>
  </conditionalFormatting>
  <conditionalFormatting sqref="E55:K55 F56:K60">
    <cfRule type="expression" dxfId="146" priority="23">
      <formula>ISEVEN($A55)</formula>
    </cfRule>
  </conditionalFormatting>
  <conditionalFormatting sqref="E62:K62 F63:K67">
    <cfRule type="expression" dxfId="145" priority="22">
      <formula>ISEVEN($A62)</formula>
    </cfRule>
  </conditionalFormatting>
  <conditionalFormatting sqref="E69:K69 F70:K74">
    <cfRule type="expression" dxfId="144" priority="21">
      <formula>ISEVEN($A69)</formula>
    </cfRule>
  </conditionalFormatting>
  <conditionalFormatting sqref="E76:K76 F77:K81">
    <cfRule type="expression" dxfId="143" priority="20">
      <formula>ISEVEN($A76)</formula>
    </cfRule>
  </conditionalFormatting>
  <conditionalFormatting sqref="E83:K83 F84:K88">
    <cfRule type="expression" dxfId="142" priority="19">
      <formula>ISEVEN($A83)</formula>
    </cfRule>
  </conditionalFormatting>
  <conditionalFormatting sqref="F6:K11 F13:K18 F20:K25 F27:K32 F34:K39 F41:K46 F48:K53 F55:K60 F62:K67 F69:K74 F76:K81 F83:K88">
    <cfRule type="expression" dxfId="141" priority="16">
      <formula>$D6="N"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636-24BC-45EB-A077-6F2F1B545330}">
  <dimension ref="A1:K88"/>
  <sheetViews>
    <sheetView workbookViewId="0">
      <pane xSplit="4" ySplit="3" topLeftCell="E16" activePane="bottomRight" state="frozen"/>
      <selection pane="bottomRight" activeCell="J37" sqref="J37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3" t="str">
        <f>LIDER!B2</f>
        <v>TECNOLOGÍA EN GESTIÓN DE NEGOCIOS INTERN</v>
      </c>
      <c r="B1" s="144"/>
      <c r="C1" s="144"/>
      <c r="D1" s="144"/>
      <c r="E1" s="144"/>
      <c r="F1" s="144"/>
      <c r="G1" s="145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LIDER!E4</f>
        <v>COSTOS Y PRESUPUESTO</v>
      </c>
      <c r="C2" s="3"/>
      <c r="E2" s="147" t="s">
        <v>92</v>
      </c>
      <c r="F2" s="148"/>
      <c r="G2" s="148"/>
      <c r="H2" s="148"/>
      <c r="I2" s="148"/>
      <c r="J2" s="148"/>
      <c r="K2" s="149"/>
    </row>
    <row r="3" spans="1:11" s="2" customFormat="1" ht="145.5" customHeight="1" thickBot="1">
      <c r="B3" s="4" t="s">
        <v>93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0" t="str">
        <f>CONCATENATE(LIDER!E4," - ",LIDER!E6," - ",LIDER!E5)</f>
        <v>COSTOS Y PRESUPUESTO - 2358 - OMAR BLANCO PUELLO</v>
      </c>
      <c r="F4" s="151"/>
      <c r="G4" s="151"/>
      <c r="H4" s="151"/>
      <c r="I4" s="151"/>
      <c r="J4" s="151"/>
      <c r="K4" s="152"/>
    </row>
    <row r="5" spans="1:11" s="2" customFormat="1" ht="15.75" customHeight="1" thickBot="1">
      <c r="A5" s="8"/>
      <c r="B5" s="27" t="s">
        <v>70</v>
      </c>
      <c r="C5" s="34" t="str">
        <f>IF('S-ASIG-03'!D5="","",'S-ASIG-03'!D5)</f>
        <v>LIST</v>
      </c>
      <c r="D5" s="35" t="s">
        <v>96</v>
      </c>
      <c r="E5" s="146" t="str">
        <f>LIDER!$E$29</f>
        <v>GRUPO#1</v>
      </c>
      <c r="F5" s="146"/>
      <c r="G5" s="146"/>
      <c r="H5" s="146"/>
      <c r="I5" s="146"/>
      <c r="J5" s="146"/>
      <c r="K5" s="146"/>
    </row>
    <row r="6" spans="1:11" s="2" customFormat="1" ht="12.75">
      <c r="A6" s="9">
        <v>1</v>
      </c>
      <c r="B6" s="28">
        <f>LIDER!E43</f>
        <v>0</v>
      </c>
      <c r="C6" s="33" t="str">
        <f>IF('S-ASIG-03'!D6="","",'S-ASIG-03'!D6)</f>
        <v/>
      </c>
      <c r="D6" s="30" t="str">
        <f>IF(B6=0,"",IF(C6="",$E$6*LIDER!$H$19+F6*LIDER!$H$20+G6*LIDER!$H$21+H6*LIDER!$H$22+I6*LIDER!$H$23+J6*LIDER!$H$24+K6*LIDER!$H$25,"N"))</f>
        <v/>
      </c>
      <c r="E6" s="142">
        <v>4</v>
      </c>
      <c r="F6" s="24">
        <v>4</v>
      </c>
      <c r="G6" s="24">
        <v>4</v>
      </c>
      <c r="H6" s="24">
        <v>4</v>
      </c>
      <c r="I6" s="24">
        <v>5</v>
      </c>
      <c r="J6" s="24">
        <v>4.8</v>
      </c>
      <c r="K6" s="24"/>
    </row>
    <row r="7" spans="1:11" s="2" customFormat="1" ht="15" customHeight="1">
      <c r="A7" s="12">
        <v>2</v>
      </c>
      <c r="B7" s="28" t="str">
        <f>LIDER!E44</f>
        <v>Valentina Castro Ibarra</v>
      </c>
      <c r="C7" s="33" t="str">
        <f>IF('S-ASIG-03'!D7="","",'S-ASIG-03'!D7)</f>
        <v/>
      </c>
      <c r="D7" s="30">
        <f>IF(B7=0,"",IF(C7="",$E$6*LIDER!$H$19+F7*LIDER!$H$20+G7*LIDER!$H$21+H7*LIDER!$H$22+I7*LIDER!$H$23+J7*LIDER!$H$24+K7*LIDER!$H$25,"N"))</f>
        <v>4.13</v>
      </c>
      <c r="E7" s="142"/>
      <c r="F7" s="18">
        <v>4</v>
      </c>
      <c r="G7" s="18">
        <v>4</v>
      </c>
      <c r="H7" s="18">
        <v>4</v>
      </c>
      <c r="I7" s="18">
        <v>5</v>
      </c>
      <c r="J7" s="18">
        <v>4.8</v>
      </c>
      <c r="K7" s="18"/>
    </row>
    <row r="8" spans="1:11" s="2" customFormat="1" ht="15" customHeight="1">
      <c r="A8" s="12">
        <v>3</v>
      </c>
      <c r="B8" s="28" t="str">
        <f>LIDER!E45</f>
        <v>Carmen Manuek Cruzate</v>
      </c>
      <c r="C8" s="33" t="str">
        <f>IF('S-ASIG-03'!D8="","",'S-ASIG-03'!D8)</f>
        <v/>
      </c>
      <c r="D8" s="30">
        <f>IF(B8=0,"",IF(C8="",$E$6*LIDER!$H$19+F8*LIDER!$H$20+G8*LIDER!$H$21+H8*LIDER!$H$22+I8*LIDER!$H$23+J8*LIDER!$H$24+K8*LIDER!$H$25,"N"))</f>
        <v>4.13</v>
      </c>
      <c r="E8" s="142"/>
      <c r="F8" s="18">
        <v>4</v>
      </c>
      <c r="G8" s="18">
        <v>4</v>
      </c>
      <c r="H8" s="18">
        <v>4</v>
      </c>
      <c r="I8" s="18">
        <v>5</v>
      </c>
      <c r="J8" s="18">
        <v>4.8</v>
      </c>
      <c r="K8" s="18"/>
    </row>
    <row r="9" spans="1:11" s="2" customFormat="1" ht="15" customHeight="1">
      <c r="A9" s="12">
        <v>4</v>
      </c>
      <c r="B9" s="28" t="str">
        <f>LIDER!E46</f>
        <v>Yulieth Martinez Carrasquilla</v>
      </c>
      <c r="C9" s="33" t="str">
        <f>IF('S-ASIG-03'!D9="","",'S-ASIG-03'!D9)</f>
        <v/>
      </c>
      <c r="D9" s="30">
        <f>IF(B9=0,"",IF(C9="",$E$6*LIDER!$H$19+F9*LIDER!$H$20+G9*LIDER!$H$21+H9*LIDER!$H$22+I9*LIDER!$H$23+J9*LIDER!$H$24+K9*LIDER!$H$25,"N"))</f>
        <v>4.13</v>
      </c>
      <c r="E9" s="142"/>
      <c r="F9" s="18">
        <v>4</v>
      </c>
      <c r="G9" s="18">
        <v>4</v>
      </c>
      <c r="H9" s="18">
        <v>4</v>
      </c>
      <c r="I9" s="18">
        <v>5</v>
      </c>
      <c r="J9" s="18">
        <v>4.8</v>
      </c>
      <c r="K9" s="18"/>
    </row>
    <row r="10" spans="1:11" s="2" customFormat="1" ht="15" customHeight="1">
      <c r="A10" s="12">
        <v>5</v>
      </c>
      <c r="B10" s="28" t="str">
        <f>LIDER!E47</f>
        <v>Angello Ortega Mesino</v>
      </c>
      <c r="C10" s="33" t="str">
        <f>IF('S-ASIG-03'!D10="","",'S-ASIG-03'!D10)</f>
        <v/>
      </c>
      <c r="D10" s="30">
        <f>IF(B10=0,"",IF(C10="",$E$6*LIDER!$H$19+F10*LIDER!$H$20+G10*LIDER!$H$21+H10*LIDER!$H$22+I10*LIDER!$H$23+J10*LIDER!$H$24+K10*LIDER!$H$25,"N"))</f>
        <v>4.13</v>
      </c>
      <c r="E10" s="142"/>
      <c r="F10" s="18">
        <v>4</v>
      </c>
      <c r="G10" s="18">
        <v>4</v>
      </c>
      <c r="H10" s="18">
        <v>4</v>
      </c>
      <c r="I10" s="18">
        <v>5</v>
      </c>
      <c r="J10" s="18">
        <v>4.8</v>
      </c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IF('S-ASIG-03'!D11="","",'S-ASIG-03'!D11)</f>
        <v/>
      </c>
      <c r="D11" s="30" t="str">
        <f>IF(B11=0,"",IF(C11="",$E$6*LIDER!$H$19+F11*LIDER!$H$20+G11*LIDER!$H$21+H11*LIDER!$H$22+I11*LIDER!$H$23+J11*LIDER!$H$24+K11*LIDER!$H$25,"N"))</f>
        <v/>
      </c>
      <c r="E11" s="142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72</v>
      </c>
      <c r="C12" s="32" t="str">
        <f>IF('S-ASIG-03'!D12="","",'S-ASIG-03'!D12)</f>
        <v>LIST</v>
      </c>
      <c r="D12" s="35" t="s">
        <v>96</v>
      </c>
      <c r="E12" s="146" t="str">
        <f>LIDER!$E$30</f>
        <v>GRUPO#2</v>
      </c>
      <c r="F12" s="146"/>
      <c r="G12" s="146"/>
      <c r="H12" s="146"/>
      <c r="I12" s="146"/>
      <c r="J12" s="146"/>
      <c r="K12" s="146"/>
    </row>
    <row r="13" spans="1:11" s="2" customFormat="1" ht="12.75">
      <c r="A13" s="9">
        <v>1</v>
      </c>
      <c r="B13" s="28" t="str">
        <f>LIDER!F43</f>
        <v>Cesar Pajaro Ramos</v>
      </c>
      <c r="C13" s="33" t="str">
        <f>IF('S-ASIG-03'!D13="","",'S-ASIG-03'!D13)</f>
        <v/>
      </c>
      <c r="D13" s="30">
        <f>IF(B13=0,"",IF(C13="",$E$13*LIDER!$H$19+F13*LIDER!$H$20+G13*LIDER!$H$21+H13*LIDER!$H$22+I13*LIDER!$H$23+J13*LIDER!$H$24+K13*LIDER!$H$25,"N"))</f>
        <v>4.2</v>
      </c>
      <c r="E13" s="142">
        <v>4.3</v>
      </c>
      <c r="F13" s="24">
        <v>4</v>
      </c>
      <c r="G13" s="24">
        <v>4</v>
      </c>
      <c r="H13" s="24">
        <v>5</v>
      </c>
      <c r="I13" s="24">
        <v>4</v>
      </c>
      <c r="J13" s="24">
        <v>4</v>
      </c>
      <c r="K13" s="24"/>
    </row>
    <row r="14" spans="1:11" s="2" customFormat="1" ht="15" customHeight="1">
      <c r="A14" s="12">
        <v>2</v>
      </c>
      <c r="B14" s="28" t="str">
        <f>LIDER!F44</f>
        <v>Elian Polo Soto</v>
      </c>
      <c r="C14" s="33" t="str">
        <f>IF('S-ASIG-03'!D14="","",'S-ASIG-03'!D14)</f>
        <v/>
      </c>
      <c r="D14" s="30">
        <f>IF(B14=0,"",IF(C14="",$E$13*LIDER!$H$19+F14*LIDER!$H$20+G14*LIDER!$H$21+H14*LIDER!$H$22+I14*LIDER!$H$23+J14*LIDER!$H$24+K14*LIDER!$H$25,"N"))</f>
        <v>4.2</v>
      </c>
      <c r="E14" s="142"/>
      <c r="F14" s="18">
        <v>4</v>
      </c>
      <c r="G14" s="18">
        <v>4</v>
      </c>
      <c r="H14" s="18">
        <v>5</v>
      </c>
      <c r="I14" s="18">
        <v>4</v>
      </c>
      <c r="J14" s="18">
        <v>4</v>
      </c>
      <c r="K14" s="18"/>
    </row>
    <row r="15" spans="1:11" s="2" customFormat="1" ht="15" customHeight="1">
      <c r="A15" s="12">
        <v>3</v>
      </c>
      <c r="B15" s="28" t="str">
        <f>LIDER!F45</f>
        <v>Juan C Corrales de la Rosa</v>
      </c>
      <c r="C15" s="33" t="str">
        <f>IF('S-ASIG-03'!D15="","",'S-ASIG-03'!D15)</f>
        <v/>
      </c>
      <c r="D15" s="30">
        <f>IF(B15=0,"",IF(C15="",$E$13*LIDER!$H$19+F15*LIDER!$H$20+G15*LIDER!$H$21+H15*LIDER!$H$22+I15*LIDER!$H$23+J15*LIDER!$H$24+K15*LIDER!$H$25,"N"))</f>
        <v>4.2</v>
      </c>
      <c r="E15" s="142"/>
      <c r="F15" s="18">
        <v>4</v>
      </c>
      <c r="G15" s="18">
        <v>4</v>
      </c>
      <c r="H15" s="18">
        <v>5</v>
      </c>
      <c r="I15" s="18">
        <v>4</v>
      </c>
      <c r="J15" s="18">
        <v>4</v>
      </c>
      <c r="K15" s="18"/>
    </row>
    <row r="16" spans="1:11" s="2" customFormat="1" ht="15" customHeight="1">
      <c r="A16" s="12">
        <v>4</v>
      </c>
      <c r="B16" s="28" t="str">
        <f>LIDER!F46</f>
        <v>Katerin Silva Peñate</v>
      </c>
      <c r="C16" s="33" t="str">
        <f>IF('S-ASIG-03'!D16="","",'S-ASIG-03'!D16)</f>
        <v/>
      </c>
      <c r="D16" s="30">
        <f>IF(B16=0,"",IF(C16="",$E$13*LIDER!$H$19+F16*LIDER!$H$20+G16*LIDER!$H$21+H16*LIDER!$H$22+I16*LIDER!$H$23+J16*LIDER!$H$24+K16*LIDER!$H$25,"N"))</f>
        <v>4.2</v>
      </c>
      <c r="E16" s="142"/>
      <c r="F16" s="18">
        <v>4</v>
      </c>
      <c r="G16" s="18">
        <v>4</v>
      </c>
      <c r="H16" s="18">
        <v>5</v>
      </c>
      <c r="I16" s="18">
        <v>4</v>
      </c>
      <c r="J16" s="18">
        <v>4</v>
      </c>
      <c r="K16" s="18"/>
    </row>
    <row r="17" spans="1:11" s="2" customFormat="1" ht="15" customHeight="1">
      <c r="A17" s="12">
        <v>5</v>
      </c>
      <c r="B17" s="28" t="str">
        <f>LIDER!F47</f>
        <v>Yorcelis Mercado Guerra</v>
      </c>
      <c r="C17" s="33" t="str">
        <f>IF('S-ASIG-03'!D17="","",'S-ASIG-03'!D17)</f>
        <v/>
      </c>
      <c r="D17" s="30">
        <f>IF(B17=0,"",IF(C17="",$E$13*LIDER!$H$19+F17*LIDER!$H$20+G17*LIDER!$H$21+H17*LIDER!$H$22+I17*LIDER!$H$23+J17*LIDER!$H$24+K17*LIDER!$H$25,"N"))</f>
        <v>4.2</v>
      </c>
      <c r="E17" s="142"/>
      <c r="F17" s="18">
        <v>4</v>
      </c>
      <c r="G17" s="18">
        <v>4</v>
      </c>
      <c r="H17" s="18">
        <v>5</v>
      </c>
      <c r="I17" s="18">
        <v>4</v>
      </c>
      <c r="J17" s="18">
        <v>4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IF('S-ASIG-03'!D18="","",'S-ASIG-03'!D18)</f>
        <v/>
      </c>
      <c r="D18" s="30" t="str">
        <f>IF(B18=0,"",IF(C18="",$E$13*LIDER!$H$19+F18*LIDER!$H$20+G18*LIDER!$H$21+H18*LIDER!$H$22+I18*LIDER!$H$23+J18*LIDER!$H$24+K18*LIDER!$H$25,"N"))</f>
        <v/>
      </c>
      <c r="E18" s="142"/>
      <c r="F18" s="26"/>
      <c r="G18" s="26"/>
      <c r="H18" s="26" t="s">
        <v>109</v>
      </c>
      <c r="I18" s="26"/>
      <c r="J18" s="26"/>
      <c r="K18" s="26"/>
    </row>
    <row r="19" spans="1:11" s="2" customFormat="1" ht="15.75" customHeight="1" thickBot="1">
      <c r="A19" s="14"/>
      <c r="B19" s="27" t="s">
        <v>74</v>
      </c>
      <c r="C19" s="32" t="str">
        <f>IF('S-ASIG-03'!D19="","",'S-ASIG-03'!D19)</f>
        <v>LIST</v>
      </c>
      <c r="D19" s="35" t="s">
        <v>96</v>
      </c>
      <c r="E19" s="146" t="str">
        <f>LIDER!$E$31</f>
        <v>GRUPO#3</v>
      </c>
      <c r="F19" s="146"/>
      <c r="G19" s="146"/>
      <c r="H19" s="146"/>
      <c r="I19" s="146"/>
      <c r="J19" s="146"/>
      <c r="K19" s="146"/>
    </row>
    <row r="20" spans="1:11" s="2" customFormat="1" ht="12.75">
      <c r="A20" s="9">
        <v>1</v>
      </c>
      <c r="B20" s="28" t="str">
        <f>LIDER!G43</f>
        <v>Lauren castilla Gonzalez</v>
      </c>
      <c r="C20" s="33" t="str">
        <f>IF('S-ASIG-03'!D20="","",'S-ASIG-03'!D20)</f>
        <v/>
      </c>
      <c r="D20" s="30">
        <f>IF(B20=0,"",IF(C20="",$E$20*LIDER!$H$19+F20*LIDER!$H$20+G20*LIDER!$H$21+H20*LIDER!$H$22+I20*LIDER!$H$23+J20*LIDER!$H$24+K20*LIDER!$H$25,"N"))</f>
        <v>3.9250000000000003</v>
      </c>
      <c r="E20" s="142">
        <v>3.8</v>
      </c>
      <c r="F20" s="24">
        <v>4</v>
      </c>
      <c r="G20" s="24">
        <v>4</v>
      </c>
      <c r="H20" s="24">
        <v>4.5</v>
      </c>
      <c r="I20" s="24">
        <v>4</v>
      </c>
      <c r="J20" s="24">
        <v>4</v>
      </c>
      <c r="K20" s="24"/>
    </row>
    <row r="21" spans="1:11" s="2" customFormat="1" ht="15" customHeight="1">
      <c r="A21" s="12">
        <v>2</v>
      </c>
      <c r="B21" s="28" t="str">
        <f>LIDER!G44</f>
        <v>Duvan Cespedes perez</v>
      </c>
      <c r="C21" s="33" t="str">
        <f>IF('S-ASIG-03'!D21="","",'S-ASIG-03'!D21)</f>
        <v/>
      </c>
      <c r="D21" s="30">
        <f>IF(B21=0,"",IF(C21="",$E$20*LIDER!$H$19+F21*LIDER!$H$20+G21*LIDER!$H$21+H21*LIDER!$H$22+I21*LIDER!$H$23+J21*LIDER!$H$24+K21*LIDER!$H$25,"N"))</f>
        <v>3.9250000000000003</v>
      </c>
      <c r="E21" s="142"/>
      <c r="F21" s="18">
        <v>4</v>
      </c>
      <c r="G21" s="18">
        <v>4</v>
      </c>
      <c r="H21" s="18">
        <v>4.5</v>
      </c>
      <c r="I21" s="18">
        <v>4</v>
      </c>
      <c r="J21" s="18">
        <v>4</v>
      </c>
      <c r="K21" s="18"/>
    </row>
    <row r="22" spans="1:11" s="2" customFormat="1" ht="15" customHeight="1">
      <c r="A22" s="12">
        <v>3</v>
      </c>
      <c r="B22" s="28" t="str">
        <f>LIDER!G45</f>
        <v>Isaac Faciolince Bustos</v>
      </c>
      <c r="C22" s="33" t="str">
        <f>IF('S-ASIG-03'!D22="","",'S-ASIG-03'!D22)</f>
        <v/>
      </c>
      <c r="D22" s="30">
        <f>IF(B22=0,"",IF(C22="",$E$20*LIDER!$H$19+F22*LIDER!$H$20+G22*LIDER!$H$21+H22*LIDER!$H$22+I22*LIDER!$H$23+J22*LIDER!$H$24+K22*LIDER!$H$25,"N"))</f>
        <v>3.9250000000000003</v>
      </c>
      <c r="E22" s="142"/>
      <c r="F22" s="18">
        <v>4</v>
      </c>
      <c r="G22" s="18">
        <v>4</v>
      </c>
      <c r="H22" s="18">
        <v>4.5</v>
      </c>
      <c r="I22" s="18">
        <v>4</v>
      </c>
      <c r="J22" s="18">
        <v>4</v>
      </c>
      <c r="K22" s="18"/>
    </row>
    <row r="23" spans="1:11" s="2" customFormat="1" ht="15" customHeight="1">
      <c r="A23" s="12">
        <v>4</v>
      </c>
      <c r="B23" s="28" t="str">
        <f>LIDER!G46</f>
        <v>Jesus Lopez Morales</v>
      </c>
      <c r="C23" s="33" t="str">
        <f>IF('S-ASIG-03'!D23="","",'S-ASIG-03'!D23)</f>
        <v/>
      </c>
      <c r="D23" s="30">
        <f>IF(B23=0,"",IF(C23="",$E$20*LIDER!$H$19+F23*LIDER!$H$20+G23*LIDER!$H$21+H23*LIDER!$H$22+I23*LIDER!$H$23+J23*LIDER!$H$24+K23*LIDER!$H$25,"N"))</f>
        <v>3.8650000000000002</v>
      </c>
      <c r="E23" s="142"/>
      <c r="F23" s="18">
        <v>3.8</v>
      </c>
      <c r="G23" s="18">
        <v>3.8</v>
      </c>
      <c r="H23" s="18">
        <v>4.5</v>
      </c>
      <c r="I23" s="18">
        <v>4</v>
      </c>
      <c r="J23" s="18">
        <v>4</v>
      </c>
      <c r="K23" s="18"/>
    </row>
    <row r="24" spans="1:11" s="2" customFormat="1" ht="15" customHeight="1">
      <c r="A24" s="12">
        <v>5</v>
      </c>
      <c r="B24" s="28" t="str">
        <f>LIDER!G47</f>
        <v>Dakar Moarles Paternina</v>
      </c>
      <c r="C24" s="33" t="str">
        <f>IF('S-ASIG-03'!D24="","",'S-ASIG-03'!D24)</f>
        <v/>
      </c>
      <c r="D24" s="30">
        <f>IF(B24=0,"",IF(C24="",$E$20*LIDER!$H$19+F24*LIDER!$H$20+G24*LIDER!$H$21+H24*LIDER!$H$22+I24*LIDER!$H$23+J24*LIDER!$H$24+K24*LIDER!$H$25,"N"))</f>
        <v>3.9250000000000003</v>
      </c>
      <c r="E24" s="142"/>
      <c r="F24" s="18">
        <v>4</v>
      </c>
      <c r="G24" s="18">
        <v>4</v>
      </c>
      <c r="H24" s="18">
        <v>4.5</v>
      </c>
      <c r="I24" s="18">
        <v>4</v>
      </c>
      <c r="J24" s="18">
        <v>4</v>
      </c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IF('S-ASIG-03'!D25="","",'S-ASIG-03'!D25)</f>
        <v/>
      </c>
      <c r="D25" s="30" t="str">
        <f>IF(B25=0,"",IF(C25="",$E$20*LIDER!$H$19+F25*LIDER!$H$20+G25*LIDER!$H$21+H25*LIDER!$H$22+I25*LIDER!$H$23+J25*LIDER!$H$24+K25*LIDER!$H$25,"N"))</f>
        <v/>
      </c>
      <c r="E25" s="142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76</v>
      </c>
      <c r="C26" s="32" t="str">
        <f>IF('S-ASIG-03'!D26="","",'S-ASIG-03'!D26)</f>
        <v>LIST</v>
      </c>
      <c r="D26" s="35" t="s">
        <v>96</v>
      </c>
      <c r="E26" s="146" t="str">
        <f>LIDER!$E$32</f>
        <v>GRUPO#4</v>
      </c>
      <c r="F26" s="146"/>
      <c r="G26" s="146"/>
      <c r="H26" s="146"/>
      <c r="I26" s="146"/>
      <c r="J26" s="146"/>
      <c r="K26" s="146"/>
    </row>
    <row r="27" spans="1:11" s="2" customFormat="1" ht="12.75">
      <c r="A27" s="9">
        <v>1</v>
      </c>
      <c r="B27" s="28" t="str">
        <f>LIDER!H43</f>
        <v>Ian Yoraco Berrio</v>
      </c>
      <c r="C27" s="33" t="str">
        <f>IF('S-ASIG-03'!D27="","",'S-ASIG-03'!D27)</f>
        <v/>
      </c>
      <c r="D27" s="30">
        <f>IF(B27=0,"",IF(C27="",$E$27*LIDER!$H$19+F27*LIDER!$H$20+G27*LIDER!$H$21+H27*LIDER!$H$22+I27*LIDER!$H$23+J27*LIDER!$H$24+K27*LIDER!$H$25,"N"))</f>
        <v>2.25</v>
      </c>
      <c r="E27" s="142">
        <v>4.5</v>
      </c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Nataly Castro Jimenez</v>
      </c>
      <c r="C28" s="33" t="str">
        <f>IF('S-ASIG-03'!D28="","",'S-ASIG-03'!D28)</f>
        <v/>
      </c>
      <c r="D28" s="30">
        <f>IF(B28=0,"",IF(C28="",$E$27*LIDER!$H$19+F28*LIDER!$H$20+G28*LIDER!$H$21+H28*LIDER!$H$22+I28*LIDER!$H$23+J28*LIDER!$H$24+K28*LIDER!$H$25,"N"))</f>
        <v>4.49</v>
      </c>
      <c r="E28" s="142"/>
      <c r="F28" s="18">
        <v>4.3</v>
      </c>
      <c r="G28" s="18">
        <v>4.3</v>
      </c>
      <c r="H28" s="18">
        <v>5</v>
      </c>
      <c r="I28" s="18">
        <v>5</v>
      </c>
      <c r="J28" s="18">
        <v>4.5</v>
      </c>
      <c r="K28" s="18"/>
    </row>
    <row r="29" spans="1:11" s="2" customFormat="1" ht="15" customHeight="1">
      <c r="A29" s="12">
        <v>3</v>
      </c>
      <c r="B29" s="28" t="str">
        <f>LIDER!H45</f>
        <v>Oscar Lorduy Neira</v>
      </c>
      <c r="C29" s="33" t="str">
        <f>IF('S-ASIG-03'!D29="","",'S-ASIG-03'!D29)</f>
        <v/>
      </c>
      <c r="D29" s="30">
        <f>IF(B29=0,"",IF(C29="",$E$27*LIDER!$H$19+F29*LIDER!$H$20+G29*LIDER!$H$21+H29*LIDER!$H$22+I29*LIDER!$H$23+J29*LIDER!$H$24+K29*LIDER!$H$25,"N"))</f>
        <v>4.55</v>
      </c>
      <c r="E29" s="142"/>
      <c r="F29" s="18">
        <v>4.5</v>
      </c>
      <c r="G29" s="18">
        <v>4.5</v>
      </c>
      <c r="H29" s="18">
        <v>5</v>
      </c>
      <c r="I29" s="18">
        <v>5</v>
      </c>
      <c r="J29" s="18">
        <v>4.5</v>
      </c>
      <c r="K29" s="18"/>
    </row>
    <row r="30" spans="1:11" s="2" customFormat="1" ht="15" customHeight="1">
      <c r="A30" s="12">
        <v>4</v>
      </c>
      <c r="B30" s="28" t="str">
        <f>LIDER!H46</f>
        <v>Carlos Orozco Valdes</v>
      </c>
      <c r="C30" s="33" t="str">
        <f>IF('S-ASIG-03'!D30="","",'S-ASIG-03'!D30)</f>
        <v/>
      </c>
      <c r="D30" s="30">
        <f>IF(B30=0,"",IF(C30="",$E$27*LIDER!$H$19+F30*LIDER!$H$20+G30*LIDER!$H$21+H30*LIDER!$H$22+I30*LIDER!$H$23+J30*LIDER!$H$24+K30*LIDER!$H$25,"N"))</f>
        <v>4.55</v>
      </c>
      <c r="E30" s="142"/>
      <c r="F30" s="18">
        <v>4.5</v>
      </c>
      <c r="G30" s="18">
        <v>4.5</v>
      </c>
      <c r="H30" s="18">
        <v>5</v>
      </c>
      <c r="I30" s="18">
        <v>5</v>
      </c>
      <c r="J30" s="18">
        <v>4.5</v>
      </c>
      <c r="K30" s="18"/>
    </row>
    <row r="31" spans="1:11" s="2" customFormat="1" ht="15" customHeight="1">
      <c r="A31" s="12">
        <v>5</v>
      </c>
      <c r="B31" s="28" t="str">
        <f>LIDER!H47</f>
        <v>Sandri Valdez Sepulveda</v>
      </c>
      <c r="C31" s="33" t="str">
        <f>IF('S-ASIG-03'!D31="","",'S-ASIG-03'!D31)</f>
        <v/>
      </c>
      <c r="D31" s="30">
        <f>IF(B31=0,"",IF(C31="",$E$27*LIDER!$H$19+F31*LIDER!$H$20+G31*LIDER!$H$21+H31*LIDER!$H$22+I31*LIDER!$H$23+J31*LIDER!$H$24+K31*LIDER!$H$25,"N"))</f>
        <v>4.43</v>
      </c>
      <c r="E31" s="142"/>
      <c r="F31" s="18">
        <v>4</v>
      </c>
      <c r="G31" s="18">
        <v>4.3</v>
      </c>
      <c r="H31" s="18">
        <v>5</v>
      </c>
      <c r="I31" s="18">
        <v>5</v>
      </c>
      <c r="J31" s="18">
        <v>4.5</v>
      </c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IF('S-ASIG-03'!D32="","",'S-ASIG-03'!D32)</f>
        <v/>
      </c>
      <c r="D32" s="30" t="str">
        <f>IF(B32=0,"",IF(C32="",$E$27*LIDER!$H$19+F32*LIDER!$H$20+G32*LIDER!$H$21+H32*LIDER!$H$22+I32*LIDER!$H$23+J32*LIDER!$H$24+K32*LIDER!$H$25,"N"))</f>
        <v/>
      </c>
      <c r="E32" s="142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78</v>
      </c>
      <c r="C33" s="32" t="str">
        <f>IF('S-ASIG-03'!D33="","",'S-ASIG-03'!D33)</f>
        <v>LIST</v>
      </c>
      <c r="D33" s="35" t="s">
        <v>96</v>
      </c>
      <c r="E33" s="146" t="str">
        <f>LIDER!$E$33</f>
        <v>GRUPO#5</v>
      </c>
      <c r="F33" s="146"/>
      <c r="G33" s="146"/>
      <c r="H33" s="146"/>
      <c r="I33" s="146"/>
      <c r="J33" s="146"/>
      <c r="K33" s="146"/>
    </row>
    <row r="34" spans="1:11" s="2" customFormat="1" ht="12.75">
      <c r="A34" s="9">
        <v>1</v>
      </c>
      <c r="B34" s="28" t="str">
        <f>LIDER!E51</f>
        <v>Adrian Marriaga Muñoz</v>
      </c>
      <c r="C34" s="33" t="str">
        <f>IF('S-ASIG-03'!D34="","",'S-ASIG-03'!D34)</f>
        <v/>
      </c>
      <c r="D34" s="30">
        <f>IF(B34=0,"",IF(C34="",$E$34*LIDER!$H$19+F34*LIDER!$H$20+G34*LIDER!$H$21+H34*LIDER!$H$22+I34*LIDER!$H$23+J34*LIDER!$H$24+K34*LIDER!$H$25,"N"))</f>
        <v>4.32</v>
      </c>
      <c r="E34" s="142">
        <v>4</v>
      </c>
      <c r="F34" s="24">
        <v>4.8</v>
      </c>
      <c r="G34" s="24">
        <v>4.8</v>
      </c>
      <c r="H34" s="24">
        <v>5</v>
      </c>
      <c r="I34" s="24">
        <v>5</v>
      </c>
      <c r="J34" s="24">
        <v>3.8</v>
      </c>
      <c r="K34" s="24"/>
    </row>
    <row r="35" spans="1:11" s="2" customFormat="1" ht="15" customHeight="1">
      <c r="A35" s="12">
        <v>2</v>
      </c>
      <c r="B35" s="28" t="str">
        <f>LIDER!E52</f>
        <v>Kristin Perez martinez</v>
      </c>
      <c r="C35" s="33" t="str">
        <f>IF('S-ASIG-03'!D35="","",'S-ASIG-03'!D35)</f>
        <v/>
      </c>
      <c r="D35" s="30">
        <f>IF(B35=0,"",IF(C35="",$E$34*LIDER!$H$19+F35*LIDER!$H$20+G35*LIDER!$H$21+H35*LIDER!$H$22+I35*LIDER!$H$23+J35*LIDER!$H$24+K35*LIDER!$H$25,"N"))</f>
        <v>4.2300000000000004</v>
      </c>
      <c r="E35" s="142"/>
      <c r="F35" s="18">
        <v>4.5</v>
      </c>
      <c r="G35" s="18">
        <v>4.5</v>
      </c>
      <c r="H35" s="18">
        <v>5</v>
      </c>
      <c r="I35" s="18">
        <v>5</v>
      </c>
      <c r="J35" s="18">
        <v>3.8</v>
      </c>
      <c r="K35" s="18"/>
    </row>
    <row r="36" spans="1:11" s="2" customFormat="1" ht="15" customHeight="1">
      <c r="A36" s="12">
        <v>3</v>
      </c>
      <c r="B36" s="28" t="str">
        <f>LIDER!E53</f>
        <v>Nina Aguilar Sarabia</v>
      </c>
      <c r="C36" s="33" t="str">
        <f>IF('S-ASIG-03'!D36="","",'S-ASIG-03'!D36)</f>
        <v/>
      </c>
      <c r="D36" s="30" t="e">
        <f>IF(B36=0,"",IF(C36="",$E$34*LIDER!$H$19+F36*LIDER!$H$20+G36*LIDER!$H$21+H36*LIDER!$H$22+I36*LIDER!$H$23+J36*LIDER!$H$24+K36*LIDER!$H$25,"N"))</f>
        <v>#VALUE!</v>
      </c>
      <c r="E36" s="142"/>
      <c r="F36" s="18" t="s">
        <v>108</v>
      </c>
      <c r="G36" s="18" t="s">
        <v>108</v>
      </c>
      <c r="H36" s="18" t="s">
        <v>108</v>
      </c>
      <c r="I36" s="18" t="s">
        <v>108</v>
      </c>
      <c r="J36" s="18" t="s">
        <v>108</v>
      </c>
      <c r="K36" s="18"/>
    </row>
    <row r="37" spans="1:11" s="2" customFormat="1" ht="15" customHeight="1">
      <c r="A37" s="12">
        <v>4</v>
      </c>
      <c r="B37" s="28" t="str">
        <f>LIDER!E54</f>
        <v>Theres Theran caicedo</v>
      </c>
      <c r="C37" s="33" t="str">
        <f>IF('S-ASIG-03'!D37="","",'S-ASIG-03'!D37)</f>
        <v/>
      </c>
      <c r="D37" s="30">
        <f>IF(B37=0,"",IF(C37="",$E$34*LIDER!$H$19+F37*LIDER!$H$20+G37*LIDER!$H$21+H37*LIDER!$H$22+I37*LIDER!$H$23+J37*LIDER!$H$24+K37*LIDER!$H$25,"N"))</f>
        <v>4.2300000000000004</v>
      </c>
      <c r="E37" s="142"/>
      <c r="F37" s="18">
        <v>4.5</v>
      </c>
      <c r="G37" s="18">
        <v>4.5</v>
      </c>
      <c r="H37" s="18">
        <v>5</v>
      </c>
      <c r="I37" s="18">
        <v>5</v>
      </c>
      <c r="J37" s="18">
        <v>3.8</v>
      </c>
      <c r="K37" s="18"/>
    </row>
    <row r="38" spans="1:11" s="2" customFormat="1" ht="15" customHeight="1">
      <c r="A38" s="12">
        <v>5</v>
      </c>
      <c r="B38" s="28" t="str">
        <f>LIDER!E55</f>
        <v>Diego Cardona Bolaño</v>
      </c>
      <c r="C38" s="33" t="str">
        <f>IF('S-ASIG-03'!D38="","",'S-ASIG-03'!D38)</f>
        <v/>
      </c>
      <c r="D38" s="30">
        <f>IF(B38=0,"",IF(C38="",$E$34*LIDER!$H$19+F38*LIDER!$H$20+G38*LIDER!$H$21+H38*LIDER!$H$22+I38*LIDER!$H$23+J38*LIDER!$H$24+K38*LIDER!$H$25,"N"))</f>
        <v>4.0199999999999996</v>
      </c>
      <c r="E38" s="142"/>
      <c r="F38" s="18">
        <v>3.8</v>
      </c>
      <c r="G38" s="18">
        <v>3.8</v>
      </c>
      <c r="H38" s="18">
        <v>5</v>
      </c>
      <c r="I38" s="18">
        <v>5</v>
      </c>
      <c r="J38" s="18">
        <v>3.8</v>
      </c>
      <c r="K38" s="18"/>
    </row>
    <row r="39" spans="1:11" s="2" customFormat="1" ht="15.75" customHeight="1" thickBot="1">
      <c r="A39" s="13">
        <v>6</v>
      </c>
      <c r="B39" s="28" t="str">
        <f>LIDER!E56</f>
        <v>Jhamer Luis Maza Ramos</v>
      </c>
      <c r="C39" s="33" t="str">
        <f>IF('S-ASIG-03'!D39="","",'S-ASIG-03'!D39)</f>
        <v/>
      </c>
      <c r="D39" s="30">
        <f>IF(B39=0,"",IF(C39="",$E$34*LIDER!$H$19+F39*LIDER!$H$20+G39*LIDER!$H$21+H39*LIDER!$H$22+I39*LIDER!$H$23+J39*LIDER!$H$24+K39*LIDER!$H$25,"N"))</f>
        <v>4.08</v>
      </c>
      <c r="E39" s="142"/>
      <c r="F39" s="26">
        <v>4</v>
      </c>
      <c r="G39" s="26">
        <v>4</v>
      </c>
      <c r="H39" s="26">
        <v>5</v>
      </c>
      <c r="I39" s="26">
        <v>5</v>
      </c>
      <c r="J39" s="26">
        <v>3.8</v>
      </c>
      <c r="K39" s="26"/>
    </row>
    <row r="40" spans="1:11" s="2" customFormat="1" ht="15.75" customHeight="1" thickBot="1">
      <c r="A40" s="14"/>
      <c r="B40" s="27" t="s">
        <v>80</v>
      </c>
      <c r="C40" s="32" t="str">
        <f>IF('S-ASIG-03'!D40="","",'S-ASIG-03'!D40)</f>
        <v>LIST</v>
      </c>
      <c r="D40" s="35" t="s">
        <v>96</v>
      </c>
      <c r="E40" s="146" t="str">
        <f>LIDER!$E$34</f>
        <v>GRUPO#6</v>
      </c>
      <c r="F40" s="146"/>
      <c r="G40" s="146"/>
      <c r="H40" s="146"/>
      <c r="I40" s="146"/>
      <c r="J40" s="146"/>
      <c r="K40" s="146"/>
    </row>
    <row r="41" spans="1:11" s="2" customFormat="1" ht="12.75">
      <c r="A41" s="9">
        <v>1</v>
      </c>
      <c r="B41" s="28" t="str">
        <f>LIDER!F51</f>
        <v>Yureidy Alarez Castellano</v>
      </c>
      <c r="C41" s="33" t="str">
        <f>IF('S-ASIG-03'!D41="","",'S-ASIG-03'!D41)</f>
        <v/>
      </c>
      <c r="D41" s="30">
        <f>IF(B41=0,"",IF(C41="",$E$41*LIDER!$H$19+F41*LIDER!$H$20+G41*LIDER!$H$21+H41*LIDER!$H$22+I41*LIDER!$H$23+J41*LIDER!$H$24+K41*LIDER!$H$25,"N"))</f>
        <v>4.0999999999999996</v>
      </c>
      <c r="E41" s="142">
        <v>4</v>
      </c>
      <c r="F41" s="24">
        <v>4</v>
      </c>
      <c r="G41" s="24">
        <v>4</v>
      </c>
      <c r="H41" s="24">
        <v>5</v>
      </c>
      <c r="I41" s="24">
        <v>5</v>
      </c>
      <c r="J41" s="24">
        <v>4</v>
      </c>
      <c r="K41" s="24"/>
    </row>
    <row r="42" spans="1:11" s="2" customFormat="1" ht="15" customHeight="1">
      <c r="A42" s="12">
        <v>2</v>
      </c>
      <c r="B42" s="28" t="str">
        <f>LIDER!F52</f>
        <v>Juan C Baldiris Espitia</v>
      </c>
      <c r="C42" s="33" t="str">
        <f>IF('S-ASIG-03'!D42="","",'S-ASIG-03'!D42)</f>
        <v/>
      </c>
      <c r="D42" s="30">
        <f>IF(B42=0,"",IF(C42="",$E$41*LIDER!$H$19+F42*LIDER!$H$20+G42*LIDER!$H$21+H42*LIDER!$H$22+I42*LIDER!$H$23+J42*LIDER!$H$24+K42*LIDER!$H$25,"N"))</f>
        <v>4.0999999999999996</v>
      </c>
      <c r="E42" s="142"/>
      <c r="F42" s="18">
        <v>4</v>
      </c>
      <c r="G42" s="18">
        <v>4</v>
      </c>
      <c r="H42" s="18">
        <v>5</v>
      </c>
      <c r="I42" s="18">
        <v>5</v>
      </c>
      <c r="J42" s="18">
        <v>4</v>
      </c>
      <c r="K42" s="18"/>
    </row>
    <row r="43" spans="1:11" s="2" customFormat="1" ht="15" customHeight="1">
      <c r="A43" s="12">
        <v>3</v>
      </c>
      <c r="B43" s="28" t="str">
        <f>LIDER!F53</f>
        <v>Andres F Torres Arroyo</v>
      </c>
      <c r="C43" s="33" t="str">
        <f>IF('S-ASIG-03'!D43="","",'S-ASIG-03'!D43)</f>
        <v/>
      </c>
      <c r="D43" s="30">
        <f>IF(B43=0,"",IF(C43="",$E$41*LIDER!$H$19+F43*LIDER!$H$20+G43*LIDER!$H$21+H43*LIDER!$H$22+I43*LIDER!$H$23+J43*LIDER!$H$24+K43*LIDER!$H$25,"N"))</f>
        <v>4.0999999999999996</v>
      </c>
      <c r="E43" s="142"/>
      <c r="F43" s="18">
        <v>4</v>
      </c>
      <c r="G43" s="18">
        <v>4</v>
      </c>
      <c r="H43" s="18">
        <v>5</v>
      </c>
      <c r="I43" s="18">
        <v>5</v>
      </c>
      <c r="J43" s="18">
        <v>4</v>
      </c>
      <c r="K43" s="18"/>
    </row>
    <row r="44" spans="1:11" s="2" customFormat="1" ht="15" customHeight="1">
      <c r="A44" s="12">
        <v>4</v>
      </c>
      <c r="B44" s="28" t="str">
        <f>LIDER!F54</f>
        <v>Sherlyn Villegas Maza</v>
      </c>
      <c r="C44" s="33" t="str">
        <f>IF('S-ASIG-03'!D44="","",'S-ASIG-03'!D44)</f>
        <v/>
      </c>
      <c r="D44" s="30">
        <f>IF(B44=0,"",IF(C44="",$E$41*LIDER!$H$19+F44*LIDER!$H$20+G44*LIDER!$H$21+H44*LIDER!$H$22+I44*LIDER!$H$23+J44*LIDER!$H$24+K44*LIDER!$H$25,"N"))</f>
        <v>4.0999999999999996</v>
      </c>
      <c r="E44" s="142"/>
      <c r="F44" s="18">
        <v>4</v>
      </c>
      <c r="G44" s="18">
        <v>4</v>
      </c>
      <c r="H44" s="18">
        <v>5</v>
      </c>
      <c r="I44" s="18">
        <v>5</v>
      </c>
      <c r="J44" s="18">
        <v>4</v>
      </c>
      <c r="K44" s="18"/>
    </row>
    <row r="45" spans="1:11" s="2" customFormat="1" ht="15" customHeight="1">
      <c r="A45" s="12">
        <v>5</v>
      </c>
      <c r="B45" s="28" t="str">
        <f>LIDER!F55</f>
        <v>Isaac Zapata Zapata</v>
      </c>
      <c r="C45" s="33" t="str">
        <f>IF('S-ASIG-03'!D45="","",'S-ASIG-03'!D45)</f>
        <v/>
      </c>
      <c r="D45" s="30">
        <f>IF(B45=0,"",IF(C45="",$E$41*LIDER!$H$19+F45*LIDER!$H$20+G45*LIDER!$H$21+H45*LIDER!$H$22+I45*LIDER!$H$23+J45*LIDER!$H$24+K45*LIDER!$H$25,"N"))</f>
        <v>4.0999999999999996</v>
      </c>
      <c r="E45" s="142"/>
      <c r="F45" s="18">
        <v>4</v>
      </c>
      <c r="G45" s="18">
        <v>4</v>
      </c>
      <c r="H45" s="18">
        <v>5</v>
      </c>
      <c r="I45" s="18">
        <v>5</v>
      </c>
      <c r="J45" s="18">
        <v>4</v>
      </c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IF('S-ASIG-03'!D46="","",'S-ASIG-03'!D46)</f>
        <v/>
      </c>
      <c r="D46" s="30" t="str">
        <f>IF(B46=0,"",IF(C46="",$E$41*LIDER!$H$19+F46*LIDER!$H$20+G46*LIDER!$H$21+H46*LIDER!$H$22+I46*LIDER!$H$23+J46*LIDER!$H$24+K46*LIDER!$H$25,"N"))</f>
        <v/>
      </c>
      <c r="E46" s="142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82</v>
      </c>
      <c r="C47" s="32" t="str">
        <f>IF('S-ASIG-03'!D47="","",'S-ASIG-03'!D47)</f>
        <v>LIST</v>
      </c>
      <c r="D47" s="35" t="s">
        <v>96</v>
      </c>
      <c r="E47" s="146" t="str">
        <f>LIDER!$E$35</f>
        <v>GRUPO#7</v>
      </c>
      <c r="F47" s="146"/>
      <c r="G47" s="146"/>
      <c r="H47" s="146"/>
      <c r="I47" s="146"/>
      <c r="J47" s="146"/>
      <c r="K47" s="146"/>
    </row>
    <row r="48" spans="1:11" s="2" customFormat="1" ht="12.75">
      <c r="A48" s="9">
        <v>1</v>
      </c>
      <c r="B48" s="28" t="str">
        <f>LIDER!G51</f>
        <v>Valeria Balesteros Almentero</v>
      </c>
      <c r="C48" s="33" t="str">
        <f>IF('S-ASIG-03'!D48="","",'S-ASIG-03'!D48)</f>
        <v/>
      </c>
      <c r="D48" s="30">
        <f>IF(B48=0,"",IF(C48="",$E$48*LIDER!$H$19+F48*LIDER!$H$20+G48*LIDER!$H$21+H48*LIDER!$H$22+I48*LIDER!$H$23+J48*LIDER!$H$24+K48*LIDER!$H$25,"N"))</f>
        <v>3.44</v>
      </c>
      <c r="E48" s="142">
        <v>3</v>
      </c>
      <c r="F48" s="24">
        <v>3.8</v>
      </c>
      <c r="G48" s="24">
        <v>3.8</v>
      </c>
      <c r="H48" s="24">
        <v>5</v>
      </c>
      <c r="I48" s="24">
        <v>4</v>
      </c>
      <c r="J48" s="24">
        <v>3.5</v>
      </c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IF('S-ASIG-03'!D49="","",'S-ASIG-03'!D49)</f>
        <v/>
      </c>
      <c r="D49" s="30" t="str">
        <f>IF(B49=0,"",IF(C49="",$E$48*LIDER!$H$19+F49*LIDER!$H$20+G49*LIDER!$H$21+H49*LIDER!$H$22+I49*LIDER!$H$23+J49*LIDER!$H$24+K49*LIDER!$H$25,"N"))</f>
        <v/>
      </c>
      <c r="E49" s="142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IF('S-ASIG-03'!D50="","",'S-ASIG-03'!D50)</f>
        <v/>
      </c>
      <c r="D50" s="30" t="str">
        <f>IF(B50=0,"",IF(C50="",$E$48*LIDER!$H$19+F50*LIDER!$H$20+G50*LIDER!$H$21+H50*LIDER!$H$22+I50*LIDER!$H$23+J50*LIDER!$H$24+K50*LIDER!$H$25,"N"))</f>
        <v/>
      </c>
      <c r="E50" s="142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IF('S-ASIG-03'!D51="","",'S-ASIG-03'!D51)</f>
        <v/>
      </c>
      <c r="D51" s="30" t="str">
        <f>IF(B51=0,"",IF(C51="",$E$48*LIDER!$H$19+F51*LIDER!$H$20+G51*LIDER!$H$21+H51*LIDER!$H$22+I51*LIDER!$H$23+J51*LIDER!$H$24+K51*LIDER!$H$25,"N"))</f>
        <v/>
      </c>
      <c r="E51" s="142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IF('S-ASIG-03'!D52="","",'S-ASIG-03'!D52)</f>
        <v/>
      </c>
      <c r="D52" s="30" t="str">
        <f>IF(B52=0,"",IF(C52="",$E$48*LIDER!$H$19+F52*LIDER!$H$20+G52*LIDER!$H$21+H52*LIDER!$H$22+I52*LIDER!$H$23+J52*LIDER!$H$24+K52*LIDER!$H$25,"N"))</f>
        <v/>
      </c>
      <c r="E52" s="142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IF('S-ASIG-03'!D53="","",'S-ASIG-03'!D53)</f>
        <v/>
      </c>
      <c r="D53" s="30" t="str">
        <f>IF(B53=0,"",IF(C53="",$E$48*LIDER!$H$19+F53*LIDER!$H$20+G53*LIDER!$H$21+H53*LIDER!$H$22+I53*LIDER!$H$23+J53*LIDER!$H$24+K53*LIDER!$H$25,"N"))</f>
        <v/>
      </c>
      <c r="E53" s="142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84</v>
      </c>
      <c r="C54" s="32" t="str">
        <f>IF('S-ASIG-03'!D54="","",'S-ASIG-03'!D54)</f>
        <v>LIST</v>
      </c>
      <c r="D54" s="35" t="s">
        <v>96</v>
      </c>
      <c r="E54" s="146" t="str">
        <f>LIDER!$E$36</f>
        <v>GRUPO#8</v>
      </c>
      <c r="F54" s="146"/>
      <c r="G54" s="146"/>
      <c r="H54" s="146"/>
      <c r="I54" s="146"/>
      <c r="J54" s="146"/>
      <c r="K54" s="146"/>
    </row>
    <row r="55" spans="1:11" s="2" customFormat="1" ht="12.75">
      <c r="A55" s="9">
        <v>1</v>
      </c>
      <c r="B55" s="28">
        <f>LIDER!H51</f>
        <v>0</v>
      </c>
      <c r="C55" s="33" t="str">
        <f>IF('S-ASIG-03'!D55="","",'S-ASIG-03'!D55)</f>
        <v/>
      </c>
      <c r="D55" s="30" t="str">
        <f>IF(B55=0,"",IF(C55="",$E$55*LIDER!$H$19+F55*LIDER!$H$20+G55*LIDER!$H$21+H55*LIDER!$H$22+I55*LIDER!$H$23+J55*LIDER!$H$24+K55*LIDER!$H$25,"N"))</f>
        <v/>
      </c>
      <c r="E55" s="142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IF('S-ASIG-03'!D56="","",'S-ASIG-03'!D56)</f>
        <v/>
      </c>
      <c r="D56" s="30" t="str">
        <f>IF(B56=0,"",IF(C56="",$E$55*LIDER!$H$19+F56*LIDER!$H$20+G56*LIDER!$H$21+H56*LIDER!$H$22+I56*LIDER!$H$23+J56*LIDER!$H$24+K56*LIDER!$H$25,"N"))</f>
        <v/>
      </c>
      <c r="E56" s="142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IF('S-ASIG-03'!D57="","",'S-ASIG-03'!D57)</f>
        <v/>
      </c>
      <c r="D57" s="30" t="str">
        <f>IF(B57=0,"",IF(C57="",$E$55*LIDER!$H$19+F57*LIDER!$H$20+G57*LIDER!$H$21+H57*LIDER!$H$22+I57*LIDER!$H$23+J57*LIDER!$H$24+K57*LIDER!$H$25,"N"))</f>
        <v/>
      </c>
      <c r="E57" s="142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IF('S-ASIG-03'!D58="","",'S-ASIG-03'!D58)</f>
        <v/>
      </c>
      <c r="D58" s="30" t="str">
        <f>IF(B58=0,"",IF(C58="",$E$55*LIDER!$H$19+F58*LIDER!$H$20+G58*LIDER!$H$21+H58*LIDER!$H$22+I58*LIDER!$H$23+J58*LIDER!$H$24+K58*LIDER!$H$25,"N"))</f>
        <v/>
      </c>
      <c r="E58" s="142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IF('S-ASIG-03'!D59="","",'S-ASIG-03'!D59)</f>
        <v/>
      </c>
      <c r="D59" s="30" t="str">
        <f>IF(B59=0,"",IF(C59="",$E$55*LIDER!$H$19+F59*LIDER!$H$20+G59*LIDER!$H$21+H59*LIDER!$H$22+I59*LIDER!$H$23+J59*LIDER!$H$24+K59*LIDER!$H$25,"N"))</f>
        <v/>
      </c>
      <c r="E59" s="142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IF('S-ASIG-03'!D60="","",'S-ASIG-03'!D60)</f>
        <v/>
      </c>
      <c r="D60" s="30" t="str">
        <f>IF(B60=0,"",IF(C60="",$E$55*LIDER!$H$19+F60*LIDER!$H$20+G60*LIDER!$H$21+H60*LIDER!$H$22+I60*LIDER!$H$23+J60*LIDER!$H$24+K60*LIDER!$H$25,"N"))</f>
        <v/>
      </c>
      <c r="E60" s="14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86</v>
      </c>
      <c r="C61" s="32" t="str">
        <f>IF('S-ASIG-03'!D61="","",'S-ASIG-03'!D61)</f>
        <v>LIST</v>
      </c>
      <c r="D61" s="35" t="s">
        <v>96</v>
      </c>
      <c r="E61" s="146" t="str">
        <f>LIDER!$E$37</f>
        <v>GRUPO#9</v>
      </c>
      <c r="F61" s="146"/>
      <c r="G61" s="146"/>
      <c r="H61" s="146"/>
      <c r="I61" s="146"/>
      <c r="J61" s="146"/>
      <c r="K61" s="146"/>
    </row>
    <row r="62" spans="1:11" s="2" customFormat="1" ht="12.75">
      <c r="A62" s="9">
        <v>1</v>
      </c>
      <c r="B62" s="28">
        <f>LIDER!E59</f>
        <v>0</v>
      </c>
      <c r="C62" s="33" t="str">
        <f>IF('S-ASIG-03'!D62="","",'S-ASIG-03'!D62)</f>
        <v/>
      </c>
      <c r="D62" s="30" t="str">
        <f>IF(B62=0,"",IF(C62="",$E$62*LIDER!$H$19+F62*LIDER!$H$20+G62*LIDER!$H$21+H62*LIDER!$H$22+I62*LIDER!$H$23+J62*LIDER!$H$24+K62*LIDER!$H$25,"N"))</f>
        <v/>
      </c>
      <c r="E62" s="14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IF('S-ASIG-03'!D63="","",'S-ASIG-03'!D63)</f>
        <v/>
      </c>
      <c r="D63" s="30" t="str">
        <f>IF(B63=0,"",IF(C63="",$E$62*LIDER!$H$19+F63*LIDER!$H$20+G63*LIDER!$H$21+H63*LIDER!$H$22+I63*LIDER!$H$23+J63*LIDER!$H$24+K63*LIDER!$H$25,"N"))</f>
        <v/>
      </c>
      <c r="E63" s="14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IF('S-ASIG-03'!D64="","",'S-ASIG-03'!D64)</f>
        <v/>
      </c>
      <c r="D64" s="30" t="str">
        <f>IF(B64=0,"",IF(C64="",$E$62*LIDER!$H$19+F64*LIDER!$H$20+G64*LIDER!$H$21+H64*LIDER!$H$22+I64*LIDER!$H$23+J64*LIDER!$H$24+K64*LIDER!$H$25,"N"))</f>
        <v/>
      </c>
      <c r="E64" s="14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IF('S-ASIG-03'!D65="","",'S-ASIG-03'!D65)</f>
        <v/>
      </c>
      <c r="D65" s="30" t="str">
        <f>IF(B65=0,"",IF(C65="",$E$62*LIDER!$H$19+F65*LIDER!$H$20+G65*LIDER!$H$21+H65*LIDER!$H$22+I65*LIDER!$H$23+J65*LIDER!$H$24+K65*LIDER!$H$25,"N"))</f>
        <v/>
      </c>
      <c r="E65" s="14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IF('S-ASIG-03'!D66="","",'S-ASIG-03'!D66)</f>
        <v/>
      </c>
      <c r="D66" s="30" t="str">
        <f>IF(B66=0,"",IF(C66="",$E$62*LIDER!$H$19+F66*LIDER!$H$20+G66*LIDER!$H$21+H66*LIDER!$H$22+I66*LIDER!$H$23+J66*LIDER!$H$24+K66*LIDER!$H$25,"N"))</f>
        <v/>
      </c>
      <c r="E66" s="14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IF('S-ASIG-03'!D67="","",'S-ASIG-03'!D67)</f>
        <v/>
      </c>
      <c r="D67" s="30" t="str">
        <f>IF(B67=0,"",IF(C67="",$E$62*LIDER!$H$19+F67*LIDER!$H$20+G67*LIDER!$H$21+H67*LIDER!$H$22+I67*LIDER!$H$23+J67*LIDER!$H$24+K67*LIDER!$H$25,"N"))</f>
        <v/>
      </c>
      <c r="E67" s="14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88</v>
      </c>
      <c r="C68" s="32" t="str">
        <f>IF('S-ASIG-03'!D68="","",'S-ASIG-03'!D68)</f>
        <v>LIST</v>
      </c>
      <c r="D68" s="35" t="s">
        <v>96</v>
      </c>
      <c r="E68" s="146" t="str">
        <f>LIDER!$E$38</f>
        <v>GRUPO#10</v>
      </c>
      <c r="F68" s="146"/>
      <c r="G68" s="146"/>
      <c r="H68" s="146"/>
      <c r="I68" s="146"/>
      <c r="J68" s="146"/>
      <c r="K68" s="146"/>
    </row>
    <row r="69" spans="1:11" s="2" customFormat="1" ht="12.75">
      <c r="A69" s="9">
        <v>1</v>
      </c>
      <c r="B69" s="28">
        <f>LIDER!F59</f>
        <v>0</v>
      </c>
      <c r="C69" s="33" t="str">
        <f>IF('S-ASIG-03'!D69="","",'S-ASIG-03'!D69)</f>
        <v/>
      </c>
      <c r="D69" s="30" t="str">
        <f>IF(B69=0,"",IF(C69="",$E$69*LIDER!$H$19+F69*LIDER!$H$20+G69*LIDER!$H$21+H69*LIDER!$H$22+I69*LIDER!$H$23+J69*LIDER!$H$24+K69*LIDER!$H$25,"N"))</f>
        <v/>
      </c>
      <c r="E69" s="14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IF('S-ASIG-03'!D70="","",'S-ASIG-03'!D70)</f>
        <v/>
      </c>
      <c r="D70" s="30" t="str">
        <f>IF(B70=0,"",IF(C70="",$E$69*LIDER!$H$19+F70*LIDER!$H$20+G70*LIDER!$H$21+H70*LIDER!$H$22+I70*LIDER!$H$23+J70*LIDER!$H$24+K70*LIDER!$H$25,"N"))</f>
        <v/>
      </c>
      <c r="E70" s="14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IF('S-ASIG-03'!D71="","",'S-ASIG-03'!D71)</f>
        <v/>
      </c>
      <c r="D71" s="30" t="str">
        <f>IF(B71=0,"",IF(C71="",$E$69*LIDER!$H$19+F71*LIDER!$H$20+G71*LIDER!$H$21+H71*LIDER!$H$22+I71*LIDER!$H$23+J71*LIDER!$H$24+K71*LIDER!$H$25,"N"))</f>
        <v/>
      </c>
      <c r="E71" s="14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IF('S-ASIG-03'!D72="","",'S-ASIG-03'!D72)</f>
        <v/>
      </c>
      <c r="D72" s="30" t="str">
        <f>IF(B72=0,"",IF(C72="",$E$69*LIDER!$H$19+F72*LIDER!$H$20+G72*LIDER!$H$21+H72*LIDER!$H$22+I72*LIDER!$H$23+J72*LIDER!$H$24+K72*LIDER!$H$25,"N"))</f>
        <v/>
      </c>
      <c r="E72" s="14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IF('S-ASIG-03'!D73="","",'S-ASIG-03'!D73)</f>
        <v/>
      </c>
      <c r="D73" s="30" t="str">
        <f>IF(B73=0,"",IF(C73="",$E$69*LIDER!$H$19+F73*LIDER!$H$20+G73*LIDER!$H$21+H73*LIDER!$H$22+I73*LIDER!$H$23+J73*LIDER!$H$24+K73*LIDER!$H$25,"N"))</f>
        <v/>
      </c>
      <c r="E73" s="14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IF('S-ASIG-03'!D74="","",'S-ASIG-03'!D74)</f>
        <v/>
      </c>
      <c r="D74" s="30" t="str">
        <f>IF(B74=0,"",IF(C74="",$E$69*LIDER!$H$19+F74*LIDER!$H$20+G74*LIDER!$H$21+H74*LIDER!$H$22+I74*LIDER!$H$23+J74*LIDER!$H$24+K74*LIDER!$H$25,"N"))</f>
        <v/>
      </c>
      <c r="E74" s="14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90</v>
      </c>
      <c r="C75" s="32" t="str">
        <f>IF('S-ASIG-03'!D75="","",'S-ASIG-03'!D75)</f>
        <v>LIST</v>
      </c>
      <c r="D75" s="35" t="s">
        <v>96</v>
      </c>
      <c r="E75" s="146" t="str">
        <f>LIDER!$E$39</f>
        <v>GRUPO#11</v>
      </c>
      <c r="F75" s="146"/>
      <c r="G75" s="146"/>
      <c r="H75" s="146"/>
      <c r="I75" s="146"/>
      <c r="J75" s="146"/>
      <c r="K75" s="146"/>
    </row>
    <row r="76" spans="1:11" s="2" customFormat="1" ht="12.75">
      <c r="A76" s="9">
        <v>1</v>
      </c>
      <c r="B76" s="28">
        <f>LIDER!G59</f>
        <v>0</v>
      </c>
      <c r="C76" s="33" t="str">
        <f>IF('S-ASIG-03'!D76="","",'S-ASIG-03'!D76)</f>
        <v/>
      </c>
      <c r="D76" s="30" t="str">
        <f>IF(B76=0,"",IF(C76="",E76*LIDER!$H$19+F76*LIDER!$H$20+G76*LIDER!$H$21+H76*LIDER!$H$22+I76*LIDER!$H$23+J76*LIDER!$H$24+K76*LIDER!$H$25,"N"))</f>
        <v/>
      </c>
      <c r="E76" s="14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IF('S-ASIG-03'!D77="","",'S-ASIG-03'!D77)</f>
        <v/>
      </c>
      <c r="D77" s="30" t="str">
        <f>IF(B77=0,"",IF(C77="",E77*LIDER!$H$19+F77*LIDER!$H$20+G77*LIDER!$H$21+H77*LIDER!$H$22+I77*LIDER!$H$23+J77*LIDER!$H$24+K77*LIDER!$H$25,"N"))</f>
        <v/>
      </c>
      <c r="E77" s="14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IF('S-ASIG-03'!D78="","",'S-ASIG-03'!D78)</f>
        <v/>
      </c>
      <c r="D78" s="30" t="str">
        <f>IF(B78=0,"",IF(C78="",E78*LIDER!$H$19+F78*LIDER!$H$20+G78*LIDER!$H$21+H78*LIDER!$H$22+I78*LIDER!$H$23+J78*LIDER!$H$24+K78*LIDER!$H$25,"N"))</f>
        <v/>
      </c>
      <c r="E78" s="14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IF('S-ASIG-03'!D79="","",'S-ASIG-03'!D79)</f>
        <v/>
      </c>
      <c r="D79" s="30" t="str">
        <f>IF(B79=0,"",IF(C79="",E79*LIDER!$H$19+F79*LIDER!$H$20+G79*LIDER!$H$21+H79*LIDER!$H$22+I79*LIDER!$H$23+J79*LIDER!$H$24+K79*LIDER!$H$25,"N"))</f>
        <v/>
      </c>
      <c r="E79" s="14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IF('S-ASIG-03'!D80="","",'S-ASIG-03'!D80)</f>
        <v/>
      </c>
      <c r="D80" s="30" t="str">
        <f>IF(B80=0,"",IF(C80="",E80*LIDER!$H$19+F80*LIDER!$H$20+G80*LIDER!$H$21+H80*LIDER!$H$22+I80*LIDER!$H$23+J80*LIDER!$H$24+K80*LIDER!$H$25,"N"))</f>
        <v/>
      </c>
      <c r="E80" s="14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IF('S-ASIG-03'!D81="","",'S-ASIG-03'!D81)</f>
        <v/>
      </c>
      <c r="D81" s="30" t="str">
        <f>IF(B81=0,"",IF(C81="",E81*LIDER!$H$19+F81*LIDER!$H$20+G81*LIDER!$H$21+H81*LIDER!$H$22+I81*LIDER!$H$23+J81*LIDER!$H$24+K81*LIDER!$H$25,"N"))</f>
        <v/>
      </c>
      <c r="E81" s="14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91</v>
      </c>
      <c r="C82" s="32" t="str">
        <f>IF('S-ASIG-03'!D82="","",'S-ASIG-03'!D82)</f>
        <v>LIST</v>
      </c>
      <c r="D82" s="35" t="s">
        <v>96</v>
      </c>
      <c r="E82" s="146" t="str">
        <f>LIDER!$E$40</f>
        <v>GRUPO#12</v>
      </c>
      <c r="F82" s="146"/>
      <c r="G82" s="146"/>
      <c r="H82" s="146"/>
      <c r="I82" s="146"/>
      <c r="J82" s="146"/>
      <c r="K82" s="146"/>
    </row>
    <row r="83" spans="1:11" s="2" customFormat="1" ht="12.75">
      <c r="A83" s="9">
        <v>1</v>
      </c>
      <c r="B83" s="28">
        <f>LIDER!H59</f>
        <v>0</v>
      </c>
      <c r="C83" s="33" t="str">
        <f>IF('S-ASIG-03'!D83="","",'S-ASIG-03'!D83)</f>
        <v/>
      </c>
      <c r="D83" s="30" t="str">
        <f>IF(B83=0,"",IF(C83="",$E$83*LIDER!$H$19+F83*LIDER!$H$20+G83*LIDER!$H$21+H83*LIDER!$H$22+I83*LIDER!$H$23+J83*LIDER!$H$24+K83*LIDER!$H$25,"N"))</f>
        <v/>
      </c>
      <c r="E83" s="14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IF('S-ASIG-03'!D84="","",'S-ASIG-03'!D84)</f>
        <v/>
      </c>
      <c r="D84" s="30" t="str">
        <f>IF(B84=0,"",IF(C84="",$E$83*LIDER!$H$19+F84*LIDER!$H$20+G84*LIDER!$H$21+H84*LIDER!$H$22+I84*LIDER!$H$23+J84*LIDER!$H$24+K84*LIDER!$H$25,"N"))</f>
        <v/>
      </c>
      <c r="E84" s="14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IF('S-ASIG-03'!D85="","",'S-ASIG-03'!D85)</f>
        <v/>
      </c>
      <c r="D85" s="30" t="str">
        <f>IF(B85=0,"",IF(C85="",$E$83*LIDER!$H$19+F85*LIDER!$H$20+G85*LIDER!$H$21+H85*LIDER!$H$22+I85*LIDER!$H$23+J85*LIDER!$H$24+K85*LIDER!$H$25,"N"))</f>
        <v/>
      </c>
      <c r="E85" s="14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IF('S-ASIG-03'!D86="","",'S-ASIG-03'!D86)</f>
        <v/>
      </c>
      <c r="D86" s="30" t="str">
        <f>IF(B86=0,"",IF(C86="",$E$83*LIDER!$H$19+F86*LIDER!$H$20+G86*LIDER!$H$21+H86*LIDER!$H$22+I86*LIDER!$H$23+J86*LIDER!$H$24+K86*LIDER!$H$25,"N"))</f>
        <v/>
      </c>
      <c r="E86" s="14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IF('S-ASIG-03'!D87="","",'S-ASIG-03'!D87)</f>
        <v/>
      </c>
      <c r="D87" s="30" t="str">
        <f>IF(B87=0,"",IF(C87="",$E$83*LIDER!$H$19+F87*LIDER!$H$20+G87*LIDER!$H$21+H87*LIDER!$H$22+I87*LIDER!$H$23+J87*LIDER!$H$24+K87*LIDER!$H$25,"N"))</f>
        <v/>
      </c>
      <c r="E87" s="14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IF('S-ASIG-03'!D88="","",'S-ASIG-03'!D88)</f>
        <v/>
      </c>
      <c r="D88" s="31" t="str">
        <f>IF(B88=0,"",IF(C88="",$E$83*LIDER!$H$19+F88*LIDER!$H$20+G88*LIDER!$H$21+H88*LIDER!$H$22+I88*LIDER!$H$23+J88*LIDER!$H$24+K88*LIDER!$H$25,"N"))</f>
        <v/>
      </c>
      <c r="E88" s="153"/>
      <c r="F88" s="19"/>
      <c r="G88" s="19"/>
      <c r="H88" s="19"/>
      <c r="I88" s="19"/>
      <c r="J88" s="19"/>
      <c r="K88" s="19"/>
    </row>
  </sheetData>
  <sheetProtection algorithmName="SHA-512" hashValue="vdN7oYutgV5iUa7dyGGF6iLN/k7KyvGeCZ9bifBnAIxC/iS8VzrH3WR8jOzjnims5jiqoJ+JI+5Y3XLnpH79SA==" saltValue="SMscyOOgVIhQiNIFS+Y4q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40" priority="14">
      <formula>ISEVEN($A6)</formula>
    </cfRule>
  </conditionalFormatting>
  <conditionalFormatting sqref="A13:B18 D13:D18">
    <cfRule type="expression" dxfId="139" priority="13">
      <formula>ISEVEN($A13)</formula>
    </cfRule>
  </conditionalFormatting>
  <conditionalFormatting sqref="A20:B25 D20:D25">
    <cfRule type="expression" dxfId="138" priority="12">
      <formula>ISEVEN($A20)</formula>
    </cfRule>
  </conditionalFormatting>
  <conditionalFormatting sqref="A27:B32 D27:D32">
    <cfRule type="expression" dxfId="137" priority="11">
      <formula>ISEVEN($A27)</formula>
    </cfRule>
  </conditionalFormatting>
  <conditionalFormatting sqref="A34:B39 D34:D39">
    <cfRule type="expression" dxfId="136" priority="10">
      <formula>ISEVEN($A34)</formula>
    </cfRule>
  </conditionalFormatting>
  <conditionalFormatting sqref="A41:B46 D41:D46">
    <cfRule type="expression" dxfId="135" priority="9">
      <formula>ISEVEN($A41)</formula>
    </cfRule>
  </conditionalFormatting>
  <conditionalFormatting sqref="A48:B53 D48:D53">
    <cfRule type="expression" dxfId="134" priority="8">
      <formula>ISEVEN($A48)</formula>
    </cfRule>
  </conditionalFormatting>
  <conditionalFormatting sqref="A55:B60 D55:D60">
    <cfRule type="expression" dxfId="133" priority="7">
      <formula>ISEVEN($A55)</formula>
    </cfRule>
  </conditionalFormatting>
  <conditionalFormatting sqref="A62:B67 D62:D67">
    <cfRule type="expression" dxfId="132" priority="6">
      <formula>ISEVEN($A62)</formula>
    </cfRule>
  </conditionalFormatting>
  <conditionalFormatting sqref="A69:B74 D69:D74">
    <cfRule type="expression" dxfId="131" priority="5">
      <formula>ISEVEN($A69)</formula>
    </cfRule>
  </conditionalFormatting>
  <conditionalFormatting sqref="A76:B81 D76:D81">
    <cfRule type="expression" dxfId="130" priority="4">
      <formula>ISEVEN($A76)</formula>
    </cfRule>
  </conditionalFormatting>
  <conditionalFormatting sqref="A83:B88 D83:D88">
    <cfRule type="expression" dxfId="129" priority="3">
      <formula>ISEVEN($A83)</formula>
    </cfRule>
  </conditionalFormatting>
  <conditionalFormatting sqref="B6:B88">
    <cfRule type="cellIs" dxfId="128" priority="2" operator="equal">
      <formula>0</formula>
    </cfRule>
  </conditionalFormatting>
  <conditionalFormatting sqref="C5 B6:D88">
    <cfRule type="expression" dxfId="127" priority="1">
      <formula>$C5="N"</formula>
    </cfRule>
  </conditionalFormatting>
  <conditionalFormatting sqref="E6:K6 F7:K11">
    <cfRule type="expression" dxfId="126" priority="29">
      <formula>ISEVEN($A6)</formula>
    </cfRule>
  </conditionalFormatting>
  <conditionalFormatting sqref="E13:K13 F14:K18">
    <cfRule type="expression" dxfId="125" priority="28">
      <formula>ISEVEN($A13)</formula>
    </cfRule>
  </conditionalFormatting>
  <conditionalFormatting sqref="E20:K20 F21:K25">
    <cfRule type="expression" dxfId="124" priority="27">
      <formula>ISEVEN($A20)</formula>
    </cfRule>
  </conditionalFormatting>
  <conditionalFormatting sqref="E27:K27 F28:K32">
    <cfRule type="expression" dxfId="123" priority="26">
      <formula>ISEVEN($A27)</formula>
    </cfRule>
  </conditionalFormatting>
  <conditionalFormatting sqref="E34:K34 F35:K39">
    <cfRule type="expression" dxfId="122" priority="25">
      <formula>ISEVEN($A34)</formula>
    </cfRule>
  </conditionalFormatting>
  <conditionalFormatting sqref="E41:K41 F42:K46">
    <cfRule type="expression" dxfId="121" priority="24">
      <formula>ISEVEN($A41)</formula>
    </cfRule>
  </conditionalFormatting>
  <conditionalFormatting sqref="E48:K48 F49:K53">
    <cfRule type="expression" dxfId="120" priority="23">
      <formula>ISEVEN($A48)</formula>
    </cfRule>
  </conditionalFormatting>
  <conditionalFormatting sqref="E55:K55 F56:K60">
    <cfRule type="expression" dxfId="119" priority="22">
      <formula>ISEVEN($A55)</formula>
    </cfRule>
  </conditionalFormatting>
  <conditionalFormatting sqref="E62:K62 F63:K67">
    <cfRule type="expression" dxfId="118" priority="21">
      <formula>ISEVEN($A62)</formula>
    </cfRule>
  </conditionalFormatting>
  <conditionalFormatting sqref="E69:K69 F70:K74">
    <cfRule type="expression" dxfId="117" priority="20">
      <formula>ISEVEN($A69)</formula>
    </cfRule>
  </conditionalFormatting>
  <conditionalFormatting sqref="E76:K76 F77:K81">
    <cfRule type="expression" dxfId="116" priority="19">
      <formula>ISEVEN($A76)</formula>
    </cfRule>
  </conditionalFormatting>
  <conditionalFormatting sqref="E83:K83 F84:K88">
    <cfRule type="expression" dxfId="115" priority="18">
      <formula>ISEVEN($A83)</formula>
    </cfRule>
  </conditionalFormatting>
  <conditionalFormatting sqref="F6:K11 F13:K18 F20:K25 F27:K32 F34:K39 F41:K46 F48:K53 F55:K60 F62:K67 F69:K74 F76:K81 F83:K88">
    <cfRule type="expression" dxfId="114" priority="15">
      <formula>$D6="N"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5F5-55BE-4E1B-B659-FACED16832F0}">
  <dimension ref="A1:K88"/>
  <sheetViews>
    <sheetView zoomScale="86" zoomScaleNormal="86" workbookViewId="0">
      <pane xSplit="4" ySplit="3" topLeftCell="E4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3" t="str">
        <f>LIDER!B2</f>
        <v>TECNOLOGÍA EN GESTIÓN DE NEGOCIOS INTERN</v>
      </c>
      <c r="B1" s="144"/>
      <c r="C1" s="144"/>
      <c r="D1" s="144"/>
      <c r="E1" s="144"/>
      <c r="F1" s="144"/>
      <c r="G1" s="145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LIDER!F4</f>
        <v>LEGISLACION EMPRESARIAL</v>
      </c>
      <c r="C2" s="3"/>
      <c r="E2" s="147" t="s">
        <v>92</v>
      </c>
      <c r="F2" s="148"/>
      <c r="G2" s="148"/>
      <c r="H2" s="148"/>
      <c r="I2" s="148"/>
      <c r="J2" s="148"/>
      <c r="K2" s="149"/>
    </row>
    <row r="3" spans="1:11" s="2" customFormat="1" ht="145.5" customHeight="1" thickBot="1">
      <c r="B3" s="4" t="s">
        <v>93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0" t="str">
        <f>CONCATENATE(LIDER!F4," - ",LIDER!F6," - ",LIDER!F5)</f>
        <v>LEGISLACION EMPRESARIAL - 2370 - ELENA MELENDEZ TAPIA</v>
      </c>
      <c r="F4" s="151"/>
      <c r="G4" s="151"/>
      <c r="H4" s="151"/>
      <c r="I4" s="151"/>
      <c r="J4" s="151"/>
      <c r="K4" s="152"/>
    </row>
    <row r="5" spans="1:11" s="2" customFormat="1" ht="15.75" customHeight="1" thickBot="1">
      <c r="A5" s="8"/>
      <c r="B5" s="27" t="s">
        <v>70</v>
      </c>
      <c r="C5" s="34" t="str">
        <f>IF('S-ASIG-04'!D5="","",'S-ASIG-04'!D5)</f>
        <v>LIST</v>
      </c>
      <c r="D5" s="35" t="s">
        <v>96</v>
      </c>
      <c r="E5" s="146" t="str">
        <f>LIDER!$E$29</f>
        <v>GRUPO#1</v>
      </c>
      <c r="F5" s="146"/>
      <c r="G5" s="146"/>
      <c r="H5" s="146"/>
      <c r="I5" s="146"/>
      <c r="J5" s="146"/>
      <c r="K5" s="146"/>
    </row>
    <row r="6" spans="1:11" s="2" customFormat="1" ht="12.75">
      <c r="A6" s="9">
        <v>1</v>
      </c>
      <c r="B6" s="28">
        <f>LIDER!E43</f>
        <v>0</v>
      </c>
      <c r="C6" s="33" t="str">
        <f>IF('S-ASIG-04'!D6="","",'S-ASIG-04'!D6)</f>
        <v/>
      </c>
      <c r="D6" s="30" t="str">
        <f>IF(B6=0,"",IF(C6="",$E$6*LIDER!$H$19+F6*LIDER!$H$20+G6*LIDER!$H$21+H6*LIDER!$H$22+I6*LIDER!$H$23+J6*LIDER!$H$24+K6*LIDER!$H$25,"N"))</f>
        <v/>
      </c>
      <c r="E6" s="142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Valentina Castro Ibarra</v>
      </c>
      <c r="C7" s="33" t="str">
        <f>IF('S-ASIG-04'!D7="","",'S-ASIG-04'!D7)</f>
        <v/>
      </c>
      <c r="D7" s="30">
        <f>IF(B7=0,"",IF(C7="",$E$6*LIDER!$H$19+F7*LIDER!$H$20+G7*LIDER!$H$21+H7*LIDER!$H$22+I7*LIDER!$H$23+J7*LIDER!$H$24+K7*LIDER!$H$25,"N"))</f>
        <v>0</v>
      </c>
      <c r="E7" s="142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Carmen Manuek Cruzate</v>
      </c>
      <c r="C8" s="33" t="str">
        <f>IF('S-ASIG-04'!D8="","",'S-ASIG-04'!D8)</f>
        <v/>
      </c>
      <c r="D8" s="30">
        <f>IF(B8=0,"",IF(C8="",$E$6*LIDER!$H$19+F8*LIDER!$H$20+G8*LIDER!$H$21+H8*LIDER!$H$22+I8*LIDER!$H$23+J8*LIDER!$H$24+K8*LIDER!$H$25,"N"))</f>
        <v>0</v>
      </c>
      <c r="E8" s="142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Yulieth Martinez Carrasquilla</v>
      </c>
      <c r="C9" s="33" t="str">
        <f>IF('S-ASIG-04'!D9="","",'S-ASIG-04'!D9)</f>
        <v/>
      </c>
      <c r="D9" s="30">
        <f>IF(B9=0,"",IF(C9="",$E$6*LIDER!$H$19+F9*LIDER!$H$20+G9*LIDER!$H$21+H9*LIDER!$H$22+I9*LIDER!$H$23+J9*LIDER!$H$24+K9*LIDER!$H$25,"N"))</f>
        <v>0</v>
      </c>
      <c r="E9" s="142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Angello Ortega Mesino</v>
      </c>
      <c r="C10" s="33" t="str">
        <f>IF('S-ASIG-04'!D10="","",'S-ASIG-04'!D10)</f>
        <v/>
      </c>
      <c r="D10" s="30">
        <f>IF(B10=0,"",IF(C10="",$E$6*LIDER!$H$19+F10*LIDER!$H$20+G10*LIDER!$H$21+H10*LIDER!$H$22+I10*LIDER!$H$23+J10*LIDER!$H$24+K10*LIDER!$H$25,"N"))</f>
        <v>0</v>
      </c>
      <c r="E10" s="142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IF('S-ASIG-04'!D11="","",'S-ASIG-04'!D11)</f>
        <v/>
      </c>
      <c r="D11" s="30" t="str">
        <f>IF(B11=0,"",IF(C11="",$E$6*LIDER!$H$19+F11*LIDER!$H$20+G11*LIDER!$H$21+H11*LIDER!$H$22+I11*LIDER!$H$23+J11*LIDER!$H$24+K11*LIDER!$H$25,"N"))</f>
        <v/>
      </c>
      <c r="E11" s="142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72</v>
      </c>
      <c r="C12" s="32" t="str">
        <f>IF('S-ASIG-04'!D12="","",'S-ASIG-04'!D12)</f>
        <v>LIST</v>
      </c>
      <c r="D12" s="35" t="s">
        <v>96</v>
      </c>
      <c r="E12" s="146" t="str">
        <f>LIDER!$E$30</f>
        <v>GRUPO#2</v>
      </c>
      <c r="F12" s="146"/>
      <c r="G12" s="146"/>
      <c r="H12" s="146"/>
      <c r="I12" s="146"/>
      <c r="J12" s="146"/>
      <c r="K12" s="146"/>
    </row>
    <row r="13" spans="1:11" s="2" customFormat="1" ht="12.75">
      <c r="A13" s="9">
        <v>1</v>
      </c>
      <c r="B13" s="28" t="str">
        <f>LIDER!F43</f>
        <v>Cesar Pajaro Ramos</v>
      </c>
      <c r="C13" s="33" t="str">
        <f>IF('S-ASIG-04'!D13="","",'S-ASIG-04'!D13)</f>
        <v/>
      </c>
      <c r="D13" s="30">
        <f>IF(B13=0,"",IF(C13="",$E$13*LIDER!$H$19+F13*LIDER!$H$20+G13*LIDER!$H$21+H13*LIDER!$H$22+I13*LIDER!$H$23+J13*LIDER!$H$24+K13*LIDER!$H$25,"N"))</f>
        <v>0</v>
      </c>
      <c r="E13" s="142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Elian Polo Soto</v>
      </c>
      <c r="C14" s="33" t="str">
        <f>IF('S-ASIG-04'!D14="","",'S-ASIG-04'!D14)</f>
        <v/>
      </c>
      <c r="D14" s="30">
        <f>IF(B14=0,"",IF(C14="",$E$13*LIDER!$H$19+F14*LIDER!$H$20+G14*LIDER!$H$21+H14*LIDER!$H$22+I14*LIDER!$H$23+J14*LIDER!$H$24+K14*LIDER!$H$25,"N"))</f>
        <v>0</v>
      </c>
      <c r="E14" s="142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Juan C Corrales de la Rosa</v>
      </c>
      <c r="C15" s="33" t="str">
        <f>IF('S-ASIG-04'!D15="","",'S-ASIG-04'!D15)</f>
        <v/>
      </c>
      <c r="D15" s="30">
        <f>IF(B15=0,"",IF(C15="",$E$13*LIDER!$H$19+F15*LIDER!$H$20+G15*LIDER!$H$21+H15*LIDER!$H$22+I15*LIDER!$H$23+J15*LIDER!$H$24+K15*LIDER!$H$25,"N"))</f>
        <v>0</v>
      </c>
      <c r="E15" s="142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Katerin Silva Peñate</v>
      </c>
      <c r="C16" s="33" t="str">
        <f>IF('S-ASIG-04'!D16="","",'S-ASIG-04'!D16)</f>
        <v/>
      </c>
      <c r="D16" s="30">
        <f>IF(B16=0,"",IF(C16="",$E$13*LIDER!$H$19+F16*LIDER!$H$20+G16*LIDER!$H$21+H16*LIDER!$H$22+I16*LIDER!$H$23+J16*LIDER!$H$24+K16*LIDER!$H$25,"N"))</f>
        <v>0</v>
      </c>
      <c r="E16" s="142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Yorcelis Mercado Guerra</v>
      </c>
      <c r="C17" s="33" t="str">
        <f>IF('S-ASIG-04'!D17="","",'S-ASIG-04'!D17)</f>
        <v/>
      </c>
      <c r="D17" s="30">
        <f>IF(B17=0,"",IF(C17="",$E$13*LIDER!$H$19+F17*LIDER!$H$20+G17*LIDER!$H$21+H17*LIDER!$H$22+I17*LIDER!$H$23+J17*LIDER!$H$24+K17*LIDER!$H$25,"N"))</f>
        <v>0</v>
      </c>
      <c r="E17" s="142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IF('S-ASIG-04'!D18="","",'S-ASIG-04'!D18)</f>
        <v/>
      </c>
      <c r="D18" s="30" t="str">
        <f>IF(B18=0,"",IF(C18="",$E$13*LIDER!$H$19+F18*LIDER!$H$20+G18*LIDER!$H$21+H18*LIDER!$H$22+I18*LIDER!$H$23+J18*LIDER!$H$24+K18*LIDER!$H$25,"N"))</f>
        <v/>
      </c>
      <c r="E18" s="142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74</v>
      </c>
      <c r="C19" s="32" t="str">
        <f>IF('S-ASIG-04'!D19="","",'S-ASIG-04'!D19)</f>
        <v>LIST</v>
      </c>
      <c r="D19" s="35" t="s">
        <v>96</v>
      </c>
      <c r="E19" s="146" t="str">
        <f>LIDER!$E$31</f>
        <v>GRUPO#3</v>
      </c>
      <c r="F19" s="146"/>
      <c r="G19" s="146"/>
      <c r="H19" s="146"/>
      <c r="I19" s="146"/>
      <c r="J19" s="146"/>
      <c r="K19" s="146"/>
    </row>
    <row r="20" spans="1:11" s="2" customFormat="1" ht="12.75">
      <c r="A20" s="9">
        <v>1</v>
      </c>
      <c r="B20" s="28" t="str">
        <f>LIDER!G43</f>
        <v>Lauren castilla Gonzalez</v>
      </c>
      <c r="C20" s="33" t="str">
        <f>IF('S-ASIG-04'!D20="","",'S-ASIG-04'!D20)</f>
        <v/>
      </c>
      <c r="D20" s="30">
        <f>IF(B20=0,"",IF(C20="",$E$20*LIDER!$H$19+F20*LIDER!$H$20+G20*LIDER!$H$21+H20*LIDER!$H$22+I20*LIDER!$H$23+J20*LIDER!$H$24+K20*LIDER!$H$25,"N"))</f>
        <v>0</v>
      </c>
      <c r="E20" s="142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Duvan Cespedes perez</v>
      </c>
      <c r="C21" s="33" t="str">
        <f>IF('S-ASIG-04'!D21="","",'S-ASIG-04'!D21)</f>
        <v/>
      </c>
      <c r="D21" s="30">
        <f>IF(B21=0,"",IF(C21="",$E$20*LIDER!$H$19+F21*LIDER!$H$20+G21*LIDER!$H$21+H21*LIDER!$H$22+I21*LIDER!$H$23+J21*LIDER!$H$24+K21*LIDER!$H$25,"N"))</f>
        <v>0</v>
      </c>
      <c r="E21" s="142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Isaac Faciolince Bustos</v>
      </c>
      <c r="C22" s="33" t="str">
        <f>IF('S-ASIG-04'!D22="","",'S-ASIG-04'!D22)</f>
        <v/>
      </c>
      <c r="D22" s="30">
        <f>IF(B22=0,"",IF(C22="",$E$20*LIDER!$H$19+F22*LIDER!$H$20+G22*LIDER!$H$21+H22*LIDER!$H$22+I22*LIDER!$H$23+J22*LIDER!$H$24+K22*LIDER!$H$25,"N"))</f>
        <v>0</v>
      </c>
      <c r="E22" s="142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Jesus Lopez Morales</v>
      </c>
      <c r="C23" s="33" t="str">
        <f>IF('S-ASIG-04'!D23="","",'S-ASIG-04'!D23)</f>
        <v/>
      </c>
      <c r="D23" s="30">
        <f>IF(B23=0,"",IF(C23="",$E$20*LIDER!$H$19+F23*LIDER!$H$20+G23*LIDER!$H$21+H23*LIDER!$H$22+I23*LIDER!$H$23+J23*LIDER!$H$24+K23*LIDER!$H$25,"N"))</f>
        <v>0</v>
      </c>
      <c r="E23" s="142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Dakar Moarles Paternina</v>
      </c>
      <c r="C24" s="33" t="str">
        <f>IF('S-ASIG-04'!D24="","",'S-ASIG-04'!D24)</f>
        <v/>
      </c>
      <c r="D24" s="30">
        <f>IF(B24=0,"",IF(C24="",$E$20*LIDER!$H$19+F24*LIDER!$H$20+G24*LIDER!$H$21+H24*LIDER!$H$22+I24*LIDER!$H$23+J24*LIDER!$H$24+K24*LIDER!$H$25,"N"))</f>
        <v>0</v>
      </c>
      <c r="E24" s="142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IF('S-ASIG-04'!D25="","",'S-ASIG-04'!D25)</f>
        <v/>
      </c>
      <c r="D25" s="30" t="str">
        <f>IF(B25=0,"",IF(C25="",$E$20*LIDER!$H$19+F25*LIDER!$H$20+G25*LIDER!$H$21+H25*LIDER!$H$22+I25*LIDER!$H$23+J25*LIDER!$H$24+K25*LIDER!$H$25,"N"))</f>
        <v/>
      </c>
      <c r="E25" s="142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76</v>
      </c>
      <c r="C26" s="32" t="str">
        <f>IF('S-ASIG-04'!D26="","",'S-ASIG-04'!D26)</f>
        <v>LIST</v>
      </c>
      <c r="D26" s="35" t="s">
        <v>96</v>
      </c>
      <c r="E26" s="146" t="str">
        <f>LIDER!$E$32</f>
        <v>GRUPO#4</v>
      </c>
      <c r="F26" s="146"/>
      <c r="G26" s="146"/>
      <c r="H26" s="146"/>
      <c r="I26" s="146"/>
      <c r="J26" s="146"/>
      <c r="K26" s="146"/>
    </row>
    <row r="27" spans="1:11" s="2" customFormat="1" ht="12.75">
      <c r="A27" s="9">
        <v>1</v>
      </c>
      <c r="B27" s="28" t="str">
        <f>LIDER!H43</f>
        <v>Ian Yoraco Berrio</v>
      </c>
      <c r="C27" s="33" t="str">
        <f>IF('S-ASIG-04'!D27="","",'S-ASIG-04'!D27)</f>
        <v/>
      </c>
      <c r="D27" s="30">
        <f>IF(B27=0,"",IF(C27="",$E$27*LIDER!$H$19+F27*LIDER!$H$20+G27*LIDER!$H$21+H27*LIDER!$H$22+I27*LIDER!$H$23+J27*LIDER!$H$24+K27*LIDER!$H$25,"N"))</f>
        <v>0</v>
      </c>
      <c r="E27" s="142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Nataly Castro Jimenez</v>
      </c>
      <c r="C28" s="33" t="str">
        <f>IF('S-ASIG-04'!D28="","",'S-ASIG-04'!D28)</f>
        <v/>
      </c>
      <c r="D28" s="30">
        <f>IF(B28=0,"",IF(C28="",$E$27*LIDER!$H$19+F28*LIDER!$H$20+G28*LIDER!$H$21+H28*LIDER!$H$22+I28*LIDER!$H$23+J28*LIDER!$H$24+K28*LIDER!$H$25,"N"))</f>
        <v>0</v>
      </c>
      <c r="E28" s="142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Oscar Lorduy Neira</v>
      </c>
      <c r="C29" s="33" t="str">
        <f>IF('S-ASIG-04'!D29="","",'S-ASIG-04'!D29)</f>
        <v/>
      </c>
      <c r="D29" s="30">
        <f>IF(B29=0,"",IF(C29="",$E$27*LIDER!$H$19+F29*LIDER!$H$20+G29*LIDER!$H$21+H29*LIDER!$H$22+I29*LIDER!$H$23+J29*LIDER!$H$24+K29*LIDER!$H$25,"N"))</f>
        <v>0</v>
      </c>
      <c r="E29" s="142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Carlos Orozco Valdes</v>
      </c>
      <c r="C30" s="33" t="str">
        <f>IF('S-ASIG-04'!D30="","",'S-ASIG-04'!D30)</f>
        <v/>
      </c>
      <c r="D30" s="30">
        <f>IF(B30=0,"",IF(C30="",$E$27*LIDER!$H$19+F30*LIDER!$H$20+G30*LIDER!$H$21+H30*LIDER!$H$22+I30*LIDER!$H$23+J30*LIDER!$H$24+K30*LIDER!$H$25,"N"))</f>
        <v>0</v>
      </c>
      <c r="E30" s="142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Sandri Valdez Sepulveda</v>
      </c>
      <c r="C31" s="33" t="str">
        <f>IF('S-ASIG-04'!D31="","",'S-ASIG-04'!D31)</f>
        <v/>
      </c>
      <c r="D31" s="30">
        <f>IF(B31=0,"",IF(C31="",$E$27*LIDER!$H$19+F31*LIDER!$H$20+G31*LIDER!$H$21+H31*LIDER!$H$22+I31*LIDER!$H$23+J31*LIDER!$H$24+K31*LIDER!$H$25,"N"))</f>
        <v>0</v>
      </c>
      <c r="E31" s="142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IF('S-ASIG-04'!D32="","",'S-ASIG-04'!D32)</f>
        <v/>
      </c>
      <c r="D32" s="30" t="str">
        <f>IF(B32=0,"",IF(C32="",$E$27*LIDER!$H$19+F32*LIDER!$H$20+G32*LIDER!$H$21+H32*LIDER!$H$22+I32*LIDER!$H$23+J32*LIDER!$H$24+K32*LIDER!$H$25,"N"))</f>
        <v/>
      </c>
      <c r="E32" s="142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78</v>
      </c>
      <c r="C33" s="32" t="str">
        <f>IF('S-ASIG-04'!D33="","",'S-ASIG-04'!D33)</f>
        <v>LIST</v>
      </c>
      <c r="D33" s="35" t="s">
        <v>96</v>
      </c>
      <c r="E33" s="146" t="str">
        <f>LIDER!$E$33</f>
        <v>GRUPO#5</v>
      </c>
      <c r="F33" s="146"/>
      <c r="G33" s="146"/>
      <c r="H33" s="146"/>
      <c r="I33" s="146"/>
      <c r="J33" s="146"/>
      <c r="K33" s="146"/>
    </row>
    <row r="34" spans="1:11" s="2" customFormat="1" ht="12.75">
      <c r="A34" s="9">
        <v>1</v>
      </c>
      <c r="B34" s="28" t="str">
        <f>LIDER!E51</f>
        <v>Adrian Marriaga Muñoz</v>
      </c>
      <c r="C34" s="33" t="str">
        <f>IF('S-ASIG-04'!D34="","",'S-ASIG-04'!D34)</f>
        <v/>
      </c>
      <c r="D34" s="30">
        <f>IF(B34=0,"",IF(C34="",$E$34*LIDER!$H$19+F34*LIDER!$H$20+G34*LIDER!$H$21+H34*LIDER!$H$22+I34*LIDER!$H$23+J34*LIDER!$H$24+K34*LIDER!$H$25,"N"))</f>
        <v>0</v>
      </c>
      <c r="E34" s="142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Kristin Perez martinez</v>
      </c>
      <c r="C35" s="33" t="str">
        <f>IF('S-ASIG-04'!D35="","",'S-ASIG-04'!D35)</f>
        <v/>
      </c>
      <c r="D35" s="30">
        <f>IF(B35=0,"",IF(C35="",$E$34*LIDER!$H$19+F35*LIDER!$H$20+G35*LIDER!$H$21+H35*LIDER!$H$22+I35*LIDER!$H$23+J35*LIDER!$H$24+K35*LIDER!$H$25,"N"))</f>
        <v>0</v>
      </c>
      <c r="E35" s="142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Nina Aguilar Sarabia</v>
      </c>
      <c r="C36" s="33" t="str">
        <f>IF('S-ASIG-04'!D36="","",'S-ASIG-04'!D36)</f>
        <v/>
      </c>
      <c r="D36" s="30">
        <f>IF(B36=0,"",IF(C36="",$E$34*LIDER!$H$19+F36*LIDER!$H$20+G36*LIDER!$H$21+H36*LIDER!$H$22+I36*LIDER!$H$23+J36*LIDER!$H$24+K36*LIDER!$H$25,"N"))</f>
        <v>0</v>
      </c>
      <c r="E36" s="142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Theres Theran caicedo</v>
      </c>
      <c r="C37" s="33" t="str">
        <f>IF('S-ASIG-04'!D37="","",'S-ASIG-04'!D37)</f>
        <v/>
      </c>
      <c r="D37" s="30">
        <f>IF(B37=0,"",IF(C37="",$E$34*LIDER!$H$19+F37*LIDER!$H$20+G37*LIDER!$H$21+H37*LIDER!$H$22+I37*LIDER!$H$23+J37*LIDER!$H$24+K37*LIDER!$H$25,"N"))</f>
        <v>0</v>
      </c>
      <c r="E37" s="142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Diego Cardona Bolaño</v>
      </c>
      <c r="C38" s="33" t="str">
        <f>IF('S-ASIG-04'!D38="","",'S-ASIG-04'!D38)</f>
        <v/>
      </c>
      <c r="D38" s="30">
        <f>IF(B38=0,"",IF(C38="",$E$34*LIDER!$H$19+F38*LIDER!$H$20+G38*LIDER!$H$21+H38*LIDER!$H$22+I38*LIDER!$H$23+J38*LIDER!$H$24+K38*LIDER!$H$25,"N"))</f>
        <v>0</v>
      </c>
      <c r="E38" s="142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 t="str">
        <f>LIDER!E56</f>
        <v>Jhamer Luis Maza Ramos</v>
      </c>
      <c r="C39" s="33" t="str">
        <f>IF('S-ASIG-04'!D39="","",'S-ASIG-04'!D39)</f>
        <v/>
      </c>
      <c r="D39" s="30">
        <f>IF(B39=0,"",IF(C39="",$E$34*LIDER!$H$19+F39*LIDER!$H$20+G39*LIDER!$H$21+H39*LIDER!$H$22+I39*LIDER!$H$23+J39*LIDER!$H$24+K39*LIDER!$H$25,"N"))</f>
        <v>0</v>
      </c>
      <c r="E39" s="142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80</v>
      </c>
      <c r="C40" s="32" t="str">
        <f>IF('S-ASIG-04'!D40="","",'S-ASIG-04'!D40)</f>
        <v>LIST</v>
      </c>
      <c r="D40" s="35" t="s">
        <v>96</v>
      </c>
      <c r="E40" s="146" t="str">
        <f>LIDER!$E$34</f>
        <v>GRUPO#6</v>
      </c>
      <c r="F40" s="146"/>
      <c r="G40" s="146"/>
      <c r="H40" s="146"/>
      <c r="I40" s="146"/>
      <c r="J40" s="146"/>
      <c r="K40" s="146"/>
    </row>
    <row r="41" spans="1:11" s="2" customFormat="1" ht="12.75">
      <c r="A41" s="9">
        <v>1</v>
      </c>
      <c r="B41" s="28" t="str">
        <f>LIDER!F51</f>
        <v>Yureidy Alarez Castellano</v>
      </c>
      <c r="C41" s="33" t="str">
        <f>IF('S-ASIG-04'!D41="","",'S-ASIG-04'!D41)</f>
        <v/>
      </c>
      <c r="D41" s="30">
        <f>IF(B41=0,"",IF(C41="",$E$41*LIDER!$H$19+F41*LIDER!$H$20+G41*LIDER!$H$21+H41*LIDER!$H$22+I41*LIDER!$H$23+J41*LIDER!$H$24+K41*LIDER!$H$25,"N"))</f>
        <v>0</v>
      </c>
      <c r="E41" s="142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Juan C Baldiris Espitia</v>
      </c>
      <c r="C42" s="33" t="str">
        <f>IF('S-ASIG-04'!D42="","",'S-ASIG-04'!D42)</f>
        <v/>
      </c>
      <c r="D42" s="30">
        <f>IF(B42=0,"",IF(C42="",$E$41*LIDER!$H$19+F42*LIDER!$H$20+G42*LIDER!$H$21+H42*LIDER!$H$22+I42*LIDER!$H$23+J42*LIDER!$H$24+K42*LIDER!$H$25,"N"))</f>
        <v>0</v>
      </c>
      <c r="E42" s="142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Andres F Torres Arroyo</v>
      </c>
      <c r="C43" s="33" t="str">
        <f>IF('S-ASIG-04'!D43="","",'S-ASIG-04'!D43)</f>
        <v/>
      </c>
      <c r="D43" s="30">
        <f>IF(B43=0,"",IF(C43="",$E$41*LIDER!$H$19+F43*LIDER!$H$20+G43*LIDER!$H$21+H43*LIDER!$H$22+I43*LIDER!$H$23+J43*LIDER!$H$24+K43*LIDER!$H$25,"N"))</f>
        <v>0</v>
      </c>
      <c r="E43" s="142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Sherlyn Villegas Maza</v>
      </c>
      <c r="C44" s="33" t="str">
        <f>IF('S-ASIG-04'!D44="","",'S-ASIG-04'!D44)</f>
        <v/>
      </c>
      <c r="D44" s="30">
        <f>IF(B44=0,"",IF(C44="",$E$41*LIDER!$H$19+F44*LIDER!$H$20+G44*LIDER!$H$21+H44*LIDER!$H$22+I44*LIDER!$H$23+J44*LIDER!$H$24+K44*LIDER!$H$25,"N"))</f>
        <v>0</v>
      </c>
      <c r="E44" s="142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Isaac Zapata Zapata</v>
      </c>
      <c r="C45" s="33" t="str">
        <f>IF('S-ASIG-04'!D45="","",'S-ASIG-04'!D45)</f>
        <v/>
      </c>
      <c r="D45" s="30">
        <f>IF(B45=0,"",IF(C45="",$E$41*LIDER!$H$19+F45*LIDER!$H$20+G45*LIDER!$H$21+H45*LIDER!$H$22+I45*LIDER!$H$23+J45*LIDER!$H$24+K45*LIDER!$H$25,"N"))</f>
        <v>0</v>
      </c>
      <c r="E45" s="142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IF('S-ASIG-04'!D46="","",'S-ASIG-04'!D46)</f>
        <v/>
      </c>
      <c r="D46" s="30" t="str">
        <f>IF(B46=0,"",IF(C46="",$E$41*LIDER!$H$19+F46*LIDER!$H$20+G46*LIDER!$H$21+H46*LIDER!$H$22+I46*LIDER!$H$23+J46*LIDER!$H$24+K46*LIDER!$H$25,"N"))</f>
        <v/>
      </c>
      <c r="E46" s="142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82</v>
      </c>
      <c r="C47" s="32" t="str">
        <f>IF('S-ASIG-04'!D47="","",'S-ASIG-04'!D47)</f>
        <v>LIST</v>
      </c>
      <c r="D47" s="35" t="s">
        <v>96</v>
      </c>
      <c r="E47" s="146" t="str">
        <f>LIDER!$E$35</f>
        <v>GRUPO#7</v>
      </c>
      <c r="F47" s="146"/>
      <c r="G47" s="146"/>
      <c r="H47" s="146"/>
      <c r="I47" s="146"/>
      <c r="J47" s="146"/>
      <c r="K47" s="146"/>
    </row>
    <row r="48" spans="1:11" s="2" customFormat="1" ht="12.75">
      <c r="A48" s="9">
        <v>1</v>
      </c>
      <c r="B48" s="28" t="str">
        <f>LIDER!G51</f>
        <v>Valeria Balesteros Almentero</v>
      </c>
      <c r="C48" s="33" t="str">
        <f>IF('S-ASIG-04'!D48="","",'S-ASIG-04'!D48)</f>
        <v/>
      </c>
      <c r="D48" s="30">
        <f>IF(B48=0,"",IF(C48="",$E$48*LIDER!$H$19+F48*LIDER!$H$20+G48*LIDER!$H$21+H48*LIDER!$H$22+I48*LIDER!$H$23+J48*LIDER!$H$24+K48*LIDER!$H$25,"N"))</f>
        <v>0</v>
      </c>
      <c r="E48" s="142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IF('S-ASIG-04'!D49="","",'S-ASIG-04'!D49)</f>
        <v/>
      </c>
      <c r="D49" s="30" t="str">
        <f>IF(B49=0,"",IF(C49="",$E$48*LIDER!$H$19+F49*LIDER!$H$20+G49*LIDER!$H$21+H49*LIDER!$H$22+I49*LIDER!$H$23+J49*LIDER!$H$24+K49*LIDER!$H$25,"N"))</f>
        <v/>
      </c>
      <c r="E49" s="142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IF('S-ASIG-04'!D50="","",'S-ASIG-04'!D50)</f>
        <v/>
      </c>
      <c r="D50" s="30" t="str">
        <f>IF(B50=0,"",IF(C50="",$E$48*LIDER!$H$19+F50*LIDER!$H$20+G50*LIDER!$H$21+H50*LIDER!$H$22+I50*LIDER!$H$23+J50*LIDER!$H$24+K50*LIDER!$H$25,"N"))</f>
        <v/>
      </c>
      <c r="E50" s="142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IF('S-ASIG-04'!D51="","",'S-ASIG-04'!D51)</f>
        <v/>
      </c>
      <c r="D51" s="30" t="str">
        <f>IF(B51=0,"",IF(C51="",$E$48*LIDER!$H$19+F51*LIDER!$H$20+G51*LIDER!$H$21+H51*LIDER!$H$22+I51*LIDER!$H$23+J51*LIDER!$H$24+K51*LIDER!$H$25,"N"))</f>
        <v/>
      </c>
      <c r="E51" s="142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IF('S-ASIG-04'!D52="","",'S-ASIG-04'!D52)</f>
        <v/>
      </c>
      <c r="D52" s="30" t="str">
        <f>IF(B52=0,"",IF(C52="",$E$48*LIDER!$H$19+F52*LIDER!$H$20+G52*LIDER!$H$21+H52*LIDER!$H$22+I52*LIDER!$H$23+J52*LIDER!$H$24+K52*LIDER!$H$25,"N"))</f>
        <v/>
      </c>
      <c r="E52" s="142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IF('S-ASIG-04'!D53="","",'S-ASIG-04'!D53)</f>
        <v/>
      </c>
      <c r="D53" s="30" t="str">
        <f>IF(B53=0,"",IF(C53="",$E$48*LIDER!$H$19+F53*LIDER!$H$20+G53*LIDER!$H$21+H53*LIDER!$H$22+I53*LIDER!$H$23+J53*LIDER!$H$24+K53*LIDER!$H$25,"N"))</f>
        <v/>
      </c>
      <c r="E53" s="142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84</v>
      </c>
      <c r="C54" s="32" t="str">
        <f>IF('S-ASIG-04'!D54="","",'S-ASIG-04'!D54)</f>
        <v>LIST</v>
      </c>
      <c r="D54" s="35" t="s">
        <v>96</v>
      </c>
      <c r="E54" s="146" t="str">
        <f>LIDER!$E$36</f>
        <v>GRUPO#8</v>
      </c>
      <c r="F54" s="146"/>
      <c r="G54" s="146"/>
      <c r="H54" s="146"/>
      <c r="I54" s="146"/>
      <c r="J54" s="146"/>
      <c r="K54" s="146"/>
    </row>
    <row r="55" spans="1:11" s="2" customFormat="1" ht="12.75">
      <c r="A55" s="9">
        <v>1</v>
      </c>
      <c r="B55" s="28">
        <f>LIDER!H51</f>
        <v>0</v>
      </c>
      <c r="C55" s="33" t="str">
        <f>IF('S-ASIG-04'!D55="","",'S-ASIG-04'!D55)</f>
        <v/>
      </c>
      <c r="D55" s="30" t="str">
        <f>IF(B55=0,"",IF(C55="",$E$55*LIDER!$H$19+F55*LIDER!$H$20+G55*LIDER!$H$21+H55*LIDER!$H$22+I55*LIDER!$H$23+J55*LIDER!$H$24+K55*LIDER!$H$25,"N"))</f>
        <v/>
      </c>
      <c r="E55" s="142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IF('S-ASIG-04'!D56="","",'S-ASIG-04'!D56)</f>
        <v/>
      </c>
      <c r="D56" s="30" t="str">
        <f>IF(B56=0,"",IF(C56="",$E$55*LIDER!$H$19+F56*LIDER!$H$20+G56*LIDER!$H$21+H56*LIDER!$H$22+I56*LIDER!$H$23+J56*LIDER!$H$24+K56*LIDER!$H$25,"N"))</f>
        <v/>
      </c>
      <c r="E56" s="142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IF('S-ASIG-04'!D57="","",'S-ASIG-04'!D57)</f>
        <v/>
      </c>
      <c r="D57" s="30" t="str">
        <f>IF(B57=0,"",IF(C57="",$E$55*LIDER!$H$19+F57*LIDER!$H$20+G57*LIDER!$H$21+H57*LIDER!$H$22+I57*LIDER!$H$23+J57*LIDER!$H$24+K57*LIDER!$H$25,"N"))</f>
        <v/>
      </c>
      <c r="E57" s="142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IF('S-ASIG-04'!D58="","",'S-ASIG-04'!D58)</f>
        <v/>
      </c>
      <c r="D58" s="30" t="str">
        <f>IF(B58=0,"",IF(C58="",$E$55*LIDER!$H$19+F58*LIDER!$H$20+G58*LIDER!$H$21+H58*LIDER!$H$22+I58*LIDER!$H$23+J58*LIDER!$H$24+K58*LIDER!$H$25,"N"))</f>
        <v/>
      </c>
      <c r="E58" s="142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IF('S-ASIG-04'!D59="","",'S-ASIG-04'!D59)</f>
        <v/>
      </c>
      <c r="D59" s="30" t="str">
        <f>IF(B59=0,"",IF(C59="",$E$55*LIDER!$H$19+F59*LIDER!$H$20+G59*LIDER!$H$21+H59*LIDER!$H$22+I59*LIDER!$H$23+J59*LIDER!$H$24+K59*LIDER!$H$25,"N"))</f>
        <v/>
      </c>
      <c r="E59" s="142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IF('S-ASIG-04'!D60="","",'S-ASIG-04'!D60)</f>
        <v/>
      </c>
      <c r="D60" s="30" t="str">
        <f>IF(B60=0,"",IF(C60="",$E$55*LIDER!$H$19+F60*LIDER!$H$20+G60*LIDER!$H$21+H60*LIDER!$H$22+I60*LIDER!$H$23+J60*LIDER!$H$24+K60*LIDER!$H$25,"N"))</f>
        <v/>
      </c>
      <c r="E60" s="14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86</v>
      </c>
      <c r="C61" s="32" t="str">
        <f>IF('S-ASIG-04'!D61="","",'S-ASIG-04'!D61)</f>
        <v>LIST</v>
      </c>
      <c r="D61" s="35" t="s">
        <v>96</v>
      </c>
      <c r="E61" s="146" t="str">
        <f>LIDER!$E$37</f>
        <v>GRUPO#9</v>
      </c>
      <c r="F61" s="146"/>
      <c r="G61" s="146"/>
      <c r="H61" s="146"/>
      <c r="I61" s="146"/>
      <c r="J61" s="146"/>
      <c r="K61" s="146"/>
    </row>
    <row r="62" spans="1:11" s="2" customFormat="1" ht="12.75">
      <c r="A62" s="9">
        <v>1</v>
      </c>
      <c r="B62" s="28">
        <f>LIDER!E59</f>
        <v>0</v>
      </c>
      <c r="C62" s="33" t="str">
        <f>IF('S-ASIG-04'!D62="","",'S-ASIG-04'!D62)</f>
        <v/>
      </c>
      <c r="D62" s="30" t="str">
        <f>IF(B62=0,"",IF(C62="",$E$62*LIDER!$H$19+F62*LIDER!$H$20+G62*LIDER!$H$21+H62*LIDER!$H$22+I62*LIDER!$H$23+J62*LIDER!$H$24+K62*LIDER!$H$25,"N"))</f>
        <v/>
      </c>
      <c r="E62" s="14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IF('S-ASIG-04'!D63="","",'S-ASIG-04'!D63)</f>
        <v/>
      </c>
      <c r="D63" s="30" t="str">
        <f>IF(B63=0,"",IF(C63="",$E$62*LIDER!$H$19+F63*LIDER!$H$20+G63*LIDER!$H$21+H63*LIDER!$H$22+I63*LIDER!$H$23+J63*LIDER!$H$24+K63*LIDER!$H$25,"N"))</f>
        <v/>
      </c>
      <c r="E63" s="14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IF('S-ASIG-04'!D64="","",'S-ASIG-04'!D64)</f>
        <v/>
      </c>
      <c r="D64" s="30" t="str">
        <f>IF(B64=0,"",IF(C64="",$E$62*LIDER!$H$19+F64*LIDER!$H$20+G64*LIDER!$H$21+H64*LIDER!$H$22+I64*LIDER!$H$23+J64*LIDER!$H$24+K64*LIDER!$H$25,"N"))</f>
        <v/>
      </c>
      <c r="E64" s="14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IF('S-ASIG-04'!D65="","",'S-ASIG-04'!D65)</f>
        <v/>
      </c>
      <c r="D65" s="30" t="str">
        <f>IF(B65=0,"",IF(C65="",$E$62*LIDER!$H$19+F65*LIDER!$H$20+G65*LIDER!$H$21+H65*LIDER!$H$22+I65*LIDER!$H$23+J65*LIDER!$H$24+K65*LIDER!$H$25,"N"))</f>
        <v/>
      </c>
      <c r="E65" s="14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IF('S-ASIG-04'!D66="","",'S-ASIG-04'!D66)</f>
        <v/>
      </c>
      <c r="D66" s="30" t="str">
        <f>IF(B66=0,"",IF(C66="",$E$62*LIDER!$H$19+F66*LIDER!$H$20+G66*LIDER!$H$21+H66*LIDER!$H$22+I66*LIDER!$H$23+J66*LIDER!$H$24+K66*LIDER!$H$25,"N"))</f>
        <v/>
      </c>
      <c r="E66" s="14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IF('S-ASIG-04'!D67="","",'S-ASIG-04'!D67)</f>
        <v/>
      </c>
      <c r="D67" s="30" t="str">
        <f>IF(B67=0,"",IF(C67="",$E$62*LIDER!$H$19+F67*LIDER!$H$20+G67*LIDER!$H$21+H67*LIDER!$H$22+I67*LIDER!$H$23+J67*LIDER!$H$24+K67*LIDER!$H$25,"N"))</f>
        <v/>
      </c>
      <c r="E67" s="14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88</v>
      </c>
      <c r="C68" s="32" t="str">
        <f>IF('S-ASIG-04'!D68="","",'S-ASIG-04'!D68)</f>
        <v>LIST</v>
      </c>
      <c r="D68" s="35" t="s">
        <v>96</v>
      </c>
      <c r="E68" s="146" t="str">
        <f>LIDER!$E$38</f>
        <v>GRUPO#10</v>
      </c>
      <c r="F68" s="146"/>
      <c r="G68" s="146"/>
      <c r="H68" s="146"/>
      <c r="I68" s="146"/>
      <c r="J68" s="146"/>
      <c r="K68" s="146"/>
    </row>
    <row r="69" spans="1:11" s="2" customFormat="1" ht="12.75">
      <c r="A69" s="9">
        <v>1</v>
      </c>
      <c r="B69" s="28">
        <f>LIDER!F59</f>
        <v>0</v>
      </c>
      <c r="C69" s="33" t="str">
        <f>IF('S-ASIG-04'!D69="","",'S-ASIG-04'!D69)</f>
        <v/>
      </c>
      <c r="D69" s="30" t="str">
        <f>IF(B69=0,"",IF(C69="",$E$69*LIDER!$H$19+F69*LIDER!$H$20+G69*LIDER!$H$21+H69*LIDER!$H$22+I69*LIDER!$H$23+J69*LIDER!$H$24+K69*LIDER!$H$25,"N"))</f>
        <v/>
      </c>
      <c r="E69" s="14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IF('S-ASIG-04'!D70="","",'S-ASIG-04'!D70)</f>
        <v/>
      </c>
      <c r="D70" s="30" t="str">
        <f>IF(B70=0,"",IF(C70="",$E$69*LIDER!$H$19+F70*LIDER!$H$20+G70*LIDER!$H$21+H70*LIDER!$H$22+I70*LIDER!$H$23+J70*LIDER!$H$24+K70*LIDER!$H$25,"N"))</f>
        <v/>
      </c>
      <c r="E70" s="14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IF('S-ASIG-04'!D71="","",'S-ASIG-04'!D71)</f>
        <v/>
      </c>
      <c r="D71" s="30" t="str">
        <f>IF(B71=0,"",IF(C71="",$E$69*LIDER!$H$19+F71*LIDER!$H$20+G71*LIDER!$H$21+H71*LIDER!$H$22+I71*LIDER!$H$23+J71*LIDER!$H$24+K71*LIDER!$H$25,"N"))</f>
        <v/>
      </c>
      <c r="E71" s="14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IF('S-ASIG-04'!D72="","",'S-ASIG-04'!D72)</f>
        <v/>
      </c>
      <c r="D72" s="30" t="str">
        <f>IF(B72=0,"",IF(C72="",$E$69*LIDER!$H$19+F72*LIDER!$H$20+G72*LIDER!$H$21+H72*LIDER!$H$22+I72*LIDER!$H$23+J72*LIDER!$H$24+K72*LIDER!$H$25,"N"))</f>
        <v/>
      </c>
      <c r="E72" s="14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IF('S-ASIG-04'!D73="","",'S-ASIG-04'!D73)</f>
        <v/>
      </c>
      <c r="D73" s="30" t="str">
        <f>IF(B73=0,"",IF(C73="",$E$69*LIDER!$H$19+F73*LIDER!$H$20+G73*LIDER!$H$21+H73*LIDER!$H$22+I73*LIDER!$H$23+J73*LIDER!$H$24+K73*LIDER!$H$25,"N"))</f>
        <v/>
      </c>
      <c r="E73" s="14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IF('S-ASIG-04'!D74="","",'S-ASIG-04'!D74)</f>
        <v/>
      </c>
      <c r="D74" s="30" t="str">
        <f>IF(B74=0,"",IF(C74="",$E$69*LIDER!$H$19+F74*LIDER!$H$20+G74*LIDER!$H$21+H74*LIDER!$H$22+I74*LIDER!$H$23+J74*LIDER!$H$24+K74*LIDER!$H$25,"N"))</f>
        <v/>
      </c>
      <c r="E74" s="14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90</v>
      </c>
      <c r="C75" s="32" t="str">
        <f>IF('S-ASIG-04'!D75="","",'S-ASIG-04'!D75)</f>
        <v>LIST</v>
      </c>
      <c r="D75" s="35" t="s">
        <v>96</v>
      </c>
      <c r="E75" s="146" t="str">
        <f>LIDER!$E$39</f>
        <v>GRUPO#11</v>
      </c>
      <c r="F75" s="146"/>
      <c r="G75" s="146"/>
      <c r="H75" s="146"/>
      <c r="I75" s="146"/>
      <c r="J75" s="146"/>
      <c r="K75" s="146"/>
    </row>
    <row r="76" spans="1:11" s="2" customFormat="1" ht="12.75">
      <c r="A76" s="9">
        <v>1</v>
      </c>
      <c r="B76" s="28">
        <f>LIDER!G59</f>
        <v>0</v>
      </c>
      <c r="C76" s="33" t="str">
        <f>IF('S-ASIG-04'!D76="","",'S-ASIG-04'!D76)</f>
        <v/>
      </c>
      <c r="D76" s="30" t="str">
        <f>IF(B76=0,"",IF(C76="",E76*LIDER!$H$19+F76*LIDER!$H$20+G76*LIDER!$H$21+H76*LIDER!$H$22+I76*LIDER!$H$23+J76*LIDER!$H$24+K76*LIDER!$H$25,"N"))</f>
        <v/>
      </c>
      <c r="E76" s="14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IF('S-ASIG-04'!D77="","",'S-ASIG-04'!D77)</f>
        <v/>
      </c>
      <c r="D77" s="30" t="str">
        <f>IF(B77=0,"",IF(C77="",E77*LIDER!$H$19+F77*LIDER!$H$20+G77*LIDER!$H$21+H77*LIDER!$H$22+I77*LIDER!$H$23+J77*LIDER!$H$24+K77*LIDER!$H$25,"N"))</f>
        <v/>
      </c>
      <c r="E77" s="14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IF('S-ASIG-04'!D78="","",'S-ASIG-04'!D78)</f>
        <v/>
      </c>
      <c r="D78" s="30" t="str">
        <f>IF(B78=0,"",IF(C78="",E78*LIDER!$H$19+F78*LIDER!$H$20+G78*LIDER!$H$21+H78*LIDER!$H$22+I78*LIDER!$H$23+J78*LIDER!$H$24+K78*LIDER!$H$25,"N"))</f>
        <v/>
      </c>
      <c r="E78" s="14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IF('S-ASIG-04'!D79="","",'S-ASIG-04'!D79)</f>
        <v/>
      </c>
      <c r="D79" s="30" t="str">
        <f>IF(B79=0,"",IF(C79="",E79*LIDER!$H$19+F79*LIDER!$H$20+G79*LIDER!$H$21+H79*LIDER!$H$22+I79*LIDER!$H$23+J79*LIDER!$H$24+K79*LIDER!$H$25,"N"))</f>
        <v/>
      </c>
      <c r="E79" s="14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IF('S-ASIG-04'!D80="","",'S-ASIG-04'!D80)</f>
        <v/>
      </c>
      <c r="D80" s="30" t="str">
        <f>IF(B80=0,"",IF(C80="",E80*LIDER!$H$19+F80*LIDER!$H$20+G80*LIDER!$H$21+H80*LIDER!$H$22+I80*LIDER!$H$23+J80*LIDER!$H$24+K80*LIDER!$H$25,"N"))</f>
        <v/>
      </c>
      <c r="E80" s="14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IF('S-ASIG-04'!D81="","",'S-ASIG-04'!D81)</f>
        <v/>
      </c>
      <c r="D81" s="30" t="str">
        <f>IF(B81=0,"",IF(C81="",E81*LIDER!$H$19+F81*LIDER!$H$20+G81*LIDER!$H$21+H81*LIDER!$H$22+I81*LIDER!$H$23+J81*LIDER!$H$24+K81*LIDER!$H$25,"N"))</f>
        <v/>
      </c>
      <c r="E81" s="14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91</v>
      </c>
      <c r="C82" s="32" t="str">
        <f>IF('S-ASIG-04'!D82="","",'S-ASIG-04'!D82)</f>
        <v>LIST</v>
      </c>
      <c r="D82" s="35" t="s">
        <v>96</v>
      </c>
      <c r="E82" s="146" t="str">
        <f>LIDER!$E$40</f>
        <v>GRUPO#12</v>
      </c>
      <c r="F82" s="146"/>
      <c r="G82" s="146"/>
      <c r="H82" s="146"/>
      <c r="I82" s="146"/>
      <c r="J82" s="146"/>
      <c r="K82" s="146"/>
    </row>
    <row r="83" spans="1:11" s="2" customFormat="1" ht="12.75">
      <c r="A83" s="9">
        <v>1</v>
      </c>
      <c r="B83" s="28">
        <f>LIDER!H59</f>
        <v>0</v>
      </c>
      <c r="C83" s="33" t="str">
        <f>IF('S-ASIG-04'!D83="","",'S-ASIG-04'!D83)</f>
        <v/>
      </c>
      <c r="D83" s="30" t="str">
        <f>IF(B83=0,"",IF(C83="",$E$83*LIDER!$H$19+F83*LIDER!$H$20+G83*LIDER!$H$21+H83*LIDER!$H$22+I83*LIDER!$H$23+J83*LIDER!$H$24+K83*LIDER!$H$25,"N"))</f>
        <v/>
      </c>
      <c r="E83" s="14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IF('S-ASIG-04'!D84="","",'S-ASIG-04'!D84)</f>
        <v/>
      </c>
      <c r="D84" s="30" t="str">
        <f>IF(B84=0,"",IF(C84="",$E$83*LIDER!$H$19+F84*LIDER!$H$20+G84*LIDER!$H$21+H84*LIDER!$H$22+I84*LIDER!$H$23+J84*LIDER!$H$24+K84*LIDER!$H$25,"N"))</f>
        <v/>
      </c>
      <c r="E84" s="14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IF('S-ASIG-04'!D85="","",'S-ASIG-04'!D85)</f>
        <v/>
      </c>
      <c r="D85" s="30" t="str">
        <f>IF(B85=0,"",IF(C85="",$E$83*LIDER!$H$19+F85*LIDER!$H$20+G85*LIDER!$H$21+H85*LIDER!$H$22+I85*LIDER!$H$23+J85*LIDER!$H$24+K85*LIDER!$H$25,"N"))</f>
        <v/>
      </c>
      <c r="E85" s="14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IF('S-ASIG-04'!D86="","",'S-ASIG-04'!D86)</f>
        <v/>
      </c>
      <c r="D86" s="30" t="str">
        <f>IF(B86=0,"",IF(C86="",$E$83*LIDER!$H$19+F86*LIDER!$H$20+G86*LIDER!$H$21+H86*LIDER!$H$22+I86*LIDER!$H$23+J86*LIDER!$H$24+K86*LIDER!$H$25,"N"))</f>
        <v/>
      </c>
      <c r="E86" s="14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IF('S-ASIG-04'!D87="","",'S-ASIG-04'!D87)</f>
        <v/>
      </c>
      <c r="D87" s="30" t="str">
        <f>IF(B87=0,"",IF(C87="",$E$83*LIDER!$H$19+F87*LIDER!$H$20+G87*LIDER!$H$21+H87*LIDER!$H$22+I87*LIDER!$H$23+J87*LIDER!$H$24+K87*LIDER!$H$25,"N"))</f>
        <v/>
      </c>
      <c r="E87" s="14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IF('S-ASIG-04'!D88="","",'S-ASIG-04'!D88)</f>
        <v/>
      </c>
      <c r="D88" s="31" t="str">
        <f>IF(B88=0,"",IF(C88="",$E$83*LIDER!$H$19+F88*LIDER!$H$20+G88*LIDER!$H$21+H88*LIDER!$H$22+I88*LIDER!$H$23+J88*LIDER!$H$24+K88*LIDER!$H$25,"N"))</f>
        <v/>
      </c>
      <c r="E88" s="153"/>
      <c r="F88" s="19"/>
      <c r="G88" s="19"/>
      <c r="H88" s="19"/>
      <c r="I88" s="19"/>
      <c r="J88" s="19"/>
      <c r="K88" s="19"/>
    </row>
  </sheetData>
  <sheetProtection algorithmName="SHA-512" hashValue="BfYCgVIxYZHGH1r68RK9CvVCfDtgWBCUnAka+U+4PIPlgj/50eNxmH0/zrFGjvHxxWeNtva4/3sk/raIqSxG0A==" saltValue="CMkGouNv06wqhh2HmZBcG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13" priority="14">
      <formula>ISEVEN($A6)</formula>
    </cfRule>
  </conditionalFormatting>
  <conditionalFormatting sqref="A13:B18 D13:D18">
    <cfRule type="expression" dxfId="112" priority="13">
      <formula>ISEVEN($A13)</formula>
    </cfRule>
  </conditionalFormatting>
  <conditionalFormatting sqref="A20:B25 D20:D25">
    <cfRule type="expression" dxfId="111" priority="12">
      <formula>ISEVEN($A20)</formula>
    </cfRule>
  </conditionalFormatting>
  <conditionalFormatting sqref="A27:B32 D27:D32">
    <cfRule type="expression" dxfId="110" priority="11">
      <formula>ISEVEN($A27)</formula>
    </cfRule>
  </conditionalFormatting>
  <conditionalFormatting sqref="A34:B39 D34:D39">
    <cfRule type="expression" dxfId="109" priority="10">
      <formula>ISEVEN($A34)</formula>
    </cfRule>
  </conditionalFormatting>
  <conditionalFormatting sqref="A41:B46 D41:D46">
    <cfRule type="expression" dxfId="108" priority="9">
      <formula>ISEVEN($A41)</formula>
    </cfRule>
  </conditionalFormatting>
  <conditionalFormatting sqref="A48:B53 D48:D53">
    <cfRule type="expression" dxfId="107" priority="8">
      <formula>ISEVEN($A48)</formula>
    </cfRule>
  </conditionalFormatting>
  <conditionalFormatting sqref="A55:B60 D55:D60">
    <cfRule type="expression" dxfId="106" priority="7">
      <formula>ISEVEN($A55)</formula>
    </cfRule>
  </conditionalFormatting>
  <conditionalFormatting sqref="A62:B67 D62:D67">
    <cfRule type="expression" dxfId="105" priority="6">
      <formula>ISEVEN($A62)</formula>
    </cfRule>
  </conditionalFormatting>
  <conditionalFormatting sqref="A69:B74 D69:D74">
    <cfRule type="expression" dxfId="104" priority="5">
      <formula>ISEVEN($A69)</formula>
    </cfRule>
  </conditionalFormatting>
  <conditionalFormatting sqref="A76:B81 D76:D81">
    <cfRule type="expression" dxfId="103" priority="4">
      <formula>ISEVEN($A76)</formula>
    </cfRule>
  </conditionalFormatting>
  <conditionalFormatting sqref="A83:B88 D83:D88">
    <cfRule type="expression" dxfId="102" priority="3">
      <formula>ISEVEN($A83)</formula>
    </cfRule>
  </conditionalFormatting>
  <conditionalFormatting sqref="B6:B88">
    <cfRule type="cellIs" dxfId="101" priority="2" operator="equal">
      <formula>0</formula>
    </cfRule>
  </conditionalFormatting>
  <conditionalFormatting sqref="C5 B6:D88">
    <cfRule type="expression" dxfId="100" priority="1">
      <formula>$C5="N"</formula>
    </cfRule>
  </conditionalFormatting>
  <conditionalFormatting sqref="E6:K6 F7:K11">
    <cfRule type="expression" dxfId="99" priority="29">
      <formula>ISEVEN($A6)</formula>
    </cfRule>
  </conditionalFormatting>
  <conditionalFormatting sqref="E13:K13 F14:K18">
    <cfRule type="expression" dxfId="98" priority="28">
      <formula>ISEVEN($A13)</formula>
    </cfRule>
  </conditionalFormatting>
  <conditionalFormatting sqref="E20:K20 F21:K25">
    <cfRule type="expression" dxfId="97" priority="27">
      <formula>ISEVEN($A20)</formula>
    </cfRule>
  </conditionalFormatting>
  <conditionalFormatting sqref="E27:K27 F28:K32">
    <cfRule type="expression" dxfId="96" priority="26">
      <formula>ISEVEN($A27)</formula>
    </cfRule>
  </conditionalFormatting>
  <conditionalFormatting sqref="E34:K34 F35:K39">
    <cfRule type="expression" dxfId="95" priority="25">
      <formula>ISEVEN($A34)</formula>
    </cfRule>
  </conditionalFormatting>
  <conditionalFormatting sqref="E41:K41 F42:K46">
    <cfRule type="expression" dxfId="94" priority="24">
      <formula>ISEVEN($A41)</formula>
    </cfRule>
  </conditionalFormatting>
  <conditionalFormatting sqref="E48:K48 F49:K53">
    <cfRule type="expression" dxfId="93" priority="23">
      <formula>ISEVEN($A48)</formula>
    </cfRule>
  </conditionalFormatting>
  <conditionalFormatting sqref="E55:K55 F56:K60">
    <cfRule type="expression" dxfId="92" priority="22">
      <formula>ISEVEN($A55)</formula>
    </cfRule>
  </conditionalFormatting>
  <conditionalFormatting sqref="E62:K62 F63:K67">
    <cfRule type="expression" dxfId="91" priority="21">
      <formula>ISEVEN($A62)</formula>
    </cfRule>
  </conditionalFormatting>
  <conditionalFormatting sqref="E69:K69 F70:K74">
    <cfRule type="expression" dxfId="90" priority="20">
      <formula>ISEVEN($A69)</formula>
    </cfRule>
  </conditionalFormatting>
  <conditionalFormatting sqref="E76:K76 F77:K81">
    <cfRule type="expression" dxfId="89" priority="19">
      <formula>ISEVEN($A76)</formula>
    </cfRule>
  </conditionalFormatting>
  <conditionalFormatting sqref="E83:K83 F84:K88">
    <cfRule type="expression" dxfId="88" priority="18">
      <formula>ISEVEN($A83)</formula>
    </cfRule>
  </conditionalFormatting>
  <conditionalFormatting sqref="F6:K11 F13:K18 F20:K25 F27:K32 F34:K39 F41:K46 F48:K53 F55:K60 F62:K67 F69:K74 F76:K81 F83:K88">
    <cfRule type="expression" dxfId="87" priority="15">
      <formula>$D6="N"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787-22E4-4AA8-B691-B6B17DAA2514}">
  <dimension ref="A1:K88"/>
  <sheetViews>
    <sheetView zoomScale="82" zoomScaleNormal="82" workbookViewId="0">
      <pane xSplit="4" ySplit="3" topLeftCell="E40" activePane="bottomRight" state="frozen"/>
      <selection pane="bottomRight" activeCell="E41" sqref="E41:E46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3" t="str">
        <f>LIDER!B2</f>
        <v>TECNOLOGÍA EN GESTIÓN DE NEGOCIOS INTERN</v>
      </c>
      <c r="B1" s="144"/>
      <c r="C1" s="144"/>
      <c r="D1" s="144"/>
      <c r="E1" s="144"/>
      <c r="F1" s="144"/>
      <c r="G1" s="145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LIDER!G4</f>
        <v>ECONOMÍA GENERAL</v>
      </c>
      <c r="C2" s="3"/>
      <c r="E2" s="147" t="s">
        <v>92</v>
      </c>
      <c r="F2" s="148"/>
      <c r="G2" s="148"/>
      <c r="H2" s="148"/>
      <c r="I2" s="148"/>
      <c r="J2" s="148"/>
      <c r="K2" s="149"/>
    </row>
    <row r="3" spans="1:11" s="2" customFormat="1" ht="145.5" customHeight="1" thickBot="1">
      <c r="B3" s="4" t="s">
        <v>93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0" t="str">
        <f>CONCATENATE(LIDER!G4," - ",LIDER!G6," - ",LIDER!G5)</f>
        <v>ECONOMÍA GENERAL - 1470 - GENIS PATRON ANTEQUERA</v>
      </c>
      <c r="F4" s="151"/>
      <c r="G4" s="151"/>
      <c r="H4" s="151"/>
      <c r="I4" s="151"/>
      <c r="J4" s="151"/>
      <c r="K4" s="152"/>
    </row>
    <row r="5" spans="1:11" s="2" customFormat="1" ht="15.75" customHeight="1" thickBot="1">
      <c r="A5" s="8"/>
      <c r="B5" s="27" t="s">
        <v>70</v>
      </c>
      <c r="C5" s="34" t="str">
        <f>IF('S-ASIG-05'!D5="","",'S-ASIG-05'!D5)</f>
        <v>LIST</v>
      </c>
      <c r="D5" s="35" t="s">
        <v>96</v>
      </c>
      <c r="E5" s="146" t="str">
        <f>LIDER!$E$29</f>
        <v>GRUPO#1</v>
      </c>
      <c r="F5" s="146"/>
      <c r="G5" s="146"/>
      <c r="H5" s="146"/>
      <c r="I5" s="146"/>
      <c r="J5" s="146"/>
      <c r="K5" s="146"/>
    </row>
    <row r="6" spans="1:11" s="2" customFormat="1" ht="12.75">
      <c r="A6" s="9">
        <v>1</v>
      </c>
      <c r="B6" s="28">
        <f>LIDER!E43</f>
        <v>0</v>
      </c>
      <c r="C6" s="33" t="str">
        <f>IF('S-ASIG-05'!D6="","",'S-ASIG-05'!D6)</f>
        <v/>
      </c>
      <c r="D6" s="30" t="str">
        <f>IF(B6=0,"",IF(C6="",$E$6*LIDER!$H$19+F6*LIDER!$H$20+G6*LIDER!$H$21+H6*LIDER!$H$22+I6*LIDER!$H$23+J6*LIDER!$H$24+K6*LIDER!$H$25,"N"))</f>
        <v/>
      </c>
      <c r="E6" s="142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Valentina Castro Ibarra</v>
      </c>
      <c r="C7" s="33" t="str">
        <f>IF('S-ASIG-05'!D7="","",'S-ASIG-05'!D7)</f>
        <v/>
      </c>
      <c r="D7" s="30">
        <f>IF(B7=0,"",IF(C7="",$E$6*LIDER!$H$19+F7*LIDER!$H$20+G7*LIDER!$H$21+H7*LIDER!$H$22+I7*LIDER!$H$23+J7*LIDER!$H$24+K7*LIDER!$H$25,"N"))</f>
        <v>0</v>
      </c>
      <c r="E7" s="142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Carmen Manuek Cruzate</v>
      </c>
      <c r="C8" s="33" t="str">
        <f>IF('S-ASIG-05'!D8="","",'S-ASIG-05'!D8)</f>
        <v/>
      </c>
      <c r="D8" s="30">
        <f>IF(B8=0,"",IF(C8="",$E$6*LIDER!$H$19+F8*LIDER!$H$20+G8*LIDER!$H$21+H8*LIDER!$H$22+I8*LIDER!$H$23+J8*LIDER!$H$24+K8*LIDER!$H$25,"N"))</f>
        <v>0</v>
      </c>
      <c r="E8" s="142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Yulieth Martinez Carrasquilla</v>
      </c>
      <c r="C9" s="33" t="str">
        <f>IF('S-ASIG-05'!D9="","",'S-ASIG-05'!D9)</f>
        <v/>
      </c>
      <c r="D9" s="30">
        <f>IF(B9=0,"",IF(C9="",$E$6*LIDER!$H$19+F9*LIDER!$H$20+G9*LIDER!$H$21+H9*LIDER!$H$22+I9*LIDER!$H$23+J9*LIDER!$H$24+K9*LIDER!$H$25,"N"))</f>
        <v>0</v>
      </c>
      <c r="E9" s="142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Angello Ortega Mesino</v>
      </c>
      <c r="C10" s="33" t="str">
        <f>IF('S-ASIG-05'!D10="","",'S-ASIG-05'!D10)</f>
        <v/>
      </c>
      <c r="D10" s="30">
        <f>IF(B10=0,"",IF(C10="",$E$6*LIDER!$H$19+F10*LIDER!$H$20+G10*LIDER!$H$21+H10*LIDER!$H$22+I10*LIDER!$H$23+J10*LIDER!$H$24+K10*LIDER!$H$25,"N"))</f>
        <v>0</v>
      </c>
      <c r="E10" s="142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IF('S-ASIG-05'!D11="","",'S-ASIG-05'!D11)</f>
        <v/>
      </c>
      <c r="D11" s="30" t="str">
        <f>IF(B11=0,"",IF(C11="",$E$6*LIDER!$H$19+F11*LIDER!$H$20+G11*LIDER!$H$21+H11*LIDER!$H$22+I11*LIDER!$H$23+J11*LIDER!$H$24+K11*LIDER!$H$25,"N"))</f>
        <v/>
      </c>
      <c r="E11" s="142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72</v>
      </c>
      <c r="C12" s="32" t="str">
        <f>IF('S-ASIG-05'!D12="","",'S-ASIG-05'!D12)</f>
        <v>LIST</v>
      </c>
      <c r="D12" s="35" t="s">
        <v>96</v>
      </c>
      <c r="E12" s="146" t="str">
        <f>LIDER!$E$30</f>
        <v>GRUPO#2</v>
      </c>
      <c r="F12" s="146"/>
      <c r="G12" s="146"/>
      <c r="H12" s="146"/>
      <c r="I12" s="146"/>
      <c r="J12" s="146"/>
      <c r="K12" s="146"/>
    </row>
    <row r="13" spans="1:11" s="2" customFormat="1" ht="12.75">
      <c r="A13" s="9">
        <v>1</v>
      </c>
      <c r="B13" s="28" t="str">
        <f>LIDER!F43</f>
        <v>Cesar Pajaro Ramos</v>
      </c>
      <c r="C13" s="33" t="str">
        <f>IF('S-ASIG-05'!D13="","",'S-ASIG-05'!D13)</f>
        <v/>
      </c>
      <c r="D13" s="30">
        <f>IF(B13=0,"",IF(C13="",$E$13*LIDER!$H$19+F13*LIDER!$H$20+G13*LIDER!$H$21+H13*LIDER!$H$22+I13*LIDER!$H$23+J13*LIDER!$H$24+K13*LIDER!$H$25,"N"))</f>
        <v>0</v>
      </c>
      <c r="E13" s="142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Elian Polo Soto</v>
      </c>
      <c r="C14" s="33" t="str">
        <f>IF('S-ASIG-05'!D14="","",'S-ASIG-05'!D14)</f>
        <v/>
      </c>
      <c r="D14" s="30">
        <f>IF(B14=0,"",IF(C14="",$E$13*LIDER!$H$19+F14*LIDER!$H$20+G14*LIDER!$H$21+H14*LIDER!$H$22+I14*LIDER!$H$23+J14*LIDER!$H$24+K14*LIDER!$H$25,"N"))</f>
        <v>0</v>
      </c>
      <c r="E14" s="142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Juan C Corrales de la Rosa</v>
      </c>
      <c r="C15" s="33" t="str">
        <f>IF('S-ASIG-05'!D15="","",'S-ASIG-05'!D15)</f>
        <v/>
      </c>
      <c r="D15" s="30">
        <f>IF(B15=0,"",IF(C15="",$E$13*LIDER!$H$19+F15*LIDER!$H$20+G15*LIDER!$H$21+H15*LIDER!$H$22+I15*LIDER!$H$23+J15*LIDER!$H$24+K15*LIDER!$H$25,"N"))</f>
        <v>0</v>
      </c>
      <c r="E15" s="142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Katerin Silva Peñate</v>
      </c>
      <c r="C16" s="33" t="str">
        <f>IF('S-ASIG-05'!D16="","",'S-ASIG-05'!D16)</f>
        <v/>
      </c>
      <c r="D16" s="30">
        <f>IF(B16=0,"",IF(C16="",$E$13*LIDER!$H$19+F16*LIDER!$H$20+G16*LIDER!$H$21+H16*LIDER!$H$22+I16*LIDER!$H$23+J16*LIDER!$H$24+K16*LIDER!$H$25,"N"))</f>
        <v>0</v>
      </c>
      <c r="E16" s="142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Yorcelis Mercado Guerra</v>
      </c>
      <c r="C17" s="33" t="str">
        <f>IF('S-ASIG-05'!D17="","",'S-ASIG-05'!D17)</f>
        <v/>
      </c>
      <c r="D17" s="30">
        <f>IF(B17=0,"",IF(C17="",$E$13*LIDER!$H$19+F17*LIDER!$H$20+G17*LIDER!$H$21+H17*LIDER!$H$22+I17*LIDER!$H$23+J17*LIDER!$H$24+K17*LIDER!$H$25,"N"))</f>
        <v>0</v>
      </c>
      <c r="E17" s="142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IF('S-ASIG-05'!D18="","",'S-ASIG-05'!D18)</f>
        <v/>
      </c>
      <c r="D18" s="30" t="str">
        <f>IF(B18=0,"",IF(C18="",$E$13*LIDER!$H$19+F18*LIDER!$H$20+G18*LIDER!$H$21+H18*LIDER!$H$22+I18*LIDER!$H$23+J18*LIDER!$H$24+K18*LIDER!$H$25,"N"))</f>
        <v/>
      </c>
      <c r="E18" s="142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74</v>
      </c>
      <c r="C19" s="32" t="str">
        <f>IF('S-ASIG-05'!D19="","",'S-ASIG-05'!D19)</f>
        <v>LIST</v>
      </c>
      <c r="D19" s="35" t="s">
        <v>96</v>
      </c>
      <c r="E19" s="146" t="str">
        <f>LIDER!$E$31</f>
        <v>GRUPO#3</v>
      </c>
      <c r="F19" s="146"/>
      <c r="G19" s="146"/>
      <c r="H19" s="146"/>
      <c r="I19" s="146"/>
      <c r="J19" s="146"/>
      <c r="K19" s="146"/>
    </row>
    <row r="20" spans="1:11" s="2" customFormat="1" ht="12.75">
      <c r="A20" s="9">
        <v>1</v>
      </c>
      <c r="B20" s="28" t="str">
        <f>LIDER!G43</f>
        <v>Lauren castilla Gonzalez</v>
      </c>
      <c r="C20" s="33" t="str">
        <f>IF('S-ASIG-05'!D20="","",'S-ASIG-05'!D20)</f>
        <v/>
      </c>
      <c r="D20" s="30">
        <f>IF(B20=0,"",IF(C20="",$E$20*LIDER!$H$19+F20*LIDER!$H$20+G20*LIDER!$H$21+H20*LIDER!$H$22+I20*LIDER!$H$23+J20*LIDER!$H$24+K20*LIDER!$H$25,"N"))</f>
        <v>0</v>
      </c>
      <c r="E20" s="142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Duvan Cespedes perez</v>
      </c>
      <c r="C21" s="33" t="str">
        <f>IF('S-ASIG-05'!D21="","",'S-ASIG-05'!D21)</f>
        <v/>
      </c>
      <c r="D21" s="30">
        <f>IF(B21=0,"",IF(C21="",$E$20*LIDER!$H$19+F21*LIDER!$H$20+G21*LIDER!$H$21+H21*LIDER!$H$22+I21*LIDER!$H$23+J21*LIDER!$H$24+K21*LIDER!$H$25,"N"))</f>
        <v>0</v>
      </c>
      <c r="E21" s="142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Isaac Faciolince Bustos</v>
      </c>
      <c r="C22" s="33" t="str">
        <f>IF('S-ASIG-05'!D22="","",'S-ASIG-05'!D22)</f>
        <v/>
      </c>
      <c r="D22" s="30">
        <f>IF(B22=0,"",IF(C22="",$E$20*LIDER!$H$19+F22*LIDER!$H$20+G22*LIDER!$H$21+H22*LIDER!$H$22+I22*LIDER!$H$23+J22*LIDER!$H$24+K22*LIDER!$H$25,"N"))</f>
        <v>0</v>
      </c>
      <c r="E22" s="142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Jesus Lopez Morales</v>
      </c>
      <c r="C23" s="33" t="str">
        <f>IF('S-ASIG-05'!D23="","",'S-ASIG-05'!D23)</f>
        <v/>
      </c>
      <c r="D23" s="30">
        <f>IF(B23=0,"",IF(C23="",$E$20*LIDER!$H$19+F23*LIDER!$H$20+G23*LIDER!$H$21+H23*LIDER!$H$22+I23*LIDER!$H$23+J23*LIDER!$H$24+K23*LIDER!$H$25,"N"))</f>
        <v>0</v>
      </c>
      <c r="E23" s="142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Dakar Moarles Paternina</v>
      </c>
      <c r="C24" s="33" t="str">
        <f>IF('S-ASIG-05'!D24="","",'S-ASIG-05'!D24)</f>
        <v/>
      </c>
      <c r="D24" s="30">
        <f>IF(B24=0,"",IF(C24="",$E$20*LIDER!$H$19+F24*LIDER!$H$20+G24*LIDER!$H$21+H24*LIDER!$H$22+I24*LIDER!$H$23+J24*LIDER!$H$24+K24*LIDER!$H$25,"N"))</f>
        <v>0</v>
      </c>
      <c r="E24" s="142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IF('S-ASIG-05'!D25="","",'S-ASIG-05'!D25)</f>
        <v/>
      </c>
      <c r="D25" s="30" t="str">
        <f>IF(B25=0,"",IF(C25="",$E$20*LIDER!$H$19+F25*LIDER!$H$20+G25*LIDER!$H$21+H25*LIDER!$H$22+I25*LIDER!$H$23+J25*LIDER!$H$24+K25*LIDER!$H$25,"N"))</f>
        <v/>
      </c>
      <c r="E25" s="142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76</v>
      </c>
      <c r="C26" s="32" t="str">
        <f>IF('S-ASIG-05'!D26="","",'S-ASIG-05'!D26)</f>
        <v>LIST</v>
      </c>
      <c r="D26" s="35" t="s">
        <v>96</v>
      </c>
      <c r="E26" s="146" t="str">
        <f>LIDER!$E$32</f>
        <v>GRUPO#4</v>
      </c>
      <c r="F26" s="146"/>
      <c r="G26" s="146"/>
      <c r="H26" s="146"/>
      <c r="I26" s="146"/>
      <c r="J26" s="146"/>
      <c r="K26" s="146"/>
    </row>
    <row r="27" spans="1:11" s="2" customFormat="1" ht="12.75">
      <c r="A27" s="9">
        <v>1</v>
      </c>
      <c r="B27" s="28" t="str">
        <f>LIDER!H43</f>
        <v>Ian Yoraco Berrio</v>
      </c>
      <c r="C27" s="33" t="str">
        <f>IF('S-ASIG-05'!D27="","",'S-ASIG-05'!D27)</f>
        <v/>
      </c>
      <c r="D27" s="30">
        <f>IF(B27=0,"",IF(C27="",$E$27*LIDER!$H$19+F27*LIDER!$H$20+G27*LIDER!$H$21+H27*LIDER!$H$22+I27*LIDER!$H$23+J27*LIDER!$H$24+K27*LIDER!$H$25,"N"))</f>
        <v>0</v>
      </c>
      <c r="E27" s="142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Nataly Castro Jimenez</v>
      </c>
      <c r="C28" s="33" t="str">
        <f>IF('S-ASIG-05'!D28="","",'S-ASIG-05'!D28)</f>
        <v/>
      </c>
      <c r="D28" s="30">
        <f>IF(B28=0,"",IF(C28="",$E$27*LIDER!$H$19+F28*LIDER!$H$20+G28*LIDER!$H$21+H28*LIDER!$H$22+I28*LIDER!$H$23+J28*LIDER!$H$24+K28*LIDER!$H$25,"N"))</f>
        <v>0</v>
      </c>
      <c r="E28" s="142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Oscar Lorduy Neira</v>
      </c>
      <c r="C29" s="33" t="str">
        <f>IF('S-ASIG-05'!D29="","",'S-ASIG-05'!D29)</f>
        <v/>
      </c>
      <c r="D29" s="30">
        <f>IF(B29=0,"",IF(C29="",$E$27*LIDER!$H$19+F29*LIDER!$H$20+G29*LIDER!$H$21+H29*LIDER!$H$22+I29*LIDER!$H$23+J29*LIDER!$H$24+K29*LIDER!$H$25,"N"))</f>
        <v>0</v>
      </c>
      <c r="E29" s="142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Carlos Orozco Valdes</v>
      </c>
      <c r="C30" s="33" t="str">
        <f>IF('S-ASIG-05'!D30="","",'S-ASIG-05'!D30)</f>
        <v/>
      </c>
      <c r="D30" s="30">
        <f>IF(B30=0,"",IF(C30="",$E$27*LIDER!$H$19+F30*LIDER!$H$20+G30*LIDER!$H$21+H30*LIDER!$H$22+I30*LIDER!$H$23+J30*LIDER!$H$24+K30*LIDER!$H$25,"N"))</f>
        <v>0</v>
      </c>
      <c r="E30" s="142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Sandri Valdez Sepulveda</v>
      </c>
      <c r="C31" s="33" t="str">
        <f>IF('S-ASIG-05'!D31="","",'S-ASIG-05'!D31)</f>
        <v/>
      </c>
      <c r="D31" s="30">
        <f>IF(B31=0,"",IF(C31="",$E$27*LIDER!$H$19+F31*LIDER!$H$20+G31*LIDER!$H$21+H31*LIDER!$H$22+I31*LIDER!$H$23+J31*LIDER!$H$24+K31*LIDER!$H$25,"N"))</f>
        <v>0</v>
      </c>
      <c r="E31" s="142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IF('S-ASIG-05'!D32="","",'S-ASIG-05'!D32)</f>
        <v/>
      </c>
      <c r="D32" s="30" t="str">
        <f>IF(B32=0,"",IF(C32="",$E$27*LIDER!$H$19+F32*LIDER!$H$20+G32*LIDER!$H$21+H32*LIDER!$H$22+I32*LIDER!$H$23+J32*LIDER!$H$24+K32*LIDER!$H$25,"N"))</f>
        <v/>
      </c>
      <c r="E32" s="142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78</v>
      </c>
      <c r="C33" s="32" t="str">
        <f>IF('S-ASIG-05'!D33="","",'S-ASIG-05'!D33)</f>
        <v>LIST</v>
      </c>
      <c r="D33" s="35" t="s">
        <v>96</v>
      </c>
      <c r="E33" s="146" t="str">
        <f>LIDER!$E$33</f>
        <v>GRUPO#5</v>
      </c>
      <c r="F33" s="146"/>
      <c r="G33" s="146"/>
      <c r="H33" s="146"/>
      <c r="I33" s="146"/>
      <c r="J33" s="146"/>
      <c r="K33" s="146"/>
    </row>
    <row r="34" spans="1:11" s="2" customFormat="1" ht="12.75">
      <c r="A34" s="9">
        <v>1</v>
      </c>
      <c r="B34" s="28" t="str">
        <f>LIDER!E51</f>
        <v>Adrian Marriaga Muñoz</v>
      </c>
      <c r="C34" s="33" t="str">
        <f>IF('S-ASIG-05'!D34="","",'S-ASIG-05'!D34)</f>
        <v/>
      </c>
      <c r="D34" s="30">
        <f>IF(B34=0,"",IF(C34="",$E$34*LIDER!$H$19+F34*LIDER!$H$20+G34*LIDER!$H$21+H34*LIDER!$H$22+I34*LIDER!$H$23+J34*LIDER!$H$24+K34*LIDER!$H$25,"N"))</f>
        <v>0</v>
      </c>
      <c r="E34" s="142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Kristin Perez martinez</v>
      </c>
      <c r="C35" s="33" t="str">
        <f>IF('S-ASIG-05'!D35="","",'S-ASIG-05'!D35)</f>
        <v/>
      </c>
      <c r="D35" s="30">
        <f>IF(B35=0,"",IF(C35="",$E$34*LIDER!$H$19+F35*LIDER!$H$20+G35*LIDER!$H$21+H35*LIDER!$H$22+I35*LIDER!$H$23+J35*LIDER!$H$24+K35*LIDER!$H$25,"N"))</f>
        <v>0</v>
      </c>
      <c r="E35" s="142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Nina Aguilar Sarabia</v>
      </c>
      <c r="C36" s="33" t="str">
        <f>IF('S-ASIG-05'!D36="","",'S-ASIG-05'!D36)</f>
        <v/>
      </c>
      <c r="D36" s="30">
        <f>IF(B36=0,"",IF(C36="",$E$34*LIDER!$H$19+F36*LIDER!$H$20+G36*LIDER!$H$21+H36*LIDER!$H$22+I36*LIDER!$H$23+J36*LIDER!$H$24+K36*LIDER!$H$25,"N"))</f>
        <v>0</v>
      </c>
      <c r="E36" s="142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Theres Theran caicedo</v>
      </c>
      <c r="C37" s="33" t="str">
        <f>IF('S-ASIG-05'!D37="","",'S-ASIG-05'!D37)</f>
        <v/>
      </c>
      <c r="D37" s="30">
        <f>IF(B37=0,"",IF(C37="",$E$34*LIDER!$H$19+F37*LIDER!$H$20+G37*LIDER!$H$21+H37*LIDER!$H$22+I37*LIDER!$H$23+J37*LIDER!$H$24+K37*LIDER!$H$25,"N"))</f>
        <v>0</v>
      </c>
      <c r="E37" s="142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Diego Cardona Bolaño</v>
      </c>
      <c r="C38" s="33" t="str">
        <f>IF('S-ASIG-05'!D38="","",'S-ASIG-05'!D38)</f>
        <v/>
      </c>
      <c r="D38" s="30">
        <f>IF(B38=0,"",IF(C38="",$E$34*LIDER!$H$19+F38*LIDER!$H$20+G38*LIDER!$H$21+H38*LIDER!$H$22+I38*LIDER!$H$23+J38*LIDER!$H$24+K38*LIDER!$H$25,"N"))</f>
        <v>0</v>
      </c>
      <c r="E38" s="142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 t="str">
        <f>LIDER!E56</f>
        <v>Jhamer Luis Maza Ramos</v>
      </c>
      <c r="C39" s="33" t="str">
        <f>IF('S-ASIG-05'!D39="","",'S-ASIG-05'!D39)</f>
        <v/>
      </c>
      <c r="D39" s="30">
        <f>IF(B39=0,"",IF(C39="",$E$34*LIDER!$H$19+F39*LIDER!$H$20+G39*LIDER!$H$21+H39*LIDER!$H$22+I39*LIDER!$H$23+J39*LIDER!$H$24+K39*LIDER!$H$25,"N"))</f>
        <v>0</v>
      </c>
      <c r="E39" s="142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80</v>
      </c>
      <c r="C40" s="32" t="str">
        <f>IF('S-ASIG-05'!D40="","",'S-ASIG-05'!D40)</f>
        <v>LIST</v>
      </c>
      <c r="D40" s="35" t="s">
        <v>96</v>
      </c>
      <c r="E40" s="146" t="str">
        <f>LIDER!$E$34</f>
        <v>GRUPO#6</v>
      </c>
      <c r="F40" s="146"/>
      <c r="G40" s="146"/>
      <c r="H40" s="146"/>
      <c r="I40" s="146"/>
      <c r="J40" s="146"/>
      <c r="K40" s="146"/>
    </row>
    <row r="41" spans="1:11" s="2" customFormat="1" ht="12.75">
      <c r="A41" s="9">
        <v>1</v>
      </c>
      <c r="B41" s="28" t="str">
        <f>LIDER!F51</f>
        <v>Yureidy Alarez Castellano</v>
      </c>
      <c r="C41" s="33" t="str">
        <f>IF('S-ASIG-05'!D41="","",'S-ASIG-05'!D41)</f>
        <v/>
      </c>
      <c r="D41" s="30">
        <f>IF(B41=0,"",IF(C41="",$E$41*LIDER!$H$19+F41*LIDER!$H$20+G41*LIDER!$H$21+H41*LIDER!$H$22+I41*LIDER!$H$23+J41*LIDER!$H$24+K41*LIDER!$H$25,"N"))</f>
        <v>0</v>
      </c>
      <c r="E41" s="142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Juan C Baldiris Espitia</v>
      </c>
      <c r="C42" s="33" t="str">
        <f>IF('S-ASIG-05'!D42="","",'S-ASIG-05'!D42)</f>
        <v/>
      </c>
      <c r="D42" s="30">
        <f>IF(B42=0,"",IF(C42="",$E$41*LIDER!$H$19+F42*LIDER!$H$20+G42*LIDER!$H$21+H42*LIDER!$H$22+I42*LIDER!$H$23+J42*LIDER!$H$24+K42*LIDER!$H$25,"N"))</f>
        <v>0</v>
      </c>
      <c r="E42" s="142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Andres F Torres Arroyo</v>
      </c>
      <c r="C43" s="33" t="str">
        <f>IF('S-ASIG-05'!D43="","",'S-ASIG-05'!D43)</f>
        <v/>
      </c>
      <c r="D43" s="30">
        <f>IF(B43=0,"",IF(C43="",$E$41*LIDER!$H$19+F43*LIDER!$H$20+G43*LIDER!$H$21+H43*LIDER!$H$22+I43*LIDER!$H$23+J43*LIDER!$H$24+K43*LIDER!$H$25,"N"))</f>
        <v>0</v>
      </c>
      <c r="E43" s="142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Sherlyn Villegas Maza</v>
      </c>
      <c r="C44" s="33" t="str">
        <f>IF('S-ASIG-05'!D44="","",'S-ASIG-05'!D44)</f>
        <v/>
      </c>
      <c r="D44" s="30">
        <f>IF(B44=0,"",IF(C44="",$E$41*LIDER!$H$19+F44*LIDER!$H$20+G44*LIDER!$H$21+H44*LIDER!$H$22+I44*LIDER!$H$23+J44*LIDER!$H$24+K44*LIDER!$H$25,"N"))</f>
        <v>0</v>
      </c>
      <c r="E44" s="142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Isaac Zapata Zapata</v>
      </c>
      <c r="C45" s="33" t="str">
        <f>IF('S-ASIG-05'!D45="","",'S-ASIG-05'!D45)</f>
        <v/>
      </c>
      <c r="D45" s="30">
        <f>IF(B45=0,"",IF(C45="",$E$41*LIDER!$H$19+F45*LIDER!$H$20+G45*LIDER!$H$21+H45*LIDER!$H$22+I45*LIDER!$H$23+J45*LIDER!$H$24+K45*LIDER!$H$25,"N"))</f>
        <v>0</v>
      </c>
      <c r="E45" s="142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IF('S-ASIG-05'!D46="","",'S-ASIG-05'!D46)</f>
        <v/>
      </c>
      <c r="D46" s="30" t="str">
        <f>IF(B46=0,"",IF(C46="",$E$41*LIDER!$H$19+F46*LIDER!$H$20+G46*LIDER!$H$21+H46*LIDER!$H$22+I46*LIDER!$H$23+J46*LIDER!$H$24+K46*LIDER!$H$25,"N"))</f>
        <v/>
      </c>
      <c r="E46" s="142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82</v>
      </c>
      <c r="C47" s="32" t="str">
        <f>IF('S-ASIG-05'!D47="","",'S-ASIG-05'!D47)</f>
        <v>LIST</v>
      </c>
      <c r="D47" s="35" t="s">
        <v>96</v>
      </c>
      <c r="E47" s="146" t="str">
        <f>LIDER!$E$35</f>
        <v>GRUPO#7</v>
      </c>
      <c r="F47" s="146"/>
      <c r="G47" s="146"/>
      <c r="H47" s="146"/>
      <c r="I47" s="146"/>
      <c r="J47" s="146"/>
      <c r="K47" s="146"/>
    </row>
    <row r="48" spans="1:11" s="2" customFormat="1" ht="12.75">
      <c r="A48" s="9">
        <v>1</v>
      </c>
      <c r="B48" s="28" t="str">
        <f>LIDER!G51</f>
        <v>Valeria Balesteros Almentero</v>
      </c>
      <c r="C48" s="33" t="str">
        <f>IF('S-ASIG-05'!D48="","",'S-ASIG-05'!D48)</f>
        <v/>
      </c>
      <c r="D48" s="30">
        <f>IF(B48=0,"",IF(C48="",$E$48*LIDER!$H$19+F48*LIDER!$H$20+G48*LIDER!$H$21+H48*LIDER!$H$22+I48*LIDER!$H$23+J48*LIDER!$H$24+K48*LIDER!$H$25,"N"))</f>
        <v>0</v>
      </c>
      <c r="E48" s="142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IF('S-ASIG-05'!D49="","",'S-ASIG-05'!D49)</f>
        <v/>
      </c>
      <c r="D49" s="30" t="str">
        <f>IF(B49=0,"",IF(C49="",$E$48*LIDER!$H$19+F49*LIDER!$H$20+G49*LIDER!$H$21+H49*LIDER!$H$22+I49*LIDER!$H$23+J49*LIDER!$H$24+K49*LIDER!$H$25,"N"))</f>
        <v/>
      </c>
      <c r="E49" s="142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IF('S-ASIG-05'!D50="","",'S-ASIG-05'!D50)</f>
        <v/>
      </c>
      <c r="D50" s="30" t="str">
        <f>IF(B50=0,"",IF(C50="",$E$48*LIDER!$H$19+F50*LIDER!$H$20+G50*LIDER!$H$21+H50*LIDER!$H$22+I50*LIDER!$H$23+J50*LIDER!$H$24+K50*LIDER!$H$25,"N"))</f>
        <v/>
      </c>
      <c r="E50" s="142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IF('S-ASIG-05'!D51="","",'S-ASIG-05'!D51)</f>
        <v/>
      </c>
      <c r="D51" s="30" t="str">
        <f>IF(B51=0,"",IF(C51="",$E$48*LIDER!$H$19+F51*LIDER!$H$20+G51*LIDER!$H$21+H51*LIDER!$H$22+I51*LIDER!$H$23+J51*LIDER!$H$24+K51*LIDER!$H$25,"N"))</f>
        <v/>
      </c>
      <c r="E51" s="142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IF('S-ASIG-05'!D52="","",'S-ASIG-05'!D52)</f>
        <v/>
      </c>
      <c r="D52" s="30" t="str">
        <f>IF(B52=0,"",IF(C52="",$E$48*LIDER!$H$19+F52*LIDER!$H$20+G52*LIDER!$H$21+H52*LIDER!$H$22+I52*LIDER!$H$23+J52*LIDER!$H$24+K52*LIDER!$H$25,"N"))</f>
        <v/>
      </c>
      <c r="E52" s="142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IF('S-ASIG-05'!D53="","",'S-ASIG-05'!D53)</f>
        <v/>
      </c>
      <c r="D53" s="30" t="str">
        <f>IF(B53=0,"",IF(C53="",$E$48*LIDER!$H$19+F53*LIDER!$H$20+G53*LIDER!$H$21+H53*LIDER!$H$22+I53*LIDER!$H$23+J53*LIDER!$H$24+K53*LIDER!$H$25,"N"))</f>
        <v/>
      </c>
      <c r="E53" s="142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84</v>
      </c>
      <c r="C54" s="32" t="str">
        <f>IF('S-ASIG-05'!D54="","",'S-ASIG-05'!D54)</f>
        <v>LIST</v>
      </c>
      <c r="D54" s="35" t="s">
        <v>96</v>
      </c>
      <c r="E54" s="146" t="str">
        <f>LIDER!$E$36</f>
        <v>GRUPO#8</v>
      </c>
      <c r="F54" s="146"/>
      <c r="G54" s="146"/>
      <c r="H54" s="146"/>
      <c r="I54" s="146"/>
      <c r="J54" s="146"/>
      <c r="K54" s="146"/>
    </row>
    <row r="55" spans="1:11" s="2" customFormat="1" ht="12.75">
      <c r="A55" s="9">
        <v>1</v>
      </c>
      <c r="B55" s="28">
        <f>LIDER!H51</f>
        <v>0</v>
      </c>
      <c r="C55" s="33" t="str">
        <f>IF('S-ASIG-05'!D55="","",'S-ASIG-05'!D55)</f>
        <v/>
      </c>
      <c r="D55" s="30" t="str">
        <f>IF(B55=0,"",IF(C55="",$E$55*LIDER!$H$19+F55*LIDER!$H$20+G55*LIDER!$H$21+H55*LIDER!$H$22+I55*LIDER!$H$23+J55*LIDER!$H$24+K55*LIDER!$H$25,"N"))</f>
        <v/>
      </c>
      <c r="E55" s="142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IF('S-ASIG-05'!D56="","",'S-ASIG-05'!D56)</f>
        <v/>
      </c>
      <c r="D56" s="30" t="str">
        <f>IF(B56=0,"",IF(C56="",$E$55*LIDER!$H$19+F56*LIDER!$H$20+G56*LIDER!$H$21+H56*LIDER!$H$22+I56*LIDER!$H$23+J56*LIDER!$H$24+K56*LIDER!$H$25,"N"))</f>
        <v/>
      </c>
      <c r="E56" s="142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IF('S-ASIG-05'!D57="","",'S-ASIG-05'!D57)</f>
        <v/>
      </c>
      <c r="D57" s="30" t="str">
        <f>IF(B57=0,"",IF(C57="",$E$55*LIDER!$H$19+F57*LIDER!$H$20+G57*LIDER!$H$21+H57*LIDER!$H$22+I57*LIDER!$H$23+J57*LIDER!$H$24+K57*LIDER!$H$25,"N"))</f>
        <v/>
      </c>
      <c r="E57" s="142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IF('S-ASIG-05'!D58="","",'S-ASIG-05'!D58)</f>
        <v/>
      </c>
      <c r="D58" s="30" t="str">
        <f>IF(B58=0,"",IF(C58="",$E$55*LIDER!$H$19+F58*LIDER!$H$20+G58*LIDER!$H$21+H58*LIDER!$H$22+I58*LIDER!$H$23+J58*LIDER!$H$24+K58*LIDER!$H$25,"N"))</f>
        <v/>
      </c>
      <c r="E58" s="142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IF('S-ASIG-05'!D59="","",'S-ASIG-05'!D59)</f>
        <v/>
      </c>
      <c r="D59" s="30" t="str">
        <f>IF(B59=0,"",IF(C59="",$E$55*LIDER!$H$19+F59*LIDER!$H$20+G59*LIDER!$H$21+H59*LIDER!$H$22+I59*LIDER!$H$23+J59*LIDER!$H$24+K59*LIDER!$H$25,"N"))</f>
        <v/>
      </c>
      <c r="E59" s="142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IF('S-ASIG-05'!D60="","",'S-ASIG-05'!D60)</f>
        <v/>
      </c>
      <c r="D60" s="30" t="str">
        <f>IF(B60=0,"",IF(C60="",$E$55*LIDER!$H$19+F60*LIDER!$H$20+G60*LIDER!$H$21+H60*LIDER!$H$22+I60*LIDER!$H$23+J60*LIDER!$H$24+K60*LIDER!$H$25,"N"))</f>
        <v/>
      </c>
      <c r="E60" s="14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86</v>
      </c>
      <c r="C61" s="32" t="str">
        <f>IF('S-ASIG-05'!D61="","",'S-ASIG-05'!D61)</f>
        <v>LIST</v>
      </c>
      <c r="D61" s="35" t="s">
        <v>96</v>
      </c>
      <c r="E61" s="146" t="str">
        <f>LIDER!$E$37</f>
        <v>GRUPO#9</v>
      </c>
      <c r="F61" s="146"/>
      <c r="G61" s="146"/>
      <c r="H61" s="146"/>
      <c r="I61" s="146"/>
      <c r="J61" s="146"/>
      <c r="K61" s="146"/>
    </row>
    <row r="62" spans="1:11" s="2" customFormat="1" ht="12.75">
      <c r="A62" s="9">
        <v>1</v>
      </c>
      <c r="B62" s="28">
        <f>LIDER!E59</f>
        <v>0</v>
      </c>
      <c r="C62" s="33" t="str">
        <f>IF('S-ASIG-05'!D62="","",'S-ASIG-05'!D62)</f>
        <v/>
      </c>
      <c r="D62" s="30" t="str">
        <f>IF(B62=0,"",IF(C62="",$E$62*LIDER!$H$19+F62*LIDER!$H$20+G62*LIDER!$H$21+H62*LIDER!$H$22+I62*LIDER!$H$23+J62*LIDER!$H$24+K62*LIDER!$H$25,"N"))</f>
        <v/>
      </c>
      <c r="E62" s="14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IF('S-ASIG-05'!D63="","",'S-ASIG-05'!D63)</f>
        <v/>
      </c>
      <c r="D63" s="30" t="str">
        <f>IF(B63=0,"",IF(C63="",$E$62*LIDER!$H$19+F63*LIDER!$H$20+G63*LIDER!$H$21+H63*LIDER!$H$22+I63*LIDER!$H$23+J63*LIDER!$H$24+K63*LIDER!$H$25,"N"))</f>
        <v/>
      </c>
      <c r="E63" s="14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IF('S-ASIG-05'!D64="","",'S-ASIG-05'!D64)</f>
        <v/>
      </c>
      <c r="D64" s="30" t="str">
        <f>IF(B64=0,"",IF(C64="",$E$62*LIDER!$H$19+F64*LIDER!$H$20+G64*LIDER!$H$21+H64*LIDER!$H$22+I64*LIDER!$H$23+J64*LIDER!$H$24+K64*LIDER!$H$25,"N"))</f>
        <v/>
      </c>
      <c r="E64" s="14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IF('S-ASIG-05'!D65="","",'S-ASIG-05'!D65)</f>
        <v/>
      </c>
      <c r="D65" s="30" t="str">
        <f>IF(B65=0,"",IF(C65="",$E$62*LIDER!$H$19+F65*LIDER!$H$20+G65*LIDER!$H$21+H65*LIDER!$H$22+I65*LIDER!$H$23+J65*LIDER!$H$24+K65*LIDER!$H$25,"N"))</f>
        <v/>
      </c>
      <c r="E65" s="14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IF('S-ASIG-05'!D66="","",'S-ASIG-05'!D66)</f>
        <v/>
      </c>
      <c r="D66" s="30" t="str">
        <f>IF(B66=0,"",IF(C66="",$E$62*LIDER!$H$19+F66*LIDER!$H$20+G66*LIDER!$H$21+H66*LIDER!$H$22+I66*LIDER!$H$23+J66*LIDER!$H$24+K66*LIDER!$H$25,"N"))</f>
        <v/>
      </c>
      <c r="E66" s="14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IF('S-ASIG-05'!D67="","",'S-ASIG-05'!D67)</f>
        <v/>
      </c>
      <c r="D67" s="30" t="str">
        <f>IF(B67=0,"",IF(C67="",$E$62*LIDER!$H$19+F67*LIDER!$H$20+G67*LIDER!$H$21+H67*LIDER!$H$22+I67*LIDER!$H$23+J67*LIDER!$H$24+K67*LIDER!$H$25,"N"))</f>
        <v/>
      </c>
      <c r="E67" s="14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88</v>
      </c>
      <c r="C68" s="32" t="str">
        <f>IF('S-ASIG-05'!D68="","",'S-ASIG-05'!D68)</f>
        <v>LIST</v>
      </c>
      <c r="D68" s="35" t="s">
        <v>96</v>
      </c>
      <c r="E68" s="146" t="str">
        <f>LIDER!$E$38</f>
        <v>GRUPO#10</v>
      </c>
      <c r="F68" s="146"/>
      <c r="G68" s="146"/>
      <c r="H68" s="146"/>
      <c r="I68" s="146"/>
      <c r="J68" s="146"/>
      <c r="K68" s="146"/>
    </row>
    <row r="69" spans="1:11" s="2" customFormat="1" ht="12.75">
      <c r="A69" s="9">
        <v>1</v>
      </c>
      <c r="B69" s="28">
        <f>LIDER!F59</f>
        <v>0</v>
      </c>
      <c r="C69" s="33" t="str">
        <f>IF('S-ASIG-05'!D69="","",'S-ASIG-05'!D69)</f>
        <v/>
      </c>
      <c r="D69" s="30" t="str">
        <f>IF(B69=0,"",IF(C69="",$E$69*LIDER!$H$19+F69*LIDER!$H$20+G69*LIDER!$H$21+H69*LIDER!$H$22+I69*LIDER!$H$23+J69*LIDER!$H$24+K69*LIDER!$H$25,"N"))</f>
        <v/>
      </c>
      <c r="E69" s="14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IF('S-ASIG-05'!D70="","",'S-ASIG-05'!D70)</f>
        <v/>
      </c>
      <c r="D70" s="30" t="str">
        <f>IF(B70=0,"",IF(C70="",$E$69*LIDER!$H$19+F70*LIDER!$H$20+G70*LIDER!$H$21+H70*LIDER!$H$22+I70*LIDER!$H$23+J70*LIDER!$H$24+K70*LIDER!$H$25,"N"))</f>
        <v/>
      </c>
      <c r="E70" s="14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IF('S-ASIG-05'!D71="","",'S-ASIG-05'!D71)</f>
        <v/>
      </c>
      <c r="D71" s="30" t="str">
        <f>IF(B71=0,"",IF(C71="",$E$69*LIDER!$H$19+F71*LIDER!$H$20+G71*LIDER!$H$21+H71*LIDER!$H$22+I71*LIDER!$H$23+J71*LIDER!$H$24+K71*LIDER!$H$25,"N"))</f>
        <v/>
      </c>
      <c r="E71" s="14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IF('S-ASIG-05'!D72="","",'S-ASIG-05'!D72)</f>
        <v/>
      </c>
      <c r="D72" s="30" t="str">
        <f>IF(B72=0,"",IF(C72="",$E$69*LIDER!$H$19+F72*LIDER!$H$20+G72*LIDER!$H$21+H72*LIDER!$H$22+I72*LIDER!$H$23+J72*LIDER!$H$24+K72*LIDER!$H$25,"N"))</f>
        <v/>
      </c>
      <c r="E72" s="14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IF('S-ASIG-05'!D73="","",'S-ASIG-05'!D73)</f>
        <v/>
      </c>
      <c r="D73" s="30" t="str">
        <f>IF(B73=0,"",IF(C73="",$E$69*LIDER!$H$19+F73*LIDER!$H$20+G73*LIDER!$H$21+H73*LIDER!$H$22+I73*LIDER!$H$23+J73*LIDER!$H$24+K73*LIDER!$H$25,"N"))</f>
        <v/>
      </c>
      <c r="E73" s="14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IF('S-ASIG-05'!D74="","",'S-ASIG-05'!D74)</f>
        <v/>
      </c>
      <c r="D74" s="30" t="str">
        <f>IF(B74=0,"",IF(C74="",$E$69*LIDER!$H$19+F74*LIDER!$H$20+G74*LIDER!$H$21+H74*LIDER!$H$22+I74*LIDER!$H$23+J74*LIDER!$H$24+K74*LIDER!$H$25,"N"))</f>
        <v/>
      </c>
      <c r="E74" s="14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90</v>
      </c>
      <c r="C75" s="32" t="str">
        <f>IF('S-ASIG-05'!D75="","",'S-ASIG-05'!D75)</f>
        <v>LIST</v>
      </c>
      <c r="D75" s="35" t="s">
        <v>96</v>
      </c>
      <c r="E75" s="146" t="str">
        <f>LIDER!$E$39</f>
        <v>GRUPO#11</v>
      </c>
      <c r="F75" s="146"/>
      <c r="G75" s="146"/>
      <c r="H75" s="146"/>
      <c r="I75" s="146"/>
      <c r="J75" s="146"/>
      <c r="K75" s="146"/>
    </row>
    <row r="76" spans="1:11" s="2" customFormat="1" ht="12.75">
      <c r="A76" s="9">
        <v>1</v>
      </c>
      <c r="B76" s="28">
        <f>LIDER!G59</f>
        <v>0</v>
      </c>
      <c r="C76" s="33" t="str">
        <f>IF('S-ASIG-05'!D76="","",'S-ASIG-05'!D76)</f>
        <v/>
      </c>
      <c r="D76" s="30" t="str">
        <f>IF(B76=0,"",IF(C76="",E76*LIDER!$H$19+F76*LIDER!$H$20+G76*LIDER!$H$21+H76*LIDER!$H$22+I76*LIDER!$H$23+J76*LIDER!$H$24+K76*LIDER!$H$25,"N"))</f>
        <v/>
      </c>
      <c r="E76" s="14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IF('S-ASIG-05'!D77="","",'S-ASIG-05'!D77)</f>
        <v/>
      </c>
      <c r="D77" s="30" t="str">
        <f>IF(B77=0,"",IF(C77="",E77*LIDER!$H$19+F77*LIDER!$H$20+G77*LIDER!$H$21+H77*LIDER!$H$22+I77*LIDER!$H$23+J77*LIDER!$H$24+K77*LIDER!$H$25,"N"))</f>
        <v/>
      </c>
      <c r="E77" s="14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IF('S-ASIG-05'!D78="","",'S-ASIG-05'!D78)</f>
        <v/>
      </c>
      <c r="D78" s="30" t="str">
        <f>IF(B78=0,"",IF(C78="",E78*LIDER!$H$19+F78*LIDER!$H$20+G78*LIDER!$H$21+H78*LIDER!$H$22+I78*LIDER!$H$23+J78*LIDER!$H$24+K78*LIDER!$H$25,"N"))</f>
        <v/>
      </c>
      <c r="E78" s="14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IF('S-ASIG-05'!D79="","",'S-ASIG-05'!D79)</f>
        <v/>
      </c>
      <c r="D79" s="30" t="str">
        <f>IF(B79=0,"",IF(C79="",E79*LIDER!$H$19+F79*LIDER!$H$20+G79*LIDER!$H$21+H79*LIDER!$H$22+I79*LIDER!$H$23+J79*LIDER!$H$24+K79*LIDER!$H$25,"N"))</f>
        <v/>
      </c>
      <c r="E79" s="14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IF('S-ASIG-05'!D80="","",'S-ASIG-05'!D80)</f>
        <v/>
      </c>
      <c r="D80" s="30" t="str">
        <f>IF(B80=0,"",IF(C80="",E80*LIDER!$H$19+F80*LIDER!$H$20+G80*LIDER!$H$21+H80*LIDER!$H$22+I80*LIDER!$H$23+J80*LIDER!$H$24+K80*LIDER!$H$25,"N"))</f>
        <v/>
      </c>
      <c r="E80" s="14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IF('S-ASIG-05'!D81="","",'S-ASIG-05'!D81)</f>
        <v/>
      </c>
      <c r="D81" s="30" t="str">
        <f>IF(B81=0,"",IF(C81="",E81*LIDER!$H$19+F81*LIDER!$H$20+G81*LIDER!$H$21+H81*LIDER!$H$22+I81*LIDER!$H$23+J81*LIDER!$H$24+K81*LIDER!$H$25,"N"))</f>
        <v/>
      </c>
      <c r="E81" s="14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91</v>
      </c>
      <c r="C82" s="32" t="str">
        <f>IF('S-ASIG-05'!D82="","",'S-ASIG-05'!D82)</f>
        <v>LIST</v>
      </c>
      <c r="D82" s="35" t="s">
        <v>96</v>
      </c>
      <c r="E82" s="146" t="str">
        <f>LIDER!$E$40</f>
        <v>GRUPO#12</v>
      </c>
      <c r="F82" s="146"/>
      <c r="G82" s="146"/>
      <c r="H82" s="146"/>
      <c r="I82" s="146"/>
      <c r="J82" s="146"/>
      <c r="K82" s="146"/>
    </row>
    <row r="83" spans="1:11" s="2" customFormat="1" ht="12.75">
      <c r="A83" s="9">
        <v>1</v>
      </c>
      <c r="B83" s="28">
        <f>LIDER!H59</f>
        <v>0</v>
      </c>
      <c r="C83" s="33" t="str">
        <f>IF('S-ASIG-05'!D83="","",'S-ASIG-05'!D83)</f>
        <v/>
      </c>
      <c r="D83" s="30" t="str">
        <f>IF(B83=0,"",IF(C83="",$E$83*LIDER!$H$19+F83*LIDER!$H$20+G83*LIDER!$H$21+H83*LIDER!$H$22+I83*LIDER!$H$23+J83*LIDER!$H$24+K83*LIDER!$H$25,"N"))</f>
        <v/>
      </c>
      <c r="E83" s="14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IF('S-ASIG-05'!D84="","",'S-ASIG-05'!D84)</f>
        <v/>
      </c>
      <c r="D84" s="30" t="str">
        <f>IF(B84=0,"",IF(C84="",$E$83*LIDER!$H$19+F84*LIDER!$H$20+G84*LIDER!$H$21+H84*LIDER!$H$22+I84*LIDER!$H$23+J84*LIDER!$H$24+K84*LIDER!$H$25,"N"))</f>
        <v/>
      </c>
      <c r="E84" s="14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IF('S-ASIG-05'!D85="","",'S-ASIG-05'!D85)</f>
        <v/>
      </c>
      <c r="D85" s="30" t="str">
        <f>IF(B85=0,"",IF(C85="",$E$83*LIDER!$H$19+F85*LIDER!$H$20+G85*LIDER!$H$21+H85*LIDER!$H$22+I85*LIDER!$H$23+J85*LIDER!$H$24+K85*LIDER!$H$25,"N"))</f>
        <v/>
      </c>
      <c r="E85" s="14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IF('S-ASIG-05'!D86="","",'S-ASIG-05'!D86)</f>
        <v/>
      </c>
      <c r="D86" s="30" t="str">
        <f>IF(B86=0,"",IF(C86="",$E$83*LIDER!$H$19+F86*LIDER!$H$20+G86*LIDER!$H$21+H86*LIDER!$H$22+I86*LIDER!$H$23+J86*LIDER!$H$24+K86*LIDER!$H$25,"N"))</f>
        <v/>
      </c>
      <c r="E86" s="14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IF('S-ASIG-05'!D87="","",'S-ASIG-05'!D87)</f>
        <v/>
      </c>
      <c r="D87" s="30" t="str">
        <f>IF(B87=0,"",IF(C87="",$E$83*LIDER!$H$19+F87*LIDER!$H$20+G87*LIDER!$H$21+H87*LIDER!$H$22+I87*LIDER!$H$23+J87*LIDER!$H$24+K87*LIDER!$H$25,"N"))</f>
        <v/>
      </c>
      <c r="E87" s="14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IF('S-ASIG-05'!D88="","",'S-ASIG-05'!D88)</f>
        <v/>
      </c>
      <c r="D88" s="31" t="str">
        <f>IF(B88=0,"",IF(C88="",$E$83*LIDER!$H$19+F88*LIDER!$H$20+G88*LIDER!$H$21+H88*LIDER!$H$22+I88*LIDER!$H$23+J88*LIDER!$H$24+K88*LIDER!$H$25,"N"))</f>
        <v/>
      </c>
      <c r="E88" s="153"/>
      <c r="F88" s="19"/>
      <c r="G88" s="19"/>
      <c r="H88" s="19"/>
      <c r="I88" s="19"/>
      <c r="J88" s="19"/>
      <c r="K88" s="19"/>
    </row>
  </sheetData>
  <sheetProtection algorithmName="SHA-512" hashValue="EP+/u9izMg4v/JpBzcF8E9Hnj0fl554SIzjI3B6gLErn6oU+48qBSQppD0E+mfJnby5g9/TVEb0cyDbGXyHArA==" saltValue="HJXgzXULMhyvYKPpWk9N/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86" priority="14">
      <formula>ISEVEN($A6)</formula>
    </cfRule>
  </conditionalFormatting>
  <conditionalFormatting sqref="A13:B18 D13:D18">
    <cfRule type="expression" dxfId="85" priority="13">
      <formula>ISEVEN($A13)</formula>
    </cfRule>
  </conditionalFormatting>
  <conditionalFormatting sqref="A20:B25 D20:D25">
    <cfRule type="expression" dxfId="84" priority="12">
      <formula>ISEVEN($A20)</formula>
    </cfRule>
  </conditionalFormatting>
  <conditionalFormatting sqref="A27:B32 D27:D32">
    <cfRule type="expression" dxfId="83" priority="11">
      <formula>ISEVEN($A27)</formula>
    </cfRule>
  </conditionalFormatting>
  <conditionalFormatting sqref="A34:B39 D34:D39">
    <cfRule type="expression" dxfId="82" priority="10">
      <formula>ISEVEN($A34)</formula>
    </cfRule>
  </conditionalFormatting>
  <conditionalFormatting sqref="A41:B46 D41:D46">
    <cfRule type="expression" dxfId="81" priority="9">
      <formula>ISEVEN($A41)</formula>
    </cfRule>
  </conditionalFormatting>
  <conditionalFormatting sqref="A48:B53 D48:D53">
    <cfRule type="expression" dxfId="80" priority="8">
      <formula>ISEVEN($A48)</formula>
    </cfRule>
  </conditionalFormatting>
  <conditionalFormatting sqref="A55:B60 D55:D60">
    <cfRule type="expression" dxfId="79" priority="7">
      <formula>ISEVEN($A55)</formula>
    </cfRule>
  </conditionalFormatting>
  <conditionalFormatting sqref="A62:B67 D62:D67">
    <cfRule type="expression" dxfId="78" priority="6">
      <formula>ISEVEN($A62)</formula>
    </cfRule>
  </conditionalFormatting>
  <conditionalFormatting sqref="A69:B74 D69:D74">
    <cfRule type="expression" dxfId="77" priority="5">
      <formula>ISEVEN($A69)</formula>
    </cfRule>
  </conditionalFormatting>
  <conditionalFormatting sqref="A76:B81 D76:D81">
    <cfRule type="expression" dxfId="76" priority="4">
      <formula>ISEVEN($A76)</formula>
    </cfRule>
  </conditionalFormatting>
  <conditionalFormatting sqref="A83:B88 D83:D88">
    <cfRule type="expression" dxfId="75" priority="3">
      <formula>ISEVEN($A83)</formula>
    </cfRule>
  </conditionalFormatting>
  <conditionalFormatting sqref="B6:B88">
    <cfRule type="cellIs" dxfId="74" priority="2" operator="equal">
      <formula>0</formula>
    </cfRule>
  </conditionalFormatting>
  <conditionalFormatting sqref="C5 B6:D88">
    <cfRule type="expression" dxfId="73" priority="1">
      <formula>$C5="N"</formula>
    </cfRule>
  </conditionalFormatting>
  <conditionalFormatting sqref="E6:K6 F7:K11">
    <cfRule type="expression" dxfId="72" priority="29">
      <formula>ISEVEN($A6)</formula>
    </cfRule>
  </conditionalFormatting>
  <conditionalFormatting sqref="E13:K13 F14:K18">
    <cfRule type="expression" dxfId="71" priority="28">
      <formula>ISEVEN($A13)</formula>
    </cfRule>
  </conditionalFormatting>
  <conditionalFormatting sqref="E20:K20 F21:K25">
    <cfRule type="expression" dxfId="70" priority="27">
      <formula>ISEVEN($A20)</formula>
    </cfRule>
  </conditionalFormatting>
  <conditionalFormatting sqref="E27:K27 F28:K32">
    <cfRule type="expression" dxfId="69" priority="26">
      <formula>ISEVEN($A27)</formula>
    </cfRule>
  </conditionalFormatting>
  <conditionalFormatting sqref="E34:K34 F35:K39">
    <cfRule type="expression" dxfId="68" priority="25">
      <formula>ISEVEN($A34)</formula>
    </cfRule>
  </conditionalFormatting>
  <conditionalFormatting sqref="E41:K41 F42:K46">
    <cfRule type="expression" dxfId="67" priority="24">
      <formula>ISEVEN($A41)</formula>
    </cfRule>
  </conditionalFormatting>
  <conditionalFormatting sqref="E48:K48 F49:K53">
    <cfRule type="expression" dxfId="66" priority="23">
      <formula>ISEVEN($A48)</formula>
    </cfRule>
  </conditionalFormatting>
  <conditionalFormatting sqref="E55:K55 F56:K60">
    <cfRule type="expression" dxfId="65" priority="22">
      <formula>ISEVEN($A55)</formula>
    </cfRule>
  </conditionalFormatting>
  <conditionalFormatting sqref="E62:K62 F63:K67">
    <cfRule type="expression" dxfId="64" priority="21">
      <formula>ISEVEN($A62)</formula>
    </cfRule>
  </conditionalFormatting>
  <conditionalFormatting sqref="E69:K69 F70:K74">
    <cfRule type="expression" dxfId="63" priority="20">
      <formula>ISEVEN($A69)</formula>
    </cfRule>
  </conditionalFormatting>
  <conditionalFormatting sqref="E76:K76 F77:K81">
    <cfRule type="expression" dxfId="62" priority="19">
      <formula>ISEVEN($A76)</formula>
    </cfRule>
  </conditionalFormatting>
  <conditionalFormatting sqref="E83:K83 F84:K88">
    <cfRule type="expression" dxfId="61" priority="18">
      <formula>ISEVEN($A83)</formula>
    </cfRule>
  </conditionalFormatting>
  <conditionalFormatting sqref="F6:K11 F13:K18 F20:K25 F27:K32 F34:K39 F41:K46 F48:K53 F55:K60 F62:K67 F69:K74 F76:K81 F83:K88">
    <cfRule type="expression" dxfId="60" priority="15">
      <formula>$D6="N"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53F8-C05A-4966-BB80-1E9405E1C821}">
  <dimension ref="A1:K88"/>
  <sheetViews>
    <sheetView zoomScale="80" zoomScaleNormal="80" workbookViewId="0">
      <pane xSplit="4" ySplit="3" topLeftCell="E45" activePane="bottomRight" state="frozen"/>
      <selection pane="bottomRight" activeCell="H51" sqref="H51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3" t="str">
        <f>LIDER!B2</f>
        <v>TECNOLOGÍA EN GESTIÓN DE NEGOCIOS INTERN</v>
      </c>
      <c r="B1" s="144"/>
      <c r="C1" s="144"/>
      <c r="D1" s="144"/>
      <c r="E1" s="144"/>
      <c r="F1" s="144"/>
      <c r="G1" s="145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 t="str">
        <f>LIDER!H4</f>
        <v>PROCESO ADMINISTRATIVO</v>
      </c>
      <c r="C2" s="3"/>
      <c r="E2" s="147" t="s">
        <v>92</v>
      </c>
      <c r="F2" s="148"/>
      <c r="G2" s="148"/>
      <c r="H2" s="148"/>
      <c r="I2" s="148"/>
      <c r="J2" s="148"/>
      <c r="K2" s="149"/>
    </row>
    <row r="3" spans="1:11" s="2" customFormat="1" ht="145.5" customHeight="1" thickBot="1">
      <c r="B3" s="4" t="s">
        <v>93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0" t="str">
        <f>CONCATENATE(LIDER!H4," - ",LIDER!H6," - ",LIDER!H5)</f>
        <v>PROCESO ADMINISTRATIVO - 1387 - JAFET GOMEZ IZQUIERDO</v>
      </c>
      <c r="F4" s="151"/>
      <c r="G4" s="151"/>
      <c r="H4" s="151"/>
      <c r="I4" s="151"/>
      <c r="J4" s="151"/>
      <c r="K4" s="152"/>
    </row>
    <row r="5" spans="1:11" s="2" customFormat="1" ht="15.75" customHeight="1" thickBot="1">
      <c r="A5" s="8"/>
      <c r="B5" s="27" t="s">
        <v>70</v>
      </c>
      <c r="C5" s="34" t="str">
        <f>IF('S-ASIG-06'!D5="","",'S-ASIG-06'!D5)</f>
        <v>LIST</v>
      </c>
      <c r="D5" s="35" t="s">
        <v>96</v>
      </c>
      <c r="E5" s="146" t="str">
        <f>LIDER!$E$29</f>
        <v>GRUPO#1</v>
      </c>
      <c r="F5" s="146"/>
      <c r="G5" s="146"/>
      <c r="H5" s="146"/>
      <c r="I5" s="146"/>
      <c r="J5" s="146"/>
      <c r="K5" s="146"/>
    </row>
    <row r="6" spans="1:11" s="2" customFormat="1" ht="12.75">
      <c r="A6" s="9">
        <v>1</v>
      </c>
      <c r="B6" s="28">
        <f>LIDER!E43</f>
        <v>0</v>
      </c>
      <c r="C6" s="33" t="str">
        <f>IF('S-ASIG-06'!D6="","",'S-ASIG-06'!D6)</f>
        <v/>
      </c>
      <c r="D6" s="30" t="str">
        <f>IF(B6=0,"",IF(C6="",$E$6*LIDER!$H$19+F6*LIDER!$H$20+G6*LIDER!$H$21+H6*LIDER!$H$22+I6*LIDER!$H$23+J6*LIDER!$H$24+K6*LIDER!$H$25,"N"))</f>
        <v/>
      </c>
      <c r="E6" s="142">
        <v>4</v>
      </c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Valentina Castro Ibarra</v>
      </c>
      <c r="C7" s="33" t="str">
        <f>IF('S-ASIG-06'!D7="","",'S-ASIG-06'!D7)</f>
        <v/>
      </c>
      <c r="D7" s="30">
        <f>IF(B7=0,"",IF(C7="",$E$6*LIDER!$H$19+F7*LIDER!$H$20+G7*LIDER!$H$21+H7*LIDER!$H$22+I7*LIDER!$H$23+J7*LIDER!$H$24+K7*LIDER!$H$25,"N"))</f>
        <v>3.98</v>
      </c>
      <c r="E7" s="142"/>
      <c r="F7" s="18">
        <v>4</v>
      </c>
      <c r="G7" s="18">
        <v>3.8</v>
      </c>
      <c r="H7" s="18">
        <v>4</v>
      </c>
      <c r="I7" s="18">
        <v>4</v>
      </c>
      <c r="J7" s="18">
        <v>4</v>
      </c>
      <c r="K7" s="18"/>
    </row>
    <row r="8" spans="1:11" s="2" customFormat="1" ht="15" customHeight="1">
      <c r="A8" s="12">
        <v>3</v>
      </c>
      <c r="B8" s="28" t="str">
        <f>LIDER!E45</f>
        <v>Carmen Manuek Cruzate</v>
      </c>
      <c r="C8" s="33" t="str">
        <f>IF('S-ASIG-06'!D8="","",'S-ASIG-06'!D8)</f>
        <v/>
      </c>
      <c r="D8" s="30">
        <f>IF(B8=0,"",IF(C8="",$E$6*LIDER!$H$19+F8*LIDER!$H$20+G8*LIDER!$H$21+H8*LIDER!$H$22+I8*LIDER!$H$23+J8*LIDER!$H$24+K8*LIDER!$H$25,"N"))</f>
        <v>4.04</v>
      </c>
      <c r="E8" s="142"/>
      <c r="F8" s="18">
        <v>4.2</v>
      </c>
      <c r="G8" s="18">
        <v>4</v>
      </c>
      <c r="H8" s="18">
        <v>4</v>
      </c>
      <c r="I8" s="18">
        <v>4</v>
      </c>
      <c r="J8" s="18">
        <v>4</v>
      </c>
      <c r="K8" s="18"/>
    </row>
    <row r="9" spans="1:11" s="2" customFormat="1" ht="15" customHeight="1">
      <c r="A9" s="12">
        <v>4</v>
      </c>
      <c r="B9" s="28" t="str">
        <f>LIDER!E46</f>
        <v>Yulieth Martinez Carrasquilla</v>
      </c>
      <c r="C9" s="33" t="str">
        <f>IF('S-ASIG-06'!D9="","",'S-ASIG-06'!D9)</f>
        <v/>
      </c>
      <c r="D9" s="30">
        <f>IF(B9=0,"",IF(C9="",$E$6*LIDER!$H$19+F9*LIDER!$H$20+G9*LIDER!$H$21+H9*LIDER!$H$22+I9*LIDER!$H$23+J9*LIDER!$H$24+K9*LIDER!$H$25,"N"))</f>
        <v>3.98</v>
      </c>
      <c r="E9" s="142"/>
      <c r="F9" s="18">
        <v>4</v>
      </c>
      <c r="G9" s="18">
        <v>3.8</v>
      </c>
      <c r="H9" s="18">
        <v>4</v>
      </c>
      <c r="I9" s="18">
        <v>4</v>
      </c>
      <c r="J9" s="18">
        <v>4</v>
      </c>
      <c r="K9" s="18"/>
    </row>
    <row r="10" spans="1:11" s="2" customFormat="1" ht="15" customHeight="1">
      <c r="A10" s="12">
        <v>5</v>
      </c>
      <c r="B10" s="28" t="str">
        <f>LIDER!E47</f>
        <v>Angello Ortega Mesino</v>
      </c>
      <c r="C10" s="33" t="str">
        <f>IF('S-ASIG-06'!D10="","",'S-ASIG-06'!D10)</f>
        <v/>
      </c>
      <c r="D10" s="30">
        <f>IF(B10=0,"",IF(C10="",$E$6*LIDER!$H$19+F10*LIDER!$H$20+G10*LIDER!$H$21+H10*LIDER!$H$22+I10*LIDER!$H$23+J10*LIDER!$H$24+K10*LIDER!$H$25,"N"))</f>
        <v>3.98</v>
      </c>
      <c r="E10" s="142"/>
      <c r="F10" s="18">
        <v>4</v>
      </c>
      <c r="G10" s="18">
        <v>3.8</v>
      </c>
      <c r="H10" s="18">
        <v>4</v>
      </c>
      <c r="I10" s="18">
        <v>4</v>
      </c>
      <c r="J10" s="18">
        <v>4</v>
      </c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IF('S-ASIG-06'!D11="","",'S-ASIG-06'!D11)</f>
        <v/>
      </c>
      <c r="D11" s="30" t="str">
        <f>IF(B11=0,"",IF(C11="",$E$6*LIDER!$H$19+F11*LIDER!$H$20+G11*LIDER!$H$21+H11*LIDER!$H$22+I11*LIDER!$H$23+J11*LIDER!$H$24+K11*LIDER!$H$25,"N"))</f>
        <v/>
      </c>
      <c r="E11" s="142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72</v>
      </c>
      <c r="C12" s="32" t="str">
        <f>IF('S-ASIG-06'!D12="","",'S-ASIG-06'!D12)</f>
        <v>LIST</v>
      </c>
      <c r="D12" s="35" t="s">
        <v>96</v>
      </c>
      <c r="E12" s="146" t="str">
        <f>LIDER!$E$30</f>
        <v>GRUPO#2</v>
      </c>
      <c r="F12" s="146"/>
      <c r="G12" s="146"/>
      <c r="H12" s="146"/>
      <c r="I12" s="146"/>
      <c r="J12" s="146"/>
      <c r="K12" s="146"/>
    </row>
    <row r="13" spans="1:11" s="2" customFormat="1" ht="12.75">
      <c r="A13" s="9">
        <v>1</v>
      </c>
      <c r="B13" s="28" t="str">
        <f>LIDER!F43</f>
        <v>Cesar Pajaro Ramos</v>
      </c>
      <c r="C13" s="33" t="str">
        <f>IF('S-ASIG-06'!D13="","",'S-ASIG-06'!D13)</f>
        <v/>
      </c>
      <c r="D13" s="30">
        <f>IF(B13=0,"",IF(C13="",$E$13*LIDER!$H$19+F13*LIDER!$H$20+G13*LIDER!$H$21+H13*LIDER!$H$22+I13*LIDER!$H$23+J13*LIDER!$H$24+K13*LIDER!$H$25,"N"))</f>
        <v>4</v>
      </c>
      <c r="E13" s="142">
        <v>4</v>
      </c>
      <c r="F13" s="24">
        <v>4</v>
      </c>
      <c r="G13" s="24">
        <v>4</v>
      </c>
      <c r="H13" s="24">
        <v>4</v>
      </c>
      <c r="I13" s="24">
        <v>4</v>
      </c>
      <c r="J13" s="24">
        <v>4</v>
      </c>
      <c r="K13" s="24"/>
    </row>
    <row r="14" spans="1:11" s="2" customFormat="1" ht="15" customHeight="1">
      <c r="A14" s="12">
        <v>2</v>
      </c>
      <c r="B14" s="28" t="str">
        <f>LIDER!F44</f>
        <v>Elian Polo Soto</v>
      </c>
      <c r="C14" s="33" t="str">
        <f>IF('S-ASIG-06'!D14="","",'S-ASIG-06'!D14)</f>
        <v/>
      </c>
      <c r="D14" s="30">
        <f>IF(B14=0,"",IF(C14="",$E$13*LIDER!$H$19+F14*LIDER!$H$20+G14*LIDER!$H$21+H14*LIDER!$H$22+I14*LIDER!$H$23+J14*LIDER!$H$24+K14*LIDER!$H$25,"N"))</f>
        <v>4</v>
      </c>
      <c r="E14" s="142"/>
      <c r="F14" s="18">
        <v>4</v>
      </c>
      <c r="G14" s="18">
        <v>4</v>
      </c>
      <c r="H14" s="18">
        <v>4</v>
      </c>
      <c r="I14" s="18">
        <v>4</v>
      </c>
      <c r="J14" s="18">
        <v>4</v>
      </c>
      <c r="K14" s="18"/>
    </row>
    <row r="15" spans="1:11" s="2" customFormat="1" ht="15" customHeight="1">
      <c r="A15" s="12">
        <v>3</v>
      </c>
      <c r="B15" s="28" t="str">
        <f>LIDER!F45</f>
        <v>Juan C Corrales de la Rosa</v>
      </c>
      <c r="C15" s="33" t="str">
        <f>IF('S-ASIG-06'!D15="","",'S-ASIG-06'!D15)</f>
        <v/>
      </c>
      <c r="D15" s="30">
        <f>IF(B15=0,"",IF(C15="",$E$13*LIDER!$H$19+F15*LIDER!$H$20+G15*LIDER!$H$21+H15*LIDER!$H$22+I15*LIDER!$H$23+J15*LIDER!$H$24+K15*LIDER!$H$25,"N"))</f>
        <v>3.94</v>
      </c>
      <c r="E15" s="142"/>
      <c r="F15" s="18">
        <v>3.8</v>
      </c>
      <c r="G15" s="18">
        <v>3.8</v>
      </c>
      <c r="H15" s="18">
        <v>4</v>
      </c>
      <c r="I15" s="18">
        <v>4</v>
      </c>
      <c r="J15" s="18">
        <v>4</v>
      </c>
      <c r="K15" s="18"/>
    </row>
    <row r="16" spans="1:11" s="2" customFormat="1" ht="15" customHeight="1">
      <c r="A16" s="12">
        <v>4</v>
      </c>
      <c r="B16" s="28" t="str">
        <f>LIDER!F46</f>
        <v>Katerin Silva Peñate</v>
      </c>
      <c r="C16" s="33" t="str">
        <f>IF('S-ASIG-06'!D16="","",'S-ASIG-06'!D16)</f>
        <v/>
      </c>
      <c r="D16" s="30">
        <f>IF(B16=0,"",IF(C16="",$E$13*LIDER!$H$19+F16*LIDER!$H$20+G16*LIDER!$H$21+H16*LIDER!$H$22+I16*LIDER!$H$23+J16*LIDER!$H$24+K16*LIDER!$H$25,"N"))</f>
        <v>3.98</v>
      </c>
      <c r="E16" s="142"/>
      <c r="F16" s="18">
        <v>4</v>
      </c>
      <c r="G16" s="18">
        <v>3.8</v>
      </c>
      <c r="H16" s="18">
        <v>4</v>
      </c>
      <c r="I16" s="18">
        <v>4</v>
      </c>
      <c r="J16" s="18">
        <v>4</v>
      </c>
      <c r="K16" s="18"/>
    </row>
    <row r="17" spans="1:11" s="2" customFormat="1" ht="15" customHeight="1">
      <c r="A17" s="12">
        <v>5</v>
      </c>
      <c r="B17" s="28" t="str">
        <f>LIDER!F47</f>
        <v>Yorcelis Mercado Guerra</v>
      </c>
      <c r="C17" s="33" t="str">
        <f>IF('S-ASIG-06'!D17="","",'S-ASIG-06'!D17)</f>
        <v/>
      </c>
      <c r="D17" s="30">
        <f>IF(B17=0,"",IF(C17="",$E$13*LIDER!$H$19+F17*LIDER!$H$20+G17*LIDER!$H$21+H17*LIDER!$H$22+I17*LIDER!$H$23+J17*LIDER!$H$24+K17*LIDER!$H$25,"N"))</f>
        <v>4.0200000000000005</v>
      </c>
      <c r="E17" s="142"/>
      <c r="F17" s="18">
        <v>4</v>
      </c>
      <c r="G17" s="18">
        <v>4.2</v>
      </c>
      <c r="H17" s="18">
        <v>4</v>
      </c>
      <c r="I17" s="18">
        <v>4</v>
      </c>
      <c r="J17" s="18">
        <v>4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IF('S-ASIG-06'!D18="","",'S-ASIG-06'!D18)</f>
        <v/>
      </c>
      <c r="D18" s="30" t="str">
        <f>IF(B18=0,"",IF(C18="",$E$13*LIDER!$H$19+F18*LIDER!$H$20+G18*LIDER!$H$21+H18*LIDER!$H$22+I18*LIDER!$H$23+J18*LIDER!$H$24+K18*LIDER!$H$25,"N"))</f>
        <v/>
      </c>
      <c r="E18" s="142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74</v>
      </c>
      <c r="C19" s="32" t="str">
        <f>IF('S-ASIG-06'!D19="","",'S-ASIG-06'!D19)</f>
        <v>LIST</v>
      </c>
      <c r="D19" s="35" t="s">
        <v>96</v>
      </c>
      <c r="E19" s="146" t="str">
        <f>LIDER!$E$31</f>
        <v>GRUPO#3</v>
      </c>
      <c r="F19" s="146"/>
      <c r="G19" s="146"/>
      <c r="H19" s="146"/>
      <c r="I19" s="146"/>
      <c r="J19" s="146"/>
      <c r="K19" s="146"/>
    </row>
    <row r="20" spans="1:11" s="2" customFormat="1" ht="12.75">
      <c r="A20" s="9">
        <v>1</v>
      </c>
      <c r="B20" s="28" t="str">
        <f>LIDER!G43</f>
        <v>Lauren castilla Gonzalez</v>
      </c>
      <c r="C20" s="33" t="str">
        <f>IF('S-ASIG-06'!D20="","",'S-ASIG-06'!D20)</f>
        <v/>
      </c>
      <c r="D20" s="30">
        <f>IF(B20=0,"",IF(C20="",$E$20*LIDER!$H$19+F20*LIDER!$H$20+G20*LIDER!$H$21+H20*LIDER!$H$22+I20*LIDER!$H$23+J20*LIDER!$H$24+K20*LIDER!$H$25,"N"))</f>
        <v>3.8250000000000002</v>
      </c>
      <c r="E20" s="142">
        <v>4</v>
      </c>
      <c r="F20" s="24">
        <v>3.5</v>
      </c>
      <c r="G20" s="24">
        <v>3.5</v>
      </c>
      <c r="H20" s="24">
        <v>3.5</v>
      </c>
      <c r="I20" s="24">
        <v>4</v>
      </c>
      <c r="J20" s="24">
        <v>4</v>
      </c>
      <c r="K20" s="24"/>
    </row>
    <row r="21" spans="1:11" s="2" customFormat="1" ht="15" customHeight="1">
      <c r="A21" s="12">
        <v>2</v>
      </c>
      <c r="B21" s="28" t="str">
        <f>LIDER!G44</f>
        <v>Duvan Cespedes perez</v>
      </c>
      <c r="C21" s="33" t="str">
        <f>IF('S-ASIG-06'!D21="","",'S-ASIG-06'!D21)</f>
        <v/>
      </c>
      <c r="D21" s="30">
        <f>IF(B21=0,"",IF(C21="",$E$20*LIDER!$H$19+F21*LIDER!$H$20+G21*LIDER!$H$21+H21*LIDER!$H$22+I21*LIDER!$H$23+J21*LIDER!$H$24+K21*LIDER!$H$25,"N"))</f>
        <v>3.8250000000000002</v>
      </c>
      <c r="E21" s="142"/>
      <c r="F21" s="18">
        <v>3.5</v>
      </c>
      <c r="G21" s="18">
        <v>3.5</v>
      </c>
      <c r="H21" s="18">
        <v>3.5</v>
      </c>
      <c r="I21" s="18">
        <v>4</v>
      </c>
      <c r="J21" s="18">
        <v>4</v>
      </c>
      <c r="K21" s="18"/>
    </row>
    <row r="22" spans="1:11" s="2" customFormat="1" ht="15" customHeight="1">
      <c r="A22" s="12">
        <v>3</v>
      </c>
      <c r="B22" s="28" t="str">
        <f>LIDER!G45</f>
        <v>Isaac Faciolince Bustos</v>
      </c>
      <c r="C22" s="33" t="str">
        <f>IF('S-ASIG-06'!D22="","",'S-ASIG-06'!D22)</f>
        <v/>
      </c>
      <c r="D22" s="30">
        <f>IF(B22=0,"",IF(C22="",$E$20*LIDER!$H$19+F22*LIDER!$H$20+G22*LIDER!$H$21+H22*LIDER!$H$22+I22*LIDER!$H$23+J22*LIDER!$H$24+K22*LIDER!$H$25,"N"))</f>
        <v>3.8250000000000002</v>
      </c>
      <c r="E22" s="142"/>
      <c r="F22" s="18">
        <v>3.5</v>
      </c>
      <c r="G22" s="18">
        <v>3.5</v>
      </c>
      <c r="H22" s="18">
        <v>3.5</v>
      </c>
      <c r="I22" s="18">
        <v>4</v>
      </c>
      <c r="J22" s="18">
        <v>4</v>
      </c>
      <c r="K22" s="18"/>
    </row>
    <row r="23" spans="1:11" s="2" customFormat="1" ht="15" customHeight="1">
      <c r="A23" s="12">
        <v>4</v>
      </c>
      <c r="B23" s="28" t="str">
        <f>LIDER!G46</f>
        <v>Jesus Lopez Morales</v>
      </c>
      <c r="C23" s="33" t="str">
        <f>IF('S-ASIG-06'!D23="","",'S-ASIG-06'!D23)</f>
        <v/>
      </c>
      <c r="D23" s="30">
        <f>IF(B23=0,"",IF(C23="",$E$20*LIDER!$H$19+F23*LIDER!$H$20+G23*LIDER!$H$21+H23*LIDER!$H$22+I23*LIDER!$H$23+J23*LIDER!$H$24+K23*LIDER!$H$25,"N"))</f>
        <v>3.8250000000000002</v>
      </c>
      <c r="E23" s="142"/>
      <c r="F23" s="18">
        <v>3.5</v>
      </c>
      <c r="G23" s="18">
        <v>3.5</v>
      </c>
      <c r="H23" s="18">
        <v>3.5</v>
      </c>
      <c r="I23" s="18">
        <v>4</v>
      </c>
      <c r="J23" s="18">
        <v>4</v>
      </c>
      <c r="K23" s="18"/>
    </row>
    <row r="24" spans="1:11" s="2" customFormat="1" ht="15" customHeight="1">
      <c r="A24" s="12">
        <v>5</v>
      </c>
      <c r="B24" s="28" t="str">
        <f>LIDER!G47</f>
        <v>Dakar Moarles Paternina</v>
      </c>
      <c r="C24" s="33" t="str">
        <f>IF('S-ASIG-06'!D24="","",'S-ASIG-06'!D24)</f>
        <v/>
      </c>
      <c r="D24" s="30">
        <f>IF(B24=0,"",IF(C24="",$E$20*LIDER!$H$19+F24*LIDER!$H$20+G24*LIDER!$H$21+H24*LIDER!$H$22+I24*LIDER!$H$23+J24*LIDER!$H$24+K24*LIDER!$H$25,"N"))</f>
        <v>3.8250000000000002</v>
      </c>
      <c r="E24" s="142"/>
      <c r="F24" s="18">
        <v>3.5</v>
      </c>
      <c r="G24" s="18">
        <v>3.5</v>
      </c>
      <c r="H24" s="18">
        <v>3.5</v>
      </c>
      <c r="I24" s="18">
        <v>4</v>
      </c>
      <c r="J24" s="18">
        <v>4</v>
      </c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IF('S-ASIG-06'!D25="","",'S-ASIG-06'!D25)</f>
        <v/>
      </c>
      <c r="D25" s="30" t="str">
        <f>IF(B25=0,"",IF(C25="",$E$20*LIDER!$H$19+F25*LIDER!$H$20+G25*LIDER!$H$21+H25*LIDER!$H$22+I25*LIDER!$H$23+J25*LIDER!$H$24+K25*LIDER!$H$25,"N"))</f>
        <v/>
      </c>
      <c r="E25" s="142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76</v>
      </c>
      <c r="C26" s="32" t="str">
        <f>IF('S-ASIG-06'!D26="","",'S-ASIG-06'!D26)</f>
        <v>LIST</v>
      </c>
      <c r="D26" s="35" t="s">
        <v>96</v>
      </c>
      <c r="E26" s="146" t="str">
        <f>LIDER!$E$32</f>
        <v>GRUPO#4</v>
      </c>
      <c r="F26" s="146"/>
      <c r="G26" s="146"/>
      <c r="H26" s="146"/>
      <c r="I26" s="146"/>
      <c r="J26" s="146"/>
      <c r="K26" s="146"/>
    </row>
    <row r="27" spans="1:11" s="2" customFormat="1" ht="12.75">
      <c r="A27" s="9">
        <v>1</v>
      </c>
      <c r="B27" s="28" t="str">
        <f>LIDER!H43</f>
        <v>Ian Yoraco Berrio</v>
      </c>
      <c r="C27" s="33" t="str">
        <f>IF('S-ASIG-06'!D27="","",'S-ASIG-06'!D27)</f>
        <v/>
      </c>
      <c r="D27" s="30">
        <f>IF(B27=0,"",IF(C27="",$E$27*LIDER!$H$19+F27*LIDER!$H$20+G27*LIDER!$H$21+H27*LIDER!$H$22+I27*LIDER!$H$23+J27*LIDER!$H$24+K27*LIDER!$H$25,"N"))</f>
        <v>3.9699999999999998</v>
      </c>
      <c r="E27" s="142">
        <v>4</v>
      </c>
      <c r="F27" s="24">
        <v>4</v>
      </c>
      <c r="G27" s="24">
        <v>3.8</v>
      </c>
      <c r="H27" s="24">
        <v>3.8</v>
      </c>
      <c r="I27" s="24">
        <v>4</v>
      </c>
      <c r="J27" s="24">
        <v>4</v>
      </c>
      <c r="K27" s="24"/>
    </row>
    <row r="28" spans="1:11" s="2" customFormat="1" ht="15" customHeight="1">
      <c r="A28" s="12">
        <v>2</v>
      </c>
      <c r="B28" s="28" t="str">
        <f>LIDER!H44</f>
        <v>Nataly Castro Jimenez</v>
      </c>
      <c r="C28" s="33" t="str">
        <f>IF('S-ASIG-06'!D28="","",'S-ASIG-06'!D28)</f>
        <v/>
      </c>
      <c r="D28" s="30">
        <f>IF(B28=0,"",IF(C28="",$E$27*LIDER!$H$19+F28*LIDER!$H$20+G28*LIDER!$H$21+H28*LIDER!$H$22+I28*LIDER!$H$23+J28*LIDER!$H$24+K28*LIDER!$H$25,"N"))</f>
        <v>3.9699999999999998</v>
      </c>
      <c r="E28" s="142"/>
      <c r="F28" s="18">
        <v>4</v>
      </c>
      <c r="G28" s="18">
        <v>3.8</v>
      </c>
      <c r="H28" s="18">
        <v>3.8</v>
      </c>
      <c r="I28" s="18">
        <v>4</v>
      </c>
      <c r="J28" s="18">
        <v>4</v>
      </c>
      <c r="K28" s="18"/>
    </row>
    <row r="29" spans="1:11" s="2" customFormat="1" ht="15" customHeight="1">
      <c r="A29" s="12">
        <v>3</v>
      </c>
      <c r="B29" s="28" t="str">
        <f>LIDER!H45</f>
        <v>Oscar Lorduy Neira</v>
      </c>
      <c r="C29" s="33" t="str">
        <f>IF('S-ASIG-06'!D29="","",'S-ASIG-06'!D29)</f>
        <v/>
      </c>
      <c r="D29" s="30">
        <f>IF(B29=0,"",IF(C29="",$E$27*LIDER!$H$19+F29*LIDER!$H$20+G29*LIDER!$H$21+H29*LIDER!$H$22+I29*LIDER!$H$23+J29*LIDER!$H$24+K29*LIDER!$H$25,"N"))</f>
        <v>3.9699999999999998</v>
      </c>
      <c r="E29" s="142"/>
      <c r="F29" s="18">
        <v>4</v>
      </c>
      <c r="G29" s="18">
        <v>3.8</v>
      </c>
      <c r="H29" s="18">
        <v>3.8</v>
      </c>
      <c r="I29" s="18">
        <v>4</v>
      </c>
      <c r="J29" s="18">
        <v>4</v>
      </c>
      <c r="K29" s="18"/>
    </row>
    <row r="30" spans="1:11" s="2" customFormat="1" ht="15" customHeight="1">
      <c r="A30" s="12">
        <v>4</v>
      </c>
      <c r="B30" s="28" t="str">
        <f>LIDER!H46</f>
        <v>Carlos Orozco Valdes</v>
      </c>
      <c r="C30" s="33" t="str">
        <f>IF('S-ASIG-06'!D30="","",'S-ASIG-06'!D30)</f>
        <v/>
      </c>
      <c r="D30" s="30">
        <f>IF(B30=0,"",IF(C30="",$E$27*LIDER!$H$19+F30*LIDER!$H$20+G30*LIDER!$H$21+H30*LIDER!$H$22+I30*LIDER!$H$23+J30*LIDER!$H$24+K30*LIDER!$H$25,"N"))</f>
        <v>3.9699999999999998</v>
      </c>
      <c r="E30" s="142"/>
      <c r="F30" s="18">
        <v>4</v>
      </c>
      <c r="G30" s="18">
        <v>3.8</v>
      </c>
      <c r="H30" s="18">
        <v>3.8</v>
      </c>
      <c r="I30" s="18">
        <v>4</v>
      </c>
      <c r="J30" s="18">
        <v>4</v>
      </c>
      <c r="K30" s="18"/>
    </row>
    <row r="31" spans="1:11" s="2" customFormat="1" ht="15" customHeight="1">
      <c r="A31" s="12">
        <v>5</v>
      </c>
      <c r="B31" s="28" t="str">
        <f>LIDER!H47</f>
        <v>Sandri Valdez Sepulveda</v>
      </c>
      <c r="C31" s="33" t="str">
        <f>IF('S-ASIG-06'!D31="","",'S-ASIG-06'!D31)</f>
        <v/>
      </c>
      <c r="D31" s="30">
        <f>IF(B31=0,"",IF(C31="",$E$27*LIDER!$H$19+F31*LIDER!$H$20+G31*LIDER!$H$21+H31*LIDER!$H$22+I31*LIDER!$H$23+J31*LIDER!$H$24+K31*LIDER!$H$25,"N"))</f>
        <v>3.9699999999999998</v>
      </c>
      <c r="E31" s="142"/>
      <c r="F31" s="18">
        <v>4</v>
      </c>
      <c r="G31" s="18">
        <v>3.8</v>
      </c>
      <c r="H31" s="18">
        <v>3.8</v>
      </c>
      <c r="I31" s="18">
        <v>4</v>
      </c>
      <c r="J31" s="18">
        <v>4</v>
      </c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IF('S-ASIG-06'!D32="","",'S-ASIG-06'!D32)</f>
        <v/>
      </c>
      <c r="D32" s="30" t="str">
        <f>IF(B32=0,"",IF(C32="",$E$27*LIDER!$H$19+F32*LIDER!$H$20+G32*LIDER!$H$21+H32*LIDER!$H$22+I32*LIDER!$H$23+J32*LIDER!$H$24+K32*LIDER!$H$25,"N"))</f>
        <v/>
      </c>
      <c r="E32" s="142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78</v>
      </c>
      <c r="C33" s="32" t="str">
        <f>IF('S-ASIG-06'!D33="","",'S-ASIG-06'!D33)</f>
        <v>LIST</v>
      </c>
      <c r="D33" s="35" t="s">
        <v>96</v>
      </c>
      <c r="E33" s="146" t="str">
        <f>LIDER!$E$33</f>
        <v>GRUPO#5</v>
      </c>
      <c r="F33" s="146"/>
      <c r="G33" s="146"/>
      <c r="H33" s="146"/>
      <c r="I33" s="146"/>
      <c r="J33" s="146"/>
      <c r="K33" s="146"/>
    </row>
    <row r="34" spans="1:11" s="2" customFormat="1" ht="12.75">
      <c r="A34" s="9">
        <v>1</v>
      </c>
      <c r="B34" s="28" t="str">
        <f>LIDER!E51</f>
        <v>Adrian Marriaga Muñoz</v>
      </c>
      <c r="C34" s="33" t="str">
        <f>IF('S-ASIG-06'!D34="","",'S-ASIG-06'!D34)</f>
        <v/>
      </c>
      <c r="D34" s="30">
        <f>IF(B34=0,"",IF(C34="",$E$34*LIDER!$H$19+F34*LIDER!$H$20+G34*LIDER!$H$21+H34*LIDER!$H$22+I34*LIDER!$H$23+J34*LIDER!$H$24+K34*LIDER!$H$25,"N"))</f>
        <v>3.83</v>
      </c>
      <c r="E34" s="142">
        <v>3.8</v>
      </c>
      <c r="F34" s="24">
        <v>3.8</v>
      </c>
      <c r="G34" s="24">
        <v>3.8</v>
      </c>
      <c r="H34" s="24">
        <v>3.8</v>
      </c>
      <c r="I34" s="24">
        <v>4</v>
      </c>
      <c r="J34" s="24">
        <v>4</v>
      </c>
      <c r="K34" s="24"/>
    </row>
    <row r="35" spans="1:11" s="2" customFormat="1" ht="15" customHeight="1">
      <c r="A35" s="12">
        <v>2</v>
      </c>
      <c r="B35" s="28" t="str">
        <f>LIDER!E52</f>
        <v>Kristin Perez martinez</v>
      </c>
      <c r="C35" s="33" t="str">
        <f>IF('S-ASIG-06'!D35="","",'S-ASIG-06'!D35)</f>
        <v/>
      </c>
      <c r="D35" s="30">
        <f>IF(B35=0,"",IF(C35="",$E$34*LIDER!$H$19+F35*LIDER!$H$20+G35*LIDER!$H$21+H35*LIDER!$H$22+I35*LIDER!$H$23+J35*LIDER!$H$24+K35*LIDER!$H$25,"N"))</f>
        <v>3.83</v>
      </c>
      <c r="E35" s="142"/>
      <c r="F35" s="18">
        <v>3.8</v>
      </c>
      <c r="G35" s="18">
        <v>3.8</v>
      </c>
      <c r="H35" s="18">
        <v>3.8</v>
      </c>
      <c r="I35" s="18">
        <v>4</v>
      </c>
      <c r="J35" s="18">
        <v>4</v>
      </c>
      <c r="K35" s="18"/>
    </row>
    <row r="36" spans="1:11" s="2" customFormat="1" ht="15" customHeight="1">
      <c r="A36" s="12">
        <v>3</v>
      </c>
      <c r="B36" s="28" t="str">
        <f>LIDER!E53</f>
        <v>Nina Aguilar Sarabia</v>
      </c>
      <c r="C36" s="33" t="str">
        <f>IF('S-ASIG-06'!D36="","",'S-ASIG-06'!D36)</f>
        <v/>
      </c>
      <c r="D36" s="30">
        <f>IF(B36=0,"",IF(C36="",$E$34*LIDER!$H$19+F36*LIDER!$H$20+G36*LIDER!$H$21+H36*LIDER!$H$22+I36*LIDER!$H$23+J36*LIDER!$H$24+K36*LIDER!$H$25,"N"))</f>
        <v>3.83</v>
      </c>
      <c r="E36" s="142"/>
      <c r="F36" s="18">
        <v>3.8</v>
      </c>
      <c r="G36" s="18">
        <v>3.8</v>
      </c>
      <c r="H36" s="18">
        <v>3.8</v>
      </c>
      <c r="I36" s="18">
        <v>4</v>
      </c>
      <c r="J36" s="18">
        <v>4</v>
      </c>
      <c r="K36" s="18"/>
    </row>
    <row r="37" spans="1:11" s="2" customFormat="1" ht="15" customHeight="1">
      <c r="A37" s="12">
        <v>4</v>
      </c>
      <c r="B37" s="28" t="str">
        <f>LIDER!E54</f>
        <v>Theres Theran caicedo</v>
      </c>
      <c r="C37" s="33" t="str">
        <f>IF('S-ASIG-06'!D37="","",'S-ASIG-06'!D37)</f>
        <v/>
      </c>
      <c r="D37" s="30">
        <f>IF(B37=0,"",IF(C37="",$E$34*LIDER!$H$19+F37*LIDER!$H$20+G37*LIDER!$H$21+H37*LIDER!$H$22+I37*LIDER!$H$23+J37*LIDER!$H$24+K37*LIDER!$H$25,"N"))</f>
        <v>3.83</v>
      </c>
      <c r="E37" s="142"/>
      <c r="F37" s="18">
        <v>3.8</v>
      </c>
      <c r="G37" s="18">
        <v>3.8</v>
      </c>
      <c r="H37" s="18">
        <v>3.8</v>
      </c>
      <c r="I37" s="18">
        <v>4</v>
      </c>
      <c r="J37" s="18">
        <v>4</v>
      </c>
      <c r="K37" s="18"/>
    </row>
    <row r="38" spans="1:11" s="2" customFormat="1" ht="15" customHeight="1">
      <c r="A38" s="12">
        <v>5</v>
      </c>
      <c r="B38" s="28" t="str">
        <f>LIDER!E55</f>
        <v>Diego Cardona Bolaño</v>
      </c>
      <c r="C38" s="33" t="str">
        <f>IF('S-ASIG-06'!D38="","",'S-ASIG-06'!D38)</f>
        <v/>
      </c>
      <c r="D38" s="30">
        <f>IF(B38=0,"",IF(C38="",$E$34*LIDER!$H$19+F38*LIDER!$H$20+G38*LIDER!$H$21+H38*LIDER!$H$22+I38*LIDER!$H$23+J38*LIDER!$H$24+K38*LIDER!$H$25,"N"))</f>
        <v>3.83</v>
      </c>
      <c r="E38" s="142"/>
      <c r="F38" s="18">
        <v>3.8</v>
      </c>
      <c r="G38" s="18">
        <v>3.8</v>
      </c>
      <c r="H38" s="18">
        <v>3.8</v>
      </c>
      <c r="I38" s="18">
        <v>4</v>
      </c>
      <c r="J38" s="18">
        <v>4</v>
      </c>
      <c r="K38" s="18"/>
    </row>
    <row r="39" spans="1:11" s="2" customFormat="1" ht="15.75" customHeight="1" thickBot="1">
      <c r="A39" s="13">
        <v>6</v>
      </c>
      <c r="B39" s="28" t="str">
        <f>LIDER!E56</f>
        <v>Jhamer Luis Maza Ramos</v>
      </c>
      <c r="C39" s="33" t="str">
        <f>IF('S-ASIG-06'!D39="","",'S-ASIG-06'!D39)</f>
        <v/>
      </c>
      <c r="D39" s="30">
        <f>IF(B39=0,"",IF(C39="",$E$34*LIDER!$H$19+F39*LIDER!$H$20+G39*LIDER!$H$21+H39*LIDER!$H$22+I39*LIDER!$H$23+J39*LIDER!$H$24+K39*LIDER!$H$25,"N"))</f>
        <v>3.83</v>
      </c>
      <c r="E39" s="142"/>
      <c r="F39" s="26">
        <v>3.8</v>
      </c>
      <c r="G39" s="26">
        <v>3.8</v>
      </c>
      <c r="H39" s="26">
        <v>3.8</v>
      </c>
      <c r="I39" s="26">
        <v>4</v>
      </c>
      <c r="J39" s="26">
        <v>4</v>
      </c>
      <c r="K39" s="26"/>
    </row>
    <row r="40" spans="1:11" s="2" customFormat="1" ht="15.75" customHeight="1" thickBot="1">
      <c r="A40" s="14"/>
      <c r="B40" s="27" t="s">
        <v>80</v>
      </c>
      <c r="C40" s="32" t="str">
        <f>IF('S-ASIG-06'!D40="","",'S-ASIG-06'!D40)</f>
        <v>LIST</v>
      </c>
      <c r="D40" s="35" t="s">
        <v>96</v>
      </c>
      <c r="E40" s="146" t="str">
        <f>LIDER!$E$34</f>
        <v>GRUPO#6</v>
      </c>
      <c r="F40" s="146"/>
      <c r="G40" s="146"/>
      <c r="H40" s="146"/>
      <c r="I40" s="146"/>
      <c r="J40" s="146"/>
      <c r="K40" s="146"/>
    </row>
    <row r="41" spans="1:11" s="2" customFormat="1" ht="12.75">
      <c r="A41" s="9">
        <v>1</v>
      </c>
      <c r="B41" s="28" t="str">
        <f>LIDER!F51</f>
        <v>Yureidy Alarez Castellano</v>
      </c>
      <c r="C41" s="33" t="str">
        <f>IF('S-ASIG-06'!D41="","",'S-ASIG-06'!D41)</f>
        <v/>
      </c>
      <c r="D41" s="30">
        <f>IF(B41=0,"",IF(C41="",$E$41*LIDER!$H$19+F41*LIDER!$H$20+G41*LIDER!$H$21+H41*LIDER!$H$22+I41*LIDER!$H$23+J41*LIDER!$H$24+K41*LIDER!$H$25,"N"))</f>
        <v>3.83</v>
      </c>
      <c r="E41" s="142">
        <v>3.8</v>
      </c>
      <c r="F41" s="24">
        <v>3.8</v>
      </c>
      <c r="G41" s="24">
        <v>3.8</v>
      </c>
      <c r="H41" s="24">
        <v>3.8</v>
      </c>
      <c r="I41" s="24">
        <v>4</v>
      </c>
      <c r="J41" s="24">
        <v>4</v>
      </c>
      <c r="K41" s="24"/>
    </row>
    <row r="42" spans="1:11" s="2" customFormat="1" ht="15" customHeight="1">
      <c r="A42" s="12">
        <v>2</v>
      </c>
      <c r="B42" s="28" t="str">
        <f>LIDER!F52</f>
        <v>Juan C Baldiris Espitia</v>
      </c>
      <c r="C42" s="33" t="str">
        <f>IF('S-ASIG-06'!D42="","",'S-ASIG-06'!D42)</f>
        <v/>
      </c>
      <c r="D42" s="30">
        <f>IF(B42=0,"",IF(C42="",$E$41*LIDER!$H$19+F42*LIDER!$H$20+G42*LIDER!$H$21+H42*LIDER!$H$22+I42*LIDER!$H$23+J42*LIDER!$H$24+K42*LIDER!$H$25,"N"))</f>
        <v>3.83</v>
      </c>
      <c r="E42" s="142"/>
      <c r="F42" s="18">
        <v>3.8</v>
      </c>
      <c r="G42" s="18">
        <v>3.8</v>
      </c>
      <c r="H42" s="18">
        <v>3.8</v>
      </c>
      <c r="I42" s="18">
        <v>4</v>
      </c>
      <c r="J42" s="18">
        <v>4</v>
      </c>
      <c r="K42" s="18"/>
    </row>
    <row r="43" spans="1:11" s="2" customFormat="1" ht="15" customHeight="1">
      <c r="A43" s="12">
        <v>3</v>
      </c>
      <c r="B43" s="28" t="str">
        <f>LIDER!F53</f>
        <v>Andres F Torres Arroyo</v>
      </c>
      <c r="C43" s="33" t="str">
        <f>IF('S-ASIG-06'!D43="","",'S-ASIG-06'!D43)</f>
        <v/>
      </c>
      <c r="D43" s="30">
        <f>IF(B43=0,"",IF(C43="",$E$41*LIDER!$H$19+F43*LIDER!$H$20+G43*LIDER!$H$21+H43*LIDER!$H$22+I43*LIDER!$H$23+J43*LIDER!$H$24+K43*LIDER!$H$25,"N"))</f>
        <v>3.83</v>
      </c>
      <c r="E43" s="142"/>
      <c r="F43" s="18">
        <v>3.8</v>
      </c>
      <c r="G43" s="18">
        <v>3.8</v>
      </c>
      <c r="H43" s="18">
        <v>3.8</v>
      </c>
      <c r="I43" s="18">
        <v>4</v>
      </c>
      <c r="J43" s="18">
        <v>4</v>
      </c>
      <c r="K43" s="18"/>
    </row>
    <row r="44" spans="1:11" s="2" customFormat="1" ht="15" customHeight="1">
      <c r="A44" s="12">
        <v>4</v>
      </c>
      <c r="B44" s="28" t="str">
        <f>LIDER!F54</f>
        <v>Sherlyn Villegas Maza</v>
      </c>
      <c r="C44" s="33" t="str">
        <f>IF('S-ASIG-06'!D44="","",'S-ASIG-06'!D44)</f>
        <v/>
      </c>
      <c r="D44" s="30">
        <f>IF(B44=0,"",IF(C44="",$E$41*LIDER!$H$19+F44*LIDER!$H$20+G44*LIDER!$H$21+H44*LIDER!$H$22+I44*LIDER!$H$23+J44*LIDER!$H$24+K44*LIDER!$H$25,"N"))</f>
        <v>3.83</v>
      </c>
      <c r="E44" s="142"/>
      <c r="F44" s="18">
        <v>3.8</v>
      </c>
      <c r="G44" s="18">
        <v>3.8</v>
      </c>
      <c r="H44" s="18">
        <v>3.8</v>
      </c>
      <c r="I44" s="18">
        <v>4</v>
      </c>
      <c r="J44" s="18">
        <v>4</v>
      </c>
      <c r="K44" s="18"/>
    </row>
    <row r="45" spans="1:11" s="2" customFormat="1" ht="15" customHeight="1">
      <c r="A45" s="12">
        <v>5</v>
      </c>
      <c r="B45" s="28" t="str">
        <f>LIDER!F55</f>
        <v>Isaac Zapata Zapata</v>
      </c>
      <c r="C45" s="33" t="str">
        <f>IF('S-ASIG-06'!D45="","",'S-ASIG-06'!D45)</f>
        <v/>
      </c>
      <c r="D45" s="30">
        <f>IF(B45=0,"",IF(C45="",$E$41*LIDER!$H$19+F45*LIDER!$H$20+G45*LIDER!$H$21+H45*LIDER!$H$22+I45*LIDER!$H$23+J45*LIDER!$H$24+K45*LIDER!$H$25,"N"))</f>
        <v>3.83</v>
      </c>
      <c r="E45" s="142"/>
      <c r="F45" s="18">
        <v>3.8</v>
      </c>
      <c r="G45" s="18">
        <v>3.8</v>
      </c>
      <c r="H45" s="18">
        <v>3.8</v>
      </c>
      <c r="I45" s="18">
        <v>4</v>
      </c>
      <c r="J45" s="18">
        <v>4</v>
      </c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IF('S-ASIG-06'!D46="","",'S-ASIG-06'!D46)</f>
        <v/>
      </c>
      <c r="D46" s="30" t="str">
        <f>IF(B46=0,"",IF(C46="",$E$41*LIDER!$H$19+F46*LIDER!$H$20+G46*LIDER!$H$21+H46*LIDER!$H$22+I46*LIDER!$H$23+J46*LIDER!$H$24+K46*LIDER!$H$25,"N"))</f>
        <v/>
      </c>
      <c r="E46" s="142"/>
      <c r="F46" s="26">
        <v>3.8</v>
      </c>
      <c r="G46" s="26">
        <v>3.8</v>
      </c>
      <c r="H46" s="26">
        <v>3.8</v>
      </c>
      <c r="I46" s="26">
        <v>4</v>
      </c>
      <c r="J46" s="26">
        <v>4</v>
      </c>
      <c r="K46" s="26"/>
    </row>
    <row r="47" spans="1:11" s="2" customFormat="1" ht="15.75" customHeight="1" thickBot="1">
      <c r="A47" s="14"/>
      <c r="B47" s="27" t="s">
        <v>82</v>
      </c>
      <c r="C47" s="32" t="str">
        <f>IF('S-ASIG-06'!D47="","",'S-ASIG-06'!D47)</f>
        <v>LIST</v>
      </c>
      <c r="D47" s="35" t="s">
        <v>96</v>
      </c>
      <c r="E47" s="146" t="str">
        <f>LIDER!$E$35</f>
        <v>GRUPO#7</v>
      </c>
      <c r="F47" s="146"/>
      <c r="G47" s="146"/>
      <c r="H47" s="146"/>
      <c r="I47" s="146"/>
      <c r="J47" s="146"/>
      <c r="K47" s="146"/>
    </row>
    <row r="48" spans="1:11" s="2" customFormat="1" ht="12.75">
      <c r="A48" s="9">
        <v>1</v>
      </c>
      <c r="B48" s="28" t="str">
        <f>LIDER!G51</f>
        <v>Valeria Balesteros Almentero</v>
      </c>
      <c r="C48" s="33" t="str">
        <f>IF('S-ASIG-06'!D48="","",'S-ASIG-06'!D48)</f>
        <v/>
      </c>
      <c r="D48" s="30">
        <f>IF(B48=0,"",IF(C48="",$E$48*LIDER!$H$19+F48*LIDER!$H$20+G48*LIDER!$H$21+H48*LIDER!$H$22+I48*LIDER!$H$23+J48*LIDER!$H$24+K48*LIDER!$H$25,"N"))</f>
        <v>3.62</v>
      </c>
      <c r="E48" s="142">
        <v>3.5</v>
      </c>
      <c r="F48" s="24">
        <v>3.5</v>
      </c>
      <c r="G48" s="24">
        <v>3.8</v>
      </c>
      <c r="H48" s="24">
        <v>3.8</v>
      </c>
      <c r="I48" s="24">
        <v>4</v>
      </c>
      <c r="J48" s="24">
        <v>4</v>
      </c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IF('S-ASIG-06'!D49="","",'S-ASIG-06'!D49)</f>
        <v/>
      </c>
      <c r="D49" s="30" t="str">
        <f>IF(B49=0,"",IF(C49="",$E$48*LIDER!$H$19+F49*LIDER!$H$20+G49*LIDER!$H$21+H49*LIDER!$H$22+I49*LIDER!$H$23+J49*LIDER!$H$24+K49*LIDER!$H$25,"N"))</f>
        <v/>
      </c>
      <c r="E49" s="142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IF('S-ASIG-06'!D50="","",'S-ASIG-06'!D50)</f>
        <v/>
      </c>
      <c r="D50" s="30" t="str">
        <f>IF(B50=0,"",IF(C50="",$E$48*LIDER!$H$19+F50*LIDER!$H$20+G50*LIDER!$H$21+H50*LIDER!$H$22+I50*LIDER!$H$23+J50*LIDER!$H$24+K50*LIDER!$H$25,"N"))</f>
        <v/>
      </c>
      <c r="E50" s="142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IF('S-ASIG-06'!D51="","",'S-ASIG-06'!D51)</f>
        <v/>
      </c>
      <c r="D51" s="30" t="str">
        <f>IF(B51=0,"",IF(C51="",$E$48*LIDER!$H$19+F51*LIDER!$H$20+G51*LIDER!$H$21+H51*LIDER!$H$22+I51*LIDER!$H$23+J51*LIDER!$H$24+K51*LIDER!$H$25,"N"))</f>
        <v/>
      </c>
      <c r="E51" s="142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IF('S-ASIG-06'!D52="","",'S-ASIG-06'!D52)</f>
        <v/>
      </c>
      <c r="D52" s="30" t="str">
        <f>IF(B52=0,"",IF(C52="",$E$48*LIDER!$H$19+F52*LIDER!$H$20+G52*LIDER!$H$21+H52*LIDER!$H$22+I52*LIDER!$H$23+J52*LIDER!$H$24+K52*LIDER!$H$25,"N"))</f>
        <v/>
      </c>
      <c r="E52" s="142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IF('S-ASIG-06'!D53="","",'S-ASIG-06'!D53)</f>
        <v/>
      </c>
      <c r="D53" s="30" t="str">
        <f>IF(B53=0,"",IF(C53="",$E$48*LIDER!$H$19+F53*LIDER!$H$20+G53*LIDER!$H$21+H53*LIDER!$H$22+I53*LIDER!$H$23+J53*LIDER!$H$24+K53*LIDER!$H$25,"N"))</f>
        <v/>
      </c>
      <c r="E53" s="142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84</v>
      </c>
      <c r="C54" s="32" t="str">
        <f>IF('S-ASIG-06'!D54="","",'S-ASIG-06'!D54)</f>
        <v>LIST</v>
      </c>
      <c r="D54" s="35" t="s">
        <v>96</v>
      </c>
      <c r="E54" s="146" t="str">
        <f>LIDER!$E$36</f>
        <v>GRUPO#8</v>
      </c>
      <c r="F54" s="146"/>
      <c r="G54" s="146"/>
      <c r="H54" s="146"/>
      <c r="I54" s="146"/>
      <c r="J54" s="146"/>
      <c r="K54" s="146"/>
    </row>
    <row r="55" spans="1:11" s="2" customFormat="1" ht="12.75">
      <c r="A55" s="9">
        <v>1</v>
      </c>
      <c r="B55" s="28">
        <f>LIDER!H51</f>
        <v>0</v>
      </c>
      <c r="C55" s="33" t="str">
        <f>IF('S-ASIG-06'!D55="","",'S-ASIG-06'!D55)</f>
        <v/>
      </c>
      <c r="D55" s="30" t="str">
        <f>IF(B55=0,"",IF(C55="",$E$55*LIDER!$H$19+F55*LIDER!$H$20+G55*LIDER!$H$21+H55*LIDER!$H$22+I55*LIDER!$H$23+J55*LIDER!$H$24+K55*LIDER!$H$25,"N"))</f>
        <v/>
      </c>
      <c r="E55" s="142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IF('S-ASIG-06'!D56="","",'S-ASIG-06'!D56)</f>
        <v/>
      </c>
      <c r="D56" s="30" t="str">
        <f>IF(B56=0,"",IF(C56="",$E$55*LIDER!$H$19+F56*LIDER!$H$20+G56*LIDER!$H$21+H56*LIDER!$H$22+I56*LIDER!$H$23+J56*LIDER!$H$24+K56*LIDER!$H$25,"N"))</f>
        <v/>
      </c>
      <c r="E56" s="142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IF('S-ASIG-06'!D57="","",'S-ASIG-06'!D57)</f>
        <v/>
      </c>
      <c r="D57" s="30" t="str">
        <f>IF(B57=0,"",IF(C57="",$E$55*LIDER!$H$19+F57*LIDER!$H$20+G57*LIDER!$H$21+H57*LIDER!$H$22+I57*LIDER!$H$23+J57*LIDER!$H$24+K57*LIDER!$H$25,"N"))</f>
        <v/>
      </c>
      <c r="E57" s="142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IF('S-ASIG-06'!D58="","",'S-ASIG-06'!D58)</f>
        <v/>
      </c>
      <c r="D58" s="30" t="str">
        <f>IF(B58=0,"",IF(C58="",$E$55*LIDER!$H$19+F58*LIDER!$H$20+G58*LIDER!$H$21+H58*LIDER!$H$22+I58*LIDER!$H$23+J58*LIDER!$H$24+K58*LIDER!$H$25,"N"))</f>
        <v/>
      </c>
      <c r="E58" s="142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IF('S-ASIG-06'!D59="","",'S-ASIG-06'!D59)</f>
        <v/>
      </c>
      <c r="D59" s="30" t="str">
        <f>IF(B59=0,"",IF(C59="",$E$55*LIDER!$H$19+F59*LIDER!$H$20+G59*LIDER!$H$21+H59*LIDER!$H$22+I59*LIDER!$H$23+J59*LIDER!$H$24+K59*LIDER!$H$25,"N"))</f>
        <v/>
      </c>
      <c r="E59" s="142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IF('S-ASIG-06'!D60="","",'S-ASIG-06'!D60)</f>
        <v/>
      </c>
      <c r="D60" s="30" t="str">
        <f>IF(B60=0,"",IF(C60="",$E$55*LIDER!$H$19+F60*LIDER!$H$20+G60*LIDER!$H$21+H60*LIDER!$H$22+I60*LIDER!$H$23+J60*LIDER!$H$24+K60*LIDER!$H$25,"N"))</f>
        <v/>
      </c>
      <c r="E60" s="14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86</v>
      </c>
      <c r="C61" s="32" t="str">
        <f>IF('S-ASIG-06'!D61="","",'S-ASIG-06'!D61)</f>
        <v>LIST</v>
      </c>
      <c r="D61" s="35" t="s">
        <v>96</v>
      </c>
      <c r="E61" s="146" t="str">
        <f>LIDER!$E$37</f>
        <v>GRUPO#9</v>
      </c>
      <c r="F61" s="146"/>
      <c r="G61" s="146"/>
      <c r="H61" s="146"/>
      <c r="I61" s="146"/>
      <c r="J61" s="146"/>
      <c r="K61" s="146"/>
    </row>
    <row r="62" spans="1:11" s="2" customFormat="1" ht="12.75">
      <c r="A62" s="9">
        <v>1</v>
      </c>
      <c r="B62" s="28">
        <f>LIDER!E59</f>
        <v>0</v>
      </c>
      <c r="C62" s="33" t="str">
        <f>IF('S-ASIG-06'!D62="","",'S-ASIG-06'!D62)</f>
        <v/>
      </c>
      <c r="D62" s="30" t="str">
        <f>IF(B62=0,"",IF(C62="",$E$62*LIDER!$H$19+F62*LIDER!$H$20+G62*LIDER!$H$21+H62*LIDER!$H$22+I62*LIDER!$H$23+J62*LIDER!$H$24+K62*LIDER!$H$25,"N"))</f>
        <v/>
      </c>
      <c r="E62" s="14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IF('S-ASIG-06'!D63="","",'S-ASIG-06'!D63)</f>
        <v/>
      </c>
      <c r="D63" s="30" t="str">
        <f>IF(B63=0,"",IF(C63="",$E$62*LIDER!$H$19+F63*LIDER!$H$20+G63*LIDER!$H$21+H63*LIDER!$H$22+I63*LIDER!$H$23+J63*LIDER!$H$24+K63*LIDER!$H$25,"N"))</f>
        <v/>
      </c>
      <c r="E63" s="14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IF('S-ASIG-06'!D64="","",'S-ASIG-06'!D64)</f>
        <v/>
      </c>
      <c r="D64" s="30" t="str">
        <f>IF(B64=0,"",IF(C64="",$E$62*LIDER!$H$19+F64*LIDER!$H$20+G64*LIDER!$H$21+H64*LIDER!$H$22+I64*LIDER!$H$23+J64*LIDER!$H$24+K64*LIDER!$H$25,"N"))</f>
        <v/>
      </c>
      <c r="E64" s="14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IF('S-ASIG-06'!D65="","",'S-ASIG-06'!D65)</f>
        <v/>
      </c>
      <c r="D65" s="30" t="str">
        <f>IF(B65=0,"",IF(C65="",$E$62*LIDER!$H$19+F65*LIDER!$H$20+G65*LIDER!$H$21+H65*LIDER!$H$22+I65*LIDER!$H$23+J65*LIDER!$H$24+K65*LIDER!$H$25,"N"))</f>
        <v/>
      </c>
      <c r="E65" s="14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IF('S-ASIG-06'!D66="","",'S-ASIG-06'!D66)</f>
        <v/>
      </c>
      <c r="D66" s="30" t="str">
        <f>IF(B66=0,"",IF(C66="",$E$62*LIDER!$H$19+F66*LIDER!$H$20+G66*LIDER!$H$21+H66*LIDER!$H$22+I66*LIDER!$H$23+J66*LIDER!$H$24+K66*LIDER!$H$25,"N"))</f>
        <v/>
      </c>
      <c r="E66" s="14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IF('S-ASIG-06'!D67="","",'S-ASIG-06'!D67)</f>
        <v/>
      </c>
      <c r="D67" s="30" t="str">
        <f>IF(B67=0,"",IF(C67="",$E$62*LIDER!$H$19+F67*LIDER!$H$20+G67*LIDER!$H$21+H67*LIDER!$H$22+I67*LIDER!$H$23+J67*LIDER!$H$24+K67*LIDER!$H$25,"N"))</f>
        <v/>
      </c>
      <c r="E67" s="14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88</v>
      </c>
      <c r="C68" s="32" t="str">
        <f>IF('S-ASIG-06'!D68="","",'S-ASIG-06'!D68)</f>
        <v>LIST</v>
      </c>
      <c r="D68" s="35" t="s">
        <v>96</v>
      </c>
      <c r="E68" s="146" t="str">
        <f>LIDER!$E$38</f>
        <v>GRUPO#10</v>
      </c>
      <c r="F68" s="146"/>
      <c r="G68" s="146"/>
      <c r="H68" s="146"/>
      <c r="I68" s="146"/>
      <c r="J68" s="146"/>
      <c r="K68" s="146"/>
    </row>
    <row r="69" spans="1:11" s="2" customFormat="1" ht="12.75">
      <c r="A69" s="9">
        <v>1</v>
      </c>
      <c r="B69" s="28">
        <f>LIDER!F59</f>
        <v>0</v>
      </c>
      <c r="C69" s="33" t="str">
        <f>IF('S-ASIG-06'!D69="","",'S-ASIG-06'!D69)</f>
        <v/>
      </c>
      <c r="D69" s="30" t="str">
        <f>IF(B69=0,"",IF(C69="",$E$69*LIDER!$H$19+F69*LIDER!$H$20+G69*LIDER!$H$21+H69*LIDER!$H$22+I69*LIDER!$H$23+J69*LIDER!$H$24+K69*LIDER!$H$25,"N"))</f>
        <v/>
      </c>
      <c r="E69" s="14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IF('S-ASIG-06'!D70="","",'S-ASIG-06'!D70)</f>
        <v/>
      </c>
      <c r="D70" s="30" t="str">
        <f>IF(B70=0,"",IF(C70="",$E$69*LIDER!$H$19+F70*LIDER!$H$20+G70*LIDER!$H$21+H70*LIDER!$H$22+I70*LIDER!$H$23+J70*LIDER!$H$24+K70*LIDER!$H$25,"N"))</f>
        <v/>
      </c>
      <c r="E70" s="14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IF('S-ASIG-06'!D71="","",'S-ASIG-06'!D71)</f>
        <v/>
      </c>
      <c r="D71" s="30" t="str">
        <f>IF(B71=0,"",IF(C71="",$E$69*LIDER!$H$19+F71*LIDER!$H$20+G71*LIDER!$H$21+H71*LIDER!$H$22+I71*LIDER!$H$23+J71*LIDER!$H$24+K71*LIDER!$H$25,"N"))</f>
        <v/>
      </c>
      <c r="E71" s="14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IF('S-ASIG-06'!D72="","",'S-ASIG-06'!D72)</f>
        <v/>
      </c>
      <c r="D72" s="30" t="str">
        <f>IF(B72=0,"",IF(C72="",$E$69*LIDER!$H$19+F72*LIDER!$H$20+G72*LIDER!$H$21+H72*LIDER!$H$22+I72*LIDER!$H$23+J72*LIDER!$H$24+K72*LIDER!$H$25,"N"))</f>
        <v/>
      </c>
      <c r="E72" s="14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IF('S-ASIG-06'!D73="","",'S-ASIG-06'!D73)</f>
        <v/>
      </c>
      <c r="D73" s="30" t="str">
        <f>IF(B73=0,"",IF(C73="",$E$69*LIDER!$H$19+F73*LIDER!$H$20+G73*LIDER!$H$21+H73*LIDER!$H$22+I73*LIDER!$H$23+J73*LIDER!$H$24+K73*LIDER!$H$25,"N"))</f>
        <v/>
      </c>
      <c r="E73" s="14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IF('S-ASIG-06'!D74="","",'S-ASIG-06'!D74)</f>
        <v/>
      </c>
      <c r="D74" s="30" t="str">
        <f>IF(B74=0,"",IF(C74="",$E$69*LIDER!$H$19+F74*LIDER!$H$20+G74*LIDER!$H$21+H74*LIDER!$H$22+I74*LIDER!$H$23+J74*LIDER!$H$24+K74*LIDER!$H$25,"N"))</f>
        <v/>
      </c>
      <c r="E74" s="14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90</v>
      </c>
      <c r="C75" s="32" t="str">
        <f>IF('S-ASIG-06'!D75="","",'S-ASIG-06'!D75)</f>
        <v>LIST</v>
      </c>
      <c r="D75" s="35" t="s">
        <v>96</v>
      </c>
      <c r="E75" s="146" t="str">
        <f>LIDER!$E$39</f>
        <v>GRUPO#11</v>
      </c>
      <c r="F75" s="146"/>
      <c r="G75" s="146"/>
      <c r="H75" s="146"/>
      <c r="I75" s="146"/>
      <c r="J75" s="146"/>
      <c r="K75" s="146"/>
    </row>
    <row r="76" spans="1:11" s="2" customFormat="1" ht="12.75">
      <c r="A76" s="9">
        <v>1</v>
      </c>
      <c r="B76" s="28">
        <f>LIDER!G59</f>
        <v>0</v>
      </c>
      <c r="C76" s="33" t="str">
        <f>IF('S-ASIG-06'!D76="","",'S-ASIG-06'!D76)</f>
        <v/>
      </c>
      <c r="D76" s="30" t="str">
        <f>IF(B76=0,"",IF(C76="",E76*LIDER!$H$19+F76*LIDER!$H$20+G76*LIDER!$H$21+H76*LIDER!$H$22+I76*LIDER!$H$23+J76*LIDER!$H$24+K76*LIDER!$H$25,"N"))</f>
        <v/>
      </c>
      <c r="E76" s="14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IF('S-ASIG-06'!D77="","",'S-ASIG-06'!D77)</f>
        <v/>
      </c>
      <c r="D77" s="30" t="str">
        <f>IF(B77=0,"",IF(C77="",E77*LIDER!$H$19+F77*LIDER!$H$20+G77*LIDER!$H$21+H77*LIDER!$H$22+I77*LIDER!$H$23+J77*LIDER!$H$24+K77*LIDER!$H$25,"N"))</f>
        <v/>
      </c>
      <c r="E77" s="14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IF('S-ASIG-06'!D78="","",'S-ASIG-06'!D78)</f>
        <v/>
      </c>
      <c r="D78" s="30" t="str">
        <f>IF(B78=0,"",IF(C78="",E78*LIDER!$H$19+F78*LIDER!$H$20+G78*LIDER!$H$21+H78*LIDER!$H$22+I78*LIDER!$H$23+J78*LIDER!$H$24+K78*LIDER!$H$25,"N"))</f>
        <v/>
      </c>
      <c r="E78" s="14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IF('S-ASIG-06'!D79="","",'S-ASIG-06'!D79)</f>
        <v/>
      </c>
      <c r="D79" s="30" t="str">
        <f>IF(B79=0,"",IF(C79="",E79*LIDER!$H$19+F79*LIDER!$H$20+G79*LIDER!$H$21+H79*LIDER!$H$22+I79*LIDER!$H$23+J79*LIDER!$H$24+K79*LIDER!$H$25,"N"))</f>
        <v/>
      </c>
      <c r="E79" s="14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IF('S-ASIG-06'!D80="","",'S-ASIG-06'!D80)</f>
        <v/>
      </c>
      <c r="D80" s="30" t="str">
        <f>IF(B80=0,"",IF(C80="",E80*LIDER!$H$19+F80*LIDER!$H$20+G80*LIDER!$H$21+H80*LIDER!$H$22+I80*LIDER!$H$23+J80*LIDER!$H$24+K80*LIDER!$H$25,"N"))</f>
        <v/>
      </c>
      <c r="E80" s="14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IF('S-ASIG-06'!D81="","",'S-ASIG-06'!D81)</f>
        <v/>
      </c>
      <c r="D81" s="30" t="str">
        <f>IF(B81=0,"",IF(C81="",E81*LIDER!$H$19+F81*LIDER!$H$20+G81*LIDER!$H$21+H81*LIDER!$H$22+I81*LIDER!$H$23+J81*LIDER!$H$24+K81*LIDER!$H$25,"N"))</f>
        <v/>
      </c>
      <c r="E81" s="14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91</v>
      </c>
      <c r="C82" s="32" t="str">
        <f>IF('S-ASIG-06'!D82="","",'S-ASIG-06'!D82)</f>
        <v>LIST</v>
      </c>
      <c r="D82" s="35" t="s">
        <v>96</v>
      </c>
      <c r="E82" s="146" t="str">
        <f>LIDER!$E$40</f>
        <v>GRUPO#12</v>
      </c>
      <c r="F82" s="146"/>
      <c r="G82" s="146"/>
      <c r="H82" s="146"/>
      <c r="I82" s="146"/>
      <c r="J82" s="146"/>
      <c r="K82" s="146"/>
    </row>
    <row r="83" spans="1:11" s="2" customFormat="1" ht="12.75">
      <c r="A83" s="9">
        <v>1</v>
      </c>
      <c r="B83" s="28">
        <f>LIDER!H59</f>
        <v>0</v>
      </c>
      <c r="C83" s="33" t="str">
        <f>IF('S-ASIG-06'!D83="","",'S-ASIG-06'!D83)</f>
        <v/>
      </c>
      <c r="D83" s="30" t="str">
        <f>IF(B83=0,"",IF(C83="",$E$83*LIDER!$H$19+F83*LIDER!$H$20+G83*LIDER!$H$21+H83*LIDER!$H$22+I83*LIDER!$H$23+J83*LIDER!$H$24+K83*LIDER!$H$25,"N"))</f>
        <v/>
      </c>
      <c r="E83" s="14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IF('S-ASIG-06'!D84="","",'S-ASIG-06'!D84)</f>
        <v/>
      </c>
      <c r="D84" s="30" t="str">
        <f>IF(B84=0,"",IF(C84="",$E$83*LIDER!$H$19+F84*LIDER!$H$20+G84*LIDER!$H$21+H84*LIDER!$H$22+I84*LIDER!$H$23+J84*LIDER!$H$24+K84*LIDER!$H$25,"N"))</f>
        <v/>
      </c>
      <c r="E84" s="14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IF('S-ASIG-06'!D85="","",'S-ASIG-06'!D85)</f>
        <v/>
      </c>
      <c r="D85" s="30" t="str">
        <f>IF(B85=0,"",IF(C85="",$E$83*LIDER!$H$19+F85*LIDER!$H$20+G85*LIDER!$H$21+H85*LIDER!$H$22+I85*LIDER!$H$23+J85*LIDER!$H$24+K85*LIDER!$H$25,"N"))</f>
        <v/>
      </c>
      <c r="E85" s="14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IF('S-ASIG-06'!D86="","",'S-ASIG-06'!D86)</f>
        <v/>
      </c>
      <c r="D86" s="30" t="str">
        <f>IF(B86=0,"",IF(C86="",$E$83*LIDER!$H$19+F86*LIDER!$H$20+G86*LIDER!$H$21+H86*LIDER!$H$22+I86*LIDER!$H$23+J86*LIDER!$H$24+K86*LIDER!$H$25,"N"))</f>
        <v/>
      </c>
      <c r="E86" s="14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IF('S-ASIG-06'!D87="","",'S-ASIG-06'!D87)</f>
        <v/>
      </c>
      <c r="D87" s="30" t="str">
        <f>IF(B87=0,"",IF(C87="",$E$83*LIDER!$H$19+F87*LIDER!$H$20+G87*LIDER!$H$21+H87*LIDER!$H$22+I87*LIDER!$H$23+J87*LIDER!$H$24+K87*LIDER!$H$25,"N"))</f>
        <v/>
      </c>
      <c r="E87" s="14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IF('S-ASIG-06'!D88="","",'S-ASIG-06'!D88)</f>
        <v/>
      </c>
      <c r="D88" s="31" t="str">
        <f>IF(B88=0,"",IF(C88="",$E$83*LIDER!$H$19+F88*LIDER!$H$20+G88*LIDER!$H$21+H88*LIDER!$H$22+I88*LIDER!$H$23+J88*LIDER!$H$24+K88*LIDER!$H$25,"N"))</f>
        <v/>
      </c>
      <c r="E88" s="153"/>
      <c r="F88" s="19"/>
      <c r="G88" s="19"/>
      <c r="H88" s="19"/>
      <c r="I88" s="19"/>
      <c r="J88" s="19"/>
      <c r="K88" s="19"/>
    </row>
  </sheetData>
  <sheetProtection algorithmName="SHA-512" hashValue="O/VPkETUgz4i0K6FX+69UTiFLorHVh5s8ldesT/RHKceKKb6JoVh9EOkl8Ny6zQlIrDz4In7wz7Ah3BFws+41A==" saltValue="Bw2weeMdppdLQpBiWyGcI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59" priority="14">
      <formula>ISEVEN($A6)</formula>
    </cfRule>
  </conditionalFormatting>
  <conditionalFormatting sqref="A13:B18 D13:D18">
    <cfRule type="expression" dxfId="58" priority="13">
      <formula>ISEVEN($A13)</formula>
    </cfRule>
  </conditionalFormatting>
  <conditionalFormatting sqref="A20:B25 D20:D25">
    <cfRule type="expression" dxfId="57" priority="12">
      <formula>ISEVEN($A20)</formula>
    </cfRule>
  </conditionalFormatting>
  <conditionalFormatting sqref="A27:B32 D27:D32">
    <cfRule type="expression" dxfId="56" priority="11">
      <formula>ISEVEN($A27)</formula>
    </cfRule>
  </conditionalFormatting>
  <conditionalFormatting sqref="A34:B39 D34:D39">
    <cfRule type="expression" dxfId="55" priority="10">
      <formula>ISEVEN($A34)</formula>
    </cfRule>
  </conditionalFormatting>
  <conditionalFormatting sqref="A41:B46 D41:D46">
    <cfRule type="expression" dxfId="54" priority="9">
      <formula>ISEVEN($A41)</formula>
    </cfRule>
  </conditionalFormatting>
  <conditionalFormatting sqref="A48:B53 D48:D53">
    <cfRule type="expression" dxfId="53" priority="8">
      <formula>ISEVEN($A48)</formula>
    </cfRule>
  </conditionalFormatting>
  <conditionalFormatting sqref="A55:B60 D55:D60">
    <cfRule type="expression" dxfId="52" priority="7">
      <formula>ISEVEN($A55)</formula>
    </cfRule>
  </conditionalFormatting>
  <conditionalFormatting sqref="A62:B67 D62:D67">
    <cfRule type="expression" dxfId="51" priority="6">
      <formula>ISEVEN($A62)</formula>
    </cfRule>
  </conditionalFormatting>
  <conditionalFormatting sqref="A69:B74 D69:D74">
    <cfRule type="expression" dxfId="50" priority="5">
      <formula>ISEVEN($A69)</formula>
    </cfRule>
  </conditionalFormatting>
  <conditionalFormatting sqref="A76:B81 D76:D81">
    <cfRule type="expression" dxfId="49" priority="4">
      <formula>ISEVEN($A76)</formula>
    </cfRule>
  </conditionalFormatting>
  <conditionalFormatting sqref="A83:B88 D83:D88">
    <cfRule type="expression" dxfId="48" priority="3">
      <formula>ISEVEN($A83)</formula>
    </cfRule>
  </conditionalFormatting>
  <conditionalFormatting sqref="B6:B88">
    <cfRule type="cellIs" dxfId="47" priority="2" operator="equal">
      <formula>0</formula>
    </cfRule>
  </conditionalFormatting>
  <conditionalFormatting sqref="C5 B6:D88">
    <cfRule type="expression" dxfId="46" priority="1">
      <formula>$C5="N"</formula>
    </cfRule>
  </conditionalFormatting>
  <conditionalFormatting sqref="E6:K6 F7:K11">
    <cfRule type="expression" dxfId="45" priority="29">
      <formula>ISEVEN($A6)</formula>
    </cfRule>
  </conditionalFormatting>
  <conditionalFormatting sqref="E13:K13 F14:K18">
    <cfRule type="expression" dxfId="44" priority="28">
      <formula>ISEVEN($A13)</formula>
    </cfRule>
  </conditionalFormatting>
  <conditionalFormatting sqref="E20:K20 F21:K25">
    <cfRule type="expression" dxfId="43" priority="27">
      <formula>ISEVEN($A20)</formula>
    </cfRule>
  </conditionalFormatting>
  <conditionalFormatting sqref="E27:K27 F28:K32">
    <cfRule type="expression" dxfId="42" priority="26">
      <formula>ISEVEN($A27)</formula>
    </cfRule>
  </conditionalFormatting>
  <conditionalFormatting sqref="E34:K34 F35:K39">
    <cfRule type="expression" dxfId="41" priority="25">
      <formula>ISEVEN($A34)</formula>
    </cfRule>
  </conditionalFormatting>
  <conditionalFormatting sqref="E41:K41 F42:K46">
    <cfRule type="expression" dxfId="40" priority="24">
      <formula>ISEVEN($A41)</formula>
    </cfRule>
  </conditionalFormatting>
  <conditionalFormatting sqref="E48:K48 F49:K53">
    <cfRule type="expression" dxfId="39" priority="23">
      <formula>ISEVEN($A48)</formula>
    </cfRule>
  </conditionalFormatting>
  <conditionalFormatting sqref="E55:K55 F56:K60">
    <cfRule type="expression" dxfId="38" priority="22">
      <formula>ISEVEN($A55)</formula>
    </cfRule>
  </conditionalFormatting>
  <conditionalFormatting sqref="E62:K62 F63:K67">
    <cfRule type="expression" dxfId="37" priority="21">
      <formula>ISEVEN($A62)</formula>
    </cfRule>
  </conditionalFormatting>
  <conditionalFormatting sqref="E69:K69 F70:K74">
    <cfRule type="expression" dxfId="36" priority="20">
      <formula>ISEVEN($A69)</formula>
    </cfRule>
  </conditionalFormatting>
  <conditionalFormatting sqref="E76:K76 F77:K81">
    <cfRule type="expression" dxfId="35" priority="19">
      <formula>ISEVEN($A76)</formula>
    </cfRule>
  </conditionalFormatting>
  <conditionalFormatting sqref="E83:K83 F84:K88">
    <cfRule type="expression" dxfId="34" priority="18">
      <formula>ISEVEN($A83)</formula>
    </cfRule>
  </conditionalFormatting>
  <conditionalFormatting sqref="F6:K11 F13:K18 F20:K25 F27:K32 F34:K39 F41:K46 F48:K53 F55:K60 F62:K67 F69:K74 F76:K81 F83:K88">
    <cfRule type="expression" dxfId="33" priority="15">
      <formula>$D6="N"</formula>
    </cfRule>
  </conditionalFormatting>
  <pageMargins left="0.7" right="0.7" top="0.75" bottom="0.75" header="0.3" footer="0.3"/>
  <ignoredErrors>
    <ignoredError sqref="D9" evalError="1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FD51-B5A0-4A55-B14E-65482B71702C}">
  <dimension ref="A1:K88"/>
  <sheetViews>
    <sheetView zoomScale="89" zoomScaleNormal="89" workbookViewId="0">
      <pane xSplit="4" ySplit="3" topLeftCell="E30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3" t="str">
        <f>LIDER!B2</f>
        <v>TECNOLOGÍA EN GESTIÓN DE NEGOCIOS INTERN</v>
      </c>
      <c r="B1" s="144"/>
      <c r="C1" s="144"/>
      <c r="D1" s="144"/>
      <c r="E1" s="144"/>
      <c r="F1" s="144"/>
      <c r="G1" s="145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2</v>
      </c>
    </row>
    <row r="2" spans="1:11" s="2" customFormat="1" ht="20.100000000000001" customHeight="1" thickBot="1">
      <c r="B2" s="22">
        <f>LIDER!I4</f>
        <v>0</v>
      </c>
      <c r="C2" s="3"/>
      <c r="E2" s="147" t="s">
        <v>92</v>
      </c>
      <c r="F2" s="148"/>
      <c r="G2" s="148"/>
      <c r="H2" s="148"/>
      <c r="I2" s="148"/>
      <c r="J2" s="148"/>
      <c r="K2" s="149"/>
    </row>
    <row r="3" spans="1:11" s="2" customFormat="1" ht="145.5" customHeight="1" thickBot="1">
      <c r="B3" s="4" t="s">
        <v>93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0" t="str">
        <f>CONCATENATE(LIDER!I4," - ",LIDER!I6," - ",LIDER!I5)</f>
        <v xml:space="preserve"> -  - </v>
      </c>
      <c r="F4" s="151"/>
      <c r="G4" s="151"/>
      <c r="H4" s="151"/>
      <c r="I4" s="151"/>
      <c r="J4" s="151"/>
      <c r="K4" s="152"/>
    </row>
    <row r="5" spans="1:11" s="2" customFormat="1" ht="15.75" customHeight="1" thickBot="1">
      <c r="A5" s="8"/>
      <c r="B5" s="27" t="s">
        <v>70</v>
      </c>
      <c r="C5" s="34" t="str">
        <f>IF('S-ASIG-07'!D5="","",'S-ASIG-07'!D5)</f>
        <v>LIST</v>
      </c>
      <c r="D5" s="35" t="s">
        <v>96</v>
      </c>
      <c r="E5" s="146" t="str">
        <f>LIDER!$E$29</f>
        <v>GRUPO#1</v>
      </c>
      <c r="F5" s="146"/>
      <c r="G5" s="146"/>
      <c r="H5" s="146"/>
      <c r="I5" s="146"/>
      <c r="J5" s="146"/>
      <c r="K5" s="146"/>
    </row>
    <row r="6" spans="1:11" s="2" customFormat="1" ht="12.75">
      <c r="A6" s="9">
        <v>1</v>
      </c>
      <c r="B6" s="28">
        <f>LIDER!E43</f>
        <v>0</v>
      </c>
      <c r="C6" s="33" t="str">
        <f>IF('S-ASIG-07'!D6="","",'S-ASIG-07'!D6)</f>
        <v/>
      </c>
      <c r="D6" s="30" t="str">
        <f>IF(B6=0,"",IF(C6="",$E$6*LIDER!$H$19+F6*LIDER!$H$20+G6*LIDER!$H$21+H6*LIDER!$H$22+I6*LIDER!$H$23+J6*LIDER!$H$24+K6*LIDER!$H$25,"N"))</f>
        <v/>
      </c>
      <c r="E6" s="142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Valentina Castro Ibarra</v>
      </c>
      <c r="C7" s="33" t="str">
        <f>IF('S-ASIG-07'!D7="","",'S-ASIG-07'!D7)</f>
        <v/>
      </c>
      <c r="D7" s="30">
        <f>IF(B7=0,"",IF(C7="",$E$6*LIDER!$H$19+F7*LIDER!$H$20+G7*LIDER!$H$21+H7*LIDER!$H$22+I7*LIDER!$H$23+J7*LIDER!$H$24+K7*LIDER!$H$25,"N"))</f>
        <v>0</v>
      </c>
      <c r="E7" s="142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Carmen Manuek Cruzate</v>
      </c>
      <c r="C8" s="33" t="str">
        <f>IF('S-ASIG-07'!D8="","",'S-ASIG-07'!D8)</f>
        <v/>
      </c>
      <c r="D8" s="30">
        <f>IF(B8=0,"",IF(C8="",$E$6*LIDER!$H$19+F8*LIDER!$H$20+G8*LIDER!$H$21+H8*LIDER!$H$22+I8*LIDER!$H$23+J8*LIDER!$H$24+K8*LIDER!$H$25,"N"))</f>
        <v>0</v>
      </c>
      <c r="E8" s="142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Yulieth Martinez Carrasquilla</v>
      </c>
      <c r="C9" s="33" t="str">
        <f>IF('S-ASIG-07'!D9="","",'S-ASIG-07'!D9)</f>
        <v/>
      </c>
      <c r="D9" s="30">
        <f>IF(B9=0,"",IF(C9="",$E$6*LIDER!$H$19+F9*LIDER!$H$20+G9*LIDER!$H$21+H9*LIDER!$H$22+I9*LIDER!$H$23+J9*LIDER!$H$24+K9*LIDER!$H$25,"N"))</f>
        <v>0</v>
      </c>
      <c r="E9" s="142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Angello Ortega Mesino</v>
      </c>
      <c r="C10" s="33" t="str">
        <f>IF('S-ASIG-07'!D10="","",'S-ASIG-07'!D10)</f>
        <v/>
      </c>
      <c r="D10" s="30">
        <f>IF(B10=0,"",IF(C10="",$E$6*LIDER!$H$19+F10*LIDER!$H$20+G10*LIDER!$H$21+H10*LIDER!$H$22+I10*LIDER!$H$23+J10*LIDER!$H$24+K10*LIDER!$H$25,"N"))</f>
        <v>0</v>
      </c>
      <c r="E10" s="142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IF('S-ASIG-07'!D11="","",'S-ASIG-07'!D11)</f>
        <v/>
      </c>
      <c r="D11" s="30" t="str">
        <f>IF(B11=0,"",IF(C11="",$E$6*LIDER!$H$19+F11*LIDER!$H$20+G11*LIDER!$H$21+H11*LIDER!$H$22+I11*LIDER!$H$23+J11*LIDER!$H$24+K11*LIDER!$H$25,"N"))</f>
        <v/>
      </c>
      <c r="E11" s="142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72</v>
      </c>
      <c r="C12" s="32" t="str">
        <f>IF('S-ASIG-07'!D12="","",'S-ASIG-07'!D12)</f>
        <v>LIST</v>
      </c>
      <c r="D12" s="35" t="s">
        <v>96</v>
      </c>
      <c r="E12" s="146" t="str">
        <f>LIDER!$E$30</f>
        <v>GRUPO#2</v>
      </c>
      <c r="F12" s="146"/>
      <c r="G12" s="146"/>
      <c r="H12" s="146"/>
      <c r="I12" s="146"/>
      <c r="J12" s="146"/>
      <c r="K12" s="146"/>
    </row>
    <row r="13" spans="1:11" s="2" customFormat="1" ht="12.75">
      <c r="A13" s="9">
        <v>1</v>
      </c>
      <c r="B13" s="28" t="str">
        <f>LIDER!F43</f>
        <v>Cesar Pajaro Ramos</v>
      </c>
      <c r="C13" s="33" t="str">
        <f>IF('S-ASIG-07'!D13="","",'S-ASIG-07'!D13)</f>
        <v/>
      </c>
      <c r="D13" s="30">
        <f>IF(B13=0,"",IF(C13="",$E$13*LIDER!$H$19+F13*LIDER!$H$20+G13*LIDER!$H$21+H13*LIDER!$H$22+I13*LIDER!$H$23+J13*LIDER!$H$24+K13*LIDER!$H$25,"N"))</f>
        <v>0</v>
      </c>
      <c r="E13" s="142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Elian Polo Soto</v>
      </c>
      <c r="C14" s="33" t="str">
        <f>IF('S-ASIG-07'!D14="","",'S-ASIG-07'!D14)</f>
        <v/>
      </c>
      <c r="D14" s="30">
        <f>IF(B14=0,"",IF(C14="",$E$13*LIDER!$H$19+F14*LIDER!$H$20+G14*LIDER!$H$21+H14*LIDER!$H$22+I14*LIDER!$H$23+J14*LIDER!$H$24+K14*LIDER!$H$25,"N"))</f>
        <v>0</v>
      </c>
      <c r="E14" s="142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Juan C Corrales de la Rosa</v>
      </c>
      <c r="C15" s="33" t="str">
        <f>IF('S-ASIG-07'!D15="","",'S-ASIG-07'!D15)</f>
        <v/>
      </c>
      <c r="D15" s="30">
        <f>IF(B15=0,"",IF(C15="",$E$13*LIDER!$H$19+F15*LIDER!$H$20+G15*LIDER!$H$21+H15*LIDER!$H$22+I15*LIDER!$H$23+J15*LIDER!$H$24+K15*LIDER!$H$25,"N"))</f>
        <v>0</v>
      </c>
      <c r="E15" s="142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Katerin Silva Peñate</v>
      </c>
      <c r="C16" s="33" t="str">
        <f>IF('S-ASIG-07'!D16="","",'S-ASIG-07'!D16)</f>
        <v/>
      </c>
      <c r="D16" s="30">
        <f>IF(B16=0,"",IF(C16="",$E$13*LIDER!$H$19+F16*LIDER!$H$20+G16*LIDER!$H$21+H16*LIDER!$H$22+I16*LIDER!$H$23+J16*LIDER!$H$24+K16*LIDER!$H$25,"N"))</f>
        <v>0</v>
      </c>
      <c r="E16" s="142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Yorcelis Mercado Guerra</v>
      </c>
      <c r="C17" s="33" t="str">
        <f>IF('S-ASIG-07'!D17="","",'S-ASIG-07'!D17)</f>
        <v/>
      </c>
      <c r="D17" s="30">
        <f>IF(B17=0,"",IF(C17="",$E$13*LIDER!$H$19+F17*LIDER!$H$20+G17*LIDER!$H$21+H17*LIDER!$H$22+I17*LIDER!$H$23+J17*LIDER!$H$24+K17*LIDER!$H$25,"N"))</f>
        <v>0</v>
      </c>
      <c r="E17" s="142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IF('S-ASIG-07'!D18="","",'S-ASIG-07'!D18)</f>
        <v/>
      </c>
      <c r="D18" s="30" t="str">
        <f>IF(B18=0,"",IF(C18="",$E$13*LIDER!$H$19+F18*LIDER!$H$20+G18*LIDER!$H$21+H18*LIDER!$H$22+I18*LIDER!$H$23+J18*LIDER!$H$24+K18*LIDER!$H$25,"N"))</f>
        <v/>
      </c>
      <c r="E18" s="142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74</v>
      </c>
      <c r="C19" s="32" t="str">
        <f>IF('S-ASIG-07'!D19="","",'S-ASIG-07'!D19)</f>
        <v>LIST</v>
      </c>
      <c r="D19" s="35" t="s">
        <v>96</v>
      </c>
      <c r="E19" s="146" t="str">
        <f>LIDER!$E$31</f>
        <v>GRUPO#3</v>
      </c>
      <c r="F19" s="146"/>
      <c r="G19" s="146"/>
      <c r="H19" s="146"/>
      <c r="I19" s="146"/>
      <c r="J19" s="146"/>
      <c r="K19" s="146"/>
    </row>
    <row r="20" spans="1:11" s="2" customFormat="1" ht="12.75">
      <c r="A20" s="9">
        <v>1</v>
      </c>
      <c r="B20" s="28" t="str">
        <f>LIDER!G43</f>
        <v>Lauren castilla Gonzalez</v>
      </c>
      <c r="C20" s="33" t="str">
        <f>IF('S-ASIG-07'!D20="","",'S-ASIG-07'!D20)</f>
        <v/>
      </c>
      <c r="D20" s="30">
        <f>IF(B20=0,"",IF(C20="",$E$20*LIDER!$H$19+F20*LIDER!$H$20+G20*LIDER!$H$21+H20*LIDER!$H$22+I20*LIDER!$H$23+J20*LIDER!$H$24+K20*LIDER!$H$25,"N"))</f>
        <v>0</v>
      </c>
      <c r="E20" s="142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Duvan Cespedes perez</v>
      </c>
      <c r="C21" s="33" t="str">
        <f>IF('S-ASIG-07'!D21="","",'S-ASIG-07'!D21)</f>
        <v/>
      </c>
      <c r="D21" s="30">
        <f>IF(B21=0,"",IF(C21="",$E$20*LIDER!$H$19+F21*LIDER!$H$20+G21*LIDER!$H$21+H21*LIDER!$H$22+I21*LIDER!$H$23+J21*LIDER!$H$24+K21*LIDER!$H$25,"N"))</f>
        <v>0</v>
      </c>
      <c r="E21" s="142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Isaac Faciolince Bustos</v>
      </c>
      <c r="C22" s="33" t="str">
        <f>IF('S-ASIG-07'!D22="","",'S-ASIG-07'!D22)</f>
        <v/>
      </c>
      <c r="D22" s="30">
        <f>IF(B22=0,"",IF(C22="",$E$20*LIDER!$H$19+F22*LIDER!$H$20+G22*LIDER!$H$21+H22*LIDER!$H$22+I22*LIDER!$H$23+J22*LIDER!$H$24+K22*LIDER!$H$25,"N"))</f>
        <v>0</v>
      </c>
      <c r="E22" s="142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Jesus Lopez Morales</v>
      </c>
      <c r="C23" s="33" t="str">
        <f>IF('S-ASIG-07'!D23="","",'S-ASIG-07'!D23)</f>
        <v/>
      </c>
      <c r="D23" s="30">
        <f>IF(B23=0,"",IF(C23="",$E$20*LIDER!$H$19+F23*LIDER!$H$20+G23*LIDER!$H$21+H23*LIDER!$H$22+I23*LIDER!$H$23+J23*LIDER!$H$24+K23*LIDER!$H$25,"N"))</f>
        <v>0</v>
      </c>
      <c r="E23" s="142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Dakar Moarles Paternina</v>
      </c>
      <c r="C24" s="33" t="str">
        <f>IF('S-ASIG-07'!D24="","",'S-ASIG-07'!D24)</f>
        <v/>
      </c>
      <c r="D24" s="30">
        <f>IF(B24=0,"",IF(C24="",$E$20*LIDER!$H$19+F24*LIDER!$H$20+G24*LIDER!$H$21+H24*LIDER!$H$22+I24*LIDER!$H$23+J24*LIDER!$H$24+K24*LIDER!$H$25,"N"))</f>
        <v>0</v>
      </c>
      <c r="E24" s="142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IF('S-ASIG-07'!D25="","",'S-ASIG-07'!D25)</f>
        <v/>
      </c>
      <c r="D25" s="30" t="str">
        <f>IF(B25=0,"",IF(C25="",$E$20*LIDER!$H$19+F25*LIDER!$H$20+G25*LIDER!$H$21+H25*LIDER!$H$22+I25*LIDER!$H$23+J25*LIDER!$H$24+K25*LIDER!$H$25,"N"))</f>
        <v/>
      </c>
      <c r="E25" s="142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76</v>
      </c>
      <c r="C26" s="32" t="str">
        <f>IF('S-ASIG-07'!D26="","",'S-ASIG-07'!D26)</f>
        <v>LIST</v>
      </c>
      <c r="D26" s="35" t="s">
        <v>96</v>
      </c>
      <c r="E26" s="146" t="str">
        <f>LIDER!$E$32</f>
        <v>GRUPO#4</v>
      </c>
      <c r="F26" s="146"/>
      <c r="G26" s="146"/>
      <c r="H26" s="146"/>
      <c r="I26" s="146"/>
      <c r="J26" s="146"/>
      <c r="K26" s="146"/>
    </row>
    <row r="27" spans="1:11" s="2" customFormat="1" ht="12.75">
      <c r="A27" s="9">
        <v>1</v>
      </c>
      <c r="B27" s="28" t="str">
        <f>LIDER!H43</f>
        <v>Ian Yoraco Berrio</v>
      </c>
      <c r="C27" s="33" t="str">
        <f>IF('S-ASIG-07'!D27="","",'S-ASIG-07'!D27)</f>
        <v/>
      </c>
      <c r="D27" s="30">
        <f>IF(B27=0,"",IF(C27="",$E$27*LIDER!$H$19+F27*LIDER!$H$20+G27*LIDER!$H$21+H27*LIDER!$H$22+I27*LIDER!$H$23+J27*LIDER!$H$24+K27*LIDER!$H$25,"N"))</f>
        <v>0</v>
      </c>
      <c r="E27" s="142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Nataly Castro Jimenez</v>
      </c>
      <c r="C28" s="33" t="str">
        <f>IF('S-ASIG-07'!D28="","",'S-ASIG-07'!D28)</f>
        <v/>
      </c>
      <c r="D28" s="30">
        <f>IF(B28=0,"",IF(C28="",$E$27*LIDER!$H$19+F28*LIDER!$H$20+G28*LIDER!$H$21+H28*LIDER!$H$22+I28*LIDER!$H$23+J28*LIDER!$H$24+K28*LIDER!$H$25,"N"))</f>
        <v>0</v>
      </c>
      <c r="E28" s="142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Oscar Lorduy Neira</v>
      </c>
      <c r="C29" s="33" t="str">
        <f>IF('S-ASIG-07'!D29="","",'S-ASIG-07'!D29)</f>
        <v/>
      </c>
      <c r="D29" s="30">
        <f>IF(B29=0,"",IF(C29="",$E$27*LIDER!$H$19+F29*LIDER!$H$20+G29*LIDER!$H$21+H29*LIDER!$H$22+I29*LIDER!$H$23+J29*LIDER!$H$24+K29*LIDER!$H$25,"N"))</f>
        <v>0</v>
      </c>
      <c r="E29" s="142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Carlos Orozco Valdes</v>
      </c>
      <c r="C30" s="33" t="str">
        <f>IF('S-ASIG-07'!D30="","",'S-ASIG-07'!D30)</f>
        <v/>
      </c>
      <c r="D30" s="30">
        <f>IF(B30=0,"",IF(C30="",$E$27*LIDER!$H$19+F30*LIDER!$H$20+G30*LIDER!$H$21+H30*LIDER!$H$22+I30*LIDER!$H$23+J30*LIDER!$H$24+K30*LIDER!$H$25,"N"))</f>
        <v>0</v>
      </c>
      <c r="E30" s="142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Sandri Valdez Sepulveda</v>
      </c>
      <c r="C31" s="33" t="str">
        <f>IF('S-ASIG-07'!D31="","",'S-ASIG-07'!D31)</f>
        <v/>
      </c>
      <c r="D31" s="30">
        <f>IF(B31=0,"",IF(C31="",$E$27*LIDER!$H$19+F31*LIDER!$H$20+G31*LIDER!$H$21+H31*LIDER!$H$22+I31*LIDER!$H$23+J31*LIDER!$H$24+K31*LIDER!$H$25,"N"))</f>
        <v>0</v>
      </c>
      <c r="E31" s="142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IF('S-ASIG-07'!D32="","",'S-ASIG-07'!D32)</f>
        <v/>
      </c>
      <c r="D32" s="30" t="str">
        <f>IF(B32=0,"",IF(C32="",$E$27*LIDER!$H$19+F32*LIDER!$H$20+G32*LIDER!$H$21+H32*LIDER!$H$22+I32*LIDER!$H$23+J32*LIDER!$H$24+K32*LIDER!$H$25,"N"))</f>
        <v/>
      </c>
      <c r="E32" s="142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78</v>
      </c>
      <c r="C33" s="32" t="str">
        <f>IF('S-ASIG-07'!D33="","",'S-ASIG-07'!D33)</f>
        <v>LIST</v>
      </c>
      <c r="D33" s="35" t="s">
        <v>96</v>
      </c>
      <c r="E33" s="146" t="str">
        <f>LIDER!$E$33</f>
        <v>GRUPO#5</v>
      </c>
      <c r="F33" s="146"/>
      <c r="G33" s="146"/>
      <c r="H33" s="146"/>
      <c r="I33" s="146"/>
      <c r="J33" s="146"/>
      <c r="K33" s="146"/>
    </row>
    <row r="34" spans="1:11" s="2" customFormat="1" ht="12.75">
      <c r="A34" s="9">
        <v>1</v>
      </c>
      <c r="B34" s="28" t="str">
        <f>LIDER!E51</f>
        <v>Adrian Marriaga Muñoz</v>
      </c>
      <c r="C34" s="33" t="str">
        <f>IF('S-ASIG-07'!D34="","",'S-ASIG-07'!D34)</f>
        <v/>
      </c>
      <c r="D34" s="30">
        <f>IF(B34=0,"",IF(C34="",$E$34*LIDER!$H$19+F34*LIDER!$H$20+G34*LIDER!$H$21+H34*LIDER!$H$22+I34*LIDER!$H$23+J34*LIDER!$H$24+K34*LIDER!$H$25,"N"))</f>
        <v>0</v>
      </c>
      <c r="E34" s="142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Kristin Perez martinez</v>
      </c>
      <c r="C35" s="33" t="str">
        <f>IF('S-ASIG-07'!D35="","",'S-ASIG-07'!D35)</f>
        <v/>
      </c>
      <c r="D35" s="30">
        <f>IF(B35=0,"",IF(C35="",$E$34*LIDER!$H$19+F35*LIDER!$H$20+G35*LIDER!$H$21+H35*LIDER!$H$22+I35*LIDER!$H$23+J35*LIDER!$H$24+K35*LIDER!$H$25,"N"))</f>
        <v>0</v>
      </c>
      <c r="E35" s="142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Nina Aguilar Sarabia</v>
      </c>
      <c r="C36" s="33" t="str">
        <f>IF('S-ASIG-07'!D36="","",'S-ASIG-07'!D36)</f>
        <v/>
      </c>
      <c r="D36" s="30">
        <f>IF(B36=0,"",IF(C36="",$E$34*LIDER!$H$19+F36*LIDER!$H$20+G36*LIDER!$H$21+H36*LIDER!$H$22+I36*LIDER!$H$23+J36*LIDER!$H$24+K36*LIDER!$H$25,"N"))</f>
        <v>0</v>
      </c>
      <c r="E36" s="142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Theres Theran caicedo</v>
      </c>
      <c r="C37" s="33" t="str">
        <f>IF('S-ASIG-07'!D37="","",'S-ASIG-07'!D37)</f>
        <v/>
      </c>
      <c r="D37" s="30">
        <f>IF(B37=0,"",IF(C37="",$E$34*LIDER!$H$19+F37*LIDER!$H$20+G37*LIDER!$H$21+H37*LIDER!$H$22+I37*LIDER!$H$23+J37*LIDER!$H$24+K37*LIDER!$H$25,"N"))</f>
        <v>0</v>
      </c>
      <c r="E37" s="142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Diego Cardona Bolaño</v>
      </c>
      <c r="C38" s="33" t="str">
        <f>IF('S-ASIG-07'!D38="","",'S-ASIG-07'!D38)</f>
        <v/>
      </c>
      <c r="D38" s="30">
        <f>IF(B38=0,"",IF(C38="",$E$34*LIDER!$H$19+F38*LIDER!$H$20+G38*LIDER!$H$21+H38*LIDER!$H$22+I38*LIDER!$H$23+J38*LIDER!$H$24+K38*LIDER!$H$25,"N"))</f>
        <v>0</v>
      </c>
      <c r="E38" s="142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 t="str">
        <f>LIDER!E56</f>
        <v>Jhamer Luis Maza Ramos</v>
      </c>
      <c r="C39" s="33" t="str">
        <f>IF('S-ASIG-07'!D39="","",'S-ASIG-07'!D39)</f>
        <v/>
      </c>
      <c r="D39" s="30">
        <f>IF(B39=0,"",IF(C39="",$E$34*LIDER!$H$19+F39*LIDER!$H$20+G39*LIDER!$H$21+H39*LIDER!$H$22+I39*LIDER!$H$23+J39*LIDER!$H$24+K39*LIDER!$H$25,"N"))</f>
        <v>0</v>
      </c>
      <c r="E39" s="142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80</v>
      </c>
      <c r="C40" s="32" t="str">
        <f>IF('S-ASIG-07'!D40="","",'S-ASIG-07'!D40)</f>
        <v>LIST</v>
      </c>
      <c r="D40" s="35" t="s">
        <v>96</v>
      </c>
      <c r="E40" s="146" t="str">
        <f>LIDER!$E$34</f>
        <v>GRUPO#6</v>
      </c>
      <c r="F40" s="146"/>
      <c r="G40" s="146"/>
      <c r="H40" s="146"/>
      <c r="I40" s="146"/>
      <c r="J40" s="146"/>
      <c r="K40" s="146"/>
    </row>
    <row r="41" spans="1:11" s="2" customFormat="1" ht="12.75">
      <c r="A41" s="9">
        <v>1</v>
      </c>
      <c r="B41" s="28" t="str">
        <f>LIDER!F51</f>
        <v>Yureidy Alarez Castellano</v>
      </c>
      <c r="C41" s="33" t="str">
        <f>IF('S-ASIG-07'!D41="","",'S-ASIG-07'!D41)</f>
        <v/>
      </c>
      <c r="D41" s="30">
        <f>IF(B41=0,"",IF(C41="",$E$41*LIDER!$H$19+F41*LIDER!$H$20+G41*LIDER!$H$21+H41*LIDER!$H$22+I41*LIDER!$H$23+J41*LIDER!$H$24+K41*LIDER!$H$25,"N"))</f>
        <v>0</v>
      </c>
      <c r="E41" s="142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Juan C Baldiris Espitia</v>
      </c>
      <c r="C42" s="33" t="str">
        <f>IF('S-ASIG-07'!D42="","",'S-ASIG-07'!D42)</f>
        <v/>
      </c>
      <c r="D42" s="30">
        <f>IF(B42=0,"",IF(C42="",$E$41*LIDER!$H$19+F42*LIDER!$H$20+G42*LIDER!$H$21+H42*LIDER!$H$22+I42*LIDER!$H$23+J42*LIDER!$H$24+K42*LIDER!$H$25,"N"))</f>
        <v>0</v>
      </c>
      <c r="E42" s="142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Andres F Torres Arroyo</v>
      </c>
      <c r="C43" s="33" t="str">
        <f>IF('S-ASIG-07'!D43="","",'S-ASIG-07'!D43)</f>
        <v/>
      </c>
      <c r="D43" s="30">
        <f>IF(B43=0,"",IF(C43="",$E$41*LIDER!$H$19+F43*LIDER!$H$20+G43*LIDER!$H$21+H43*LIDER!$H$22+I43*LIDER!$H$23+J43*LIDER!$H$24+K43*LIDER!$H$25,"N"))</f>
        <v>0</v>
      </c>
      <c r="E43" s="142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Sherlyn Villegas Maza</v>
      </c>
      <c r="C44" s="33" t="str">
        <f>IF('S-ASIG-07'!D44="","",'S-ASIG-07'!D44)</f>
        <v/>
      </c>
      <c r="D44" s="30">
        <f>IF(B44=0,"",IF(C44="",$E$41*LIDER!$H$19+F44*LIDER!$H$20+G44*LIDER!$H$21+H44*LIDER!$H$22+I44*LIDER!$H$23+J44*LIDER!$H$24+K44*LIDER!$H$25,"N"))</f>
        <v>0</v>
      </c>
      <c r="E44" s="142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Isaac Zapata Zapata</v>
      </c>
      <c r="C45" s="33" t="str">
        <f>IF('S-ASIG-07'!D45="","",'S-ASIG-07'!D45)</f>
        <v/>
      </c>
      <c r="D45" s="30">
        <f>IF(B45=0,"",IF(C45="",$E$41*LIDER!$H$19+F45*LIDER!$H$20+G45*LIDER!$H$21+H45*LIDER!$H$22+I45*LIDER!$H$23+J45*LIDER!$H$24+K45*LIDER!$H$25,"N"))</f>
        <v>0</v>
      </c>
      <c r="E45" s="142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IF('S-ASIG-07'!D46="","",'S-ASIG-07'!D46)</f>
        <v/>
      </c>
      <c r="D46" s="30" t="str">
        <f>IF(B46=0,"",IF(C46="",$E$41*LIDER!$H$19+F46*LIDER!$H$20+G46*LIDER!$H$21+H46*LIDER!$H$22+I46*LIDER!$H$23+J46*LIDER!$H$24+K46*LIDER!$H$25,"N"))</f>
        <v/>
      </c>
      <c r="E46" s="142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82</v>
      </c>
      <c r="C47" s="32" t="str">
        <f>IF('S-ASIG-07'!D47="","",'S-ASIG-07'!D47)</f>
        <v>LIST</v>
      </c>
      <c r="D47" s="35" t="s">
        <v>96</v>
      </c>
      <c r="E47" s="146" t="str">
        <f>LIDER!$E$35</f>
        <v>GRUPO#7</v>
      </c>
      <c r="F47" s="146"/>
      <c r="G47" s="146"/>
      <c r="H47" s="146"/>
      <c r="I47" s="146"/>
      <c r="J47" s="146"/>
      <c r="K47" s="146"/>
    </row>
    <row r="48" spans="1:11" s="2" customFormat="1" ht="12.75">
      <c r="A48" s="9">
        <v>1</v>
      </c>
      <c r="B48" s="28" t="str">
        <f>LIDER!G51</f>
        <v>Valeria Balesteros Almentero</v>
      </c>
      <c r="C48" s="33" t="str">
        <f>IF('S-ASIG-07'!D48="","",'S-ASIG-07'!D48)</f>
        <v/>
      </c>
      <c r="D48" s="30">
        <f>IF(B48=0,"",IF(C48="",$E$48*LIDER!$H$19+F48*LIDER!$H$20+G48*LIDER!$H$21+H48*LIDER!$H$22+I48*LIDER!$H$23+J48*LIDER!$H$24+K48*LIDER!$H$25,"N"))</f>
        <v>0</v>
      </c>
      <c r="E48" s="142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IF('S-ASIG-07'!D49="","",'S-ASIG-07'!D49)</f>
        <v/>
      </c>
      <c r="D49" s="30" t="str">
        <f>IF(B49=0,"",IF(C49="",$E$48*LIDER!$H$19+F49*LIDER!$H$20+G49*LIDER!$H$21+H49*LIDER!$H$22+I49*LIDER!$H$23+J49*LIDER!$H$24+K49*LIDER!$H$25,"N"))</f>
        <v/>
      </c>
      <c r="E49" s="142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IF('S-ASIG-07'!D50="","",'S-ASIG-07'!D50)</f>
        <v/>
      </c>
      <c r="D50" s="30" t="str">
        <f>IF(B50=0,"",IF(C50="",$E$48*LIDER!$H$19+F50*LIDER!$H$20+G50*LIDER!$H$21+H50*LIDER!$H$22+I50*LIDER!$H$23+J50*LIDER!$H$24+K50*LIDER!$H$25,"N"))</f>
        <v/>
      </c>
      <c r="E50" s="142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IF('S-ASIG-07'!D51="","",'S-ASIG-07'!D51)</f>
        <v/>
      </c>
      <c r="D51" s="30" t="str">
        <f>IF(B51=0,"",IF(C51="",$E$48*LIDER!$H$19+F51*LIDER!$H$20+G51*LIDER!$H$21+H51*LIDER!$H$22+I51*LIDER!$H$23+J51*LIDER!$H$24+K51*LIDER!$H$25,"N"))</f>
        <v/>
      </c>
      <c r="E51" s="142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IF('S-ASIG-07'!D52="","",'S-ASIG-07'!D52)</f>
        <v/>
      </c>
      <c r="D52" s="30" t="str">
        <f>IF(B52=0,"",IF(C52="",$E$48*LIDER!$H$19+F52*LIDER!$H$20+G52*LIDER!$H$21+H52*LIDER!$H$22+I52*LIDER!$H$23+J52*LIDER!$H$24+K52*LIDER!$H$25,"N"))</f>
        <v/>
      </c>
      <c r="E52" s="142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IF('S-ASIG-07'!D53="","",'S-ASIG-07'!D53)</f>
        <v/>
      </c>
      <c r="D53" s="30" t="str">
        <f>IF(B53=0,"",IF(C53="",$E$48*LIDER!$H$19+F53*LIDER!$H$20+G53*LIDER!$H$21+H53*LIDER!$H$22+I53*LIDER!$H$23+J53*LIDER!$H$24+K53*LIDER!$H$25,"N"))</f>
        <v/>
      </c>
      <c r="E53" s="142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84</v>
      </c>
      <c r="C54" s="32" t="str">
        <f>IF('S-ASIG-07'!D54="","",'S-ASIG-07'!D54)</f>
        <v>LIST</v>
      </c>
      <c r="D54" s="35" t="s">
        <v>96</v>
      </c>
      <c r="E54" s="146" t="str">
        <f>LIDER!$E$36</f>
        <v>GRUPO#8</v>
      </c>
      <c r="F54" s="146"/>
      <c r="G54" s="146"/>
      <c r="H54" s="146"/>
      <c r="I54" s="146"/>
      <c r="J54" s="146"/>
      <c r="K54" s="146"/>
    </row>
    <row r="55" spans="1:11" s="2" customFormat="1" ht="12.75">
      <c r="A55" s="9">
        <v>1</v>
      </c>
      <c r="B55" s="28">
        <f>LIDER!H51</f>
        <v>0</v>
      </c>
      <c r="C55" s="33" t="str">
        <f>IF('S-ASIG-07'!D55="","",'S-ASIG-07'!D55)</f>
        <v/>
      </c>
      <c r="D55" s="30" t="str">
        <f>IF(B55=0,"",IF(C55="",$E$55*LIDER!$H$19+F55*LIDER!$H$20+G55*LIDER!$H$21+H55*LIDER!$H$22+I55*LIDER!$H$23+J55*LIDER!$H$24+K55*LIDER!$H$25,"N"))</f>
        <v/>
      </c>
      <c r="E55" s="142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IF('S-ASIG-07'!D56="","",'S-ASIG-07'!D56)</f>
        <v/>
      </c>
      <c r="D56" s="30" t="str">
        <f>IF(B56=0,"",IF(C56="",$E$55*LIDER!$H$19+F56*LIDER!$H$20+G56*LIDER!$H$21+H56*LIDER!$H$22+I56*LIDER!$H$23+J56*LIDER!$H$24+K56*LIDER!$H$25,"N"))</f>
        <v/>
      </c>
      <c r="E56" s="142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IF('S-ASIG-07'!D57="","",'S-ASIG-07'!D57)</f>
        <v/>
      </c>
      <c r="D57" s="30" t="str">
        <f>IF(B57=0,"",IF(C57="",$E$55*LIDER!$H$19+F57*LIDER!$H$20+G57*LIDER!$H$21+H57*LIDER!$H$22+I57*LIDER!$H$23+J57*LIDER!$H$24+K57*LIDER!$H$25,"N"))</f>
        <v/>
      </c>
      <c r="E57" s="142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IF('S-ASIG-07'!D58="","",'S-ASIG-07'!D58)</f>
        <v/>
      </c>
      <c r="D58" s="30" t="str">
        <f>IF(B58=0,"",IF(C58="",$E$55*LIDER!$H$19+F58*LIDER!$H$20+G58*LIDER!$H$21+H58*LIDER!$H$22+I58*LIDER!$H$23+J58*LIDER!$H$24+K58*LIDER!$H$25,"N"))</f>
        <v/>
      </c>
      <c r="E58" s="142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IF('S-ASIG-07'!D59="","",'S-ASIG-07'!D59)</f>
        <v/>
      </c>
      <c r="D59" s="30" t="str">
        <f>IF(B59=0,"",IF(C59="",$E$55*LIDER!$H$19+F59*LIDER!$H$20+G59*LIDER!$H$21+H59*LIDER!$H$22+I59*LIDER!$H$23+J59*LIDER!$H$24+K59*LIDER!$H$25,"N"))</f>
        <v/>
      </c>
      <c r="E59" s="142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IF('S-ASIG-07'!D60="","",'S-ASIG-07'!D60)</f>
        <v/>
      </c>
      <c r="D60" s="30" t="str">
        <f>IF(B60=0,"",IF(C60="",$E$55*LIDER!$H$19+F60*LIDER!$H$20+G60*LIDER!$H$21+H60*LIDER!$H$22+I60*LIDER!$H$23+J60*LIDER!$H$24+K60*LIDER!$H$25,"N"))</f>
        <v/>
      </c>
      <c r="E60" s="14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86</v>
      </c>
      <c r="C61" s="32" t="str">
        <f>IF('S-ASIG-07'!D61="","",'S-ASIG-07'!D61)</f>
        <v>LIST</v>
      </c>
      <c r="D61" s="35" t="s">
        <v>96</v>
      </c>
      <c r="E61" s="146" t="str">
        <f>LIDER!$E$37</f>
        <v>GRUPO#9</v>
      </c>
      <c r="F61" s="146"/>
      <c r="G61" s="146"/>
      <c r="H61" s="146"/>
      <c r="I61" s="146"/>
      <c r="J61" s="146"/>
      <c r="K61" s="146"/>
    </row>
    <row r="62" spans="1:11" s="2" customFormat="1" ht="12.75">
      <c r="A62" s="9">
        <v>1</v>
      </c>
      <c r="B62" s="28">
        <f>LIDER!E59</f>
        <v>0</v>
      </c>
      <c r="C62" s="33" t="str">
        <f>IF('S-ASIG-07'!D62="","",'S-ASIG-07'!D62)</f>
        <v/>
      </c>
      <c r="D62" s="30" t="str">
        <f>IF(B62=0,"",IF(C62="",$E$62*LIDER!$H$19+F62*LIDER!$H$20+G62*LIDER!$H$21+H62*LIDER!$H$22+I62*LIDER!$H$23+J62*LIDER!$H$24+K62*LIDER!$H$25,"N"))</f>
        <v/>
      </c>
      <c r="E62" s="14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IF('S-ASIG-07'!D63="","",'S-ASIG-07'!D63)</f>
        <v/>
      </c>
      <c r="D63" s="30" t="str">
        <f>IF(B63=0,"",IF(C63="",$E$62*LIDER!$H$19+F63*LIDER!$H$20+G63*LIDER!$H$21+H63*LIDER!$H$22+I63*LIDER!$H$23+J63*LIDER!$H$24+K63*LIDER!$H$25,"N"))</f>
        <v/>
      </c>
      <c r="E63" s="14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IF('S-ASIG-07'!D64="","",'S-ASIG-07'!D64)</f>
        <v/>
      </c>
      <c r="D64" s="30" t="str">
        <f>IF(B64=0,"",IF(C64="",$E$62*LIDER!$H$19+F64*LIDER!$H$20+G64*LIDER!$H$21+H64*LIDER!$H$22+I64*LIDER!$H$23+J64*LIDER!$H$24+K64*LIDER!$H$25,"N"))</f>
        <v/>
      </c>
      <c r="E64" s="14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IF('S-ASIG-07'!D65="","",'S-ASIG-07'!D65)</f>
        <v/>
      </c>
      <c r="D65" s="30" t="str">
        <f>IF(B65=0,"",IF(C65="",$E$62*LIDER!$H$19+F65*LIDER!$H$20+G65*LIDER!$H$21+H65*LIDER!$H$22+I65*LIDER!$H$23+J65*LIDER!$H$24+K65*LIDER!$H$25,"N"))</f>
        <v/>
      </c>
      <c r="E65" s="14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IF('S-ASIG-07'!D66="","",'S-ASIG-07'!D66)</f>
        <v/>
      </c>
      <c r="D66" s="30" t="str">
        <f>IF(B66=0,"",IF(C66="",$E$62*LIDER!$H$19+F66*LIDER!$H$20+G66*LIDER!$H$21+H66*LIDER!$H$22+I66*LIDER!$H$23+J66*LIDER!$H$24+K66*LIDER!$H$25,"N"))</f>
        <v/>
      </c>
      <c r="E66" s="14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IF('S-ASIG-07'!D67="","",'S-ASIG-07'!D67)</f>
        <v/>
      </c>
      <c r="D67" s="30" t="str">
        <f>IF(B67=0,"",IF(C67="",$E$62*LIDER!$H$19+F67*LIDER!$H$20+G67*LIDER!$H$21+H67*LIDER!$H$22+I67*LIDER!$H$23+J67*LIDER!$H$24+K67*LIDER!$H$25,"N"))</f>
        <v/>
      </c>
      <c r="E67" s="14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88</v>
      </c>
      <c r="C68" s="32" t="str">
        <f>IF('S-ASIG-07'!D68="","",'S-ASIG-07'!D68)</f>
        <v>LIST</v>
      </c>
      <c r="D68" s="35" t="s">
        <v>96</v>
      </c>
      <c r="E68" s="146" t="str">
        <f>LIDER!$E$38</f>
        <v>GRUPO#10</v>
      </c>
      <c r="F68" s="146"/>
      <c r="G68" s="146"/>
      <c r="H68" s="146"/>
      <c r="I68" s="146"/>
      <c r="J68" s="146"/>
      <c r="K68" s="146"/>
    </row>
    <row r="69" spans="1:11" s="2" customFormat="1" ht="12.75">
      <c r="A69" s="9">
        <v>1</v>
      </c>
      <c r="B69" s="28">
        <f>LIDER!F59</f>
        <v>0</v>
      </c>
      <c r="C69" s="33" t="str">
        <f>IF('S-ASIG-07'!D69="","",'S-ASIG-07'!D69)</f>
        <v/>
      </c>
      <c r="D69" s="30" t="str">
        <f>IF(B69=0,"",IF(C69="",$E$69*LIDER!$H$19+F69*LIDER!$H$20+G69*LIDER!$H$21+H69*LIDER!$H$22+I69*LIDER!$H$23+J69*LIDER!$H$24+K69*LIDER!$H$25,"N"))</f>
        <v/>
      </c>
      <c r="E69" s="14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IF('S-ASIG-07'!D70="","",'S-ASIG-07'!D70)</f>
        <v/>
      </c>
      <c r="D70" s="30" t="str">
        <f>IF(B70=0,"",IF(C70="",$E$69*LIDER!$H$19+F70*LIDER!$H$20+G70*LIDER!$H$21+H70*LIDER!$H$22+I70*LIDER!$H$23+J70*LIDER!$H$24+K70*LIDER!$H$25,"N"))</f>
        <v/>
      </c>
      <c r="E70" s="14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IF('S-ASIG-07'!D71="","",'S-ASIG-07'!D71)</f>
        <v/>
      </c>
      <c r="D71" s="30" t="str">
        <f>IF(B71=0,"",IF(C71="",$E$69*LIDER!$H$19+F71*LIDER!$H$20+G71*LIDER!$H$21+H71*LIDER!$H$22+I71*LIDER!$H$23+J71*LIDER!$H$24+K71*LIDER!$H$25,"N"))</f>
        <v/>
      </c>
      <c r="E71" s="14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IF('S-ASIG-07'!D72="","",'S-ASIG-07'!D72)</f>
        <v/>
      </c>
      <c r="D72" s="30" t="str">
        <f>IF(B72=0,"",IF(C72="",$E$69*LIDER!$H$19+F72*LIDER!$H$20+G72*LIDER!$H$21+H72*LIDER!$H$22+I72*LIDER!$H$23+J72*LIDER!$H$24+K72*LIDER!$H$25,"N"))</f>
        <v/>
      </c>
      <c r="E72" s="14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IF('S-ASIG-07'!D73="","",'S-ASIG-07'!D73)</f>
        <v/>
      </c>
      <c r="D73" s="30" t="str">
        <f>IF(B73=0,"",IF(C73="",$E$69*LIDER!$H$19+F73*LIDER!$H$20+G73*LIDER!$H$21+H73*LIDER!$H$22+I73*LIDER!$H$23+J73*LIDER!$H$24+K73*LIDER!$H$25,"N"))</f>
        <v/>
      </c>
      <c r="E73" s="14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IF('S-ASIG-07'!D74="","",'S-ASIG-07'!D74)</f>
        <v/>
      </c>
      <c r="D74" s="30" t="str">
        <f>IF(B74=0,"",IF(C74="",$E$69*LIDER!$H$19+F74*LIDER!$H$20+G74*LIDER!$H$21+H74*LIDER!$H$22+I74*LIDER!$H$23+J74*LIDER!$H$24+K74*LIDER!$H$25,"N"))</f>
        <v/>
      </c>
      <c r="E74" s="14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90</v>
      </c>
      <c r="C75" s="32" t="str">
        <f>IF('S-ASIG-07'!D75="","",'S-ASIG-07'!D75)</f>
        <v>LIST</v>
      </c>
      <c r="D75" s="35" t="s">
        <v>96</v>
      </c>
      <c r="E75" s="146" t="str">
        <f>LIDER!$E$39</f>
        <v>GRUPO#11</v>
      </c>
      <c r="F75" s="146"/>
      <c r="G75" s="146"/>
      <c r="H75" s="146"/>
      <c r="I75" s="146"/>
      <c r="J75" s="146"/>
      <c r="K75" s="146"/>
    </row>
    <row r="76" spans="1:11" s="2" customFormat="1" ht="12.75">
      <c r="A76" s="9">
        <v>1</v>
      </c>
      <c r="B76" s="28">
        <f>LIDER!G59</f>
        <v>0</v>
      </c>
      <c r="C76" s="33" t="str">
        <f>IF('S-ASIG-07'!D76="","",'S-ASIG-07'!D76)</f>
        <v/>
      </c>
      <c r="D76" s="30" t="str">
        <f>IF(B76=0,"",IF(C76="",E76*LIDER!$H$19+F76*LIDER!$H$20+G76*LIDER!$H$21+H76*LIDER!$H$22+I76*LIDER!$H$23+J76*LIDER!$H$24+K76*LIDER!$H$25,"N"))</f>
        <v/>
      </c>
      <c r="E76" s="14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IF('S-ASIG-07'!D77="","",'S-ASIG-07'!D77)</f>
        <v/>
      </c>
      <c r="D77" s="30" t="str">
        <f>IF(B77=0,"",IF(C77="",E77*LIDER!$H$19+F77*LIDER!$H$20+G77*LIDER!$H$21+H77*LIDER!$H$22+I77*LIDER!$H$23+J77*LIDER!$H$24+K77*LIDER!$H$25,"N"))</f>
        <v/>
      </c>
      <c r="E77" s="14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IF('S-ASIG-07'!D78="","",'S-ASIG-07'!D78)</f>
        <v/>
      </c>
      <c r="D78" s="30" t="str">
        <f>IF(B78=0,"",IF(C78="",E78*LIDER!$H$19+F78*LIDER!$H$20+G78*LIDER!$H$21+H78*LIDER!$H$22+I78*LIDER!$H$23+J78*LIDER!$H$24+K78*LIDER!$H$25,"N"))</f>
        <v/>
      </c>
      <c r="E78" s="14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IF('S-ASIG-07'!D79="","",'S-ASIG-07'!D79)</f>
        <v/>
      </c>
      <c r="D79" s="30" t="str">
        <f>IF(B79=0,"",IF(C79="",E79*LIDER!$H$19+F79*LIDER!$H$20+G79*LIDER!$H$21+H79*LIDER!$H$22+I79*LIDER!$H$23+J79*LIDER!$H$24+K79*LIDER!$H$25,"N"))</f>
        <v/>
      </c>
      <c r="E79" s="14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IF('S-ASIG-07'!D80="","",'S-ASIG-07'!D80)</f>
        <v/>
      </c>
      <c r="D80" s="30" t="str">
        <f>IF(B80=0,"",IF(C80="",E80*LIDER!$H$19+F80*LIDER!$H$20+G80*LIDER!$H$21+H80*LIDER!$H$22+I80*LIDER!$H$23+J80*LIDER!$H$24+K80*LIDER!$H$25,"N"))</f>
        <v/>
      </c>
      <c r="E80" s="14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IF('S-ASIG-07'!D81="","",'S-ASIG-07'!D81)</f>
        <v/>
      </c>
      <c r="D81" s="30" t="str">
        <f>IF(B81=0,"",IF(C81="",E81*LIDER!$H$19+F81*LIDER!$H$20+G81*LIDER!$H$21+H81*LIDER!$H$22+I81*LIDER!$H$23+J81*LIDER!$H$24+K81*LIDER!$H$25,"N"))</f>
        <v/>
      </c>
      <c r="E81" s="14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91</v>
      </c>
      <c r="C82" s="32" t="str">
        <f>IF('S-ASIG-07'!D82="","",'S-ASIG-07'!D82)</f>
        <v>LIST</v>
      </c>
      <c r="D82" s="35" t="s">
        <v>96</v>
      </c>
      <c r="E82" s="146" t="str">
        <f>LIDER!$E$40</f>
        <v>GRUPO#12</v>
      </c>
      <c r="F82" s="146"/>
      <c r="G82" s="146"/>
      <c r="H82" s="146"/>
      <c r="I82" s="146"/>
      <c r="J82" s="146"/>
      <c r="K82" s="146"/>
    </row>
    <row r="83" spans="1:11" s="2" customFormat="1" ht="12.75">
      <c r="A83" s="9">
        <v>1</v>
      </c>
      <c r="B83" s="28">
        <f>LIDER!H59</f>
        <v>0</v>
      </c>
      <c r="C83" s="33" t="str">
        <f>IF('S-ASIG-07'!D83="","",'S-ASIG-07'!D83)</f>
        <v/>
      </c>
      <c r="D83" s="30" t="str">
        <f>IF(B83=0,"",IF(C83="",$E$83*LIDER!$H$19+F83*LIDER!$H$20+G83*LIDER!$H$21+H83*LIDER!$H$22+I83*LIDER!$H$23+J83*LIDER!$H$24+K83*LIDER!$H$25,"N"))</f>
        <v/>
      </c>
      <c r="E83" s="14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IF('S-ASIG-07'!D84="","",'S-ASIG-07'!D84)</f>
        <v/>
      </c>
      <c r="D84" s="30" t="str">
        <f>IF(B84=0,"",IF(C84="",$E$83*LIDER!$H$19+F84*LIDER!$H$20+G84*LIDER!$H$21+H84*LIDER!$H$22+I84*LIDER!$H$23+J84*LIDER!$H$24+K84*LIDER!$H$25,"N"))</f>
        <v/>
      </c>
      <c r="E84" s="14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IF('S-ASIG-07'!D85="","",'S-ASIG-07'!D85)</f>
        <v/>
      </c>
      <c r="D85" s="30" t="str">
        <f>IF(B85=0,"",IF(C85="",$E$83*LIDER!$H$19+F85*LIDER!$H$20+G85*LIDER!$H$21+H85*LIDER!$H$22+I85*LIDER!$H$23+J85*LIDER!$H$24+K85*LIDER!$H$25,"N"))</f>
        <v/>
      </c>
      <c r="E85" s="14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IF('S-ASIG-07'!D86="","",'S-ASIG-07'!D86)</f>
        <v/>
      </c>
      <c r="D86" s="30" t="str">
        <f>IF(B86=0,"",IF(C86="",$E$83*LIDER!$H$19+F86*LIDER!$H$20+G86*LIDER!$H$21+H86*LIDER!$H$22+I86*LIDER!$H$23+J86*LIDER!$H$24+K86*LIDER!$H$25,"N"))</f>
        <v/>
      </c>
      <c r="E86" s="14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IF('S-ASIG-07'!D87="","",'S-ASIG-07'!D87)</f>
        <v/>
      </c>
      <c r="D87" s="30" t="str">
        <f>IF(B87=0,"",IF(C87="",$E$83*LIDER!$H$19+F87*LIDER!$H$20+G87*LIDER!$H$21+H87*LIDER!$H$22+I87*LIDER!$H$23+J87*LIDER!$H$24+K87*LIDER!$H$25,"N"))</f>
        <v/>
      </c>
      <c r="E87" s="14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IF('S-ASIG-07'!D88="","",'S-ASIG-07'!D88)</f>
        <v/>
      </c>
      <c r="D88" s="31" t="str">
        <f>IF(B88=0,"",IF(C88="",$E$83*LIDER!$H$19+F88*LIDER!$H$20+G88*LIDER!$H$21+H88*LIDER!$H$22+I88*LIDER!$H$23+J88*LIDER!$H$24+K88*LIDER!$H$25,"N"))</f>
        <v/>
      </c>
      <c r="E88" s="153"/>
      <c r="F88" s="19"/>
      <c r="G88" s="19"/>
      <c r="H88" s="19"/>
      <c r="I88" s="19"/>
      <c r="J88" s="19"/>
      <c r="K88" s="19"/>
    </row>
  </sheetData>
  <sheetProtection algorithmName="SHA-512" hashValue="GeClVsKYioGoa4UnvowTF6wx39VWUhhgLjMc8wsopig5ypMToR/+9ac0KRKM7Hj/BGgXlMen/V78daCZffhrRQ==" saltValue="o5i4aRYVn9J9p8IueoZPSA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E26:K26"/>
    <mergeCell ref="A1:G1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32" priority="14">
      <formula>ISEVEN($A6)</formula>
    </cfRule>
  </conditionalFormatting>
  <conditionalFormatting sqref="A13:B18 D13:D18">
    <cfRule type="expression" dxfId="31" priority="13">
      <formula>ISEVEN($A13)</formula>
    </cfRule>
  </conditionalFormatting>
  <conditionalFormatting sqref="A20:B25 D20:D25">
    <cfRule type="expression" dxfId="30" priority="12">
      <formula>ISEVEN($A20)</formula>
    </cfRule>
  </conditionalFormatting>
  <conditionalFormatting sqref="A27:B32 D27:D32">
    <cfRule type="expression" dxfId="29" priority="11">
      <formula>ISEVEN($A27)</formula>
    </cfRule>
  </conditionalFormatting>
  <conditionalFormatting sqref="A34:B39 D34:D39">
    <cfRule type="expression" dxfId="28" priority="10">
      <formula>ISEVEN($A34)</formula>
    </cfRule>
  </conditionalFormatting>
  <conditionalFormatting sqref="A41:B46 D41:D46">
    <cfRule type="expression" dxfId="27" priority="9">
      <formula>ISEVEN($A41)</formula>
    </cfRule>
  </conditionalFormatting>
  <conditionalFormatting sqref="A48:B53 D48:D53">
    <cfRule type="expression" dxfId="26" priority="8">
      <formula>ISEVEN($A48)</formula>
    </cfRule>
  </conditionalFormatting>
  <conditionalFormatting sqref="A55:B60 D55:D60">
    <cfRule type="expression" dxfId="25" priority="7">
      <formula>ISEVEN($A55)</formula>
    </cfRule>
  </conditionalFormatting>
  <conditionalFormatting sqref="A62:B67 D62:D67">
    <cfRule type="expression" dxfId="24" priority="6">
      <formula>ISEVEN($A62)</formula>
    </cfRule>
  </conditionalFormatting>
  <conditionalFormatting sqref="A69:B74 D69:D74">
    <cfRule type="expression" dxfId="23" priority="5">
      <formula>ISEVEN($A69)</formula>
    </cfRule>
  </conditionalFormatting>
  <conditionalFormatting sqref="A76:B81 D76:D81">
    <cfRule type="expression" dxfId="22" priority="4">
      <formula>ISEVEN($A76)</formula>
    </cfRule>
  </conditionalFormatting>
  <conditionalFormatting sqref="A83:B88 D83:D88">
    <cfRule type="expression" dxfId="21" priority="3">
      <formula>ISEVEN($A83)</formula>
    </cfRule>
  </conditionalFormatting>
  <conditionalFormatting sqref="B6:B88">
    <cfRule type="cellIs" dxfId="20" priority="2" operator="equal">
      <formula>0</formula>
    </cfRule>
  </conditionalFormatting>
  <conditionalFormatting sqref="C5 B6:D88">
    <cfRule type="expression" dxfId="19" priority="1">
      <formula>$C5="N"</formula>
    </cfRule>
  </conditionalFormatting>
  <conditionalFormatting sqref="E6:K6 F7:K11">
    <cfRule type="expression" dxfId="18" priority="29">
      <formula>ISEVEN($A6)</formula>
    </cfRule>
  </conditionalFormatting>
  <conditionalFormatting sqref="E13:K13 F14:K18">
    <cfRule type="expression" dxfId="17" priority="28">
      <formula>ISEVEN($A13)</formula>
    </cfRule>
  </conditionalFormatting>
  <conditionalFormatting sqref="E20:K20 F21:K25">
    <cfRule type="expression" dxfId="16" priority="27">
      <formula>ISEVEN($A20)</formula>
    </cfRule>
  </conditionalFormatting>
  <conditionalFormatting sqref="E27:K27 F28:K32">
    <cfRule type="expression" dxfId="15" priority="26">
      <formula>ISEVEN($A27)</formula>
    </cfRule>
  </conditionalFormatting>
  <conditionalFormatting sqref="E34:K34 F35:K39">
    <cfRule type="expression" dxfId="14" priority="25">
      <formula>ISEVEN($A34)</formula>
    </cfRule>
  </conditionalFormatting>
  <conditionalFormatting sqref="E41:K41 F42:K46">
    <cfRule type="expression" dxfId="13" priority="24">
      <formula>ISEVEN($A41)</formula>
    </cfRule>
  </conditionalFormatting>
  <conditionalFormatting sqref="E48:K48 F49:K53">
    <cfRule type="expression" dxfId="12" priority="23">
      <formula>ISEVEN($A48)</formula>
    </cfRule>
  </conditionalFormatting>
  <conditionalFormatting sqref="E55:K55 F56:K60">
    <cfRule type="expression" dxfId="11" priority="22">
      <formula>ISEVEN($A55)</formula>
    </cfRule>
  </conditionalFormatting>
  <conditionalFormatting sqref="E62:K62 F63:K67">
    <cfRule type="expression" dxfId="10" priority="21">
      <formula>ISEVEN($A62)</formula>
    </cfRule>
  </conditionalFormatting>
  <conditionalFormatting sqref="E69:K69 F70:K74">
    <cfRule type="expression" dxfId="9" priority="20">
      <formula>ISEVEN($A69)</formula>
    </cfRule>
  </conditionalFormatting>
  <conditionalFormatting sqref="E76:K76 F77:K81">
    <cfRule type="expression" dxfId="8" priority="19">
      <formula>ISEVEN($A76)</formula>
    </cfRule>
  </conditionalFormatting>
  <conditionalFormatting sqref="E83:K83 F84:K88">
    <cfRule type="expression" dxfId="7" priority="18">
      <formula>ISEVEN($A83)</formula>
    </cfRule>
  </conditionalFormatting>
  <conditionalFormatting sqref="F6:K11 F13:K18 F20:K25 F27:K32 F34:K39 F41:K46 F48:K53 F55:K60 F62:K67 F69:K74 F76:K81 F83:K88">
    <cfRule type="expression" dxfId="6" priority="15">
      <formula>$D6="N"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E55D-77B5-4F91-A8D3-B332FB7E1763}">
  <dimension ref="A1:V54"/>
  <sheetViews>
    <sheetView tabSelected="1" topLeftCell="B1" workbookViewId="0">
      <pane xSplit="4" ySplit="4" topLeftCell="F5" activePane="bottomRight" state="frozen"/>
      <selection pane="bottomRight"/>
      <selection pane="bottomLeft" activeCell="B5" sqref="B5"/>
      <selection pane="topRight" activeCell="E1" sqref="E1"/>
    </sheetView>
  </sheetViews>
  <sheetFormatPr defaultColWidth="11.42578125" defaultRowHeight="12.75"/>
  <cols>
    <col min="1" max="1" width="3" style="7" bestFit="1" customWidth="1"/>
    <col min="2" max="2" width="40.7109375" style="7" customWidth="1"/>
    <col min="3" max="3" width="4.140625" style="46" bestFit="1" customWidth="1"/>
    <col min="4" max="4" width="9.42578125" style="7" bestFit="1" customWidth="1"/>
    <col min="5" max="5" width="9.28515625" style="47" bestFit="1" customWidth="1"/>
    <col min="6" max="6" width="0.85546875" style="7" customWidth="1"/>
    <col min="7" max="7" width="13.5703125" style="47" customWidth="1"/>
    <col min="8" max="13" width="11.7109375" style="47" customWidth="1"/>
    <col min="14" max="14" width="1.7109375" style="7" customWidth="1"/>
    <col min="15" max="21" width="11.7109375" style="7" customWidth="1"/>
    <col min="22" max="16384" width="11.42578125" style="7"/>
  </cols>
  <sheetData>
    <row r="1" spans="1:22" ht="30" customHeight="1" thickBot="1">
      <c r="A1" s="39"/>
      <c r="B1" s="40"/>
      <c r="C1" s="41"/>
      <c r="D1" s="42"/>
      <c r="E1" s="42"/>
      <c r="F1" s="42"/>
      <c r="G1" s="214" t="str">
        <f>LIDER!B2</f>
        <v>TECNOLOGÍA EN GESTIÓN DE NEGOCIOS INTERN</v>
      </c>
      <c r="H1" s="214"/>
      <c r="I1" s="214"/>
      <c r="J1" s="214"/>
      <c r="K1" s="214"/>
      <c r="L1" s="214"/>
      <c r="M1" s="214"/>
      <c r="N1" s="213" t="str">
        <f>LIDER!E2</f>
        <v>SEMESTRE:</v>
      </c>
      <c r="O1" s="213"/>
      <c r="P1" s="44" t="str">
        <f>LIDER!F2</f>
        <v>SEM-02</v>
      </c>
      <c r="Q1" s="43" t="str">
        <f>LIDER!G2</f>
        <v>SECCIÓN:</v>
      </c>
      <c r="R1" s="44">
        <f>LIDER!H2</f>
        <v>2</v>
      </c>
      <c r="S1" s="42"/>
      <c r="T1" s="42"/>
      <c r="U1" s="45"/>
    </row>
    <row r="2" spans="1:22" ht="20.100000000000001" customHeight="1" thickBot="1">
      <c r="G2" s="210" t="s">
        <v>110</v>
      </c>
      <c r="H2" s="211"/>
      <c r="I2" s="211"/>
      <c r="J2" s="211"/>
      <c r="K2" s="211"/>
      <c r="L2" s="211"/>
      <c r="M2" s="212"/>
      <c r="N2" s="2"/>
      <c r="O2" s="215" t="s">
        <v>111</v>
      </c>
      <c r="P2" s="216"/>
      <c r="Q2" s="216"/>
      <c r="R2" s="216"/>
      <c r="S2" s="216"/>
      <c r="T2" s="216"/>
      <c r="U2" s="217"/>
    </row>
    <row r="3" spans="1:22" ht="20.100000000000001" customHeight="1" thickBot="1">
      <c r="G3" s="48" t="str">
        <f>CONCATENATE("N° : ",LIDER!C6)</f>
        <v>N° : 2475</v>
      </c>
      <c r="H3" s="49" t="str">
        <f>CONCATENATE("N° : ",LIDER!D6)</f>
        <v>N° : 2049</v>
      </c>
      <c r="I3" s="49" t="str">
        <f>CONCATENATE("N° : ",LIDER!E6)</f>
        <v>N° : 2358</v>
      </c>
      <c r="J3" s="49" t="str">
        <f>CONCATENATE("N° : ",LIDER!F6)</f>
        <v>N° : 2370</v>
      </c>
      <c r="K3" s="49" t="str">
        <f>CONCATENATE("N° : ",LIDER!G6)</f>
        <v>N° : 1470</v>
      </c>
      <c r="L3" s="49" t="str">
        <f>CONCATENATE("N° : ",LIDER!H6)</f>
        <v>N° : 1387</v>
      </c>
      <c r="M3" s="50" t="str">
        <f>CONCATENATE("N° : ",LIDER!I6)</f>
        <v xml:space="preserve">N° : </v>
      </c>
      <c r="O3" s="48" t="str">
        <f>G3</f>
        <v>N° : 2475</v>
      </c>
      <c r="P3" s="49" t="str">
        <f t="shared" ref="P3:U3" si="0">H3</f>
        <v>N° : 2049</v>
      </c>
      <c r="Q3" s="49" t="str">
        <f t="shared" si="0"/>
        <v>N° : 2358</v>
      </c>
      <c r="R3" s="49" t="str">
        <f t="shared" si="0"/>
        <v>N° : 2370</v>
      </c>
      <c r="S3" s="49" t="str">
        <f t="shared" si="0"/>
        <v>N° : 1470</v>
      </c>
      <c r="T3" s="49" t="str">
        <f t="shared" si="0"/>
        <v>N° : 1387</v>
      </c>
      <c r="U3" s="50" t="str">
        <f t="shared" si="0"/>
        <v xml:space="preserve">N° : </v>
      </c>
    </row>
    <row r="4" spans="1:22" ht="30" customHeight="1" thickBot="1">
      <c r="A4" s="51"/>
      <c r="B4" s="52" t="s">
        <v>23</v>
      </c>
      <c r="C4" s="53" t="s">
        <v>112</v>
      </c>
      <c r="D4" s="54" t="s">
        <v>113</v>
      </c>
      <c r="E4" s="55" t="s">
        <v>114</v>
      </c>
      <c r="G4" s="56" t="str">
        <f>MID(LIDER!C4,1,9)</f>
        <v>INTRODUCC</v>
      </c>
      <c r="H4" s="57" t="str">
        <f>MID(LIDER!D4,1,9)</f>
        <v>SEMINARIO</v>
      </c>
      <c r="I4" s="57" t="str">
        <f>MID(LIDER!E4,1,9)</f>
        <v xml:space="preserve">COSTOS Y </v>
      </c>
      <c r="J4" s="57" t="str">
        <f>MID(LIDER!F4,1,9)</f>
        <v>LEGISLACI</v>
      </c>
      <c r="K4" s="57" t="str">
        <f>MID(LIDER!G4,1,9)</f>
        <v xml:space="preserve">ECONOMÍA </v>
      </c>
      <c r="L4" s="57" t="str">
        <f>MID(LIDER!H4,1,9)</f>
        <v>PROCESO A</v>
      </c>
      <c r="M4" s="58" t="str">
        <f>MID(LIDER!I4,1,9)</f>
        <v/>
      </c>
      <c r="N4" s="59" t="s">
        <v>115</v>
      </c>
      <c r="O4" s="60" t="str">
        <f t="shared" ref="O4:U4" si="1">G4</f>
        <v>INTRODUCC</v>
      </c>
      <c r="P4" s="61" t="str">
        <f t="shared" si="1"/>
        <v>SEMINARIO</v>
      </c>
      <c r="Q4" s="61" t="str">
        <f t="shared" si="1"/>
        <v xml:space="preserve">COSTOS Y </v>
      </c>
      <c r="R4" s="61" t="str">
        <f t="shared" si="1"/>
        <v>LEGISLACI</v>
      </c>
      <c r="S4" s="61" t="str">
        <f t="shared" si="1"/>
        <v xml:space="preserve">ECONOMÍA </v>
      </c>
      <c r="T4" s="61" t="str">
        <f t="shared" si="1"/>
        <v>PROCESO A</v>
      </c>
      <c r="U4" s="62" t="str">
        <f t="shared" si="1"/>
        <v/>
      </c>
      <c r="V4" s="59" t="s">
        <v>116</v>
      </c>
    </row>
    <row r="5" spans="1:22" ht="15" customHeight="1">
      <c r="A5" s="12">
        <v>1</v>
      </c>
      <c r="B5" s="63" t="str">
        <f>LIDER!C9</f>
        <v>Valeria Balesteros Almentero</v>
      </c>
      <c r="C5" s="64" t="str">
        <f>IF(B5=0,"",IFERROR(VLOOKUP(B5,'S-ASIG-01'!$B$5:$E$88,2,0),0))</f>
        <v>G07</v>
      </c>
      <c r="D5" s="65">
        <f>IF(B5=0,"",IFERROR(SUMIF(G5:M5,"&gt;0",G5:M5)/COUNTIF(G5:M5,"&gt;0"),0))</f>
        <v>0</v>
      </c>
      <c r="E5" s="66">
        <f>IF(B5=0,"",IFERROR(SUMIF(O5:U5,"&gt;0",O5:U5)/COUNTIF(O5:U5,"&gt;0"),0))</f>
        <v>3.3533333333333331</v>
      </c>
      <c r="F5" s="47"/>
      <c r="G5" s="67">
        <f>IF(B5=0,"",IFERROR(VLOOKUP(B5,'S-ASIG-01'!$B$5:$E$88,4,0),0))</f>
        <v>0</v>
      </c>
      <c r="H5" s="65">
        <f>IF(B5=0,"",IFERROR(VLOOKUP(B5,'S-ASIG-02'!$B$5:$E$88,4,0),0))</f>
        <v>0</v>
      </c>
      <c r="I5" s="65">
        <f>IF(B5=0,"",IFERROR(VLOOKUP(B5,'S-ASIG-03'!$B$5:$E$88,4,0),0))</f>
        <v>0</v>
      </c>
      <c r="J5" s="65">
        <f>IF(B5=0,"",IFERROR(VLOOKUP(B5,'S-ASIG-04'!$B$5:$E$88,4,0),0))</f>
        <v>0</v>
      </c>
      <c r="K5" s="65">
        <f>IF(B5=0,"",IFERROR(VLOOKUP(B5,'S-ASIG-05'!$B$5:$E$88,4,0),0))</f>
        <v>0</v>
      </c>
      <c r="L5" s="65">
        <f>IF(B5=0,"",IFERROR(VLOOKUP(B5,'S-ASIG-06'!$B$5:$E$88,4,0),0))</f>
        <v>0</v>
      </c>
      <c r="M5" s="66">
        <f>IF(B5=0,"",IFERROR(VLOOKUP(B5,'S-ASIG-07'!$B$5:$E$88,4,0),0))</f>
        <v>0</v>
      </c>
      <c r="N5" s="68" t="s">
        <v>117</v>
      </c>
      <c r="O5" s="67">
        <f>IF(B5=0,"",IFERROR(VLOOKUP(B5,'T-ASIG-01'!$B$5:$D$88,3,0),0))</f>
        <v>3</v>
      </c>
      <c r="P5" s="65">
        <f>IF(B5=0,"",IFERROR(VLOOKUP(B5,'T-ASIG-02'!$B$5:$D$88,3,0),0))</f>
        <v>0</v>
      </c>
      <c r="Q5" s="65">
        <f>IF(B5=0,"",IFERROR(VLOOKUP(B5,'T-ASIG-03'!$B$5:$D$88,3,0),0))</f>
        <v>3.44</v>
      </c>
      <c r="R5" s="65">
        <f>IF(B5=0,"",IFERROR(VLOOKUP(B5,'T-ASIG-04'!$B$5:$D$88,3,0),0))</f>
        <v>0</v>
      </c>
      <c r="S5" s="65">
        <f>IF(B5=0,"",IFERROR(VLOOKUP(B5,'T-ASIG-05'!$B$5:$D$88,3,0),0))</f>
        <v>0</v>
      </c>
      <c r="T5" s="65">
        <f>IF(B5=0,"",IFERROR(VLOOKUP(B5,'T-ASIG-06'!$B$5:$D$88,3,0),0))</f>
        <v>3.62</v>
      </c>
      <c r="U5" s="66">
        <f>IF(B5=0,"",IFERROR(VLOOKUP(B5,'T-ASIG-07'!$B$5:$D$88,3,0),0))</f>
        <v>0</v>
      </c>
      <c r="V5" s="69" t="s">
        <v>118</v>
      </c>
    </row>
    <row r="6" spans="1:22" ht="15" customHeight="1">
      <c r="A6" s="12">
        <v>2</v>
      </c>
      <c r="B6" s="70" t="str">
        <f>LIDER!C10</f>
        <v>Valentina Castro Ibarra</v>
      </c>
      <c r="C6" s="64" t="str">
        <f>IF(B6=0,"",IFERROR(VLOOKUP(B6,'S-ASIG-01'!$B$5:$E$88,2,0),0))</f>
        <v>G01</v>
      </c>
      <c r="D6" s="65">
        <f t="shared" ref="D6:D54" si="2">IF(B6=0,"",IFERROR(SUMIF(G6:M6,"&gt;0",G6:M6)/COUNTIF(G6:M6,"&gt;0"),0))</f>
        <v>3.8050000000000002</v>
      </c>
      <c r="E6" s="66">
        <f t="shared" ref="E6:E54" si="3">IF(B6=0,"",IFERROR(SUMIF(O6:U6,"&gt;0",O6:U6)/COUNTIF(O6:U6,"&gt;0"),0))</f>
        <v>4.0366666666666662</v>
      </c>
      <c r="F6" s="47"/>
      <c r="G6" s="71">
        <f>IF(B6=0,"",IFERROR(VLOOKUP(B6,'S-ASIG-01'!$B$5:$E$88,4,0),0))</f>
        <v>3.7000000000000006</v>
      </c>
      <c r="H6" s="72">
        <f>IF(B6=0,"",IFERROR(VLOOKUP(B6,'S-ASIG-02'!$B$5:$E$88,4,0),0))</f>
        <v>4.0999999999999996</v>
      </c>
      <c r="I6" s="72">
        <f>IF(B6=0,"",IFERROR(VLOOKUP(B6,'S-ASIG-03'!$B$5:$E$88,4,0),0))</f>
        <v>3.92</v>
      </c>
      <c r="J6" s="72">
        <f>IF(B6=0,"",IFERROR(VLOOKUP(B6,'S-ASIG-04'!$B$5:$E$88,4,0),0))</f>
        <v>3.5</v>
      </c>
      <c r="K6" s="72">
        <f>IF(B6=0,"",IFERROR(VLOOKUP(B6,'S-ASIG-05'!$B$5:$E$88,4,0),0))</f>
        <v>3.6100000000000003</v>
      </c>
      <c r="L6" s="72">
        <f>IF(B6=0,"",IFERROR(VLOOKUP(B6,'S-ASIG-06'!$B$5:$E$88,4,0),0))</f>
        <v>3.9999999999999996</v>
      </c>
      <c r="M6" s="73">
        <f>IF(B6=0,"",IFERROR(VLOOKUP(B6,'S-ASIG-07'!$B$5:$E$88,4,0),0))</f>
        <v>0</v>
      </c>
      <c r="N6" s="68" t="s">
        <v>117</v>
      </c>
      <c r="O6" s="71">
        <f>IF(B6=0,"",IFERROR(VLOOKUP(B6,'T-ASIG-01'!$B$5:$D$88,3,0),0))</f>
        <v>4</v>
      </c>
      <c r="P6" s="72">
        <f>IF(B6=0,"",IFERROR(VLOOKUP(B6,'T-ASIG-02'!$B$5:$D$88,3,0),0))</f>
        <v>0</v>
      </c>
      <c r="Q6" s="72">
        <f>IF(B6=0,"",IFERROR(VLOOKUP(B6,'T-ASIG-03'!$B$5:$D$88,3,0),0))</f>
        <v>4.13</v>
      </c>
      <c r="R6" s="72">
        <f>IF(B6=0,"",IFERROR(VLOOKUP(B6,'T-ASIG-04'!$B$5:$D$88,3,0),0))</f>
        <v>0</v>
      </c>
      <c r="S6" s="72">
        <f>IF(B6=0,"",IFERROR(VLOOKUP(B6,'T-ASIG-05'!$B$5:$D$88,3,0),0))</f>
        <v>0</v>
      </c>
      <c r="T6" s="72">
        <f>IF(B6=0,"",IFERROR(VLOOKUP(B6,'T-ASIG-06'!$B$5:$D$88,3,0),0))</f>
        <v>3.98</v>
      </c>
      <c r="U6" s="73">
        <f>IF(B6=0,"",IFERROR(VLOOKUP(B6,'T-ASIG-07'!$B$5:$D$88,3,0),0))</f>
        <v>0</v>
      </c>
      <c r="V6" s="69" t="s">
        <v>118</v>
      </c>
    </row>
    <row r="7" spans="1:22" ht="15" customHeight="1">
      <c r="A7" s="12">
        <v>3</v>
      </c>
      <c r="B7" s="70" t="str">
        <f>LIDER!C11</f>
        <v>Carmen Manuek Cruzate</v>
      </c>
      <c r="C7" s="64" t="str">
        <f>IF(B7=0,"",IFERROR(VLOOKUP(B7,'S-ASIG-01'!$B$5:$E$88,2,0),0))</f>
        <v>G01</v>
      </c>
      <c r="D7" s="65">
        <f t="shared" si="2"/>
        <v>3.8050000000000002</v>
      </c>
      <c r="E7" s="66">
        <f t="shared" si="3"/>
        <v>4.0566666666666658</v>
      </c>
      <c r="F7" s="47"/>
      <c r="G7" s="71">
        <f>IF(B7=0,"",IFERROR(VLOOKUP(B7,'S-ASIG-01'!$B$5:$E$88,4,0),0))</f>
        <v>3.7000000000000006</v>
      </c>
      <c r="H7" s="72">
        <f>IF(B7=0,"",IFERROR(VLOOKUP(B7,'S-ASIG-02'!$B$5:$E$88,4,0),0))</f>
        <v>4.0999999999999996</v>
      </c>
      <c r="I7" s="72">
        <f>IF(B7=0,"",IFERROR(VLOOKUP(B7,'S-ASIG-03'!$B$5:$E$88,4,0),0))</f>
        <v>3.92</v>
      </c>
      <c r="J7" s="72">
        <f>IF(B7=0,"",IFERROR(VLOOKUP(B7,'S-ASIG-04'!$B$5:$E$88,4,0),0))</f>
        <v>3.5</v>
      </c>
      <c r="K7" s="72">
        <f>IF(B7=0,"",IFERROR(VLOOKUP(B7,'S-ASIG-05'!$B$5:$E$88,4,0),0))</f>
        <v>3.6100000000000003</v>
      </c>
      <c r="L7" s="72">
        <f>IF(B7=0,"",IFERROR(VLOOKUP(B7,'S-ASIG-06'!$B$5:$E$88,4,0),0))</f>
        <v>3.9999999999999996</v>
      </c>
      <c r="M7" s="73">
        <f>IF(B7=0,"",IFERROR(VLOOKUP(B7,'S-ASIG-07'!$B$5:$E$88,4,0),0))</f>
        <v>0</v>
      </c>
      <c r="N7" s="68" t="s">
        <v>117</v>
      </c>
      <c r="O7" s="71">
        <f>IF(B7=0,"",IFERROR(VLOOKUP(B7,'T-ASIG-01'!$B$5:$D$88,3,0),0))</f>
        <v>4</v>
      </c>
      <c r="P7" s="72">
        <f>IF(B7=0,"",IFERROR(VLOOKUP(B7,'T-ASIG-02'!$B$5:$D$88,3,0),0))</f>
        <v>0</v>
      </c>
      <c r="Q7" s="72">
        <f>IF(B7=0,"",IFERROR(VLOOKUP(B7,'T-ASIG-03'!$B$5:$D$88,3,0),0))</f>
        <v>4.13</v>
      </c>
      <c r="R7" s="72">
        <f>IF(B7=0,"",IFERROR(VLOOKUP(B7,'T-ASIG-04'!$B$5:$D$88,3,0),0))</f>
        <v>0</v>
      </c>
      <c r="S7" s="72">
        <f>IF(B7=0,"",IFERROR(VLOOKUP(B7,'T-ASIG-05'!$B$5:$D$88,3,0),0))</f>
        <v>0</v>
      </c>
      <c r="T7" s="72">
        <f>IF(B7=0,"",IFERROR(VLOOKUP(B7,'T-ASIG-06'!$B$5:$D$88,3,0),0))</f>
        <v>4.04</v>
      </c>
      <c r="U7" s="73">
        <f>IF(B7=0,"",IFERROR(VLOOKUP(B7,'T-ASIG-07'!$B$5:$D$88,3,0),0))</f>
        <v>0</v>
      </c>
      <c r="V7" s="69" t="s">
        <v>118</v>
      </c>
    </row>
    <row r="8" spans="1:22" ht="15" customHeight="1">
      <c r="A8" s="12">
        <v>4</v>
      </c>
      <c r="B8" s="70" t="str">
        <f>LIDER!C12</f>
        <v>Yulieth Martinez Carrasquilla</v>
      </c>
      <c r="C8" s="64" t="str">
        <f>IF(B8=0,"",IFERROR(VLOOKUP(B8,'S-ASIG-01'!$B$5:$E$88,2,0),0))</f>
        <v>G01</v>
      </c>
      <c r="D8" s="65">
        <f t="shared" si="2"/>
        <v>3.8050000000000002</v>
      </c>
      <c r="E8" s="66">
        <f t="shared" si="3"/>
        <v>4.0366666666666662</v>
      </c>
      <c r="F8" s="47"/>
      <c r="G8" s="71">
        <f>IF(B8=0,"",IFERROR(VLOOKUP(B8,'S-ASIG-01'!$B$5:$E$88,4,0),0))</f>
        <v>3.7000000000000006</v>
      </c>
      <c r="H8" s="72">
        <f>IF(B8=0,"",IFERROR(VLOOKUP(B8,'S-ASIG-02'!$B$5:$E$88,4,0),0))</f>
        <v>4.0999999999999996</v>
      </c>
      <c r="I8" s="72">
        <f>IF(B8=0,"",IFERROR(VLOOKUP(B8,'S-ASIG-03'!$B$5:$E$88,4,0),0))</f>
        <v>3.92</v>
      </c>
      <c r="J8" s="72">
        <f>IF(B8=0,"",IFERROR(VLOOKUP(B8,'S-ASIG-04'!$B$5:$E$88,4,0),0))</f>
        <v>3.5</v>
      </c>
      <c r="K8" s="72">
        <f>IF(B8=0,"",IFERROR(VLOOKUP(B8,'S-ASIG-05'!$B$5:$E$88,4,0),0))</f>
        <v>3.6100000000000003</v>
      </c>
      <c r="L8" s="72">
        <f>IF(B8=0,"",IFERROR(VLOOKUP(B8,'S-ASIG-06'!$B$5:$E$88,4,0),0))</f>
        <v>3.9999999999999996</v>
      </c>
      <c r="M8" s="73">
        <f>IF(B8=0,"",IFERROR(VLOOKUP(B8,'S-ASIG-07'!$B$5:$E$88,4,0),0))</f>
        <v>0</v>
      </c>
      <c r="N8" s="68" t="s">
        <v>117</v>
      </c>
      <c r="O8" s="71">
        <f>IF(B8=0,"",IFERROR(VLOOKUP(B8,'T-ASIG-01'!$B$5:$D$88,3,0),0))</f>
        <v>4</v>
      </c>
      <c r="P8" s="72">
        <f>IF(B8=0,"",IFERROR(VLOOKUP(B8,'T-ASIG-02'!$B$5:$D$88,3,0),0))</f>
        <v>0</v>
      </c>
      <c r="Q8" s="72">
        <f>IF(B8=0,"",IFERROR(VLOOKUP(B8,'T-ASIG-03'!$B$5:$D$88,3,0),0))</f>
        <v>4.13</v>
      </c>
      <c r="R8" s="72">
        <f>IF(B8=0,"",IFERROR(VLOOKUP(B8,'T-ASIG-04'!$B$5:$D$88,3,0),0))</f>
        <v>0</v>
      </c>
      <c r="S8" s="72">
        <f>IF(B8=0,"",IFERROR(VLOOKUP(B8,'T-ASIG-05'!$B$5:$D$88,3,0),0))</f>
        <v>0</v>
      </c>
      <c r="T8" s="72">
        <f>IF(B8=0,"",IFERROR(VLOOKUP(B8,'T-ASIG-06'!$B$5:$D$88,3,0),0))</f>
        <v>3.98</v>
      </c>
      <c r="U8" s="73">
        <f>IF(B8=0,"",IFERROR(VLOOKUP(B8,'T-ASIG-07'!$B$5:$D$88,3,0),0))</f>
        <v>0</v>
      </c>
      <c r="V8" s="69" t="s">
        <v>118</v>
      </c>
    </row>
    <row r="9" spans="1:22" ht="15" customHeight="1">
      <c r="A9" s="12">
        <v>5</v>
      </c>
      <c r="B9" s="70" t="str">
        <f>LIDER!C13</f>
        <v>Angello Ortega Mesino</v>
      </c>
      <c r="C9" s="64" t="str">
        <f>IF(B9=0,"",IFERROR(VLOOKUP(B9,'S-ASIG-01'!$B$5:$E$88,2,0),0))</f>
        <v>G01</v>
      </c>
      <c r="D9" s="65">
        <f t="shared" si="2"/>
        <v>3.8050000000000002</v>
      </c>
      <c r="E9" s="66">
        <f t="shared" si="3"/>
        <v>4.0366666666666662</v>
      </c>
      <c r="F9" s="47"/>
      <c r="G9" s="71">
        <f>IF(B9=0,"",IFERROR(VLOOKUP(B9,'S-ASIG-01'!$B$5:$E$88,4,0),0))</f>
        <v>3.7000000000000006</v>
      </c>
      <c r="H9" s="72">
        <f>IF(B9=0,"",IFERROR(VLOOKUP(B9,'S-ASIG-02'!$B$5:$E$88,4,0),0))</f>
        <v>4.0999999999999996</v>
      </c>
      <c r="I9" s="72">
        <f>IF(B9=0,"",IFERROR(VLOOKUP(B9,'S-ASIG-03'!$B$5:$E$88,4,0),0))</f>
        <v>3.92</v>
      </c>
      <c r="J9" s="72">
        <f>IF(B9=0,"",IFERROR(VLOOKUP(B9,'S-ASIG-04'!$B$5:$E$88,4,0),0))</f>
        <v>3.5</v>
      </c>
      <c r="K9" s="72">
        <f>IF(B9=0,"",IFERROR(VLOOKUP(B9,'S-ASIG-05'!$B$5:$E$88,4,0),0))</f>
        <v>3.6100000000000003</v>
      </c>
      <c r="L9" s="72">
        <f>IF(B9=0,"",IFERROR(VLOOKUP(B9,'S-ASIG-06'!$B$5:$E$88,4,0),0))</f>
        <v>3.9999999999999996</v>
      </c>
      <c r="M9" s="73">
        <f>IF(B9=0,"",IFERROR(VLOOKUP(B9,'S-ASIG-07'!$B$5:$E$88,4,0),0))</f>
        <v>0</v>
      </c>
      <c r="N9" s="68" t="s">
        <v>117</v>
      </c>
      <c r="O9" s="71">
        <f>IF(B9=0,"",IFERROR(VLOOKUP(B9,'T-ASIG-01'!$B$5:$D$88,3,0),0))</f>
        <v>4</v>
      </c>
      <c r="P9" s="72">
        <f>IF(B9=0,"",IFERROR(VLOOKUP(B9,'T-ASIG-02'!$B$5:$D$88,3,0),0))</f>
        <v>0</v>
      </c>
      <c r="Q9" s="72">
        <f>IF(B9=0,"",IFERROR(VLOOKUP(B9,'T-ASIG-03'!$B$5:$D$88,3,0),0))</f>
        <v>4.13</v>
      </c>
      <c r="R9" s="72">
        <f>IF(B9=0,"",IFERROR(VLOOKUP(B9,'T-ASIG-04'!$B$5:$D$88,3,0),0))</f>
        <v>0</v>
      </c>
      <c r="S9" s="72">
        <f>IF(B9=0,"",IFERROR(VLOOKUP(B9,'T-ASIG-05'!$B$5:$D$88,3,0),0))</f>
        <v>0</v>
      </c>
      <c r="T9" s="72">
        <f>IF(B9=0,"",IFERROR(VLOOKUP(B9,'T-ASIG-06'!$B$5:$D$88,3,0),0))</f>
        <v>3.98</v>
      </c>
      <c r="U9" s="73">
        <f>IF(B9=0,"",IFERROR(VLOOKUP(B9,'T-ASIG-07'!$B$5:$D$88,3,0),0))</f>
        <v>0</v>
      </c>
      <c r="V9" s="69" t="s">
        <v>118</v>
      </c>
    </row>
    <row r="10" spans="1:22" ht="15" customHeight="1">
      <c r="A10" s="12">
        <v>6</v>
      </c>
      <c r="B10" s="70" t="str">
        <f>LIDER!C14</f>
        <v>Cesar Pajaro Ramos</v>
      </c>
      <c r="C10" s="64" t="str">
        <f>IF(B10=0,"",IFERROR(VLOOKUP(B10,'S-ASIG-01'!$B$5:$E$88,2,0),0))</f>
        <v>G02</v>
      </c>
      <c r="D10" s="65">
        <f t="shared" si="2"/>
        <v>4.0699999999999994</v>
      </c>
      <c r="E10" s="66">
        <f t="shared" si="3"/>
        <v>4.0166666666666666</v>
      </c>
      <c r="F10" s="47"/>
      <c r="G10" s="71">
        <f>IF(B10=0,"",IFERROR(VLOOKUP(B10,'S-ASIG-01'!$B$5:$E$88,4,0),0))</f>
        <v>4.0999999999999996</v>
      </c>
      <c r="H10" s="72">
        <f>IF(B10=0,"",IFERROR(VLOOKUP(B10,'S-ASIG-02'!$B$5:$E$88,4,0),0))</f>
        <v>4.46</v>
      </c>
      <c r="I10" s="72">
        <f>IF(B10=0,"",IFERROR(VLOOKUP(B10,'S-ASIG-03'!$B$5:$E$88,4,0),0))</f>
        <v>4.0599999999999996</v>
      </c>
      <c r="J10" s="72">
        <f>IF(B10=0,"",IFERROR(VLOOKUP(B10,'S-ASIG-04'!$B$5:$E$88,4,0),0))</f>
        <v>3.7</v>
      </c>
      <c r="K10" s="72">
        <f>IF(B10=0,"",IFERROR(VLOOKUP(B10,'S-ASIG-05'!$B$5:$E$88,4,0),0))</f>
        <v>4.0999999999999996</v>
      </c>
      <c r="L10" s="72">
        <f>IF(B10=0,"",IFERROR(VLOOKUP(B10,'S-ASIG-06'!$B$5:$E$88,4,0),0))</f>
        <v>3.9999999999999996</v>
      </c>
      <c r="M10" s="73">
        <f>IF(B10=0,"",IFERROR(VLOOKUP(B10,'S-ASIG-07'!$B$5:$E$88,4,0),0))</f>
        <v>0</v>
      </c>
      <c r="N10" s="68" t="s">
        <v>117</v>
      </c>
      <c r="O10" s="71">
        <f>IF(B10=0,"",IFERROR(VLOOKUP(B10,'T-ASIG-01'!$B$5:$D$88,3,0),0))</f>
        <v>3.8500000000000005</v>
      </c>
      <c r="P10" s="72">
        <f>IF(B10=0,"",IFERROR(VLOOKUP(B10,'T-ASIG-02'!$B$5:$D$88,3,0),0))</f>
        <v>0</v>
      </c>
      <c r="Q10" s="72">
        <f>IF(B10=0,"",IFERROR(VLOOKUP(B10,'T-ASIG-03'!$B$5:$D$88,3,0),0))</f>
        <v>4.2</v>
      </c>
      <c r="R10" s="72">
        <f>IF(B10=0,"",IFERROR(VLOOKUP(B10,'T-ASIG-04'!$B$5:$D$88,3,0),0))</f>
        <v>0</v>
      </c>
      <c r="S10" s="72">
        <f>IF(B10=0,"",IFERROR(VLOOKUP(B10,'T-ASIG-05'!$B$5:$D$88,3,0),0))</f>
        <v>0</v>
      </c>
      <c r="T10" s="72">
        <f>IF(B10=0,"",IFERROR(VLOOKUP(B10,'T-ASIG-06'!$B$5:$D$88,3,0),0))</f>
        <v>4</v>
      </c>
      <c r="U10" s="73">
        <f>IF(B10=0,"",IFERROR(VLOOKUP(B10,'T-ASIG-07'!$B$5:$D$88,3,0),0))</f>
        <v>0</v>
      </c>
      <c r="V10" s="69" t="s">
        <v>118</v>
      </c>
    </row>
    <row r="11" spans="1:22" ht="15" customHeight="1">
      <c r="A11" s="12">
        <v>7</v>
      </c>
      <c r="B11" s="70" t="str">
        <f>LIDER!C15</f>
        <v>Elian Polo Soto</v>
      </c>
      <c r="C11" s="64" t="str">
        <f>IF(B11=0,"",IFERROR(VLOOKUP(B11,'S-ASIG-01'!$B$5:$E$88,2,0),0))</f>
        <v>G02</v>
      </c>
      <c r="D11" s="65">
        <f t="shared" si="2"/>
        <v>4.0699999999999994</v>
      </c>
      <c r="E11" s="66">
        <f t="shared" si="3"/>
        <v>4.0166666666666666</v>
      </c>
      <c r="F11" s="47"/>
      <c r="G11" s="71">
        <f>IF(B11=0,"",IFERROR(VLOOKUP(B11,'S-ASIG-01'!$B$5:$E$88,4,0),0))</f>
        <v>4.0999999999999996</v>
      </c>
      <c r="H11" s="72">
        <f>IF(B11=0,"",IFERROR(VLOOKUP(B11,'S-ASIG-02'!$B$5:$E$88,4,0),0))</f>
        <v>4.46</v>
      </c>
      <c r="I11" s="72">
        <f>IF(B11=0,"",IFERROR(VLOOKUP(B11,'S-ASIG-03'!$B$5:$E$88,4,0),0))</f>
        <v>4.0599999999999996</v>
      </c>
      <c r="J11" s="72">
        <f>IF(B11=0,"",IFERROR(VLOOKUP(B11,'S-ASIG-04'!$B$5:$E$88,4,0),0))</f>
        <v>3.7</v>
      </c>
      <c r="K11" s="72">
        <f>IF(B11=0,"",IFERROR(VLOOKUP(B11,'S-ASIG-05'!$B$5:$E$88,4,0),0))</f>
        <v>4.0999999999999996</v>
      </c>
      <c r="L11" s="72">
        <f>IF(B11=0,"",IFERROR(VLOOKUP(B11,'S-ASIG-06'!$B$5:$E$88,4,0),0))</f>
        <v>3.9999999999999996</v>
      </c>
      <c r="M11" s="73">
        <f>IF(B11=0,"",IFERROR(VLOOKUP(B11,'S-ASIG-07'!$B$5:$E$88,4,0),0))</f>
        <v>0</v>
      </c>
      <c r="N11" s="68" t="s">
        <v>117</v>
      </c>
      <c r="O11" s="71">
        <f>IF(B11=0,"",IFERROR(VLOOKUP(B11,'T-ASIG-01'!$B$5:$D$88,3,0),0))</f>
        <v>3.8500000000000005</v>
      </c>
      <c r="P11" s="72">
        <f>IF(B11=0,"",IFERROR(VLOOKUP(B11,'T-ASIG-02'!$B$5:$D$88,3,0),0))</f>
        <v>0</v>
      </c>
      <c r="Q11" s="72">
        <f>IF(B11=0,"",IFERROR(VLOOKUP(B11,'T-ASIG-03'!$B$5:$D$88,3,0),0))</f>
        <v>4.2</v>
      </c>
      <c r="R11" s="72">
        <f>IF(B11=0,"",IFERROR(VLOOKUP(B11,'T-ASIG-04'!$B$5:$D$88,3,0),0))</f>
        <v>0</v>
      </c>
      <c r="S11" s="72">
        <f>IF(B11=0,"",IFERROR(VLOOKUP(B11,'T-ASIG-05'!$B$5:$D$88,3,0),0))</f>
        <v>0</v>
      </c>
      <c r="T11" s="72">
        <f>IF(B11=0,"",IFERROR(VLOOKUP(B11,'T-ASIG-06'!$B$5:$D$88,3,0),0))</f>
        <v>4</v>
      </c>
      <c r="U11" s="73">
        <f>IF(B11=0,"",IFERROR(VLOOKUP(B11,'T-ASIG-07'!$B$5:$D$88,3,0),0))</f>
        <v>0</v>
      </c>
      <c r="V11" s="69" t="s">
        <v>118</v>
      </c>
    </row>
    <row r="12" spans="1:22" ht="15" customHeight="1">
      <c r="A12" s="12">
        <v>8</v>
      </c>
      <c r="B12" s="70" t="str">
        <f>LIDER!C16</f>
        <v>Juan C Corrales de la Rosa</v>
      </c>
      <c r="C12" s="64" t="str">
        <f>IF(B12=0,"",IFERROR(VLOOKUP(B12,'S-ASIG-01'!$B$5:$E$88,2,0),0))</f>
        <v>G02</v>
      </c>
      <c r="D12" s="65">
        <f t="shared" si="2"/>
        <v>4.0699999999999994</v>
      </c>
      <c r="E12" s="66">
        <f t="shared" si="3"/>
        <v>3.9966666666666666</v>
      </c>
      <c r="F12" s="47"/>
      <c r="G12" s="71">
        <f>IF(B12=0,"",IFERROR(VLOOKUP(B12,'S-ASIG-01'!$B$5:$E$88,4,0),0))</f>
        <v>4.0999999999999996</v>
      </c>
      <c r="H12" s="72">
        <f>IF(B12=0,"",IFERROR(VLOOKUP(B12,'S-ASIG-02'!$B$5:$E$88,4,0),0))</f>
        <v>4.46</v>
      </c>
      <c r="I12" s="72">
        <f>IF(B12=0,"",IFERROR(VLOOKUP(B12,'S-ASIG-03'!$B$5:$E$88,4,0),0))</f>
        <v>4.0599999999999996</v>
      </c>
      <c r="J12" s="72">
        <f>IF(B12=0,"",IFERROR(VLOOKUP(B12,'S-ASIG-04'!$B$5:$E$88,4,0),0))</f>
        <v>3.7</v>
      </c>
      <c r="K12" s="72">
        <f>IF(B12=0,"",IFERROR(VLOOKUP(B12,'S-ASIG-05'!$B$5:$E$88,4,0),0))</f>
        <v>4.0999999999999996</v>
      </c>
      <c r="L12" s="72">
        <f>IF(B12=0,"",IFERROR(VLOOKUP(B12,'S-ASIG-06'!$B$5:$E$88,4,0),0))</f>
        <v>3.9999999999999996</v>
      </c>
      <c r="M12" s="73">
        <f>IF(B12=0,"",IFERROR(VLOOKUP(B12,'S-ASIG-07'!$B$5:$E$88,4,0),0))</f>
        <v>0</v>
      </c>
      <c r="N12" s="68" t="s">
        <v>117</v>
      </c>
      <c r="O12" s="71">
        <f>IF(B12=0,"",IFERROR(VLOOKUP(B12,'T-ASIG-01'!$B$5:$D$88,3,0),0))</f>
        <v>3.8500000000000005</v>
      </c>
      <c r="P12" s="72">
        <f>IF(B12=0,"",IFERROR(VLOOKUP(B12,'T-ASIG-02'!$B$5:$D$88,3,0),0))</f>
        <v>0</v>
      </c>
      <c r="Q12" s="72">
        <f>IF(B12=0,"",IFERROR(VLOOKUP(B12,'T-ASIG-03'!$B$5:$D$88,3,0),0))</f>
        <v>4.2</v>
      </c>
      <c r="R12" s="72">
        <f>IF(B12=0,"",IFERROR(VLOOKUP(B12,'T-ASIG-04'!$B$5:$D$88,3,0),0))</f>
        <v>0</v>
      </c>
      <c r="S12" s="72">
        <f>IF(B12=0,"",IFERROR(VLOOKUP(B12,'T-ASIG-05'!$B$5:$D$88,3,0),0))</f>
        <v>0</v>
      </c>
      <c r="T12" s="72">
        <f>IF(B12=0,"",IFERROR(VLOOKUP(B12,'T-ASIG-06'!$B$5:$D$88,3,0),0))</f>
        <v>3.94</v>
      </c>
      <c r="U12" s="73">
        <f>IF(B12=0,"",IFERROR(VLOOKUP(B12,'T-ASIG-07'!$B$5:$D$88,3,0),0))</f>
        <v>0</v>
      </c>
      <c r="V12" s="69" t="s">
        <v>118</v>
      </c>
    </row>
    <row r="13" spans="1:22" ht="15" customHeight="1">
      <c r="A13" s="12">
        <v>9</v>
      </c>
      <c r="B13" s="70" t="str">
        <f>LIDER!C17</f>
        <v>Katerin Silva Peñate</v>
      </c>
      <c r="C13" s="64" t="str">
        <f>IF(B13=0,"",IFERROR(VLOOKUP(B13,'S-ASIG-01'!$B$5:$E$88,2,0),0))</f>
        <v>G02</v>
      </c>
      <c r="D13" s="65">
        <f t="shared" si="2"/>
        <v>4.0699999999999994</v>
      </c>
      <c r="E13" s="66">
        <f t="shared" si="3"/>
        <v>4.0100000000000007</v>
      </c>
      <c r="F13" s="47"/>
      <c r="G13" s="71">
        <f>IF(B13=0,"",IFERROR(VLOOKUP(B13,'S-ASIG-01'!$B$5:$E$88,4,0),0))</f>
        <v>4.0999999999999996</v>
      </c>
      <c r="H13" s="72">
        <f>IF(B13=0,"",IFERROR(VLOOKUP(B13,'S-ASIG-02'!$B$5:$E$88,4,0),0))</f>
        <v>4.46</v>
      </c>
      <c r="I13" s="72">
        <f>IF(B13=0,"",IFERROR(VLOOKUP(B13,'S-ASIG-03'!$B$5:$E$88,4,0),0))</f>
        <v>4.0599999999999996</v>
      </c>
      <c r="J13" s="72">
        <f>IF(B13=0,"",IFERROR(VLOOKUP(B13,'S-ASIG-04'!$B$5:$E$88,4,0),0))</f>
        <v>3.7</v>
      </c>
      <c r="K13" s="72">
        <f>IF(B13=0,"",IFERROR(VLOOKUP(B13,'S-ASIG-05'!$B$5:$E$88,4,0),0))</f>
        <v>4.0999999999999996</v>
      </c>
      <c r="L13" s="72">
        <f>IF(B13=0,"",IFERROR(VLOOKUP(B13,'S-ASIG-06'!$B$5:$E$88,4,0),0))</f>
        <v>3.9999999999999996</v>
      </c>
      <c r="M13" s="73">
        <f>IF(B13=0,"",IFERROR(VLOOKUP(B13,'S-ASIG-07'!$B$5:$E$88,4,0),0))</f>
        <v>0</v>
      </c>
      <c r="N13" s="68" t="s">
        <v>117</v>
      </c>
      <c r="O13" s="71">
        <f>IF(B13=0,"",IFERROR(VLOOKUP(B13,'T-ASIG-01'!$B$5:$D$88,3,0),0))</f>
        <v>3.8500000000000005</v>
      </c>
      <c r="P13" s="72">
        <f>IF(B13=0,"",IFERROR(VLOOKUP(B13,'T-ASIG-02'!$B$5:$D$88,3,0),0))</f>
        <v>0</v>
      </c>
      <c r="Q13" s="72">
        <f>IF(B13=0,"",IFERROR(VLOOKUP(B13,'T-ASIG-03'!$B$5:$D$88,3,0),0))</f>
        <v>4.2</v>
      </c>
      <c r="R13" s="72">
        <f>IF(B13=0,"",IFERROR(VLOOKUP(B13,'T-ASIG-04'!$B$5:$D$88,3,0),0))</f>
        <v>0</v>
      </c>
      <c r="S13" s="72">
        <f>IF(B13=0,"",IFERROR(VLOOKUP(B13,'T-ASIG-05'!$B$5:$D$88,3,0),0))</f>
        <v>0</v>
      </c>
      <c r="T13" s="72">
        <f>IF(B13=0,"",IFERROR(VLOOKUP(B13,'T-ASIG-06'!$B$5:$D$88,3,0),0))</f>
        <v>3.98</v>
      </c>
      <c r="U13" s="73">
        <f>IF(B13=0,"",IFERROR(VLOOKUP(B13,'T-ASIG-07'!$B$5:$D$88,3,0),0))</f>
        <v>0</v>
      </c>
      <c r="V13" s="69" t="s">
        <v>118</v>
      </c>
    </row>
    <row r="14" spans="1:22" ht="15" customHeight="1">
      <c r="A14" s="12">
        <v>10</v>
      </c>
      <c r="B14" s="70" t="str">
        <f>LIDER!C18</f>
        <v>Yorcelis Mercado Guerra</v>
      </c>
      <c r="C14" s="64" t="str">
        <f>IF(B14=0,"",IFERROR(VLOOKUP(B14,'S-ASIG-01'!$B$5:$E$88,2,0),0))</f>
        <v>G02</v>
      </c>
      <c r="D14" s="65">
        <f t="shared" si="2"/>
        <v>4.0699999999999994</v>
      </c>
      <c r="E14" s="66">
        <f t="shared" si="3"/>
        <v>4.0233333333333334</v>
      </c>
      <c r="F14" s="47"/>
      <c r="G14" s="71">
        <f>IF(B14=0,"",IFERROR(VLOOKUP(B14,'S-ASIG-01'!$B$5:$E$88,4,0),0))</f>
        <v>4.0999999999999996</v>
      </c>
      <c r="H14" s="72">
        <f>IF(B14=0,"",IFERROR(VLOOKUP(B14,'S-ASIG-02'!$B$5:$E$88,4,0),0))</f>
        <v>4.46</v>
      </c>
      <c r="I14" s="72">
        <f>IF(B14=0,"",IFERROR(VLOOKUP(B14,'S-ASIG-03'!$B$5:$E$88,4,0),0))</f>
        <v>4.0599999999999996</v>
      </c>
      <c r="J14" s="72">
        <f>IF(B14=0,"",IFERROR(VLOOKUP(B14,'S-ASIG-04'!$B$5:$E$88,4,0),0))</f>
        <v>3.7</v>
      </c>
      <c r="K14" s="72">
        <f>IF(B14=0,"",IFERROR(VLOOKUP(B14,'S-ASIG-05'!$B$5:$E$88,4,0),0))</f>
        <v>4.0999999999999996</v>
      </c>
      <c r="L14" s="72">
        <f>IF(B14=0,"",IFERROR(VLOOKUP(B14,'S-ASIG-06'!$B$5:$E$88,4,0),0))</f>
        <v>3.9999999999999996</v>
      </c>
      <c r="M14" s="73">
        <f>IF(B14=0,"",IFERROR(VLOOKUP(B14,'S-ASIG-07'!$B$5:$E$88,4,0),0))</f>
        <v>0</v>
      </c>
      <c r="N14" s="68" t="s">
        <v>117</v>
      </c>
      <c r="O14" s="71">
        <f>IF(B14=0,"",IFERROR(VLOOKUP(B14,'T-ASIG-01'!$B$5:$D$88,3,0),0))</f>
        <v>3.8500000000000005</v>
      </c>
      <c r="P14" s="72">
        <f>IF(B14=0,"",IFERROR(VLOOKUP(B14,'T-ASIG-02'!$B$5:$D$88,3,0),0))</f>
        <v>0</v>
      </c>
      <c r="Q14" s="72">
        <f>IF(B14=0,"",IFERROR(VLOOKUP(B14,'T-ASIG-03'!$B$5:$D$88,3,0),0))</f>
        <v>4.2</v>
      </c>
      <c r="R14" s="72">
        <f>IF(B14=0,"",IFERROR(VLOOKUP(B14,'T-ASIG-04'!$B$5:$D$88,3,0),0))</f>
        <v>0</v>
      </c>
      <c r="S14" s="72">
        <f>IF(B14=0,"",IFERROR(VLOOKUP(B14,'T-ASIG-05'!$B$5:$D$88,3,0),0))</f>
        <v>0</v>
      </c>
      <c r="T14" s="72">
        <f>IF(B14=0,"",IFERROR(VLOOKUP(B14,'T-ASIG-06'!$B$5:$D$88,3,0),0))</f>
        <v>4.0200000000000005</v>
      </c>
      <c r="U14" s="73">
        <f>IF(B14=0,"",IFERROR(VLOOKUP(B14,'T-ASIG-07'!$B$5:$D$88,3,0),0))</f>
        <v>0</v>
      </c>
      <c r="V14" s="69" t="s">
        <v>118</v>
      </c>
    </row>
    <row r="15" spans="1:22" ht="15" customHeight="1">
      <c r="A15" s="12">
        <v>11</v>
      </c>
      <c r="B15" s="70" t="str">
        <f>LIDER!C19</f>
        <v>Lauren castilla Gonzalez</v>
      </c>
      <c r="C15" s="64" t="str">
        <f>IF(B15=0,"",IFERROR(VLOOKUP(B15,'S-ASIG-01'!$B$5:$E$88,2,0),0))</f>
        <v>G03</v>
      </c>
      <c r="D15" s="65">
        <f t="shared" si="2"/>
        <v>3.8316666666666666</v>
      </c>
      <c r="E15" s="66">
        <f t="shared" si="3"/>
        <v>3.9166666666666665</v>
      </c>
      <c r="F15" s="47"/>
      <c r="G15" s="71">
        <f>IF(B15=0,"",IFERROR(VLOOKUP(B15,'S-ASIG-01'!$B$5:$E$88,4,0),0))</f>
        <v>4.0999999999999996</v>
      </c>
      <c r="H15" s="72">
        <f>IF(B15=0,"",IFERROR(VLOOKUP(B15,'S-ASIG-02'!$B$5:$E$88,4,0),0))</f>
        <v>4.4000000000000004</v>
      </c>
      <c r="I15" s="72">
        <f>IF(B15=0,"",IFERROR(VLOOKUP(B15,'S-ASIG-03'!$B$5:$E$88,4,0),0))</f>
        <v>4.18</v>
      </c>
      <c r="J15" s="72">
        <f>IF(B15=0,"",IFERROR(VLOOKUP(B15,'S-ASIG-04'!$B$5:$E$88,4,0),0))</f>
        <v>3</v>
      </c>
      <c r="K15" s="72">
        <f>IF(B15=0,"",IFERROR(VLOOKUP(B15,'S-ASIG-05'!$B$5:$E$88,4,0),0))</f>
        <v>3.31</v>
      </c>
      <c r="L15" s="72">
        <f>IF(B15=0,"",IFERROR(VLOOKUP(B15,'S-ASIG-06'!$B$5:$E$88,4,0),0))</f>
        <v>3.9999999999999996</v>
      </c>
      <c r="M15" s="73">
        <f>IF(B15=0,"",IFERROR(VLOOKUP(B15,'S-ASIG-07'!$B$5:$E$88,4,0),0))</f>
        <v>0</v>
      </c>
      <c r="N15" s="68" t="s">
        <v>117</v>
      </c>
      <c r="O15" s="71">
        <f>IF(B15=0,"",IFERROR(VLOOKUP(B15,'T-ASIG-01'!$B$5:$D$88,3,0),0))</f>
        <v>4</v>
      </c>
      <c r="P15" s="72">
        <f>IF(B15=0,"",IFERROR(VLOOKUP(B15,'T-ASIG-02'!$B$5:$D$88,3,0),0))</f>
        <v>0</v>
      </c>
      <c r="Q15" s="72">
        <f>IF(B15=0,"",IFERROR(VLOOKUP(B15,'T-ASIG-03'!$B$5:$D$88,3,0),0))</f>
        <v>3.9250000000000003</v>
      </c>
      <c r="R15" s="72">
        <f>IF(B15=0,"",IFERROR(VLOOKUP(B15,'T-ASIG-04'!$B$5:$D$88,3,0),0))</f>
        <v>0</v>
      </c>
      <c r="S15" s="72">
        <f>IF(B15=0,"",IFERROR(VLOOKUP(B15,'T-ASIG-05'!$B$5:$D$88,3,0),0))</f>
        <v>0</v>
      </c>
      <c r="T15" s="72">
        <f>IF(B15=0,"",IFERROR(VLOOKUP(B15,'T-ASIG-06'!$B$5:$D$88,3,0),0))</f>
        <v>3.8250000000000002</v>
      </c>
      <c r="U15" s="73">
        <f>IF(B15=0,"",IFERROR(VLOOKUP(B15,'T-ASIG-07'!$B$5:$D$88,3,0),0))</f>
        <v>0</v>
      </c>
      <c r="V15" s="69" t="s">
        <v>118</v>
      </c>
    </row>
    <row r="16" spans="1:22" ht="15" customHeight="1">
      <c r="A16" s="12">
        <v>12</v>
      </c>
      <c r="B16" s="70" t="str">
        <f>LIDER!C20</f>
        <v>Duvan Cespedes perez</v>
      </c>
      <c r="C16" s="64" t="str">
        <f>IF(B16=0,"",IFERROR(VLOOKUP(B16,'S-ASIG-01'!$B$5:$E$88,2,0),0))</f>
        <v>G03</v>
      </c>
      <c r="D16" s="65">
        <f t="shared" si="2"/>
        <v>3.8316666666666666</v>
      </c>
      <c r="E16" s="66">
        <f t="shared" si="3"/>
        <v>3.9166666666666665</v>
      </c>
      <c r="F16" s="47"/>
      <c r="G16" s="71">
        <f>IF(B16=0,"",IFERROR(VLOOKUP(B16,'S-ASIG-01'!$B$5:$E$88,4,0),0))</f>
        <v>4.0999999999999996</v>
      </c>
      <c r="H16" s="72">
        <f>IF(B16=0,"",IFERROR(VLOOKUP(B16,'S-ASIG-02'!$B$5:$E$88,4,0),0))</f>
        <v>4.4000000000000004</v>
      </c>
      <c r="I16" s="72">
        <f>IF(B16=0,"",IFERROR(VLOOKUP(B16,'S-ASIG-03'!$B$5:$E$88,4,0),0))</f>
        <v>4.18</v>
      </c>
      <c r="J16" s="72">
        <f>IF(B16=0,"",IFERROR(VLOOKUP(B16,'S-ASIG-04'!$B$5:$E$88,4,0),0))</f>
        <v>3</v>
      </c>
      <c r="K16" s="72">
        <f>IF(B16=0,"",IFERROR(VLOOKUP(B16,'S-ASIG-05'!$B$5:$E$88,4,0),0))</f>
        <v>3.31</v>
      </c>
      <c r="L16" s="72">
        <f>IF(B16=0,"",IFERROR(VLOOKUP(B16,'S-ASIG-06'!$B$5:$E$88,4,0),0))</f>
        <v>3.9999999999999996</v>
      </c>
      <c r="M16" s="73">
        <f>IF(B16=0,"",IFERROR(VLOOKUP(B16,'S-ASIG-07'!$B$5:$E$88,4,0),0))</f>
        <v>0</v>
      </c>
      <c r="N16" s="68" t="s">
        <v>117</v>
      </c>
      <c r="O16" s="71">
        <f>IF(B16=0,"",IFERROR(VLOOKUP(B16,'T-ASIG-01'!$B$5:$D$88,3,0),0))</f>
        <v>4</v>
      </c>
      <c r="P16" s="72">
        <f>IF(B16=0,"",IFERROR(VLOOKUP(B16,'T-ASIG-02'!$B$5:$D$88,3,0),0))</f>
        <v>0</v>
      </c>
      <c r="Q16" s="72">
        <f>IF(B16=0,"",IFERROR(VLOOKUP(B16,'T-ASIG-03'!$B$5:$D$88,3,0),0))</f>
        <v>3.9250000000000003</v>
      </c>
      <c r="R16" s="72">
        <f>IF(B16=0,"",IFERROR(VLOOKUP(B16,'T-ASIG-04'!$B$5:$D$88,3,0),0))</f>
        <v>0</v>
      </c>
      <c r="S16" s="72">
        <f>IF(B16=0,"",IFERROR(VLOOKUP(B16,'T-ASIG-05'!$B$5:$D$88,3,0),0))</f>
        <v>0</v>
      </c>
      <c r="T16" s="72">
        <f>IF(B16=0,"",IFERROR(VLOOKUP(B16,'T-ASIG-06'!$B$5:$D$88,3,0),0))</f>
        <v>3.8250000000000002</v>
      </c>
      <c r="U16" s="73">
        <f>IF(B16=0,"",IFERROR(VLOOKUP(B16,'T-ASIG-07'!$B$5:$D$88,3,0),0))</f>
        <v>0</v>
      </c>
      <c r="V16" s="69" t="s">
        <v>118</v>
      </c>
    </row>
    <row r="17" spans="1:22" ht="15" customHeight="1">
      <c r="A17" s="12">
        <v>13</v>
      </c>
      <c r="B17" s="70" t="str">
        <f>LIDER!C21</f>
        <v>Isaac Faciolince Bustos</v>
      </c>
      <c r="C17" s="64" t="str">
        <f>IF(B17=0,"",IFERROR(VLOOKUP(B17,'S-ASIG-01'!$B$5:$E$88,2,0),0))</f>
        <v>G03</v>
      </c>
      <c r="D17" s="65">
        <f t="shared" si="2"/>
        <v>3.8316666666666666</v>
      </c>
      <c r="E17" s="66">
        <f t="shared" si="3"/>
        <v>3.9166666666666665</v>
      </c>
      <c r="F17" s="47"/>
      <c r="G17" s="71">
        <f>IF(B17=0,"",IFERROR(VLOOKUP(B17,'S-ASIG-01'!$B$5:$E$88,4,0),0))</f>
        <v>4.0999999999999996</v>
      </c>
      <c r="H17" s="72">
        <f>IF(B17=0,"",IFERROR(VLOOKUP(B17,'S-ASIG-02'!$B$5:$E$88,4,0),0))</f>
        <v>4.4000000000000004</v>
      </c>
      <c r="I17" s="72">
        <f>IF(B17=0,"",IFERROR(VLOOKUP(B17,'S-ASIG-03'!$B$5:$E$88,4,0),0))</f>
        <v>4.18</v>
      </c>
      <c r="J17" s="72">
        <f>IF(B17=0,"",IFERROR(VLOOKUP(B17,'S-ASIG-04'!$B$5:$E$88,4,0),0))</f>
        <v>3</v>
      </c>
      <c r="K17" s="72">
        <f>IF(B17=0,"",IFERROR(VLOOKUP(B17,'S-ASIG-05'!$B$5:$E$88,4,0),0))</f>
        <v>3.31</v>
      </c>
      <c r="L17" s="72">
        <f>IF(B17=0,"",IFERROR(VLOOKUP(B17,'S-ASIG-06'!$B$5:$E$88,4,0),0))</f>
        <v>3.9999999999999996</v>
      </c>
      <c r="M17" s="73">
        <f>IF(B17=0,"",IFERROR(VLOOKUP(B17,'S-ASIG-07'!$B$5:$E$88,4,0),0))</f>
        <v>0</v>
      </c>
      <c r="N17" s="68" t="s">
        <v>117</v>
      </c>
      <c r="O17" s="71">
        <f>IF(B17=0,"",IFERROR(VLOOKUP(B17,'T-ASIG-01'!$B$5:$D$88,3,0),0))</f>
        <v>4</v>
      </c>
      <c r="P17" s="72">
        <f>IF(B17=0,"",IFERROR(VLOOKUP(B17,'T-ASIG-02'!$B$5:$D$88,3,0),0))</f>
        <v>0</v>
      </c>
      <c r="Q17" s="72">
        <f>IF(B17=0,"",IFERROR(VLOOKUP(B17,'T-ASIG-03'!$B$5:$D$88,3,0),0))</f>
        <v>3.9250000000000003</v>
      </c>
      <c r="R17" s="72">
        <f>IF(B17=0,"",IFERROR(VLOOKUP(B17,'T-ASIG-04'!$B$5:$D$88,3,0),0))</f>
        <v>0</v>
      </c>
      <c r="S17" s="72">
        <f>IF(B17=0,"",IFERROR(VLOOKUP(B17,'T-ASIG-05'!$B$5:$D$88,3,0),0))</f>
        <v>0</v>
      </c>
      <c r="T17" s="72">
        <f>IF(B17=0,"",IFERROR(VLOOKUP(B17,'T-ASIG-06'!$B$5:$D$88,3,0),0))</f>
        <v>3.8250000000000002</v>
      </c>
      <c r="U17" s="73">
        <f>IF(B17=0,"",IFERROR(VLOOKUP(B17,'T-ASIG-07'!$B$5:$D$88,3,0),0))</f>
        <v>0</v>
      </c>
      <c r="V17" s="69" t="s">
        <v>118</v>
      </c>
    </row>
    <row r="18" spans="1:22" ht="15" customHeight="1">
      <c r="A18" s="12">
        <v>14</v>
      </c>
      <c r="B18" s="70" t="str">
        <f>LIDER!C22</f>
        <v>Jesus Lopez Morales</v>
      </c>
      <c r="C18" s="64" t="str">
        <f>IF(B18=0,"",IFERROR(VLOOKUP(B18,'S-ASIG-01'!$B$5:$E$88,2,0),0))</f>
        <v>G03</v>
      </c>
      <c r="D18" s="65">
        <f t="shared" si="2"/>
        <v>3.8316666666666666</v>
      </c>
      <c r="E18" s="66">
        <f t="shared" si="3"/>
        <v>3.8966666666666669</v>
      </c>
      <c r="F18" s="47"/>
      <c r="G18" s="71">
        <f>IF(B18=0,"",IFERROR(VLOOKUP(B18,'S-ASIG-01'!$B$5:$E$88,4,0),0))</f>
        <v>4.0999999999999996</v>
      </c>
      <c r="H18" s="72">
        <f>IF(B18=0,"",IFERROR(VLOOKUP(B18,'S-ASIG-02'!$B$5:$E$88,4,0),0))</f>
        <v>4.4000000000000004</v>
      </c>
      <c r="I18" s="72">
        <f>IF(B18=0,"",IFERROR(VLOOKUP(B18,'S-ASIG-03'!$B$5:$E$88,4,0),0))</f>
        <v>4.18</v>
      </c>
      <c r="J18" s="72">
        <f>IF(B18=0,"",IFERROR(VLOOKUP(B18,'S-ASIG-04'!$B$5:$E$88,4,0),0))</f>
        <v>3</v>
      </c>
      <c r="K18" s="72">
        <f>IF(B18=0,"",IFERROR(VLOOKUP(B18,'S-ASIG-05'!$B$5:$E$88,4,0),0))</f>
        <v>3.31</v>
      </c>
      <c r="L18" s="72">
        <f>IF(B18=0,"",IFERROR(VLOOKUP(B18,'S-ASIG-06'!$B$5:$E$88,4,0),0))</f>
        <v>3.9999999999999996</v>
      </c>
      <c r="M18" s="73">
        <f>IF(B18=0,"",IFERROR(VLOOKUP(B18,'S-ASIG-07'!$B$5:$E$88,4,0),0))</f>
        <v>0</v>
      </c>
      <c r="N18" s="68" t="s">
        <v>117</v>
      </c>
      <c r="O18" s="71">
        <f>IF(B18=0,"",IFERROR(VLOOKUP(B18,'T-ASIG-01'!$B$5:$D$88,3,0),0))</f>
        <v>4</v>
      </c>
      <c r="P18" s="72">
        <f>IF(B18=0,"",IFERROR(VLOOKUP(B18,'T-ASIG-02'!$B$5:$D$88,3,0),0))</f>
        <v>0</v>
      </c>
      <c r="Q18" s="72">
        <f>IF(B18=0,"",IFERROR(VLOOKUP(B18,'T-ASIG-03'!$B$5:$D$88,3,0),0))</f>
        <v>3.8650000000000002</v>
      </c>
      <c r="R18" s="72">
        <f>IF(B18=0,"",IFERROR(VLOOKUP(B18,'T-ASIG-04'!$B$5:$D$88,3,0),0))</f>
        <v>0</v>
      </c>
      <c r="S18" s="72">
        <f>IF(B18=0,"",IFERROR(VLOOKUP(B18,'T-ASIG-05'!$B$5:$D$88,3,0),0))</f>
        <v>0</v>
      </c>
      <c r="T18" s="72">
        <f>IF(B18=0,"",IFERROR(VLOOKUP(B18,'T-ASIG-06'!$B$5:$D$88,3,0),0))</f>
        <v>3.8250000000000002</v>
      </c>
      <c r="U18" s="73">
        <f>IF(B18=0,"",IFERROR(VLOOKUP(B18,'T-ASIG-07'!$B$5:$D$88,3,0),0))</f>
        <v>0</v>
      </c>
      <c r="V18" s="69" t="s">
        <v>118</v>
      </c>
    </row>
    <row r="19" spans="1:22" ht="15" customHeight="1">
      <c r="A19" s="12">
        <v>15</v>
      </c>
      <c r="B19" s="70" t="str">
        <f>LIDER!C23</f>
        <v>Dakar Moarles Paternina</v>
      </c>
      <c r="C19" s="64" t="str">
        <f>IF(B19=0,"",IFERROR(VLOOKUP(B19,'S-ASIG-01'!$B$5:$E$88,2,0),0))</f>
        <v>G03</v>
      </c>
      <c r="D19" s="65">
        <f t="shared" si="2"/>
        <v>3.8316666666666666</v>
      </c>
      <c r="E19" s="66">
        <f t="shared" si="3"/>
        <v>3.9166666666666665</v>
      </c>
      <c r="F19" s="47"/>
      <c r="G19" s="71">
        <f>IF(B19=0,"",IFERROR(VLOOKUP(B19,'S-ASIG-01'!$B$5:$E$88,4,0),0))</f>
        <v>4.0999999999999996</v>
      </c>
      <c r="H19" s="72">
        <f>IF(B19=0,"",IFERROR(VLOOKUP(B19,'S-ASIG-02'!$B$5:$E$88,4,0),0))</f>
        <v>4.4000000000000004</v>
      </c>
      <c r="I19" s="72">
        <f>IF(B19=0,"",IFERROR(VLOOKUP(B19,'S-ASIG-03'!$B$5:$E$88,4,0),0))</f>
        <v>4.18</v>
      </c>
      <c r="J19" s="72">
        <f>IF(B19=0,"",IFERROR(VLOOKUP(B19,'S-ASIG-04'!$B$5:$E$88,4,0),0))</f>
        <v>3</v>
      </c>
      <c r="K19" s="72">
        <f>IF(B19=0,"",IFERROR(VLOOKUP(B19,'S-ASIG-05'!$B$5:$E$88,4,0),0))</f>
        <v>3.31</v>
      </c>
      <c r="L19" s="72">
        <f>IF(B19=0,"",IFERROR(VLOOKUP(B19,'S-ASIG-06'!$B$5:$E$88,4,0),0))</f>
        <v>3.9999999999999996</v>
      </c>
      <c r="M19" s="73">
        <f>IF(B19=0,"",IFERROR(VLOOKUP(B19,'S-ASIG-07'!$B$5:$E$88,4,0),0))</f>
        <v>0</v>
      </c>
      <c r="N19" s="68" t="s">
        <v>117</v>
      </c>
      <c r="O19" s="71">
        <f>IF(B19=0,"",IFERROR(VLOOKUP(B19,'T-ASIG-01'!$B$5:$D$88,3,0),0))</f>
        <v>4</v>
      </c>
      <c r="P19" s="72">
        <f>IF(B19=0,"",IFERROR(VLOOKUP(B19,'T-ASIG-02'!$B$5:$D$88,3,0),0))</f>
        <v>0</v>
      </c>
      <c r="Q19" s="72">
        <f>IF(B19=0,"",IFERROR(VLOOKUP(B19,'T-ASIG-03'!$B$5:$D$88,3,0),0))</f>
        <v>3.9250000000000003</v>
      </c>
      <c r="R19" s="72">
        <f>IF(B19=0,"",IFERROR(VLOOKUP(B19,'T-ASIG-04'!$B$5:$D$88,3,0),0))</f>
        <v>0</v>
      </c>
      <c r="S19" s="72">
        <f>IF(B19=0,"",IFERROR(VLOOKUP(B19,'T-ASIG-05'!$B$5:$D$88,3,0),0))</f>
        <v>0</v>
      </c>
      <c r="T19" s="72">
        <f>IF(B19=0,"",IFERROR(VLOOKUP(B19,'T-ASIG-06'!$B$5:$D$88,3,0),0))</f>
        <v>3.8250000000000002</v>
      </c>
      <c r="U19" s="73">
        <f>IF(B19=0,"",IFERROR(VLOOKUP(B19,'T-ASIG-07'!$B$5:$D$88,3,0),0))</f>
        <v>0</v>
      </c>
      <c r="V19" s="69" t="s">
        <v>118</v>
      </c>
    </row>
    <row r="20" spans="1:22" ht="15" customHeight="1">
      <c r="A20" s="12">
        <v>16</v>
      </c>
      <c r="B20" s="70" t="str">
        <f>LIDER!C24</f>
        <v>Ian Yoraco Berrio</v>
      </c>
      <c r="C20" s="64" t="str">
        <f>IF(B20=0,"",IFERROR(VLOOKUP(B20,'S-ASIG-01'!$B$5:$E$88,2,0),0))</f>
        <v>G04</v>
      </c>
      <c r="D20" s="65">
        <f t="shared" si="2"/>
        <v>3.6840000000000002</v>
      </c>
      <c r="E20" s="66">
        <f t="shared" si="3"/>
        <v>3.5066666666666664</v>
      </c>
      <c r="F20" s="47"/>
      <c r="G20" s="71">
        <f>IF(B20=0,"",IFERROR(VLOOKUP(B20,'S-ASIG-01'!$B$5:$E$88,4,0),0))</f>
        <v>0</v>
      </c>
      <c r="H20" s="72">
        <f>IF(B20=0,"",IFERROR(VLOOKUP(B20,'S-ASIG-02'!$B$5:$E$88,4,0),0))</f>
        <v>3.47</v>
      </c>
      <c r="I20" s="72">
        <f>IF(B20=0,"",IFERROR(VLOOKUP(B20,'S-ASIG-03'!$B$5:$E$88,4,0),0))</f>
        <v>3.6500000000000004</v>
      </c>
      <c r="J20" s="72">
        <f>IF(B20=0,"",IFERROR(VLOOKUP(B20,'S-ASIG-04'!$B$5:$E$88,4,0),0))</f>
        <v>3.5999999999999996</v>
      </c>
      <c r="K20" s="72">
        <f>IF(B20=0,"",IFERROR(VLOOKUP(B20,'S-ASIG-05'!$B$5:$E$88,4,0),0))</f>
        <v>3.7</v>
      </c>
      <c r="L20" s="72">
        <f>IF(B20=0,"",IFERROR(VLOOKUP(B20,'S-ASIG-06'!$B$5:$E$88,4,0),0))</f>
        <v>3.9999999999999996</v>
      </c>
      <c r="M20" s="73">
        <f>IF(B20=0,"",IFERROR(VLOOKUP(B20,'S-ASIG-07'!$B$5:$E$88,4,0),0))</f>
        <v>0</v>
      </c>
      <c r="N20" s="68" t="s">
        <v>117</v>
      </c>
      <c r="O20" s="71">
        <f>IF(B20=0,"",IFERROR(VLOOKUP(B20,'T-ASIG-01'!$B$5:$D$88,3,0),0))</f>
        <v>4.3</v>
      </c>
      <c r="P20" s="72">
        <f>IF(B20=0,"",IFERROR(VLOOKUP(B20,'T-ASIG-02'!$B$5:$D$88,3,0),0))</f>
        <v>0</v>
      </c>
      <c r="Q20" s="72">
        <f>IF(B20=0,"",IFERROR(VLOOKUP(B20,'T-ASIG-03'!$B$5:$D$88,3,0),0))</f>
        <v>2.25</v>
      </c>
      <c r="R20" s="72">
        <f>IF(B20=0,"",IFERROR(VLOOKUP(B20,'T-ASIG-04'!$B$5:$D$88,3,0),0))</f>
        <v>0</v>
      </c>
      <c r="S20" s="72">
        <f>IF(B20=0,"",IFERROR(VLOOKUP(B20,'T-ASIG-05'!$B$5:$D$88,3,0),0))</f>
        <v>0</v>
      </c>
      <c r="T20" s="72">
        <f>IF(B20=0,"",IFERROR(VLOOKUP(B20,'T-ASIG-06'!$B$5:$D$88,3,0),0))</f>
        <v>3.9699999999999998</v>
      </c>
      <c r="U20" s="73">
        <f>IF(B20=0,"",IFERROR(VLOOKUP(B20,'T-ASIG-07'!$B$5:$D$88,3,0),0))</f>
        <v>0</v>
      </c>
      <c r="V20" s="69" t="s">
        <v>118</v>
      </c>
    </row>
    <row r="21" spans="1:22" ht="15" customHeight="1">
      <c r="A21" s="12">
        <v>17</v>
      </c>
      <c r="B21" s="70" t="str">
        <f>LIDER!C25</f>
        <v>Nataly Castro Jimenez</v>
      </c>
      <c r="C21" s="64" t="str">
        <f>IF(B21=0,"",IFERROR(VLOOKUP(B21,'S-ASIG-01'!$B$5:$E$88,2,0),0))</f>
        <v>G04</v>
      </c>
      <c r="D21" s="65">
        <f t="shared" si="2"/>
        <v>3.6840000000000002</v>
      </c>
      <c r="E21" s="66">
        <f t="shared" si="3"/>
        <v>4.253333333333333</v>
      </c>
      <c r="F21" s="47"/>
      <c r="G21" s="71">
        <f>IF(B21=0,"",IFERROR(VLOOKUP(B21,'S-ASIG-01'!$B$5:$E$88,4,0),0))</f>
        <v>0</v>
      </c>
      <c r="H21" s="72">
        <f>IF(B21=0,"",IFERROR(VLOOKUP(B21,'S-ASIG-02'!$B$5:$E$88,4,0),0))</f>
        <v>3.47</v>
      </c>
      <c r="I21" s="72">
        <f>IF(B21=0,"",IFERROR(VLOOKUP(B21,'S-ASIG-03'!$B$5:$E$88,4,0),0))</f>
        <v>3.6500000000000004</v>
      </c>
      <c r="J21" s="72">
        <f>IF(B21=0,"",IFERROR(VLOOKUP(B21,'S-ASIG-04'!$B$5:$E$88,4,0),0))</f>
        <v>3.5999999999999996</v>
      </c>
      <c r="K21" s="72">
        <f>IF(B21=0,"",IFERROR(VLOOKUP(B21,'S-ASIG-05'!$B$5:$E$88,4,0),0))</f>
        <v>3.7</v>
      </c>
      <c r="L21" s="72">
        <f>IF(B21=0,"",IFERROR(VLOOKUP(B21,'S-ASIG-06'!$B$5:$E$88,4,0),0))</f>
        <v>3.9999999999999996</v>
      </c>
      <c r="M21" s="73">
        <f>IF(B21=0,"",IFERROR(VLOOKUP(B21,'S-ASIG-07'!$B$5:$E$88,4,0),0))</f>
        <v>0</v>
      </c>
      <c r="N21" s="68" t="s">
        <v>117</v>
      </c>
      <c r="O21" s="71">
        <f>IF(B21=0,"",IFERROR(VLOOKUP(B21,'T-ASIG-01'!$B$5:$D$88,3,0),0))</f>
        <v>4.3</v>
      </c>
      <c r="P21" s="72">
        <f>IF(B21=0,"",IFERROR(VLOOKUP(B21,'T-ASIG-02'!$B$5:$D$88,3,0),0))</f>
        <v>0</v>
      </c>
      <c r="Q21" s="72">
        <f>IF(B21=0,"",IFERROR(VLOOKUP(B21,'T-ASIG-03'!$B$5:$D$88,3,0),0))</f>
        <v>4.49</v>
      </c>
      <c r="R21" s="72">
        <f>IF(B21=0,"",IFERROR(VLOOKUP(B21,'T-ASIG-04'!$B$5:$D$88,3,0),0))</f>
        <v>0</v>
      </c>
      <c r="S21" s="72">
        <f>IF(B21=0,"",IFERROR(VLOOKUP(B21,'T-ASIG-05'!$B$5:$D$88,3,0),0))</f>
        <v>0</v>
      </c>
      <c r="T21" s="72">
        <f>IF(B21=0,"",IFERROR(VLOOKUP(B21,'T-ASIG-06'!$B$5:$D$88,3,0),0))</f>
        <v>3.9699999999999998</v>
      </c>
      <c r="U21" s="73">
        <f>IF(B21=0,"",IFERROR(VLOOKUP(B21,'T-ASIG-07'!$B$5:$D$88,3,0),0))</f>
        <v>0</v>
      </c>
      <c r="V21" s="69" t="s">
        <v>118</v>
      </c>
    </row>
    <row r="22" spans="1:22" ht="15" customHeight="1">
      <c r="A22" s="12">
        <v>18</v>
      </c>
      <c r="B22" s="70" t="str">
        <f>LIDER!C26</f>
        <v>Oscar Lorduy Neira</v>
      </c>
      <c r="C22" s="64" t="str">
        <f>IF(B22=0,"",IFERROR(VLOOKUP(B22,'S-ASIG-01'!$B$5:$E$88,2,0),0))</f>
        <v>G04</v>
      </c>
      <c r="D22" s="65">
        <f t="shared" si="2"/>
        <v>3.6840000000000002</v>
      </c>
      <c r="E22" s="66">
        <f t="shared" si="3"/>
        <v>4.2733333333333334</v>
      </c>
      <c r="F22" s="47"/>
      <c r="G22" s="71">
        <f>IF(B22=0,"",IFERROR(VLOOKUP(B22,'S-ASIG-01'!$B$5:$E$88,4,0),0))</f>
        <v>0</v>
      </c>
      <c r="H22" s="72">
        <f>IF(B22=0,"",IFERROR(VLOOKUP(B22,'S-ASIG-02'!$B$5:$E$88,4,0),0))</f>
        <v>3.47</v>
      </c>
      <c r="I22" s="72">
        <f>IF(B22=0,"",IFERROR(VLOOKUP(B22,'S-ASIG-03'!$B$5:$E$88,4,0),0))</f>
        <v>3.6500000000000004</v>
      </c>
      <c r="J22" s="72">
        <f>IF(B22=0,"",IFERROR(VLOOKUP(B22,'S-ASIG-04'!$B$5:$E$88,4,0),0))</f>
        <v>3.5999999999999996</v>
      </c>
      <c r="K22" s="72">
        <f>IF(B22=0,"",IFERROR(VLOOKUP(B22,'S-ASIG-05'!$B$5:$E$88,4,0),0))</f>
        <v>3.7</v>
      </c>
      <c r="L22" s="72">
        <f>IF(B22=0,"",IFERROR(VLOOKUP(B22,'S-ASIG-06'!$B$5:$E$88,4,0),0))</f>
        <v>3.9999999999999996</v>
      </c>
      <c r="M22" s="73">
        <f>IF(B22=0,"",IFERROR(VLOOKUP(B22,'S-ASIG-07'!$B$5:$E$88,4,0),0))</f>
        <v>0</v>
      </c>
      <c r="N22" s="68" t="s">
        <v>117</v>
      </c>
      <c r="O22" s="71">
        <f>IF(B22=0,"",IFERROR(VLOOKUP(B22,'T-ASIG-01'!$B$5:$D$88,3,0),0))</f>
        <v>4.3</v>
      </c>
      <c r="P22" s="72">
        <f>IF(B22=0,"",IFERROR(VLOOKUP(B22,'T-ASIG-02'!$B$5:$D$88,3,0),0))</f>
        <v>0</v>
      </c>
      <c r="Q22" s="72">
        <f>IF(B22=0,"",IFERROR(VLOOKUP(B22,'T-ASIG-03'!$B$5:$D$88,3,0),0))</f>
        <v>4.55</v>
      </c>
      <c r="R22" s="72">
        <f>IF(B22=0,"",IFERROR(VLOOKUP(B22,'T-ASIG-04'!$B$5:$D$88,3,0),0))</f>
        <v>0</v>
      </c>
      <c r="S22" s="72">
        <f>IF(B22=0,"",IFERROR(VLOOKUP(B22,'T-ASIG-05'!$B$5:$D$88,3,0),0))</f>
        <v>0</v>
      </c>
      <c r="T22" s="72">
        <f>IF(B22=0,"",IFERROR(VLOOKUP(B22,'T-ASIG-06'!$B$5:$D$88,3,0),0))</f>
        <v>3.9699999999999998</v>
      </c>
      <c r="U22" s="73">
        <f>IF(B22=0,"",IFERROR(VLOOKUP(B22,'T-ASIG-07'!$B$5:$D$88,3,0),0))</f>
        <v>0</v>
      </c>
      <c r="V22" s="69" t="s">
        <v>118</v>
      </c>
    </row>
    <row r="23" spans="1:22" ht="15" customHeight="1">
      <c r="A23" s="12">
        <v>19</v>
      </c>
      <c r="B23" s="70" t="str">
        <f>LIDER!C27</f>
        <v>Carlos Orozco Valdes</v>
      </c>
      <c r="C23" s="64" t="str">
        <f>IF(B23=0,"",IFERROR(VLOOKUP(B23,'S-ASIG-01'!$B$5:$E$88,2,0),0))</f>
        <v>G04</v>
      </c>
      <c r="D23" s="65">
        <f t="shared" si="2"/>
        <v>3.6840000000000002</v>
      </c>
      <c r="E23" s="66">
        <f t="shared" si="3"/>
        <v>4.2733333333333334</v>
      </c>
      <c r="F23" s="47"/>
      <c r="G23" s="71">
        <f>IF(B23=0,"",IFERROR(VLOOKUP(B23,'S-ASIG-01'!$B$5:$E$88,4,0),0))</f>
        <v>0</v>
      </c>
      <c r="H23" s="72">
        <f>IF(B23=0,"",IFERROR(VLOOKUP(B23,'S-ASIG-02'!$B$5:$E$88,4,0),0))</f>
        <v>3.47</v>
      </c>
      <c r="I23" s="72">
        <f>IF(B23=0,"",IFERROR(VLOOKUP(B23,'S-ASIG-03'!$B$5:$E$88,4,0),0))</f>
        <v>3.6500000000000004</v>
      </c>
      <c r="J23" s="72">
        <f>IF(B23=0,"",IFERROR(VLOOKUP(B23,'S-ASIG-04'!$B$5:$E$88,4,0),0))</f>
        <v>3.5999999999999996</v>
      </c>
      <c r="K23" s="72">
        <f>IF(B23=0,"",IFERROR(VLOOKUP(B23,'S-ASIG-05'!$B$5:$E$88,4,0),0))</f>
        <v>3.7</v>
      </c>
      <c r="L23" s="72">
        <f>IF(B23=0,"",IFERROR(VLOOKUP(B23,'S-ASIG-06'!$B$5:$E$88,4,0),0))</f>
        <v>3.9999999999999996</v>
      </c>
      <c r="M23" s="73">
        <f>IF(B23=0,"",IFERROR(VLOOKUP(B23,'S-ASIG-07'!$B$5:$E$88,4,0),0))</f>
        <v>0</v>
      </c>
      <c r="N23" s="68" t="s">
        <v>117</v>
      </c>
      <c r="O23" s="71">
        <f>IF(B23=0,"",IFERROR(VLOOKUP(B23,'T-ASIG-01'!$B$5:$D$88,3,0),0))</f>
        <v>4.3</v>
      </c>
      <c r="P23" s="72">
        <f>IF(B23=0,"",IFERROR(VLOOKUP(B23,'T-ASIG-02'!$B$5:$D$88,3,0),0))</f>
        <v>0</v>
      </c>
      <c r="Q23" s="72">
        <f>IF(B23=0,"",IFERROR(VLOOKUP(B23,'T-ASIG-03'!$B$5:$D$88,3,0),0))</f>
        <v>4.55</v>
      </c>
      <c r="R23" s="72">
        <f>IF(B23=0,"",IFERROR(VLOOKUP(B23,'T-ASIG-04'!$B$5:$D$88,3,0),0))</f>
        <v>0</v>
      </c>
      <c r="S23" s="72">
        <f>IF(B23=0,"",IFERROR(VLOOKUP(B23,'T-ASIG-05'!$B$5:$D$88,3,0),0))</f>
        <v>0</v>
      </c>
      <c r="T23" s="72">
        <f>IF(B23=0,"",IFERROR(VLOOKUP(B23,'T-ASIG-06'!$B$5:$D$88,3,0),0))</f>
        <v>3.9699999999999998</v>
      </c>
      <c r="U23" s="73">
        <f>IF(B23=0,"",IFERROR(VLOOKUP(B23,'T-ASIG-07'!$B$5:$D$88,3,0),0))</f>
        <v>0</v>
      </c>
      <c r="V23" s="69" t="s">
        <v>118</v>
      </c>
    </row>
    <row r="24" spans="1:22" ht="15" customHeight="1">
      <c r="A24" s="12">
        <v>20</v>
      </c>
      <c r="B24" s="70" t="str">
        <f>LIDER!C28</f>
        <v>Sandri Valdez Sepulveda</v>
      </c>
      <c r="C24" s="64" t="str">
        <f>IF(B24=0,"",IFERROR(VLOOKUP(B24,'S-ASIG-01'!$B$5:$E$88,2,0),0))</f>
        <v>G04</v>
      </c>
      <c r="D24" s="65">
        <f t="shared" si="2"/>
        <v>3.6840000000000002</v>
      </c>
      <c r="E24" s="66">
        <f t="shared" si="3"/>
        <v>4.2333333333333334</v>
      </c>
      <c r="F24" s="47"/>
      <c r="G24" s="71">
        <f>IF(B24=0,"",IFERROR(VLOOKUP(B24,'S-ASIG-01'!$B$5:$E$88,4,0),0))</f>
        <v>0</v>
      </c>
      <c r="H24" s="72">
        <f>IF(B24=0,"",IFERROR(VLOOKUP(B24,'S-ASIG-02'!$B$5:$E$88,4,0),0))</f>
        <v>3.47</v>
      </c>
      <c r="I24" s="72">
        <f>IF(B24=0,"",IFERROR(VLOOKUP(B24,'S-ASIG-03'!$B$5:$E$88,4,0),0))</f>
        <v>3.6500000000000004</v>
      </c>
      <c r="J24" s="72">
        <f>IF(B24=0,"",IFERROR(VLOOKUP(B24,'S-ASIG-04'!$B$5:$E$88,4,0),0))</f>
        <v>3.5999999999999996</v>
      </c>
      <c r="K24" s="72">
        <f>IF(B24=0,"",IFERROR(VLOOKUP(B24,'S-ASIG-05'!$B$5:$E$88,4,0),0))</f>
        <v>3.7</v>
      </c>
      <c r="L24" s="72">
        <f>IF(B24=0,"",IFERROR(VLOOKUP(B24,'S-ASIG-06'!$B$5:$E$88,4,0),0))</f>
        <v>3.9999999999999996</v>
      </c>
      <c r="M24" s="73">
        <f>IF(B24=0,"",IFERROR(VLOOKUP(B24,'S-ASIG-07'!$B$5:$E$88,4,0),0))</f>
        <v>0</v>
      </c>
      <c r="N24" s="68" t="s">
        <v>117</v>
      </c>
      <c r="O24" s="71">
        <f>IF(B24=0,"",IFERROR(VLOOKUP(B24,'T-ASIG-01'!$B$5:$D$88,3,0),0))</f>
        <v>4.3</v>
      </c>
      <c r="P24" s="72">
        <f>IF(B24=0,"",IFERROR(VLOOKUP(B24,'T-ASIG-02'!$B$5:$D$88,3,0),0))</f>
        <v>0</v>
      </c>
      <c r="Q24" s="72">
        <f>IF(B24=0,"",IFERROR(VLOOKUP(B24,'T-ASIG-03'!$B$5:$D$88,3,0),0))</f>
        <v>4.43</v>
      </c>
      <c r="R24" s="72">
        <f>IF(B24=0,"",IFERROR(VLOOKUP(B24,'T-ASIG-04'!$B$5:$D$88,3,0),0))</f>
        <v>0</v>
      </c>
      <c r="S24" s="72">
        <f>IF(B24=0,"",IFERROR(VLOOKUP(B24,'T-ASIG-05'!$B$5:$D$88,3,0),0))</f>
        <v>0</v>
      </c>
      <c r="T24" s="72">
        <f>IF(B24=0,"",IFERROR(VLOOKUP(B24,'T-ASIG-06'!$B$5:$D$88,3,0),0))</f>
        <v>3.9699999999999998</v>
      </c>
      <c r="U24" s="73">
        <f>IF(B24=0,"",IFERROR(VLOOKUP(B24,'T-ASIG-07'!$B$5:$D$88,3,0),0))</f>
        <v>0</v>
      </c>
      <c r="V24" s="69" t="s">
        <v>118</v>
      </c>
    </row>
    <row r="25" spans="1:22" ht="15" customHeight="1">
      <c r="A25" s="12">
        <v>21</v>
      </c>
      <c r="B25" s="70" t="str">
        <f>LIDER!C29</f>
        <v>Adrian Marriaga Muñoz</v>
      </c>
      <c r="C25" s="64" t="str">
        <f>IF(B25=0,"",IFERROR(VLOOKUP(B25,'S-ASIG-01'!$B$5:$E$88,2,0),0))</f>
        <v>G05</v>
      </c>
      <c r="D25" s="65">
        <f t="shared" si="2"/>
        <v>3.9620000000000006</v>
      </c>
      <c r="E25" s="66">
        <f t="shared" si="3"/>
        <v>4.1500000000000004</v>
      </c>
      <c r="F25" s="47"/>
      <c r="G25" s="71">
        <f>IF(B25=0,"",IFERROR(VLOOKUP(B25,'S-ASIG-01'!$B$5:$E$88,4,0),0))</f>
        <v>0</v>
      </c>
      <c r="H25" s="72">
        <f>IF(B25=0,"",IFERROR(VLOOKUP(B25,'S-ASIG-02'!$B$5:$E$88,4,0),0))</f>
        <v>3.16</v>
      </c>
      <c r="I25" s="72">
        <f>IF(B25=0,"",IFERROR(VLOOKUP(B25,'S-ASIG-03'!$B$5:$E$88,4,0),0))</f>
        <v>4.55</v>
      </c>
      <c r="J25" s="72">
        <f>IF(B25=0,"",IFERROR(VLOOKUP(B25,'S-ASIG-04'!$B$5:$E$88,4,0),0))</f>
        <v>4.3000000000000007</v>
      </c>
      <c r="K25" s="72">
        <f>IF(B25=0,"",IFERROR(VLOOKUP(B25,'S-ASIG-05'!$B$5:$E$88,4,0),0))</f>
        <v>3.8000000000000003</v>
      </c>
      <c r="L25" s="72">
        <f>IF(B25=0,"",IFERROR(VLOOKUP(B25,'S-ASIG-06'!$B$5:$E$88,4,0),0))</f>
        <v>3.9999999999999996</v>
      </c>
      <c r="M25" s="73">
        <f>IF(B25=0,"",IFERROR(VLOOKUP(B25,'S-ASIG-07'!$B$5:$E$88,4,0),0))</f>
        <v>0</v>
      </c>
      <c r="N25" s="68" t="s">
        <v>117</v>
      </c>
      <c r="O25" s="71">
        <f>IF(B25=0,"",IFERROR(VLOOKUP(B25,'T-ASIG-01'!$B$5:$D$88,3,0),0))</f>
        <v>4.3</v>
      </c>
      <c r="P25" s="72">
        <f>IF(B25=0,"",IFERROR(VLOOKUP(B25,'T-ASIG-02'!$B$5:$D$88,3,0),0))</f>
        <v>0</v>
      </c>
      <c r="Q25" s="72">
        <f>IF(B25=0,"",IFERROR(VLOOKUP(B25,'T-ASIG-03'!$B$5:$D$88,3,0),0))</f>
        <v>4.32</v>
      </c>
      <c r="R25" s="72">
        <f>IF(B25=0,"",IFERROR(VLOOKUP(B25,'T-ASIG-04'!$B$5:$D$88,3,0),0))</f>
        <v>0</v>
      </c>
      <c r="S25" s="72">
        <f>IF(B25=0,"",IFERROR(VLOOKUP(B25,'T-ASIG-05'!$B$5:$D$88,3,0),0))</f>
        <v>0</v>
      </c>
      <c r="T25" s="72">
        <f>IF(B25=0,"",IFERROR(VLOOKUP(B25,'T-ASIG-06'!$B$5:$D$88,3,0),0))</f>
        <v>3.83</v>
      </c>
      <c r="U25" s="73">
        <f>IF(B25=0,"",IFERROR(VLOOKUP(B25,'T-ASIG-07'!$B$5:$D$88,3,0),0))</f>
        <v>0</v>
      </c>
      <c r="V25" s="69" t="s">
        <v>118</v>
      </c>
    </row>
    <row r="26" spans="1:22" ht="15" customHeight="1">
      <c r="A26" s="12">
        <v>22</v>
      </c>
      <c r="B26" s="70" t="str">
        <f>LIDER!C30</f>
        <v>Kristin Perez martinez</v>
      </c>
      <c r="C26" s="64" t="str">
        <f>IF(B26=0,"",IFERROR(VLOOKUP(B26,'S-ASIG-01'!$B$5:$E$88,2,0),0))</f>
        <v>G05</v>
      </c>
      <c r="D26" s="65">
        <f t="shared" si="2"/>
        <v>3.9620000000000006</v>
      </c>
      <c r="E26" s="66">
        <f t="shared" si="3"/>
        <v>4.12</v>
      </c>
      <c r="F26" s="47"/>
      <c r="G26" s="71">
        <f>IF(B26=0,"",IFERROR(VLOOKUP(B26,'S-ASIG-01'!$B$5:$E$88,4,0),0))</f>
        <v>0</v>
      </c>
      <c r="H26" s="72">
        <f>IF(B26=0,"",IFERROR(VLOOKUP(B26,'S-ASIG-02'!$B$5:$E$88,4,0),0))</f>
        <v>3.16</v>
      </c>
      <c r="I26" s="72">
        <f>IF(B26=0,"",IFERROR(VLOOKUP(B26,'S-ASIG-03'!$B$5:$E$88,4,0),0))</f>
        <v>4.55</v>
      </c>
      <c r="J26" s="72">
        <f>IF(B26=0,"",IFERROR(VLOOKUP(B26,'S-ASIG-04'!$B$5:$E$88,4,0),0))</f>
        <v>4.3000000000000007</v>
      </c>
      <c r="K26" s="72">
        <f>IF(B26=0,"",IFERROR(VLOOKUP(B26,'S-ASIG-05'!$B$5:$E$88,4,0),0))</f>
        <v>3.8000000000000003</v>
      </c>
      <c r="L26" s="72">
        <f>IF(B26=0,"",IFERROR(VLOOKUP(B26,'S-ASIG-06'!$B$5:$E$88,4,0),0))</f>
        <v>3.9999999999999996</v>
      </c>
      <c r="M26" s="73">
        <f>IF(B26=0,"",IFERROR(VLOOKUP(B26,'S-ASIG-07'!$B$5:$E$88,4,0),0))</f>
        <v>0</v>
      </c>
      <c r="N26" s="68" t="s">
        <v>117</v>
      </c>
      <c r="O26" s="71">
        <f>IF(B26=0,"",IFERROR(VLOOKUP(B26,'T-ASIG-01'!$B$5:$D$88,3,0),0))</f>
        <v>4.3</v>
      </c>
      <c r="P26" s="72">
        <f>IF(B26=0,"",IFERROR(VLOOKUP(B26,'T-ASIG-02'!$B$5:$D$88,3,0),0))</f>
        <v>0</v>
      </c>
      <c r="Q26" s="72">
        <f>IF(B26=0,"",IFERROR(VLOOKUP(B26,'T-ASIG-03'!$B$5:$D$88,3,0),0))</f>
        <v>4.2300000000000004</v>
      </c>
      <c r="R26" s="72">
        <f>IF(B26=0,"",IFERROR(VLOOKUP(B26,'T-ASIG-04'!$B$5:$D$88,3,0),0))</f>
        <v>0</v>
      </c>
      <c r="S26" s="72">
        <f>IF(B26=0,"",IFERROR(VLOOKUP(B26,'T-ASIG-05'!$B$5:$D$88,3,0),0))</f>
        <v>0</v>
      </c>
      <c r="T26" s="72">
        <f>IF(B26=0,"",IFERROR(VLOOKUP(B26,'T-ASIG-06'!$B$5:$D$88,3,0),0))</f>
        <v>3.83</v>
      </c>
      <c r="U26" s="73">
        <f>IF(B26=0,"",IFERROR(VLOOKUP(B26,'T-ASIG-07'!$B$5:$D$88,3,0),0))</f>
        <v>0</v>
      </c>
      <c r="V26" s="69" t="s">
        <v>118</v>
      </c>
    </row>
    <row r="27" spans="1:22" ht="15" customHeight="1">
      <c r="A27" s="12">
        <v>23</v>
      </c>
      <c r="B27" s="70" t="str">
        <f>LIDER!C31</f>
        <v>Nina Aguilar Sarabia</v>
      </c>
      <c r="C27" s="64" t="str">
        <f>IF(B27=0,"",IFERROR(VLOOKUP(B27,'S-ASIG-01'!$B$5:$E$88,2,0),0))</f>
        <v>G05</v>
      </c>
      <c r="D27" s="65">
        <f t="shared" si="2"/>
        <v>3.9620000000000006</v>
      </c>
      <c r="E27" s="66">
        <f t="shared" si="3"/>
        <v>3.83</v>
      </c>
      <c r="F27" s="47"/>
      <c r="G27" s="71">
        <f>IF(B27=0,"",IFERROR(VLOOKUP(B27,'S-ASIG-01'!$B$5:$E$88,4,0),0))</f>
        <v>0</v>
      </c>
      <c r="H27" s="72">
        <f>IF(B27=0,"",IFERROR(VLOOKUP(B27,'S-ASIG-02'!$B$5:$E$88,4,0),0))</f>
        <v>3.16</v>
      </c>
      <c r="I27" s="72">
        <f>IF(B27=0,"",IFERROR(VLOOKUP(B27,'S-ASIG-03'!$B$5:$E$88,4,0),0))</f>
        <v>4.55</v>
      </c>
      <c r="J27" s="72">
        <f>IF(B27=0,"",IFERROR(VLOOKUP(B27,'S-ASIG-04'!$B$5:$E$88,4,0),0))</f>
        <v>4.3000000000000007</v>
      </c>
      <c r="K27" s="72">
        <f>IF(B27=0,"",IFERROR(VLOOKUP(B27,'S-ASIG-05'!$B$5:$E$88,4,0),0))</f>
        <v>3.8000000000000003</v>
      </c>
      <c r="L27" s="72">
        <f>IF(B27=0,"",IFERROR(VLOOKUP(B27,'S-ASIG-06'!$B$5:$E$88,4,0),0))</f>
        <v>3.9999999999999996</v>
      </c>
      <c r="M27" s="73">
        <f>IF(B27=0,"",IFERROR(VLOOKUP(B27,'S-ASIG-07'!$B$5:$E$88,4,0),0))</f>
        <v>0</v>
      </c>
      <c r="N27" s="68" t="s">
        <v>117</v>
      </c>
      <c r="O27" s="71">
        <f>IF(B27=0,"",IFERROR(VLOOKUP(B27,'T-ASIG-01'!$B$5:$D$88,3,0),0))</f>
        <v>0</v>
      </c>
      <c r="P27" s="72">
        <f>IF(B27=0,"",IFERROR(VLOOKUP(B27,'T-ASIG-02'!$B$5:$D$88,3,0),0))</f>
        <v>0</v>
      </c>
      <c r="Q27" s="72">
        <f>IF(B27=0,"",IFERROR(VLOOKUP(B27,'T-ASIG-03'!$B$5:$D$88,3,0),0))</f>
        <v>0</v>
      </c>
      <c r="R27" s="72">
        <f>IF(B27=0,"",IFERROR(VLOOKUP(B27,'T-ASIG-04'!$B$5:$D$88,3,0),0))</f>
        <v>0</v>
      </c>
      <c r="S27" s="72">
        <f>IF(B27=0,"",IFERROR(VLOOKUP(B27,'T-ASIG-05'!$B$5:$D$88,3,0),0))</f>
        <v>0</v>
      </c>
      <c r="T27" s="72">
        <f>IF(B27=0,"",IFERROR(VLOOKUP(B27,'T-ASIG-06'!$B$5:$D$88,3,0),0))</f>
        <v>3.83</v>
      </c>
      <c r="U27" s="73">
        <f>IF(B27=0,"",IFERROR(VLOOKUP(B27,'T-ASIG-07'!$B$5:$D$88,3,0),0))</f>
        <v>0</v>
      </c>
      <c r="V27" s="69" t="s">
        <v>118</v>
      </c>
    </row>
    <row r="28" spans="1:22" ht="15" customHeight="1">
      <c r="A28" s="12">
        <v>24</v>
      </c>
      <c r="B28" s="70" t="str">
        <f>LIDER!C32</f>
        <v>Theres Theran caicedo</v>
      </c>
      <c r="C28" s="64" t="str">
        <f>IF(B28=0,"",IFERROR(VLOOKUP(B28,'S-ASIG-01'!$B$5:$E$88,2,0),0))</f>
        <v>G05</v>
      </c>
      <c r="D28" s="65">
        <f t="shared" si="2"/>
        <v>3.9620000000000006</v>
      </c>
      <c r="E28" s="66">
        <f t="shared" si="3"/>
        <v>4.12</v>
      </c>
      <c r="F28" s="47"/>
      <c r="G28" s="71">
        <f>IF(B28=0,"",IFERROR(VLOOKUP(B28,'S-ASIG-01'!$B$5:$E$88,4,0),0))</f>
        <v>0</v>
      </c>
      <c r="H28" s="72">
        <f>IF(B28=0,"",IFERROR(VLOOKUP(B28,'S-ASIG-02'!$B$5:$E$88,4,0),0))</f>
        <v>3.16</v>
      </c>
      <c r="I28" s="72">
        <f>IF(B28=0,"",IFERROR(VLOOKUP(B28,'S-ASIG-03'!$B$5:$E$88,4,0),0))</f>
        <v>4.55</v>
      </c>
      <c r="J28" s="72">
        <f>IF(B28=0,"",IFERROR(VLOOKUP(B28,'S-ASIG-04'!$B$5:$E$88,4,0),0))</f>
        <v>4.3000000000000007</v>
      </c>
      <c r="K28" s="72">
        <f>IF(B28=0,"",IFERROR(VLOOKUP(B28,'S-ASIG-05'!$B$5:$E$88,4,0),0))</f>
        <v>3.8000000000000003</v>
      </c>
      <c r="L28" s="72">
        <f>IF(B28=0,"",IFERROR(VLOOKUP(B28,'S-ASIG-06'!$B$5:$E$88,4,0),0))</f>
        <v>3.9999999999999996</v>
      </c>
      <c r="M28" s="73">
        <f>IF(B28=0,"",IFERROR(VLOOKUP(B28,'S-ASIG-07'!$B$5:$E$88,4,0),0))</f>
        <v>0</v>
      </c>
      <c r="N28" s="68" t="s">
        <v>117</v>
      </c>
      <c r="O28" s="71">
        <f>IF(B28=0,"",IFERROR(VLOOKUP(B28,'T-ASIG-01'!$B$5:$D$88,3,0),0))</f>
        <v>4.3</v>
      </c>
      <c r="P28" s="72">
        <f>IF(B28=0,"",IFERROR(VLOOKUP(B28,'T-ASIG-02'!$B$5:$D$88,3,0),0))</f>
        <v>0</v>
      </c>
      <c r="Q28" s="72">
        <f>IF(B28=0,"",IFERROR(VLOOKUP(B28,'T-ASIG-03'!$B$5:$D$88,3,0),0))</f>
        <v>4.2300000000000004</v>
      </c>
      <c r="R28" s="72">
        <f>IF(B28=0,"",IFERROR(VLOOKUP(B28,'T-ASIG-04'!$B$5:$D$88,3,0),0))</f>
        <v>0</v>
      </c>
      <c r="S28" s="72">
        <f>IF(B28=0,"",IFERROR(VLOOKUP(B28,'T-ASIG-05'!$B$5:$D$88,3,0),0))</f>
        <v>0</v>
      </c>
      <c r="T28" s="72">
        <f>IF(B28=0,"",IFERROR(VLOOKUP(B28,'T-ASIG-06'!$B$5:$D$88,3,0),0))</f>
        <v>3.83</v>
      </c>
      <c r="U28" s="73">
        <f>IF(B28=0,"",IFERROR(VLOOKUP(B28,'T-ASIG-07'!$B$5:$D$88,3,0),0))</f>
        <v>0</v>
      </c>
      <c r="V28" s="69" t="s">
        <v>118</v>
      </c>
    </row>
    <row r="29" spans="1:22" ht="15" customHeight="1">
      <c r="A29" s="12">
        <v>25</v>
      </c>
      <c r="B29" s="70" t="str">
        <f>LIDER!C33</f>
        <v>Diego Cardona Bolaño</v>
      </c>
      <c r="C29" s="64" t="str">
        <f>IF(B29=0,"",IFERROR(VLOOKUP(B29,'S-ASIG-01'!$B$5:$E$88,2,0),0))</f>
        <v>G05</v>
      </c>
      <c r="D29" s="65">
        <f t="shared" si="2"/>
        <v>3.9620000000000006</v>
      </c>
      <c r="E29" s="66">
        <f t="shared" si="3"/>
        <v>4.05</v>
      </c>
      <c r="F29" s="47"/>
      <c r="G29" s="71">
        <f>IF(B29=0,"",IFERROR(VLOOKUP(B29,'S-ASIG-01'!$B$5:$E$88,4,0),0))</f>
        <v>0</v>
      </c>
      <c r="H29" s="72">
        <f>IF(B29=0,"",IFERROR(VLOOKUP(B29,'S-ASIG-02'!$B$5:$E$88,4,0),0))</f>
        <v>3.16</v>
      </c>
      <c r="I29" s="72">
        <f>IF(B29=0,"",IFERROR(VLOOKUP(B29,'S-ASIG-03'!$B$5:$E$88,4,0),0))</f>
        <v>4.55</v>
      </c>
      <c r="J29" s="72">
        <f>IF(B29=0,"",IFERROR(VLOOKUP(B29,'S-ASIG-04'!$B$5:$E$88,4,0),0))</f>
        <v>4.3000000000000007</v>
      </c>
      <c r="K29" s="72">
        <f>IF(B29=0,"",IFERROR(VLOOKUP(B29,'S-ASIG-05'!$B$5:$E$88,4,0),0))</f>
        <v>3.8000000000000003</v>
      </c>
      <c r="L29" s="72">
        <f>IF(B29=0,"",IFERROR(VLOOKUP(B29,'S-ASIG-06'!$B$5:$E$88,4,0),0))</f>
        <v>3.9999999999999996</v>
      </c>
      <c r="M29" s="73">
        <f>IF(B29=0,"",IFERROR(VLOOKUP(B29,'S-ASIG-07'!$B$5:$E$88,4,0),0))</f>
        <v>0</v>
      </c>
      <c r="N29" s="68" t="s">
        <v>117</v>
      </c>
      <c r="O29" s="71">
        <f>IF(B29=0,"",IFERROR(VLOOKUP(B29,'T-ASIG-01'!$B$5:$D$88,3,0),0))</f>
        <v>4.3</v>
      </c>
      <c r="P29" s="72">
        <f>IF(B29=0,"",IFERROR(VLOOKUP(B29,'T-ASIG-02'!$B$5:$D$88,3,0),0))</f>
        <v>0</v>
      </c>
      <c r="Q29" s="72">
        <f>IF(B29=0,"",IFERROR(VLOOKUP(B29,'T-ASIG-03'!$B$5:$D$88,3,0),0))</f>
        <v>4.0199999999999996</v>
      </c>
      <c r="R29" s="72">
        <f>IF(B29=0,"",IFERROR(VLOOKUP(B29,'T-ASIG-04'!$B$5:$D$88,3,0),0))</f>
        <v>0</v>
      </c>
      <c r="S29" s="72">
        <f>IF(B29=0,"",IFERROR(VLOOKUP(B29,'T-ASIG-05'!$B$5:$D$88,3,0),0))</f>
        <v>0</v>
      </c>
      <c r="T29" s="72">
        <f>IF(B29=0,"",IFERROR(VLOOKUP(B29,'T-ASIG-06'!$B$5:$D$88,3,0),0))</f>
        <v>3.83</v>
      </c>
      <c r="U29" s="73">
        <f>IF(B29=0,"",IFERROR(VLOOKUP(B29,'T-ASIG-07'!$B$5:$D$88,3,0),0))</f>
        <v>0</v>
      </c>
      <c r="V29" s="69" t="s">
        <v>118</v>
      </c>
    </row>
    <row r="30" spans="1:22" ht="15" customHeight="1">
      <c r="A30" s="12">
        <v>26</v>
      </c>
      <c r="B30" s="70" t="str">
        <f>LIDER!C34</f>
        <v>Jhamer Luis Maza Ramos</v>
      </c>
      <c r="C30" s="64" t="str">
        <f>IF(B30=0,"",IFERROR(VLOOKUP(B30,'S-ASIG-01'!$B$5:$E$88,2,0),0))</f>
        <v>G05</v>
      </c>
      <c r="D30" s="65">
        <f t="shared" si="2"/>
        <v>3.9620000000000006</v>
      </c>
      <c r="E30" s="66">
        <f t="shared" si="3"/>
        <v>4.0699999999999994</v>
      </c>
      <c r="F30" s="47"/>
      <c r="G30" s="71">
        <f>IF(B30=0,"",IFERROR(VLOOKUP(B30,'S-ASIG-01'!$B$5:$E$88,4,0),0))</f>
        <v>0</v>
      </c>
      <c r="H30" s="72">
        <f>IF(B30=0,"",IFERROR(VLOOKUP(B30,'S-ASIG-02'!$B$5:$E$88,4,0),0))</f>
        <v>3.16</v>
      </c>
      <c r="I30" s="72">
        <f>IF(B30=0,"",IFERROR(VLOOKUP(B30,'S-ASIG-03'!$B$5:$E$88,4,0),0))</f>
        <v>4.55</v>
      </c>
      <c r="J30" s="72">
        <f>IF(B30=0,"",IFERROR(VLOOKUP(B30,'S-ASIG-04'!$B$5:$E$88,4,0),0))</f>
        <v>4.3000000000000007</v>
      </c>
      <c r="K30" s="72">
        <f>IF(B30=0,"",IFERROR(VLOOKUP(B30,'S-ASIG-05'!$B$5:$E$88,4,0),0))</f>
        <v>3.8000000000000003</v>
      </c>
      <c r="L30" s="72">
        <f>IF(B30=0,"",IFERROR(VLOOKUP(B30,'S-ASIG-06'!$B$5:$E$88,4,0),0))</f>
        <v>3.9999999999999996</v>
      </c>
      <c r="M30" s="73">
        <f>IF(B30=0,"",IFERROR(VLOOKUP(B30,'S-ASIG-07'!$B$5:$E$88,4,0),0))</f>
        <v>0</v>
      </c>
      <c r="N30" s="68" t="s">
        <v>117</v>
      </c>
      <c r="O30" s="71">
        <f>IF(B30=0,"",IFERROR(VLOOKUP(B30,'T-ASIG-01'!$B$5:$D$88,3,0),0))</f>
        <v>4.3</v>
      </c>
      <c r="P30" s="72">
        <f>IF(B30=0,"",IFERROR(VLOOKUP(B30,'T-ASIG-02'!$B$5:$D$88,3,0),0))</f>
        <v>0</v>
      </c>
      <c r="Q30" s="72">
        <f>IF(B30=0,"",IFERROR(VLOOKUP(B30,'T-ASIG-03'!$B$5:$D$88,3,0),0))</f>
        <v>4.08</v>
      </c>
      <c r="R30" s="72">
        <f>IF(B30=0,"",IFERROR(VLOOKUP(B30,'T-ASIG-04'!$B$5:$D$88,3,0),0))</f>
        <v>0</v>
      </c>
      <c r="S30" s="72">
        <f>IF(B30=0,"",IFERROR(VLOOKUP(B30,'T-ASIG-05'!$B$5:$D$88,3,0),0))</f>
        <v>0</v>
      </c>
      <c r="T30" s="72">
        <f>IF(B30=0,"",IFERROR(VLOOKUP(B30,'T-ASIG-06'!$B$5:$D$88,3,0),0))</f>
        <v>3.83</v>
      </c>
      <c r="U30" s="73">
        <f>IF(B30=0,"",IFERROR(VLOOKUP(B30,'T-ASIG-07'!$B$5:$D$88,3,0),0))</f>
        <v>0</v>
      </c>
      <c r="V30" s="69" t="s">
        <v>118</v>
      </c>
    </row>
    <row r="31" spans="1:22" ht="15" customHeight="1">
      <c r="A31" s="12">
        <v>27</v>
      </c>
      <c r="B31" s="70" t="str">
        <f>LIDER!C35</f>
        <v>Yureidy Alarez Castellano</v>
      </c>
      <c r="C31" s="64" t="str">
        <f>IF(B31=0,"",IFERROR(VLOOKUP(B31,'S-ASIG-01'!$B$5:$E$88,2,0),0))</f>
        <v>G06</v>
      </c>
      <c r="D31" s="65">
        <f t="shared" si="2"/>
        <v>4.0799999999999992</v>
      </c>
      <c r="E31" s="66">
        <f t="shared" si="3"/>
        <v>3.8433333333333337</v>
      </c>
      <c r="F31" s="47"/>
      <c r="G31" s="71">
        <f>IF(B31=0,"",IFERROR(VLOOKUP(B31,'S-ASIG-01'!$B$5:$E$88,4,0),0))</f>
        <v>0</v>
      </c>
      <c r="H31" s="72">
        <f>IF(B31=0,"",IFERROR(VLOOKUP(B31,'S-ASIG-02'!$B$5:$E$88,4,0),0))</f>
        <v>0</v>
      </c>
      <c r="I31" s="72">
        <f>IF(B31=0,"",IFERROR(VLOOKUP(B31,'S-ASIG-03'!$B$5:$E$88,4,0),0))</f>
        <v>4.3699999999999992</v>
      </c>
      <c r="J31" s="72">
        <f>IF(B31=0,"",IFERROR(VLOOKUP(B31,'S-ASIG-04'!$B$5:$E$88,4,0),0))</f>
        <v>4.0999999999999996</v>
      </c>
      <c r="K31" s="72">
        <f>IF(B31=0,"",IFERROR(VLOOKUP(B31,'S-ASIG-05'!$B$5:$E$88,4,0),0))</f>
        <v>3.8499999999999996</v>
      </c>
      <c r="L31" s="72">
        <f>IF(B31=0,"",IFERROR(VLOOKUP(B31,'S-ASIG-06'!$B$5:$E$88,4,0),0))</f>
        <v>3.9999999999999996</v>
      </c>
      <c r="M31" s="73">
        <f>IF(B31=0,"",IFERROR(VLOOKUP(B31,'S-ASIG-07'!$B$5:$E$88,4,0),0))</f>
        <v>0</v>
      </c>
      <c r="N31" s="68" t="s">
        <v>117</v>
      </c>
      <c r="O31" s="71">
        <f>IF(B31=0,"",IFERROR(VLOOKUP(B31,'T-ASIG-01'!$B$5:$D$88,3,0),0))</f>
        <v>3.6000000000000005</v>
      </c>
      <c r="P31" s="72">
        <f>IF(B31=0,"",IFERROR(VLOOKUP(B31,'T-ASIG-02'!$B$5:$D$88,3,0),0))</f>
        <v>0</v>
      </c>
      <c r="Q31" s="72">
        <f>IF(B31=0,"",IFERROR(VLOOKUP(B31,'T-ASIG-03'!$B$5:$D$88,3,0),0))</f>
        <v>4.0999999999999996</v>
      </c>
      <c r="R31" s="72">
        <f>IF(B31=0,"",IFERROR(VLOOKUP(B31,'T-ASIG-04'!$B$5:$D$88,3,0),0))</f>
        <v>0</v>
      </c>
      <c r="S31" s="72">
        <f>IF(B31=0,"",IFERROR(VLOOKUP(B31,'T-ASIG-05'!$B$5:$D$88,3,0),0))</f>
        <v>0</v>
      </c>
      <c r="T31" s="72">
        <f>IF(B31=0,"",IFERROR(VLOOKUP(B31,'T-ASIG-06'!$B$5:$D$88,3,0),0))</f>
        <v>3.83</v>
      </c>
      <c r="U31" s="73">
        <f>IF(B31=0,"",IFERROR(VLOOKUP(B31,'T-ASIG-07'!$B$5:$D$88,3,0),0))</f>
        <v>0</v>
      </c>
      <c r="V31" s="69" t="s">
        <v>118</v>
      </c>
    </row>
    <row r="32" spans="1:22" ht="15" customHeight="1">
      <c r="A32" s="12">
        <v>28</v>
      </c>
      <c r="B32" s="70" t="str">
        <f>LIDER!C36</f>
        <v>Juan C Baldiris Espitia</v>
      </c>
      <c r="C32" s="64" t="str">
        <f>IF(B32=0,"",IFERROR(VLOOKUP(B32,'S-ASIG-01'!$B$5:$E$88,2,0),0))</f>
        <v>G06</v>
      </c>
      <c r="D32" s="65">
        <f t="shared" si="2"/>
        <v>4.0799999999999992</v>
      </c>
      <c r="E32" s="66">
        <f t="shared" si="3"/>
        <v>3.8433333333333337</v>
      </c>
      <c r="F32" s="47"/>
      <c r="G32" s="71">
        <f>IF(B32=0,"",IFERROR(VLOOKUP(B32,'S-ASIG-01'!$B$5:$E$88,4,0),0))</f>
        <v>0</v>
      </c>
      <c r="H32" s="72">
        <f>IF(B32=0,"",IFERROR(VLOOKUP(B32,'S-ASIG-02'!$B$5:$E$88,4,0),0))</f>
        <v>0</v>
      </c>
      <c r="I32" s="72">
        <f>IF(B32=0,"",IFERROR(VLOOKUP(B32,'S-ASIG-03'!$B$5:$E$88,4,0),0))</f>
        <v>4.3699999999999992</v>
      </c>
      <c r="J32" s="72">
        <f>IF(B32=0,"",IFERROR(VLOOKUP(B32,'S-ASIG-04'!$B$5:$E$88,4,0),0))</f>
        <v>4.0999999999999996</v>
      </c>
      <c r="K32" s="72">
        <f>IF(B32=0,"",IFERROR(VLOOKUP(B32,'S-ASIG-05'!$B$5:$E$88,4,0),0))</f>
        <v>3.8499999999999996</v>
      </c>
      <c r="L32" s="72">
        <f>IF(B32=0,"",IFERROR(VLOOKUP(B32,'S-ASIG-06'!$B$5:$E$88,4,0),0))</f>
        <v>3.9999999999999996</v>
      </c>
      <c r="M32" s="73">
        <f>IF(B32=0,"",IFERROR(VLOOKUP(B32,'S-ASIG-07'!$B$5:$E$88,4,0),0))</f>
        <v>0</v>
      </c>
      <c r="N32" s="68" t="s">
        <v>117</v>
      </c>
      <c r="O32" s="71">
        <f>IF(B32=0,"",IFERROR(VLOOKUP(B32,'T-ASIG-01'!$B$5:$D$88,3,0),0))</f>
        <v>3.6000000000000005</v>
      </c>
      <c r="P32" s="72">
        <f>IF(B32=0,"",IFERROR(VLOOKUP(B32,'T-ASIG-02'!$B$5:$D$88,3,0),0))</f>
        <v>0</v>
      </c>
      <c r="Q32" s="72">
        <f>IF(B32=0,"",IFERROR(VLOOKUP(B32,'T-ASIG-03'!$B$5:$D$88,3,0),0))</f>
        <v>4.0999999999999996</v>
      </c>
      <c r="R32" s="72">
        <f>IF(B32=0,"",IFERROR(VLOOKUP(B32,'T-ASIG-04'!$B$5:$D$88,3,0),0))</f>
        <v>0</v>
      </c>
      <c r="S32" s="72">
        <f>IF(B32=0,"",IFERROR(VLOOKUP(B32,'T-ASIG-05'!$B$5:$D$88,3,0),0))</f>
        <v>0</v>
      </c>
      <c r="T32" s="72">
        <f>IF(B32=0,"",IFERROR(VLOOKUP(B32,'T-ASIG-06'!$B$5:$D$88,3,0),0))</f>
        <v>3.83</v>
      </c>
      <c r="U32" s="73">
        <f>IF(B32=0,"",IFERROR(VLOOKUP(B32,'T-ASIG-07'!$B$5:$D$88,3,0),0))</f>
        <v>0</v>
      </c>
      <c r="V32" s="69" t="s">
        <v>118</v>
      </c>
    </row>
    <row r="33" spans="1:22" ht="15" customHeight="1">
      <c r="A33" s="12">
        <v>29</v>
      </c>
      <c r="B33" s="70" t="str">
        <f>LIDER!C37</f>
        <v>Andres F Torres Arroyo</v>
      </c>
      <c r="C33" s="64" t="str">
        <f>IF(B33=0,"",IFERROR(VLOOKUP(B33,'S-ASIG-01'!$B$5:$E$88,2,0),0))</f>
        <v>G06</v>
      </c>
      <c r="D33" s="65">
        <f t="shared" si="2"/>
        <v>4.0799999999999992</v>
      </c>
      <c r="E33" s="66">
        <f t="shared" si="3"/>
        <v>3.8433333333333337</v>
      </c>
      <c r="F33" s="47"/>
      <c r="G33" s="71">
        <f>IF(B33=0,"",IFERROR(VLOOKUP(B33,'S-ASIG-01'!$B$5:$E$88,4,0),0))</f>
        <v>0</v>
      </c>
      <c r="H33" s="72">
        <f>IF(B33=0,"",IFERROR(VLOOKUP(B33,'S-ASIG-02'!$B$5:$E$88,4,0),0))</f>
        <v>0</v>
      </c>
      <c r="I33" s="72">
        <f>IF(B33=0,"",IFERROR(VLOOKUP(B33,'S-ASIG-03'!$B$5:$E$88,4,0),0))</f>
        <v>4.3699999999999992</v>
      </c>
      <c r="J33" s="72">
        <f>IF(B33=0,"",IFERROR(VLOOKUP(B33,'S-ASIG-04'!$B$5:$E$88,4,0),0))</f>
        <v>4.0999999999999996</v>
      </c>
      <c r="K33" s="72">
        <f>IF(B33=0,"",IFERROR(VLOOKUP(B33,'S-ASIG-05'!$B$5:$E$88,4,0),0))</f>
        <v>3.8499999999999996</v>
      </c>
      <c r="L33" s="72">
        <f>IF(B33=0,"",IFERROR(VLOOKUP(B33,'S-ASIG-06'!$B$5:$E$88,4,0),0))</f>
        <v>3.9999999999999996</v>
      </c>
      <c r="M33" s="73">
        <f>IF(B33=0,"",IFERROR(VLOOKUP(B33,'S-ASIG-07'!$B$5:$E$88,4,0),0))</f>
        <v>0</v>
      </c>
      <c r="N33" s="68" t="s">
        <v>117</v>
      </c>
      <c r="O33" s="71">
        <f>IF(B33=0,"",IFERROR(VLOOKUP(B33,'T-ASIG-01'!$B$5:$D$88,3,0),0))</f>
        <v>3.6000000000000005</v>
      </c>
      <c r="P33" s="72">
        <f>IF(B33=0,"",IFERROR(VLOOKUP(B33,'T-ASIG-02'!$B$5:$D$88,3,0),0))</f>
        <v>0</v>
      </c>
      <c r="Q33" s="72">
        <f>IF(B33=0,"",IFERROR(VLOOKUP(B33,'T-ASIG-03'!$B$5:$D$88,3,0),0))</f>
        <v>4.0999999999999996</v>
      </c>
      <c r="R33" s="72">
        <f>IF(B33=0,"",IFERROR(VLOOKUP(B33,'T-ASIG-04'!$B$5:$D$88,3,0),0))</f>
        <v>0</v>
      </c>
      <c r="S33" s="72">
        <f>IF(B33=0,"",IFERROR(VLOOKUP(B33,'T-ASIG-05'!$B$5:$D$88,3,0),0))</f>
        <v>0</v>
      </c>
      <c r="T33" s="72">
        <f>IF(B33=0,"",IFERROR(VLOOKUP(B33,'T-ASIG-06'!$B$5:$D$88,3,0),0))</f>
        <v>3.83</v>
      </c>
      <c r="U33" s="73">
        <f>IF(B33=0,"",IFERROR(VLOOKUP(B33,'T-ASIG-07'!$B$5:$D$88,3,0),0))</f>
        <v>0</v>
      </c>
      <c r="V33" s="69" t="s">
        <v>118</v>
      </c>
    </row>
    <row r="34" spans="1:22" ht="15" customHeight="1">
      <c r="A34" s="12">
        <v>30</v>
      </c>
      <c r="B34" s="70" t="str">
        <f>LIDER!C38</f>
        <v>Sherlyn Villegas Maza</v>
      </c>
      <c r="C34" s="64" t="str">
        <f>IF(B34=0,"",IFERROR(VLOOKUP(B34,'S-ASIG-01'!$B$5:$E$88,2,0),0))</f>
        <v>G06</v>
      </c>
      <c r="D34" s="65">
        <f t="shared" si="2"/>
        <v>4.0799999999999992</v>
      </c>
      <c r="E34" s="66">
        <f t="shared" si="3"/>
        <v>3.8433333333333337</v>
      </c>
      <c r="F34" s="47"/>
      <c r="G34" s="71">
        <f>IF(B34=0,"",IFERROR(VLOOKUP(B34,'S-ASIG-01'!$B$5:$E$88,4,0),0))</f>
        <v>0</v>
      </c>
      <c r="H34" s="72">
        <f>IF(B34=0,"",IFERROR(VLOOKUP(B34,'S-ASIG-02'!$B$5:$E$88,4,0),0))</f>
        <v>0</v>
      </c>
      <c r="I34" s="72">
        <f>IF(B34=0,"",IFERROR(VLOOKUP(B34,'S-ASIG-03'!$B$5:$E$88,4,0),0))</f>
        <v>4.3699999999999992</v>
      </c>
      <c r="J34" s="72">
        <f>IF(B34=0,"",IFERROR(VLOOKUP(B34,'S-ASIG-04'!$B$5:$E$88,4,0),0))</f>
        <v>4.0999999999999996</v>
      </c>
      <c r="K34" s="72">
        <f>IF(B34=0,"",IFERROR(VLOOKUP(B34,'S-ASIG-05'!$B$5:$E$88,4,0),0))</f>
        <v>3.8499999999999996</v>
      </c>
      <c r="L34" s="72">
        <f>IF(B34=0,"",IFERROR(VLOOKUP(B34,'S-ASIG-06'!$B$5:$E$88,4,0),0))</f>
        <v>3.9999999999999996</v>
      </c>
      <c r="M34" s="73">
        <f>IF(B34=0,"",IFERROR(VLOOKUP(B34,'S-ASIG-07'!$B$5:$E$88,4,0),0))</f>
        <v>0</v>
      </c>
      <c r="N34" s="68" t="s">
        <v>117</v>
      </c>
      <c r="O34" s="71">
        <f>IF(B34=0,"",IFERROR(VLOOKUP(B34,'T-ASIG-01'!$B$5:$D$88,3,0),0))</f>
        <v>3.6000000000000005</v>
      </c>
      <c r="P34" s="72">
        <f>IF(B34=0,"",IFERROR(VLOOKUP(B34,'T-ASIG-02'!$B$5:$D$88,3,0),0))</f>
        <v>0</v>
      </c>
      <c r="Q34" s="72">
        <f>IF(B34=0,"",IFERROR(VLOOKUP(B34,'T-ASIG-03'!$B$5:$D$88,3,0),0))</f>
        <v>4.0999999999999996</v>
      </c>
      <c r="R34" s="72">
        <f>IF(B34=0,"",IFERROR(VLOOKUP(B34,'T-ASIG-04'!$B$5:$D$88,3,0),0))</f>
        <v>0</v>
      </c>
      <c r="S34" s="72">
        <f>IF(B34=0,"",IFERROR(VLOOKUP(B34,'T-ASIG-05'!$B$5:$D$88,3,0),0))</f>
        <v>0</v>
      </c>
      <c r="T34" s="72">
        <f>IF(B34=0,"",IFERROR(VLOOKUP(B34,'T-ASIG-06'!$B$5:$D$88,3,0),0))</f>
        <v>3.83</v>
      </c>
      <c r="U34" s="73">
        <f>IF(B34=0,"",IFERROR(VLOOKUP(B34,'T-ASIG-07'!$B$5:$D$88,3,0),0))</f>
        <v>0</v>
      </c>
      <c r="V34" s="69" t="s">
        <v>118</v>
      </c>
    </row>
    <row r="35" spans="1:22" ht="15" customHeight="1">
      <c r="A35" s="12">
        <v>31</v>
      </c>
      <c r="B35" s="70" t="str">
        <f>LIDER!C39</f>
        <v>Isaac Zapata Zapata</v>
      </c>
      <c r="C35" s="64" t="str">
        <f>IF(B35=0,"",IFERROR(VLOOKUP(B35,'S-ASIG-01'!$B$5:$E$88,2,0),0))</f>
        <v>G06</v>
      </c>
      <c r="D35" s="65">
        <f t="shared" si="2"/>
        <v>4.0799999999999992</v>
      </c>
      <c r="E35" s="66">
        <f t="shared" si="3"/>
        <v>3.8433333333333337</v>
      </c>
      <c r="F35" s="47"/>
      <c r="G35" s="71">
        <f>IF(B35=0,"",IFERROR(VLOOKUP(B35,'S-ASIG-01'!$B$5:$E$88,4,0),0))</f>
        <v>0</v>
      </c>
      <c r="H35" s="72">
        <f>IF(B35=0,"",IFERROR(VLOOKUP(B35,'S-ASIG-02'!$B$5:$E$88,4,0),0))</f>
        <v>0</v>
      </c>
      <c r="I35" s="72">
        <f>IF(B35=0,"",IFERROR(VLOOKUP(B35,'S-ASIG-03'!$B$5:$E$88,4,0),0))</f>
        <v>4.3699999999999992</v>
      </c>
      <c r="J35" s="72">
        <f>IF(B35=0,"",IFERROR(VLOOKUP(B35,'S-ASIG-04'!$B$5:$E$88,4,0),0))</f>
        <v>4.0999999999999996</v>
      </c>
      <c r="K35" s="72">
        <f>IF(B35=0,"",IFERROR(VLOOKUP(B35,'S-ASIG-05'!$B$5:$E$88,4,0),0))</f>
        <v>3.8499999999999996</v>
      </c>
      <c r="L35" s="72">
        <f>IF(B35=0,"",IFERROR(VLOOKUP(B35,'S-ASIG-06'!$B$5:$E$88,4,0),0))</f>
        <v>3.9999999999999996</v>
      </c>
      <c r="M35" s="73">
        <f>IF(B35=0,"",IFERROR(VLOOKUP(B35,'S-ASIG-07'!$B$5:$E$88,4,0),0))</f>
        <v>0</v>
      </c>
      <c r="N35" s="68" t="s">
        <v>117</v>
      </c>
      <c r="O35" s="71">
        <f>IF(B35=0,"",IFERROR(VLOOKUP(B35,'T-ASIG-01'!$B$5:$D$88,3,0),0))</f>
        <v>3.6000000000000005</v>
      </c>
      <c r="P35" s="72">
        <f>IF(B35=0,"",IFERROR(VLOOKUP(B35,'T-ASIG-02'!$B$5:$D$88,3,0),0))</f>
        <v>0</v>
      </c>
      <c r="Q35" s="72">
        <f>IF(B35=0,"",IFERROR(VLOOKUP(B35,'T-ASIG-03'!$B$5:$D$88,3,0),0))</f>
        <v>4.0999999999999996</v>
      </c>
      <c r="R35" s="72">
        <f>IF(B35=0,"",IFERROR(VLOOKUP(B35,'T-ASIG-04'!$B$5:$D$88,3,0),0))</f>
        <v>0</v>
      </c>
      <c r="S35" s="72">
        <f>IF(B35=0,"",IFERROR(VLOOKUP(B35,'T-ASIG-05'!$B$5:$D$88,3,0),0))</f>
        <v>0</v>
      </c>
      <c r="T35" s="72">
        <f>IF(B35=0,"",IFERROR(VLOOKUP(B35,'T-ASIG-06'!$B$5:$D$88,3,0),0))</f>
        <v>3.83</v>
      </c>
      <c r="U35" s="73">
        <f>IF(B35=0,"",IFERROR(VLOOKUP(B35,'T-ASIG-07'!$B$5:$D$88,3,0),0))</f>
        <v>0</v>
      </c>
      <c r="V35" s="69" t="s">
        <v>118</v>
      </c>
    </row>
    <row r="36" spans="1:22" ht="15" customHeight="1">
      <c r="A36" s="12">
        <v>32</v>
      </c>
      <c r="B36" s="70">
        <f>LIDER!C40</f>
        <v>0</v>
      </c>
      <c r="C36" s="64" t="str">
        <f>IF(B36=0,"",IFERROR(VLOOKUP(B36,'S-ASIG-01'!$B$5:$E$88,2,0),0))</f>
        <v/>
      </c>
      <c r="D36" s="65" t="str">
        <f t="shared" si="2"/>
        <v/>
      </c>
      <c r="E36" s="66" t="str">
        <f t="shared" si="3"/>
        <v/>
      </c>
      <c r="F36" s="47"/>
      <c r="G36" s="71" t="str">
        <f>IF(B36=0,"",IFERROR(VLOOKUP(B36,'S-ASIG-01'!$B$5:$E$88,4,0),0))</f>
        <v/>
      </c>
      <c r="H36" s="72" t="str">
        <f>IF(B36=0,"",IFERROR(VLOOKUP(B36,'S-ASIG-02'!$B$5:$E$88,4,0),0))</f>
        <v/>
      </c>
      <c r="I36" s="72" t="str">
        <f>IF(B36=0,"",IFERROR(VLOOKUP(B36,'S-ASIG-03'!$B$5:$E$88,4,0),0))</f>
        <v/>
      </c>
      <c r="J36" s="72" t="str">
        <f>IF(B36=0,"",IFERROR(VLOOKUP(B36,'S-ASIG-04'!$B$5:$E$88,4,0),0))</f>
        <v/>
      </c>
      <c r="K36" s="72" t="str">
        <f>IF(B36=0,"",IFERROR(VLOOKUP(B36,'S-ASIG-05'!$B$5:$E$88,4,0),0))</f>
        <v/>
      </c>
      <c r="L36" s="72" t="str">
        <f>IF(B36=0,"",IFERROR(VLOOKUP(B36,'S-ASIG-06'!$B$5:$E$88,4,0),0))</f>
        <v/>
      </c>
      <c r="M36" s="73" t="str">
        <f>IF(B36=0,"",IFERROR(VLOOKUP(B36,'S-ASIG-07'!$B$5:$E$88,4,0),0))</f>
        <v/>
      </c>
      <c r="N36" s="68" t="s">
        <v>117</v>
      </c>
      <c r="O36" s="71" t="str">
        <f>IF(B36=0,"",IFERROR(VLOOKUP(B36,'T-ASIG-01'!$B$5:$D$88,3,0),0))</f>
        <v/>
      </c>
      <c r="P36" s="72" t="str">
        <f>IF(B36=0,"",IFERROR(VLOOKUP(B36,'T-ASIG-02'!$B$5:$D$88,3,0),0))</f>
        <v/>
      </c>
      <c r="Q36" s="72" t="str">
        <f>IF(B36=0,"",IFERROR(VLOOKUP(B36,'T-ASIG-03'!$B$5:$D$88,3,0),0))</f>
        <v/>
      </c>
      <c r="R36" s="72" t="str">
        <f>IF(B36=0,"",IFERROR(VLOOKUP(B36,'T-ASIG-04'!$B$5:$D$88,3,0),0))</f>
        <v/>
      </c>
      <c r="S36" s="72" t="str">
        <f>IF(B36=0,"",IFERROR(VLOOKUP(B36,'T-ASIG-05'!$B$5:$D$88,3,0),0))</f>
        <v/>
      </c>
      <c r="T36" s="72" t="str">
        <f>IF(B36=0,"",IFERROR(VLOOKUP(B36,'T-ASIG-06'!$B$5:$D$88,3,0),0))</f>
        <v/>
      </c>
      <c r="U36" s="73" t="str">
        <f>IF(B36=0,"",IFERROR(VLOOKUP(B36,'T-ASIG-07'!$B$5:$D$88,3,0),0))</f>
        <v/>
      </c>
      <c r="V36" s="69" t="s">
        <v>118</v>
      </c>
    </row>
    <row r="37" spans="1:22" ht="15" customHeight="1">
      <c r="A37" s="12">
        <v>33</v>
      </c>
      <c r="B37" s="70">
        <f>LIDER!C41</f>
        <v>0</v>
      </c>
      <c r="C37" s="64" t="str">
        <f>IF(B37=0,"",IFERROR(VLOOKUP(B37,'S-ASIG-01'!$B$5:$E$88,2,0),0))</f>
        <v/>
      </c>
      <c r="D37" s="65" t="str">
        <f t="shared" si="2"/>
        <v/>
      </c>
      <c r="E37" s="66" t="str">
        <f t="shared" si="3"/>
        <v/>
      </c>
      <c r="F37" s="47"/>
      <c r="G37" s="71" t="str">
        <f>IF(B37=0,"",IFERROR(VLOOKUP(B37,'S-ASIG-01'!$B$5:$E$88,4,0),0))</f>
        <v/>
      </c>
      <c r="H37" s="72" t="str">
        <f>IF(B37=0,"",IFERROR(VLOOKUP(B37,'S-ASIG-02'!$B$5:$E$88,4,0),0))</f>
        <v/>
      </c>
      <c r="I37" s="72" t="str">
        <f>IF(B37=0,"",IFERROR(VLOOKUP(B37,'S-ASIG-03'!$B$5:$E$88,4,0),0))</f>
        <v/>
      </c>
      <c r="J37" s="72" t="str">
        <f>IF(B37=0,"",IFERROR(VLOOKUP(B37,'S-ASIG-04'!$B$5:$E$88,4,0),0))</f>
        <v/>
      </c>
      <c r="K37" s="72" t="str">
        <f>IF(B37=0,"",IFERROR(VLOOKUP(B37,'S-ASIG-05'!$B$5:$E$88,4,0),0))</f>
        <v/>
      </c>
      <c r="L37" s="72" t="str">
        <f>IF(B37=0,"",IFERROR(VLOOKUP(B37,'S-ASIG-06'!$B$5:$E$88,4,0),0))</f>
        <v/>
      </c>
      <c r="M37" s="73" t="str">
        <f>IF(B37=0,"",IFERROR(VLOOKUP(B37,'S-ASIG-07'!$B$5:$E$88,4,0),0))</f>
        <v/>
      </c>
      <c r="N37" s="68" t="s">
        <v>117</v>
      </c>
      <c r="O37" s="71" t="str">
        <f>IF(B37=0,"",IFERROR(VLOOKUP(B37,'T-ASIG-01'!$B$5:$D$88,3,0),0))</f>
        <v/>
      </c>
      <c r="P37" s="72" t="str">
        <f>IF(B37=0,"",IFERROR(VLOOKUP(B37,'T-ASIG-02'!$B$5:$D$88,3,0),0))</f>
        <v/>
      </c>
      <c r="Q37" s="72" t="str">
        <f>IF(B37=0,"",IFERROR(VLOOKUP(B37,'T-ASIG-03'!$B$5:$D$88,3,0),0))</f>
        <v/>
      </c>
      <c r="R37" s="72" t="str">
        <f>IF(B37=0,"",IFERROR(VLOOKUP(B37,'T-ASIG-04'!$B$5:$D$88,3,0),0))</f>
        <v/>
      </c>
      <c r="S37" s="72" t="str">
        <f>IF(B37=0,"",IFERROR(VLOOKUP(B37,'T-ASIG-05'!$B$5:$D$88,3,0),0))</f>
        <v/>
      </c>
      <c r="T37" s="72" t="str">
        <f>IF(B37=0,"",IFERROR(VLOOKUP(B37,'T-ASIG-06'!$B$5:$D$88,3,0),0))</f>
        <v/>
      </c>
      <c r="U37" s="73" t="str">
        <f>IF(B37=0,"",IFERROR(VLOOKUP(B37,'T-ASIG-07'!$B$5:$D$88,3,0),0))</f>
        <v/>
      </c>
      <c r="V37" s="69" t="s">
        <v>118</v>
      </c>
    </row>
    <row r="38" spans="1:22" ht="15" customHeight="1">
      <c r="A38" s="12">
        <v>34</v>
      </c>
      <c r="B38" s="70">
        <f>LIDER!C42</f>
        <v>0</v>
      </c>
      <c r="C38" s="64" t="str">
        <f>IF(B38=0,"",IFERROR(VLOOKUP(B38,'S-ASIG-01'!$B$5:$E$88,2,0),0))</f>
        <v/>
      </c>
      <c r="D38" s="65" t="str">
        <f t="shared" si="2"/>
        <v/>
      </c>
      <c r="E38" s="66" t="str">
        <f t="shared" si="3"/>
        <v/>
      </c>
      <c r="F38" s="47"/>
      <c r="G38" s="71" t="str">
        <f>IF(B38=0,"",IFERROR(VLOOKUP(B38,'S-ASIG-01'!$B$5:$E$88,4,0),0))</f>
        <v/>
      </c>
      <c r="H38" s="72" t="str">
        <f>IF(B38=0,"",IFERROR(VLOOKUP(B38,'S-ASIG-02'!$B$5:$E$88,4,0),0))</f>
        <v/>
      </c>
      <c r="I38" s="72" t="str">
        <f>IF(B38=0,"",IFERROR(VLOOKUP(B38,'S-ASIG-03'!$B$5:$E$88,4,0),0))</f>
        <v/>
      </c>
      <c r="J38" s="72" t="str">
        <f>IF(B38=0,"",IFERROR(VLOOKUP(B38,'S-ASIG-04'!$B$5:$E$88,4,0),0))</f>
        <v/>
      </c>
      <c r="K38" s="72" t="str">
        <f>IF(B38=0,"",IFERROR(VLOOKUP(B38,'S-ASIG-05'!$B$5:$E$88,4,0),0))</f>
        <v/>
      </c>
      <c r="L38" s="72" t="str">
        <f>IF(B38=0,"",IFERROR(VLOOKUP(B38,'S-ASIG-06'!$B$5:$E$88,4,0),0))</f>
        <v/>
      </c>
      <c r="M38" s="73" t="str">
        <f>IF(B38=0,"",IFERROR(VLOOKUP(B38,'S-ASIG-07'!$B$5:$E$88,4,0),0))</f>
        <v/>
      </c>
      <c r="N38" s="68" t="s">
        <v>117</v>
      </c>
      <c r="O38" s="71" t="str">
        <f>IF(B38=0,"",IFERROR(VLOOKUP(B38,'T-ASIG-01'!$B$5:$D$88,3,0),0))</f>
        <v/>
      </c>
      <c r="P38" s="72" t="str">
        <f>IF(B38=0,"",IFERROR(VLOOKUP(B38,'T-ASIG-02'!$B$5:$D$88,3,0),0))</f>
        <v/>
      </c>
      <c r="Q38" s="72" t="str">
        <f>IF(B38=0,"",IFERROR(VLOOKUP(B38,'T-ASIG-03'!$B$5:$D$88,3,0),0))</f>
        <v/>
      </c>
      <c r="R38" s="72" t="str">
        <f>IF(B38=0,"",IFERROR(VLOOKUP(B38,'T-ASIG-04'!$B$5:$D$88,3,0),0))</f>
        <v/>
      </c>
      <c r="S38" s="72" t="str">
        <f>IF(B38=0,"",IFERROR(VLOOKUP(B38,'T-ASIG-05'!$B$5:$D$88,3,0),0))</f>
        <v/>
      </c>
      <c r="T38" s="72" t="str">
        <f>IF(B38=0,"",IFERROR(VLOOKUP(B38,'T-ASIG-06'!$B$5:$D$88,3,0),0))</f>
        <v/>
      </c>
      <c r="U38" s="73" t="str">
        <f>IF(B38=0,"",IFERROR(VLOOKUP(B38,'T-ASIG-07'!$B$5:$D$88,3,0),0))</f>
        <v/>
      </c>
      <c r="V38" s="69" t="s">
        <v>118</v>
      </c>
    </row>
    <row r="39" spans="1:22" ht="15" customHeight="1">
      <c r="A39" s="12">
        <v>35</v>
      </c>
      <c r="B39" s="70">
        <f>LIDER!C43</f>
        <v>0</v>
      </c>
      <c r="C39" s="64" t="str">
        <f>IF(B39=0,"",IFERROR(VLOOKUP(B39,'S-ASIG-01'!$B$5:$E$88,2,0),0))</f>
        <v/>
      </c>
      <c r="D39" s="65" t="str">
        <f t="shared" si="2"/>
        <v/>
      </c>
      <c r="E39" s="66" t="str">
        <f t="shared" si="3"/>
        <v/>
      </c>
      <c r="F39" s="47"/>
      <c r="G39" s="71" t="str">
        <f>IF(B39=0,"",IFERROR(VLOOKUP(B39,'S-ASIG-01'!$B$5:$E$88,4,0),0))</f>
        <v/>
      </c>
      <c r="H39" s="72" t="str">
        <f>IF(B39=0,"",IFERROR(VLOOKUP(B39,'S-ASIG-02'!$B$5:$E$88,4,0),0))</f>
        <v/>
      </c>
      <c r="I39" s="72" t="str">
        <f>IF(B39=0,"",IFERROR(VLOOKUP(B39,'S-ASIG-03'!$B$5:$E$88,4,0),0))</f>
        <v/>
      </c>
      <c r="J39" s="72" t="str">
        <f>IF(B39=0,"",IFERROR(VLOOKUP(B39,'S-ASIG-04'!$B$5:$E$88,4,0),0))</f>
        <v/>
      </c>
      <c r="K39" s="72" t="str">
        <f>IF(B39=0,"",IFERROR(VLOOKUP(B39,'S-ASIG-05'!$B$5:$E$88,4,0),0))</f>
        <v/>
      </c>
      <c r="L39" s="72" t="str">
        <f>IF(B39=0,"",IFERROR(VLOOKUP(B39,'S-ASIG-06'!$B$5:$E$88,4,0),0))</f>
        <v/>
      </c>
      <c r="M39" s="73" t="str">
        <f>IF(B39=0,"",IFERROR(VLOOKUP(B39,'S-ASIG-07'!$B$5:$E$88,4,0),0))</f>
        <v/>
      </c>
      <c r="N39" s="68" t="s">
        <v>117</v>
      </c>
      <c r="O39" s="71" t="str">
        <f>IF(B39=0,"",IFERROR(VLOOKUP(B39,'T-ASIG-01'!$B$5:$D$88,3,0),0))</f>
        <v/>
      </c>
      <c r="P39" s="72" t="str">
        <f>IF(B39=0,"",IFERROR(VLOOKUP(B39,'T-ASIG-02'!$B$5:$D$88,3,0),0))</f>
        <v/>
      </c>
      <c r="Q39" s="72" t="str">
        <f>IF(B39=0,"",IFERROR(VLOOKUP(B39,'T-ASIG-03'!$B$5:$D$88,3,0),0))</f>
        <v/>
      </c>
      <c r="R39" s="72" t="str">
        <f>IF(B39=0,"",IFERROR(VLOOKUP(B39,'T-ASIG-04'!$B$5:$D$88,3,0),0))</f>
        <v/>
      </c>
      <c r="S39" s="72" t="str">
        <f>IF(B39=0,"",IFERROR(VLOOKUP(B39,'T-ASIG-05'!$B$5:$D$88,3,0),0))</f>
        <v/>
      </c>
      <c r="T39" s="72" t="str">
        <f>IF(B39=0,"",IFERROR(VLOOKUP(B39,'T-ASIG-06'!$B$5:$D$88,3,0),0))</f>
        <v/>
      </c>
      <c r="U39" s="73" t="str">
        <f>IF(B39=0,"",IFERROR(VLOOKUP(B39,'T-ASIG-07'!$B$5:$D$88,3,0),0))</f>
        <v/>
      </c>
      <c r="V39" s="69" t="s">
        <v>118</v>
      </c>
    </row>
    <row r="40" spans="1:22" ht="15" customHeight="1">
      <c r="A40" s="12">
        <v>36</v>
      </c>
      <c r="B40" s="70">
        <f>LIDER!C44</f>
        <v>0</v>
      </c>
      <c r="C40" s="64" t="str">
        <f>IF(B40=0,"",IFERROR(VLOOKUP(B40,'S-ASIG-01'!$B$5:$E$88,2,0),0))</f>
        <v/>
      </c>
      <c r="D40" s="65" t="str">
        <f t="shared" si="2"/>
        <v/>
      </c>
      <c r="E40" s="66" t="str">
        <f t="shared" si="3"/>
        <v/>
      </c>
      <c r="F40" s="47"/>
      <c r="G40" s="71" t="str">
        <f>IF(B40=0,"",IFERROR(VLOOKUP(B40,'S-ASIG-01'!$B$5:$E$88,4,0),0))</f>
        <v/>
      </c>
      <c r="H40" s="72" t="str">
        <f>IF(B40=0,"",IFERROR(VLOOKUP(B40,'S-ASIG-02'!$B$5:$E$88,4,0),0))</f>
        <v/>
      </c>
      <c r="I40" s="72" t="str">
        <f>IF(B40=0,"",IFERROR(VLOOKUP(B40,'S-ASIG-03'!$B$5:$E$88,4,0),0))</f>
        <v/>
      </c>
      <c r="J40" s="72" t="str">
        <f>IF(B40=0,"",IFERROR(VLOOKUP(B40,'S-ASIG-04'!$B$5:$E$88,4,0),0))</f>
        <v/>
      </c>
      <c r="K40" s="72" t="str">
        <f>IF(B40=0,"",IFERROR(VLOOKUP(B40,'S-ASIG-05'!$B$5:$E$88,4,0),0))</f>
        <v/>
      </c>
      <c r="L40" s="72" t="str">
        <f>IF(B40=0,"",IFERROR(VLOOKUP(B40,'S-ASIG-06'!$B$5:$E$88,4,0),0))</f>
        <v/>
      </c>
      <c r="M40" s="73" t="str">
        <f>IF(B40=0,"",IFERROR(VLOOKUP(B40,'S-ASIG-07'!$B$5:$E$88,4,0),0))</f>
        <v/>
      </c>
      <c r="N40" s="68" t="s">
        <v>117</v>
      </c>
      <c r="O40" s="71" t="str">
        <f>IF(B40=0,"",IFERROR(VLOOKUP(B40,'T-ASIG-01'!$B$5:$D$88,3,0),0))</f>
        <v/>
      </c>
      <c r="P40" s="72" t="str">
        <f>IF(B40=0,"",IFERROR(VLOOKUP(B40,'T-ASIG-02'!$B$5:$D$88,3,0),0))</f>
        <v/>
      </c>
      <c r="Q40" s="72" t="str">
        <f>IF(B40=0,"",IFERROR(VLOOKUP(B40,'T-ASIG-03'!$B$5:$D$88,3,0),0))</f>
        <v/>
      </c>
      <c r="R40" s="72" t="str">
        <f>IF(B40=0,"",IFERROR(VLOOKUP(B40,'T-ASIG-04'!$B$5:$D$88,3,0),0))</f>
        <v/>
      </c>
      <c r="S40" s="72" t="str">
        <f>IF(B40=0,"",IFERROR(VLOOKUP(B40,'T-ASIG-05'!$B$5:$D$88,3,0),0))</f>
        <v/>
      </c>
      <c r="T40" s="72" t="str">
        <f>IF(B40=0,"",IFERROR(VLOOKUP(B40,'T-ASIG-06'!$B$5:$D$88,3,0),0))</f>
        <v/>
      </c>
      <c r="U40" s="73" t="str">
        <f>IF(B40=0,"",IFERROR(VLOOKUP(B40,'T-ASIG-07'!$B$5:$D$88,3,0),0))</f>
        <v/>
      </c>
      <c r="V40" s="69" t="s">
        <v>118</v>
      </c>
    </row>
    <row r="41" spans="1:22" ht="15" customHeight="1">
      <c r="A41" s="12">
        <v>37</v>
      </c>
      <c r="B41" s="70">
        <f>LIDER!C45</f>
        <v>0</v>
      </c>
      <c r="C41" s="64" t="str">
        <f>IF(B41=0,"",IFERROR(VLOOKUP(B41,'S-ASIG-01'!$B$5:$E$88,2,0),0))</f>
        <v/>
      </c>
      <c r="D41" s="65" t="str">
        <f t="shared" si="2"/>
        <v/>
      </c>
      <c r="E41" s="66" t="str">
        <f t="shared" si="3"/>
        <v/>
      </c>
      <c r="F41" s="47"/>
      <c r="G41" s="71" t="str">
        <f>IF(B41=0,"",IFERROR(VLOOKUP(B41,'S-ASIG-01'!$B$5:$E$88,4,0),0))</f>
        <v/>
      </c>
      <c r="H41" s="72" t="str">
        <f>IF(B41=0,"",IFERROR(VLOOKUP(B41,'S-ASIG-02'!$B$5:$E$88,4,0),0))</f>
        <v/>
      </c>
      <c r="I41" s="72" t="str">
        <f>IF(B41=0,"",IFERROR(VLOOKUP(B41,'S-ASIG-03'!$B$5:$E$88,4,0),0))</f>
        <v/>
      </c>
      <c r="J41" s="72" t="str">
        <f>IF(B41=0,"",IFERROR(VLOOKUP(B41,'S-ASIG-04'!$B$5:$E$88,4,0),0))</f>
        <v/>
      </c>
      <c r="K41" s="72" t="str">
        <f>IF(B41=0,"",IFERROR(VLOOKUP(B41,'S-ASIG-05'!$B$5:$E$88,4,0),0))</f>
        <v/>
      </c>
      <c r="L41" s="72" t="str">
        <f>IF(B41=0,"",IFERROR(VLOOKUP(B41,'S-ASIG-06'!$B$5:$E$88,4,0),0))</f>
        <v/>
      </c>
      <c r="M41" s="73" t="str">
        <f>IF(B41=0,"",IFERROR(VLOOKUP(B41,'S-ASIG-07'!$B$5:$E$88,4,0),0))</f>
        <v/>
      </c>
      <c r="N41" s="68" t="s">
        <v>117</v>
      </c>
      <c r="O41" s="71" t="str">
        <f>IF(B41=0,"",IFERROR(VLOOKUP(B41,'T-ASIG-01'!$B$5:$D$88,3,0),0))</f>
        <v/>
      </c>
      <c r="P41" s="72" t="str">
        <f>IF(B41=0,"",IFERROR(VLOOKUP(B41,'T-ASIG-02'!$B$5:$D$88,3,0),0))</f>
        <v/>
      </c>
      <c r="Q41" s="72" t="str">
        <f>IF(B41=0,"",IFERROR(VLOOKUP(B41,'T-ASIG-03'!$B$5:$D$88,3,0),0))</f>
        <v/>
      </c>
      <c r="R41" s="72" t="str">
        <f>IF(B41=0,"",IFERROR(VLOOKUP(B41,'T-ASIG-04'!$B$5:$D$88,3,0),0))</f>
        <v/>
      </c>
      <c r="S41" s="72" t="str">
        <f>IF(B41=0,"",IFERROR(VLOOKUP(B41,'T-ASIG-05'!$B$5:$D$88,3,0),0))</f>
        <v/>
      </c>
      <c r="T41" s="72" t="str">
        <f>IF(B41=0,"",IFERROR(VLOOKUP(B41,'T-ASIG-06'!$B$5:$D$88,3,0),0))</f>
        <v/>
      </c>
      <c r="U41" s="73" t="str">
        <f>IF(B41=0,"",IFERROR(VLOOKUP(B41,'T-ASIG-07'!$B$5:$D$88,3,0),0))</f>
        <v/>
      </c>
      <c r="V41" s="69" t="s">
        <v>118</v>
      </c>
    </row>
    <row r="42" spans="1:22" ht="15" customHeight="1">
      <c r="A42" s="12">
        <v>38</v>
      </c>
      <c r="B42" s="70">
        <f>LIDER!C46</f>
        <v>0</v>
      </c>
      <c r="C42" s="64" t="str">
        <f>IF(B42=0,"",IFERROR(VLOOKUP(B42,'S-ASIG-01'!$B$5:$E$88,2,0),0))</f>
        <v/>
      </c>
      <c r="D42" s="65" t="str">
        <f t="shared" si="2"/>
        <v/>
      </c>
      <c r="E42" s="66" t="str">
        <f t="shared" si="3"/>
        <v/>
      </c>
      <c r="F42" s="47"/>
      <c r="G42" s="71" t="str">
        <f>IF(B42=0,"",IFERROR(VLOOKUP(B42,'S-ASIG-01'!$B$5:$E$88,4,0),0))</f>
        <v/>
      </c>
      <c r="H42" s="72" t="str">
        <f>IF(B42=0,"",IFERROR(VLOOKUP(B42,'S-ASIG-02'!$B$5:$E$88,4,0),0))</f>
        <v/>
      </c>
      <c r="I42" s="72" t="str">
        <f>IF(B42=0,"",IFERROR(VLOOKUP(B42,'S-ASIG-03'!$B$5:$E$88,4,0),0))</f>
        <v/>
      </c>
      <c r="J42" s="72" t="str">
        <f>IF(B42=0,"",IFERROR(VLOOKUP(B42,'S-ASIG-04'!$B$5:$E$88,4,0),0))</f>
        <v/>
      </c>
      <c r="K42" s="72" t="str">
        <f>IF(B42=0,"",IFERROR(VLOOKUP(B42,'S-ASIG-05'!$B$5:$E$88,4,0),0))</f>
        <v/>
      </c>
      <c r="L42" s="72" t="str">
        <f>IF(B42=0,"",IFERROR(VLOOKUP(B42,'S-ASIG-06'!$B$5:$E$88,4,0),0))</f>
        <v/>
      </c>
      <c r="M42" s="73" t="str">
        <f>IF(B42=0,"",IFERROR(VLOOKUP(B42,'S-ASIG-07'!$B$5:$E$88,4,0),0))</f>
        <v/>
      </c>
      <c r="N42" s="68" t="s">
        <v>117</v>
      </c>
      <c r="O42" s="71" t="str">
        <f>IF(B42=0,"",IFERROR(VLOOKUP(B42,'T-ASIG-01'!$B$5:$D$88,3,0),0))</f>
        <v/>
      </c>
      <c r="P42" s="72" t="str">
        <f>IF(B42=0,"",IFERROR(VLOOKUP(B42,'T-ASIG-02'!$B$5:$D$88,3,0),0))</f>
        <v/>
      </c>
      <c r="Q42" s="72" t="str">
        <f>IF(B42=0,"",IFERROR(VLOOKUP(B42,'T-ASIG-03'!$B$5:$D$88,3,0),0))</f>
        <v/>
      </c>
      <c r="R42" s="72" t="str">
        <f>IF(B42=0,"",IFERROR(VLOOKUP(B42,'T-ASIG-04'!$B$5:$D$88,3,0),0))</f>
        <v/>
      </c>
      <c r="S42" s="72" t="str">
        <f>IF(B42=0,"",IFERROR(VLOOKUP(B42,'T-ASIG-05'!$B$5:$D$88,3,0),0))</f>
        <v/>
      </c>
      <c r="T42" s="72" t="str">
        <f>IF(B42=0,"",IFERROR(VLOOKUP(B42,'T-ASIG-06'!$B$5:$D$88,3,0),0))</f>
        <v/>
      </c>
      <c r="U42" s="73" t="str">
        <f>IF(B42=0,"",IFERROR(VLOOKUP(B42,'T-ASIG-07'!$B$5:$D$88,3,0),0))</f>
        <v/>
      </c>
      <c r="V42" s="69" t="s">
        <v>118</v>
      </c>
    </row>
    <row r="43" spans="1:22" ht="15" customHeight="1">
      <c r="A43" s="12">
        <v>39</v>
      </c>
      <c r="B43" s="70">
        <f>LIDER!C47</f>
        <v>0</v>
      </c>
      <c r="C43" s="64" t="str">
        <f>IF(B43=0,"",IFERROR(VLOOKUP(B43,'S-ASIG-01'!$B$5:$E$88,2,0),0))</f>
        <v/>
      </c>
      <c r="D43" s="65" t="str">
        <f t="shared" si="2"/>
        <v/>
      </c>
      <c r="E43" s="66" t="str">
        <f t="shared" si="3"/>
        <v/>
      </c>
      <c r="F43" s="47"/>
      <c r="G43" s="71" t="str">
        <f>IF(B43=0,"",IFERROR(VLOOKUP(B43,'S-ASIG-01'!$B$5:$E$88,4,0),0))</f>
        <v/>
      </c>
      <c r="H43" s="72" t="str">
        <f>IF(B43=0,"",IFERROR(VLOOKUP(B43,'S-ASIG-02'!$B$5:$E$88,4,0),0))</f>
        <v/>
      </c>
      <c r="I43" s="72" t="str">
        <f>IF(B43=0,"",IFERROR(VLOOKUP(B43,'S-ASIG-03'!$B$5:$E$88,4,0),0))</f>
        <v/>
      </c>
      <c r="J43" s="72" t="str">
        <f>IF(B43=0,"",IFERROR(VLOOKUP(B43,'S-ASIG-04'!$B$5:$E$88,4,0),0))</f>
        <v/>
      </c>
      <c r="K43" s="72" t="str">
        <f>IF(B43=0,"",IFERROR(VLOOKUP(B43,'S-ASIG-05'!$B$5:$E$88,4,0),0))</f>
        <v/>
      </c>
      <c r="L43" s="72" t="str">
        <f>IF(B43=0,"",IFERROR(VLOOKUP(B43,'S-ASIG-06'!$B$5:$E$88,4,0),0))</f>
        <v/>
      </c>
      <c r="M43" s="73" t="str">
        <f>IF(B43=0,"",IFERROR(VLOOKUP(B43,'S-ASIG-07'!$B$5:$E$88,4,0),0))</f>
        <v/>
      </c>
      <c r="N43" s="68" t="s">
        <v>117</v>
      </c>
      <c r="O43" s="71" t="str">
        <f>IF(B43=0,"",IFERROR(VLOOKUP(B43,'T-ASIG-01'!$B$5:$D$88,3,0),0))</f>
        <v/>
      </c>
      <c r="P43" s="72" t="str">
        <f>IF(B43=0,"",IFERROR(VLOOKUP(B43,'T-ASIG-02'!$B$5:$D$88,3,0),0))</f>
        <v/>
      </c>
      <c r="Q43" s="72" t="str">
        <f>IF(B43=0,"",IFERROR(VLOOKUP(B43,'T-ASIG-03'!$B$5:$D$88,3,0),0))</f>
        <v/>
      </c>
      <c r="R43" s="72" t="str">
        <f>IF(B43=0,"",IFERROR(VLOOKUP(B43,'T-ASIG-04'!$B$5:$D$88,3,0),0))</f>
        <v/>
      </c>
      <c r="S43" s="72" t="str">
        <f>IF(B43=0,"",IFERROR(VLOOKUP(B43,'T-ASIG-05'!$B$5:$D$88,3,0),0))</f>
        <v/>
      </c>
      <c r="T43" s="72" t="str">
        <f>IF(B43=0,"",IFERROR(VLOOKUP(B43,'T-ASIG-06'!$B$5:$D$88,3,0),0))</f>
        <v/>
      </c>
      <c r="U43" s="73" t="str">
        <f>IF(B43=0,"",IFERROR(VLOOKUP(B43,'T-ASIG-07'!$B$5:$D$88,3,0),0))</f>
        <v/>
      </c>
      <c r="V43" s="69" t="s">
        <v>118</v>
      </c>
    </row>
    <row r="44" spans="1:22" ht="15" customHeight="1">
      <c r="A44" s="12">
        <v>40</v>
      </c>
      <c r="B44" s="70">
        <f>LIDER!C48</f>
        <v>0</v>
      </c>
      <c r="C44" s="64" t="str">
        <f>IF(B44=0,"",IFERROR(VLOOKUP(B44,'S-ASIG-01'!$B$5:$E$88,2,0),0))</f>
        <v/>
      </c>
      <c r="D44" s="65" t="str">
        <f t="shared" si="2"/>
        <v/>
      </c>
      <c r="E44" s="66" t="str">
        <f t="shared" si="3"/>
        <v/>
      </c>
      <c r="F44" s="47"/>
      <c r="G44" s="71" t="str">
        <f>IF(B44=0,"",IFERROR(VLOOKUP(B44,'S-ASIG-01'!$B$5:$E$88,4,0),0))</f>
        <v/>
      </c>
      <c r="H44" s="72" t="str">
        <f>IF(B44=0,"",IFERROR(VLOOKUP(B44,'S-ASIG-02'!$B$5:$E$88,4,0),0))</f>
        <v/>
      </c>
      <c r="I44" s="72" t="str">
        <f>IF(B44=0,"",IFERROR(VLOOKUP(B44,'S-ASIG-03'!$B$5:$E$88,4,0),0))</f>
        <v/>
      </c>
      <c r="J44" s="72" t="str">
        <f>IF(B44=0,"",IFERROR(VLOOKUP(B44,'S-ASIG-04'!$B$5:$E$88,4,0),0))</f>
        <v/>
      </c>
      <c r="K44" s="72" t="str">
        <f>IF(B44=0,"",IFERROR(VLOOKUP(B44,'S-ASIG-05'!$B$5:$E$88,4,0),0))</f>
        <v/>
      </c>
      <c r="L44" s="72" t="str">
        <f>IF(B44=0,"",IFERROR(VLOOKUP(B44,'S-ASIG-06'!$B$5:$E$88,4,0),0))</f>
        <v/>
      </c>
      <c r="M44" s="73" t="str">
        <f>IF(B44=0,"",IFERROR(VLOOKUP(B44,'S-ASIG-07'!$B$5:$E$88,4,0),0))</f>
        <v/>
      </c>
      <c r="N44" s="68" t="s">
        <v>117</v>
      </c>
      <c r="O44" s="71" t="str">
        <f>IF(B44=0,"",IFERROR(VLOOKUP(B44,'T-ASIG-01'!$B$5:$D$88,3,0),0))</f>
        <v/>
      </c>
      <c r="P44" s="72" t="str">
        <f>IF(B44=0,"",IFERROR(VLOOKUP(B44,'T-ASIG-02'!$B$5:$D$88,3,0),0))</f>
        <v/>
      </c>
      <c r="Q44" s="72" t="str">
        <f>IF(B44=0,"",IFERROR(VLOOKUP(B44,'T-ASIG-03'!$B$5:$D$88,3,0),0))</f>
        <v/>
      </c>
      <c r="R44" s="72" t="str">
        <f>IF(B44=0,"",IFERROR(VLOOKUP(B44,'T-ASIG-04'!$B$5:$D$88,3,0),0))</f>
        <v/>
      </c>
      <c r="S44" s="72" t="str">
        <f>IF(B44=0,"",IFERROR(VLOOKUP(B44,'T-ASIG-05'!$B$5:$D$88,3,0),0))</f>
        <v/>
      </c>
      <c r="T44" s="72" t="str">
        <f>IF(B44=0,"",IFERROR(VLOOKUP(B44,'T-ASIG-06'!$B$5:$D$88,3,0),0))</f>
        <v/>
      </c>
      <c r="U44" s="73" t="str">
        <f>IF(B44=0,"",IFERROR(VLOOKUP(B44,'T-ASIG-07'!$B$5:$D$88,3,0),0))</f>
        <v/>
      </c>
      <c r="V44" s="69" t="s">
        <v>118</v>
      </c>
    </row>
    <row r="45" spans="1:22" ht="15" customHeight="1">
      <c r="A45" s="12">
        <v>41</v>
      </c>
      <c r="B45" s="70">
        <f>LIDER!C49</f>
        <v>0</v>
      </c>
      <c r="C45" s="64" t="str">
        <f>IF(B45=0,"",IFERROR(VLOOKUP(B45,'S-ASIG-01'!$B$5:$E$88,2,0),0))</f>
        <v/>
      </c>
      <c r="D45" s="65" t="str">
        <f t="shared" si="2"/>
        <v/>
      </c>
      <c r="E45" s="66" t="str">
        <f t="shared" si="3"/>
        <v/>
      </c>
      <c r="F45" s="47"/>
      <c r="G45" s="71" t="str">
        <f>IF(B45=0,"",IFERROR(VLOOKUP(B45,'S-ASIG-01'!$B$5:$E$88,4,0),0))</f>
        <v/>
      </c>
      <c r="H45" s="72" t="str">
        <f>IF(B45=0,"",IFERROR(VLOOKUP(B45,'S-ASIG-02'!$B$5:$E$88,4,0),0))</f>
        <v/>
      </c>
      <c r="I45" s="72" t="str">
        <f>IF(B45=0,"",IFERROR(VLOOKUP(B45,'S-ASIG-03'!$B$5:$E$88,4,0),0))</f>
        <v/>
      </c>
      <c r="J45" s="72" t="str">
        <f>IF(B45=0,"",IFERROR(VLOOKUP(B45,'S-ASIG-04'!$B$5:$E$88,4,0),0))</f>
        <v/>
      </c>
      <c r="K45" s="72" t="str">
        <f>IF(B45=0,"",IFERROR(VLOOKUP(B45,'S-ASIG-05'!$B$5:$E$88,4,0),0))</f>
        <v/>
      </c>
      <c r="L45" s="72" t="str">
        <f>IF(B45=0,"",IFERROR(VLOOKUP(B45,'S-ASIG-06'!$B$5:$E$88,4,0),0))</f>
        <v/>
      </c>
      <c r="M45" s="73" t="str">
        <f>IF(B45=0,"",IFERROR(VLOOKUP(B45,'S-ASIG-07'!$B$5:$E$88,4,0),0))</f>
        <v/>
      </c>
      <c r="N45" s="68" t="s">
        <v>117</v>
      </c>
      <c r="O45" s="71" t="str">
        <f>IF(B45=0,"",IFERROR(VLOOKUP(B45,'T-ASIG-01'!$B$5:$D$88,3,0),0))</f>
        <v/>
      </c>
      <c r="P45" s="72" t="str">
        <f>IF(B45=0,"",IFERROR(VLOOKUP(B45,'T-ASIG-02'!$B$5:$D$88,3,0),0))</f>
        <v/>
      </c>
      <c r="Q45" s="72" t="str">
        <f>IF(B45=0,"",IFERROR(VLOOKUP(B45,'T-ASIG-03'!$B$5:$D$88,3,0),0))</f>
        <v/>
      </c>
      <c r="R45" s="72" t="str">
        <f>IF(B45=0,"",IFERROR(VLOOKUP(B45,'T-ASIG-04'!$B$5:$D$88,3,0),0))</f>
        <v/>
      </c>
      <c r="S45" s="72" t="str">
        <f>IF(B45=0,"",IFERROR(VLOOKUP(B45,'T-ASIG-05'!$B$5:$D$88,3,0),0))</f>
        <v/>
      </c>
      <c r="T45" s="72" t="str">
        <f>IF(B45=0,"",IFERROR(VLOOKUP(B45,'T-ASIG-06'!$B$5:$D$88,3,0),0))</f>
        <v/>
      </c>
      <c r="U45" s="73" t="str">
        <f>IF(B45=0,"",IFERROR(VLOOKUP(B45,'T-ASIG-07'!$B$5:$D$88,3,0),0))</f>
        <v/>
      </c>
      <c r="V45" s="69" t="s">
        <v>118</v>
      </c>
    </row>
    <row r="46" spans="1:22" ht="15" customHeight="1">
      <c r="A46" s="12">
        <v>42</v>
      </c>
      <c r="B46" s="70">
        <f>LIDER!C50</f>
        <v>0</v>
      </c>
      <c r="C46" s="64" t="str">
        <f>IF(B46=0,"",IFERROR(VLOOKUP(B46,'S-ASIG-01'!$B$5:$E$88,2,0),0))</f>
        <v/>
      </c>
      <c r="D46" s="65" t="str">
        <f t="shared" si="2"/>
        <v/>
      </c>
      <c r="E46" s="66" t="str">
        <f t="shared" si="3"/>
        <v/>
      </c>
      <c r="F46" s="47"/>
      <c r="G46" s="71" t="str">
        <f>IF(B46=0,"",IFERROR(VLOOKUP(B46,'S-ASIG-01'!$B$5:$E$88,4,0),0))</f>
        <v/>
      </c>
      <c r="H46" s="72" t="str">
        <f>IF(B46=0,"",IFERROR(VLOOKUP(B46,'S-ASIG-02'!$B$5:$E$88,4,0),0))</f>
        <v/>
      </c>
      <c r="I46" s="72" t="str">
        <f>IF(B46=0,"",IFERROR(VLOOKUP(B46,'S-ASIG-03'!$B$5:$E$88,4,0),0))</f>
        <v/>
      </c>
      <c r="J46" s="72" t="str">
        <f>IF(B46=0,"",IFERROR(VLOOKUP(B46,'S-ASIG-04'!$B$5:$E$88,4,0),0))</f>
        <v/>
      </c>
      <c r="K46" s="72" t="str">
        <f>IF(B46=0,"",IFERROR(VLOOKUP(B46,'S-ASIG-05'!$B$5:$E$88,4,0),0))</f>
        <v/>
      </c>
      <c r="L46" s="72" t="str">
        <f>IF(B46=0,"",IFERROR(VLOOKUP(B46,'S-ASIG-06'!$B$5:$E$88,4,0),0))</f>
        <v/>
      </c>
      <c r="M46" s="73" t="str">
        <f>IF(B46=0,"",IFERROR(VLOOKUP(B46,'S-ASIG-07'!$B$5:$E$88,4,0),0))</f>
        <v/>
      </c>
      <c r="N46" s="68" t="s">
        <v>117</v>
      </c>
      <c r="O46" s="71" t="str">
        <f>IF(B46=0,"",IFERROR(VLOOKUP(B46,'T-ASIG-01'!$B$5:$D$88,3,0),0))</f>
        <v/>
      </c>
      <c r="P46" s="72" t="str">
        <f>IF(B46=0,"",IFERROR(VLOOKUP(B46,'T-ASIG-02'!$B$5:$D$88,3,0),0))</f>
        <v/>
      </c>
      <c r="Q46" s="72" t="str">
        <f>IF(B46=0,"",IFERROR(VLOOKUP(B46,'T-ASIG-03'!$B$5:$D$88,3,0),0))</f>
        <v/>
      </c>
      <c r="R46" s="72" t="str">
        <f>IF(B46=0,"",IFERROR(VLOOKUP(B46,'T-ASIG-04'!$B$5:$D$88,3,0),0))</f>
        <v/>
      </c>
      <c r="S46" s="72" t="str">
        <f>IF(B46=0,"",IFERROR(VLOOKUP(B46,'T-ASIG-05'!$B$5:$D$88,3,0),0))</f>
        <v/>
      </c>
      <c r="T46" s="72" t="str">
        <f>IF(B46=0,"",IFERROR(VLOOKUP(B46,'T-ASIG-06'!$B$5:$D$88,3,0),0))</f>
        <v/>
      </c>
      <c r="U46" s="73" t="str">
        <f>IF(B46=0,"",IFERROR(VLOOKUP(B46,'T-ASIG-07'!$B$5:$D$88,3,0),0))</f>
        <v/>
      </c>
      <c r="V46" s="69" t="s">
        <v>118</v>
      </c>
    </row>
    <row r="47" spans="1:22" ht="15" customHeight="1">
      <c r="A47" s="12">
        <v>43</v>
      </c>
      <c r="B47" s="70">
        <f>LIDER!C51</f>
        <v>0</v>
      </c>
      <c r="C47" s="64" t="str">
        <f>IF(B47=0,"",IFERROR(VLOOKUP(B47,'S-ASIG-01'!$B$5:$E$88,2,0),0))</f>
        <v/>
      </c>
      <c r="D47" s="65" t="str">
        <f t="shared" si="2"/>
        <v/>
      </c>
      <c r="E47" s="66" t="str">
        <f t="shared" si="3"/>
        <v/>
      </c>
      <c r="F47" s="47"/>
      <c r="G47" s="71" t="str">
        <f>IF(B47=0,"",IFERROR(VLOOKUP(B47,'S-ASIG-01'!$B$5:$E$88,4,0),0))</f>
        <v/>
      </c>
      <c r="H47" s="72" t="str">
        <f>IF(B47=0,"",IFERROR(VLOOKUP(B47,'S-ASIG-02'!$B$5:$E$88,4,0),0))</f>
        <v/>
      </c>
      <c r="I47" s="72" t="str">
        <f>IF(B47=0,"",IFERROR(VLOOKUP(B47,'S-ASIG-03'!$B$5:$E$88,4,0),0))</f>
        <v/>
      </c>
      <c r="J47" s="72" t="str">
        <f>IF(B47=0,"",IFERROR(VLOOKUP(B47,'S-ASIG-04'!$B$5:$E$88,4,0),0))</f>
        <v/>
      </c>
      <c r="K47" s="72" t="str">
        <f>IF(B47=0,"",IFERROR(VLOOKUP(B47,'S-ASIG-05'!$B$5:$E$88,4,0),0))</f>
        <v/>
      </c>
      <c r="L47" s="72" t="str">
        <f>IF(B47=0,"",IFERROR(VLOOKUP(B47,'S-ASIG-06'!$B$5:$E$88,4,0),0))</f>
        <v/>
      </c>
      <c r="M47" s="73" t="str">
        <f>IF(B47=0,"",IFERROR(VLOOKUP(B47,'S-ASIG-07'!$B$5:$E$88,4,0),0))</f>
        <v/>
      </c>
      <c r="N47" s="68" t="s">
        <v>117</v>
      </c>
      <c r="O47" s="71" t="str">
        <f>IF(B47=0,"",IFERROR(VLOOKUP(B47,'T-ASIG-01'!$B$5:$D$88,3,0),0))</f>
        <v/>
      </c>
      <c r="P47" s="72" t="str">
        <f>IF(B47=0,"",IFERROR(VLOOKUP(B47,'T-ASIG-02'!$B$5:$D$88,3,0),0))</f>
        <v/>
      </c>
      <c r="Q47" s="72" t="str">
        <f>IF(B47=0,"",IFERROR(VLOOKUP(B47,'T-ASIG-03'!$B$5:$D$88,3,0),0))</f>
        <v/>
      </c>
      <c r="R47" s="72" t="str">
        <f>IF(B47=0,"",IFERROR(VLOOKUP(B47,'T-ASIG-04'!$B$5:$D$88,3,0),0))</f>
        <v/>
      </c>
      <c r="S47" s="72" t="str">
        <f>IF(B47=0,"",IFERROR(VLOOKUP(B47,'T-ASIG-05'!$B$5:$D$88,3,0),0))</f>
        <v/>
      </c>
      <c r="T47" s="72" t="str">
        <f>IF(B47=0,"",IFERROR(VLOOKUP(B47,'T-ASIG-06'!$B$5:$D$88,3,0),0))</f>
        <v/>
      </c>
      <c r="U47" s="73" t="str">
        <f>IF(B47=0,"",IFERROR(VLOOKUP(B47,'T-ASIG-07'!$B$5:$D$88,3,0),0))</f>
        <v/>
      </c>
      <c r="V47" s="69" t="s">
        <v>118</v>
      </c>
    </row>
    <row r="48" spans="1:22" ht="15" customHeight="1">
      <c r="A48" s="12">
        <v>44</v>
      </c>
      <c r="B48" s="70">
        <f>LIDER!C52</f>
        <v>0</v>
      </c>
      <c r="C48" s="64" t="str">
        <f>IF(B48=0,"",IFERROR(VLOOKUP(B48,'S-ASIG-01'!$B$5:$E$88,2,0),0))</f>
        <v/>
      </c>
      <c r="D48" s="65" t="str">
        <f t="shared" si="2"/>
        <v/>
      </c>
      <c r="E48" s="66" t="str">
        <f t="shared" si="3"/>
        <v/>
      </c>
      <c r="F48" s="47"/>
      <c r="G48" s="71" t="str">
        <f>IF(B48=0,"",IFERROR(VLOOKUP(B48,'S-ASIG-01'!$B$5:$E$88,4,0),0))</f>
        <v/>
      </c>
      <c r="H48" s="72" t="str">
        <f>IF(B48=0,"",IFERROR(VLOOKUP(B48,'S-ASIG-02'!$B$5:$E$88,4,0),0))</f>
        <v/>
      </c>
      <c r="I48" s="72" t="str">
        <f>IF(B48=0,"",IFERROR(VLOOKUP(B48,'S-ASIG-03'!$B$5:$E$88,4,0),0))</f>
        <v/>
      </c>
      <c r="J48" s="72" t="str">
        <f>IF(B48=0,"",IFERROR(VLOOKUP(B48,'S-ASIG-04'!$B$5:$E$88,4,0),0))</f>
        <v/>
      </c>
      <c r="K48" s="72" t="str">
        <f>IF(B48=0,"",IFERROR(VLOOKUP(B48,'S-ASIG-05'!$B$5:$E$88,4,0),0))</f>
        <v/>
      </c>
      <c r="L48" s="72" t="str">
        <f>IF(B48=0,"",IFERROR(VLOOKUP(B48,'S-ASIG-06'!$B$5:$E$88,4,0),0))</f>
        <v/>
      </c>
      <c r="M48" s="73" t="str">
        <f>IF(B48=0,"",IFERROR(VLOOKUP(B48,'S-ASIG-07'!$B$5:$E$88,4,0),0))</f>
        <v/>
      </c>
      <c r="N48" s="68" t="s">
        <v>117</v>
      </c>
      <c r="O48" s="71" t="str">
        <f>IF(B48=0,"",IFERROR(VLOOKUP(B48,'T-ASIG-01'!$B$5:$D$88,3,0),0))</f>
        <v/>
      </c>
      <c r="P48" s="72" t="str">
        <f>IF(B48=0,"",IFERROR(VLOOKUP(B48,'T-ASIG-02'!$B$5:$D$88,3,0),0))</f>
        <v/>
      </c>
      <c r="Q48" s="72" t="str">
        <f>IF(B48=0,"",IFERROR(VLOOKUP(B48,'T-ASIG-03'!$B$5:$D$88,3,0),0))</f>
        <v/>
      </c>
      <c r="R48" s="72" t="str">
        <f>IF(B48=0,"",IFERROR(VLOOKUP(B48,'T-ASIG-04'!$B$5:$D$88,3,0),0))</f>
        <v/>
      </c>
      <c r="S48" s="72" t="str">
        <f>IF(B48=0,"",IFERROR(VLOOKUP(B48,'T-ASIG-05'!$B$5:$D$88,3,0),0))</f>
        <v/>
      </c>
      <c r="T48" s="72" t="str">
        <f>IF(B48=0,"",IFERROR(VLOOKUP(B48,'T-ASIG-06'!$B$5:$D$88,3,0),0))</f>
        <v/>
      </c>
      <c r="U48" s="73" t="str">
        <f>IF(B48=0,"",IFERROR(VLOOKUP(B48,'T-ASIG-07'!$B$5:$D$88,3,0),0))</f>
        <v/>
      </c>
      <c r="V48" s="69" t="s">
        <v>118</v>
      </c>
    </row>
    <row r="49" spans="1:22" ht="15" customHeight="1">
      <c r="A49" s="12">
        <v>45</v>
      </c>
      <c r="B49" s="70">
        <f>LIDER!C53</f>
        <v>0</v>
      </c>
      <c r="C49" s="64" t="str">
        <f>IF(B49=0,"",IFERROR(VLOOKUP(B49,'S-ASIG-01'!$B$5:$E$88,2,0),0))</f>
        <v/>
      </c>
      <c r="D49" s="65" t="str">
        <f t="shared" si="2"/>
        <v/>
      </c>
      <c r="E49" s="66" t="str">
        <f t="shared" si="3"/>
        <v/>
      </c>
      <c r="F49" s="47"/>
      <c r="G49" s="71" t="str">
        <f>IF(B49=0,"",IFERROR(VLOOKUP(B49,'S-ASIG-01'!$B$5:$E$88,4,0),0))</f>
        <v/>
      </c>
      <c r="H49" s="72" t="str">
        <f>IF(B49=0,"",IFERROR(VLOOKUP(B49,'S-ASIG-02'!$B$5:$E$88,4,0),0))</f>
        <v/>
      </c>
      <c r="I49" s="72" t="str">
        <f>IF(B49=0,"",IFERROR(VLOOKUP(B49,'S-ASIG-03'!$B$5:$E$88,4,0),0))</f>
        <v/>
      </c>
      <c r="J49" s="72" t="str">
        <f>IF(B49=0,"",IFERROR(VLOOKUP(B49,'S-ASIG-04'!$B$5:$E$88,4,0),0))</f>
        <v/>
      </c>
      <c r="K49" s="72" t="str">
        <f>IF(B49=0,"",IFERROR(VLOOKUP(B49,'S-ASIG-05'!$B$5:$E$88,4,0),0))</f>
        <v/>
      </c>
      <c r="L49" s="72" t="str">
        <f>IF(B49=0,"",IFERROR(VLOOKUP(B49,'S-ASIG-06'!$B$5:$E$88,4,0),0))</f>
        <v/>
      </c>
      <c r="M49" s="73" t="str">
        <f>IF(B49=0,"",IFERROR(VLOOKUP(B49,'S-ASIG-07'!$B$5:$E$88,4,0),0))</f>
        <v/>
      </c>
      <c r="N49" s="68" t="s">
        <v>117</v>
      </c>
      <c r="O49" s="71" t="str">
        <f>IF(B49=0,"",IFERROR(VLOOKUP(B49,'T-ASIG-01'!$B$5:$D$88,3,0),0))</f>
        <v/>
      </c>
      <c r="P49" s="72" t="str">
        <f>IF(B49=0,"",IFERROR(VLOOKUP(B49,'T-ASIG-02'!$B$5:$D$88,3,0),0))</f>
        <v/>
      </c>
      <c r="Q49" s="72" t="str">
        <f>IF(B49=0,"",IFERROR(VLOOKUP(B49,'T-ASIG-03'!$B$5:$D$88,3,0),0))</f>
        <v/>
      </c>
      <c r="R49" s="72" t="str">
        <f>IF(B49=0,"",IFERROR(VLOOKUP(B49,'T-ASIG-04'!$B$5:$D$88,3,0),0))</f>
        <v/>
      </c>
      <c r="S49" s="72" t="str">
        <f>IF(B49=0,"",IFERROR(VLOOKUP(B49,'T-ASIG-05'!$B$5:$D$88,3,0),0))</f>
        <v/>
      </c>
      <c r="T49" s="72" t="str">
        <f>IF(B49=0,"",IFERROR(VLOOKUP(B49,'T-ASIG-06'!$B$5:$D$88,3,0),0))</f>
        <v/>
      </c>
      <c r="U49" s="73" t="str">
        <f>IF(B49=0,"",IFERROR(VLOOKUP(B49,'T-ASIG-07'!$B$5:$D$88,3,0),0))</f>
        <v/>
      </c>
      <c r="V49" s="69" t="s">
        <v>118</v>
      </c>
    </row>
    <row r="50" spans="1:22" ht="15" customHeight="1">
      <c r="A50" s="12">
        <v>46</v>
      </c>
      <c r="B50" s="70">
        <f>LIDER!C54</f>
        <v>0</v>
      </c>
      <c r="C50" s="64" t="str">
        <f>IF(B50=0,"",IFERROR(VLOOKUP(B50,'S-ASIG-01'!$B$5:$E$88,2,0),0))</f>
        <v/>
      </c>
      <c r="D50" s="65" t="str">
        <f t="shared" si="2"/>
        <v/>
      </c>
      <c r="E50" s="66" t="str">
        <f t="shared" si="3"/>
        <v/>
      </c>
      <c r="F50" s="47"/>
      <c r="G50" s="71" t="str">
        <f>IF(B50=0,"",IFERROR(VLOOKUP(B50,'S-ASIG-01'!$B$5:$E$88,4,0),0))</f>
        <v/>
      </c>
      <c r="H50" s="72" t="str">
        <f>IF(B50=0,"",IFERROR(VLOOKUP(B50,'S-ASIG-02'!$B$5:$E$88,4,0),0))</f>
        <v/>
      </c>
      <c r="I50" s="72" t="str">
        <f>IF(B50=0,"",IFERROR(VLOOKUP(B50,'S-ASIG-03'!$B$5:$E$88,4,0),0))</f>
        <v/>
      </c>
      <c r="J50" s="72" t="str">
        <f>IF(B50=0,"",IFERROR(VLOOKUP(B50,'S-ASIG-04'!$B$5:$E$88,4,0),0))</f>
        <v/>
      </c>
      <c r="K50" s="72" t="str">
        <f>IF(B50=0,"",IFERROR(VLOOKUP(B50,'S-ASIG-05'!$B$5:$E$88,4,0),0))</f>
        <v/>
      </c>
      <c r="L50" s="72" t="str">
        <f>IF(B50=0,"",IFERROR(VLOOKUP(B50,'S-ASIG-06'!$B$5:$E$88,4,0),0))</f>
        <v/>
      </c>
      <c r="M50" s="73" t="str">
        <f>IF(B50=0,"",IFERROR(VLOOKUP(B50,'S-ASIG-07'!$B$5:$E$88,4,0),0))</f>
        <v/>
      </c>
      <c r="N50" s="68" t="s">
        <v>117</v>
      </c>
      <c r="O50" s="71" t="str">
        <f>IF(B50=0,"",IFERROR(VLOOKUP(B50,'T-ASIG-01'!$B$5:$D$88,3,0),0))</f>
        <v/>
      </c>
      <c r="P50" s="72" t="str">
        <f>IF(B50=0,"",IFERROR(VLOOKUP(B50,'T-ASIG-02'!$B$5:$D$88,3,0),0))</f>
        <v/>
      </c>
      <c r="Q50" s="72" t="str">
        <f>IF(B50=0,"",IFERROR(VLOOKUP(B50,'T-ASIG-03'!$B$5:$D$88,3,0),0))</f>
        <v/>
      </c>
      <c r="R50" s="72" t="str">
        <f>IF(B50=0,"",IFERROR(VLOOKUP(B50,'T-ASIG-04'!$B$5:$D$88,3,0),0))</f>
        <v/>
      </c>
      <c r="S50" s="72" t="str">
        <f>IF(B50=0,"",IFERROR(VLOOKUP(B50,'T-ASIG-05'!$B$5:$D$88,3,0),0))</f>
        <v/>
      </c>
      <c r="T50" s="72" t="str">
        <f>IF(B50=0,"",IFERROR(VLOOKUP(B50,'T-ASIG-06'!$B$5:$D$88,3,0),0))</f>
        <v/>
      </c>
      <c r="U50" s="73" t="str">
        <f>IF(B50=0,"",IFERROR(VLOOKUP(B50,'T-ASIG-07'!$B$5:$D$88,3,0),0))</f>
        <v/>
      </c>
      <c r="V50" s="69" t="s">
        <v>118</v>
      </c>
    </row>
    <row r="51" spans="1:22" ht="15" customHeight="1">
      <c r="A51" s="12">
        <v>47</v>
      </c>
      <c r="B51" s="70">
        <f>LIDER!C55</f>
        <v>0</v>
      </c>
      <c r="C51" s="64" t="str">
        <f>IF(B51=0,"",IFERROR(VLOOKUP(B51,'S-ASIG-01'!$B$5:$E$88,2,0),0))</f>
        <v/>
      </c>
      <c r="D51" s="65" t="str">
        <f t="shared" si="2"/>
        <v/>
      </c>
      <c r="E51" s="66" t="str">
        <f t="shared" si="3"/>
        <v/>
      </c>
      <c r="F51" s="47"/>
      <c r="G51" s="71" t="str">
        <f>IF(B51=0,"",IFERROR(VLOOKUP(B51,'S-ASIG-01'!$B$5:$E$88,4,0),0))</f>
        <v/>
      </c>
      <c r="H51" s="72" t="str">
        <f>IF(B51=0,"",IFERROR(VLOOKUP(B51,'S-ASIG-02'!$B$5:$E$88,4,0),0))</f>
        <v/>
      </c>
      <c r="I51" s="72" t="str">
        <f>IF(B51=0,"",IFERROR(VLOOKUP(B51,'S-ASIG-03'!$B$5:$E$88,4,0),0))</f>
        <v/>
      </c>
      <c r="J51" s="72" t="str">
        <f>IF(B51=0,"",IFERROR(VLOOKUP(B51,'S-ASIG-04'!$B$5:$E$88,4,0),0))</f>
        <v/>
      </c>
      <c r="K51" s="72" t="str">
        <f>IF(B51=0,"",IFERROR(VLOOKUP(B51,'S-ASIG-05'!$B$5:$E$88,4,0),0))</f>
        <v/>
      </c>
      <c r="L51" s="72" t="str">
        <f>IF(B51=0,"",IFERROR(VLOOKUP(B51,'S-ASIG-06'!$B$5:$E$88,4,0),0))</f>
        <v/>
      </c>
      <c r="M51" s="73" t="str">
        <f>IF(B51=0,"",IFERROR(VLOOKUP(B51,'S-ASIG-07'!$B$5:$E$88,4,0),0))</f>
        <v/>
      </c>
      <c r="N51" s="68" t="s">
        <v>117</v>
      </c>
      <c r="O51" s="71" t="str">
        <f>IF(B51=0,"",IFERROR(VLOOKUP(B51,'T-ASIG-01'!$B$5:$D$88,3,0),0))</f>
        <v/>
      </c>
      <c r="P51" s="72" t="str">
        <f>IF(B51=0,"",IFERROR(VLOOKUP(B51,'T-ASIG-02'!$B$5:$D$88,3,0),0))</f>
        <v/>
      </c>
      <c r="Q51" s="72" t="str">
        <f>IF(B51=0,"",IFERROR(VLOOKUP(B51,'T-ASIG-03'!$B$5:$D$88,3,0),0))</f>
        <v/>
      </c>
      <c r="R51" s="72" t="str">
        <f>IF(B51=0,"",IFERROR(VLOOKUP(B51,'T-ASIG-04'!$B$5:$D$88,3,0),0))</f>
        <v/>
      </c>
      <c r="S51" s="72" t="str">
        <f>IF(B51=0,"",IFERROR(VLOOKUP(B51,'T-ASIG-05'!$B$5:$D$88,3,0),0))</f>
        <v/>
      </c>
      <c r="T51" s="72" t="str">
        <f>IF(B51=0,"",IFERROR(VLOOKUP(B51,'T-ASIG-06'!$B$5:$D$88,3,0),0))</f>
        <v/>
      </c>
      <c r="U51" s="73" t="str">
        <f>IF(B51=0,"",IFERROR(VLOOKUP(B51,'T-ASIG-07'!$B$5:$D$88,3,0),0))</f>
        <v/>
      </c>
      <c r="V51" s="69" t="s">
        <v>118</v>
      </c>
    </row>
    <row r="52" spans="1:22" ht="15" customHeight="1">
      <c r="A52" s="12">
        <v>48</v>
      </c>
      <c r="B52" s="70">
        <f>LIDER!C56</f>
        <v>0</v>
      </c>
      <c r="C52" s="64" t="str">
        <f>IF(B52=0,"",IFERROR(VLOOKUP(B52,'S-ASIG-01'!$B$5:$E$88,2,0),0))</f>
        <v/>
      </c>
      <c r="D52" s="65" t="str">
        <f t="shared" si="2"/>
        <v/>
      </c>
      <c r="E52" s="66" t="str">
        <f t="shared" si="3"/>
        <v/>
      </c>
      <c r="F52" s="47"/>
      <c r="G52" s="71" t="str">
        <f>IF(B52=0,"",IFERROR(VLOOKUP(B52,'S-ASIG-01'!$B$5:$E$88,4,0),0))</f>
        <v/>
      </c>
      <c r="H52" s="72" t="str">
        <f>IF(B52=0,"",IFERROR(VLOOKUP(B52,'S-ASIG-02'!$B$5:$E$88,4,0),0))</f>
        <v/>
      </c>
      <c r="I52" s="72" t="str">
        <f>IF(B52=0,"",IFERROR(VLOOKUP(B52,'S-ASIG-03'!$B$5:$E$88,4,0),0))</f>
        <v/>
      </c>
      <c r="J52" s="72" t="str">
        <f>IF(B52=0,"",IFERROR(VLOOKUP(B52,'S-ASIG-04'!$B$5:$E$88,4,0),0))</f>
        <v/>
      </c>
      <c r="K52" s="72" t="str">
        <f>IF(B52=0,"",IFERROR(VLOOKUP(B52,'S-ASIG-05'!$B$5:$E$88,4,0),0))</f>
        <v/>
      </c>
      <c r="L52" s="72" t="str">
        <f>IF(B52=0,"",IFERROR(VLOOKUP(B52,'S-ASIG-06'!$B$5:$E$88,4,0),0))</f>
        <v/>
      </c>
      <c r="M52" s="73" t="str">
        <f>IF(B52=0,"",IFERROR(VLOOKUP(B52,'S-ASIG-07'!$B$5:$E$88,4,0),0))</f>
        <v/>
      </c>
      <c r="N52" s="68" t="s">
        <v>117</v>
      </c>
      <c r="O52" s="71" t="str">
        <f>IF(B52=0,"",IFERROR(VLOOKUP(B52,'T-ASIG-01'!$B$5:$D$88,3,0),0))</f>
        <v/>
      </c>
      <c r="P52" s="72" t="str">
        <f>IF(B52=0,"",IFERROR(VLOOKUP(B52,'T-ASIG-02'!$B$5:$D$88,3,0),0))</f>
        <v/>
      </c>
      <c r="Q52" s="72" t="str">
        <f>IF(B52=0,"",IFERROR(VLOOKUP(B52,'T-ASIG-03'!$B$5:$D$88,3,0),0))</f>
        <v/>
      </c>
      <c r="R52" s="72" t="str">
        <f>IF(B52=0,"",IFERROR(VLOOKUP(B52,'T-ASIG-04'!$B$5:$D$88,3,0),0))</f>
        <v/>
      </c>
      <c r="S52" s="72" t="str">
        <f>IF(B52=0,"",IFERROR(VLOOKUP(B52,'T-ASIG-05'!$B$5:$D$88,3,0),0))</f>
        <v/>
      </c>
      <c r="T52" s="72" t="str">
        <f>IF(B52=0,"",IFERROR(VLOOKUP(B52,'T-ASIG-06'!$B$5:$D$88,3,0),0))</f>
        <v/>
      </c>
      <c r="U52" s="73" t="str">
        <f>IF(B52=0,"",IFERROR(VLOOKUP(B52,'T-ASIG-07'!$B$5:$D$88,3,0),0))</f>
        <v/>
      </c>
      <c r="V52" s="69" t="s">
        <v>118</v>
      </c>
    </row>
    <row r="53" spans="1:22" ht="15" customHeight="1">
      <c r="A53" s="12">
        <v>49</v>
      </c>
      <c r="B53" s="70">
        <f>LIDER!C57</f>
        <v>0</v>
      </c>
      <c r="C53" s="64" t="str">
        <f>IF(B53=0,"",IFERROR(VLOOKUP(B53,'S-ASIG-01'!$B$5:$E$88,2,0),0))</f>
        <v/>
      </c>
      <c r="D53" s="65" t="str">
        <f t="shared" si="2"/>
        <v/>
      </c>
      <c r="E53" s="66" t="str">
        <f t="shared" si="3"/>
        <v/>
      </c>
      <c r="F53" s="47"/>
      <c r="G53" s="71" t="str">
        <f>IF(B53=0,"",IFERROR(VLOOKUP(B53,'S-ASIG-01'!$B$5:$E$88,4,0),0))</f>
        <v/>
      </c>
      <c r="H53" s="72" t="str">
        <f>IF(B53=0,"",IFERROR(VLOOKUP(B53,'S-ASIG-02'!$B$5:$E$88,4,0),0))</f>
        <v/>
      </c>
      <c r="I53" s="72" t="str">
        <f>IF(B53=0,"",IFERROR(VLOOKUP(B53,'S-ASIG-03'!$B$5:$E$88,4,0),0))</f>
        <v/>
      </c>
      <c r="J53" s="72" t="str">
        <f>IF(B53=0,"",IFERROR(VLOOKUP(B53,'S-ASIG-04'!$B$5:$E$88,4,0),0))</f>
        <v/>
      </c>
      <c r="K53" s="72" t="str">
        <f>IF(B53=0,"",IFERROR(VLOOKUP(B53,'S-ASIG-05'!$B$5:$E$88,4,0),0))</f>
        <v/>
      </c>
      <c r="L53" s="72" t="str">
        <f>IF(B53=0,"",IFERROR(VLOOKUP(B53,'S-ASIG-06'!$B$5:$E$88,4,0),0))</f>
        <v/>
      </c>
      <c r="M53" s="73" t="str">
        <f>IF(B53=0,"",IFERROR(VLOOKUP(B53,'S-ASIG-07'!$B$5:$E$88,4,0),0))</f>
        <v/>
      </c>
      <c r="N53" s="68" t="s">
        <v>117</v>
      </c>
      <c r="O53" s="71" t="str">
        <f>IF(B53=0,"",IFERROR(VLOOKUP(B53,'T-ASIG-01'!$B$5:$D$88,3,0),0))</f>
        <v/>
      </c>
      <c r="P53" s="72" t="str">
        <f>IF(B53=0,"",IFERROR(VLOOKUP(B53,'T-ASIG-02'!$B$5:$D$88,3,0),0))</f>
        <v/>
      </c>
      <c r="Q53" s="72" t="str">
        <f>IF(B53=0,"",IFERROR(VLOOKUP(B53,'T-ASIG-03'!$B$5:$D$88,3,0),0))</f>
        <v/>
      </c>
      <c r="R53" s="72" t="str">
        <f>IF(B53=0,"",IFERROR(VLOOKUP(B53,'T-ASIG-04'!$B$5:$D$88,3,0),0))</f>
        <v/>
      </c>
      <c r="S53" s="72" t="str">
        <f>IF(B53=0,"",IFERROR(VLOOKUP(B53,'T-ASIG-05'!$B$5:$D$88,3,0),0))</f>
        <v/>
      </c>
      <c r="T53" s="72" t="str">
        <f>IF(B53=0,"",IFERROR(VLOOKUP(B53,'T-ASIG-06'!$B$5:$D$88,3,0),0))</f>
        <v/>
      </c>
      <c r="U53" s="73" t="str">
        <f>IF(B53=0,"",IFERROR(VLOOKUP(B53,'T-ASIG-07'!$B$5:$D$88,3,0),0))</f>
        <v/>
      </c>
      <c r="V53" s="69" t="s">
        <v>118</v>
      </c>
    </row>
    <row r="54" spans="1:22" ht="15" customHeight="1" thickBot="1">
      <c r="A54" s="15">
        <v>50</v>
      </c>
      <c r="B54" s="74">
        <f>LIDER!C58</f>
        <v>0</v>
      </c>
      <c r="C54" s="75" t="str">
        <f>IF(B54=0,"",IFERROR(VLOOKUP(B54,'S-ASIG-01'!$B$5:$E$88,2,0),0))</f>
        <v/>
      </c>
      <c r="D54" s="76" t="str">
        <f t="shared" si="2"/>
        <v/>
      </c>
      <c r="E54" s="77" t="str">
        <f t="shared" si="3"/>
        <v/>
      </c>
      <c r="F54" s="47"/>
      <c r="G54" s="78" t="str">
        <f>IF(B54=0,"",IFERROR(VLOOKUP(B54,'S-ASIG-01'!$B$5:$E$88,4,0),0))</f>
        <v/>
      </c>
      <c r="H54" s="79" t="str">
        <f>IF(B54=0,"",IFERROR(VLOOKUP(B54,'S-ASIG-02'!$B$5:$E$88,4,0),0))</f>
        <v/>
      </c>
      <c r="I54" s="79" t="str">
        <f>IF(B54=0,"",IFERROR(VLOOKUP(B54,'S-ASIG-03'!$B$5:$E$88,4,0),0))</f>
        <v/>
      </c>
      <c r="J54" s="79" t="str">
        <f>IF(B54=0,"",IFERROR(VLOOKUP(B54,'S-ASIG-04'!$B$5:$E$88,4,0),0))</f>
        <v/>
      </c>
      <c r="K54" s="79" t="str">
        <f>IF(B54=0,"",IFERROR(VLOOKUP(B54,'S-ASIG-05'!$B$5:$E$88,4,0),0))</f>
        <v/>
      </c>
      <c r="L54" s="79" t="str">
        <f>IF(B54=0,"",IFERROR(VLOOKUP(B54,'S-ASIG-06'!$B$5:$E$88,4,0),0))</f>
        <v/>
      </c>
      <c r="M54" s="80" t="str">
        <f>IF(B54=0,"",IFERROR(VLOOKUP(B54,'S-ASIG-07'!$B$5:$E$88,4,0),0))</f>
        <v/>
      </c>
      <c r="N54" s="68" t="s">
        <v>117</v>
      </c>
      <c r="O54" s="78" t="str">
        <f>IF(B54=0,"",IFERROR(VLOOKUP(B54,'T-ASIG-01'!$B$5:$D$88,3,0),0))</f>
        <v/>
      </c>
      <c r="P54" s="79" t="str">
        <f>IF(B54=0,"",IFERROR(VLOOKUP(B54,'T-ASIG-02'!$B$5:$D$88,3,0),0))</f>
        <v/>
      </c>
      <c r="Q54" s="79" t="str">
        <f>IF(B54=0,"",IFERROR(VLOOKUP(B54,'T-ASIG-03'!$B$5:$D$88,3,0),0))</f>
        <v/>
      </c>
      <c r="R54" s="79" t="str">
        <f>IF(B54=0,"",IFERROR(VLOOKUP(B54,'T-ASIG-04'!$B$5:$D$88,3,0),0))</f>
        <v/>
      </c>
      <c r="S54" s="79" t="str">
        <f>IF(B54=0,"",IFERROR(VLOOKUP(B54,'T-ASIG-05'!$B$5:$D$88,3,0),0))</f>
        <v/>
      </c>
      <c r="T54" s="79" t="str">
        <f>IF(B54=0,"",IFERROR(VLOOKUP(B54,'T-ASIG-06'!$B$5:$D$88,3,0),0))</f>
        <v/>
      </c>
      <c r="U54" s="80" t="str">
        <f>IF(B54=0,"",IFERROR(VLOOKUP(B54,'T-ASIG-07'!$B$5:$D$88,3,0),0))</f>
        <v/>
      </c>
      <c r="V54" s="69" t="s">
        <v>118</v>
      </c>
    </row>
  </sheetData>
  <sheetProtection algorithmName="SHA-512" hashValue="8AbHbS/qNq8r5pzQya0vYYIjlk6D1P4Y4BXOZMpvNZMuqbZ9Do/j7ljEuusL1wL2bGcbB7ehUNLFIm88WZq/Vw==" saltValue="aEwhyNG1FQDXjguFVVgERw==" spinCount="100000" sheet="1" objects="1" scenarios="1"/>
  <mergeCells count="4">
    <mergeCell ref="G2:M2"/>
    <mergeCell ref="N1:O1"/>
    <mergeCell ref="G1:M1"/>
    <mergeCell ref="O2:U2"/>
  </mergeCells>
  <conditionalFormatting sqref="B5:E54 G5:M54 O5:U54">
    <cfRule type="expression" dxfId="5" priority="6">
      <formula>ISEVEN($A5)</formula>
    </cfRule>
  </conditionalFormatting>
  <conditionalFormatting sqref="B5:U54">
    <cfRule type="cellIs" dxfId="4" priority="3" operator="equal">
      <formula>0</formula>
    </cfRule>
  </conditionalFormatting>
  <conditionalFormatting sqref="D5:U54">
    <cfRule type="cellIs" dxfId="3" priority="1" operator="equal">
      <formula>5</formula>
    </cfRule>
    <cfRule type="cellIs" dxfId="2" priority="4" operator="between">
      <formula>0.1</formula>
      <formula>2.9999999999</formula>
    </cfRule>
    <cfRule type="cellIs" dxfId="1" priority="5" operator="between">
      <formula>4</formula>
      <formula>4.9999999999</formula>
    </cfRule>
  </conditionalFormatting>
  <conditionalFormatting sqref="G5:U54">
    <cfRule type="containsText" dxfId="0" priority="2" operator="containsText" text="N">
      <formula>NOT(ISERROR(SEARCH("N",G5)))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Tecnologico Comfenalco</dc:creator>
  <cp:keywords/>
  <dc:description/>
  <cp:lastModifiedBy>TATIANA MILENA ROJAS</cp:lastModifiedBy>
  <cp:revision/>
  <dcterms:created xsi:type="dcterms:W3CDTF">2025-09-29T20:45:44Z</dcterms:created>
  <dcterms:modified xsi:type="dcterms:W3CDTF">2026-05-26T14:53:08Z</dcterms:modified>
  <cp:category/>
  <cp:contentStatus/>
</cp:coreProperties>
</file>