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ajcostaj_tecnocomfenalco_edu_co/Documents/GESTIÓN DE PROYECTOS DE AULA-2026-2/TGNI/SEMESTRE-3/"/>
    </mc:Choice>
  </mc:AlternateContent>
  <xr:revisionPtr revIDLastSave="131" documentId="13_ncr:1_{A9BABA68-0909-40F6-9011-1B28D644D60C}" xr6:coauthVersionLast="47" xr6:coauthVersionMax="47" xr10:uidLastSave="{E02F7814-DC6D-48DA-A83C-0C9F4F1A1E35}"/>
  <bookViews>
    <workbookView xWindow="-120" yWindow="-120" windowWidth="20730" windowHeight="11040" tabRatio="751" firstSheet="5" activeTab="3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D36" i="16" s="1"/>
  <c r="C37" i="16"/>
  <c r="D37" i="16" s="1"/>
  <c r="C38" i="16"/>
  <c r="C39" i="16"/>
  <c r="C40" i="16"/>
  <c r="C41" i="16"/>
  <c r="C42" i="16"/>
  <c r="C43" i="16"/>
  <c r="C44" i="16"/>
  <c r="C45" i="16"/>
  <c r="C46" i="16"/>
  <c r="C47" i="16"/>
  <c r="C48" i="16"/>
  <c r="D48" i="16" s="1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D60" i="16"/>
  <c r="B60" i="16"/>
  <c r="D59" i="16"/>
  <c r="B59" i="16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D24" i="16"/>
  <c r="B24" i="16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D34" i="7" s="1"/>
  <c r="C35" i="7"/>
  <c r="C36" i="7"/>
  <c r="C37" i="7"/>
  <c r="C38" i="7"/>
  <c r="C39" i="7"/>
  <c r="C40" i="7"/>
  <c r="C41" i="7"/>
  <c r="C42" i="7"/>
  <c r="C43" i="7"/>
  <c r="D43" i="7" s="1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D53" i="7"/>
  <c r="B53" i="7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D42" i="7"/>
  <c r="B42" i="7"/>
  <c r="B41" i="7"/>
  <c r="D41" i="7" s="1"/>
  <c r="B39" i="7"/>
  <c r="D39" i="7" s="1"/>
  <c r="B38" i="7"/>
  <c r="B37" i="7"/>
  <c r="D37" i="7" s="1"/>
  <c r="D36" i="7"/>
  <c r="B36" i="7"/>
  <c r="D35" i="7"/>
  <c r="B35" i="7"/>
  <c r="B34" i="7"/>
  <c r="B32" i="7"/>
  <c r="D32" i="7" s="1"/>
  <c r="D31" i="7"/>
  <c r="B31" i="7"/>
  <c r="D30" i="7"/>
  <c r="B30" i="7"/>
  <c r="B29" i="7"/>
  <c r="D29" i="7" s="1"/>
  <c r="B28" i="7"/>
  <c r="D28" i="7" s="1"/>
  <c r="B27" i="7"/>
  <c r="D27" i="7" s="1"/>
  <c r="D25" i="7"/>
  <c r="B25" i="7"/>
  <c r="D24" i="7"/>
  <c r="B24" i="7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D36" i="6" s="1"/>
  <c r="C37" i="6"/>
  <c r="D37" i="6" s="1"/>
  <c r="C38" i="6"/>
  <c r="C39" i="6"/>
  <c r="C40" i="6"/>
  <c r="C41" i="6"/>
  <c r="C42" i="6"/>
  <c r="C43" i="6"/>
  <c r="C44" i="6"/>
  <c r="C45" i="6"/>
  <c r="C46" i="6"/>
  <c r="C47" i="6"/>
  <c r="C48" i="6"/>
  <c r="C49" i="6"/>
  <c r="D49" i="6" s="1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D43" i="6"/>
  <c r="B43" i="6"/>
  <c r="D42" i="6"/>
  <c r="B42" i="6"/>
  <c r="B41" i="6"/>
  <c r="B39" i="6"/>
  <c r="D39" i="6" s="1"/>
  <c r="B38" i="6"/>
  <c r="B37" i="6"/>
  <c r="B36" i="6"/>
  <c r="B35" i="6"/>
  <c r="B34" i="6"/>
  <c r="D34" i="6" s="1"/>
  <c r="B32" i="6"/>
  <c r="D32" i="6" s="1"/>
  <c r="D31" i="6"/>
  <c r="B31" i="6"/>
  <c r="D30" i="6"/>
  <c r="B30" i="6"/>
  <c r="B29" i="6"/>
  <c r="D29" i="6" s="1"/>
  <c r="B28" i="6"/>
  <c r="D28" i="6" s="1"/>
  <c r="B27" i="6"/>
  <c r="D27" i="6" s="1"/>
  <c r="D25" i="6"/>
  <c r="B25" i="6"/>
  <c r="D24" i="6"/>
  <c r="B24" i="6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D42" i="5" s="1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D34" i="5"/>
  <c r="B34" i="5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D24" i="5"/>
  <c r="B24" i="5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D36" i="4" s="1"/>
  <c r="C37" i="4"/>
  <c r="D37" i="4" s="1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D49" i="4" s="1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D59" i="4"/>
  <c r="B59" i="4"/>
  <c r="B58" i="4"/>
  <c r="D58" i="4" s="1"/>
  <c r="B57" i="4"/>
  <c r="D57" i="4" s="1"/>
  <c r="B56" i="4"/>
  <c r="D56" i="4" s="1"/>
  <c r="D55" i="4"/>
  <c r="B55" i="4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D42" i="4"/>
  <c r="B42" i="4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D25" i="4"/>
  <c r="B25" i="4"/>
  <c r="D24" i="4"/>
  <c r="B24" i="4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D42" i="3" s="1"/>
  <c r="C43" i="3"/>
  <c r="C44" i="3"/>
  <c r="C45" i="3"/>
  <c r="C46" i="3"/>
  <c r="C47" i="3"/>
  <c r="C48" i="3"/>
  <c r="C49" i="3"/>
  <c r="D49" i="3" s="1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D36" i="3"/>
  <c r="D30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D55" i="3"/>
  <c r="B55" i="3"/>
  <c r="D53" i="3"/>
  <c r="B53" i="3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B35" i="3"/>
  <c r="B34" i="3"/>
  <c r="D34" i="3" s="1"/>
  <c r="B32" i="3"/>
  <c r="D32" i="3" s="1"/>
  <c r="B31" i="3"/>
  <c r="D31" i="3" s="1"/>
  <c r="B30" i="3"/>
  <c r="B29" i="3"/>
  <c r="D29" i="3" s="1"/>
  <c r="B28" i="3"/>
  <c r="D28" i="3" s="1"/>
  <c r="B27" i="3"/>
  <c r="D27" i="3" s="1"/>
  <c r="D25" i="3"/>
  <c r="B25" i="3"/>
  <c r="D24" i="3"/>
  <c r="B24" i="3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E51" i="15"/>
  <c r="B51" i="15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E44" i="15"/>
  <c r="B44" i="15"/>
  <c r="E43" i="15"/>
  <c r="B43" i="15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E62" i="14"/>
  <c r="C62" i="14"/>
  <c r="C63" i="14" s="1"/>
  <c r="C64" i="14" s="1"/>
  <c r="C65" i="14" s="1"/>
  <c r="C66" i="14" s="1"/>
  <c r="C67" i="14" s="1"/>
  <c r="B62" i="14"/>
  <c r="F61" i="14"/>
  <c r="B60" i="14"/>
  <c r="E60" i="14" s="1"/>
  <c r="E59" i="14"/>
  <c r="B59" i="14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E51" i="14"/>
  <c r="B51" i="14"/>
  <c r="C50" i="14"/>
  <c r="C51" i="14" s="1"/>
  <c r="C52" i="14" s="1"/>
  <c r="C53" i="14" s="1"/>
  <c r="B50" i="14"/>
  <c r="E50" i="14" s="1"/>
  <c r="C49" i="14"/>
  <c r="B49" i="14"/>
  <c r="E49" i="14" s="1"/>
  <c r="E48" i="14"/>
  <c r="C48" i="14"/>
  <c r="B48" i="14"/>
  <c r="F47" i="14"/>
  <c r="B46" i="14"/>
  <c r="E46" i="14" s="1"/>
  <c r="E45" i="14"/>
  <c r="B45" i="14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E37" i="14"/>
  <c r="B37" i="14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E51" i="13"/>
  <c r="B51" i="13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E53" i="12"/>
  <c r="B53" i="12"/>
  <c r="B52" i="12"/>
  <c r="E52" i="12" s="1"/>
  <c r="B51" i="12"/>
  <c r="E51" i="12" s="1"/>
  <c r="C50" i="12"/>
  <c r="C51" i="12" s="1"/>
  <c r="C52" i="12" s="1"/>
  <c r="C53" i="12" s="1"/>
  <c r="B50" i="12"/>
  <c r="E50" i="12" s="1"/>
  <c r="E49" i="12"/>
  <c r="C49" i="12"/>
  <c r="B49" i="12"/>
  <c r="C48" i="12"/>
  <c r="B48" i="12"/>
  <c r="E48" i="12" s="1"/>
  <c r="F47" i="12"/>
  <c r="B46" i="12"/>
  <c r="E46" i="12" s="1"/>
  <c r="B45" i="12"/>
  <c r="E45" i="12" s="1"/>
  <c r="E44" i="12"/>
  <c r="C44" i="12"/>
  <c r="C45" i="12" s="1"/>
  <c r="C46" i="12" s="1"/>
  <c r="B44" i="12"/>
  <c r="E43" i="12"/>
  <c r="C43" i="12"/>
  <c r="B43" i="12"/>
  <c r="C42" i="12"/>
  <c r="B42" i="12"/>
  <c r="E42" i="12" s="1"/>
  <c r="C41" i="12"/>
  <c r="B41" i="12"/>
  <c r="E41" i="12" s="1"/>
  <c r="F40" i="12"/>
  <c r="B39" i="12"/>
  <c r="E39" i="12" s="1"/>
  <c r="E38" i="12"/>
  <c r="B38" i="12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E30" i="12"/>
  <c r="B30" i="12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E60" i="11"/>
  <c r="B60" i="11"/>
  <c r="E59" i="11"/>
  <c r="B59" i="1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E52" i="11"/>
  <c r="B52" i="11"/>
  <c r="B51" i="11"/>
  <c r="E51" i="11" s="1"/>
  <c r="B50" i="11"/>
  <c r="E50" i="11" s="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E43" i="11"/>
  <c r="B43" i="1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E35" i="11"/>
  <c r="B35" i="1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E24" i="11"/>
  <c r="B24" i="1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E55" i="10"/>
  <c r="C55" i="10"/>
  <c r="B55" i="10"/>
  <c r="F54" i="10"/>
  <c r="E53" i="10"/>
  <c r="B53" i="10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U3" i="8"/>
  <c r="H3" i="8"/>
  <c r="P3" i="8" s="1"/>
  <c r="I3" i="8"/>
  <c r="Q3" i="8" s="1"/>
  <c r="J3" i="8"/>
  <c r="R3" i="8" s="1"/>
  <c r="K3" i="8"/>
  <c r="S3" i="8" s="1"/>
  <c r="L3" i="8"/>
  <c r="T3" i="8" s="1"/>
  <c r="M3" i="8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2" i="3" l="1"/>
  <c r="D22" i="4"/>
  <c r="D22" i="5"/>
  <c r="D21" i="5"/>
  <c r="D22" i="7"/>
  <c r="D21" i="7"/>
  <c r="D22" i="16"/>
  <c r="D21" i="16"/>
  <c r="D64" i="6"/>
  <c r="D48" i="6"/>
  <c r="D49" i="7"/>
  <c r="D48" i="7"/>
  <c r="D49" i="16"/>
  <c r="D48" i="3"/>
  <c r="D34" i="4"/>
  <c r="D34" i="16"/>
  <c r="D37" i="3"/>
  <c r="D36" i="5"/>
  <c r="D20" i="5"/>
  <c r="D21" i="4"/>
  <c r="D21" i="6"/>
  <c r="D10" i="4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<sst xmlns="http://schemas.openxmlformats.org/spreadsheetml/2006/main" count="656" uniqueCount="106">
  <si>
    <t>TECNOLOGÍA EN GESTIÓN DE NEGOCIOS INTERN</t>
  </si>
  <si>
    <t>SEMESTRE:</t>
  </si>
  <si>
    <t>SEM-03</t>
  </si>
  <si>
    <t>SECCIÓN:</t>
  </si>
  <si>
    <t>LIDER</t>
  </si>
  <si>
    <t>DISCIPLINAR#2</t>
  </si>
  <si>
    <t>DISCIPLINAR#3</t>
  </si>
  <si>
    <t>DISCIPLINAR#4</t>
  </si>
  <si>
    <t>DISCIPLINAR#5</t>
  </si>
  <si>
    <t>DISCIPLINAR#6</t>
  </si>
  <si>
    <t>DISCIPLINAR#7</t>
  </si>
  <si>
    <t>TECNOLOGIA APLICADA</t>
  </si>
  <si>
    <t>INTERNACIONALIZACION</t>
  </si>
  <si>
    <t>LEGISLACION PARA EL COMERCIO</t>
  </si>
  <si>
    <t>MACROECONOMÍA</t>
  </si>
  <si>
    <t>MATEMÁTICAS FINANCIERAS</t>
  </si>
  <si>
    <t>ARMANDO ACOSTA JULIO</t>
  </si>
  <si>
    <t>JEYSSON STEEVEN ANILLO CARRANZA</t>
  </si>
  <si>
    <t>ANGELICA PAOLA DOMINGUEZ CASTELLAR</t>
  </si>
  <si>
    <t>JORGE ELIECER PAREJA SHAIKH</t>
  </si>
  <si>
    <t>EDGAR ALEXANDER NAVARRO MARTINEZ</t>
  </si>
  <si>
    <t>LISTA DE ESTUDIANTES</t>
  </si>
  <si>
    <t>SEGUNDA ENTREGA - CRITERIO DE EVALUACIÓN DOCUMENTO - SEGUNDO CORTE</t>
  </si>
  <si>
    <t>PONDERACIÓN</t>
  </si>
  <si>
    <t>ADMINISTRACIÓN DE EMPRESAS C.I</t>
  </si>
  <si>
    <t>JOSE RICARDO AYOLA LOMBANA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</si>
  <si>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</si>
  <si>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</si>
  <si>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VALERIA LISETH CONSTANTE TAPIAS</t>
  </si>
  <si>
    <t>ANTEPROYECTO: Portada, planteamiento del problema, justificacion del trabajo o proyecto de aula, objetivos, marco teorico, diseño metodologico.</t>
  </si>
  <si>
    <t>CONTADURÍA PÚBLICA</t>
  </si>
  <si>
    <t>FELIPE ANDRÉS JIMENEZ DIZZETT</t>
  </si>
  <si>
    <t>RESULTADOS:  Analiza, integra y aplica de manera coherente los aspectos legales-tributarios, administrativos y tecnológicos en el desarrollo de la propuesta investigativa, evidenciando capacidad para generar soluciones viables, pertinentes y sostenibles.</t>
  </si>
  <si>
    <t>NEGOCIOS INTERNACIONALES PROFESIONAL</t>
  </si>
  <si>
    <t>ALEJANDRO DAVID NARVAEZ MONTES</t>
  </si>
  <si>
    <t>BILIOGRAFIA: Las referencias bibliograficas: adoptan las normas APA. El documento es producto de un rastreo bibliografico que muestra analisis y sistensis.</t>
  </si>
  <si>
    <t>SEBASTIAN ALONSO RAMOS TEJEDA</t>
  </si>
  <si>
    <t>ASESORIAS: Anexó la hoja de tutoria firmada ( 3 fimas minmimo).</t>
  </si>
  <si>
    <t>TECNOLOGíA EN GESTION CONTABLE</t>
  </si>
  <si>
    <t>NATALY SOFIA CASTRO JIMÉNEZ</t>
  </si>
  <si>
    <t>TECNOLOGÍA EN GESTIÓN DE MARKETING</t>
  </si>
  <si>
    <t>OSCAR ALFONSO LORDUY NEIRA</t>
  </si>
  <si>
    <t>TECNOLOGÍA EN GESTIÓN DEL TALENTO HUMANO</t>
  </si>
  <si>
    <t>DAKAR YULISA MORALES PATERNINA</t>
  </si>
  <si>
    <t>TECNOLOGÍA EN GESTIÓN FINANCIERA</t>
  </si>
  <si>
    <t>CARLOS DAVID OROZCO VALDES</t>
  </si>
  <si>
    <t>TECNOLOGÍA EN GESTIÓN LOGISTICA Y PORTUARIA</t>
  </si>
  <si>
    <t>SANDRI SARAI VALDEZ SEPULVEDA</t>
  </si>
  <si>
    <t>ENTREGA FINAL - CRITERIO DE EVALUACIÓN SUSTENTACIÓN - TERCER CORTE</t>
  </si>
  <si>
    <t>TECNOLOGÍA EN GESTIÓN TURISTICA Y HOTELERA</t>
  </si>
  <si>
    <t>JOSUE DAVID ALCALA AMAYA</t>
  </si>
  <si>
    <t>Evaluación del Documento Final</t>
  </si>
  <si>
    <t>EILIN BALSEIRO CORTINA</t>
  </si>
  <si>
    <t>Sustentación de los Resultados: Se refleja un dominio del tema, la  información está delimitada y es clara. Hay una jerarquía y fluidez en las ideas que presenta.</t>
  </si>
  <si>
    <t>JULIET ALEJANDRA BLANQUICETT BELTRAN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</si>
  <si>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</si>
  <si>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VALENTINA CASTRO IBARRA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</si>
  <si>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</si>
  <si>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LAUREN LICETH CASTILLA GONZALEZ</t>
  </si>
  <si>
    <t>Tiempo: El uso del tiempo fue apropiado, se ajusta al previsto.
Ofrece una conclusión donde condensa las ideas principales del objetivo general y los específicos.</t>
  </si>
  <si>
    <t>CARMEN CECILIA MANUEL CRUZATE</t>
  </si>
  <si>
    <t>Uso de Recursos Audiovisuales Tecnológicos: La sustentación se acompaña de recursos visuales pertinentes, atractivos y de gran calidad</t>
  </si>
  <si>
    <t>KRISTIN SOFIA PEREZ MARTINEZ</t>
  </si>
  <si>
    <t>TITULOS DE LOS PROYECTOS DE AULA</t>
  </si>
  <si>
    <t xml:space="preserve">Caracterización de los aspectos legales, tributarios, administrativos, macroeconómicos, aduaneros, tecnológicos e internacionales que definen el perfil de Grupo Argos en los negocios internacionales </t>
  </si>
  <si>
    <t>Aspectos Legales, Tributarios, Administrativos, Macroeconómicos, Aduaneros, Tecnológicos e internacionales que Definen el Perfil de Ecopetrol S.A. en los Negocios Internacionales</t>
  </si>
  <si>
    <t>Análisis integral del perfil empresarial de Grupo Nutresa S.A. en el marco de los negocios internacionales</t>
  </si>
  <si>
    <t>Aspectos legales, tributarios, administrativos, macroeconómicos, aduaneros, tecnológicos e internacionales que definen el perfil de la Federación Nacional de Cafeteros de Colombia en los negocios internacionales.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</si>
  <si>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</si>
  <si>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</si>
  <si>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</si>
  <si>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</si>
  <si>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</si>
  <si>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</si>
  <si>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</si>
  <si>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</si>
  <si>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</si>
  <si>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</si>
  <si>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</si>
  <si>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</si>
  <si>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</si>
  <si>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</si>
  <si>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</si>
  <si>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</si>
  <si>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GRUPO#7</t>
  </si>
  <si>
    <t>G07</t>
  </si>
  <si>
    <t>GRUPO#8</t>
  </si>
  <si>
    <t>G08</t>
  </si>
  <si>
    <t>GRUPO#9</t>
  </si>
  <si>
    <t>G09</t>
  </si>
  <si>
    <t>GRUPO#10</t>
  </si>
  <si>
    <t>G10</t>
  </si>
  <si>
    <t>GRUPO#11</t>
  </si>
  <si>
    <t>G11</t>
  </si>
  <si>
    <t>GRUPO#12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</si>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</sst>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91" zoomScaleNormal="91" workbookViewId="0">
      <selection activeCell="F6" sqref="F6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92" t="s">
        <v>0</v>
      </c>
      <c r="C2" s="193"/>
      <c r="D2" s="194"/>
      <c r="E2" s="101" t="s">
        <v>1</v>
      </c>
      <c r="F2" s="102" t="s">
        <v>2</v>
      </c>
      <c r="G2" s="101" t="s">
        <v>3</v>
      </c>
      <c r="H2" s="41">
        <v>2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/>
      <c r="I4" s="131"/>
    </row>
    <row r="5" spans="2:9" ht="24.95" customHeight="1" thickBot="1">
      <c r="C5" s="132" t="s">
        <v>16</v>
      </c>
      <c r="D5" s="132" t="s">
        <v>17</v>
      </c>
      <c r="E5" s="132" t="s">
        <v>18</v>
      </c>
      <c r="F5" s="132" t="s">
        <v>19</v>
      </c>
      <c r="G5" s="132" t="s">
        <v>20</v>
      </c>
      <c r="H5" s="133"/>
      <c r="I5" s="133"/>
    </row>
    <row r="6" spans="2:9" ht="24.95" customHeight="1" thickBot="1">
      <c r="C6" s="134">
        <v>2249</v>
      </c>
      <c r="D6" s="134">
        <v>2348</v>
      </c>
      <c r="E6" s="134">
        <v>2353</v>
      </c>
      <c r="F6" s="134">
        <v>1497</v>
      </c>
      <c r="G6" s="134">
        <v>1365</v>
      </c>
      <c r="H6" s="134"/>
      <c r="I6" s="134"/>
    </row>
    <row r="7" spans="2:9" ht="13.5" thickBot="1"/>
    <row r="8" spans="2:9" ht="20.100000000000001" customHeight="1">
      <c r="B8" s="108"/>
      <c r="C8" s="109" t="s">
        <v>21</v>
      </c>
      <c r="E8" s="195" t="s">
        <v>22</v>
      </c>
      <c r="F8" s="196"/>
      <c r="G8" s="197"/>
      <c r="H8" s="110" t="s">
        <v>23</v>
      </c>
      <c r="I8" s="69" t="s">
        <v>24</v>
      </c>
    </row>
    <row r="9" spans="2:9" ht="15" customHeight="1">
      <c r="B9" s="108">
        <v>1</v>
      </c>
      <c r="C9" s="111" t="s">
        <v>25</v>
      </c>
      <c r="E9" s="198" t="s">
        <v>26</v>
      </c>
      <c r="F9" s="199"/>
      <c r="G9" s="200"/>
      <c r="H9" s="135">
        <v>0.2</v>
      </c>
      <c r="I9" s="69" t="s">
        <v>27</v>
      </c>
    </row>
    <row r="10" spans="2:9" ht="15" customHeight="1">
      <c r="B10" s="108">
        <v>2</v>
      </c>
      <c r="C10" s="111" t="s">
        <v>28</v>
      </c>
      <c r="E10" s="172" t="s">
        <v>29</v>
      </c>
      <c r="F10" s="173"/>
      <c r="G10" s="174"/>
      <c r="H10" s="136">
        <v>0.2</v>
      </c>
      <c r="I10" s="69" t="s">
        <v>30</v>
      </c>
    </row>
    <row r="11" spans="2:9" ht="15" customHeight="1">
      <c r="B11" s="108">
        <v>3</v>
      </c>
      <c r="C11" s="111" t="s">
        <v>31</v>
      </c>
      <c r="E11" s="198" t="s">
        <v>32</v>
      </c>
      <c r="F11" s="199"/>
      <c r="G11" s="200"/>
      <c r="H11" s="135">
        <v>0.3</v>
      </c>
      <c r="I11" s="69" t="s">
        <v>33</v>
      </c>
    </row>
    <row r="12" spans="2:9" ht="15" customHeight="1">
      <c r="B12" s="108">
        <v>4</v>
      </c>
      <c r="C12" s="111" t="s">
        <v>34</v>
      </c>
      <c r="E12" s="172" t="s">
        <v>35</v>
      </c>
      <c r="F12" s="173"/>
      <c r="G12" s="174"/>
      <c r="H12" s="136">
        <v>0.2</v>
      </c>
      <c r="I12" s="69" t="s">
        <v>0</v>
      </c>
    </row>
    <row r="13" spans="2:9" ht="15" customHeight="1">
      <c r="B13" s="108">
        <v>5</v>
      </c>
      <c r="C13" s="111" t="s">
        <v>36</v>
      </c>
      <c r="E13" s="175" t="s">
        <v>37</v>
      </c>
      <c r="F13" s="176"/>
      <c r="G13" s="177"/>
      <c r="H13" s="135">
        <v>0.1</v>
      </c>
      <c r="I13" s="69" t="s">
        <v>38</v>
      </c>
    </row>
    <row r="14" spans="2:9" ht="15" customHeight="1">
      <c r="B14" s="108">
        <v>6</v>
      </c>
      <c r="C14" s="111" t="s">
        <v>39</v>
      </c>
      <c r="E14" s="178"/>
      <c r="F14" s="170"/>
      <c r="G14" s="171"/>
      <c r="H14" s="136">
        <v>0</v>
      </c>
      <c r="I14" s="69" t="s">
        <v>40</v>
      </c>
    </row>
    <row r="15" spans="2:9" ht="15" customHeight="1" thickBot="1">
      <c r="B15" s="108">
        <v>7</v>
      </c>
      <c r="C15" s="111" t="s">
        <v>41</v>
      </c>
      <c r="E15" s="179"/>
      <c r="F15" s="180"/>
      <c r="G15" s="181"/>
      <c r="H15" s="135">
        <v>0</v>
      </c>
      <c r="I15" s="69" t="s">
        <v>42</v>
      </c>
    </row>
    <row r="16" spans="2:9" ht="15" customHeight="1" thickBot="1">
      <c r="B16" s="108">
        <v>8</v>
      </c>
      <c r="C16" s="111" t="s">
        <v>43</v>
      </c>
      <c r="E16" s="112"/>
      <c r="F16" s="112"/>
      <c r="G16" s="112"/>
      <c r="H16" s="137">
        <f>IF(SUM(H9:H15)&gt;1,"Más del 100%",SUM(H9:H15))</f>
        <v>0.99999999999999989</v>
      </c>
      <c r="I16" s="69" t="s">
        <v>44</v>
      </c>
    </row>
    <row r="17" spans="2:9" ht="15" customHeight="1" thickBot="1">
      <c r="B17" s="108">
        <v>9</v>
      </c>
      <c r="C17" s="111" t="s">
        <v>45</v>
      </c>
      <c r="E17" s="188"/>
      <c r="F17" s="188"/>
      <c r="G17" s="188"/>
      <c r="H17" s="188"/>
      <c r="I17" s="69" t="s">
        <v>46</v>
      </c>
    </row>
    <row r="18" spans="2:9" ht="15" customHeight="1" thickBot="1">
      <c r="B18" s="108">
        <v>10</v>
      </c>
      <c r="C18" s="111" t="s">
        <v>47</v>
      </c>
      <c r="E18" s="162" t="s">
        <v>48</v>
      </c>
      <c r="F18" s="163"/>
      <c r="G18" s="163"/>
      <c r="H18" s="113" t="s">
        <v>23</v>
      </c>
      <c r="I18" s="69" t="s">
        <v>49</v>
      </c>
    </row>
    <row r="19" spans="2:9" ht="15" customHeight="1">
      <c r="B19" s="108">
        <v>11</v>
      </c>
      <c r="C19" s="111" t="s">
        <v>50</v>
      </c>
      <c r="E19" s="185" t="s">
        <v>51</v>
      </c>
      <c r="F19" s="186"/>
      <c r="G19" s="187"/>
      <c r="H19" s="138">
        <v>0.5</v>
      </c>
    </row>
    <row r="20" spans="2:9" ht="15" customHeight="1">
      <c r="B20" s="108">
        <v>12</v>
      </c>
      <c r="C20" s="111" t="s">
        <v>52</v>
      </c>
      <c r="E20" s="164" t="s">
        <v>53</v>
      </c>
      <c r="F20" s="165"/>
      <c r="G20" s="166"/>
      <c r="H20" s="139">
        <v>0.2</v>
      </c>
    </row>
    <row r="21" spans="2:9" ht="15" customHeight="1">
      <c r="B21" s="108">
        <v>13</v>
      </c>
      <c r="C21" s="111" t="s">
        <v>54</v>
      </c>
      <c r="E21" s="167" t="s">
        <v>55</v>
      </c>
      <c r="F21" s="168"/>
      <c r="G21" s="169"/>
      <c r="H21" s="140">
        <v>0.1</v>
      </c>
    </row>
    <row r="22" spans="2:9" ht="15" customHeight="1">
      <c r="B22" s="108">
        <v>14</v>
      </c>
      <c r="C22" s="111" t="s">
        <v>56</v>
      </c>
      <c r="E22" s="164" t="s">
        <v>57</v>
      </c>
      <c r="F22" s="170"/>
      <c r="G22" s="171"/>
      <c r="H22" s="139">
        <v>0.05</v>
      </c>
    </row>
    <row r="23" spans="2:9" ht="15" customHeight="1">
      <c r="B23" s="108">
        <v>15</v>
      </c>
      <c r="C23" s="111" t="s">
        <v>58</v>
      </c>
      <c r="E23" s="167" t="s">
        <v>59</v>
      </c>
      <c r="F23" s="168"/>
      <c r="G23" s="169"/>
      <c r="H23" s="141">
        <v>0.05</v>
      </c>
    </row>
    <row r="24" spans="2:9" ht="15" customHeight="1">
      <c r="B24" s="108">
        <v>16</v>
      </c>
      <c r="C24" s="111" t="s">
        <v>60</v>
      </c>
      <c r="E24" s="164" t="s">
        <v>61</v>
      </c>
      <c r="F24" s="165"/>
      <c r="G24" s="166"/>
      <c r="H24" s="139">
        <v>0.1</v>
      </c>
    </row>
    <row r="25" spans="2:9" ht="15" customHeight="1" thickBot="1">
      <c r="B25" s="108">
        <v>17</v>
      </c>
      <c r="C25" s="111" t="s">
        <v>62</v>
      </c>
      <c r="E25" s="182"/>
      <c r="F25" s="183"/>
      <c r="G25" s="184"/>
      <c r="H25" s="140"/>
    </row>
    <row r="26" spans="2:9" ht="15" customHeight="1" thickBot="1">
      <c r="B26" s="108">
        <v>18</v>
      </c>
      <c r="C26" s="111"/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/>
      <c r="E27" s="114"/>
      <c r="F27" s="114"/>
      <c r="G27" s="114"/>
      <c r="H27" s="114"/>
    </row>
    <row r="28" spans="2:9" ht="15" customHeight="1" thickBot="1">
      <c r="B28" s="108">
        <v>20</v>
      </c>
      <c r="C28" s="111"/>
      <c r="E28" s="189" t="s">
        <v>63</v>
      </c>
      <c r="F28" s="190"/>
      <c r="G28" s="190"/>
      <c r="H28" s="191"/>
    </row>
    <row r="29" spans="2:9" ht="15" customHeight="1" thickBot="1">
      <c r="B29" s="108">
        <v>21</v>
      </c>
      <c r="C29" s="111"/>
      <c r="E29" s="159" t="s">
        <v>64</v>
      </c>
      <c r="F29" s="160"/>
      <c r="G29" s="160"/>
      <c r="H29" s="161"/>
    </row>
    <row r="30" spans="2:9" ht="15" customHeight="1" thickBot="1">
      <c r="B30" s="108">
        <v>22</v>
      </c>
      <c r="C30" s="111"/>
      <c r="E30" s="156" t="s">
        <v>65</v>
      </c>
      <c r="F30" s="157"/>
      <c r="G30" s="157"/>
      <c r="H30" s="158"/>
    </row>
    <row r="31" spans="2:9" ht="15" customHeight="1" thickBot="1">
      <c r="B31" s="108">
        <v>23</v>
      </c>
      <c r="C31" s="111"/>
      <c r="E31" s="159" t="s">
        <v>66</v>
      </c>
      <c r="F31" s="160"/>
      <c r="G31" s="160"/>
      <c r="H31" s="161"/>
    </row>
    <row r="32" spans="2:9" ht="15" customHeight="1" thickBot="1">
      <c r="B32" s="108">
        <v>24</v>
      </c>
      <c r="C32" s="111"/>
      <c r="E32" s="156" t="s">
        <v>67</v>
      </c>
      <c r="F32" s="157"/>
      <c r="G32" s="157"/>
      <c r="H32" s="158"/>
    </row>
    <row r="33" spans="2:8" ht="15" customHeight="1" thickBot="1">
      <c r="B33" s="108">
        <v>25</v>
      </c>
      <c r="C33" s="111"/>
      <c r="E33" s="159"/>
      <c r="F33" s="160"/>
      <c r="G33" s="160"/>
      <c r="H33" s="161"/>
    </row>
    <row r="34" spans="2:8" ht="15" customHeight="1" thickBot="1">
      <c r="B34" s="108">
        <v>26</v>
      </c>
      <c r="C34" s="111"/>
      <c r="E34" s="156"/>
      <c r="F34" s="157"/>
      <c r="G34" s="157"/>
      <c r="H34" s="158"/>
    </row>
    <row r="35" spans="2:8" ht="15" customHeight="1" thickBot="1">
      <c r="B35" s="108">
        <v>27</v>
      </c>
      <c r="C35" s="111"/>
      <c r="E35" s="159"/>
      <c r="F35" s="160"/>
      <c r="G35" s="160"/>
      <c r="H35" s="161"/>
    </row>
    <row r="36" spans="2:8" ht="15" customHeight="1" thickBot="1">
      <c r="B36" s="108">
        <v>28</v>
      </c>
      <c r="C36" s="111"/>
      <c r="E36" s="156"/>
      <c r="F36" s="157"/>
      <c r="G36" s="157"/>
      <c r="H36" s="158"/>
    </row>
    <row r="37" spans="2:8" ht="15" customHeight="1" thickBot="1">
      <c r="B37" s="108">
        <v>29</v>
      </c>
      <c r="C37" s="111"/>
      <c r="E37" s="159"/>
      <c r="F37" s="160"/>
      <c r="G37" s="160"/>
      <c r="H37" s="161"/>
    </row>
    <row r="38" spans="2:8" ht="15" customHeight="1" thickBot="1">
      <c r="B38" s="108">
        <v>30</v>
      </c>
      <c r="C38" s="111"/>
      <c r="E38" s="156"/>
      <c r="F38" s="157"/>
      <c r="G38" s="157"/>
      <c r="H38" s="158"/>
    </row>
    <row r="39" spans="2:8" ht="15" customHeight="1" thickBot="1">
      <c r="B39" s="108">
        <v>31</v>
      </c>
      <c r="C39" s="111"/>
      <c r="E39" s="159"/>
      <c r="F39" s="160"/>
      <c r="G39" s="160"/>
      <c r="H39" s="161"/>
    </row>
    <row r="40" spans="2:8" ht="15" customHeight="1" thickBot="1">
      <c r="B40" s="108">
        <v>32</v>
      </c>
      <c r="C40" s="111"/>
      <c r="E40" s="156"/>
      <c r="F40" s="157"/>
      <c r="G40" s="157"/>
      <c r="H40" s="158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Caracterización de l</v>
      </c>
      <c r="F42" s="116" t="str">
        <f>MID(E30,1,20)</f>
        <v>Aspectos Legales, Tr</v>
      </c>
      <c r="G42" s="116" t="str">
        <f>MID(E31,1,20)</f>
        <v>Análisis integral de</v>
      </c>
      <c r="H42" s="117" t="str">
        <f>MID(E32,1,20)</f>
        <v>Aspectos legales, tr</v>
      </c>
    </row>
    <row r="43" spans="2:8" ht="15" customHeight="1">
      <c r="B43" s="108">
        <v>35</v>
      </c>
      <c r="C43" s="111"/>
      <c r="E43" s="118" t="s">
        <v>25</v>
      </c>
      <c r="F43" s="119" t="s">
        <v>39</v>
      </c>
      <c r="G43" s="119" t="s">
        <v>50</v>
      </c>
      <c r="H43" s="120" t="s">
        <v>58</v>
      </c>
    </row>
    <row r="44" spans="2:8" ht="15" customHeight="1">
      <c r="B44" s="108">
        <v>36</v>
      </c>
      <c r="C44" s="111"/>
      <c r="E44" s="121" t="s">
        <v>28</v>
      </c>
      <c r="F44" s="122" t="s">
        <v>41</v>
      </c>
      <c r="G44" s="122" t="s">
        <v>52</v>
      </c>
      <c r="H44" s="123" t="s">
        <v>60</v>
      </c>
    </row>
    <row r="45" spans="2:8" ht="15" customHeight="1">
      <c r="B45" s="108">
        <v>37</v>
      </c>
      <c r="C45" s="111"/>
      <c r="E45" s="124" t="s">
        <v>31</v>
      </c>
      <c r="F45" s="125" t="s">
        <v>43</v>
      </c>
      <c r="G45" s="125" t="s">
        <v>54</v>
      </c>
      <c r="H45" s="126" t="s">
        <v>62</v>
      </c>
    </row>
    <row r="46" spans="2:8" ht="15" customHeight="1">
      <c r="B46" s="108">
        <v>38</v>
      </c>
      <c r="C46" s="111"/>
      <c r="E46" s="121" t="s">
        <v>34</v>
      </c>
      <c r="F46" s="122" t="s">
        <v>45</v>
      </c>
      <c r="G46" s="122" t="s">
        <v>56</v>
      </c>
      <c r="H46" s="123"/>
    </row>
    <row r="47" spans="2:8" ht="15" customHeight="1">
      <c r="B47" s="108">
        <v>39</v>
      </c>
      <c r="C47" s="111"/>
      <c r="E47" s="124" t="s">
        <v>36</v>
      </c>
      <c r="F47" s="125" t="s">
        <v>47</v>
      </c>
      <c r="G47" s="125"/>
      <c r="H47" s="126"/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/>
      </c>
      <c r="F50" s="116" t="str">
        <f>MID(E34,1,20)</f>
        <v/>
      </c>
      <c r="G50" s="116" t="str">
        <f>MID(E35,1,20)</f>
        <v/>
      </c>
      <c r="H50" s="117" t="str">
        <f>MID(E36,1,20)</f>
        <v/>
      </c>
    </row>
    <row r="51" spans="2:8" ht="15" customHeight="1">
      <c r="B51" s="108">
        <v>43</v>
      </c>
      <c r="C51" s="111"/>
      <c r="E51" s="118"/>
      <c r="F51" s="119"/>
      <c r="G51" s="119"/>
      <c r="H51" s="120"/>
    </row>
    <row r="52" spans="2:8" ht="15" customHeight="1">
      <c r="B52" s="108">
        <v>44</v>
      </c>
      <c r="C52" s="111"/>
      <c r="E52" s="121"/>
      <c r="F52" s="122"/>
      <c r="G52" s="122"/>
      <c r="H52" s="123"/>
    </row>
    <row r="53" spans="2:8" ht="15" customHeight="1">
      <c r="B53" s="108">
        <v>45</v>
      </c>
      <c r="C53" s="111"/>
      <c r="E53" s="124"/>
      <c r="F53" s="125"/>
      <c r="G53" s="125"/>
      <c r="H53" s="126"/>
    </row>
    <row r="54" spans="2:8" ht="15" customHeight="1">
      <c r="B54" s="108">
        <v>46</v>
      </c>
      <c r="C54" s="111"/>
      <c r="E54" s="121"/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/>
      </c>
      <c r="F58" s="116" t="str">
        <f>MID(E38,1,20)</f>
        <v/>
      </c>
      <c r="G58" s="116" t="str">
        <f>MID(E39,1,20)</f>
        <v/>
      </c>
      <c r="H58" s="117" t="str">
        <f>MID(E40,1,20)</f>
        <v/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2MeO7CkgxYx747vRdMpIeNK3dPHLA6eBX3lJkK3Lg39DlpCOjUzTqDMMl/HgD8iIxeJffFM15UpXtb4Q2GIWlg==" saltValue="8b6zaN9uuz6yJMaCUwcJtg==" spinCount="100000" sheet="1" objects="1" scenarios="1"/>
  <dataConsolidate/>
  <mergeCells count="31"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zoomScale="91" zoomScaleNormal="91" workbookViewId="0">
      <pane xSplit="5" ySplit="3" topLeftCell="F4" activePane="bottomRight" state="frozen"/>
      <selection pane="bottomRight" activeCell="F20" sqref="F20:F25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LIDER!C4</f>
        <v>TECNOLOGIA APLICADA</v>
      </c>
      <c r="C2" s="82"/>
      <c r="D2" s="3"/>
      <c r="F2" s="149" t="s">
        <v>68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69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CONCATENATE(LIDER!C4," - ",LIDER!C6," - ",LIDER!C5)</f>
        <v>TECNOLOGIA APLICADA - 2249 - ARMANDO ACOSTA JULIO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70</v>
      </c>
      <c r="C5" s="88" t="s">
        <v>71</v>
      </c>
      <c r="D5" s="32" t="s">
        <v>72</v>
      </c>
      <c r="E5" s="89" t="s">
        <v>73</v>
      </c>
      <c r="F5" s="142" t="str">
        <f>LIDER!$E$29</f>
        <v xml:space="preserve">Caracterización de los aspectos legales, tributarios, administrativos, macroeconómicos, aduaneros, tecnológicos e internacionales que definen el perfil de Grupo Argos en los negocios internacionales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JOSE RICARDO AYOLA LOMBANA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4.9000000000000004</v>
      </c>
      <c r="F6" s="143">
        <v>5</v>
      </c>
      <c r="G6" s="144">
        <v>4.8</v>
      </c>
      <c r="H6" s="145">
        <v>4.8</v>
      </c>
      <c r="I6" s="144">
        <v>5</v>
      </c>
      <c r="J6" s="145">
        <v>5</v>
      </c>
      <c r="K6" s="144"/>
      <c r="L6" s="145"/>
    </row>
    <row r="7" spans="1:12" s="2" customFormat="1" ht="15" customHeight="1">
      <c r="A7" s="12">
        <v>2</v>
      </c>
      <c r="B7" s="10" t="str">
        <f>LIDER!E44</f>
        <v>VALERIA LISETH CONSTANTE TAPIAS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4.9000000000000004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FELIPE ANDRÉS JIMENEZ DIZZETT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4.9000000000000004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ALEJANDRO DAVID NARVAEZ MONTES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4.9000000000000004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SEBASTIAN ALONSO RAMOS TEJEDA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4.9000000000000004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74</v>
      </c>
      <c r="C12" s="88" t="s">
        <v>75</v>
      </c>
      <c r="D12" s="32" t="str">
        <f>D5</f>
        <v>LIST</v>
      </c>
      <c r="E12" s="89" t="s">
        <v>73</v>
      </c>
      <c r="F12" s="142" t="str">
        <f>LIDER!$E$30</f>
        <v>Aspectos Legales, Tributarios, Administrativos, Macroeconómicos, Aduaneros, Tecnológicos e internacionales que Definen el Perfil de Ecopetrol S.A. en los Negocios Internacionales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NATALY SOFIA CASTRO JIMÉNEZ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4.6500000000000004</v>
      </c>
      <c r="F13" s="143">
        <v>4.5</v>
      </c>
      <c r="G13" s="144">
        <v>4.5</v>
      </c>
      <c r="H13" s="145">
        <v>4.5</v>
      </c>
      <c r="I13" s="144">
        <v>5</v>
      </c>
      <c r="J13" s="145">
        <v>5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OSCAR ALFONSO LORDUY NEIRA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4.6500000000000004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DAKAR YULISA MORALES PATERNINA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4.6500000000000004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CARLOS DAVID OROZCO VALDES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4.6500000000000004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SANDRI SARAI VALDEZ SEPULVEDA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4.6500000000000004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76</v>
      </c>
      <c r="C19" s="88" t="s">
        <v>77</v>
      </c>
      <c r="D19" s="32" t="str">
        <f>D12</f>
        <v>LIST</v>
      </c>
      <c r="E19" s="89" t="s">
        <v>73</v>
      </c>
      <c r="F19" s="142" t="str">
        <f>LIDER!$E$31</f>
        <v>Análisis integral del perfil empresarial de Grupo Nutresa S.A. en el marco de los negocios internacionales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JOSUE DAVID ALCALA AMAYA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4.72</v>
      </c>
      <c r="F20" s="143">
        <v>4.5999999999999996</v>
      </c>
      <c r="G20" s="144">
        <v>4.5999999999999996</v>
      </c>
      <c r="H20" s="145">
        <v>4.5999999999999996</v>
      </c>
      <c r="I20" s="144">
        <v>5</v>
      </c>
      <c r="J20" s="145">
        <v>5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EILIN BALSEIRO CORTINA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4.72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JULIET ALEJANDRA BLANQUICETT BELTRAN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4.72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VALENTINA CASTRO IBARRA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4.72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78</v>
      </c>
      <c r="C26" s="88" t="s">
        <v>79</v>
      </c>
      <c r="D26" s="32" t="str">
        <f>D19</f>
        <v>LIST</v>
      </c>
      <c r="E26" s="89" t="s">
        <v>73</v>
      </c>
      <c r="F26" s="142" t="str">
        <f>LIDER!$E$32</f>
        <v>Aspectos legales, tributarios, administrativos, macroeconómicos, aduaneros, tecnológicos e internacionales que definen el perfil de la Federación Nacional de Cafeteros de Colombia en los negocios internacionales.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LAUREN LICETH CASTILLA GONZALEZ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3.65</v>
      </c>
      <c r="F27" s="143">
        <v>4</v>
      </c>
      <c r="G27" s="144">
        <v>4</v>
      </c>
      <c r="H27" s="145">
        <v>4</v>
      </c>
      <c r="I27" s="144">
        <v>2</v>
      </c>
      <c r="J27" s="145">
        <v>4.5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CARMEN CECILIA MANUEL CRUZATE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3.65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KRISTIN SOFIA PEREZ MARTINEZ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3.65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80</v>
      </c>
      <c r="C33" s="88" t="s">
        <v>81</v>
      </c>
      <c r="D33" s="32" t="str">
        <f>D26</f>
        <v>LIST</v>
      </c>
      <c r="E33" s="89" t="s">
        <v>73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82</v>
      </c>
      <c r="C40" s="88" t="s">
        <v>83</v>
      </c>
      <c r="D40" s="32" t="str">
        <f>D33</f>
        <v>LIST</v>
      </c>
      <c r="E40" s="89" t="s">
        <v>73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84</v>
      </c>
      <c r="C47" s="88" t="s">
        <v>85</v>
      </c>
      <c r="D47" s="32" t="str">
        <f>D40</f>
        <v>LIST</v>
      </c>
      <c r="E47" s="89" t="s">
        <v>73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86</v>
      </c>
      <c r="C54" s="88" t="s">
        <v>87</v>
      </c>
      <c r="D54" s="32" t="str">
        <f>D47</f>
        <v>LIST</v>
      </c>
      <c r="E54" s="89" t="s">
        <v>73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88</v>
      </c>
      <c r="C61" s="88" t="s">
        <v>89</v>
      </c>
      <c r="D61" s="32" t="str">
        <f>D54</f>
        <v>LIST</v>
      </c>
      <c r="E61" s="89" t="s">
        <v>73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90</v>
      </c>
      <c r="C68" s="88" t="s">
        <v>91</v>
      </c>
      <c r="D68" s="32" t="str">
        <f>D61</f>
        <v>LIST</v>
      </c>
      <c r="E68" s="89" t="s">
        <v>73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92</v>
      </c>
      <c r="C75" s="88" t="s">
        <v>93</v>
      </c>
      <c r="D75" s="32" t="str">
        <f>D68</f>
        <v>LIST</v>
      </c>
      <c r="E75" s="89" t="s">
        <v>73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94</v>
      </c>
      <c r="C82" s="88" t="s">
        <v>95</v>
      </c>
      <c r="D82" s="32" t="str">
        <f>D75</f>
        <v>LIST</v>
      </c>
      <c r="E82" s="89" t="s">
        <v>73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14" activePane="bottomRight" state="frozen"/>
      <selection pane="bottomRight" activeCell="K27" sqref="K27:K32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LIDER!D4</f>
        <v>INTERNACIONALIZACION</v>
      </c>
      <c r="C2" s="82"/>
      <c r="D2" s="3"/>
      <c r="F2" s="149" t="s">
        <v>68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69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CONCATENATE(LIDER!D4," - ",LIDER!D6," - ",LIDER!D5)</f>
        <v>INTERNACIONALIZACION - 2348 - JEYSSON STEEVEN ANILLO CARRANZA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70</v>
      </c>
      <c r="C5" s="88" t="s">
        <v>71</v>
      </c>
      <c r="D5" s="32" t="s">
        <v>72</v>
      </c>
      <c r="E5" s="89" t="s">
        <v>73</v>
      </c>
      <c r="F5" s="142" t="str">
        <f>LIDER!$E$29</f>
        <v xml:space="preserve">Caracterización de los aspectos legales, tributarios, administrativos, macroeconómicos, aduaneros, tecnológicos e internacionales que definen el perfil de Grupo Argos en los negocios internacionales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JOSE RICARDO AYOLA LOMBANA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4.620000000000001</v>
      </c>
      <c r="F6" s="143">
        <v>4.7</v>
      </c>
      <c r="G6" s="144">
        <v>4.7</v>
      </c>
      <c r="H6" s="145">
        <v>4.8</v>
      </c>
      <c r="I6" s="144">
        <v>4.3</v>
      </c>
      <c r="J6" s="145">
        <v>4.4000000000000004</v>
      </c>
      <c r="K6" s="144"/>
      <c r="L6" s="145"/>
    </row>
    <row r="7" spans="1:12" s="2" customFormat="1" ht="15" customHeight="1">
      <c r="A7" s="12">
        <v>2</v>
      </c>
      <c r="B7" s="10" t="str">
        <f>LIDER!E44</f>
        <v>VALERIA LISETH CONSTANTE TAPIAS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4.620000000000001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FELIPE ANDRÉS JIMENEZ DIZZETT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4.620000000000001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ALEJANDRO DAVID NARVAEZ MONTES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4.620000000000001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SEBASTIAN ALONSO RAMOS TEJEDA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4.620000000000001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74</v>
      </c>
      <c r="C12" s="88" t="s">
        <v>75</v>
      </c>
      <c r="D12" s="32" t="str">
        <f>D5</f>
        <v>LIST</v>
      </c>
      <c r="E12" s="89" t="s">
        <v>73</v>
      </c>
      <c r="F12" s="142" t="str">
        <f>LIDER!$E$30</f>
        <v>Aspectos Legales, Tributarios, Administrativos, Macroeconómicos, Aduaneros, Tecnológicos e internacionales que Definen el Perfil de Ecopetrol S.A. en los Negocios Internacionales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NATALY SOFIA CASTRO JIMÉNEZ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4.37</v>
      </c>
      <c r="F13" s="143">
        <v>4.4000000000000004</v>
      </c>
      <c r="G13" s="144">
        <v>4.5</v>
      </c>
      <c r="H13" s="145">
        <v>4.3</v>
      </c>
      <c r="I13" s="144">
        <v>4.4000000000000004</v>
      </c>
      <c r="J13" s="145">
        <v>4.2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OSCAR ALFONSO LORDUY NEIRA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4.37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DAKAR YULISA MORALES PATERNINA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4.37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CARLOS DAVID OROZCO VALDES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4.37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SANDRI SARAI VALDEZ SEPULVEDA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4.37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76</v>
      </c>
      <c r="C19" s="88" t="s">
        <v>77</v>
      </c>
      <c r="D19" s="32" t="str">
        <f>D12</f>
        <v>LIST</v>
      </c>
      <c r="E19" s="89" t="s">
        <v>73</v>
      </c>
      <c r="F19" s="142" t="str">
        <f>LIDER!$E$31</f>
        <v>Análisis integral del perfil empresarial de Grupo Nutresa S.A. en el marco de los negocios internacionales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JOSUE DAVID ALCALA AMAYA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4.5799999999999992</v>
      </c>
      <c r="F20" s="143">
        <v>4.5</v>
      </c>
      <c r="G20" s="144">
        <v>4.5999999999999996</v>
      </c>
      <c r="H20" s="145">
        <v>4.7</v>
      </c>
      <c r="I20" s="144">
        <v>4.5999999999999996</v>
      </c>
      <c r="J20" s="145">
        <v>4.3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EILIN BALSEIRO CORTINA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4.5799999999999992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JULIET ALEJANDRA BLANQUICETT BELTRAN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4.5799999999999992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VALENTINA CASTRO IBARRA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4.5799999999999992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78</v>
      </c>
      <c r="C26" s="88" t="s">
        <v>79</v>
      </c>
      <c r="D26" s="32" t="str">
        <f>D19</f>
        <v>LIST</v>
      </c>
      <c r="E26" s="89" t="s">
        <v>73</v>
      </c>
      <c r="F26" s="142" t="str">
        <f>LIDER!$E$32</f>
        <v>Aspectos legales, tributarios, administrativos, macroeconómicos, aduaneros, tecnológicos e internacionales que definen el perfil de la Federación Nacional de Cafeteros de Colombia en los negocios internacionales.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LAUREN LICETH CASTILLA GONZALEZ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3.28</v>
      </c>
      <c r="F27" s="143">
        <v>3.8</v>
      </c>
      <c r="G27" s="144">
        <v>3.9</v>
      </c>
      <c r="H27" s="145">
        <v>3.8</v>
      </c>
      <c r="I27" s="144">
        <v>1</v>
      </c>
      <c r="J27" s="145">
        <v>4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CARMEN CECILIA MANUEL CRUZATE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3.28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KRISTIN SOFIA PEREZ MARTINEZ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3.28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80</v>
      </c>
      <c r="C33" s="88" t="s">
        <v>81</v>
      </c>
      <c r="D33" s="32" t="str">
        <f>D26</f>
        <v>LIST</v>
      </c>
      <c r="E33" s="89" t="s">
        <v>73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82</v>
      </c>
      <c r="C40" s="88" t="s">
        <v>83</v>
      </c>
      <c r="D40" s="32" t="str">
        <f>D33</f>
        <v>LIST</v>
      </c>
      <c r="E40" s="89" t="s">
        <v>73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84</v>
      </c>
      <c r="C47" s="88" t="s">
        <v>85</v>
      </c>
      <c r="D47" s="32" t="str">
        <f>D40</f>
        <v>LIST</v>
      </c>
      <c r="E47" s="89" t="s">
        <v>73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86</v>
      </c>
      <c r="C54" s="88" t="s">
        <v>87</v>
      </c>
      <c r="D54" s="32" t="str">
        <f>D47</f>
        <v>LIST</v>
      </c>
      <c r="E54" s="89" t="s">
        <v>73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88</v>
      </c>
      <c r="C61" s="88" t="s">
        <v>89</v>
      </c>
      <c r="D61" s="32" t="str">
        <f>D54</f>
        <v>LIST</v>
      </c>
      <c r="E61" s="89" t="s">
        <v>73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90</v>
      </c>
      <c r="C68" s="88" t="s">
        <v>91</v>
      </c>
      <c r="D68" s="32" t="str">
        <f>D61</f>
        <v>LIST</v>
      </c>
      <c r="E68" s="89" t="s">
        <v>73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92</v>
      </c>
      <c r="C75" s="88" t="s">
        <v>93</v>
      </c>
      <c r="D75" s="32" t="str">
        <f>D68</f>
        <v>LIST</v>
      </c>
      <c r="E75" s="89" t="s">
        <v>73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94</v>
      </c>
      <c r="C82" s="88" t="s">
        <v>95</v>
      </c>
      <c r="D82" s="32" t="str">
        <f>D75</f>
        <v>LIST</v>
      </c>
      <c r="E82" s="89" t="s">
        <v>73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tabSelected="1" zoomScale="86" zoomScaleNormal="86" workbookViewId="0">
      <pane xSplit="5" ySplit="3" topLeftCell="F21" activePane="bottomRight" state="frozen"/>
      <selection pane="bottomRight" activeCell="G20" sqref="G20:G25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LIDER!E4</f>
        <v>LEGISLACION PARA EL COMERCIO</v>
      </c>
      <c r="C2" s="82"/>
      <c r="D2" s="3"/>
      <c r="F2" s="149" t="s">
        <v>68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69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CONCATENATE(LIDER!E4," - ",LIDER!E6," - ",LIDER!E5)</f>
        <v>LEGISLACION PARA EL COMERCIO - 2353 - ANGELICA PAOLA DOMINGUEZ CASTELLAR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70</v>
      </c>
      <c r="C5" s="88" t="s">
        <v>71</v>
      </c>
      <c r="D5" s="32" t="s">
        <v>72</v>
      </c>
      <c r="E5" s="89" t="s">
        <v>73</v>
      </c>
      <c r="F5" s="142" t="str">
        <f>LIDER!$E$29</f>
        <v xml:space="preserve">Caracterización de los aspectos legales, tributarios, administrativos, macroeconómicos, aduaneros, tecnológicos e internacionales que definen el perfil de Grupo Argos en los negocios internacionales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JOSE RICARDO AYOLA LOMBANA</v>
      </c>
      <c r="C6" s="90" t="str">
        <f>C5</f>
        <v>G01</v>
      </c>
      <c r="D6" s="95" t="s">
        <v>96</v>
      </c>
      <c r="E6" s="11" t="str">
        <f>IF(B6=0,0,IF(D6="",$F$6*LIDER!$H$9+$G$6*LIDER!$H$10+$H$6*LIDER!$H$11+$I$6*LIDER!$H$12+$J$6*LIDER!$H$13+$K$6*LIDER!$H$14+$L$6*LIDER!$H$15,"N"))</f>
        <v>N</v>
      </c>
      <c r="F6" s="143">
        <v>4.5</v>
      </c>
      <c r="G6" s="144">
        <v>4.5</v>
      </c>
      <c r="H6" s="145">
        <v>4.5</v>
      </c>
      <c r="I6" s="144">
        <v>5</v>
      </c>
      <c r="J6" s="145">
        <v>5</v>
      </c>
      <c r="K6" s="144"/>
      <c r="L6" s="145"/>
    </row>
    <row r="7" spans="1:12" s="2" customFormat="1" ht="15" customHeight="1">
      <c r="A7" s="12">
        <v>2</v>
      </c>
      <c r="B7" s="10" t="str">
        <f>LIDER!E44</f>
        <v>VALERIA LISETH CONSTANTE TAPIAS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4.6500000000000004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FELIPE ANDRÉS JIMENEZ DIZZETT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4.6500000000000004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ALEJANDRO DAVID NARVAEZ MONTES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4.6500000000000004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SEBASTIAN ALONSO RAMOS TEJEDA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4.6500000000000004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74</v>
      </c>
      <c r="C12" s="88" t="s">
        <v>75</v>
      </c>
      <c r="D12" s="32" t="str">
        <f>D5</f>
        <v>LIST</v>
      </c>
      <c r="E12" s="89" t="s">
        <v>73</v>
      </c>
      <c r="F12" s="142" t="str">
        <f>LIDER!$E$30</f>
        <v>Aspectos Legales, Tributarios, Administrativos, Macroeconómicos, Aduaneros, Tecnológicos e internacionales que Definen el Perfil de Ecopetrol S.A. en los Negocios Internacionales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NATALY SOFIA CASTRO JIMÉNEZ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4.5600000000000005</v>
      </c>
      <c r="F13" s="143">
        <v>4.5</v>
      </c>
      <c r="G13" s="144">
        <v>4.5</v>
      </c>
      <c r="H13" s="145">
        <v>4.2</v>
      </c>
      <c r="I13" s="144">
        <v>5</v>
      </c>
      <c r="J13" s="145">
        <v>5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OSCAR ALFONSO LORDUY NEIRA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4.5600000000000005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DAKAR YULISA MORALES PATERNINA</v>
      </c>
      <c r="C15" s="90" t="str">
        <f t="shared" si="1"/>
        <v>G02</v>
      </c>
      <c r="D15" s="96" t="s">
        <v>96</v>
      </c>
      <c r="E15" s="11" t="str">
        <f>IF(B15=0,0,IF(D15="",$F$13*LIDER!$H$9+$G$13*LIDER!$H$10+$H$13*LIDER!$H$11+$I$13*LIDER!$H$12+$J$13*LIDER!$H$13+$K$13*LIDER!$H$14+$L$13*LIDER!$H$15,"N"))</f>
        <v>N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CARLOS DAVID OROZCO VALDES</v>
      </c>
      <c r="C16" s="90" t="str">
        <f t="shared" si="1"/>
        <v>G02</v>
      </c>
      <c r="D16" s="96" t="s">
        <v>96</v>
      </c>
      <c r="E16" s="11" t="str">
        <f>IF(B16=0,0,IF(D16="",$F$13*LIDER!$H$9+$G$13*LIDER!$H$10+$H$13*LIDER!$H$11+$I$13*LIDER!$H$12+$J$13*LIDER!$H$13+$K$13*LIDER!$H$14+$L$13*LIDER!$H$15,"N"))</f>
        <v>N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SANDRI SARAI VALDEZ SEPULVEDA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4.5600000000000005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76</v>
      </c>
      <c r="C19" s="88" t="s">
        <v>77</v>
      </c>
      <c r="D19" s="32" t="str">
        <f>D12</f>
        <v>LIST</v>
      </c>
      <c r="E19" s="89" t="s">
        <v>73</v>
      </c>
      <c r="F19" s="142" t="str">
        <f>LIDER!$E$31</f>
        <v>Análisis integral del perfil empresarial de Grupo Nutresa S.A. en el marco de los negocios internacionales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JOSUE DAVID ALCALA AMAYA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4.6500000000000004</v>
      </c>
      <c r="F20" s="143">
        <v>4.5</v>
      </c>
      <c r="G20" s="144">
        <v>4.5</v>
      </c>
      <c r="H20" s="145">
        <v>4.5</v>
      </c>
      <c r="I20" s="144">
        <v>5</v>
      </c>
      <c r="J20" s="145">
        <v>5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EILIN BALSEIRO CORTINA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4.6500000000000004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JULIET ALEJANDRA BLANQUICETT BELTRAN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4.6500000000000004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VALENTINA CASTRO IBARRA</v>
      </c>
      <c r="C23" s="90" t="str">
        <f t="shared" si="2"/>
        <v>G03</v>
      </c>
      <c r="D23" s="96" t="s">
        <v>96</v>
      </c>
      <c r="E23" s="11" t="str">
        <f>IF(B23=0,0,IF(D23="",$F$20*LIDER!$H$9+$G$20*LIDER!$H$10+$H$20*LIDER!$H$11+$I$20*LIDER!$H$12+$J$20*LIDER!$H$13+$K$20*LIDER!$H$14+$L$20*LIDER!$H$15,"N"))</f>
        <v>N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78</v>
      </c>
      <c r="C26" s="88" t="s">
        <v>79</v>
      </c>
      <c r="D26" s="32" t="str">
        <f>D19</f>
        <v>LIST</v>
      </c>
      <c r="E26" s="89" t="s">
        <v>73</v>
      </c>
      <c r="F26" s="142" t="str">
        <f>LIDER!$E$32</f>
        <v>Aspectos legales, tributarios, administrativos, macroeconómicos, aduaneros, tecnológicos e internacionales que definen el perfil de la Federación Nacional de Cafeteros de Colombia en los negocios internacionales.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LAUREN LICETH CASTILLA GONZALEZ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3.8000000000000003</v>
      </c>
      <c r="F27" s="143">
        <v>4.2</v>
      </c>
      <c r="G27" s="144">
        <v>4.3</v>
      </c>
      <c r="H27" s="145">
        <v>4</v>
      </c>
      <c r="I27" s="144">
        <v>2</v>
      </c>
      <c r="J27" s="145">
        <v>5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CARMEN CECILIA MANUEL CRUZATE</v>
      </c>
      <c r="C28" s="90" t="str">
        <f t="shared" ref="C28:C32" si="3">C27</f>
        <v>G04</v>
      </c>
      <c r="D28" s="96" t="s">
        <v>96</v>
      </c>
      <c r="E28" s="11" t="str">
        <f>IF(B28=0,0,IF(D28="",$F$27*LIDER!$H$9+$G$27*LIDER!$H$10+$H$27*LIDER!$H$11+$I$27*LIDER!$H$12+$J$27*LIDER!$H$13+$K$27*LIDER!$H$14+$L$27*LIDER!$H$15,"N"))</f>
        <v>N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KRISTIN SOFIA PEREZ MARTINEZ</v>
      </c>
      <c r="C29" s="90" t="str">
        <f t="shared" si="3"/>
        <v>G04</v>
      </c>
      <c r="D29" s="96" t="s">
        <v>96</v>
      </c>
      <c r="E29" s="11" t="str">
        <f>IF(B29=0,0,IF(D29="",$F$27*LIDER!$H$9+$G$27*LIDER!$H$10+$H$27*LIDER!$H$11+$I$27*LIDER!$H$12+$J$27*LIDER!$H$13+$K$27*LIDER!$H$14+$L$27*LIDER!$H$15,"N"))</f>
        <v>N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80</v>
      </c>
      <c r="C33" s="88" t="s">
        <v>81</v>
      </c>
      <c r="D33" s="32" t="str">
        <f>D26</f>
        <v>LIST</v>
      </c>
      <c r="E33" s="89" t="s">
        <v>73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82</v>
      </c>
      <c r="C40" s="88" t="s">
        <v>83</v>
      </c>
      <c r="D40" s="32" t="str">
        <f>D33</f>
        <v>LIST</v>
      </c>
      <c r="E40" s="89" t="s">
        <v>73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84</v>
      </c>
      <c r="C47" s="88" t="s">
        <v>85</v>
      </c>
      <c r="D47" s="32" t="str">
        <f>D40</f>
        <v>LIST</v>
      </c>
      <c r="E47" s="89" t="s">
        <v>73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86</v>
      </c>
      <c r="C54" s="88" t="s">
        <v>87</v>
      </c>
      <c r="D54" s="32" t="str">
        <f>D47</f>
        <v>LIST</v>
      </c>
      <c r="E54" s="89" t="s">
        <v>73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88</v>
      </c>
      <c r="C61" s="88" t="s">
        <v>89</v>
      </c>
      <c r="D61" s="32" t="str">
        <f>D54</f>
        <v>LIST</v>
      </c>
      <c r="E61" s="89" t="s">
        <v>73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90</v>
      </c>
      <c r="C68" s="88" t="s">
        <v>91</v>
      </c>
      <c r="D68" s="32" t="str">
        <f>D61</f>
        <v>LIST</v>
      </c>
      <c r="E68" s="89" t="s">
        <v>73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92</v>
      </c>
      <c r="C75" s="88" t="s">
        <v>93</v>
      </c>
      <c r="D75" s="32" t="str">
        <f>D68</f>
        <v>LIST</v>
      </c>
      <c r="E75" s="89" t="s">
        <v>73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94</v>
      </c>
      <c r="C82" s="88" t="s">
        <v>95</v>
      </c>
      <c r="D82" s="32" t="str">
        <f>D75</f>
        <v>LIST</v>
      </c>
      <c r="E82" s="89" t="s">
        <v>73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F27" sqref="F27:F32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LIDER!F4</f>
        <v>MACROECONOMÍA</v>
      </c>
      <c r="C2" s="82"/>
      <c r="D2" s="3"/>
      <c r="F2" s="149" t="s">
        <v>68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69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CONCATENATE(LIDER!F4," - ",LIDER!F6," - ",LIDER!F5)</f>
        <v>MACROECONOMÍA - 1497 - JORGE ELIECER PAREJA SHAIKH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70</v>
      </c>
      <c r="C5" s="88" t="s">
        <v>71</v>
      </c>
      <c r="D5" s="32" t="s">
        <v>72</v>
      </c>
      <c r="E5" s="89" t="s">
        <v>73</v>
      </c>
      <c r="F5" s="142" t="str">
        <f>LIDER!$E$29</f>
        <v xml:space="preserve">Caracterización de los aspectos legales, tributarios, administrativos, macroeconómicos, aduaneros, tecnológicos e internacionales que definen el perfil de Grupo Argos en los negocios internacionales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JOSE RICARDO AYOLA LOMBANA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3.9499999999999997</v>
      </c>
      <c r="F6" s="143">
        <v>4.3</v>
      </c>
      <c r="G6" s="144">
        <v>4</v>
      </c>
      <c r="H6" s="145">
        <v>3.5</v>
      </c>
      <c r="I6" s="144">
        <v>4.2</v>
      </c>
      <c r="J6" s="145">
        <v>4</v>
      </c>
      <c r="K6" s="144"/>
      <c r="L6" s="145"/>
    </row>
    <row r="7" spans="1:12" s="2" customFormat="1" ht="15" customHeight="1">
      <c r="A7" s="12">
        <v>2</v>
      </c>
      <c r="B7" s="10" t="str">
        <f>LIDER!E44</f>
        <v>VALERIA LISETH CONSTANTE TAPIAS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3.9499999999999997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FELIPE ANDRÉS JIMENEZ DIZZETT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3.9499999999999997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ALEJANDRO DAVID NARVAEZ MONTES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3.9499999999999997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SEBASTIAN ALONSO RAMOS TEJEDA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3.9499999999999997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74</v>
      </c>
      <c r="C12" s="88" t="s">
        <v>75</v>
      </c>
      <c r="D12" s="32" t="str">
        <f>D5</f>
        <v>LIST</v>
      </c>
      <c r="E12" s="89" t="s">
        <v>73</v>
      </c>
      <c r="F12" s="142" t="str">
        <f>LIDER!$E$30</f>
        <v>Aspectos Legales, Tributarios, Administrativos, Macroeconómicos, Aduaneros, Tecnológicos e internacionales que Definen el Perfil de Ecopetrol S.A. en los Negocios Internacionales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NATALY SOFIA CASTRO JIMÉNEZ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4.05</v>
      </c>
      <c r="F13" s="143">
        <v>4</v>
      </c>
      <c r="G13" s="144">
        <v>4</v>
      </c>
      <c r="H13" s="145">
        <v>4</v>
      </c>
      <c r="I13" s="144">
        <v>4.0999999999999996</v>
      </c>
      <c r="J13" s="145">
        <v>4.3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OSCAR ALFONSO LORDUY NEIRA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4.05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DAKAR YULISA MORALES PATERNINA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4.05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CARLOS DAVID OROZCO VALDES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4.05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SANDRI SARAI VALDEZ SEPULVEDA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4.05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76</v>
      </c>
      <c r="C19" s="88" t="s">
        <v>77</v>
      </c>
      <c r="D19" s="32" t="str">
        <f>D12</f>
        <v>LIST</v>
      </c>
      <c r="E19" s="89" t="s">
        <v>73</v>
      </c>
      <c r="F19" s="142" t="str">
        <f>LIDER!$E$31</f>
        <v>Análisis integral del perfil empresarial de Grupo Nutresa S.A. en el marco de los negocios internacionales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JOSUE DAVID ALCALA AMAYA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3.9799999999999995</v>
      </c>
      <c r="F20" s="143">
        <v>4</v>
      </c>
      <c r="G20" s="144">
        <v>4</v>
      </c>
      <c r="H20" s="145">
        <v>4</v>
      </c>
      <c r="I20" s="144">
        <v>3.8</v>
      </c>
      <c r="J20" s="145">
        <v>4.2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EILIN BALSEIRO CORTINA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3.9799999999999995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JULIET ALEJANDRA BLANQUICETT BELTRAN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3.9799999999999995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VALENTINA CASTRO IBARRA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3.9799999999999995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78</v>
      </c>
      <c r="C26" s="88" t="s">
        <v>79</v>
      </c>
      <c r="D26" s="32" t="str">
        <f>D19</f>
        <v>LIST</v>
      </c>
      <c r="E26" s="89" t="s">
        <v>73</v>
      </c>
      <c r="F26" s="142" t="str">
        <f>LIDER!$E$32</f>
        <v>Aspectos legales, tributarios, administrativos, macroeconómicos, aduaneros, tecnológicos e internacionales que definen el perfil de la Federación Nacional de Cafeteros de Colombia en los negocios internacionales.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LAUREN LICETH CASTILLA GONZALEZ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3.96</v>
      </c>
      <c r="F27" s="143">
        <v>4</v>
      </c>
      <c r="G27" s="144">
        <v>3.9</v>
      </c>
      <c r="H27" s="145">
        <v>4</v>
      </c>
      <c r="I27" s="144">
        <v>4</v>
      </c>
      <c r="J27" s="145">
        <v>3.8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CARMEN CECILIA MANUEL CRUZATE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3.96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KRISTIN SOFIA PEREZ MARTINEZ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3.96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80</v>
      </c>
      <c r="C33" s="88" t="s">
        <v>81</v>
      </c>
      <c r="D33" s="32" t="str">
        <f>D26</f>
        <v>LIST</v>
      </c>
      <c r="E33" s="89" t="s">
        <v>73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82</v>
      </c>
      <c r="C40" s="88" t="s">
        <v>83</v>
      </c>
      <c r="D40" s="32" t="str">
        <f>D33</f>
        <v>LIST</v>
      </c>
      <c r="E40" s="89" t="s">
        <v>73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84</v>
      </c>
      <c r="C47" s="88" t="s">
        <v>85</v>
      </c>
      <c r="D47" s="32" t="str">
        <f>D40</f>
        <v>LIST</v>
      </c>
      <c r="E47" s="89" t="s">
        <v>73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86</v>
      </c>
      <c r="C54" s="88" t="s">
        <v>87</v>
      </c>
      <c r="D54" s="32" t="str">
        <f>D47</f>
        <v>LIST</v>
      </c>
      <c r="E54" s="89" t="s">
        <v>73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88</v>
      </c>
      <c r="C61" s="88" t="s">
        <v>89</v>
      </c>
      <c r="D61" s="32" t="str">
        <f>D54</f>
        <v>LIST</v>
      </c>
      <c r="E61" s="89" t="s">
        <v>73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90</v>
      </c>
      <c r="C68" s="88" t="s">
        <v>91</v>
      </c>
      <c r="D68" s="32" t="str">
        <f>D61</f>
        <v>LIST</v>
      </c>
      <c r="E68" s="89" t="s">
        <v>73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92</v>
      </c>
      <c r="C75" s="88" t="s">
        <v>93</v>
      </c>
      <c r="D75" s="32" t="str">
        <f>D68</f>
        <v>LIST</v>
      </c>
      <c r="E75" s="89" t="s">
        <v>73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94</v>
      </c>
      <c r="C82" s="88" t="s">
        <v>95</v>
      </c>
      <c r="D82" s="32" t="str">
        <f>D75</f>
        <v>LIST</v>
      </c>
      <c r="E82" s="89" t="s">
        <v>73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zoomScale="80" zoomScaleNormal="80" workbookViewId="0">
      <pane xSplit="5" ySplit="3" topLeftCell="F25" activePane="bottomRight" state="frozen"/>
      <selection pane="bottomRight" activeCell="J33" sqref="F33:L33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LIDER!G4</f>
        <v>MATEMÁTICAS FINANCIERAS</v>
      </c>
      <c r="C2" s="82"/>
      <c r="D2" s="3"/>
      <c r="F2" s="149" t="s">
        <v>68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69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CONCATENATE(LIDER!G4," - ",LIDER!G6," - ",LIDER!G5)</f>
        <v>MATEMÁTICAS FINANCIERAS - 1365 - EDGAR ALEXANDER NAVARRO MARTINEZ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70</v>
      </c>
      <c r="C5" s="88" t="s">
        <v>71</v>
      </c>
      <c r="D5" s="32" t="s">
        <v>72</v>
      </c>
      <c r="E5" s="89" t="s">
        <v>73</v>
      </c>
      <c r="F5" s="142" t="str">
        <f>LIDER!$E$29</f>
        <v xml:space="preserve">Caracterización de los aspectos legales, tributarios, administrativos, macroeconómicos, aduaneros, tecnológicos e internacionales que definen el perfil de Grupo Argos en los negocios internacionales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JOSE RICARDO AYOLA LOMBANA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4.6500000000000004</v>
      </c>
      <c r="F6" s="143">
        <v>4.5</v>
      </c>
      <c r="G6" s="144">
        <v>5</v>
      </c>
      <c r="H6" s="145">
        <v>4.5</v>
      </c>
      <c r="I6" s="144">
        <v>4.5</v>
      </c>
      <c r="J6" s="145">
        <v>5</v>
      </c>
      <c r="K6" s="144"/>
      <c r="L6" s="145"/>
    </row>
    <row r="7" spans="1:12" s="2" customFormat="1" ht="15" customHeight="1">
      <c r="A7" s="12">
        <v>2</v>
      </c>
      <c r="B7" s="10" t="str">
        <f>LIDER!E44</f>
        <v>VALERIA LISETH CONSTANTE TAPIAS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4.6500000000000004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FELIPE ANDRÉS JIMENEZ DIZZETT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4.6500000000000004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ALEJANDRO DAVID NARVAEZ MONTES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4.6500000000000004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SEBASTIAN ALONSO RAMOS TEJEDA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4.6500000000000004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74</v>
      </c>
      <c r="C12" s="88" t="s">
        <v>75</v>
      </c>
      <c r="D12" s="32" t="str">
        <f>D5</f>
        <v>LIST</v>
      </c>
      <c r="E12" s="89" t="s">
        <v>73</v>
      </c>
      <c r="F12" s="142" t="str">
        <f>LIDER!$E$30</f>
        <v>Aspectos Legales, Tributarios, Administrativos, Macroeconómicos, Aduaneros, Tecnológicos e internacionales que Definen el Perfil de Ecopetrol S.A. en los Negocios Internacionales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NATALY SOFIA CASTRO JIMÉNEZ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4.07</v>
      </c>
      <c r="F13" s="143">
        <v>3.8</v>
      </c>
      <c r="G13" s="144">
        <v>4</v>
      </c>
      <c r="H13" s="145">
        <v>3.9</v>
      </c>
      <c r="I13" s="144">
        <v>4.2</v>
      </c>
      <c r="J13" s="145">
        <v>5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OSCAR ALFONSO LORDUY NEIRA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4.07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DAKAR YULISA MORALES PATERNINA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4.07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CARLOS DAVID OROZCO VALDES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4.07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SANDRI SARAI VALDEZ SEPULVEDA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4.07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76</v>
      </c>
      <c r="C19" s="88" t="s">
        <v>77</v>
      </c>
      <c r="D19" s="32" t="str">
        <f>D12</f>
        <v>LIST</v>
      </c>
      <c r="E19" s="89" t="s">
        <v>73</v>
      </c>
      <c r="F19" s="142" t="str">
        <f>LIDER!$E$31</f>
        <v>Análisis integral del perfil empresarial de Grupo Nutresa S.A. en el marco de los negocios internacionales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JOSUE DAVID ALCALA AMAYA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4.0999999999999996</v>
      </c>
      <c r="F20" s="143">
        <v>3.8</v>
      </c>
      <c r="G20" s="144">
        <v>4.2</v>
      </c>
      <c r="H20" s="145">
        <v>4</v>
      </c>
      <c r="I20" s="144">
        <v>4</v>
      </c>
      <c r="J20" s="145">
        <v>5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EILIN BALSEIRO CORTINA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4.0999999999999996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JULIET ALEJANDRA BLANQUICETT BELTRAN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4.0999999999999996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VALENTINA CASTRO IBARRA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4.0999999999999996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78</v>
      </c>
      <c r="C26" s="88" t="s">
        <v>79</v>
      </c>
      <c r="D26" s="32" t="str">
        <f>D19</f>
        <v>LIST</v>
      </c>
      <c r="E26" s="89" t="s">
        <v>73</v>
      </c>
      <c r="F26" s="142" t="str">
        <f>LIDER!$E$32</f>
        <v>Aspectos legales, tributarios, administrativos, macroeconómicos, aduaneros, tecnológicos e internacionales que definen el perfil de la Federación Nacional de Cafeteros de Colombia en los negocios internacionales.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LAUREN LICETH CASTILLA GONZALEZ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4.0400000000000009</v>
      </c>
      <c r="F27" s="143">
        <v>4.2</v>
      </c>
      <c r="G27" s="144">
        <v>4.5</v>
      </c>
      <c r="H27" s="145">
        <v>4</v>
      </c>
      <c r="I27" s="144">
        <v>3</v>
      </c>
      <c r="J27" s="145">
        <v>5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CARMEN CECILIA MANUEL CRUZATE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4.0400000000000009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KRISTIN SOFIA PEREZ MARTINEZ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4.0400000000000009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80</v>
      </c>
      <c r="C33" s="88" t="s">
        <v>81</v>
      </c>
      <c r="D33" s="32" t="str">
        <f>D26</f>
        <v>LIST</v>
      </c>
      <c r="E33" s="89" t="s">
        <v>73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82</v>
      </c>
      <c r="C40" s="88" t="s">
        <v>83</v>
      </c>
      <c r="D40" s="32" t="str">
        <f>D33</f>
        <v>LIST</v>
      </c>
      <c r="E40" s="89" t="s">
        <v>73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84</v>
      </c>
      <c r="C47" s="88" t="s">
        <v>85</v>
      </c>
      <c r="D47" s="32" t="str">
        <f>D40</f>
        <v>LIST</v>
      </c>
      <c r="E47" s="89" t="s">
        <v>73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86</v>
      </c>
      <c r="C54" s="88" t="s">
        <v>87</v>
      </c>
      <c r="D54" s="32" t="str">
        <f>D47</f>
        <v>LIST</v>
      </c>
      <c r="E54" s="89" t="s">
        <v>73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88</v>
      </c>
      <c r="C61" s="88" t="s">
        <v>89</v>
      </c>
      <c r="D61" s="32" t="str">
        <f>D54</f>
        <v>LIST</v>
      </c>
      <c r="E61" s="89" t="s">
        <v>73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90</v>
      </c>
      <c r="C68" s="88" t="s">
        <v>91</v>
      </c>
      <c r="D68" s="32" t="str">
        <f>D61</f>
        <v>LIST</v>
      </c>
      <c r="E68" s="89" t="s">
        <v>73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92</v>
      </c>
      <c r="C75" s="88" t="s">
        <v>93</v>
      </c>
      <c r="D75" s="32" t="str">
        <f>D68</f>
        <v>LIST</v>
      </c>
      <c r="E75" s="89" t="s">
        <v>73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94</v>
      </c>
      <c r="C82" s="88" t="s">
        <v>95</v>
      </c>
      <c r="D82" s="32" t="str">
        <f>D75</f>
        <v>LIST</v>
      </c>
      <c r="E82" s="89" t="s">
        <v>73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topLeftCell="F1" activePane="topRight" state="frozen"/>
      <selection pane="topRight" activeCell="F62" sqref="F62:J67"/>
      <selection activeCell="A4" sqref="A4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>
        <f>LIDER!H4</f>
        <v>0</v>
      </c>
      <c r="C2" s="82"/>
      <c r="D2" s="3"/>
      <c r="F2" s="149" t="s">
        <v>68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69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CONCATENATE(LIDER!H4," - ",LIDER!H6," - ",LIDER!H5)</f>
        <v xml:space="preserve"> -  - 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70</v>
      </c>
      <c r="C5" s="88" t="s">
        <v>71</v>
      </c>
      <c r="D5" s="32" t="s">
        <v>72</v>
      </c>
      <c r="E5" s="89" t="s">
        <v>73</v>
      </c>
      <c r="F5" s="142" t="str">
        <f>LIDER!$E$29</f>
        <v xml:space="preserve">Caracterización de los aspectos legales, tributarios, administrativos, macroeconómicos, aduaneros, tecnológicos e internacionales que definen el perfil de Grupo Argos en los negocios internacionales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JOSE RICARDO AYOLA LOMBANA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4"/>
      <c r="H6" s="145"/>
      <c r="I6" s="144"/>
      <c r="J6" s="145"/>
      <c r="K6" s="144"/>
      <c r="L6" s="145"/>
    </row>
    <row r="7" spans="1:12" s="2" customFormat="1" ht="15" customHeight="1">
      <c r="A7" s="12">
        <v>2</v>
      </c>
      <c r="B7" s="10" t="str">
        <f>LIDER!E44</f>
        <v>VALERIA LISETH CONSTANTE TAPIAS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FELIPE ANDRÉS JIMENEZ DIZZETT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ALEJANDRO DAVID NARVAEZ MONTES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SEBASTIAN ALONSO RAMOS TEJEDA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74</v>
      </c>
      <c r="C12" s="88" t="s">
        <v>75</v>
      </c>
      <c r="D12" s="32" t="str">
        <f>D5</f>
        <v>LIST</v>
      </c>
      <c r="E12" s="89" t="s">
        <v>73</v>
      </c>
      <c r="F12" s="142" t="str">
        <f>LIDER!$E$30</f>
        <v>Aspectos Legales, Tributarios, Administrativos, Macroeconómicos, Aduaneros, Tecnológicos e internacionales que Definen el Perfil de Ecopetrol S.A. en los Negocios Internacionales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NATALY SOFIA CASTRO JIMÉNEZ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3"/>
      <c r="G13" s="144"/>
      <c r="H13" s="145"/>
      <c r="I13" s="144"/>
      <c r="J13" s="145"/>
      <c r="K13" s="144"/>
      <c r="L13" s="145"/>
    </row>
    <row r="14" spans="1:12" s="2" customFormat="1" ht="15" customHeight="1">
      <c r="A14" s="12">
        <v>2</v>
      </c>
      <c r="B14" s="10" t="str">
        <f>LIDER!F44</f>
        <v>OSCAR ALFONSO LORDUY NEIRA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DAKAR YULISA MORALES PATERNINA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CARLOS DAVID OROZCO VALDES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SANDRI SARAI VALDEZ SEPULVEDA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76</v>
      </c>
      <c r="C19" s="88" t="s">
        <v>77</v>
      </c>
      <c r="D19" s="32" t="str">
        <f>D12</f>
        <v>LIST</v>
      </c>
      <c r="E19" s="89" t="s">
        <v>73</v>
      </c>
      <c r="F19" s="142" t="str">
        <f>LIDER!$E$31</f>
        <v>Análisis integral del perfil empresarial de Grupo Nutresa S.A. en el marco de los negocios internacionales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JOSUE DAVID ALCALA AMAYA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4"/>
      <c r="H20" s="145"/>
      <c r="I20" s="144"/>
      <c r="J20" s="145"/>
      <c r="K20" s="144"/>
      <c r="L20" s="145"/>
    </row>
    <row r="21" spans="1:12" s="2" customFormat="1" ht="15" customHeight="1">
      <c r="A21" s="12">
        <v>2</v>
      </c>
      <c r="B21" s="10" t="str">
        <f>LIDER!G44</f>
        <v>EILIN BALSEIRO CORTINA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JULIET ALEJANDRA BLANQUICETT BELTRAN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VALENTINA CASTRO IBARRA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78</v>
      </c>
      <c r="C26" s="88" t="s">
        <v>79</v>
      </c>
      <c r="D26" s="32" t="str">
        <f>D19</f>
        <v>LIST</v>
      </c>
      <c r="E26" s="89" t="s">
        <v>73</v>
      </c>
      <c r="F26" s="142" t="str">
        <f>LIDER!$E$32</f>
        <v>Aspectos legales, tributarios, administrativos, macroeconómicos, aduaneros, tecnológicos e internacionales que definen el perfil de la Federación Nacional de Cafeteros de Colombia en los negocios internacionales.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LAUREN LICETH CASTILLA GONZALEZ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 t="str">
        <f>LIDER!H44</f>
        <v>CARMEN CECILIA MANUEL CRUZATE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KRISTIN SOFIA PEREZ MARTINEZ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80</v>
      </c>
      <c r="C33" s="88" t="s">
        <v>81</v>
      </c>
      <c r="D33" s="32" t="str">
        <f>D26</f>
        <v>LIST</v>
      </c>
      <c r="E33" s="89" t="s">
        <v>73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82</v>
      </c>
      <c r="C40" s="88" t="s">
        <v>83</v>
      </c>
      <c r="D40" s="32" t="str">
        <f>D33</f>
        <v>LIST</v>
      </c>
      <c r="E40" s="89" t="s">
        <v>73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84</v>
      </c>
      <c r="C47" s="88" t="s">
        <v>85</v>
      </c>
      <c r="D47" s="32" t="str">
        <f>D40</f>
        <v>LIST</v>
      </c>
      <c r="E47" s="89" t="s">
        <v>73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86</v>
      </c>
      <c r="C54" s="88" t="s">
        <v>87</v>
      </c>
      <c r="D54" s="32" t="str">
        <f>D47</f>
        <v>LIST</v>
      </c>
      <c r="E54" s="89" t="s">
        <v>73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88</v>
      </c>
      <c r="C61" s="88" t="s">
        <v>89</v>
      </c>
      <c r="D61" s="32" t="str">
        <f>D54</f>
        <v>LIST</v>
      </c>
      <c r="E61" s="89" t="s">
        <v>73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90</v>
      </c>
      <c r="C68" s="88" t="s">
        <v>91</v>
      </c>
      <c r="D68" s="32" t="str">
        <f>D61</f>
        <v>LIST</v>
      </c>
      <c r="E68" s="89" t="s">
        <v>73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92</v>
      </c>
      <c r="C75" s="88" t="s">
        <v>93</v>
      </c>
      <c r="D75" s="32" t="str">
        <f>D68</f>
        <v>LIST</v>
      </c>
      <c r="E75" s="89" t="s">
        <v>73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94</v>
      </c>
      <c r="C82" s="88" t="s">
        <v>95</v>
      </c>
      <c r="D82" s="32" t="str">
        <f>D75</f>
        <v>LIST</v>
      </c>
      <c r="E82" s="89" t="s">
        <v>73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65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>
        <f>LIDER!I4</f>
        <v>0</v>
      </c>
      <c r="C2" s="82"/>
      <c r="D2" s="3"/>
      <c r="F2" s="149" t="s">
        <v>68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69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CONCATENATE(LIDER!I4," - ",LIDER!I6," - ",LIDER!I5)</f>
        <v xml:space="preserve"> -  - 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70</v>
      </c>
      <c r="C5" s="88" t="s">
        <v>71</v>
      </c>
      <c r="D5" s="32" t="s">
        <v>72</v>
      </c>
      <c r="E5" s="89" t="s">
        <v>73</v>
      </c>
      <c r="F5" s="142" t="str">
        <f>LIDER!$E$29</f>
        <v xml:space="preserve">Caracterización de los aspectos legales, tributarios, administrativos, macroeconómicos, aduaneros, tecnológicos e internacionales que definen el perfil de Grupo Argos en los negocios internacionales 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JOSE RICARDO AYOLA LOMBANA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4"/>
      <c r="H6" s="145"/>
      <c r="I6" s="144"/>
      <c r="J6" s="145"/>
      <c r="K6" s="144"/>
      <c r="L6" s="145"/>
    </row>
    <row r="7" spans="1:12" s="2" customFormat="1" ht="15" customHeight="1">
      <c r="A7" s="12">
        <v>2</v>
      </c>
      <c r="B7" s="10" t="str">
        <f>LIDER!E44</f>
        <v>VALERIA LISETH CONSTANTE TAPIAS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FELIPE ANDRÉS JIMENEZ DIZZETT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ALEJANDRO DAVID NARVAEZ MONTES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SEBASTIAN ALONSO RAMOS TEJEDA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74</v>
      </c>
      <c r="C12" s="88" t="s">
        <v>75</v>
      </c>
      <c r="D12" s="32" t="str">
        <f>D5</f>
        <v>LIST</v>
      </c>
      <c r="E12" s="89" t="s">
        <v>73</v>
      </c>
      <c r="F12" s="142" t="str">
        <f>LIDER!$E$30</f>
        <v>Aspectos Legales, Tributarios, Administrativos, Macroeconómicos, Aduaneros, Tecnológicos e internacionales que Definen el Perfil de Ecopetrol S.A. en los Negocios Internacionales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NATALY SOFIA CASTRO JIMÉNEZ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3"/>
      <c r="G13" s="144"/>
      <c r="H13" s="145"/>
      <c r="I13" s="144"/>
      <c r="J13" s="145"/>
      <c r="K13" s="144"/>
      <c r="L13" s="145"/>
    </row>
    <row r="14" spans="1:12" s="2" customFormat="1" ht="15" customHeight="1">
      <c r="A14" s="12">
        <v>2</v>
      </c>
      <c r="B14" s="10" t="str">
        <f>LIDER!F44</f>
        <v>OSCAR ALFONSO LORDUY NEIRA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DAKAR YULISA MORALES PATERNINA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CARLOS DAVID OROZCO VALDES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SANDRI SARAI VALDEZ SEPULVEDA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76</v>
      </c>
      <c r="C19" s="88" t="s">
        <v>77</v>
      </c>
      <c r="D19" s="32" t="str">
        <f>D12</f>
        <v>LIST</v>
      </c>
      <c r="E19" s="89" t="s">
        <v>73</v>
      </c>
      <c r="F19" s="142" t="str">
        <f>LIDER!$E$31</f>
        <v>Análisis integral del perfil empresarial de Grupo Nutresa S.A. en el marco de los negocios internacionales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JOSUE DAVID ALCALA AMAYA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4"/>
      <c r="H20" s="145"/>
      <c r="I20" s="144"/>
      <c r="J20" s="145"/>
      <c r="K20" s="144"/>
      <c r="L20" s="145"/>
    </row>
    <row r="21" spans="1:12" s="2" customFormat="1" ht="15" customHeight="1">
      <c r="A21" s="12">
        <v>2</v>
      </c>
      <c r="B21" s="10" t="str">
        <f>LIDER!G44</f>
        <v>EILIN BALSEIRO CORTINA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JULIET ALEJANDRA BLANQUICETT BELTRAN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VALENTINA CASTRO IBARRA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78</v>
      </c>
      <c r="C26" s="88" t="s">
        <v>79</v>
      </c>
      <c r="D26" s="32" t="str">
        <f>D19</f>
        <v>LIST</v>
      </c>
      <c r="E26" s="89" t="s">
        <v>73</v>
      </c>
      <c r="F26" s="142" t="str">
        <f>LIDER!$E$32</f>
        <v>Aspectos legales, tributarios, administrativos, macroeconómicos, aduaneros, tecnológicos e internacionales que definen el perfil de la Federación Nacional de Cafeteros de Colombia en los negocios internacionales.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LAUREN LICETH CASTILLA GONZALEZ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 t="str">
        <f>LIDER!H44</f>
        <v>CARMEN CECILIA MANUEL CRUZATE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KRISTIN SOFIA PEREZ MARTINEZ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80</v>
      </c>
      <c r="C33" s="88" t="s">
        <v>81</v>
      </c>
      <c r="D33" s="32" t="str">
        <f>D26</f>
        <v>LIST</v>
      </c>
      <c r="E33" s="89" t="s">
        <v>73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82</v>
      </c>
      <c r="C40" s="88" t="s">
        <v>83</v>
      </c>
      <c r="D40" s="32" t="str">
        <f>D33</f>
        <v>LIST</v>
      </c>
      <c r="E40" s="89" t="s">
        <v>73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84</v>
      </c>
      <c r="C47" s="88" t="s">
        <v>85</v>
      </c>
      <c r="D47" s="32" t="str">
        <f>D40</f>
        <v>LIST</v>
      </c>
      <c r="E47" s="89" t="s">
        <v>73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86</v>
      </c>
      <c r="C54" s="88" t="s">
        <v>87</v>
      </c>
      <c r="D54" s="32" t="str">
        <f>D47</f>
        <v>LIST</v>
      </c>
      <c r="E54" s="89" t="s">
        <v>73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88</v>
      </c>
      <c r="C61" s="88" t="s">
        <v>89</v>
      </c>
      <c r="D61" s="32" t="str">
        <f>D54</f>
        <v>LIST</v>
      </c>
      <c r="E61" s="89" t="s">
        <v>73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90</v>
      </c>
      <c r="C68" s="88" t="s">
        <v>91</v>
      </c>
      <c r="D68" s="32" t="str">
        <f>D61</f>
        <v>LIST</v>
      </c>
      <c r="E68" s="89" t="s">
        <v>73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92</v>
      </c>
      <c r="C75" s="88" t="s">
        <v>93</v>
      </c>
      <c r="D75" s="32" t="str">
        <f>D68</f>
        <v>LIST</v>
      </c>
      <c r="E75" s="89" t="s">
        <v>73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94</v>
      </c>
      <c r="C82" s="88" t="s">
        <v>95</v>
      </c>
      <c r="D82" s="32" t="str">
        <f>D75</f>
        <v>LIST</v>
      </c>
      <c r="E82" s="89" t="s">
        <v>73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LIDER!C4</f>
        <v>TECNOLOGIA APLICADA</v>
      </c>
      <c r="C2" s="3"/>
      <c r="E2" s="207" t="s">
        <v>68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69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CONCATENATE(LIDER!C4," - ",LIDER!C6," - ",LIDER!C5)</f>
        <v>TECNOLOGIA APLICADA - 2249 - ARMANDO ACOSTA JULIO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70</v>
      </c>
      <c r="C5" s="32" t="str">
        <f>IF('S-ASIG-01'!D5="","",'S-ASIG-01'!D5)</f>
        <v>LIST</v>
      </c>
      <c r="D5" s="35" t="s">
        <v>73</v>
      </c>
      <c r="E5" s="206" t="str">
        <f>LIDER!$E$29</f>
        <v xml:space="preserve">Caracterización de los aspectos legales, tributarios, administrativos, macroeconómicos, aduaneros, tecnológicos e internacionales que definen el perfil de Grupo Argos en los negocios internacionales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JOSE RICARDO AYOLA LOMBANA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1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VALERIA LISETH CONSTANTE TAPIAS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1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FELIPE ANDRÉS JIMENEZ DIZZETT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1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ALEJANDRO DAVID NARVAEZ MONTES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01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SEBASTIAN ALONSO RAMOS TEJEDA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0</v>
      </c>
      <c r="E10" s="201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1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IF('S-ASIG-01'!D12="","",'S-ASIG-01'!D12)</f>
        <v>LIST</v>
      </c>
      <c r="D12" s="35" t="s">
        <v>73</v>
      </c>
      <c r="E12" s="206" t="str">
        <f>LIDER!$E$30</f>
        <v>Aspectos Legales, Tributarios, Administrativos, Macroeconómicos, Aduaneros, Tecnológicos e internacionales que Definen el Perfil de Ecopetrol S.A. en los Negocios Internacionales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NATALY SOFIA CASTRO JIMÉNEZ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1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OSCAR ALFONSO LORDUY NEIRA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1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DAKAR YULISA MORALES PATERNINA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1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CARLOS DAVID OROZCO VALDES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1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SANDRI SARAI VALDEZ SEPULVEDA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0</v>
      </c>
      <c r="E17" s="201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IF('S-ASIG-01'!D19="","",'S-ASIG-01'!D19)</f>
        <v>LIST</v>
      </c>
      <c r="D19" s="35" t="s">
        <v>73</v>
      </c>
      <c r="E19" s="206" t="str">
        <f>LIDER!$E$31</f>
        <v>Análisis integral del perfil empresarial de Grupo Nutresa S.A. en el marco de los negocios internacionales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JOSUE DAVID ALCALA AMAYA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1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EILIN BALSEIRO CORTINA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1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JULIET ALEJANDRA BLANQUICETT BELTRAN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1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VALENTINA CASTRO IBARRA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01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01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IF('S-ASIG-01'!D26="","",'S-ASIG-01'!D26)</f>
        <v>LIST</v>
      </c>
      <c r="D26" s="35" t="s">
        <v>73</v>
      </c>
      <c r="E26" s="206" t="str">
        <f>LIDER!$E$32</f>
        <v>Aspectos legales, tributarios, administrativos, macroeconómicos, aduaneros, tecnológicos e internacionales que definen el perfil de la Federación Nacional de Cafeteros de Colombia en los negocios internacionales.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LAUREN LICETH CASTILLA GONZALEZ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1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CARMEN CECILIA MANUEL CRUZATE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1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KRISTIN SOFIA PEREZ MARTINEZ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1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IF('S-ASIG-01'!D30="","",'S-ASIG-01'!D30)</f>
        <v/>
      </c>
      <c r="D30" s="30" t="str">
        <f>IF(B30=0,"",IF(C30="",$E$27*LIDER!$H$19+F30*LIDER!$H$20+G30*LIDER!$H$21+H30*LIDER!$H$22+I30*LIDER!$H$23+J30*LIDER!$H$24+K30*LIDER!$H$25,"N"))</f>
        <v/>
      </c>
      <c r="E30" s="201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0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IF('S-ASIG-01'!D33="","",'S-ASIG-01'!D33)</f>
        <v>LIST</v>
      </c>
      <c r="D33" s="35" t="s">
        <v>73</v>
      </c>
      <c r="E33" s="206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IF('S-ASIG-01'!D34="","",'S-ASIG-01'!D34)</f>
        <v/>
      </c>
      <c r="D34" s="30" t="str">
        <f>IF(B34=0,"",IF(C34="",$E$34*LIDER!$H$19+F34*LIDER!$H$20+G34*LIDER!$H$21+H34*LIDER!$H$22+I34*LIDER!$H$23+J34*LIDER!$H$24+K34*LIDER!$H$25,"N"))</f>
        <v/>
      </c>
      <c r="E34" s="201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IF('S-ASIG-01'!D35="","",'S-ASIG-01'!D35)</f>
        <v/>
      </c>
      <c r="D35" s="30" t="str">
        <f>IF(B35=0,"",IF(C35="",$E$34*LIDER!$H$19+F35*LIDER!$H$20+G35*LIDER!$H$21+H35*LIDER!$H$22+I35*LIDER!$H$23+J35*LIDER!$H$24+K35*LIDER!$H$25,"N"))</f>
        <v/>
      </c>
      <c r="E35" s="201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201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01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IF('S-ASIG-01'!D40="","",'S-ASIG-01'!D40)</f>
        <v>LIST</v>
      </c>
      <c r="D40" s="35" t="s">
        <v>73</v>
      </c>
      <c r="E40" s="206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0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0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0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IF('S-ASIG-01'!D47="","",'S-ASIG-01'!D47)</f>
        <v>LIST</v>
      </c>
      <c r="D47" s="35" t="s">
        <v>73</v>
      </c>
      <c r="E47" s="206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1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1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1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IF('S-ASIG-01'!D54="","",'S-ASIG-01'!D54)</f>
        <v>LIST</v>
      </c>
      <c r="D54" s="35" t="s">
        <v>73</v>
      </c>
      <c r="E54" s="206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IF('S-ASIG-01'!D61="","",'S-ASIG-01'!D61)</f>
        <v>LIST</v>
      </c>
      <c r="D61" s="35" t="s">
        <v>73</v>
      </c>
      <c r="E61" s="206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IF('S-ASIG-01'!D68="","",'S-ASIG-01'!D68)</f>
        <v>LIST</v>
      </c>
      <c r="D68" s="35" t="s">
        <v>73</v>
      </c>
      <c r="E68" s="206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IF('S-ASIG-01'!D75="","",'S-ASIG-01'!D75)</f>
        <v>LIST</v>
      </c>
      <c r="D75" s="35" t="s">
        <v>73</v>
      </c>
      <c r="E75" s="206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IF('S-ASIG-01'!D82="","",'S-ASIG-01'!D82)</f>
        <v>LIST</v>
      </c>
      <c r="D82" s="35" t="s">
        <v>73</v>
      </c>
      <c r="E82" s="206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2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8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LIDER!D4</f>
        <v>INTERNACIONALIZACION</v>
      </c>
      <c r="C2" s="3"/>
      <c r="E2" s="207" t="s">
        <v>68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69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CONCATENATE(LIDER!D4," - ",LIDER!D6," - ",LIDER!D5)</f>
        <v>INTERNACIONALIZACION - 2348 - JEYSSON STEEVEN ANILLO CARRANZA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70</v>
      </c>
      <c r="C5" s="34" t="str">
        <f>IF('S-ASIG-02'!D5="","",'S-ASIG-02'!D5)</f>
        <v>LIST</v>
      </c>
      <c r="D5" s="35" t="s">
        <v>73</v>
      </c>
      <c r="E5" s="142" t="str">
        <f>LIDER!$E$29</f>
        <v xml:space="preserve">Caracterización de los aspectos legales, tributarios, administrativos, macroeconómicos, aduaneros, tecnológicos e internacionales que definen el perfil de Grupo Argos en los negocios internacionales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JOSE RICARDO AYOLA LOMBANA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VALERIA LISETH CONSTANTE TAPIAS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FELIPE ANDRÉS JIMENEZ DIZZETT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ALEJANDRO DAVID NARVAEZ MONTES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SEBASTIAN ALONSO RAMOS TEJEDA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IF('S-ASIG-02'!D12="","",'S-ASIG-02'!D12)</f>
        <v>LIST</v>
      </c>
      <c r="D12" s="35" t="s">
        <v>73</v>
      </c>
      <c r="E12" s="142" t="str">
        <f>LIDER!$E$30</f>
        <v>Aspectos Legales, Tributarios, Administrativos, Macroeconómicos, Aduaneros, Tecnológicos e internacionales que Definen el Perfil de Ecopetrol S.A. en los Negocios Internacionales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NATALY SOFIA CASTRO JIMÉNEZ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OSCAR ALFONSO LORDUY NEIRA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DAKAR YULISA MORALES PATERNINA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CARLOS DAVID OROZCO VALDES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SANDRI SARAI VALDEZ SEPULVEDA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IF('S-ASIG-02'!D19="","",'S-ASIG-02'!D19)</f>
        <v>LIST</v>
      </c>
      <c r="D19" s="35" t="s">
        <v>73</v>
      </c>
      <c r="E19" s="142" t="str">
        <f>LIDER!$E$31</f>
        <v>Análisis integral del perfil empresarial de Grupo Nutresa S.A. en el marco de los negocios internacionales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JOSUE DAVID ALCALA AMAYA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EILIN BALSEIRO CORTINA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JULIET ALEJANDRA BLANQUICETT BELTRAN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VALENTINA CASTRO IBARRA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IF('S-ASIG-02'!D26="","",'S-ASIG-02'!D26)</f>
        <v>LIST</v>
      </c>
      <c r="D26" s="35" t="s">
        <v>73</v>
      </c>
      <c r="E26" s="142" t="str">
        <f>LIDER!$E$32</f>
        <v>Aspectos legales, tributarios, administrativos, macroeconómicos, aduaneros, tecnológicos e internacionales que definen el perfil de la Federación Nacional de Cafeteros de Colombia en los negocios internacionales.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LAUREN LICETH CASTILLA GONZALEZ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CARMEN CECILIA MANUEL CRUZATE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KRISTIN SOFIA PEREZ MARTINEZ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IF('S-ASIG-02'!D30="","",'S-ASIG-02'!D30)</f>
        <v/>
      </c>
      <c r="D30" s="30" t="str">
        <f>IF(B30=0,"",IF(C30="",$E$27*LIDER!$H$19+F30*LIDER!$H$20+G30*LIDER!$H$21+H30*LIDER!$H$22+I30*LIDER!$H$23+J30*LIDER!$H$24+K30*LIDER!$H$25,"N"))</f>
        <v/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IF('S-ASIG-02'!D33="","",'S-ASIG-02'!D33)</f>
        <v>LIST</v>
      </c>
      <c r="D33" s="35" t="s">
        <v>73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IF('S-ASIG-02'!D34="","",'S-ASIG-02'!D34)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IF('S-ASIG-02'!D35="","",'S-ASIG-02'!D35)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IF('S-ASIG-02'!D40="","",'S-ASIG-02'!D40)</f>
        <v>LIST</v>
      </c>
      <c r="D40" s="35" t="s">
        <v>73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IF('S-ASIG-02'!D47="","",'S-ASIG-02'!D47)</f>
        <v>LIST</v>
      </c>
      <c r="D47" s="35" t="s">
        <v>73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IF('S-ASIG-02'!D54="","",'S-ASIG-02'!D54)</f>
        <v>LIST</v>
      </c>
      <c r="D54" s="35" t="s">
        <v>73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IF('S-ASIG-02'!D61="","",'S-ASIG-02'!D61)</f>
        <v>LIST</v>
      </c>
      <c r="D61" s="35" t="s">
        <v>73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IF('S-ASIG-02'!D68="","",'S-ASIG-02'!D68)</f>
        <v>LIST</v>
      </c>
      <c r="D68" s="35" t="s">
        <v>73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IF('S-ASIG-02'!D75="","",'S-ASIG-02'!D75)</f>
        <v>LIST</v>
      </c>
      <c r="D75" s="35" t="s">
        <v>73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IF('S-ASIG-02'!D82="","",'S-ASIG-02'!D82)</f>
        <v>LIST</v>
      </c>
      <c r="D82" s="35" t="s">
        <v>73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LIDER!E4</f>
        <v>LEGISLACION PARA EL COMERCIO</v>
      </c>
      <c r="C2" s="3"/>
      <c r="E2" s="207" t="s">
        <v>68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69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CONCATENATE(LIDER!E4," - ",LIDER!E6," - ",LIDER!E5)</f>
        <v>LEGISLACION PARA EL COMERCIO - 2353 - ANGELICA PAOLA DOMINGUEZ CASTELLAR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70</v>
      </c>
      <c r="C5" s="34" t="str">
        <f>IF('S-ASIG-03'!D5="","",'S-ASIG-03'!D5)</f>
        <v>LIST</v>
      </c>
      <c r="D5" s="35" t="s">
        <v>73</v>
      </c>
      <c r="E5" s="142" t="str">
        <f>LIDER!$E$29</f>
        <v xml:space="preserve">Caracterización de los aspectos legales, tributarios, administrativos, macroeconómicos, aduaneros, tecnológicos e internacionales que definen el perfil de Grupo Argos en los negocios internacionales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JOSE RICARDO AYOLA LOMBANA</v>
      </c>
      <c r="C6" s="33" t="str">
        <f>IF('S-ASIG-03'!D6="","",'S-ASIG-03'!D6)</f>
        <v>N</v>
      </c>
      <c r="D6" s="30" t="str">
        <f>IF(B6=0,"",IF(C6="",$E$6*LIDER!$H$19+F6*LIDER!$H$20+G6*LIDER!$H$21+H6*LIDER!$H$22+I6*LIDER!$H$23+J6*LIDER!$H$24+K6*LIDER!$H$25,"N"))</f>
        <v>N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VALERIA LISETH CONSTANTE TAPIAS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FELIPE ANDRÉS JIMENEZ DIZZETT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ALEJANDRO DAVID NARVAEZ MONTES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SEBASTIAN ALONSO RAMOS TEJEDA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IF('S-ASIG-03'!D12="","",'S-ASIG-03'!D12)</f>
        <v>LIST</v>
      </c>
      <c r="D12" s="35" t="s">
        <v>73</v>
      </c>
      <c r="E12" s="142" t="str">
        <f>LIDER!$E$30</f>
        <v>Aspectos Legales, Tributarios, Administrativos, Macroeconómicos, Aduaneros, Tecnológicos e internacionales que Definen el Perfil de Ecopetrol S.A. en los Negocios Internacionales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NATALY SOFIA CASTRO JIMÉNEZ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OSCAR ALFONSO LORDUY NEIRA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DAKAR YULISA MORALES PATERNINA</v>
      </c>
      <c r="C15" s="33" t="str">
        <f>IF('S-ASIG-03'!D15="","",'S-ASIG-03'!D15)</f>
        <v>N</v>
      </c>
      <c r="D15" s="30" t="str">
        <f>IF(B15=0,"",IF(C15="",$E$13*LIDER!$H$19+F15*LIDER!$H$20+G15*LIDER!$H$21+H15*LIDER!$H$22+I15*LIDER!$H$23+J15*LIDER!$H$24+K15*LIDER!$H$25,"N"))</f>
        <v>N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CARLOS DAVID OROZCO VALDES</v>
      </c>
      <c r="C16" s="33" t="str">
        <f>IF('S-ASIG-03'!D16="","",'S-ASIG-03'!D16)</f>
        <v>N</v>
      </c>
      <c r="D16" s="30" t="str">
        <f>IF(B16=0,"",IF(C16="",$E$13*LIDER!$H$19+F16*LIDER!$H$20+G16*LIDER!$H$21+H16*LIDER!$H$22+I16*LIDER!$H$23+J16*LIDER!$H$24+K16*LIDER!$H$25,"N"))</f>
        <v>N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SANDRI SARAI VALDEZ SEPULVEDA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IF('S-ASIG-03'!D19="","",'S-ASIG-03'!D19)</f>
        <v>LIST</v>
      </c>
      <c r="D19" s="35" t="s">
        <v>73</v>
      </c>
      <c r="E19" s="142" t="str">
        <f>LIDER!$E$31</f>
        <v>Análisis integral del perfil empresarial de Grupo Nutresa S.A. en el marco de los negocios internacionales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JOSUE DAVID ALCALA AMAYA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EILIN BALSEIRO CORTINA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JULIET ALEJANDRA BLANQUICETT BELTRAN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VALENTINA CASTRO IBARRA</v>
      </c>
      <c r="C23" s="33" t="str">
        <f>IF('S-ASIG-03'!D23="","",'S-ASIG-03'!D23)</f>
        <v>N</v>
      </c>
      <c r="D23" s="30" t="str">
        <f>IF(B23=0,"",IF(C23="",$E$20*LIDER!$H$19+F23*LIDER!$H$20+G23*LIDER!$H$21+H23*LIDER!$H$22+I23*LIDER!$H$23+J23*LIDER!$H$24+K23*LIDER!$H$25,"N"))</f>
        <v>N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IF('S-ASIG-03'!D26="","",'S-ASIG-03'!D26)</f>
        <v>LIST</v>
      </c>
      <c r="D26" s="35" t="s">
        <v>73</v>
      </c>
      <c r="E26" s="142" t="str">
        <f>LIDER!$E$32</f>
        <v>Aspectos legales, tributarios, administrativos, macroeconómicos, aduaneros, tecnológicos e internacionales que definen el perfil de la Federación Nacional de Cafeteros de Colombia en los negocios internacionales.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LAUREN LICETH CASTILLA GONZALEZ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CARMEN CECILIA MANUEL CRUZATE</v>
      </c>
      <c r="C28" s="33" t="str">
        <f>IF('S-ASIG-03'!D28="","",'S-ASIG-03'!D28)</f>
        <v>N</v>
      </c>
      <c r="D28" s="30" t="str">
        <f>IF(B28=0,"",IF(C28="",$E$27*LIDER!$H$19+F28*LIDER!$H$20+G28*LIDER!$H$21+H28*LIDER!$H$22+I28*LIDER!$H$23+J28*LIDER!$H$24+K28*LIDER!$H$25,"N"))</f>
        <v>N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KRISTIN SOFIA PEREZ MARTINEZ</v>
      </c>
      <c r="C29" s="33" t="str">
        <f>IF('S-ASIG-03'!D29="","",'S-ASIG-03'!D29)</f>
        <v>N</v>
      </c>
      <c r="D29" s="30" t="str">
        <f>IF(B29=0,"",IF(C29="",$E$27*LIDER!$H$19+F29*LIDER!$H$20+G29*LIDER!$H$21+H29*LIDER!$H$22+I29*LIDER!$H$23+J29*LIDER!$H$24+K29*LIDER!$H$25,"N"))</f>
        <v>N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IF('S-ASIG-03'!D30="","",'S-ASIG-03'!D30)</f>
        <v/>
      </c>
      <c r="D30" s="30" t="str">
        <f>IF(B30=0,"",IF(C30="",$E$27*LIDER!$H$19+F30*LIDER!$H$20+G30*LIDER!$H$21+H30*LIDER!$H$22+I30*LIDER!$H$23+J30*LIDER!$H$24+K30*LIDER!$H$25,"N"))</f>
        <v/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IF('S-ASIG-03'!D33="","",'S-ASIG-03'!D33)</f>
        <v>LIST</v>
      </c>
      <c r="D33" s="35" t="s">
        <v>73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IF('S-ASIG-03'!D34="","",'S-ASIG-03'!D34)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IF('S-ASIG-03'!D35="","",'S-ASIG-03'!D35)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IF('S-ASIG-03'!D40="","",'S-ASIG-03'!D40)</f>
        <v>LIST</v>
      </c>
      <c r="D40" s="35" t="s">
        <v>73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IF('S-ASIG-03'!D47="","",'S-ASIG-03'!D47)</f>
        <v>LIST</v>
      </c>
      <c r="D47" s="35" t="s">
        <v>73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IF('S-ASIG-03'!D54="","",'S-ASIG-03'!D54)</f>
        <v>LIST</v>
      </c>
      <c r="D54" s="35" t="s">
        <v>73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IF('S-ASIG-03'!D61="","",'S-ASIG-03'!D61)</f>
        <v>LIST</v>
      </c>
      <c r="D61" s="35" t="s">
        <v>73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IF('S-ASIG-03'!D68="","",'S-ASIG-03'!D68)</f>
        <v>LIST</v>
      </c>
      <c r="D68" s="35" t="s">
        <v>73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IF('S-ASIG-03'!D75="","",'S-ASIG-03'!D75)</f>
        <v>LIST</v>
      </c>
      <c r="D75" s="35" t="s">
        <v>73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IF('S-ASIG-03'!D82="","",'S-ASIG-03'!D82)</f>
        <v>LIST</v>
      </c>
      <c r="D82" s="35" t="s">
        <v>73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LIDER!F4</f>
        <v>MACROECONOMÍA</v>
      </c>
      <c r="C2" s="3"/>
      <c r="E2" s="207" t="s">
        <v>68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69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CONCATENATE(LIDER!F4," - ",LIDER!F6," - ",LIDER!F5)</f>
        <v>MACROECONOMÍA - 1497 - JORGE ELIECER PAREJA SHAIKH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70</v>
      </c>
      <c r="C5" s="34" t="str">
        <f>IF('S-ASIG-04'!D5="","",'S-ASIG-04'!D5)</f>
        <v>LIST</v>
      </c>
      <c r="D5" s="35" t="s">
        <v>73</v>
      </c>
      <c r="E5" s="142" t="str">
        <f>LIDER!$E$29</f>
        <v xml:space="preserve">Caracterización de los aspectos legales, tributarios, administrativos, macroeconómicos, aduaneros, tecnológicos e internacionales que definen el perfil de Grupo Argos en los negocios internacionales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JOSE RICARDO AYOLA LOMBANA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VALERIA LISETH CONSTANTE TAPIAS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FELIPE ANDRÉS JIMENEZ DIZZETT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ALEJANDRO DAVID NARVAEZ MONTES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SEBASTIAN ALONSO RAMOS TEJEDA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IF('S-ASIG-04'!D12="","",'S-ASIG-04'!D12)</f>
        <v>LIST</v>
      </c>
      <c r="D12" s="35" t="s">
        <v>73</v>
      </c>
      <c r="E12" s="142" t="str">
        <f>LIDER!$E$30</f>
        <v>Aspectos Legales, Tributarios, Administrativos, Macroeconómicos, Aduaneros, Tecnológicos e internacionales que Definen el Perfil de Ecopetrol S.A. en los Negocios Internacionales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NATALY SOFIA CASTRO JIMÉNEZ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OSCAR ALFONSO LORDUY NEIRA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DAKAR YULISA MORALES PATERNINA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CARLOS DAVID OROZCO VALDES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SANDRI SARAI VALDEZ SEPULVEDA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IF('S-ASIG-04'!D19="","",'S-ASIG-04'!D19)</f>
        <v>LIST</v>
      </c>
      <c r="D19" s="35" t="s">
        <v>73</v>
      </c>
      <c r="E19" s="142" t="str">
        <f>LIDER!$E$31</f>
        <v>Análisis integral del perfil empresarial de Grupo Nutresa S.A. en el marco de los negocios internacionales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JOSUE DAVID ALCALA AMAYA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EILIN BALSEIRO CORTINA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JULIET ALEJANDRA BLANQUICETT BELTRAN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VALENTINA CASTRO IBARRA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IF('S-ASIG-04'!D26="","",'S-ASIG-04'!D26)</f>
        <v>LIST</v>
      </c>
      <c r="D26" s="35" t="s">
        <v>73</v>
      </c>
      <c r="E26" s="142" t="str">
        <f>LIDER!$E$32</f>
        <v>Aspectos legales, tributarios, administrativos, macroeconómicos, aduaneros, tecnológicos e internacionales que definen el perfil de la Federación Nacional de Cafeteros de Colombia en los negocios internacionales.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LAUREN LICETH CASTILLA GONZALEZ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CARMEN CECILIA MANUEL CRUZATE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KRISTIN SOFIA PEREZ MARTINEZ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IF('S-ASIG-04'!D30="","",'S-ASIG-04'!D30)</f>
        <v/>
      </c>
      <c r="D30" s="30" t="str">
        <f>IF(B30=0,"",IF(C30="",$E$27*LIDER!$H$19+F30*LIDER!$H$20+G30*LIDER!$H$21+H30*LIDER!$H$22+I30*LIDER!$H$23+J30*LIDER!$H$24+K30*LIDER!$H$25,"N"))</f>
        <v/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IF('S-ASIG-04'!D33="","",'S-ASIG-04'!D33)</f>
        <v>LIST</v>
      </c>
      <c r="D33" s="35" t="s">
        <v>73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IF('S-ASIG-04'!D34="","",'S-ASIG-04'!D34)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IF('S-ASIG-04'!D35="","",'S-ASIG-04'!D35)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IF('S-ASIG-04'!D40="","",'S-ASIG-04'!D40)</f>
        <v>LIST</v>
      </c>
      <c r="D40" s="35" t="s">
        <v>73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IF('S-ASIG-04'!D47="","",'S-ASIG-04'!D47)</f>
        <v>LIST</v>
      </c>
      <c r="D47" s="35" t="s">
        <v>73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IF('S-ASIG-04'!D54="","",'S-ASIG-04'!D54)</f>
        <v>LIST</v>
      </c>
      <c r="D54" s="35" t="s">
        <v>73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IF('S-ASIG-04'!D61="","",'S-ASIG-04'!D61)</f>
        <v>LIST</v>
      </c>
      <c r="D61" s="35" t="s">
        <v>73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IF('S-ASIG-04'!D68="","",'S-ASIG-04'!D68)</f>
        <v>LIST</v>
      </c>
      <c r="D68" s="35" t="s">
        <v>73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IF('S-ASIG-04'!D75="","",'S-ASIG-04'!D75)</f>
        <v>LIST</v>
      </c>
      <c r="D75" s="35" t="s">
        <v>73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IF('S-ASIG-04'!D82="","",'S-ASIG-04'!D82)</f>
        <v>LIST</v>
      </c>
      <c r="D82" s="35" t="s">
        <v>73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9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LIDER!G4</f>
        <v>MATEMÁTICAS FINANCIERAS</v>
      </c>
      <c r="C2" s="3"/>
      <c r="E2" s="207" t="s">
        <v>68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69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CONCATENATE(LIDER!G4," - ",LIDER!G6," - ",LIDER!G5)</f>
        <v>MATEMÁTICAS FINANCIERAS - 1365 - EDGAR ALEXANDER NAVARRO MARTINEZ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70</v>
      </c>
      <c r="C5" s="34" t="str">
        <f>IF('S-ASIG-05'!D5="","",'S-ASIG-05'!D5)</f>
        <v>LIST</v>
      </c>
      <c r="D5" s="35" t="s">
        <v>73</v>
      </c>
      <c r="E5" s="142" t="str">
        <f>LIDER!$E$29</f>
        <v xml:space="preserve">Caracterización de los aspectos legales, tributarios, administrativos, macroeconómicos, aduaneros, tecnológicos e internacionales que definen el perfil de Grupo Argos en los negocios internacionales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JOSE RICARDO AYOLA LOMBANA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VALERIA LISETH CONSTANTE TAPIAS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FELIPE ANDRÉS JIMENEZ DIZZETT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ALEJANDRO DAVID NARVAEZ MONTES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SEBASTIAN ALONSO RAMOS TEJEDA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IF('S-ASIG-05'!D12="","",'S-ASIG-05'!D12)</f>
        <v>LIST</v>
      </c>
      <c r="D12" s="35" t="s">
        <v>73</v>
      </c>
      <c r="E12" s="142" t="str">
        <f>LIDER!$E$30</f>
        <v>Aspectos Legales, Tributarios, Administrativos, Macroeconómicos, Aduaneros, Tecnológicos e internacionales que Definen el Perfil de Ecopetrol S.A. en los Negocios Internacionales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NATALY SOFIA CASTRO JIMÉNEZ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OSCAR ALFONSO LORDUY NEIRA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DAKAR YULISA MORALES PATERNINA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CARLOS DAVID OROZCO VALDES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SANDRI SARAI VALDEZ SEPULVEDA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IF('S-ASIG-05'!D19="","",'S-ASIG-05'!D19)</f>
        <v>LIST</v>
      </c>
      <c r="D19" s="35" t="s">
        <v>73</v>
      </c>
      <c r="E19" s="142" t="str">
        <f>LIDER!$E$31</f>
        <v>Análisis integral del perfil empresarial de Grupo Nutresa S.A. en el marco de los negocios internacionales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JOSUE DAVID ALCALA AMAYA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EILIN BALSEIRO CORTINA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JULIET ALEJANDRA BLANQUICETT BELTRAN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VALENTINA CASTRO IBARRA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IF('S-ASIG-05'!D26="","",'S-ASIG-05'!D26)</f>
        <v>LIST</v>
      </c>
      <c r="D26" s="35" t="s">
        <v>73</v>
      </c>
      <c r="E26" s="142" t="str">
        <f>LIDER!$E$32</f>
        <v>Aspectos legales, tributarios, administrativos, macroeconómicos, aduaneros, tecnológicos e internacionales que definen el perfil de la Federación Nacional de Cafeteros de Colombia en los negocios internacionales.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LAUREN LICETH CASTILLA GONZALEZ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CARMEN CECILIA MANUEL CRUZATE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KRISTIN SOFIA PEREZ MARTINEZ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IF('S-ASIG-05'!D30="","",'S-ASIG-05'!D30)</f>
        <v/>
      </c>
      <c r="D30" s="30" t="str">
        <f>IF(B30=0,"",IF(C30="",$E$27*LIDER!$H$19+F30*LIDER!$H$20+G30*LIDER!$H$21+H30*LIDER!$H$22+I30*LIDER!$H$23+J30*LIDER!$H$24+K30*LIDER!$H$25,"N"))</f>
        <v/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IF('S-ASIG-05'!D33="","",'S-ASIG-05'!D33)</f>
        <v>LIST</v>
      </c>
      <c r="D33" s="35" t="s">
        <v>73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IF('S-ASIG-05'!D34="","",'S-ASIG-05'!D34)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IF('S-ASIG-05'!D35="","",'S-ASIG-05'!D35)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IF('S-ASIG-05'!D40="","",'S-ASIG-05'!D40)</f>
        <v>LIST</v>
      </c>
      <c r="D40" s="35" t="s">
        <v>73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IF('S-ASIG-05'!D47="","",'S-ASIG-05'!D47)</f>
        <v>LIST</v>
      </c>
      <c r="D47" s="35" t="s">
        <v>73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IF('S-ASIG-05'!D54="","",'S-ASIG-05'!D54)</f>
        <v>LIST</v>
      </c>
      <c r="D54" s="35" t="s">
        <v>73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IF('S-ASIG-05'!D61="","",'S-ASIG-05'!D61)</f>
        <v>LIST</v>
      </c>
      <c r="D61" s="35" t="s">
        <v>73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IF('S-ASIG-05'!D68="","",'S-ASIG-05'!D68)</f>
        <v>LIST</v>
      </c>
      <c r="D68" s="35" t="s">
        <v>73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IF('S-ASIG-05'!D75="","",'S-ASIG-05'!D75)</f>
        <v>LIST</v>
      </c>
      <c r="D75" s="35" t="s">
        <v>73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IF('S-ASIG-05'!D82="","",'S-ASIG-05'!D82)</f>
        <v>LIST</v>
      </c>
      <c r="D82" s="35" t="s">
        <v>73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>
        <f>LIDER!H4</f>
        <v>0</v>
      </c>
      <c r="C2" s="3"/>
      <c r="E2" s="207" t="s">
        <v>68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69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CONCATENATE(LIDER!H4," - ",LIDER!H6," - ",LIDER!H5)</f>
        <v xml:space="preserve"> -  - 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70</v>
      </c>
      <c r="C5" s="34" t="str">
        <f>IF('S-ASIG-06'!D5="","",'S-ASIG-06'!D5)</f>
        <v>LIST</v>
      </c>
      <c r="D5" s="35" t="s">
        <v>73</v>
      </c>
      <c r="E5" s="142" t="str">
        <f>LIDER!$E$29</f>
        <v xml:space="preserve">Caracterización de los aspectos legales, tributarios, administrativos, macroeconómicos, aduaneros, tecnológicos e internacionales que definen el perfil de Grupo Argos en los negocios internacionales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JOSE RICARDO AYOLA LOMBANA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VALERIA LISETH CONSTANTE TAPIAS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FELIPE ANDRÉS JIMENEZ DIZZETT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ALEJANDRO DAVID NARVAEZ MONTES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SEBASTIAN ALONSO RAMOS TEJEDA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IF('S-ASIG-06'!D12="","",'S-ASIG-06'!D12)</f>
        <v>LIST</v>
      </c>
      <c r="D12" s="35" t="s">
        <v>73</v>
      </c>
      <c r="E12" s="142" t="str">
        <f>LIDER!$E$30</f>
        <v>Aspectos Legales, Tributarios, Administrativos, Macroeconómicos, Aduaneros, Tecnológicos e internacionales que Definen el Perfil de Ecopetrol S.A. en los Negocios Internacionales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NATALY SOFIA CASTRO JIMÉNEZ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OSCAR ALFONSO LORDUY NEIRA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DAKAR YULISA MORALES PATERNINA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CARLOS DAVID OROZCO VALDES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SANDRI SARAI VALDEZ SEPULVEDA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IF('S-ASIG-06'!D19="","",'S-ASIG-06'!D19)</f>
        <v>LIST</v>
      </c>
      <c r="D19" s="35" t="s">
        <v>73</v>
      </c>
      <c r="E19" s="142" t="str">
        <f>LIDER!$E$31</f>
        <v>Análisis integral del perfil empresarial de Grupo Nutresa S.A. en el marco de los negocios internacionales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JOSUE DAVID ALCALA AMAYA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EILIN BALSEIRO CORTINA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JULIET ALEJANDRA BLANQUICETT BELTRAN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VALENTINA CASTRO IBARRA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IF('S-ASIG-06'!D26="","",'S-ASIG-06'!D26)</f>
        <v>LIST</v>
      </c>
      <c r="D26" s="35" t="s">
        <v>73</v>
      </c>
      <c r="E26" s="142" t="str">
        <f>LIDER!$E$32</f>
        <v>Aspectos legales, tributarios, administrativos, macroeconómicos, aduaneros, tecnológicos e internacionales que definen el perfil de la Federación Nacional de Cafeteros de Colombia en los negocios internacionales.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LAUREN LICETH CASTILLA GONZALEZ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CARMEN CECILIA MANUEL CRUZATE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KRISTIN SOFIA PEREZ MARTINEZ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IF('S-ASIG-06'!D30="","",'S-ASIG-06'!D30)</f>
        <v/>
      </c>
      <c r="D30" s="30" t="str">
        <f>IF(B30=0,"",IF(C30="",$E$27*LIDER!$H$19+F30*LIDER!$H$20+G30*LIDER!$H$21+H30*LIDER!$H$22+I30*LIDER!$H$23+J30*LIDER!$H$24+K30*LIDER!$H$25,"N"))</f>
        <v/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IF('S-ASIG-06'!D33="","",'S-ASIG-06'!D33)</f>
        <v>LIST</v>
      </c>
      <c r="D33" s="35" t="s">
        <v>73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IF('S-ASIG-06'!D34="","",'S-ASIG-06'!D34)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IF('S-ASIG-06'!D35="","",'S-ASIG-06'!D35)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IF('S-ASIG-06'!D40="","",'S-ASIG-06'!D40)</f>
        <v>LIST</v>
      </c>
      <c r="D40" s="35" t="s">
        <v>73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IF('S-ASIG-06'!D47="","",'S-ASIG-06'!D47)</f>
        <v>LIST</v>
      </c>
      <c r="D47" s="35" t="s">
        <v>73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IF('S-ASIG-06'!D54="","",'S-ASIG-06'!D54)</f>
        <v>LIST</v>
      </c>
      <c r="D54" s="35" t="s">
        <v>73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IF('S-ASIG-06'!D61="","",'S-ASIG-06'!D61)</f>
        <v>LIST</v>
      </c>
      <c r="D61" s="35" t="s">
        <v>73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IF('S-ASIG-06'!D68="","",'S-ASIG-06'!D68)</f>
        <v>LIST</v>
      </c>
      <c r="D68" s="35" t="s">
        <v>73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IF('S-ASIG-06'!D75="","",'S-ASIG-06'!D75)</f>
        <v>LIST</v>
      </c>
      <c r="D75" s="35" t="s">
        <v>73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IF('S-ASIG-06'!D82="","",'S-ASIG-06'!D82)</f>
        <v>LIST</v>
      </c>
      <c r="D82" s="35" t="s">
        <v>73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TECNOLOGÍA EN GESTIÓN DE NEGOCIOS INTERN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>
        <f>LIDER!I4</f>
        <v>0</v>
      </c>
      <c r="C2" s="3"/>
      <c r="E2" s="207" t="s">
        <v>68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69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CONCATENATE(LIDER!I4," - ",LIDER!I6," - ",LIDER!I5)</f>
        <v xml:space="preserve"> -  - 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70</v>
      </c>
      <c r="C5" s="34" t="str">
        <f>IF('S-ASIG-07'!D5="","",'S-ASIG-07'!D5)</f>
        <v>LIST</v>
      </c>
      <c r="D5" s="35" t="s">
        <v>73</v>
      </c>
      <c r="E5" s="142" t="str">
        <f>LIDER!$E$29</f>
        <v xml:space="preserve">Caracterización de los aspectos legales, tributarios, administrativos, macroeconómicos, aduaneros, tecnológicos e internacionales que definen el perfil de Grupo Argos en los negocios internacionales 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JOSE RICARDO AYOLA LOMBANA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VALERIA LISETH CONSTANTE TAPIAS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FELIPE ANDRÉS JIMENEZ DIZZETT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ALEJANDRO DAVID NARVAEZ MONTES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SEBASTIAN ALONSO RAMOS TEJEDA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IF('S-ASIG-07'!D12="","",'S-ASIG-07'!D12)</f>
        <v>LIST</v>
      </c>
      <c r="D12" s="35" t="s">
        <v>73</v>
      </c>
      <c r="E12" s="142" t="str">
        <f>LIDER!$E$30</f>
        <v>Aspectos Legales, Tributarios, Administrativos, Macroeconómicos, Aduaneros, Tecnológicos e internacionales que Definen el Perfil de Ecopetrol S.A. en los Negocios Internacionales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NATALY SOFIA CASTRO JIMÉNEZ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OSCAR ALFONSO LORDUY NEIRA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DAKAR YULISA MORALES PATERNINA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CARLOS DAVID OROZCO VALDES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SANDRI SARAI VALDEZ SEPULVEDA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IF('S-ASIG-07'!D19="","",'S-ASIG-07'!D19)</f>
        <v>LIST</v>
      </c>
      <c r="D19" s="35" t="s">
        <v>73</v>
      </c>
      <c r="E19" s="142" t="str">
        <f>LIDER!$E$31</f>
        <v>Análisis integral del perfil empresarial de Grupo Nutresa S.A. en el marco de los negocios internacionales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JOSUE DAVID ALCALA AMAYA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EILIN BALSEIRO CORTINA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JULIET ALEJANDRA BLANQUICETT BELTRAN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VALENTINA CASTRO IBARRA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IF('S-ASIG-07'!D26="","",'S-ASIG-07'!D26)</f>
        <v>LIST</v>
      </c>
      <c r="D26" s="35" t="s">
        <v>73</v>
      </c>
      <c r="E26" s="142" t="str">
        <f>LIDER!$E$32</f>
        <v>Aspectos legales, tributarios, administrativos, macroeconómicos, aduaneros, tecnológicos e internacionales que definen el perfil de la Federación Nacional de Cafeteros de Colombia en los negocios internacionales.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LAUREN LICETH CASTILLA GONZALEZ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CARMEN CECILIA MANUEL CRUZATE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KRISTIN SOFIA PEREZ MARTINEZ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IF('S-ASIG-07'!D30="","",'S-ASIG-07'!D30)</f>
        <v/>
      </c>
      <c r="D30" s="30" t="str">
        <f>IF(B30=0,"",IF(C30="",$E$27*LIDER!$H$19+F30*LIDER!$H$20+G30*LIDER!$H$21+H30*LIDER!$H$22+I30*LIDER!$H$23+J30*LIDER!$H$24+K30*LIDER!$H$25,"N"))</f>
        <v/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IF('S-ASIG-07'!D33="","",'S-ASIG-07'!D33)</f>
        <v>LIST</v>
      </c>
      <c r="D33" s="35" t="s">
        <v>73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IF('S-ASIG-07'!D34="","",'S-ASIG-07'!D34)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IF('S-ASIG-07'!D35="","",'S-ASIG-07'!D35)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IF('S-ASIG-07'!D40="","",'S-ASIG-07'!D40)</f>
        <v>LIST</v>
      </c>
      <c r="D40" s="35" t="s">
        <v>73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IF('S-ASIG-07'!D47="","",'S-ASIG-07'!D47)</f>
        <v>LIST</v>
      </c>
      <c r="D47" s="35" t="s">
        <v>73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IF('S-ASIG-07'!D54="","",'S-ASIG-07'!D54)</f>
        <v>LIST</v>
      </c>
      <c r="D54" s="35" t="s">
        <v>73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IF('S-ASIG-07'!D61="","",'S-ASIG-07'!D61)</f>
        <v>LIST</v>
      </c>
      <c r="D61" s="35" t="s">
        <v>73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IF('S-ASIG-07'!D68="","",'S-ASIG-07'!D68)</f>
        <v>LIST</v>
      </c>
      <c r="D68" s="35" t="s">
        <v>73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IF('S-ASIG-07'!D75="","",'S-ASIG-07'!D75)</f>
        <v>LIST</v>
      </c>
      <c r="D75" s="35" t="s">
        <v>73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IF('S-ASIG-07'!D82="","",'S-ASIG-07'!D82)</f>
        <v>LIST</v>
      </c>
      <c r="D82" s="35" t="s">
        <v>73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F11" activePane="bottomRight" state="frozen"/>
      <selection pane="bottomRight" activeCell="D20" sqref="D20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4" t="str">
        <f>LIDER!B2</f>
        <v>TECNOLOGÍA EN GESTIÓN DE NEGOCIOS INTERN</v>
      </c>
      <c r="H1" s="214"/>
      <c r="I1" s="214"/>
      <c r="J1" s="214"/>
      <c r="K1" s="214"/>
      <c r="L1" s="214"/>
      <c r="M1" s="214"/>
      <c r="N1" s="213" t="str">
        <f>LIDER!E2</f>
        <v>SEMESTRE:</v>
      </c>
      <c r="O1" s="213"/>
      <c r="P1" s="44" t="str">
        <f>LIDER!F2</f>
        <v>SEM-03</v>
      </c>
      <c r="Q1" s="43" t="str">
        <f>LIDER!G2</f>
        <v>SECCIÓN:</v>
      </c>
      <c r="R1" s="44">
        <f>LIDER!H2</f>
        <v>2</v>
      </c>
      <c r="S1" s="42"/>
      <c r="T1" s="42"/>
      <c r="U1" s="45"/>
    </row>
    <row r="2" spans="1:22" ht="20.100000000000001" customHeight="1" thickBot="1">
      <c r="G2" s="210" t="s">
        <v>97</v>
      </c>
      <c r="H2" s="211"/>
      <c r="I2" s="211"/>
      <c r="J2" s="211"/>
      <c r="K2" s="211"/>
      <c r="L2" s="211"/>
      <c r="M2" s="212"/>
      <c r="N2" s="2"/>
      <c r="O2" s="215" t="s">
        <v>98</v>
      </c>
      <c r="P2" s="216"/>
      <c r="Q2" s="216"/>
      <c r="R2" s="216"/>
      <c r="S2" s="216"/>
      <c r="T2" s="216"/>
      <c r="U2" s="217"/>
    </row>
    <row r="3" spans="1:22" ht="20.100000000000001" customHeight="1" thickBot="1">
      <c r="G3" s="48" t="str">
        <f>CONCATENATE("N° : ",LIDER!C6)</f>
        <v>N° : 2249</v>
      </c>
      <c r="H3" s="49" t="str">
        <f>CONCATENATE("N° : ",LIDER!D6)</f>
        <v>N° : 2348</v>
      </c>
      <c r="I3" s="49" t="str">
        <f>CONCATENATE("N° : ",LIDER!E6)</f>
        <v>N° : 2353</v>
      </c>
      <c r="J3" s="49" t="str">
        <f>CONCATENATE("N° : ",LIDER!F6)</f>
        <v>N° : 1497</v>
      </c>
      <c r="K3" s="49" t="str">
        <f>CONCATENATE("N° : ",LIDER!G6)</f>
        <v>N° : 1365</v>
      </c>
      <c r="L3" s="49" t="str">
        <f>CONCATENATE("N° : ",LIDER!H6)</f>
        <v xml:space="preserve">N° : </v>
      </c>
      <c r="M3" s="50" t="str">
        <f>CONCATENATE("N° : ",LIDER!I6)</f>
        <v xml:space="preserve">N° : </v>
      </c>
      <c r="O3" s="48" t="str">
        <f>G3</f>
        <v>N° : 2249</v>
      </c>
      <c r="P3" s="49" t="str">
        <f t="shared" ref="P3:U3" si="0">H3</f>
        <v>N° : 2348</v>
      </c>
      <c r="Q3" s="49" t="str">
        <f t="shared" si="0"/>
        <v>N° : 2353</v>
      </c>
      <c r="R3" s="49" t="str">
        <f t="shared" si="0"/>
        <v>N° : 1497</v>
      </c>
      <c r="S3" s="49" t="str">
        <f t="shared" si="0"/>
        <v>N° : 1365</v>
      </c>
      <c r="T3" s="49" t="str">
        <f t="shared" si="0"/>
        <v xml:space="preserve">N° : </v>
      </c>
      <c r="U3" s="50" t="str">
        <f t="shared" si="0"/>
        <v xml:space="preserve">N° : </v>
      </c>
    </row>
    <row r="4" spans="1:22" ht="30" customHeight="1" thickBot="1">
      <c r="A4" s="51"/>
      <c r="B4" s="52" t="s">
        <v>21</v>
      </c>
      <c r="C4" s="53" t="s">
        <v>99</v>
      </c>
      <c r="D4" s="54" t="s">
        <v>100</v>
      </c>
      <c r="E4" s="55" t="s">
        <v>101</v>
      </c>
      <c r="G4" s="56" t="str">
        <f>MID(LIDER!C4,1,9)</f>
        <v>TECNOLOGI</v>
      </c>
      <c r="H4" s="57" t="str">
        <f>MID(LIDER!D4,1,9)</f>
        <v>INTERNACI</v>
      </c>
      <c r="I4" s="57" t="str">
        <f>MID(LIDER!E4,1,9)</f>
        <v>LEGISLACI</v>
      </c>
      <c r="J4" s="57" t="str">
        <f>MID(LIDER!F4,1,9)</f>
        <v>MACROECON</v>
      </c>
      <c r="K4" s="57" t="str">
        <f>MID(LIDER!G4,1,9)</f>
        <v>MATEMÁTIC</v>
      </c>
      <c r="L4" s="57" t="str">
        <f>MID(LIDER!H4,1,9)</f>
        <v/>
      </c>
      <c r="M4" s="58" t="str">
        <f>MID(LIDER!I4,1,9)</f>
        <v/>
      </c>
      <c r="N4" s="59" t="s">
        <v>102</v>
      </c>
      <c r="O4" s="60" t="str">
        <f t="shared" ref="O4:U4" si="1">G4</f>
        <v>TECNOLOGI</v>
      </c>
      <c r="P4" s="61" t="str">
        <f t="shared" si="1"/>
        <v>INTERNACI</v>
      </c>
      <c r="Q4" s="61" t="str">
        <f t="shared" si="1"/>
        <v>LEGISLACI</v>
      </c>
      <c r="R4" s="61" t="str">
        <f t="shared" si="1"/>
        <v>MACROECON</v>
      </c>
      <c r="S4" s="61" t="str">
        <f t="shared" si="1"/>
        <v>MATEMÁTIC</v>
      </c>
      <c r="T4" s="61" t="str">
        <f t="shared" si="1"/>
        <v/>
      </c>
      <c r="U4" s="62" t="str">
        <f t="shared" si="1"/>
        <v/>
      </c>
      <c r="V4" s="59" t="s">
        <v>103</v>
      </c>
    </row>
    <row r="5" spans="1:22" ht="15" customHeight="1">
      <c r="A5" s="12">
        <v>1</v>
      </c>
      <c r="B5" s="63" t="str">
        <f>LIDER!C9</f>
        <v>JOSE RICARDO AYOLA LOMBANA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4.53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4.9000000000000004</v>
      </c>
      <c r="H5" s="65">
        <f>IF(B5=0,"",IFERROR(VLOOKUP(B5,'S-ASIG-02'!$B$5:$E$88,4,0),0))</f>
        <v>4.620000000000001</v>
      </c>
      <c r="I5" s="65" t="str">
        <f>IF(B5=0,"",IFERROR(VLOOKUP(B5,'S-ASIG-03'!$B$5:$E$88,4,0),0))</f>
        <v>N</v>
      </c>
      <c r="J5" s="65">
        <f>IF(B5=0,"",IFERROR(VLOOKUP(B5,'S-ASIG-04'!$B$5:$E$88,4,0),0))</f>
        <v>3.9499999999999997</v>
      </c>
      <c r="K5" s="65">
        <f>IF(B5=0,"",IFERROR(VLOOKUP(B5,'S-ASIG-05'!$B$5:$E$88,4,0),0))</f>
        <v>4.6500000000000004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104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 t="str">
        <f>IF(B5=0,"",IFERROR(VLOOKUP(B5,'T-ASIG-03'!$B$5:$D$88,3,0),0))</f>
        <v>N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105</v>
      </c>
    </row>
    <row r="6" spans="1:22" ht="15" customHeight="1">
      <c r="A6" s="12">
        <v>2</v>
      </c>
      <c r="B6" s="70" t="str">
        <f>LIDER!C10</f>
        <v>VALERIA LISETH CONSTANTE TAPIAS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4.5540000000000003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4.9000000000000004</v>
      </c>
      <c r="H6" s="72">
        <f>IF(B6=0,"",IFERROR(VLOOKUP(B6,'S-ASIG-02'!$B$5:$E$88,4,0),0))</f>
        <v>4.620000000000001</v>
      </c>
      <c r="I6" s="72">
        <f>IF(B6=0,"",IFERROR(VLOOKUP(B6,'S-ASIG-03'!$B$5:$E$88,4,0),0))</f>
        <v>4.6500000000000004</v>
      </c>
      <c r="J6" s="72">
        <f>IF(B6=0,"",IFERROR(VLOOKUP(B6,'S-ASIG-04'!$B$5:$E$88,4,0),0))</f>
        <v>3.9499999999999997</v>
      </c>
      <c r="K6" s="72">
        <f>IF(B6=0,"",IFERROR(VLOOKUP(B6,'S-ASIG-05'!$B$5:$E$88,4,0),0))</f>
        <v>4.6500000000000004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104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105</v>
      </c>
    </row>
    <row r="7" spans="1:22" ht="15" customHeight="1">
      <c r="A7" s="12">
        <v>3</v>
      </c>
      <c r="B7" s="70" t="str">
        <f>LIDER!C11</f>
        <v>FELIPE ANDRÉS JIMENEZ DIZZETT</v>
      </c>
      <c r="C7" s="64" t="str">
        <f>IF(B7=0,"",IFERROR(VLOOKUP(B7,'S-ASIG-01'!$B$5:$E$88,2,0),0))</f>
        <v>G01</v>
      </c>
      <c r="D7" s="65">
        <f t="shared" si="2"/>
        <v>4.5540000000000003</v>
      </c>
      <c r="E7" s="66">
        <f t="shared" si="3"/>
        <v>0</v>
      </c>
      <c r="F7" s="47"/>
      <c r="G7" s="71">
        <f>IF(B7=0,"",IFERROR(VLOOKUP(B7,'S-ASIG-01'!$B$5:$E$88,4,0),0))</f>
        <v>4.9000000000000004</v>
      </c>
      <c r="H7" s="72">
        <f>IF(B7=0,"",IFERROR(VLOOKUP(B7,'S-ASIG-02'!$B$5:$E$88,4,0),0))</f>
        <v>4.620000000000001</v>
      </c>
      <c r="I7" s="72">
        <f>IF(B7=0,"",IFERROR(VLOOKUP(B7,'S-ASIG-03'!$B$5:$E$88,4,0),0))</f>
        <v>4.6500000000000004</v>
      </c>
      <c r="J7" s="72">
        <f>IF(B7=0,"",IFERROR(VLOOKUP(B7,'S-ASIG-04'!$B$5:$E$88,4,0),0))</f>
        <v>3.9499999999999997</v>
      </c>
      <c r="K7" s="72">
        <f>IF(B7=0,"",IFERROR(VLOOKUP(B7,'S-ASIG-05'!$B$5:$E$88,4,0),0))</f>
        <v>4.6500000000000004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104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105</v>
      </c>
    </row>
    <row r="8" spans="1:22" ht="15" customHeight="1">
      <c r="A8" s="12">
        <v>4</v>
      </c>
      <c r="B8" s="70" t="str">
        <f>LIDER!C12</f>
        <v>ALEJANDRO DAVID NARVAEZ MONTES</v>
      </c>
      <c r="C8" s="64" t="str">
        <f>IF(B8=0,"",IFERROR(VLOOKUP(B8,'S-ASIG-01'!$B$5:$E$88,2,0),0))</f>
        <v>G01</v>
      </c>
      <c r="D8" s="65">
        <f t="shared" si="2"/>
        <v>4.5540000000000003</v>
      </c>
      <c r="E8" s="66">
        <f t="shared" si="3"/>
        <v>0</v>
      </c>
      <c r="F8" s="47"/>
      <c r="G8" s="71">
        <f>IF(B8=0,"",IFERROR(VLOOKUP(B8,'S-ASIG-01'!$B$5:$E$88,4,0),0))</f>
        <v>4.9000000000000004</v>
      </c>
      <c r="H8" s="72">
        <f>IF(B8=0,"",IFERROR(VLOOKUP(B8,'S-ASIG-02'!$B$5:$E$88,4,0),0))</f>
        <v>4.620000000000001</v>
      </c>
      <c r="I8" s="72">
        <f>IF(B8=0,"",IFERROR(VLOOKUP(B8,'S-ASIG-03'!$B$5:$E$88,4,0),0))</f>
        <v>4.6500000000000004</v>
      </c>
      <c r="J8" s="72">
        <f>IF(B8=0,"",IFERROR(VLOOKUP(B8,'S-ASIG-04'!$B$5:$E$88,4,0),0))</f>
        <v>3.9499999999999997</v>
      </c>
      <c r="K8" s="72">
        <f>IF(B8=0,"",IFERROR(VLOOKUP(B8,'S-ASIG-05'!$B$5:$E$88,4,0),0))</f>
        <v>4.6500000000000004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104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105</v>
      </c>
    </row>
    <row r="9" spans="1:22" ht="15" customHeight="1">
      <c r="A9" s="12">
        <v>5</v>
      </c>
      <c r="B9" s="70" t="str">
        <f>LIDER!C13</f>
        <v>SEBASTIAN ALONSO RAMOS TEJEDA</v>
      </c>
      <c r="C9" s="64" t="str">
        <f>IF(B9=0,"",IFERROR(VLOOKUP(B9,'S-ASIG-01'!$B$5:$E$88,2,0),0))</f>
        <v>G01</v>
      </c>
      <c r="D9" s="65">
        <f t="shared" si="2"/>
        <v>4.5540000000000003</v>
      </c>
      <c r="E9" s="66">
        <f t="shared" si="3"/>
        <v>0</v>
      </c>
      <c r="F9" s="47"/>
      <c r="G9" s="71">
        <f>IF(B9=0,"",IFERROR(VLOOKUP(B9,'S-ASIG-01'!$B$5:$E$88,4,0),0))</f>
        <v>4.9000000000000004</v>
      </c>
      <c r="H9" s="72">
        <f>IF(B9=0,"",IFERROR(VLOOKUP(B9,'S-ASIG-02'!$B$5:$E$88,4,0),0))</f>
        <v>4.620000000000001</v>
      </c>
      <c r="I9" s="72">
        <f>IF(B9=0,"",IFERROR(VLOOKUP(B9,'S-ASIG-03'!$B$5:$E$88,4,0),0))</f>
        <v>4.6500000000000004</v>
      </c>
      <c r="J9" s="72">
        <f>IF(B9=0,"",IFERROR(VLOOKUP(B9,'S-ASIG-04'!$B$5:$E$88,4,0),0))</f>
        <v>3.9499999999999997</v>
      </c>
      <c r="K9" s="72">
        <f>IF(B9=0,"",IFERROR(VLOOKUP(B9,'S-ASIG-05'!$B$5:$E$88,4,0),0))</f>
        <v>4.6500000000000004</v>
      </c>
      <c r="L9" s="72">
        <f>IF(B9=0,"",IFERROR(VLOOKUP(B9,'S-ASIG-06'!$B$5:$E$88,4,0),0))</f>
        <v>0</v>
      </c>
      <c r="M9" s="73">
        <f>IF(B9=0,"",IFERROR(VLOOKUP(B9,'S-ASIG-07'!$B$5:$E$88,4,0),0))</f>
        <v>0</v>
      </c>
      <c r="N9" s="68" t="s">
        <v>104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105</v>
      </c>
    </row>
    <row r="10" spans="1:22" ht="15" customHeight="1">
      <c r="A10" s="12">
        <v>6</v>
      </c>
      <c r="B10" s="70" t="str">
        <f>LIDER!C14</f>
        <v>NATALY SOFIA CASTRO JIMÉNEZ</v>
      </c>
      <c r="C10" s="64" t="str">
        <f>IF(B10=0,"",IFERROR(VLOOKUP(B10,'S-ASIG-01'!$B$5:$E$88,2,0),0))</f>
        <v>G02</v>
      </c>
      <c r="D10" s="65">
        <f t="shared" si="2"/>
        <v>4.34</v>
      </c>
      <c r="E10" s="66">
        <f t="shared" si="3"/>
        <v>0</v>
      </c>
      <c r="F10" s="47"/>
      <c r="G10" s="71">
        <f>IF(B10=0,"",IFERROR(VLOOKUP(B10,'S-ASIG-01'!$B$5:$E$88,4,0),0))</f>
        <v>4.6500000000000004</v>
      </c>
      <c r="H10" s="72">
        <f>IF(B10=0,"",IFERROR(VLOOKUP(B10,'S-ASIG-02'!$B$5:$E$88,4,0),0))</f>
        <v>4.37</v>
      </c>
      <c r="I10" s="72">
        <f>IF(B10=0,"",IFERROR(VLOOKUP(B10,'S-ASIG-03'!$B$5:$E$88,4,0),0))</f>
        <v>4.5600000000000005</v>
      </c>
      <c r="J10" s="72">
        <f>IF(B10=0,"",IFERROR(VLOOKUP(B10,'S-ASIG-04'!$B$5:$E$88,4,0),0))</f>
        <v>4.05</v>
      </c>
      <c r="K10" s="72">
        <f>IF(B10=0,"",IFERROR(VLOOKUP(B10,'S-ASIG-05'!$B$5:$E$88,4,0),0))</f>
        <v>4.07</v>
      </c>
      <c r="L10" s="72">
        <f>IF(B10=0,"",IFERROR(VLOOKUP(B10,'S-ASIG-06'!$B$5:$E$88,4,0),0))</f>
        <v>0</v>
      </c>
      <c r="M10" s="73">
        <f>IF(B10=0,"",IFERROR(VLOOKUP(B10,'S-ASIG-07'!$B$5:$E$88,4,0),0))</f>
        <v>0</v>
      </c>
      <c r="N10" s="68" t="s">
        <v>104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105</v>
      </c>
    </row>
    <row r="11" spans="1:22" ht="15" customHeight="1">
      <c r="A11" s="12">
        <v>7</v>
      </c>
      <c r="B11" s="70" t="str">
        <f>LIDER!C15</f>
        <v>OSCAR ALFONSO LORDUY NEIRA</v>
      </c>
      <c r="C11" s="64" t="str">
        <f>IF(B11=0,"",IFERROR(VLOOKUP(B11,'S-ASIG-01'!$B$5:$E$88,2,0),0))</f>
        <v>G02</v>
      </c>
      <c r="D11" s="65">
        <f t="shared" si="2"/>
        <v>4.34</v>
      </c>
      <c r="E11" s="66">
        <f t="shared" si="3"/>
        <v>0</v>
      </c>
      <c r="F11" s="47"/>
      <c r="G11" s="71">
        <f>IF(B11=0,"",IFERROR(VLOOKUP(B11,'S-ASIG-01'!$B$5:$E$88,4,0),0))</f>
        <v>4.6500000000000004</v>
      </c>
      <c r="H11" s="72">
        <f>IF(B11=0,"",IFERROR(VLOOKUP(B11,'S-ASIG-02'!$B$5:$E$88,4,0),0))</f>
        <v>4.37</v>
      </c>
      <c r="I11" s="72">
        <f>IF(B11=0,"",IFERROR(VLOOKUP(B11,'S-ASIG-03'!$B$5:$E$88,4,0),0))</f>
        <v>4.5600000000000005</v>
      </c>
      <c r="J11" s="72">
        <f>IF(B11=0,"",IFERROR(VLOOKUP(B11,'S-ASIG-04'!$B$5:$E$88,4,0),0))</f>
        <v>4.05</v>
      </c>
      <c r="K11" s="72">
        <f>IF(B11=0,"",IFERROR(VLOOKUP(B11,'S-ASIG-05'!$B$5:$E$88,4,0),0))</f>
        <v>4.07</v>
      </c>
      <c r="L11" s="72">
        <f>IF(B11=0,"",IFERROR(VLOOKUP(B11,'S-ASIG-06'!$B$5:$E$88,4,0),0))</f>
        <v>0</v>
      </c>
      <c r="M11" s="73">
        <f>IF(B11=0,"",IFERROR(VLOOKUP(B11,'S-ASIG-07'!$B$5:$E$88,4,0),0))</f>
        <v>0</v>
      </c>
      <c r="N11" s="68" t="s">
        <v>104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105</v>
      </c>
    </row>
    <row r="12" spans="1:22" ht="15" customHeight="1">
      <c r="A12" s="12">
        <v>8</v>
      </c>
      <c r="B12" s="70" t="str">
        <f>LIDER!C16</f>
        <v>DAKAR YULISA MORALES PATERNINA</v>
      </c>
      <c r="C12" s="64" t="str">
        <f>IF(B12=0,"",IFERROR(VLOOKUP(B12,'S-ASIG-01'!$B$5:$E$88,2,0),0))</f>
        <v>G02</v>
      </c>
      <c r="D12" s="65">
        <f t="shared" si="2"/>
        <v>4.2850000000000001</v>
      </c>
      <c r="E12" s="66">
        <f t="shared" si="3"/>
        <v>0</v>
      </c>
      <c r="F12" s="47"/>
      <c r="G12" s="71">
        <f>IF(B12=0,"",IFERROR(VLOOKUP(B12,'S-ASIG-01'!$B$5:$E$88,4,0),0))</f>
        <v>4.6500000000000004</v>
      </c>
      <c r="H12" s="72">
        <f>IF(B12=0,"",IFERROR(VLOOKUP(B12,'S-ASIG-02'!$B$5:$E$88,4,0),0))</f>
        <v>4.37</v>
      </c>
      <c r="I12" s="72" t="str">
        <f>IF(B12=0,"",IFERROR(VLOOKUP(B12,'S-ASIG-03'!$B$5:$E$88,4,0),0))</f>
        <v>N</v>
      </c>
      <c r="J12" s="72">
        <f>IF(B12=0,"",IFERROR(VLOOKUP(B12,'S-ASIG-04'!$B$5:$E$88,4,0),0))</f>
        <v>4.05</v>
      </c>
      <c r="K12" s="72">
        <f>IF(B12=0,"",IFERROR(VLOOKUP(B12,'S-ASIG-05'!$B$5:$E$88,4,0),0))</f>
        <v>4.07</v>
      </c>
      <c r="L12" s="72">
        <f>IF(B12=0,"",IFERROR(VLOOKUP(B12,'S-ASIG-06'!$B$5:$E$88,4,0),0))</f>
        <v>0</v>
      </c>
      <c r="M12" s="73">
        <f>IF(B12=0,"",IFERROR(VLOOKUP(B12,'S-ASIG-07'!$B$5:$E$88,4,0),0))</f>
        <v>0</v>
      </c>
      <c r="N12" s="68" t="s">
        <v>104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 t="str">
        <f>IF(B12=0,"",IFERROR(VLOOKUP(B12,'T-ASIG-03'!$B$5:$D$88,3,0),0))</f>
        <v>N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105</v>
      </c>
    </row>
    <row r="13" spans="1:22" ht="15" customHeight="1">
      <c r="A13" s="12">
        <v>9</v>
      </c>
      <c r="B13" s="70" t="str">
        <f>LIDER!C17</f>
        <v>CARLOS DAVID OROZCO VALDES</v>
      </c>
      <c r="C13" s="64" t="str">
        <f>IF(B13=0,"",IFERROR(VLOOKUP(B13,'S-ASIG-01'!$B$5:$E$88,2,0),0))</f>
        <v>G02</v>
      </c>
      <c r="D13" s="65">
        <f t="shared" si="2"/>
        <v>4.2850000000000001</v>
      </c>
      <c r="E13" s="66">
        <f t="shared" si="3"/>
        <v>0</v>
      </c>
      <c r="F13" s="47"/>
      <c r="G13" s="71">
        <f>IF(B13=0,"",IFERROR(VLOOKUP(B13,'S-ASIG-01'!$B$5:$E$88,4,0),0))</f>
        <v>4.6500000000000004</v>
      </c>
      <c r="H13" s="72">
        <f>IF(B13=0,"",IFERROR(VLOOKUP(B13,'S-ASIG-02'!$B$5:$E$88,4,0),0))</f>
        <v>4.37</v>
      </c>
      <c r="I13" s="72" t="str">
        <f>IF(B13=0,"",IFERROR(VLOOKUP(B13,'S-ASIG-03'!$B$5:$E$88,4,0),0))</f>
        <v>N</v>
      </c>
      <c r="J13" s="72">
        <f>IF(B13=0,"",IFERROR(VLOOKUP(B13,'S-ASIG-04'!$B$5:$E$88,4,0),0))</f>
        <v>4.05</v>
      </c>
      <c r="K13" s="72">
        <f>IF(B13=0,"",IFERROR(VLOOKUP(B13,'S-ASIG-05'!$B$5:$E$88,4,0),0))</f>
        <v>4.07</v>
      </c>
      <c r="L13" s="72">
        <f>IF(B13=0,"",IFERROR(VLOOKUP(B13,'S-ASIG-06'!$B$5:$E$88,4,0),0))</f>
        <v>0</v>
      </c>
      <c r="M13" s="73">
        <f>IF(B13=0,"",IFERROR(VLOOKUP(B13,'S-ASIG-07'!$B$5:$E$88,4,0),0))</f>
        <v>0</v>
      </c>
      <c r="N13" s="68" t="s">
        <v>104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 t="str">
        <f>IF(B13=0,"",IFERROR(VLOOKUP(B13,'T-ASIG-03'!$B$5:$D$88,3,0),0))</f>
        <v>N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105</v>
      </c>
    </row>
    <row r="14" spans="1:22" ht="15" customHeight="1">
      <c r="A14" s="12">
        <v>10</v>
      </c>
      <c r="B14" s="70" t="str">
        <f>LIDER!C18</f>
        <v>SANDRI SARAI VALDEZ SEPULVEDA</v>
      </c>
      <c r="C14" s="64" t="str">
        <f>IF(B14=0,"",IFERROR(VLOOKUP(B14,'S-ASIG-01'!$B$5:$E$88,2,0),0))</f>
        <v>G02</v>
      </c>
      <c r="D14" s="65">
        <f t="shared" si="2"/>
        <v>4.34</v>
      </c>
      <c r="E14" s="66">
        <f t="shared" si="3"/>
        <v>0</v>
      </c>
      <c r="F14" s="47"/>
      <c r="G14" s="71">
        <f>IF(B14=0,"",IFERROR(VLOOKUP(B14,'S-ASIG-01'!$B$5:$E$88,4,0),0))</f>
        <v>4.6500000000000004</v>
      </c>
      <c r="H14" s="72">
        <f>IF(B14=0,"",IFERROR(VLOOKUP(B14,'S-ASIG-02'!$B$5:$E$88,4,0),0))</f>
        <v>4.37</v>
      </c>
      <c r="I14" s="72">
        <f>IF(B14=0,"",IFERROR(VLOOKUP(B14,'S-ASIG-03'!$B$5:$E$88,4,0),0))</f>
        <v>4.5600000000000005</v>
      </c>
      <c r="J14" s="72">
        <f>IF(B14=0,"",IFERROR(VLOOKUP(B14,'S-ASIG-04'!$B$5:$E$88,4,0),0))</f>
        <v>4.05</v>
      </c>
      <c r="K14" s="72">
        <f>IF(B14=0,"",IFERROR(VLOOKUP(B14,'S-ASIG-05'!$B$5:$E$88,4,0),0))</f>
        <v>4.07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104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105</v>
      </c>
    </row>
    <row r="15" spans="1:22" ht="15" customHeight="1">
      <c r="A15" s="12">
        <v>11</v>
      </c>
      <c r="B15" s="70" t="str">
        <f>LIDER!C19</f>
        <v>JOSUE DAVID ALCALA AMAYA</v>
      </c>
      <c r="C15" s="64" t="str">
        <f>IF(B15=0,"",IFERROR(VLOOKUP(B15,'S-ASIG-01'!$B$5:$E$88,2,0),0))</f>
        <v>G03</v>
      </c>
      <c r="D15" s="65">
        <f t="shared" si="2"/>
        <v>4.4060000000000006</v>
      </c>
      <c r="E15" s="66">
        <f t="shared" si="3"/>
        <v>0</v>
      </c>
      <c r="F15" s="47"/>
      <c r="G15" s="71">
        <f>IF(B15=0,"",IFERROR(VLOOKUP(B15,'S-ASIG-01'!$B$5:$E$88,4,0),0))</f>
        <v>4.72</v>
      </c>
      <c r="H15" s="72">
        <f>IF(B15=0,"",IFERROR(VLOOKUP(B15,'S-ASIG-02'!$B$5:$E$88,4,0),0))</f>
        <v>4.5799999999999992</v>
      </c>
      <c r="I15" s="72">
        <f>IF(B15=0,"",IFERROR(VLOOKUP(B15,'S-ASIG-03'!$B$5:$E$88,4,0),0))</f>
        <v>4.6500000000000004</v>
      </c>
      <c r="J15" s="72">
        <f>IF(B15=0,"",IFERROR(VLOOKUP(B15,'S-ASIG-04'!$B$5:$E$88,4,0),0))</f>
        <v>3.9799999999999995</v>
      </c>
      <c r="K15" s="72">
        <f>IF(B15=0,"",IFERROR(VLOOKUP(B15,'S-ASIG-05'!$B$5:$E$88,4,0),0))</f>
        <v>4.0999999999999996</v>
      </c>
      <c r="L15" s="72">
        <f>IF(B15=0,"",IFERROR(VLOOKUP(B15,'S-ASIG-06'!$B$5:$E$88,4,0),0))</f>
        <v>0</v>
      </c>
      <c r="M15" s="73">
        <f>IF(B15=0,"",IFERROR(VLOOKUP(B15,'S-ASIG-07'!$B$5:$E$88,4,0),0))</f>
        <v>0</v>
      </c>
      <c r="N15" s="68" t="s">
        <v>104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105</v>
      </c>
    </row>
    <row r="16" spans="1:22" ht="15" customHeight="1">
      <c r="A16" s="12">
        <v>12</v>
      </c>
      <c r="B16" s="70" t="str">
        <f>LIDER!C20</f>
        <v>EILIN BALSEIRO CORTINA</v>
      </c>
      <c r="C16" s="64" t="str">
        <f>IF(B16=0,"",IFERROR(VLOOKUP(B16,'S-ASIG-01'!$B$5:$E$88,2,0),0))</f>
        <v>G03</v>
      </c>
      <c r="D16" s="65">
        <f t="shared" si="2"/>
        <v>4.4060000000000006</v>
      </c>
      <c r="E16" s="66">
        <f t="shared" si="3"/>
        <v>0</v>
      </c>
      <c r="F16" s="47"/>
      <c r="G16" s="71">
        <f>IF(B16=0,"",IFERROR(VLOOKUP(B16,'S-ASIG-01'!$B$5:$E$88,4,0),0))</f>
        <v>4.72</v>
      </c>
      <c r="H16" s="72">
        <f>IF(B16=0,"",IFERROR(VLOOKUP(B16,'S-ASIG-02'!$B$5:$E$88,4,0),0))</f>
        <v>4.5799999999999992</v>
      </c>
      <c r="I16" s="72">
        <f>IF(B16=0,"",IFERROR(VLOOKUP(B16,'S-ASIG-03'!$B$5:$E$88,4,0),0))</f>
        <v>4.6500000000000004</v>
      </c>
      <c r="J16" s="72">
        <f>IF(B16=0,"",IFERROR(VLOOKUP(B16,'S-ASIG-04'!$B$5:$E$88,4,0),0))</f>
        <v>3.9799999999999995</v>
      </c>
      <c r="K16" s="72">
        <f>IF(B16=0,"",IFERROR(VLOOKUP(B16,'S-ASIG-05'!$B$5:$E$88,4,0),0))</f>
        <v>4.0999999999999996</v>
      </c>
      <c r="L16" s="72">
        <f>IF(B16=0,"",IFERROR(VLOOKUP(B16,'S-ASIG-06'!$B$5:$E$88,4,0),0))</f>
        <v>0</v>
      </c>
      <c r="M16" s="73">
        <f>IF(B16=0,"",IFERROR(VLOOKUP(B16,'S-ASIG-07'!$B$5:$E$88,4,0),0))</f>
        <v>0</v>
      </c>
      <c r="N16" s="68" t="s">
        <v>104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105</v>
      </c>
    </row>
    <row r="17" spans="1:22" ht="15" customHeight="1">
      <c r="A17" s="12">
        <v>13</v>
      </c>
      <c r="B17" s="70" t="str">
        <f>LIDER!C21</f>
        <v>JULIET ALEJANDRA BLANQUICETT BELTRAN</v>
      </c>
      <c r="C17" s="64" t="str">
        <f>IF(B17=0,"",IFERROR(VLOOKUP(B17,'S-ASIG-01'!$B$5:$E$88,2,0),0))</f>
        <v>G03</v>
      </c>
      <c r="D17" s="65">
        <f t="shared" si="2"/>
        <v>4.4060000000000006</v>
      </c>
      <c r="E17" s="66">
        <f t="shared" si="3"/>
        <v>0</v>
      </c>
      <c r="F17" s="47"/>
      <c r="G17" s="71">
        <f>IF(B17=0,"",IFERROR(VLOOKUP(B17,'S-ASIG-01'!$B$5:$E$88,4,0),0))</f>
        <v>4.72</v>
      </c>
      <c r="H17" s="72">
        <f>IF(B17=0,"",IFERROR(VLOOKUP(B17,'S-ASIG-02'!$B$5:$E$88,4,0),0))</f>
        <v>4.5799999999999992</v>
      </c>
      <c r="I17" s="72">
        <f>IF(B17=0,"",IFERROR(VLOOKUP(B17,'S-ASIG-03'!$B$5:$E$88,4,0),0))</f>
        <v>4.6500000000000004</v>
      </c>
      <c r="J17" s="72">
        <f>IF(B17=0,"",IFERROR(VLOOKUP(B17,'S-ASIG-04'!$B$5:$E$88,4,0),0))</f>
        <v>3.9799999999999995</v>
      </c>
      <c r="K17" s="72">
        <f>IF(B17=0,"",IFERROR(VLOOKUP(B17,'S-ASIG-05'!$B$5:$E$88,4,0),0))</f>
        <v>4.0999999999999996</v>
      </c>
      <c r="L17" s="72">
        <f>IF(B17=0,"",IFERROR(VLOOKUP(B17,'S-ASIG-06'!$B$5:$E$88,4,0),0))</f>
        <v>0</v>
      </c>
      <c r="M17" s="73">
        <f>IF(B17=0,"",IFERROR(VLOOKUP(B17,'S-ASIG-07'!$B$5:$E$88,4,0),0))</f>
        <v>0</v>
      </c>
      <c r="N17" s="68" t="s">
        <v>104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105</v>
      </c>
    </row>
    <row r="18" spans="1:22" ht="15" customHeight="1">
      <c r="A18" s="12">
        <v>14</v>
      </c>
      <c r="B18" s="70" t="str">
        <f>LIDER!C22</f>
        <v>VALENTINA CASTRO IBARRA</v>
      </c>
      <c r="C18" s="64" t="str">
        <f>IF(B18=0,"",IFERROR(VLOOKUP(B18,'S-ASIG-01'!$B$5:$E$88,2,0),0))</f>
        <v>G03</v>
      </c>
      <c r="D18" s="65">
        <f t="shared" si="2"/>
        <v>4.3449999999999989</v>
      </c>
      <c r="E18" s="66">
        <f t="shared" si="3"/>
        <v>0</v>
      </c>
      <c r="F18" s="47"/>
      <c r="G18" s="71">
        <f>IF(B18=0,"",IFERROR(VLOOKUP(B18,'S-ASIG-01'!$B$5:$E$88,4,0),0))</f>
        <v>4.72</v>
      </c>
      <c r="H18" s="72">
        <f>IF(B18=0,"",IFERROR(VLOOKUP(B18,'S-ASIG-02'!$B$5:$E$88,4,0),0))</f>
        <v>4.5799999999999992</v>
      </c>
      <c r="I18" s="72" t="str">
        <f>IF(B18=0,"",IFERROR(VLOOKUP(B18,'S-ASIG-03'!$B$5:$E$88,4,0),0))</f>
        <v>N</v>
      </c>
      <c r="J18" s="72">
        <f>IF(B18=0,"",IFERROR(VLOOKUP(B18,'S-ASIG-04'!$B$5:$E$88,4,0),0))</f>
        <v>3.9799999999999995</v>
      </c>
      <c r="K18" s="72">
        <f>IF(B18=0,"",IFERROR(VLOOKUP(B18,'S-ASIG-05'!$B$5:$E$88,4,0),0))</f>
        <v>4.0999999999999996</v>
      </c>
      <c r="L18" s="72">
        <f>IF(B18=0,"",IFERROR(VLOOKUP(B18,'S-ASIG-06'!$B$5:$E$88,4,0),0))</f>
        <v>0</v>
      </c>
      <c r="M18" s="73">
        <f>IF(B18=0,"",IFERROR(VLOOKUP(B18,'S-ASIG-07'!$B$5:$E$88,4,0),0))</f>
        <v>0</v>
      </c>
      <c r="N18" s="68" t="s">
        <v>104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 t="str">
        <f>IF(B18=0,"",IFERROR(VLOOKUP(B18,'T-ASIG-03'!$B$5:$D$88,3,0),0))</f>
        <v>N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105</v>
      </c>
    </row>
    <row r="19" spans="1:22" ht="15" customHeight="1">
      <c r="A19" s="12">
        <v>15</v>
      </c>
      <c r="B19" s="70" t="str">
        <f>LIDER!C23</f>
        <v>LAUREN LICETH CASTILLA GONZALEZ</v>
      </c>
      <c r="C19" s="64" t="str">
        <f>IF(B19=0,"",IFERROR(VLOOKUP(B19,'S-ASIG-01'!$B$5:$E$88,2,0),0))</f>
        <v>G04</v>
      </c>
      <c r="D19" s="65">
        <f t="shared" si="2"/>
        <v>3.7460000000000009</v>
      </c>
      <c r="E19" s="66">
        <f t="shared" si="3"/>
        <v>0</v>
      </c>
      <c r="F19" s="47"/>
      <c r="G19" s="71">
        <f>IF(B19=0,"",IFERROR(VLOOKUP(B19,'S-ASIG-01'!$B$5:$E$88,4,0),0))</f>
        <v>3.65</v>
      </c>
      <c r="H19" s="72">
        <f>IF(B19=0,"",IFERROR(VLOOKUP(B19,'S-ASIG-02'!$B$5:$E$88,4,0),0))</f>
        <v>3.28</v>
      </c>
      <c r="I19" s="72">
        <f>IF(B19=0,"",IFERROR(VLOOKUP(B19,'S-ASIG-03'!$B$5:$E$88,4,0),0))</f>
        <v>3.8000000000000003</v>
      </c>
      <c r="J19" s="72">
        <f>IF(B19=0,"",IFERROR(VLOOKUP(B19,'S-ASIG-04'!$B$5:$E$88,4,0),0))</f>
        <v>3.96</v>
      </c>
      <c r="K19" s="72">
        <f>IF(B19=0,"",IFERROR(VLOOKUP(B19,'S-ASIG-05'!$B$5:$E$88,4,0),0))</f>
        <v>4.0400000000000009</v>
      </c>
      <c r="L19" s="72">
        <f>IF(B19=0,"",IFERROR(VLOOKUP(B19,'S-ASIG-06'!$B$5:$E$88,4,0),0))</f>
        <v>0</v>
      </c>
      <c r="M19" s="73">
        <f>IF(B19=0,"",IFERROR(VLOOKUP(B19,'S-ASIG-07'!$B$5:$E$88,4,0),0))</f>
        <v>0</v>
      </c>
      <c r="N19" s="68" t="s">
        <v>104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105</v>
      </c>
    </row>
    <row r="20" spans="1:22" ht="15" customHeight="1">
      <c r="A20" s="12">
        <v>16</v>
      </c>
      <c r="B20" s="70" t="str">
        <f>LIDER!C24</f>
        <v>CARMEN CECILIA MANUEL CRUZATE</v>
      </c>
      <c r="C20" s="64" t="str">
        <f>IF(B20=0,"",IFERROR(VLOOKUP(B20,'S-ASIG-01'!$B$5:$E$88,2,0),0))</f>
        <v>G04</v>
      </c>
      <c r="D20" s="65">
        <f t="shared" si="2"/>
        <v>3.7325000000000004</v>
      </c>
      <c r="E20" s="66">
        <f t="shared" si="3"/>
        <v>0</v>
      </c>
      <c r="F20" s="47"/>
      <c r="G20" s="71">
        <f>IF(B20=0,"",IFERROR(VLOOKUP(B20,'S-ASIG-01'!$B$5:$E$88,4,0),0))</f>
        <v>3.65</v>
      </c>
      <c r="H20" s="72">
        <f>IF(B20=0,"",IFERROR(VLOOKUP(B20,'S-ASIG-02'!$B$5:$E$88,4,0),0))</f>
        <v>3.28</v>
      </c>
      <c r="I20" s="72" t="str">
        <f>IF(B20=0,"",IFERROR(VLOOKUP(B20,'S-ASIG-03'!$B$5:$E$88,4,0),0))</f>
        <v>N</v>
      </c>
      <c r="J20" s="72">
        <f>IF(B20=0,"",IFERROR(VLOOKUP(B20,'S-ASIG-04'!$B$5:$E$88,4,0),0))</f>
        <v>3.96</v>
      </c>
      <c r="K20" s="72">
        <f>IF(B20=0,"",IFERROR(VLOOKUP(B20,'S-ASIG-05'!$B$5:$E$88,4,0),0))</f>
        <v>4.0400000000000009</v>
      </c>
      <c r="L20" s="72">
        <f>IF(B20=0,"",IFERROR(VLOOKUP(B20,'S-ASIG-06'!$B$5:$E$88,4,0),0))</f>
        <v>0</v>
      </c>
      <c r="M20" s="73">
        <f>IF(B20=0,"",IFERROR(VLOOKUP(B20,'S-ASIG-07'!$B$5:$E$88,4,0),0))</f>
        <v>0</v>
      </c>
      <c r="N20" s="68" t="s">
        <v>104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 t="str">
        <f>IF(B20=0,"",IFERROR(VLOOKUP(B20,'T-ASIG-03'!$B$5:$D$88,3,0),0))</f>
        <v>N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105</v>
      </c>
    </row>
    <row r="21" spans="1:22" ht="15" customHeight="1">
      <c r="A21" s="12">
        <v>17</v>
      </c>
      <c r="B21" s="70" t="str">
        <f>LIDER!C25</f>
        <v>KRISTIN SOFIA PEREZ MARTINEZ</v>
      </c>
      <c r="C21" s="64" t="str">
        <f>IF(B21=0,"",IFERROR(VLOOKUP(B21,'S-ASIG-01'!$B$5:$E$88,2,0),0))</f>
        <v>G04</v>
      </c>
      <c r="D21" s="65">
        <f t="shared" si="2"/>
        <v>3.7325000000000004</v>
      </c>
      <c r="E21" s="66">
        <f t="shared" si="3"/>
        <v>0</v>
      </c>
      <c r="F21" s="47"/>
      <c r="G21" s="71">
        <f>IF(B21=0,"",IFERROR(VLOOKUP(B21,'S-ASIG-01'!$B$5:$E$88,4,0),0))</f>
        <v>3.65</v>
      </c>
      <c r="H21" s="72">
        <f>IF(B21=0,"",IFERROR(VLOOKUP(B21,'S-ASIG-02'!$B$5:$E$88,4,0),0))</f>
        <v>3.28</v>
      </c>
      <c r="I21" s="72" t="str">
        <f>IF(B21=0,"",IFERROR(VLOOKUP(B21,'S-ASIG-03'!$B$5:$E$88,4,0),0))</f>
        <v>N</v>
      </c>
      <c r="J21" s="72">
        <f>IF(B21=0,"",IFERROR(VLOOKUP(B21,'S-ASIG-04'!$B$5:$E$88,4,0),0))</f>
        <v>3.96</v>
      </c>
      <c r="K21" s="72">
        <f>IF(B21=0,"",IFERROR(VLOOKUP(B21,'S-ASIG-05'!$B$5:$E$88,4,0),0))</f>
        <v>4.0400000000000009</v>
      </c>
      <c r="L21" s="72">
        <f>IF(B21=0,"",IFERROR(VLOOKUP(B21,'S-ASIG-06'!$B$5:$E$88,4,0),0))</f>
        <v>0</v>
      </c>
      <c r="M21" s="73">
        <f>IF(B21=0,"",IFERROR(VLOOKUP(B21,'S-ASIG-07'!$B$5:$E$88,4,0),0))</f>
        <v>0</v>
      </c>
      <c r="N21" s="68" t="s">
        <v>104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 t="str">
        <f>IF(B21=0,"",IFERROR(VLOOKUP(B21,'T-ASIG-03'!$B$5:$D$88,3,0),0))</f>
        <v>N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105</v>
      </c>
    </row>
    <row r="22" spans="1:22" ht="15" customHeight="1">
      <c r="A22" s="12">
        <v>18</v>
      </c>
      <c r="B22" s="70">
        <f>LIDER!C26</f>
        <v>0</v>
      </c>
      <c r="C22" s="64" t="str">
        <f>IF(B22=0,"",IFERROR(VLOOKUP(B22,'S-ASIG-01'!$B$5:$E$88,2,0),0))</f>
        <v/>
      </c>
      <c r="D22" s="65" t="str">
        <f t="shared" si="2"/>
        <v/>
      </c>
      <c r="E22" s="66" t="str">
        <f t="shared" si="3"/>
        <v/>
      </c>
      <c r="F22" s="47"/>
      <c r="G22" s="71" t="str">
        <f>IF(B22=0,"",IFERROR(VLOOKUP(B22,'S-ASIG-01'!$B$5:$E$88,4,0),0))</f>
        <v/>
      </c>
      <c r="H22" s="72" t="str">
        <f>IF(B22=0,"",IFERROR(VLOOKUP(B22,'S-ASIG-02'!$B$5:$E$88,4,0),0))</f>
        <v/>
      </c>
      <c r="I22" s="72" t="str">
        <f>IF(B22=0,"",IFERROR(VLOOKUP(B22,'S-ASIG-03'!$B$5:$E$88,4,0),0))</f>
        <v/>
      </c>
      <c r="J22" s="72" t="str">
        <f>IF(B22=0,"",IFERROR(VLOOKUP(B22,'S-ASIG-04'!$B$5:$E$88,4,0),0))</f>
        <v/>
      </c>
      <c r="K22" s="72" t="str">
        <f>IF(B22=0,"",IFERROR(VLOOKUP(B22,'S-ASIG-05'!$B$5:$E$88,4,0),0))</f>
        <v/>
      </c>
      <c r="L22" s="72" t="str">
        <f>IF(B22=0,"",IFERROR(VLOOKUP(B22,'S-ASIG-06'!$B$5:$E$88,4,0),0))</f>
        <v/>
      </c>
      <c r="M22" s="73" t="str">
        <f>IF(B22=0,"",IFERROR(VLOOKUP(B22,'S-ASIG-07'!$B$5:$E$88,4,0),0))</f>
        <v/>
      </c>
      <c r="N22" s="68" t="s">
        <v>104</v>
      </c>
      <c r="O22" s="71" t="str">
        <f>IF(B22=0,"",IFERROR(VLOOKUP(B22,'T-ASIG-01'!$B$5:$D$88,3,0),0))</f>
        <v/>
      </c>
      <c r="P22" s="72" t="str">
        <f>IF(B22=0,"",IFERROR(VLOOKUP(B22,'T-ASIG-02'!$B$5:$D$88,3,0),0))</f>
        <v/>
      </c>
      <c r="Q22" s="72" t="str">
        <f>IF(B22=0,"",IFERROR(VLOOKUP(B22,'T-ASIG-03'!$B$5:$D$88,3,0),0))</f>
        <v/>
      </c>
      <c r="R22" s="72" t="str">
        <f>IF(B22=0,"",IFERROR(VLOOKUP(B22,'T-ASIG-04'!$B$5:$D$88,3,0),0))</f>
        <v/>
      </c>
      <c r="S22" s="72" t="str">
        <f>IF(B22=0,"",IFERROR(VLOOKUP(B22,'T-ASIG-05'!$B$5:$D$88,3,0),0))</f>
        <v/>
      </c>
      <c r="T22" s="72" t="str">
        <f>IF(B22=0,"",IFERROR(VLOOKUP(B22,'T-ASIG-06'!$B$5:$D$88,3,0),0))</f>
        <v/>
      </c>
      <c r="U22" s="73" t="str">
        <f>IF(B22=0,"",IFERROR(VLOOKUP(B22,'T-ASIG-07'!$B$5:$D$88,3,0),0))</f>
        <v/>
      </c>
      <c r="V22" s="69" t="s">
        <v>105</v>
      </c>
    </row>
    <row r="23" spans="1:22" ht="15" customHeight="1">
      <c r="A23" s="12">
        <v>19</v>
      </c>
      <c r="B23" s="70">
        <f>LIDER!C27</f>
        <v>0</v>
      </c>
      <c r="C23" s="64" t="str">
        <f>IF(B23=0,"",IFERROR(VLOOKUP(B23,'S-ASIG-01'!$B$5:$E$88,2,0),0))</f>
        <v/>
      </c>
      <c r="D23" s="65" t="str">
        <f t="shared" si="2"/>
        <v/>
      </c>
      <c r="E23" s="66" t="str">
        <f t="shared" si="3"/>
        <v/>
      </c>
      <c r="F23" s="47"/>
      <c r="G23" s="71" t="str">
        <f>IF(B23=0,"",IFERROR(VLOOKUP(B23,'S-ASIG-01'!$B$5:$E$88,4,0),0))</f>
        <v/>
      </c>
      <c r="H23" s="72" t="str">
        <f>IF(B23=0,"",IFERROR(VLOOKUP(B23,'S-ASIG-02'!$B$5:$E$88,4,0),0))</f>
        <v/>
      </c>
      <c r="I23" s="72" t="str">
        <f>IF(B23=0,"",IFERROR(VLOOKUP(B23,'S-ASIG-03'!$B$5:$E$88,4,0),0))</f>
        <v/>
      </c>
      <c r="J23" s="72" t="str">
        <f>IF(B23=0,"",IFERROR(VLOOKUP(B23,'S-ASIG-04'!$B$5:$E$88,4,0),0))</f>
        <v/>
      </c>
      <c r="K23" s="72" t="str">
        <f>IF(B23=0,"",IFERROR(VLOOKUP(B23,'S-ASIG-05'!$B$5:$E$88,4,0),0))</f>
        <v/>
      </c>
      <c r="L23" s="72" t="str">
        <f>IF(B23=0,"",IFERROR(VLOOKUP(B23,'S-ASIG-06'!$B$5:$E$88,4,0),0))</f>
        <v/>
      </c>
      <c r="M23" s="73" t="str">
        <f>IF(B23=0,"",IFERROR(VLOOKUP(B23,'S-ASIG-07'!$B$5:$E$88,4,0),0))</f>
        <v/>
      </c>
      <c r="N23" s="68" t="s">
        <v>104</v>
      </c>
      <c r="O23" s="71" t="str">
        <f>IF(B23=0,"",IFERROR(VLOOKUP(B23,'T-ASIG-01'!$B$5:$D$88,3,0),0))</f>
        <v/>
      </c>
      <c r="P23" s="72" t="str">
        <f>IF(B23=0,"",IFERROR(VLOOKUP(B23,'T-ASIG-02'!$B$5:$D$88,3,0),0))</f>
        <v/>
      </c>
      <c r="Q23" s="72" t="str">
        <f>IF(B23=0,"",IFERROR(VLOOKUP(B23,'T-ASIG-03'!$B$5:$D$88,3,0),0))</f>
        <v/>
      </c>
      <c r="R23" s="72" t="str">
        <f>IF(B23=0,"",IFERROR(VLOOKUP(B23,'T-ASIG-04'!$B$5:$D$88,3,0),0))</f>
        <v/>
      </c>
      <c r="S23" s="72" t="str">
        <f>IF(B23=0,"",IFERROR(VLOOKUP(B23,'T-ASIG-05'!$B$5:$D$88,3,0),0))</f>
        <v/>
      </c>
      <c r="T23" s="72" t="str">
        <f>IF(B23=0,"",IFERROR(VLOOKUP(B23,'T-ASIG-06'!$B$5:$D$88,3,0),0))</f>
        <v/>
      </c>
      <c r="U23" s="73" t="str">
        <f>IF(B23=0,"",IFERROR(VLOOKUP(B23,'T-ASIG-07'!$B$5:$D$88,3,0),0))</f>
        <v/>
      </c>
      <c r="V23" s="69" t="s">
        <v>105</v>
      </c>
    </row>
    <row r="24" spans="1:22" ht="15" customHeight="1">
      <c r="A24" s="12">
        <v>20</v>
      </c>
      <c r="B24" s="70">
        <f>LIDER!C28</f>
        <v>0</v>
      </c>
      <c r="C24" s="64" t="str">
        <f>IF(B24=0,"",IFERROR(VLOOKUP(B24,'S-ASIG-01'!$B$5:$E$88,2,0),0))</f>
        <v/>
      </c>
      <c r="D24" s="65" t="str">
        <f t="shared" si="2"/>
        <v/>
      </c>
      <c r="E24" s="66" t="str">
        <f t="shared" si="3"/>
        <v/>
      </c>
      <c r="F24" s="47"/>
      <c r="G24" s="71" t="str">
        <f>IF(B24=0,"",IFERROR(VLOOKUP(B24,'S-ASIG-01'!$B$5:$E$88,4,0),0))</f>
        <v/>
      </c>
      <c r="H24" s="72" t="str">
        <f>IF(B24=0,"",IFERROR(VLOOKUP(B24,'S-ASIG-02'!$B$5:$E$88,4,0),0))</f>
        <v/>
      </c>
      <c r="I24" s="72" t="str">
        <f>IF(B24=0,"",IFERROR(VLOOKUP(B24,'S-ASIG-03'!$B$5:$E$88,4,0),0))</f>
        <v/>
      </c>
      <c r="J24" s="72" t="str">
        <f>IF(B24=0,"",IFERROR(VLOOKUP(B24,'S-ASIG-04'!$B$5:$E$88,4,0),0))</f>
        <v/>
      </c>
      <c r="K24" s="72" t="str">
        <f>IF(B24=0,"",IFERROR(VLOOKUP(B24,'S-ASIG-05'!$B$5:$E$88,4,0),0))</f>
        <v/>
      </c>
      <c r="L24" s="72" t="str">
        <f>IF(B24=0,"",IFERROR(VLOOKUP(B24,'S-ASIG-06'!$B$5:$E$88,4,0),0))</f>
        <v/>
      </c>
      <c r="M24" s="73" t="str">
        <f>IF(B24=0,"",IFERROR(VLOOKUP(B24,'S-ASIG-07'!$B$5:$E$88,4,0),0))</f>
        <v/>
      </c>
      <c r="N24" s="68" t="s">
        <v>104</v>
      </c>
      <c r="O24" s="71" t="str">
        <f>IF(B24=0,"",IFERROR(VLOOKUP(B24,'T-ASIG-01'!$B$5:$D$88,3,0),0))</f>
        <v/>
      </c>
      <c r="P24" s="72" t="str">
        <f>IF(B24=0,"",IFERROR(VLOOKUP(B24,'T-ASIG-02'!$B$5:$D$88,3,0),0))</f>
        <v/>
      </c>
      <c r="Q24" s="72" t="str">
        <f>IF(B24=0,"",IFERROR(VLOOKUP(B24,'T-ASIG-03'!$B$5:$D$88,3,0),0))</f>
        <v/>
      </c>
      <c r="R24" s="72" t="str">
        <f>IF(B24=0,"",IFERROR(VLOOKUP(B24,'T-ASIG-04'!$B$5:$D$88,3,0),0))</f>
        <v/>
      </c>
      <c r="S24" s="72" t="str">
        <f>IF(B24=0,"",IFERROR(VLOOKUP(B24,'T-ASIG-05'!$B$5:$D$88,3,0),0))</f>
        <v/>
      </c>
      <c r="T24" s="72" t="str">
        <f>IF(B24=0,"",IFERROR(VLOOKUP(B24,'T-ASIG-06'!$B$5:$D$88,3,0),0))</f>
        <v/>
      </c>
      <c r="U24" s="73" t="str">
        <f>IF(B24=0,"",IFERROR(VLOOKUP(B24,'T-ASIG-07'!$B$5:$D$88,3,0),0))</f>
        <v/>
      </c>
      <c r="V24" s="69" t="s">
        <v>105</v>
      </c>
    </row>
    <row r="25" spans="1:22" ht="15" customHeight="1">
      <c r="A25" s="12">
        <v>21</v>
      </c>
      <c r="B25" s="70">
        <f>LIDER!C29</f>
        <v>0</v>
      </c>
      <c r="C25" s="64" t="str">
        <f>IF(B25=0,"",IFERROR(VLOOKUP(B25,'S-ASIG-01'!$B$5:$E$88,2,0),0))</f>
        <v/>
      </c>
      <c r="D25" s="65" t="str">
        <f t="shared" si="2"/>
        <v/>
      </c>
      <c r="E25" s="66" t="str">
        <f t="shared" si="3"/>
        <v/>
      </c>
      <c r="F25" s="47"/>
      <c r="G25" s="71" t="str">
        <f>IF(B25=0,"",IFERROR(VLOOKUP(B25,'S-ASIG-01'!$B$5:$E$88,4,0),0))</f>
        <v/>
      </c>
      <c r="H25" s="72" t="str">
        <f>IF(B25=0,"",IFERROR(VLOOKUP(B25,'S-ASIG-02'!$B$5:$E$88,4,0),0))</f>
        <v/>
      </c>
      <c r="I25" s="72" t="str">
        <f>IF(B25=0,"",IFERROR(VLOOKUP(B25,'S-ASIG-03'!$B$5:$E$88,4,0),0))</f>
        <v/>
      </c>
      <c r="J25" s="72" t="str">
        <f>IF(B25=0,"",IFERROR(VLOOKUP(B25,'S-ASIG-04'!$B$5:$E$88,4,0),0))</f>
        <v/>
      </c>
      <c r="K25" s="72" t="str">
        <f>IF(B25=0,"",IFERROR(VLOOKUP(B25,'S-ASIG-05'!$B$5:$E$88,4,0),0))</f>
        <v/>
      </c>
      <c r="L25" s="72" t="str">
        <f>IF(B25=0,"",IFERROR(VLOOKUP(B25,'S-ASIG-06'!$B$5:$E$88,4,0),0))</f>
        <v/>
      </c>
      <c r="M25" s="73" t="str">
        <f>IF(B25=0,"",IFERROR(VLOOKUP(B25,'S-ASIG-07'!$B$5:$E$88,4,0),0))</f>
        <v/>
      </c>
      <c r="N25" s="68" t="s">
        <v>104</v>
      </c>
      <c r="O25" s="71" t="str">
        <f>IF(B25=0,"",IFERROR(VLOOKUP(B25,'T-ASIG-01'!$B$5:$D$88,3,0),0))</f>
        <v/>
      </c>
      <c r="P25" s="72" t="str">
        <f>IF(B25=0,"",IFERROR(VLOOKUP(B25,'T-ASIG-02'!$B$5:$D$88,3,0),0))</f>
        <v/>
      </c>
      <c r="Q25" s="72" t="str">
        <f>IF(B25=0,"",IFERROR(VLOOKUP(B25,'T-ASIG-03'!$B$5:$D$88,3,0),0))</f>
        <v/>
      </c>
      <c r="R25" s="72" t="str">
        <f>IF(B25=0,"",IFERROR(VLOOKUP(B25,'T-ASIG-04'!$B$5:$D$88,3,0),0))</f>
        <v/>
      </c>
      <c r="S25" s="72" t="str">
        <f>IF(B25=0,"",IFERROR(VLOOKUP(B25,'T-ASIG-05'!$B$5:$D$88,3,0),0))</f>
        <v/>
      </c>
      <c r="T25" s="72" t="str">
        <f>IF(B25=0,"",IFERROR(VLOOKUP(B25,'T-ASIG-06'!$B$5:$D$88,3,0),0))</f>
        <v/>
      </c>
      <c r="U25" s="73" t="str">
        <f>IF(B25=0,"",IFERROR(VLOOKUP(B25,'T-ASIG-07'!$B$5:$D$88,3,0),0))</f>
        <v/>
      </c>
      <c r="V25" s="69" t="s">
        <v>105</v>
      </c>
    </row>
    <row r="26" spans="1:22" ht="15" customHeight="1">
      <c r="A26" s="12">
        <v>22</v>
      </c>
      <c r="B26" s="70">
        <f>LIDER!C30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104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105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104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105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104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105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104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105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104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105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104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105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104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105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104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105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104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105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104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105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104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105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104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105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104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105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104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105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104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105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104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105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104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105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104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105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104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105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104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105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104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105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104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105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104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105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104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105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104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105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104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105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104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105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104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105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104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105</v>
      </c>
    </row>
  </sheetData>
  <sheetProtection algorithmName="SHA-512" hashValue="kfjI5mtwtIAO63T9zVMHe0YKuPpOCD8UIsGSBwbWk0ounyRRL24LEMkfCIe8cDG/HNUHtpenmdk+2nxb3Eh7+A==" saltValue="IqYQsihynpEUCPNyR2w/eg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2026-10-16T03:28:40Z</dcterms:modified>
  <cp:category/>
  <cp:contentStatus/>
</cp:coreProperties>
</file>