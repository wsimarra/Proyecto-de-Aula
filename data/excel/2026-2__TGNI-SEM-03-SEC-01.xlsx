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3/"/>
    </mc:Choice>
  </mc:AlternateContent>
  <xr:revisionPtr revIDLastSave="202" documentId="13_ncr:1_{23F0495C-C589-43E5-8FBB-BF8C1FE9179D}" xr6:coauthVersionLast="47" xr6:coauthVersionMax="47" xr10:uidLastSave="{AEA4CB23-EC3D-4EA2-949E-1F2ED8B5BFB9}"/>
  <bookViews>
    <workbookView xWindow="-120" yWindow="-120" windowWidth="20730" windowHeight="11040" tabRatio="815" firstSheet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D60" i="16"/>
  <c r="B60" i="16"/>
  <c r="D59" i="16"/>
  <c r="B59" i="16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D53" i="7"/>
  <c r="B53" i="7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D59" i="4"/>
  <c r="B59" i="4"/>
  <c r="B58" i="4"/>
  <c r="D58" i="4" s="1"/>
  <c r="B57" i="4"/>
  <c r="D57" i="4" s="1"/>
  <c r="B56" i="4"/>
  <c r="D56" i="4" s="1"/>
  <c r="D55" i="4"/>
  <c r="B55" i="4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D55" i="3"/>
  <c r="B55" i="3"/>
  <c r="D53" i="3"/>
  <c r="B53" i="3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E62" i="14"/>
  <c r="C62" i="14"/>
  <c r="C63" i="14" s="1"/>
  <c r="C64" i="14" s="1"/>
  <c r="C65" i="14" s="1"/>
  <c r="C66" i="14" s="1"/>
  <c r="C67" i="14" s="1"/>
  <c r="B62" i="14"/>
  <c r="F61" i="14"/>
  <c r="B60" i="14"/>
  <c r="E60" i="14" s="1"/>
  <c r="E59" i="14"/>
  <c r="B59" i="14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E59" i="11"/>
  <c r="B59" i="1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E53" i="10"/>
  <c r="B53" i="10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9" i="3" l="1"/>
  <c r="D49" i="4"/>
  <c r="D48" i="4"/>
  <c r="D49" i="6"/>
  <c r="D48" i="16"/>
  <c r="D42" i="3"/>
  <c r="D42" i="5"/>
  <c r="D43" i="7"/>
  <c r="D37" i="4"/>
  <c r="D36" i="4"/>
  <c r="D37" i="6"/>
  <c r="D36" i="6"/>
  <c r="D34" i="7"/>
  <c r="D37" i="16"/>
  <c r="D36" i="16"/>
  <c r="D22" i="3"/>
  <c r="D22" i="4"/>
  <c r="D22" i="5"/>
  <c r="D21" i="5"/>
  <c r="D22" i="7"/>
  <c r="D21" i="7"/>
  <c r="D22" i="16"/>
  <c r="D21" i="16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<sst xmlns="http://schemas.openxmlformats.org/spreadsheetml/2006/main" count="698" uniqueCount="123">
  <si>
    <t>TECNOLOGÍA EN GESTIÓN DE NEGOCIOS INTERN</t>
  </si>
  <si>
    <t>SEMESTRE:</t>
  </si>
  <si>
    <t>SEM-03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</si>
  <si>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</si>
  <si>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</si>
  <si>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</si>
  <si>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</si>
  <si>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</si>
  <si>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</si>
  <si>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</si>
  <si>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</si>
  <si>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TECNOLOGIA APLICADA</t>
  </si>
  <si>
    <t>INTERNACIONALIZACION</t>
  </si>
  <si>
    <t>LEGISLACION PARA EL COMERCIO</t>
  </si>
  <si>
    <t>MACROECONOMÍA</t>
  </si>
  <si>
    <t>MATEMÁTICAS FINANCIERAS</t>
  </si>
  <si>
    <t>ARMANDO ACOSTA JULIO</t>
  </si>
  <si>
    <t>TATIANA MILENA ROJAS AROCA</t>
  </si>
  <si>
    <t>HAROLD ANTONIO CUADRO VELASQUEZ</t>
  </si>
  <si>
    <t>ZILLAH EUGENIA CANTILLO ALTAMIRANDA</t>
  </si>
  <si>
    <t>JAVIER MARTINEZ PEREZ</t>
  </si>
  <si>
    <t>LISTA DE ESTUDIANTES</t>
  </si>
  <si>
    <t>SEGUNDA ENTREGA - CRITERIO DE EVALUACIÓN DOCUMENTO - SEGUNDO CORTE</t>
  </si>
  <si>
    <t>PONDERACIÓN</t>
  </si>
  <si>
    <t>ADMINISTRACIÓN DE EMPRESAS C.I</t>
  </si>
  <si>
    <t>SUNYMAR BARBOZA LOPEZ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</si>
  <si>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</si>
  <si>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</si>
  <si>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DEIVER ALEXANDER FERNÁNDEZ BENÍTEZ</t>
  </si>
  <si>
    <t>ANTEPROYECTO: Portada, planteamiento del problema, justificacion del trabajo o proyecto de aula, objetivos, marco teorico, diseño metodologico.</t>
  </si>
  <si>
    <t>CONTADURÍA PÚBLICA</t>
  </si>
  <si>
    <t>XAVIER ALEXANDER MENDOZA VILLAR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</si>
  <si>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</si>
  <si>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</si>
  <si>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LUZ ARIANA ORTEGA CUESTA</t>
  </si>
  <si>
    <t>BILIOGRAFIA: Las referencias bibliograficas: adoptan las normas APA. El documento es producto de un rastreo bibliografico que muestra analisis y sistensis.</t>
  </si>
  <si>
    <t>DANIEL DAVID ORTEGA TORRES</t>
  </si>
  <si>
    <t>ASESORIAS: Anexó la hoja de tutoria firmada ( 3 fimas minmimo).</t>
  </si>
  <si>
    <t>TECNOLOGíA EN GESTION CONTABLE</t>
  </si>
  <si>
    <t>ANDRES FELIPE ARRIETA MEDINA</t>
  </si>
  <si>
    <t>TECNOLOGÍA EN GESTIÓN DE MARKETING</t>
  </si>
  <si>
    <t>SHARITH DANIELA PABA ARRIETA</t>
  </si>
  <si>
    <t>TECNOLOGÍA EN GESTIÓN DEL TALENTO HUMANO</t>
  </si>
  <si>
    <t>MARYURI PUERTA GOMEZ</t>
  </si>
  <si>
    <t>TECNOLOGÍA EN GESTIÓN FINANCIERA</t>
  </si>
  <si>
    <t>ANDREA CAROLINA SAMUDIO HOYOS</t>
  </si>
  <si>
    <t>TECNOLOGÍA EN GESTIÓN LOGISTICA Y PORTUARIA</t>
  </si>
  <si>
    <t>FARINA GABRIELA COGOLLO PALOMINO</t>
  </si>
  <si>
    <t>ENTREGA FINAL - CRITERIO DE EVALUACIÓN SUSTENTACIÓN - TERCER CORTE</t>
  </si>
  <si>
    <t>TECNOLOGÍA EN GESTIÓN TURISTICA Y HOTELERA</t>
  </si>
  <si>
    <t>JUAN CAMILO MARQUEZ GONZALEZ</t>
  </si>
  <si>
    <t>Evaluación del Documento Final</t>
  </si>
  <si>
    <t>MAURO JOSE OLIVERA NAVAS</t>
  </si>
  <si>
    <t>Sustentación de los Resultados: Se refleja un dominio del tema, la  información está delimitada y es clara. Hay una jerarquía y fluidez en las ideas que presenta.</t>
  </si>
  <si>
    <t>OSCAR ANDRES PÁJARO GARCÍA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</si>
  <si>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</si>
  <si>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MARIA PAZ DE LA CARIDAD VASQUEZ DE ARCO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</si>
  <si>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</si>
  <si>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JUAN CAMILO CORRALES DE LA ROSA</t>
  </si>
  <si>
    <t>Tiempo: El uso del tiempo fue apropiado, se ajusta al previsto.
Ofrece una conclusión donde condensa las ideas principales del objetivo general y los específicos.</t>
  </si>
  <si>
    <t>YORCELIS MERCADO GUERRA</t>
  </si>
  <si>
    <t>Uso de Recursos Audiovisuales Tecnológicos: La sustentación se acompaña de recursos visuales pertinentes, atractivos y de gran calidad</t>
  </si>
  <si>
    <t>CESAR ANDRES PAJARO RAMOS</t>
  </si>
  <si>
    <t>ELIAN ENRIQUE POLO SOTO</t>
  </si>
  <si>
    <t>KATERYN SOFIA SILVA PEÑATE</t>
  </si>
  <si>
    <t>ADRIAN JOSE MARRIAGA MUÑOZ</t>
  </si>
  <si>
    <t>TITULOS DE LOS PROYECTOS DE AULA</t>
  </si>
  <si>
    <t>YULIETH DE JESÚS MARTÍNEZ CARRASQUILLA</t>
  </si>
  <si>
    <t xml:space="preserve">
Factores Legales, Tributarios, Macroeconómicos, Tecnológicos e Internacionales en la participación de Grupo Nutresa en los Negocios Internacionales
</t>
  </si>
  <si>
    <t>ANGELLO STIVEN ORTEGA MESINO</t>
  </si>
  <si>
    <t>Aspectos Legales, Tributarios, Administrativos, Macroeconómicos, Aduaneros, Tecnológicos e Internacionales Que Definen El Perfil De Ecopetrol S.A En Los Negocios Internacionales</t>
  </si>
  <si>
    <t>THERES ENIT THERAN CAICEDO</t>
  </si>
  <si>
    <t>Identificar Los Aspectos Legales, Tributarios, Administrativos, Macroeconómicos, Aduaneros, Tecnológicos e Internacionales Que Definen El Perfil De Colanta  En Los Negocios Internacionales</t>
  </si>
  <si>
    <t>SHERLYN CAMILA VILLEGAS MEZA</t>
  </si>
  <si>
    <t xml:space="preserve">Aspectos Legales, Tributarios, Administrativos, Macroeconómicos, Aduaneros, Tecnológicos e Internacionales que definen el perfil el perfil de la empresa Federación Nacional Cafetera en los negocios internacionales.
</t>
  </si>
  <si>
    <t>DUVAN ANDRES CESPEDES PEREZ</t>
  </si>
  <si>
    <t xml:space="preserve"> Aspectos legales, tributarios, administrativos, macroeconómicos, aduaneros, tecnológicos e internacionales que definen el perfil de Procafecol S.A. (Juan Valdez) en los negocios internacionales
</t>
  </si>
  <si>
    <t>ISAAC MAURICIO FACIO LINCE BUSTOS</t>
  </si>
  <si>
    <t>Aspectos legales, tributarios, administrativos, macroeconómicos, aduaneros, tecnológicos e internacionales de la empresa Tenaris TuboCaribe en los negocios internacionales.</t>
  </si>
  <si>
    <t>JHAMER LUIS MAZA RAMOS</t>
  </si>
  <si>
    <t>Aspectos legales, tributarios, Administrativos, Macroeconómicos, Aduaneros, Tecnológicos e Internacionales que definen el perfil de la empresa THE ELITE FLOWER SAS CI en los negocios internacionales</t>
  </si>
  <si>
    <t>YILIANIS DIAZ MARTINEZ</t>
  </si>
  <si>
    <t>GRUPO#8</t>
  </si>
  <si>
    <t>YORBIN HOYOS BELTRAN</t>
  </si>
  <si>
    <t>GRUPO#9</t>
  </si>
  <si>
    <t>CRYSTIAN DAVID JULIO SARMIENTO</t>
  </si>
  <si>
    <t>GRUPO#10</t>
  </si>
  <si>
    <t>NATALIA ROLDAN GARCIA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</si>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</sst>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vertical="center" wrapText="1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abSelected="1" zoomScale="91" zoomScaleNormal="91" workbookViewId="0">
      <selection activeCell="E32" sqref="E32:H32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87" t="s">
        <v>0</v>
      </c>
      <c r="C2" s="188"/>
      <c r="D2" s="189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2246</v>
      </c>
      <c r="D6" s="134">
        <v>2345</v>
      </c>
      <c r="E6" s="134">
        <v>2350</v>
      </c>
      <c r="F6" s="134">
        <v>1494</v>
      </c>
      <c r="G6" s="134">
        <v>1362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90" t="s">
        <v>22</v>
      </c>
      <c r="F8" s="191"/>
      <c r="G8" s="192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93" t="s">
        <v>26</v>
      </c>
      <c r="F9" s="194"/>
      <c r="G9" s="195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66" t="s">
        <v>29</v>
      </c>
      <c r="F10" s="167"/>
      <c r="G10" s="168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93" t="s">
        <v>32</v>
      </c>
      <c r="F11" s="194"/>
      <c r="G11" s="195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66" t="s">
        <v>35</v>
      </c>
      <c r="F12" s="167"/>
      <c r="G12" s="168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9" t="s">
        <v>37</v>
      </c>
      <c r="F13" s="170"/>
      <c r="G13" s="171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72"/>
      <c r="F14" s="164"/>
      <c r="G14" s="165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3"/>
      <c r="F15" s="174"/>
      <c r="G15" s="175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2"/>
      <c r="F17" s="182"/>
      <c r="G17" s="182"/>
      <c r="H17" s="182"/>
      <c r="I17" s="69" t="s">
        <v>46</v>
      </c>
    </row>
    <row r="18" spans="2:9" ht="15" customHeight="1" thickBot="1">
      <c r="B18" s="108">
        <v>10</v>
      </c>
      <c r="C18" s="111" t="s">
        <v>47</v>
      </c>
      <c r="E18" s="156" t="s">
        <v>48</v>
      </c>
      <c r="F18" s="157"/>
      <c r="G18" s="157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79" t="s">
        <v>51</v>
      </c>
      <c r="F19" s="180"/>
      <c r="G19" s="181"/>
      <c r="H19" s="138">
        <v>0.5</v>
      </c>
    </row>
    <row r="20" spans="2:9" ht="15" customHeight="1">
      <c r="B20" s="108">
        <v>12</v>
      </c>
      <c r="C20" s="111" t="s">
        <v>52</v>
      </c>
      <c r="E20" s="158" t="s">
        <v>53</v>
      </c>
      <c r="F20" s="159"/>
      <c r="G20" s="160"/>
      <c r="H20" s="139">
        <v>0.2</v>
      </c>
    </row>
    <row r="21" spans="2:9" ht="15" customHeight="1">
      <c r="B21" s="108">
        <v>13</v>
      </c>
      <c r="C21" s="111" t="s">
        <v>54</v>
      </c>
      <c r="E21" s="161" t="s">
        <v>55</v>
      </c>
      <c r="F21" s="162"/>
      <c r="G21" s="163"/>
      <c r="H21" s="140">
        <v>0.1</v>
      </c>
    </row>
    <row r="22" spans="2:9" ht="15" customHeight="1">
      <c r="B22" s="108">
        <v>14</v>
      </c>
      <c r="C22" s="111" t="s">
        <v>56</v>
      </c>
      <c r="E22" s="158" t="s">
        <v>57</v>
      </c>
      <c r="F22" s="164"/>
      <c r="G22" s="165"/>
      <c r="H22" s="139">
        <v>0.05</v>
      </c>
    </row>
    <row r="23" spans="2:9" ht="15" customHeight="1">
      <c r="B23" s="108">
        <v>15</v>
      </c>
      <c r="C23" s="111" t="s">
        <v>58</v>
      </c>
      <c r="E23" s="161" t="s">
        <v>59</v>
      </c>
      <c r="F23" s="162"/>
      <c r="G23" s="163"/>
      <c r="H23" s="141">
        <v>0.05</v>
      </c>
    </row>
    <row r="24" spans="2:9" ht="15" customHeight="1">
      <c r="B24" s="108">
        <v>16</v>
      </c>
      <c r="C24" s="111" t="s">
        <v>60</v>
      </c>
      <c r="E24" s="158" t="s">
        <v>61</v>
      </c>
      <c r="F24" s="159"/>
      <c r="G24" s="160"/>
      <c r="H24" s="139">
        <v>0.1</v>
      </c>
    </row>
    <row r="25" spans="2:9" ht="15" customHeight="1" thickBot="1">
      <c r="B25" s="108">
        <v>17</v>
      </c>
      <c r="C25" s="111" t="s">
        <v>62</v>
      </c>
      <c r="E25" s="176"/>
      <c r="F25" s="177"/>
      <c r="G25" s="178"/>
      <c r="H25" s="140"/>
    </row>
    <row r="26" spans="2:9" ht="15" customHeight="1" thickBot="1">
      <c r="B26" s="108">
        <v>18</v>
      </c>
      <c r="C26" s="111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64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65</v>
      </c>
      <c r="E28" s="183" t="s">
        <v>66</v>
      </c>
      <c r="F28" s="184"/>
      <c r="G28" s="184"/>
      <c r="H28" s="185"/>
    </row>
    <row r="29" spans="2:9" ht="15" customHeight="1" thickBot="1">
      <c r="B29" s="108">
        <v>21</v>
      </c>
      <c r="C29" s="111" t="s">
        <v>67</v>
      </c>
      <c r="E29" s="186" t="s">
        <v>68</v>
      </c>
      <c r="F29" s="154"/>
      <c r="G29" s="154"/>
      <c r="H29" s="155"/>
    </row>
    <row r="30" spans="2:9" ht="15" customHeight="1" thickBot="1">
      <c r="B30" s="108">
        <v>22</v>
      </c>
      <c r="C30" s="111" t="s">
        <v>69</v>
      </c>
      <c r="E30" s="150" t="s">
        <v>70</v>
      </c>
      <c r="F30" s="151"/>
      <c r="G30" s="151"/>
      <c r="H30" s="152"/>
    </row>
    <row r="31" spans="2:9" ht="15" customHeight="1" thickBot="1">
      <c r="B31" s="108">
        <v>23</v>
      </c>
      <c r="C31" s="111" t="s">
        <v>71</v>
      </c>
      <c r="E31" s="153" t="s">
        <v>72</v>
      </c>
      <c r="F31" s="154"/>
      <c r="G31" s="154"/>
      <c r="H31" s="155"/>
    </row>
    <row r="32" spans="2:9" ht="15" customHeight="1" thickBot="1">
      <c r="B32" s="108">
        <v>24</v>
      </c>
      <c r="C32" s="111" t="s">
        <v>73</v>
      </c>
      <c r="E32" s="153" t="s">
        <v>74</v>
      </c>
      <c r="F32" s="154"/>
      <c r="G32" s="154"/>
      <c r="H32" s="155"/>
    </row>
    <row r="33" spans="2:8" ht="15" customHeight="1" thickBot="1">
      <c r="B33" s="108">
        <v>25</v>
      </c>
      <c r="C33" s="111" t="s">
        <v>75</v>
      </c>
      <c r="E33" s="153" t="s">
        <v>76</v>
      </c>
      <c r="F33" s="154"/>
      <c r="G33" s="154"/>
      <c r="H33" s="155"/>
    </row>
    <row r="34" spans="2:8" ht="15" customHeight="1" thickBot="1">
      <c r="B34" s="108">
        <v>26</v>
      </c>
      <c r="C34" s="111" t="s">
        <v>77</v>
      </c>
      <c r="E34" s="150" t="s">
        <v>78</v>
      </c>
      <c r="F34" s="151"/>
      <c r="G34" s="151"/>
      <c r="H34" s="152"/>
    </row>
    <row r="35" spans="2:8" ht="15" customHeight="1" thickBot="1">
      <c r="B35" s="108">
        <v>27</v>
      </c>
      <c r="C35" s="111" t="s">
        <v>79</v>
      </c>
      <c r="E35" s="153" t="s">
        <v>80</v>
      </c>
      <c r="F35" s="154"/>
      <c r="G35" s="154"/>
      <c r="H35" s="155"/>
    </row>
    <row r="36" spans="2:8" ht="15" customHeight="1" thickBot="1">
      <c r="B36" s="108">
        <v>28</v>
      </c>
      <c r="C36" s="111" t="s">
        <v>81</v>
      </c>
      <c r="E36" s="150" t="s">
        <v>82</v>
      </c>
      <c r="F36" s="151"/>
      <c r="G36" s="151"/>
      <c r="H36" s="152"/>
    </row>
    <row r="37" spans="2:8" ht="15" customHeight="1" thickBot="1">
      <c r="B37" s="108">
        <v>29</v>
      </c>
      <c r="C37" s="111" t="s">
        <v>83</v>
      </c>
      <c r="E37" s="153" t="s">
        <v>84</v>
      </c>
      <c r="F37" s="154"/>
      <c r="G37" s="154"/>
      <c r="H37" s="155"/>
    </row>
    <row r="38" spans="2:8" ht="15" customHeight="1" thickBot="1">
      <c r="B38" s="108">
        <v>30</v>
      </c>
      <c r="C38" s="111" t="s">
        <v>85</v>
      </c>
      <c r="E38" s="150" t="s">
        <v>86</v>
      </c>
      <c r="F38" s="151"/>
      <c r="G38" s="151"/>
      <c r="H38" s="152"/>
    </row>
    <row r="39" spans="2:8" ht="15" customHeight="1" thickBot="1">
      <c r="B39" s="108">
        <v>31</v>
      </c>
      <c r="C39" s="111" t="s">
        <v>87</v>
      </c>
      <c r="E39" s="153" t="s">
        <v>88</v>
      </c>
      <c r="F39" s="154"/>
      <c r="G39" s="154"/>
      <c r="H39" s="155"/>
    </row>
    <row r="40" spans="2:8" ht="15" customHeight="1" thickBot="1">
      <c r="B40" s="108">
        <v>32</v>
      </c>
      <c r="C40" s="111"/>
      <c r="E40" s="150" t="s">
        <v>89</v>
      </c>
      <c r="F40" s="151"/>
      <c r="G40" s="151"/>
      <c r="H40" s="152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 xml:space="preserve">
Factores Legales, T</v>
      </c>
      <c r="F42" s="116" t="str">
        <f>MID(E30,1,20)</f>
        <v>Aspectos Legales, Tr</v>
      </c>
      <c r="G42" s="116" t="str">
        <f>MID(E31,1,20)</f>
        <v>Identificar Los Aspe</v>
      </c>
      <c r="H42" s="117" t="str">
        <f>MID(E32,1,20)</f>
        <v>Aspectos Legales, Tr</v>
      </c>
    </row>
    <row r="43" spans="2:8" ht="15" customHeight="1">
      <c r="B43" s="108">
        <v>35</v>
      </c>
      <c r="C43" s="111"/>
      <c r="E43" s="118" t="s">
        <v>25</v>
      </c>
      <c r="F43" s="119" t="s">
        <v>39</v>
      </c>
      <c r="G43" s="119" t="s">
        <v>47</v>
      </c>
      <c r="H43" s="120" t="s">
        <v>58</v>
      </c>
    </row>
    <row r="44" spans="2:8" ht="15" customHeight="1">
      <c r="B44" s="108">
        <v>36</v>
      </c>
      <c r="C44" s="111"/>
      <c r="E44" s="121" t="s">
        <v>28</v>
      </c>
      <c r="F44" s="122" t="s">
        <v>41</v>
      </c>
      <c r="G44" s="122" t="s">
        <v>50</v>
      </c>
      <c r="H44" s="123" t="s">
        <v>60</v>
      </c>
    </row>
    <row r="45" spans="2:8" ht="15" customHeight="1">
      <c r="B45" s="108">
        <v>37</v>
      </c>
      <c r="C45" s="111"/>
      <c r="E45" s="124" t="s">
        <v>31</v>
      </c>
      <c r="F45" s="125" t="s">
        <v>43</v>
      </c>
      <c r="G45" s="125" t="s">
        <v>52</v>
      </c>
      <c r="H45" s="126" t="s">
        <v>62</v>
      </c>
    </row>
    <row r="46" spans="2:8" ht="15" customHeight="1">
      <c r="B46" s="108">
        <v>38</v>
      </c>
      <c r="C46" s="111"/>
      <c r="E46" s="121" t="s">
        <v>34</v>
      </c>
      <c r="F46" s="122" t="s">
        <v>45</v>
      </c>
      <c r="G46" s="122" t="s">
        <v>54</v>
      </c>
      <c r="H46" s="123" t="s">
        <v>63</v>
      </c>
    </row>
    <row r="47" spans="2:8" ht="15" customHeight="1">
      <c r="B47" s="108">
        <v>39</v>
      </c>
      <c r="C47" s="111"/>
      <c r="E47" s="124" t="s">
        <v>36</v>
      </c>
      <c r="F47" s="125"/>
      <c r="G47" s="125" t="s">
        <v>56</v>
      </c>
      <c r="H47" s="126" t="s">
        <v>64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 xml:space="preserve"> Aspectos legales, t</v>
      </c>
      <c r="F50" s="116" t="str">
        <f>MID(E34,1,20)</f>
        <v>Aspectos legales, tr</v>
      </c>
      <c r="G50" s="116" t="str">
        <f>MID(E35,1,20)</f>
        <v>Aspectos legales, tr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65</v>
      </c>
      <c r="F51" s="119" t="s">
        <v>75</v>
      </c>
      <c r="G51" s="119" t="s">
        <v>81</v>
      </c>
      <c r="H51" s="120"/>
    </row>
    <row r="52" spans="2:8" ht="15" customHeight="1">
      <c r="B52" s="108">
        <v>44</v>
      </c>
      <c r="C52" s="111"/>
      <c r="E52" s="121" t="s">
        <v>67</v>
      </c>
      <c r="F52" s="122" t="s">
        <v>77</v>
      </c>
      <c r="G52" s="122" t="s">
        <v>83</v>
      </c>
      <c r="H52" s="123"/>
    </row>
    <row r="53" spans="2:8" ht="15" customHeight="1">
      <c r="B53" s="108">
        <v>45</v>
      </c>
      <c r="C53" s="111"/>
      <c r="E53" s="124" t="s">
        <v>69</v>
      </c>
      <c r="F53" s="125" t="s">
        <v>79</v>
      </c>
      <c r="G53" s="125" t="s">
        <v>85</v>
      </c>
      <c r="H53" s="126"/>
    </row>
    <row r="54" spans="2:8" ht="15" customHeight="1">
      <c r="B54" s="108">
        <v>46</v>
      </c>
      <c r="C54" s="111"/>
      <c r="E54" s="121" t="s">
        <v>71</v>
      </c>
      <c r="F54" s="122"/>
      <c r="G54" s="122" t="s">
        <v>87</v>
      </c>
      <c r="H54" s="123"/>
    </row>
    <row r="55" spans="2:8" ht="15" customHeight="1">
      <c r="B55" s="108">
        <v>47</v>
      </c>
      <c r="C55" s="111"/>
      <c r="E55" s="124" t="s">
        <v>73</v>
      </c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9JVOxd28xUn+MuBsnmHb8Z6amy/v6DQmAZ2kupWfk9KhG/+WB2z/a3iTB+xRSUpnccwTNf2ywamak8xDidZMNA==" saltValue="EtAqVKdkmX07MG4AyvLQeg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15" activePane="bottomRight" state="frozen"/>
      <selection pane="bottomRight" activeCell="G6" sqref="G6:G1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TECNOLOGIA APLICADA</v>
      </c>
      <c r="C2" s="82"/>
      <c r="D2" s="3"/>
      <c r="F2" s="203" t="s">
        <v>90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CONCATENATE(LIDER!C4," - ",LIDER!C6," - ",LIDER!C5)</f>
        <v>TECNOLOGIA APLICADA - 2246 - ARMANDO ACOSTA JULIO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8" t="str">
        <f>LIDER!$E$29</f>
        <v xml:space="preserve">
Factores Legales, Tributarios, Macroeconómicos, Tecnológicos e Internacionales en la participación de Grupo Nutresa en los Negocios Internacionales
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SUNYMAR BARBOZA LOPEZ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4.6999999999999993</v>
      </c>
      <c r="F6" s="199">
        <v>4.5999999999999996</v>
      </c>
      <c r="G6" s="196">
        <v>4.5</v>
      </c>
      <c r="H6" s="197">
        <v>4.5999999999999996</v>
      </c>
      <c r="I6" s="196">
        <v>5</v>
      </c>
      <c r="J6" s="197">
        <v>5</v>
      </c>
      <c r="K6" s="196"/>
      <c r="L6" s="197"/>
    </row>
    <row r="7" spans="1:12" s="2" customFormat="1" ht="15" customHeight="1">
      <c r="A7" s="12">
        <v>2</v>
      </c>
      <c r="B7" s="10" t="str">
        <f>LIDER!E44</f>
        <v>DEIVER ALEXANDER FERNÁNDEZ BENÍTEZ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4.6999999999999993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XAVIER ALEXANDER MENDOZA VILLAR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4.6999999999999993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LUZ ARIANA ORTEGA CUESTA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4.6999999999999993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DANIEL DAVID ORTEGA TORRES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4.6999999999999993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8" t="str">
        <f>LIDER!$E$30</f>
        <v>Aspectos Legales, Tributarios, Administrativos, Macroeconómicos, Aduaneros, Tecnológicos e Internacionales Que Definen El Perfil De Ecopetrol S.A En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ANDRES FELIPE ARRIETA MEDINA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</v>
      </c>
      <c r="F13" s="199">
        <v>4</v>
      </c>
      <c r="G13" s="196">
        <v>4</v>
      </c>
      <c r="H13" s="197">
        <v>4</v>
      </c>
      <c r="I13" s="196">
        <v>3.5</v>
      </c>
      <c r="J13" s="197">
        <v>5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SHARITH DANIELA PABA ARRIETA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MARYURI PUERTA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ANDREA CAROLINA SAMUDIO HOYOS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8" t="str">
        <f>LIDER!$E$31</f>
        <v>Identificar Los Aspectos Legales, Tributarios, Administrativos, Macroeconómicos, Aduaneros, Tecnológicos e Internacionales Que Definen El Perfil De Colanta  En Los Negocios Internacionales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FARINA GABRIELA COGOLLO PALOMINO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3.4200000000000004</v>
      </c>
      <c r="F20" s="199">
        <v>3.6</v>
      </c>
      <c r="G20" s="196">
        <v>3.5</v>
      </c>
      <c r="H20" s="197">
        <v>3</v>
      </c>
      <c r="I20" s="196">
        <v>3</v>
      </c>
      <c r="J20" s="197">
        <v>5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CAMILO MARQUEZ GONZALEZ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3.4200000000000004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MAURO JOSE OLIVERA NAVAS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3.4200000000000004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OSCAR ANDRES PÁJARO GARCÍA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3.4200000000000004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PAZ DE LA CARIDAD VASQUEZ DE ARCO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3.4200000000000004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 t="str">
        <f>LIDER!H43</f>
        <v>JUAN CAMILO CORRALES DE LA ROSA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4.71</v>
      </c>
      <c r="F27" s="199">
        <v>4.5999999999999996</v>
      </c>
      <c r="G27" s="196">
        <v>4.7</v>
      </c>
      <c r="H27" s="197">
        <v>4.5</v>
      </c>
      <c r="I27" s="196">
        <v>5</v>
      </c>
      <c r="J27" s="197">
        <v>5</v>
      </c>
      <c r="K27" s="196"/>
      <c r="L27" s="197"/>
    </row>
    <row r="28" spans="1:12" s="2" customFormat="1" ht="15" customHeight="1">
      <c r="A28" s="12">
        <v>2</v>
      </c>
      <c r="B28" s="10" t="str">
        <f>LIDER!H44</f>
        <v>YORCELIS MERCADO GUERRA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4.71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 t="str">
        <f>LIDER!H45</f>
        <v>CESAR ANDRES PAJARO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4.71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 t="str">
        <f>LIDER!H46</f>
        <v>ELIAN ENRIQUE POLO SOTO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4.71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 t="str">
        <f>LIDER!H47</f>
        <v>KATERYN SOFIA SILVA PEÑATE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4.71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 t="str">
        <f>LIDER!E51</f>
        <v>ADRIAN JOSE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4.79</v>
      </c>
      <c r="F34" s="199">
        <v>4.7</v>
      </c>
      <c r="G34" s="196">
        <v>4.7</v>
      </c>
      <c r="H34" s="197">
        <v>4.7</v>
      </c>
      <c r="I34" s="196">
        <v>5</v>
      </c>
      <c r="J34" s="197">
        <v>5</v>
      </c>
      <c r="K34" s="196"/>
      <c r="L34" s="197"/>
    </row>
    <row r="35" spans="1:12" s="2" customFormat="1" ht="15" customHeight="1">
      <c r="A35" s="12">
        <v>2</v>
      </c>
      <c r="B35" s="10" t="str">
        <f>LIDER!E52</f>
        <v>YULIETH DE JESÚS MARTÍNEZ CARRASQUILLA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4.79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 t="str">
        <f>LIDER!E53</f>
        <v>ANGELLO STIVEN ORTEGA MESINO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4.79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 t="str">
        <f>LIDER!E54</f>
        <v>THERES ENIT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4.79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 t="str">
        <f>LIDER!E55</f>
        <v>SHERLYN CAMILA VILLEGAS MEZA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4.79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8" t="str">
        <f>LIDER!$E$34</f>
        <v>Aspectos legales, tributarios, administrativos, macroeconómicos, aduaneros, tecnológicos e internacionales de la empresa Tenaris TuboCaribe en los negocios internacionales.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 t="str">
        <f>LIDER!F51</f>
        <v>DUVAN ANDRES CESPEDES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3.0700000000000003</v>
      </c>
      <c r="F41" s="199">
        <v>3.7</v>
      </c>
      <c r="G41" s="196">
        <v>3.4</v>
      </c>
      <c r="H41" s="197">
        <v>3</v>
      </c>
      <c r="I41" s="196">
        <v>2</v>
      </c>
      <c r="J41" s="197">
        <v>3.5</v>
      </c>
      <c r="K41" s="196"/>
      <c r="L41" s="197"/>
    </row>
    <row r="42" spans="1:12" s="2" customFormat="1" ht="15" customHeight="1">
      <c r="A42" s="12">
        <v>2</v>
      </c>
      <c r="B42" s="10" t="str">
        <f>LIDER!F52</f>
        <v>ISAAC MAURICIO FACIO LINCE BUSTOS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3.0700000000000003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 t="str">
        <f>LIDER!F53</f>
        <v>JHAMER LUIS MAZA RAMOS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3.0700000000000003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106</v>
      </c>
      <c r="C47" s="88" t="s">
        <v>107</v>
      </c>
      <c r="D47" s="32" t="str">
        <f>D40</f>
        <v>LIST</v>
      </c>
      <c r="E47" s="89" t="s">
        <v>95</v>
      </c>
      <c r="F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 t="str">
        <f>LIDER!G51</f>
        <v>YILIANIS DIAZ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4.74</v>
      </c>
      <c r="F48" s="199">
        <v>4.7</v>
      </c>
      <c r="G48" s="196">
        <v>4.5999999999999996</v>
      </c>
      <c r="H48" s="197">
        <v>4.5999999999999996</v>
      </c>
      <c r="I48" s="196">
        <v>5</v>
      </c>
      <c r="J48" s="197">
        <v>5</v>
      </c>
      <c r="K48" s="196"/>
      <c r="L48" s="197"/>
    </row>
    <row r="49" spans="1:12" s="2" customFormat="1" ht="15" customHeight="1">
      <c r="A49" s="12">
        <v>2</v>
      </c>
      <c r="B49" s="10" t="str">
        <f>LIDER!G52</f>
        <v>YORBIN HOYOS BELTRAN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4.74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 t="str">
        <f>LIDER!G53</f>
        <v>CRYSTIAN DAVID JULIO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4.74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 t="str">
        <f>LIDER!G54</f>
        <v>NATALIA ROLDAN GARCIA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4.74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95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95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95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95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89</v>
      </c>
      <c r="C82" s="88" t="s">
        <v>112</v>
      </c>
      <c r="D82" s="32" t="str">
        <f>D75</f>
        <v>LIST</v>
      </c>
      <c r="E82" s="89" t="s">
        <v>95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18" activePane="bottomRight" state="frozen"/>
      <selection pane="bottomRight" activeCell="F48" sqref="F48:J5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INTERNACIONALIZACION</v>
      </c>
      <c r="C2" s="82"/>
      <c r="D2" s="3"/>
      <c r="F2" s="203" t="s">
        <v>90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CONCATENATE(LIDER!D4," - ",LIDER!D6," - ",LIDER!D5)</f>
        <v>INTERNACIONALIZACION - 2345 - TATIANA MILENA ROJAS AROCA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8" t="str">
        <f>LIDER!$E$29</f>
        <v xml:space="preserve">
Factores Legales, Tributarios, Macroeconómicos, Tecnológicos e Internacionales en la participación de Grupo Nutresa en los Negocios Internacionales
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SUNYMAR BARBOZA LOPEZ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</v>
      </c>
      <c r="F6" s="199">
        <v>4.3</v>
      </c>
      <c r="G6" s="196">
        <v>4.3</v>
      </c>
      <c r="H6" s="197">
        <v>4.3</v>
      </c>
      <c r="I6" s="196">
        <v>4.3</v>
      </c>
      <c r="J6" s="197">
        <v>4.3</v>
      </c>
      <c r="K6" s="196"/>
      <c r="L6" s="197"/>
    </row>
    <row r="7" spans="1:12" s="2" customFormat="1" ht="15" customHeight="1">
      <c r="A7" s="12">
        <v>2</v>
      </c>
      <c r="B7" s="10" t="str">
        <f>LIDER!E44</f>
        <v>DEIVER ALEXANDER FERNÁNDEZ BENÍTEZ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XAVIER ALEXANDER MENDOZA VILLAR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LUZ ARIANA ORTEGA CUESTA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DANIEL DAVID ORTEGA TORRES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8" t="str">
        <f>LIDER!$E$30</f>
        <v>Aspectos Legales, Tributarios, Administrativos, Macroeconómicos, Aduaneros, Tecnológicos e Internacionales Que Definen El Perfil De Ecopetrol S.A En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ANDRES FELIPE ARRIETA MEDINA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</v>
      </c>
      <c r="F13" s="199">
        <v>4.3</v>
      </c>
      <c r="G13" s="196">
        <v>4.3</v>
      </c>
      <c r="H13" s="197">
        <v>4.3</v>
      </c>
      <c r="I13" s="196">
        <v>4.3</v>
      </c>
      <c r="J13" s="197">
        <v>4.3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SHARITH DANIELA PABA ARRIETA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MARYURI PUERTA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ANDREA CAROLINA SAMUDIO HOYOS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8" t="str">
        <f>LIDER!$E$31</f>
        <v>Identificar Los Aspectos Legales, Tributarios, Administrativos, Macroeconómicos, Aduaneros, Tecnológicos e Internacionales Que Definen El Perfil De Colanta  En Los Negocios Internacionales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FARINA GABRIELA COGOLLO PALOMINO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3.5000000000000004</v>
      </c>
      <c r="F20" s="199">
        <v>3.5</v>
      </c>
      <c r="G20" s="196">
        <v>3.5</v>
      </c>
      <c r="H20" s="197">
        <v>3.5</v>
      </c>
      <c r="I20" s="196">
        <v>3.5</v>
      </c>
      <c r="J20" s="197">
        <v>3.5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CAMILO MARQUEZ GONZALEZ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3.5000000000000004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MAURO JOSE OLIVERA NAVAS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3.5000000000000004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OSCAR ANDRES PÁJARO GARCÍA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3.5000000000000004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PAZ DE LA CARIDAD VASQUEZ DE ARCO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3.5000000000000004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 t="str">
        <f>LIDER!H43</f>
        <v>JUAN CAMILO CORRALES DE LA ROSA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</v>
      </c>
      <c r="F27" s="199">
        <v>4.3</v>
      </c>
      <c r="G27" s="196">
        <v>4.3</v>
      </c>
      <c r="H27" s="197">
        <v>4.3</v>
      </c>
      <c r="I27" s="196">
        <v>4.3</v>
      </c>
      <c r="J27" s="197">
        <v>4.3</v>
      </c>
      <c r="K27" s="196"/>
      <c r="L27" s="197"/>
    </row>
    <row r="28" spans="1:12" s="2" customFormat="1" ht="15" customHeight="1">
      <c r="A28" s="12">
        <v>2</v>
      </c>
      <c r="B28" s="10" t="str">
        <f>LIDER!H44</f>
        <v>YORCELIS MERCADO GUERRA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 t="str">
        <f>LIDER!H45</f>
        <v>CESAR ANDRES PAJARO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 t="str">
        <f>LIDER!H46</f>
        <v>ELIAN ENRIQUE POLO SOTO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 t="str">
        <f>LIDER!H47</f>
        <v>KATERYN SOFIA SILVA PEÑATE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 t="str">
        <f>LIDER!E51</f>
        <v>ADRIAN JOSE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</v>
      </c>
      <c r="F34" s="199">
        <v>4.3</v>
      </c>
      <c r="G34" s="196">
        <v>4.3</v>
      </c>
      <c r="H34" s="197">
        <v>4.3</v>
      </c>
      <c r="I34" s="196">
        <v>4.3</v>
      </c>
      <c r="J34" s="197">
        <v>4.3</v>
      </c>
      <c r="K34" s="196"/>
      <c r="L34" s="197"/>
    </row>
    <row r="35" spans="1:12" s="2" customFormat="1" ht="15" customHeight="1">
      <c r="A35" s="12">
        <v>2</v>
      </c>
      <c r="B35" s="10" t="str">
        <f>LIDER!E52</f>
        <v>YULIETH DE JESÚS MARTÍNEZ CARRASQUILLA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 t="str">
        <f>LIDER!E53</f>
        <v>ANGELLO STIVEN ORTEGA MESINO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 t="str">
        <f>LIDER!E54</f>
        <v>THERES ENIT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 t="str">
        <f>LIDER!E55</f>
        <v>SHERLYN CAMILA VILLEGAS MEZA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4.3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8" t="str">
        <f>LIDER!$E$34</f>
        <v>Aspectos legales, tributarios, administrativos, macroeconómicos, aduaneros, tecnológicos e internacionales de la empresa Tenaris TuboCaribe en los negocios internacionales.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 t="str">
        <f>LIDER!F51</f>
        <v>DUVAN ANDRES CESPEDES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2.5</v>
      </c>
      <c r="F41" s="199">
        <v>2.5</v>
      </c>
      <c r="G41" s="196">
        <v>2.5</v>
      </c>
      <c r="H41" s="197">
        <v>2.5</v>
      </c>
      <c r="I41" s="196">
        <v>2.5</v>
      </c>
      <c r="J41" s="197">
        <v>2.5</v>
      </c>
      <c r="K41" s="196"/>
      <c r="L41" s="197"/>
    </row>
    <row r="42" spans="1:12" s="2" customFormat="1" ht="15" customHeight="1">
      <c r="A42" s="12">
        <v>2</v>
      </c>
      <c r="B42" s="10" t="str">
        <f>LIDER!F52</f>
        <v>ISAAC MAURICIO FACIO LINCE BUSTOS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2.5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 t="str">
        <f>LIDER!F53</f>
        <v>JHAMER LUIS MAZA RAMOS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2.5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106</v>
      </c>
      <c r="C47" s="88" t="s">
        <v>107</v>
      </c>
      <c r="D47" s="32" t="str">
        <f>D40</f>
        <v>LIST</v>
      </c>
      <c r="E47" s="89" t="s">
        <v>95</v>
      </c>
      <c r="F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 t="str">
        <f>LIDER!G51</f>
        <v>YILIANIS DIAZ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4.2</v>
      </c>
      <c r="F48" s="199">
        <v>4.2</v>
      </c>
      <c r="G48" s="196">
        <v>4.2</v>
      </c>
      <c r="H48" s="197">
        <v>4.2</v>
      </c>
      <c r="I48" s="196">
        <v>4.2</v>
      </c>
      <c r="J48" s="197">
        <v>4.2</v>
      </c>
      <c r="K48" s="196"/>
      <c r="L48" s="197"/>
    </row>
    <row r="49" spans="1:12" s="2" customFormat="1" ht="15" customHeight="1">
      <c r="A49" s="12">
        <v>2</v>
      </c>
      <c r="B49" s="10" t="str">
        <f>LIDER!G52</f>
        <v>YORBIN HOYOS BELTRAN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4.2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 t="str">
        <f>LIDER!G53</f>
        <v>CRYSTIAN DAVID JULIO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4.2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 t="str">
        <f>LIDER!G54</f>
        <v>NATALIA ROLDAN GARCIA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4.2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95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95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95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95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89</v>
      </c>
      <c r="C82" s="88" t="s">
        <v>112</v>
      </c>
      <c r="D82" s="32" t="str">
        <f>D75</f>
        <v>LIST</v>
      </c>
      <c r="E82" s="89" t="s">
        <v>95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topLeftCell="F1" activePane="topRight" state="frozen"/>
      <selection pane="topRight" activeCell="D1" sqref="A1:H1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LEGISLACION PARA EL COMERCIO</v>
      </c>
      <c r="C2" s="82"/>
      <c r="D2" s="3"/>
      <c r="F2" s="203" t="s">
        <v>90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CONCATENATE(LIDER!E4," - ",LIDER!E6," - ",LIDER!E5)</f>
        <v>LEGISLACION PARA EL COMERCIO - 2350 - HAROLD ANTONIO CUADRO VELASQUEZ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8" t="str">
        <f>LIDER!$E$29</f>
        <v xml:space="preserve">
Factores Legales, Tributarios, Macroeconómicos, Tecnológicos e Internacionales en la participación de Grupo Nutresa en los Negocios Internacionales
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SUNYMAR BARBOZA LOPEZ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4.57</v>
      </c>
      <c r="F6" s="199">
        <v>4.7</v>
      </c>
      <c r="G6" s="196">
        <v>4.5</v>
      </c>
      <c r="H6" s="197">
        <v>4.7</v>
      </c>
      <c r="I6" s="196">
        <v>4.5</v>
      </c>
      <c r="J6" s="197">
        <v>4.2</v>
      </c>
      <c r="K6" s="196"/>
      <c r="L6" s="197"/>
    </row>
    <row r="7" spans="1:12" s="2" customFormat="1" ht="15" customHeight="1">
      <c r="A7" s="12">
        <v>2</v>
      </c>
      <c r="B7" s="10" t="str">
        <f>LIDER!E44</f>
        <v>DEIVER ALEXANDER FERNÁNDEZ BENÍTEZ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4.57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XAVIER ALEXANDER MENDOZA VILLAR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4.57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LUZ ARIANA ORTEGA CUESTA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4.57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DANIEL DAVID ORTEGA TORRES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4.57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8" t="str">
        <f>LIDER!$E$30</f>
        <v>Aspectos Legales, Tributarios, Administrativos, Macroeconómicos, Aduaneros, Tecnológicos e Internacionales Que Definen El Perfil De Ecopetrol S.A En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ANDRES FELIPE ARRIETA MEDINA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3.7900000000000005</v>
      </c>
      <c r="F13" s="199">
        <v>4.5</v>
      </c>
      <c r="G13" s="196">
        <v>4.2</v>
      </c>
      <c r="H13" s="197">
        <v>3</v>
      </c>
      <c r="I13" s="196">
        <v>3.5</v>
      </c>
      <c r="J13" s="197">
        <v>4.5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SHARITH DANIELA PABA ARRIETA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3.7900000000000005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MARYURI PUERTA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3.7900000000000005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ANDREA CAROLINA SAMUDIO HOYOS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3.7900000000000005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8" t="str">
        <f>LIDER!$E$31</f>
        <v>Identificar Los Aspectos Legales, Tributarios, Administrativos, Macroeconómicos, Aduaneros, Tecnológicos e Internacionales Que Definen El Perfil De Colanta  En Los Negocios Internacionales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FARINA GABRIELA COGOLLO PALOMINO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3.41</v>
      </c>
      <c r="F20" s="199">
        <v>3.8</v>
      </c>
      <c r="G20" s="196">
        <v>3.5</v>
      </c>
      <c r="H20" s="197">
        <v>3.5</v>
      </c>
      <c r="I20" s="196">
        <v>3</v>
      </c>
      <c r="J20" s="197">
        <v>3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CAMILO MARQUEZ GONZALEZ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3.41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MAURO JOSE OLIVERA NAVAS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3.41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OSCAR ANDRES PÁJARO GARCÍA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3.41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PAZ DE LA CARIDAD VASQUEZ DE ARCO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3.41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 t="str">
        <f>LIDER!H43</f>
        <v>JUAN CAMILO CORRALES DE LA ROSA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4.5199999999999996</v>
      </c>
      <c r="F27" s="199">
        <v>4.5</v>
      </c>
      <c r="G27" s="196">
        <v>4.5</v>
      </c>
      <c r="H27" s="197">
        <v>4.5</v>
      </c>
      <c r="I27" s="196">
        <v>4.5</v>
      </c>
      <c r="J27" s="197">
        <v>4.7</v>
      </c>
      <c r="K27" s="196"/>
      <c r="L27" s="197"/>
    </row>
    <row r="28" spans="1:12" s="2" customFormat="1" ht="15" customHeight="1">
      <c r="A28" s="12">
        <v>2</v>
      </c>
      <c r="B28" s="10" t="str">
        <f>LIDER!H44</f>
        <v>YORCELIS MERCADO GUERRA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4.5199999999999996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 t="str">
        <f>LIDER!H45</f>
        <v>CESAR ANDRES PAJARO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4.5199999999999996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 t="str">
        <f>LIDER!H46</f>
        <v>ELIAN ENRIQUE POLO SOTO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4.5199999999999996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 t="str">
        <f>LIDER!H47</f>
        <v>KATERYN SOFIA SILVA PEÑATE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4.5199999999999996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 t="str">
        <f>LIDER!E51</f>
        <v>ADRIAN JOSE MARRIAGA MUÑOZ</v>
      </c>
      <c r="C34" s="90" t="str">
        <f>C33</f>
        <v>G05</v>
      </c>
      <c r="D34" s="95" t="s">
        <v>113</v>
      </c>
      <c r="E34" s="11" t="str">
        <f>IF(B34=0,0,IF(D34="",$F$34*LIDER!$H$9+$G$34*LIDER!$H$10+$H$34*LIDER!$H$11+$I$34*LIDER!$H$12+$J$34*LIDER!$H$13+$K$34*LIDER!$H$14+$L$34*LIDER!$H$15,"N"))</f>
        <v>N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 t="str">
        <f>LIDER!E52</f>
        <v>YULIETH DE JESÚS MARTÍNEZ CARRASQUILLA</v>
      </c>
      <c r="C35" s="90" t="str">
        <f t="shared" ref="C35:C39" si="4">C34</f>
        <v>G05</v>
      </c>
      <c r="D35" s="96" t="s">
        <v>113</v>
      </c>
      <c r="E35" s="11" t="str">
        <f>IF(B35=0,0,IF(D35="",$F$34*LIDER!$H$9+$G$34*LIDER!$H$10+$H$34*LIDER!$H$11+$I$34*LIDER!$H$12+$J$34*LIDER!$H$13+$K$34*LIDER!$H$14+$L$34*LIDER!$H$15,"N"))</f>
        <v>N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 t="str">
        <f>LIDER!E53</f>
        <v>ANGELLO STIVEN ORTEGA MESINO</v>
      </c>
      <c r="C36" s="90" t="str">
        <f t="shared" si="4"/>
        <v>G05</v>
      </c>
      <c r="D36" s="96" t="s">
        <v>113</v>
      </c>
      <c r="E36" s="11" t="str">
        <f>IF(B36=0,0,IF(D36="",$F$34*LIDER!$H$9+$G$34*LIDER!$H$10+$H$34*LIDER!$H$11+$I$34*LIDER!$H$12+$J$34*LIDER!$H$13+$K$34*LIDER!$H$14+$L$34*LIDER!$H$15,"N"))</f>
        <v>N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 t="str">
        <f>LIDER!E54</f>
        <v>THERES ENIT THERAN CAICEDO</v>
      </c>
      <c r="C37" s="90" t="str">
        <f t="shared" si="4"/>
        <v>G05</v>
      </c>
      <c r="D37" s="96" t="s">
        <v>113</v>
      </c>
      <c r="E37" s="11" t="str">
        <f>IF(B37=0,0,IF(D37="",$F$34*LIDER!$H$9+$G$34*LIDER!$H$10+$H$34*LIDER!$H$11+$I$34*LIDER!$H$12+$J$34*LIDER!$H$13+$K$34*LIDER!$H$14+$L$34*LIDER!$H$15,"N"))</f>
        <v>N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 t="str">
        <f>LIDER!E55</f>
        <v>SHERLYN CAMILA VILLEGAS MEZA</v>
      </c>
      <c r="C38" s="90" t="str">
        <f t="shared" si="4"/>
        <v>G05</v>
      </c>
      <c r="D38" s="96" t="s">
        <v>113</v>
      </c>
      <c r="E38" s="11" t="str">
        <f>IF(B38=0,0,IF(D38="",$F$34*LIDER!$H$9+$G$34*LIDER!$H$10+$H$34*LIDER!$H$11+$I$34*LIDER!$H$12+$J$34*LIDER!$H$13+$K$34*LIDER!$H$14+$L$34*LIDER!$H$15,"N"))</f>
        <v>N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8" t="str">
        <f>LIDER!$E$34</f>
        <v>Aspectos legales, tributarios, administrativos, macroeconómicos, aduaneros, tecnológicos e internacionales de la empresa Tenaris TuboCaribe en los negocios internacionales.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 t="str">
        <f>LIDER!F51</f>
        <v>DUVAN ANDRES CESPEDES PEREZ</v>
      </c>
      <c r="C41" s="90" t="str">
        <f>C40</f>
        <v>G06</v>
      </c>
      <c r="D41" s="95" t="s">
        <v>113</v>
      </c>
      <c r="E41" s="11" t="str">
        <f>IF(B41=0,0,IF(D41="",$F$41*LIDER!$H$9+$G$41*LIDER!$H$10+$H$41*LIDER!$H$11+$I$41*LIDER!$H$12+$J$41*LIDER!$H$13+$K$41*LIDER!$H$14+$L$41*LIDER!$H$15,"N"))</f>
        <v>N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 t="str">
        <f>LIDER!F52</f>
        <v>ISAAC MAURICIO FACIO LINCE BUSTOS</v>
      </c>
      <c r="C42" s="90" t="str">
        <f t="shared" ref="C42:C46" si="5">C41</f>
        <v>G06</v>
      </c>
      <c r="D42" s="96" t="s">
        <v>113</v>
      </c>
      <c r="E42" s="11" t="str">
        <f>IF(B42=0,0,IF(D42="",$F$41*LIDER!$H$9+$G$41*LIDER!$H$10+$H$41*LIDER!$H$11+$I$41*LIDER!$H$12+$J$41*LIDER!$H$13+$K$41*LIDER!$H$14+$L$41*LIDER!$H$15,"N"))</f>
        <v>N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 t="str">
        <f>LIDER!F53</f>
        <v>JHAMER LUIS MAZA RAMOS</v>
      </c>
      <c r="C43" s="90" t="str">
        <f t="shared" si="5"/>
        <v>G06</v>
      </c>
      <c r="D43" s="96" t="s">
        <v>113</v>
      </c>
      <c r="E43" s="11" t="str">
        <f>IF(B43=0,0,IF(D43="",$F$41*LIDER!$H$9+$G$41*LIDER!$H$10+$H$41*LIDER!$H$11+$I$41*LIDER!$H$12+$J$41*LIDER!$H$13+$K$41*LIDER!$H$14+$L$41*LIDER!$H$15,"N"))</f>
        <v>N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106</v>
      </c>
      <c r="C47" s="88" t="s">
        <v>107</v>
      </c>
      <c r="D47" s="32" t="str">
        <f>D40</f>
        <v>LIST</v>
      </c>
      <c r="E47" s="89" t="s">
        <v>95</v>
      </c>
      <c r="F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 t="str">
        <f>LIDER!G51</f>
        <v>YILIANIS DIAZ MARTINEZ</v>
      </c>
      <c r="C48" s="90" t="str">
        <f>C47</f>
        <v>G07</v>
      </c>
      <c r="D48" s="95" t="s">
        <v>113</v>
      </c>
      <c r="E48" s="11" t="str">
        <f>IF(B48=0,0,IF(D48="",$F$48*LIDER!$H$9+$G$48*LIDER!$H$10+$H$48*LIDER!$H$11+$I$48*LIDER!$H$12+$J$48*LIDER!$H$13+$K$48*LIDER!$H$14+$L$48*LIDER!$H$15,"N"))</f>
        <v>N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 t="str">
        <f>LIDER!G52</f>
        <v>YORBIN HOYOS BELTRAN</v>
      </c>
      <c r="C49" s="90" t="str">
        <f t="shared" ref="C49:C53" si="6">C48</f>
        <v>G07</v>
      </c>
      <c r="D49" s="96" t="s">
        <v>113</v>
      </c>
      <c r="E49" s="11" t="str">
        <f>IF(B49=0,0,IF(D49="",$F$48*LIDER!$H$9+$G$48*LIDER!$H$10+$H$48*LIDER!$H$11+$I$48*LIDER!$H$12+$J$48*LIDER!$H$13+$K$48*LIDER!$H$14+$L$48*LIDER!$H$15,"N"))</f>
        <v>N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 t="str">
        <f>LIDER!G53</f>
        <v>CRYSTIAN DAVID JULIO SARMIENTO</v>
      </c>
      <c r="C50" s="90" t="str">
        <f t="shared" si="6"/>
        <v>G07</v>
      </c>
      <c r="D50" s="96" t="s">
        <v>113</v>
      </c>
      <c r="E50" s="11" t="str">
        <f>IF(B50=0,0,IF(D50="",$F$48*LIDER!$H$9+$G$48*LIDER!$H$10+$H$48*LIDER!$H$11+$I$48*LIDER!$H$12+$J$48*LIDER!$H$13+$K$48*LIDER!$H$14+$L$48*LIDER!$H$15,"N"))</f>
        <v>N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 t="str">
        <f>LIDER!G54</f>
        <v>NATALIA ROLDAN GARCIA</v>
      </c>
      <c r="C51" s="90" t="str">
        <f t="shared" si="6"/>
        <v>G07</v>
      </c>
      <c r="D51" s="96" t="s">
        <v>113</v>
      </c>
      <c r="E51" s="11" t="str">
        <f>IF(B51=0,0,IF(D51="",$F$48*LIDER!$H$9+$G$48*LIDER!$H$10+$H$48*LIDER!$H$11+$I$48*LIDER!$H$12+$J$48*LIDER!$H$13+$K$48*LIDER!$H$14+$L$48*LIDER!$H$15,"N"))</f>
        <v>N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95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95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95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95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89</v>
      </c>
      <c r="C82" s="88" t="s">
        <v>112</v>
      </c>
      <c r="D82" s="32" t="str">
        <f>D75</f>
        <v>LIST</v>
      </c>
      <c r="E82" s="89" t="s">
        <v>95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8" activePane="bottomRight" state="frozen"/>
      <selection pane="bottomRight" activeCell="F48" sqref="F48:F5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MACROECONOMÍA</v>
      </c>
      <c r="C2" s="82"/>
      <c r="D2" s="3"/>
      <c r="F2" s="203" t="s">
        <v>90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CONCATENATE(LIDER!F4," - ",LIDER!F6," - ",LIDER!F5)</f>
        <v>MACROECONOMÍA - 1494 - ZILLAH EUGENIA CANTILLO ALTAMIRANDA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8" t="str">
        <f>LIDER!$E$29</f>
        <v xml:space="preserve">
Factores Legales, Tributarios, Macroeconómicos, Tecnológicos e Internacionales en la participación de Grupo Nutresa en los Negocios Internacionales
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SUNYMAR BARBOZA LOPEZ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4.3499999999999996</v>
      </c>
      <c r="F6" s="199">
        <v>4</v>
      </c>
      <c r="G6" s="196">
        <v>4</v>
      </c>
      <c r="H6" s="197">
        <v>4.5</v>
      </c>
      <c r="I6" s="196">
        <v>4.5</v>
      </c>
      <c r="J6" s="197">
        <v>5</v>
      </c>
      <c r="K6" s="196"/>
      <c r="L6" s="197"/>
    </row>
    <row r="7" spans="1:12" s="2" customFormat="1" ht="15" customHeight="1">
      <c r="A7" s="12">
        <v>2</v>
      </c>
      <c r="B7" s="10" t="str">
        <f>LIDER!E44</f>
        <v>DEIVER ALEXANDER FERNÁNDEZ BENÍTEZ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4.3499999999999996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XAVIER ALEXANDER MENDOZA VILLAR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4.3499999999999996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LUZ ARIANA ORTEGA CUESTA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4.3499999999999996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DANIEL DAVID ORTEGA TORRES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4.3499999999999996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8" t="str">
        <f>LIDER!$E$30</f>
        <v>Aspectos Legales, Tributarios, Administrativos, Macroeconómicos, Aduaneros, Tecnológicos e Internacionales Que Definen El Perfil De Ecopetrol S.A En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ANDRES FELIPE ARRIETA MEDINA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4.55</v>
      </c>
      <c r="F13" s="199">
        <v>4.5</v>
      </c>
      <c r="G13" s="196">
        <v>4.5</v>
      </c>
      <c r="H13" s="197">
        <v>4.5</v>
      </c>
      <c r="I13" s="196">
        <v>4.5</v>
      </c>
      <c r="J13" s="197">
        <v>5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SHARITH DANIELA PABA ARRIETA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4.55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MARYURI PUERTA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4.55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ANDREA CAROLINA SAMUDIO HOYOS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4.55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8" t="str">
        <f>LIDER!$E$31</f>
        <v>Identificar Los Aspectos Legales, Tributarios, Administrativos, Macroeconómicos, Aduaneros, Tecnológicos e Internacionales Que Definen El Perfil De Colanta  En Los Negocios Internacionales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FARINA GABRIELA COGOLLO PALOMINO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3.1500000000000004</v>
      </c>
      <c r="F20" s="199">
        <v>3</v>
      </c>
      <c r="G20" s="196">
        <v>3.5</v>
      </c>
      <c r="H20" s="197">
        <v>3.5</v>
      </c>
      <c r="I20" s="196">
        <v>2.5</v>
      </c>
      <c r="J20" s="197">
        <v>3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CAMILO MARQUEZ GONZALEZ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3.1500000000000004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MAURO JOSE OLIVERA NAVAS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3.1500000000000004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OSCAR ANDRES PÁJARO GARCÍA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3.1500000000000004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PAZ DE LA CARIDAD VASQUEZ DE ARCO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3.1500000000000004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 t="str">
        <f>LIDER!H43</f>
        <v>JUAN CAMILO CORRALES DE LA ROSA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4.3000000000000007</v>
      </c>
      <c r="F27" s="199">
        <v>4.5</v>
      </c>
      <c r="G27" s="196">
        <v>4</v>
      </c>
      <c r="H27" s="197">
        <v>4</v>
      </c>
      <c r="I27" s="196">
        <v>4.5</v>
      </c>
      <c r="J27" s="197">
        <v>5</v>
      </c>
      <c r="K27" s="196"/>
      <c r="L27" s="197"/>
    </row>
    <row r="28" spans="1:12" s="2" customFormat="1" ht="15" customHeight="1">
      <c r="A28" s="12">
        <v>2</v>
      </c>
      <c r="B28" s="10" t="str">
        <f>LIDER!H44</f>
        <v>YORCELIS MERCADO GUERRA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4.3000000000000007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 t="str">
        <f>LIDER!H45</f>
        <v>CESAR ANDRES PAJARO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4.3000000000000007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 t="str">
        <f>LIDER!H46</f>
        <v>ELIAN ENRIQUE POLO SOTO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4.3000000000000007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 t="str">
        <f>LIDER!H47</f>
        <v>KATERYN SOFIA SILVA PEÑATE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4.3000000000000007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 t="str">
        <f>LIDER!E51</f>
        <v>ADRIAN JOSE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4.59</v>
      </c>
      <c r="F34" s="199">
        <v>4.5999999999999996</v>
      </c>
      <c r="G34" s="196">
        <v>4.5</v>
      </c>
      <c r="H34" s="197">
        <v>4.5</v>
      </c>
      <c r="I34" s="196">
        <v>4.5999999999999996</v>
      </c>
      <c r="J34" s="197">
        <v>5</v>
      </c>
      <c r="K34" s="196"/>
      <c r="L34" s="197"/>
    </row>
    <row r="35" spans="1:12" s="2" customFormat="1" ht="15" customHeight="1">
      <c r="A35" s="12">
        <v>2</v>
      </c>
      <c r="B35" s="10" t="str">
        <f>LIDER!E52</f>
        <v>YULIETH DE JESÚS MARTÍNEZ CARRASQUILLA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4.59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 t="str">
        <f>LIDER!E53</f>
        <v>ANGELLO STIVEN ORTEGA MESINO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4.59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 t="str">
        <f>LIDER!E54</f>
        <v>THERES ENIT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4.59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 t="str">
        <f>LIDER!E55</f>
        <v>SHERLYN CAMILA VILLEGAS MEZA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4.59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8" t="str">
        <f>LIDER!$E$34</f>
        <v>Aspectos legales, tributarios, administrativos, macroeconómicos, aduaneros, tecnológicos e internacionales de la empresa Tenaris TuboCaribe en los negocios internacionales.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 t="str">
        <f>LIDER!F51</f>
        <v>DUVAN ANDRES CESPEDES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2.4500000000000002</v>
      </c>
      <c r="F41" s="199">
        <v>2.5</v>
      </c>
      <c r="G41" s="196">
        <v>3</v>
      </c>
      <c r="H41" s="197">
        <v>3</v>
      </c>
      <c r="I41" s="196">
        <v>1</v>
      </c>
      <c r="J41" s="197">
        <v>2.5</v>
      </c>
      <c r="K41" s="196"/>
      <c r="L41" s="197"/>
    </row>
    <row r="42" spans="1:12" s="2" customFormat="1" ht="15" customHeight="1">
      <c r="A42" s="12">
        <v>2</v>
      </c>
      <c r="B42" s="10" t="str">
        <f>LIDER!F52</f>
        <v>ISAAC MAURICIO FACIO LINCE BUSTOS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2.4500000000000002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 t="str">
        <f>LIDER!F53</f>
        <v>JHAMER LUIS MAZA RAMOS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2.4500000000000002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106</v>
      </c>
      <c r="C47" s="88" t="s">
        <v>107</v>
      </c>
      <c r="D47" s="32" t="str">
        <f>D40</f>
        <v>LIST</v>
      </c>
      <c r="E47" s="89" t="s">
        <v>95</v>
      </c>
      <c r="F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 t="str">
        <f>LIDER!G51</f>
        <v>YILIANIS DIAZ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4.3499999999999996</v>
      </c>
      <c r="F48" s="199">
        <v>4</v>
      </c>
      <c r="G48" s="196">
        <v>4</v>
      </c>
      <c r="H48" s="197">
        <v>4.5</v>
      </c>
      <c r="I48" s="196">
        <v>4.5</v>
      </c>
      <c r="J48" s="197">
        <v>5</v>
      </c>
      <c r="K48" s="196"/>
      <c r="L48" s="197"/>
    </row>
    <row r="49" spans="1:12" s="2" customFormat="1" ht="15" customHeight="1">
      <c r="A49" s="12">
        <v>2</v>
      </c>
      <c r="B49" s="10" t="str">
        <f>LIDER!G52</f>
        <v>YORBIN HOYOS BELTRAN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4.3499999999999996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 t="str">
        <f>LIDER!G53</f>
        <v>CRYSTIAN DAVID JULIO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4.3499999999999996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 t="str">
        <f>LIDER!G54</f>
        <v>NATALIA ROLDAN GARCIA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4.3499999999999996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95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95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95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95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89</v>
      </c>
      <c r="C82" s="88" t="s">
        <v>112</v>
      </c>
      <c r="D82" s="32" t="str">
        <f>D75</f>
        <v>LIST</v>
      </c>
      <c r="E82" s="89" t="s">
        <v>95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topLeftCell="F6" activePane="topRight" state="frozen"/>
      <selection pane="topRight" activeCell="F48" sqref="F48:J53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MATEMÁTICAS FINANCIERAS</v>
      </c>
      <c r="C2" s="82"/>
      <c r="D2" s="3"/>
      <c r="F2" s="203" t="s">
        <v>90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CONCATENATE(LIDER!G4," - ",LIDER!G6," - ",LIDER!G5)</f>
        <v>MATEMÁTICAS FINANCIERAS - 1362 - JAVIER MARTINEZ PEREZ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8" t="str">
        <f>LIDER!$E$29</f>
        <v xml:space="preserve">
Factores Legales, Tributarios, Macroeconómicos, Tecnológicos e Internacionales en la participación de Grupo Nutresa en los Negocios Internacionales
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SUNYMAR BARBOZA LOPEZ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4.55</v>
      </c>
      <c r="F6" s="199">
        <v>4.5</v>
      </c>
      <c r="G6" s="196">
        <v>4.5</v>
      </c>
      <c r="H6" s="197">
        <v>4.5</v>
      </c>
      <c r="I6" s="196">
        <v>4.7</v>
      </c>
      <c r="J6" s="197">
        <v>4.5999999999999996</v>
      </c>
      <c r="K6" s="196"/>
      <c r="L6" s="197"/>
    </row>
    <row r="7" spans="1:12" s="2" customFormat="1" ht="15" customHeight="1">
      <c r="A7" s="12">
        <v>2</v>
      </c>
      <c r="B7" s="10" t="str">
        <f>LIDER!E44</f>
        <v>DEIVER ALEXANDER FERNÁNDEZ BENÍTEZ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4.55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XAVIER ALEXANDER MENDOZA VILLAR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4.55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LUZ ARIANA ORTEGA CUESTA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4.55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DANIEL DAVID ORTEGA TORRES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4.55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8" t="str">
        <f>LIDER!$E$30</f>
        <v>Aspectos Legales, Tributarios, Administrativos, Macroeconómicos, Aduaneros, Tecnológicos e Internacionales Que Definen El Perfil De Ecopetrol S.A En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ANDRES FELIPE ARRIETA MEDINA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3.7500000000000004</v>
      </c>
      <c r="F13" s="199">
        <v>3.5</v>
      </c>
      <c r="G13" s="196">
        <v>4</v>
      </c>
      <c r="H13" s="197">
        <v>4</v>
      </c>
      <c r="I13" s="196">
        <v>3</v>
      </c>
      <c r="J13" s="197">
        <v>4.5</v>
      </c>
      <c r="K13" s="196"/>
      <c r="L13" s="197"/>
    </row>
    <row r="14" spans="1:12" s="2" customFormat="1" ht="15" customHeight="1">
      <c r="A14" s="12">
        <v>2</v>
      </c>
      <c r="B14" s="10" t="str">
        <f>LIDER!F44</f>
        <v>SHARITH DANIELA PABA ARRIETA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3.7500000000000004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MARYURI PUERTA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3.7500000000000004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ANDREA CAROLINA SAMUDIO HOYOS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3.7500000000000004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8" t="str">
        <f>LIDER!$E$31</f>
        <v>Identificar Los Aspectos Legales, Tributarios, Administrativos, Macroeconómicos, Aduaneros, Tecnológicos e Internacionales Que Definen El Perfil De Colanta  En Los Negocios Internacionales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FARINA GABRIELA COGOLLO PALOMINO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3.0500000000000007</v>
      </c>
      <c r="F20" s="199">
        <v>3</v>
      </c>
      <c r="G20" s="196">
        <v>3.5</v>
      </c>
      <c r="H20" s="197">
        <v>3.5</v>
      </c>
      <c r="I20" s="196">
        <v>2</v>
      </c>
      <c r="J20" s="197">
        <v>3</v>
      </c>
      <c r="K20" s="196"/>
      <c r="L20" s="197"/>
    </row>
    <row r="21" spans="1:12" s="2" customFormat="1" ht="15" customHeight="1">
      <c r="A21" s="12">
        <v>2</v>
      </c>
      <c r="B21" s="10" t="str">
        <f>LIDER!G44</f>
        <v>JUAN CAMILO MARQUEZ GONZALEZ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3.0500000000000007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MAURO JOSE OLIVERA NAVAS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3.0500000000000007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OSCAR ANDRES PÁJARO GARCÍA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3.0500000000000007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PAZ DE LA CARIDAD VASQUEZ DE ARCO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3.0500000000000007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 t="str">
        <f>LIDER!H43</f>
        <v>JUAN CAMILO CORRALES DE LA ROSA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4.16</v>
      </c>
      <c r="F27" s="199">
        <v>4</v>
      </c>
      <c r="G27" s="196">
        <v>4</v>
      </c>
      <c r="H27" s="197">
        <v>4</v>
      </c>
      <c r="I27" s="196">
        <v>4.5</v>
      </c>
      <c r="J27" s="197">
        <v>4.5999999999999996</v>
      </c>
      <c r="K27" s="196"/>
      <c r="L27" s="197"/>
    </row>
    <row r="28" spans="1:12" s="2" customFormat="1" ht="15" customHeight="1">
      <c r="A28" s="12">
        <v>2</v>
      </c>
      <c r="B28" s="10" t="str">
        <f>LIDER!H44</f>
        <v>YORCELIS MERCADO GUERRA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4.16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 t="str">
        <f>LIDER!H45</f>
        <v>CESAR ANDRES PAJARO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4.16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 t="str">
        <f>LIDER!H46</f>
        <v>ELIAN ENRIQUE POLO SOTO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4.16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 t="str">
        <f>LIDER!H47</f>
        <v>KATERYN SOFIA SILVA PEÑATE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4.16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 t="str">
        <f>LIDER!E51</f>
        <v>ADRIAN JOSE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</v>
      </c>
      <c r="F34" s="199">
        <v>4</v>
      </c>
      <c r="G34" s="196">
        <v>4</v>
      </c>
      <c r="H34" s="197">
        <v>4.5</v>
      </c>
      <c r="I34" s="196">
        <v>4.5</v>
      </c>
      <c r="J34" s="197">
        <v>4.5</v>
      </c>
      <c r="K34" s="196"/>
      <c r="L34" s="197"/>
    </row>
    <row r="35" spans="1:12" s="2" customFormat="1" ht="15" customHeight="1">
      <c r="A35" s="12">
        <v>2</v>
      </c>
      <c r="B35" s="10" t="str">
        <f>LIDER!E52</f>
        <v>YULIETH DE JESÚS MARTÍNEZ CARRASQUILLA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 t="str">
        <f>LIDER!E53</f>
        <v>ANGELLO STIVEN ORTEGA MESINO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 t="str">
        <f>LIDER!E54</f>
        <v>THERES ENIT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 t="str">
        <f>LIDER!E55</f>
        <v>SHERLYN CAMILA VILLEGAS MEZA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4.3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8" t="str">
        <f>LIDER!$E$34</f>
        <v>Aspectos legales, tributarios, administrativos, macroeconómicos, aduaneros, tecnológicos e internacionales de la empresa Tenaris TuboCaribe en los negocios internacionales.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 t="str">
        <f>LIDER!F51</f>
        <v>DUVAN ANDRES CESPEDES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2.5500000000000003</v>
      </c>
      <c r="F41" s="199">
        <v>3</v>
      </c>
      <c r="G41" s="196">
        <v>3</v>
      </c>
      <c r="H41" s="197">
        <v>3</v>
      </c>
      <c r="I41" s="196">
        <v>1</v>
      </c>
      <c r="J41" s="197">
        <v>2.5</v>
      </c>
      <c r="K41" s="196"/>
      <c r="L41" s="197"/>
    </row>
    <row r="42" spans="1:12" s="2" customFormat="1" ht="15" customHeight="1">
      <c r="A42" s="12">
        <v>2</v>
      </c>
      <c r="B42" s="10" t="str">
        <f>LIDER!F52</f>
        <v>ISAAC MAURICIO FACIO LINCE BUSTOS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2.5500000000000003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 t="str">
        <f>LIDER!F53</f>
        <v>JHAMER LUIS MAZA RAMOS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2.5500000000000003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106</v>
      </c>
      <c r="C47" s="88" t="s">
        <v>107</v>
      </c>
      <c r="D47" s="32" t="str">
        <f>D40</f>
        <v>LIST</v>
      </c>
      <c r="E47" s="89" t="s">
        <v>95</v>
      </c>
      <c r="F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 t="str">
        <f>LIDER!G51</f>
        <v>YILIANIS DIAZ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4.3</v>
      </c>
      <c r="F48" s="199">
        <v>4</v>
      </c>
      <c r="G48" s="196">
        <v>4</v>
      </c>
      <c r="H48" s="197">
        <v>4.5</v>
      </c>
      <c r="I48" s="196">
        <v>4.5</v>
      </c>
      <c r="J48" s="197">
        <v>4.5</v>
      </c>
      <c r="K48" s="196"/>
      <c r="L48" s="197"/>
    </row>
    <row r="49" spans="1:12" s="2" customFormat="1" ht="15" customHeight="1">
      <c r="A49" s="12">
        <v>2</v>
      </c>
      <c r="B49" s="10" t="str">
        <f>LIDER!G52</f>
        <v>YORBIN HOYOS BELTRAN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4.3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 t="str">
        <f>LIDER!G53</f>
        <v>CRYSTIAN DAVID JULIO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4.3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 t="str">
        <f>LIDER!G54</f>
        <v>NATALIA ROLDAN GARCIA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4.3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95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95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95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95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89</v>
      </c>
      <c r="C82" s="88" t="s">
        <v>112</v>
      </c>
      <c r="D82" s="32" t="str">
        <f>D75</f>
        <v>LIST</v>
      </c>
      <c r="E82" s="89" t="s">
        <v>95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topLeftCell="F53" activePane="topRight" state="frozen"/>
      <selection pane="topRight" activeCell="F62" sqref="F62:J67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LIDER!H4</f>
        <v>0</v>
      </c>
      <c r="C2" s="82"/>
      <c r="D2" s="3"/>
      <c r="F2" s="203" t="s">
        <v>90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CONCATENATE(LIDER!H4," - ",LIDER!H6," - ",LIDER!H5)</f>
        <v xml:space="preserve"> -  - 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8" t="str">
        <f>LIDER!$E$29</f>
        <v xml:space="preserve">
Factores Legales, Tributarios, Macroeconómicos, Tecnológicos e Internacionales en la participación de Grupo Nutresa en los Negocios Internacionales
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SUNYMAR BARBOZA LOPEZ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9"/>
      <c r="G6" s="196"/>
      <c r="H6" s="197"/>
      <c r="I6" s="196"/>
      <c r="J6" s="197"/>
      <c r="K6" s="196"/>
      <c r="L6" s="197"/>
    </row>
    <row r="7" spans="1:12" s="2" customFormat="1" ht="15" customHeight="1">
      <c r="A7" s="12">
        <v>2</v>
      </c>
      <c r="B7" s="10" t="str">
        <f>LIDER!E44</f>
        <v>DEIVER ALEXANDER FERNÁNDEZ BENÍTEZ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XAVIER ALEXANDER MENDOZA VILLAR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LUZ ARIANA ORTEGA CUESTA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DANIEL DAVID ORTEGA TORRES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8" t="str">
        <f>LIDER!$E$30</f>
        <v>Aspectos Legales, Tributarios, Administrativos, Macroeconómicos, Aduaneros, Tecnológicos e Internacionales Que Definen El Perfil De Ecopetrol S.A En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ANDRES FELIPE ARRIETA MEDINA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9"/>
      <c r="G13" s="196"/>
      <c r="H13" s="197"/>
      <c r="I13" s="196"/>
      <c r="J13" s="197"/>
      <c r="K13" s="196"/>
      <c r="L13" s="197"/>
    </row>
    <row r="14" spans="1:12" s="2" customFormat="1" ht="15" customHeight="1">
      <c r="A14" s="12">
        <v>2</v>
      </c>
      <c r="B14" s="10" t="str">
        <f>LIDER!F44</f>
        <v>SHARITH DANIELA PABA ARRIETA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MARYURI PUERTA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ANDREA CAROLINA SAMUDIO HOYOS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8" t="str">
        <f>LIDER!$E$31</f>
        <v>Identificar Los Aspectos Legales, Tributarios, Administrativos, Macroeconómicos, Aduaneros, Tecnológicos e Internacionales Que Definen El Perfil De Colanta  En Los Negocios Internacionales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FARINA GABRIELA COGOLLO PALOMINO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 t="str">
        <f>LIDER!G44</f>
        <v>JUAN CAMILO MARQUEZ GONZALEZ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MAURO JOSE OLIVERA NAVAS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OSCAR ANDRES PÁJARO GARCÍA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PAZ DE LA CARIDAD VASQUEZ DE ARCO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 t="str">
        <f>LIDER!H43</f>
        <v>JUAN CAMILO CORRALES DE LA ROSA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 t="str">
        <f>LIDER!H44</f>
        <v>YORCELIS MERCADO GUERRA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 t="str">
        <f>LIDER!H45</f>
        <v>CESAR ANDRES PAJARO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 t="str">
        <f>LIDER!H46</f>
        <v>ELIAN ENRIQUE POLO SOTO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 t="str">
        <f>LIDER!H47</f>
        <v>KATERYN SOFIA SILVA PEÑATE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 t="str">
        <f>LIDER!E51</f>
        <v>ADRIAN JOSE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 t="str">
        <f>LIDER!E52</f>
        <v>YULIETH DE JESÚS MARTÍNEZ CARRASQUILLA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 t="str">
        <f>LIDER!E53</f>
        <v>ANGELLO STIVEN ORTEGA MESINO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 t="str">
        <f>LIDER!E54</f>
        <v>THERES ENIT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 t="str">
        <f>LIDER!E55</f>
        <v>SHERLYN CAMILA VILLEGAS MEZA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8" t="str">
        <f>LIDER!$E$34</f>
        <v>Aspectos legales, tributarios, administrativos, macroeconómicos, aduaneros, tecnológicos e internacionales de la empresa Tenaris TuboCaribe en los negocios internacionales.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 t="str">
        <f>LIDER!F51</f>
        <v>DUVAN ANDRES CESPEDES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 t="str">
        <f>LIDER!F52</f>
        <v>ISAAC MAURICIO FACIO LINCE BUSTOS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 t="str">
        <f>LIDER!F53</f>
        <v>JHAMER LUIS MAZA RAMOS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106</v>
      </c>
      <c r="C47" s="88" t="s">
        <v>107</v>
      </c>
      <c r="D47" s="32" t="str">
        <f>D40</f>
        <v>LIST</v>
      </c>
      <c r="E47" s="89" t="s">
        <v>95</v>
      </c>
      <c r="F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 t="str">
        <f>LIDER!G51</f>
        <v>YILIANIS DIAZ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 t="str">
        <f>LIDER!G52</f>
        <v>YORBIN HOYOS BELTRAN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 t="str">
        <f>LIDER!G53</f>
        <v>CRYSTIAN DAVID JULIO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 t="str">
        <f>LIDER!G54</f>
        <v>NATALIA ROLDAN GARCIA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95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95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95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95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89</v>
      </c>
      <c r="C82" s="88" t="s">
        <v>112</v>
      </c>
      <c r="D82" s="32" t="str">
        <f>D75</f>
        <v>LIST</v>
      </c>
      <c r="E82" s="89" t="s">
        <v>95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topLeftCell="F53" activePane="topRight" state="frozen"/>
      <selection pane="topRight" activeCell="F62" sqref="F62:J67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1"/>
      <c r="H1" s="202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203" t="s">
        <v>90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CONCATENATE(LIDER!I4," - ",LIDER!I6," - ",LIDER!I5)</f>
        <v xml:space="preserve"> -  - 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8" t="str">
        <f>LIDER!$E$29</f>
        <v xml:space="preserve">
Factores Legales, Tributarios, Macroeconómicos, Tecnológicos e Internacionales en la participación de Grupo Nutresa en los Negocios Internacionales
</v>
      </c>
      <c r="G5" s="198"/>
      <c r="H5" s="198"/>
      <c r="I5" s="198"/>
      <c r="J5" s="198"/>
      <c r="K5" s="198"/>
      <c r="L5" s="198"/>
    </row>
    <row r="6" spans="1:12" s="2" customFormat="1" ht="12.75">
      <c r="A6" s="9">
        <v>1</v>
      </c>
      <c r="B6" s="10" t="str">
        <f>LIDER!E43</f>
        <v>SUNYMAR BARBOZA LOPEZ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9"/>
      <c r="G6" s="196"/>
      <c r="H6" s="197"/>
      <c r="I6" s="196"/>
      <c r="J6" s="197"/>
      <c r="K6" s="196"/>
      <c r="L6" s="197"/>
    </row>
    <row r="7" spans="1:12" s="2" customFormat="1" ht="15" customHeight="1">
      <c r="A7" s="12">
        <v>2</v>
      </c>
      <c r="B7" s="10" t="str">
        <f>LIDER!E44</f>
        <v>DEIVER ALEXANDER FERNÁNDEZ BENÍTEZ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9"/>
      <c r="G7" s="196"/>
      <c r="H7" s="197"/>
      <c r="I7" s="196"/>
      <c r="J7" s="197"/>
      <c r="K7" s="196"/>
      <c r="L7" s="197"/>
    </row>
    <row r="8" spans="1:12" s="2" customFormat="1" ht="15" customHeight="1">
      <c r="A8" s="12">
        <v>3</v>
      </c>
      <c r="B8" s="10" t="str">
        <f>LIDER!E45</f>
        <v>XAVIER ALEXANDER MENDOZA VILLAR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9"/>
      <c r="G8" s="196"/>
      <c r="H8" s="197"/>
      <c r="I8" s="196"/>
      <c r="J8" s="197"/>
      <c r="K8" s="196"/>
      <c r="L8" s="197"/>
    </row>
    <row r="9" spans="1:12" s="2" customFormat="1" ht="15" customHeight="1">
      <c r="A9" s="12">
        <v>4</v>
      </c>
      <c r="B9" s="10" t="str">
        <f>LIDER!E46</f>
        <v>LUZ ARIANA ORTEGA CUESTA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9"/>
      <c r="G9" s="196"/>
      <c r="H9" s="197"/>
      <c r="I9" s="196"/>
      <c r="J9" s="197"/>
      <c r="K9" s="196"/>
      <c r="L9" s="197"/>
    </row>
    <row r="10" spans="1:12" s="2" customFormat="1" ht="15" customHeight="1">
      <c r="A10" s="12">
        <v>5</v>
      </c>
      <c r="B10" s="10" t="str">
        <f>LIDER!E47</f>
        <v>DANIEL DAVID ORTEGA TORRES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9"/>
      <c r="G10" s="196"/>
      <c r="H10" s="197"/>
      <c r="I10" s="196"/>
      <c r="J10" s="197"/>
      <c r="K10" s="196"/>
      <c r="L10" s="19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9"/>
      <c r="G11" s="196"/>
      <c r="H11" s="197"/>
      <c r="I11" s="196"/>
      <c r="J11" s="197"/>
      <c r="K11" s="196"/>
      <c r="L11" s="197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8" t="str">
        <f>LIDER!$E$30</f>
        <v>Aspectos Legales, Tributarios, Administrativos, Macroeconómicos, Aduaneros, Tecnológicos e Internacionales Que Definen El Perfil De Ecopetrol S.A En Los Negocios Internacionales</v>
      </c>
      <c r="G12" s="198"/>
      <c r="H12" s="198"/>
      <c r="I12" s="198"/>
      <c r="J12" s="198"/>
      <c r="K12" s="198"/>
      <c r="L12" s="198"/>
    </row>
    <row r="13" spans="1:12" s="2" customFormat="1" ht="12.75">
      <c r="A13" s="9">
        <v>1</v>
      </c>
      <c r="B13" s="10" t="str">
        <f>LIDER!F43</f>
        <v>ANDRES FELIPE ARRIETA MEDINA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9"/>
      <c r="G13" s="196"/>
      <c r="H13" s="197"/>
      <c r="I13" s="196"/>
      <c r="J13" s="197"/>
      <c r="K13" s="196"/>
      <c r="L13" s="197"/>
    </row>
    <row r="14" spans="1:12" s="2" customFormat="1" ht="15" customHeight="1">
      <c r="A14" s="12">
        <v>2</v>
      </c>
      <c r="B14" s="10" t="str">
        <f>LIDER!F44</f>
        <v>SHARITH DANIELA PABA ARRIETA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9"/>
      <c r="G14" s="196"/>
      <c r="H14" s="197"/>
      <c r="I14" s="196"/>
      <c r="J14" s="197"/>
      <c r="K14" s="196"/>
      <c r="L14" s="197"/>
    </row>
    <row r="15" spans="1:12" s="2" customFormat="1" ht="15" customHeight="1">
      <c r="A15" s="12">
        <v>3</v>
      </c>
      <c r="B15" s="10" t="str">
        <f>LIDER!F45</f>
        <v>MARYURI PUERTA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9"/>
      <c r="G15" s="196"/>
      <c r="H15" s="197"/>
      <c r="I15" s="196"/>
      <c r="J15" s="197"/>
      <c r="K15" s="196"/>
      <c r="L15" s="197"/>
    </row>
    <row r="16" spans="1:12" s="2" customFormat="1" ht="15" customHeight="1">
      <c r="A16" s="12">
        <v>4</v>
      </c>
      <c r="B16" s="10" t="str">
        <f>LIDER!F46</f>
        <v>ANDREA CAROLINA SAMUDIO HOYOS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9"/>
      <c r="G16" s="196"/>
      <c r="H16" s="197"/>
      <c r="I16" s="196"/>
      <c r="J16" s="197"/>
      <c r="K16" s="196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9"/>
      <c r="G17" s="196"/>
      <c r="H17" s="197"/>
      <c r="I17" s="196"/>
      <c r="J17" s="197"/>
      <c r="K17" s="196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9"/>
      <c r="G18" s="196"/>
      <c r="H18" s="197"/>
      <c r="I18" s="196"/>
      <c r="J18" s="197"/>
      <c r="K18" s="196"/>
      <c r="L18" s="197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8" t="str">
        <f>LIDER!$E$31</f>
        <v>Identificar Los Aspectos Legales, Tributarios, Administrativos, Macroeconómicos, Aduaneros, Tecnológicos e Internacionales Que Definen El Perfil De Colanta  En Los Negocios Internacionales</v>
      </c>
      <c r="G19" s="198"/>
      <c r="H19" s="198"/>
      <c r="I19" s="198"/>
      <c r="J19" s="198"/>
      <c r="K19" s="198"/>
      <c r="L19" s="198"/>
    </row>
    <row r="20" spans="1:12" s="2" customFormat="1" ht="12.75">
      <c r="A20" s="9">
        <v>1</v>
      </c>
      <c r="B20" s="10" t="str">
        <f>LIDER!G43</f>
        <v>FARINA GABRIELA COGOLLO PALOMINO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9"/>
      <c r="G20" s="196"/>
      <c r="H20" s="197"/>
      <c r="I20" s="196"/>
      <c r="J20" s="197"/>
      <c r="K20" s="196"/>
      <c r="L20" s="197"/>
    </row>
    <row r="21" spans="1:12" s="2" customFormat="1" ht="15" customHeight="1">
      <c r="A21" s="12">
        <v>2</v>
      </c>
      <c r="B21" s="10" t="str">
        <f>LIDER!G44</f>
        <v>JUAN CAMILO MARQUEZ GONZALEZ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9"/>
      <c r="G21" s="196"/>
      <c r="H21" s="197"/>
      <c r="I21" s="196"/>
      <c r="J21" s="197"/>
      <c r="K21" s="196"/>
      <c r="L21" s="197"/>
    </row>
    <row r="22" spans="1:12" s="2" customFormat="1" ht="15" customHeight="1">
      <c r="A22" s="12">
        <v>3</v>
      </c>
      <c r="B22" s="10" t="str">
        <f>LIDER!G45</f>
        <v>MAURO JOSE OLIVERA NAVAS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9"/>
      <c r="G22" s="196"/>
      <c r="H22" s="197"/>
      <c r="I22" s="196"/>
      <c r="J22" s="197"/>
      <c r="K22" s="196"/>
      <c r="L22" s="197"/>
    </row>
    <row r="23" spans="1:12" s="2" customFormat="1" ht="15" customHeight="1">
      <c r="A23" s="12">
        <v>4</v>
      </c>
      <c r="B23" s="10" t="str">
        <f>LIDER!G46</f>
        <v>OSCAR ANDRES PÁJARO GARCÍA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9"/>
      <c r="G23" s="196"/>
      <c r="H23" s="197"/>
      <c r="I23" s="196"/>
      <c r="J23" s="197"/>
      <c r="K23" s="196"/>
      <c r="L23" s="197"/>
    </row>
    <row r="24" spans="1:12" s="2" customFormat="1" ht="15" customHeight="1">
      <c r="A24" s="12">
        <v>5</v>
      </c>
      <c r="B24" s="10" t="str">
        <f>LIDER!G47</f>
        <v>MARIA PAZ DE LA CARIDAD VASQUEZ DE ARCO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9"/>
      <c r="G24" s="196"/>
      <c r="H24" s="197"/>
      <c r="I24" s="196"/>
      <c r="J24" s="197"/>
      <c r="K24" s="196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9"/>
      <c r="G25" s="196"/>
      <c r="H25" s="197"/>
      <c r="I25" s="196"/>
      <c r="J25" s="197"/>
      <c r="K25" s="196"/>
      <c r="L25" s="197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G26" s="198"/>
      <c r="H26" s="198"/>
      <c r="I26" s="198"/>
      <c r="J26" s="198"/>
      <c r="K26" s="198"/>
      <c r="L26" s="198"/>
    </row>
    <row r="27" spans="1:12" s="2" customFormat="1" ht="12.75">
      <c r="A27" s="9">
        <v>1</v>
      </c>
      <c r="B27" s="10" t="str">
        <f>LIDER!H43</f>
        <v>JUAN CAMILO CORRALES DE LA ROSA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9"/>
      <c r="G27" s="196"/>
      <c r="H27" s="197"/>
      <c r="I27" s="196"/>
      <c r="J27" s="197"/>
      <c r="K27" s="196"/>
      <c r="L27" s="197"/>
    </row>
    <row r="28" spans="1:12" s="2" customFormat="1" ht="15" customHeight="1">
      <c r="A28" s="12">
        <v>2</v>
      </c>
      <c r="B28" s="10" t="str">
        <f>LIDER!H44</f>
        <v>YORCELIS MERCADO GUERRA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9"/>
      <c r="G28" s="196"/>
      <c r="H28" s="197"/>
      <c r="I28" s="196"/>
      <c r="J28" s="197"/>
      <c r="K28" s="196"/>
      <c r="L28" s="197"/>
    </row>
    <row r="29" spans="1:12" s="2" customFormat="1" ht="15" customHeight="1">
      <c r="A29" s="12">
        <v>3</v>
      </c>
      <c r="B29" s="10" t="str">
        <f>LIDER!H45</f>
        <v>CESAR ANDRES PAJARO RAMOS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9"/>
      <c r="G29" s="196"/>
      <c r="H29" s="197"/>
      <c r="I29" s="196"/>
      <c r="J29" s="197"/>
      <c r="K29" s="196"/>
      <c r="L29" s="197"/>
    </row>
    <row r="30" spans="1:12" s="2" customFormat="1" ht="15" customHeight="1">
      <c r="A30" s="12">
        <v>4</v>
      </c>
      <c r="B30" s="10" t="str">
        <f>LIDER!H46</f>
        <v>ELIAN ENRIQUE POLO SOTO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9"/>
      <c r="G30" s="196"/>
      <c r="H30" s="197"/>
      <c r="I30" s="196"/>
      <c r="J30" s="197"/>
      <c r="K30" s="196"/>
      <c r="L30" s="197"/>
    </row>
    <row r="31" spans="1:12" s="2" customFormat="1" ht="15" customHeight="1">
      <c r="A31" s="12">
        <v>5</v>
      </c>
      <c r="B31" s="10" t="str">
        <f>LIDER!H47</f>
        <v>KATERYN SOFIA SILVA PEÑATE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9"/>
      <c r="G31" s="196"/>
      <c r="H31" s="197"/>
      <c r="I31" s="196"/>
      <c r="J31" s="197"/>
      <c r="K31" s="196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9"/>
      <c r="G32" s="196"/>
      <c r="H32" s="197"/>
      <c r="I32" s="196"/>
      <c r="J32" s="197"/>
      <c r="K32" s="196"/>
      <c r="L32" s="197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G33" s="198"/>
      <c r="H33" s="198"/>
      <c r="I33" s="198"/>
      <c r="J33" s="198"/>
      <c r="K33" s="198"/>
      <c r="L33" s="198"/>
    </row>
    <row r="34" spans="1:12" s="2" customFormat="1" ht="12.75">
      <c r="A34" s="9">
        <v>1</v>
      </c>
      <c r="B34" s="10" t="str">
        <f>LIDER!E51</f>
        <v>ADRIAN JOSE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9"/>
      <c r="G34" s="196"/>
      <c r="H34" s="197"/>
      <c r="I34" s="196"/>
      <c r="J34" s="197"/>
      <c r="K34" s="196"/>
      <c r="L34" s="197"/>
    </row>
    <row r="35" spans="1:12" s="2" customFormat="1" ht="15" customHeight="1">
      <c r="A35" s="12">
        <v>2</v>
      </c>
      <c r="B35" s="10" t="str">
        <f>LIDER!E52</f>
        <v>YULIETH DE JESÚS MARTÍNEZ CARRASQUILLA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9"/>
      <c r="G35" s="196"/>
      <c r="H35" s="197"/>
      <c r="I35" s="196"/>
      <c r="J35" s="197"/>
      <c r="K35" s="196"/>
      <c r="L35" s="197"/>
    </row>
    <row r="36" spans="1:12" s="2" customFormat="1" ht="15" customHeight="1">
      <c r="A36" s="12">
        <v>3</v>
      </c>
      <c r="B36" s="10" t="str">
        <f>LIDER!E53</f>
        <v>ANGELLO STIVEN ORTEGA MESINO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9"/>
      <c r="G36" s="196"/>
      <c r="H36" s="197"/>
      <c r="I36" s="196"/>
      <c r="J36" s="197"/>
      <c r="K36" s="196"/>
      <c r="L36" s="197"/>
    </row>
    <row r="37" spans="1:12" s="2" customFormat="1" ht="15" customHeight="1">
      <c r="A37" s="12">
        <v>4</v>
      </c>
      <c r="B37" s="10" t="str">
        <f>LIDER!E54</f>
        <v>THERES ENIT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9"/>
      <c r="G37" s="196"/>
      <c r="H37" s="197"/>
      <c r="I37" s="196"/>
      <c r="J37" s="197"/>
      <c r="K37" s="196"/>
      <c r="L37" s="197"/>
    </row>
    <row r="38" spans="1:12" s="2" customFormat="1" ht="15" customHeight="1">
      <c r="A38" s="12">
        <v>5</v>
      </c>
      <c r="B38" s="10" t="str">
        <f>LIDER!E55</f>
        <v>SHERLYN CAMILA VILLEGAS MEZA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9"/>
      <c r="G38" s="196"/>
      <c r="H38" s="197"/>
      <c r="I38" s="196"/>
      <c r="J38" s="197"/>
      <c r="K38" s="196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9"/>
      <c r="G39" s="196"/>
      <c r="H39" s="197"/>
      <c r="I39" s="196"/>
      <c r="J39" s="197"/>
      <c r="K39" s="196"/>
      <c r="L39" s="197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8" t="str">
        <f>LIDER!$E$34</f>
        <v>Aspectos legales, tributarios, administrativos, macroeconómicos, aduaneros, tecnológicos e internacionales de la empresa Tenaris TuboCaribe en los negocios internacionales.</v>
      </c>
      <c r="G40" s="198"/>
      <c r="H40" s="198"/>
      <c r="I40" s="198"/>
      <c r="J40" s="198"/>
      <c r="K40" s="198"/>
      <c r="L40" s="198"/>
    </row>
    <row r="41" spans="1:12" s="2" customFormat="1" ht="12.75">
      <c r="A41" s="9">
        <v>1</v>
      </c>
      <c r="B41" s="10" t="str">
        <f>LIDER!F51</f>
        <v>DUVAN ANDRES CESPEDES PEREZ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9"/>
      <c r="G41" s="196"/>
      <c r="H41" s="197"/>
      <c r="I41" s="196"/>
      <c r="J41" s="197"/>
      <c r="K41" s="196"/>
      <c r="L41" s="197"/>
    </row>
    <row r="42" spans="1:12" s="2" customFormat="1" ht="15" customHeight="1">
      <c r="A42" s="12">
        <v>2</v>
      </c>
      <c r="B42" s="10" t="str">
        <f>LIDER!F52</f>
        <v>ISAAC MAURICIO FACIO LINCE BUSTOS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9"/>
      <c r="G42" s="196"/>
      <c r="H42" s="197"/>
      <c r="I42" s="196"/>
      <c r="J42" s="197"/>
      <c r="K42" s="196"/>
      <c r="L42" s="197"/>
    </row>
    <row r="43" spans="1:12" s="2" customFormat="1" ht="15" customHeight="1">
      <c r="A43" s="12">
        <v>3</v>
      </c>
      <c r="B43" s="10" t="str">
        <f>LIDER!F53</f>
        <v>JHAMER LUIS MAZA RAMOS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9"/>
      <c r="G43" s="196"/>
      <c r="H43" s="197"/>
      <c r="I43" s="196"/>
      <c r="J43" s="197"/>
      <c r="K43" s="196"/>
      <c r="L43" s="19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9"/>
      <c r="G44" s="196"/>
      <c r="H44" s="197"/>
      <c r="I44" s="196"/>
      <c r="J44" s="197"/>
      <c r="K44" s="196"/>
      <c r="L44" s="19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9"/>
      <c r="G45" s="196"/>
      <c r="H45" s="197"/>
      <c r="I45" s="196"/>
      <c r="J45" s="197"/>
      <c r="K45" s="196"/>
      <c r="L45" s="19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9"/>
      <c r="G46" s="196"/>
      <c r="H46" s="197"/>
      <c r="I46" s="196"/>
      <c r="J46" s="197"/>
      <c r="K46" s="196"/>
      <c r="L46" s="197"/>
    </row>
    <row r="47" spans="1:12" s="2" customFormat="1" ht="15.75" customHeight="1">
      <c r="A47" s="14"/>
      <c r="B47" s="25" t="s">
        <v>106</v>
      </c>
      <c r="C47" s="88" t="s">
        <v>107</v>
      </c>
      <c r="D47" s="32" t="str">
        <f>D40</f>
        <v>LIST</v>
      </c>
      <c r="E47" s="89" t="s">
        <v>95</v>
      </c>
      <c r="F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G47" s="198"/>
      <c r="H47" s="198"/>
      <c r="I47" s="198"/>
      <c r="J47" s="198"/>
      <c r="K47" s="198"/>
      <c r="L47" s="198"/>
    </row>
    <row r="48" spans="1:12" s="2" customFormat="1" ht="12.75">
      <c r="A48" s="9">
        <v>1</v>
      </c>
      <c r="B48" s="10" t="str">
        <f>LIDER!G51</f>
        <v>YILIANIS DIAZ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9"/>
      <c r="G48" s="196"/>
      <c r="H48" s="197"/>
      <c r="I48" s="196"/>
      <c r="J48" s="197"/>
      <c r="K48" s="196"/>
      <c r="L48" s="197"/>
    </row>
    <row r="49" spans="1:12" s="2" customFormat="1" ht="15" customHeight="1">
      <c r="A49" s="12">
        <v>2</v>
      </c>
      <c r="B49" s="10" t="str">
        <f>LIDER!G52</f>
        <v>YORBIN HOYOS BELTRAN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9"/>
      <c r="G49" s="196"/>
      <c r="H49" s="197"/>
      <c r="I49" s="196"/>
      <c r="J49" s="197"/>
      <c r="K49" s="196"/>
      <c r="L49" s="197"/>
    </row>
    <row r="50" spans="1:12" s="2" customFormat="1" ht="15" customHeight="1">
      <c r="A50" s="12">
        <v>3</v>
      </c>
      <c r="B50" s="10" t="str">
        <f>LIDER!G53</f>
        <v>CRYSTIAN DAVID JULIO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9"/>
      <c r="G50" s="196"/>
      <c r="H50" s="197"/>
      <c r="I50" s="196"/>
      <c r="J50" s="197"/>
      <c r="K50" s="196"/>
      <c r="L50" s="197"/>
    </row>
    <row r="51" spans="1:12" s="2" customFormat="1" ht="15" customHeight="1">
      <c r="A51" s="12">
        <v>4</v>
      </c>
      <c r="B51" s="10" t="str">
        <f>LIDER!G54</f>
        <v>NATALIA ROLDAN GARCIA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9"/>
      <c r="G51" s="196"/>
      <c r="H51" s="197"/>
      <c r="I51" s="196"/>
      <c r="J51" s="197"/>
      <c r="K51" s="196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9"/>
      <c r="G52" s="196"/>
      <c r="H52" s="197"/>
      <c r="I52" s="196"/>
      <c r="J52" s="197"/>
      <c r="K52" s="196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9"/>
      <c r="G53" s="196"/>
      <c r="H53" s="197"/>
      <c r="I53" s="196"/>
      <c r="J53" s="197"/>
      <c r="K53" s="196"/>
      <c r="L53" s="197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95</v>
      </c>
      <c r="F54" s="198" t="str">
        <f>LIDER!$E$36</f>
        <v>GRUPO#8</v>
      </c>
      <c r="G54" s="198"/>
      <c r="H54" s="198"/>
      <c r="I54" s="198"/>
      <c r="J54" s="198"/>
      <c r="K54" s="198"/>
      <c r="L54" s="19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9"/>
      <c r="G55" s="196"/>
      <c r="H55" s="197"/>
      <c r="I55" s="196"/>
      <c r="J55" s="197"/>
      <c r="K55" s="196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9"/>
      <c r="G56" s="196"/>
      <c r="H56" s="197"/>
      <c r="I56" s="196"/>
      <c r="J56" s="197"/>
      <c r="K56" s="196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9"/>
      <c r="G57" s="196"/>
      <c r="H57" s="197"/>
      <c r="I57" s="196"/>
      <c r="J57" s="197"/>
      <c r="K57" s="196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9"/>
      <c r="G58" s="196"/>
      <c r="H58" s="197"/>
      <c r="I58" s="196"/>
      <c r="J58" s="197"/>
      <c r="K58" s="196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9"/>
      <c r="G59" s="196"/>
      <c r="H59" s="197"/>
      <c r="I59" s="196"/>
      <c r="J59" s="197"/>
      <c r="K59" s="196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9"/>
      <c r="G60" s="196"/>
      <c r="H60" s="197"/>
      <c r="I60" s="196"/>
      <c r="J60" s="197"/>
      <c r="K60" s="196"/>
      <c r="L60" s="197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95</v>
      </c>
      <c r="F61" s="198" t="str">
        <f>LIDER!$E$37</f>
        <v>GRUPO#9</v>
      </c>
      <c r="G61" s="198"/>
      <c r="H61" s="198"/>
      <c r="I61" s="198"/>
      <c r="J61" s="198"/>
      <c r="K61" s="198"/>
      <c r="L61" s="19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9"/>
      <c r="G62" s="196"/>
      <c r="H62" s="197"/>
      <c r="I62" s="196"/>
      <c r="J62" s="197"/>
      <c r="K62" s="196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9"/>
      <c r="G63" s="196"/>
      <c r="H63" s="197"/>
      <c r="I63" s="196"/>
      <c r="J63" s="197"/>
      <c r="K63" s="196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9"/>
      <c r="G64" s="196"/>
      <c r="H64" s="197"/>
      <c r="I64" s="196"/>
      <c r="J64" s="197"/>
      <c r="K64" s="196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9"/>
      <c r="G65" s="196"/>
      <c r="H65" s="197"/>
      <c r="I65" s="196"/>
      <c r="J65" s="197"/>
      <c r="K65" s="196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9"/>
      <c r="G66" s="196"/>
      <c r="H66" s="197"/>
      <c r="I66" s="196"/>
      <c r="J66" s="197"/>
      <c r="K66" s="196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9"/>
      <c r="G67" s="196"/>
      <c r="H67" s="197"/>
      <c r="I67" s="196"/>
      <c r="J67" s="197"/>
      <c r="K67" s="196"/>
      <c r="L67" s="197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95</v>
      </c>
      <c r="F68" s="198" t="str">
        <f>LIDER!$E$38</f>
        <v>GRUPO#10</v>
      </c>
      <c r="G68" s="198"/>
      <c r="H68" s="198"/>
      <c r="I68" s="198"/>
      <c r="J68" s="198"/>
      <c r="K68" s="198"/>
      <c r="L68" s="19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9"/>
      <c r="G69" s="196"/>
      <c r="H69" s="197"/>
      <c r="I69" s="196"/>
      <c r="J69" s="197"/>
      <c r="K69" s="196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9"/>
      <c r="G70" s="196"/>
      <c r="H70" s="197"/>
      <c r="I70" s="196"/>
      <c r="J70" s="197"/>
      <c r="K70" s="196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9"/>
      <c r="G71" s="196"/>
      <c r="H71" s="197"/>
      <c r="I71" s="196"/>
      <c r="J71" s="197"/>
      <c r="K71" s="196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9"/>
      <c r="G72" s="196"/>
      <c r="H72" s="197"/>
      <c r="I72" s="196"/>
      <c r="J72" s="197"/>
      <c r="K72" s="196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9"/>
      <c r="G73" s="196"/>
      <c r="H73" s="197"/>
      <c r="I73" s="196"/>
      <c r="J73" s="197"/>
      <c r="K73" s="196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9"/>
      <c r="G74" s="196"/>
      <c r="H74" s="197"/>
      <c r="I74" s="196"/>
      <c r="J74" s="197"/>
      <c r="K74" s="196"/>
      <c r="L74" s="197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95</v>
      </c>
      <c r="F75" s="198" t="str">
        <f>LIDER!$E$39</f>
        <v>GRUPO#11</v>
      </c>
      <c r="G75" s="198"/>
      <c r="H75" s="198"/>
      <c r="I75" s="198"/>
      <c r="J75" s="198"/>
      <c r="K75" s="198"/>
      <c r="L75" s="19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9"/>
      <c r="G76" s="196"/>
      <c r="H76" s="197"/>
      <c r="I76" s="196"/>
      <c r="J76" s="197"/>
      <c r="K76" s="196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9"/>
      <c r="G77" s="196"/>
      <c r="H77" s="197"/>
      <c r="I77" s="196"/>
      <c r="J77" s="197"/>
      <c r="K77" s="196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9"/>
      <c r="G78" s="196"/>
      <c r="H78" s="197"/>
      <c r="I78" s="196"/>
      <c r="J78" s="197"/>
      <c r="K78" s="196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9"/>
      <c r="G79" s="196"/>
      <c r="H79" s="197"/>
      <c r="I79" s="196"/>
      <c r="J79" s="197"/>
      <c r="K79" s="196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9"/>
      <c r="G80" s="196"/>
      <c r="H80" s="197"/>
      <c r="I80" s="196"/>
      <c r="J80" s="197"/>
      <c r="K80" s="196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9"/>
      <c r="G81" s="196"/>
      <c r="H81" s="197"/>
      <c r="I81" s="196"/>
      <c r="J81" s="197"/>
      <c r="K81" s="196"/>
      <c r="L81" s="197"/>
    </row>
    <row r="82" spans="1:12" s="2" customFormat="1" ht="15.75" customHeight="1">
      <c r="A82" s="14"/>
      <c r="B82" s="25" t="s">
        <v>89</v>
      </c>
      <c r="C82" s="88" t="s">
        <v>112</v>
      </c>
      <c r="D82" s="32" t="str">
        <f>D75</f>
        <v>LIST</v>
      </c>
      <c r="E82" s="89" t="s">
        <v>95</v>
      </c>
      <c r="F82" s="198" t="str">
        <f>LIDER!$E$40</f>
        <v>GRUPO#12</v>
      </c>
      <c r="G82" s="198"/>
      <c r="H82" s="198"/>
      <c r="I82" s="198"/>
      <c r="J82" s="198"/>
      <c r="K82" s="198"/>
      <c r="L82" s="19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9"/>
      <c r="G83" s="196"/>
      <c r="H83" s="197"/>
      <c r="I83" s="196"/>
      <c r="J83" s="197"/>
      <c r="K83" s="196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9"/>
      <c r="G84" s="196"/>
      <c r="H84" s="197"/>
      <c r="I84" s="196"/>
      <c r="J84" s="197"/>
      <c r="K84" s="196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9"/>
      <c r="G85" s="196"/>
      <c r="H85" s="197"/>
      <c r="I85" s="196"/>
      <c r="J85" s="197"/>
      <c r="K85" s="196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9"/>
      <c r="G86" s="196"/>
      <c r="H86" s="197"/>
      <c r="I86" s="196"/>
      <c r="J86" s="197"/>
      <c r="K86" s="196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9"/>
      <c r="G87" s="196"/>
      <c r="H87" s="197"/>
      <c r="I87" s="196"/>
      <c r="J87" s="197"/>
      <c r="K87" s="196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7"/>
      <c r="G88" s="208"/>
      <c r="H88" s="209"/>
      <c r="I88" s="208"/>
      <c r="J88" s="209"/>
      <c r="K88" s="208"/>
      <c r="L88" s="209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TECNOLOGIA APLICADA</v>
      </c>
      <c r="C2" s="3"/>
      <c r="E2" s="216" t="s">
        <v>90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CONCATENATE(LIDER!C4," - ",LIDER!C6," - ",LIDER!C5)</f>
        <v>TECNOLOGIA APLICADA - 2246 - ARMANDO ACOSTA JULIO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92</v>
      </c>
      <c r="C5" s="32" t="str">
        <f>IF('S-ASIG-01'!D5="","",'S-ASIG-01'!D5)</f>
        <v>LIST</v>
      </c>
      <c r="D5" s="35" t="s">
        <v>95</v>
      </c>
      <c r="E5" s="215" t="str">
        <f>LIDER!$E$29</f>
        <v xml:space="preserve">
Factores Legales, Tributarios, Macroeconómicos, Tecnológicos e Internacionales en la participación de Grupo Nutresa en los Negocios Internacionales
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SUNYMAR BARBOZA LOPEZ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1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DEIVER ALEXANDER FERNÁNDEZ BENÍTEZ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1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XAVIER ALEXANDER MENDOZA VILLAR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1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LUZ ARIANA ORTEGA CUESTA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1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DANIEL DAVID ORTEGA TORRES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1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IF('S-ASIG-01'!D12="","",'S-ASIG-01'!D12)</f>
        <v>LIST</v>
      </c>
      <c r="D12" s="35" t="s">
        <v>95</v>
      </c>
      <c r="E12" s="215" t="str">
        <f>LIDER!$E$30</f>
        <v>Aspectos Legales, Tributarios, Administrativos, Macroeconómicos, Aduaneros, Tecnológicos e Internacionales Que Definen El Perfil De Ecopetrol S.A En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ANDRES FELIPE ARRIETA MEDINA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1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SHARITH DANIELA PABA ARRIETA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1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MARYURI PUERTA GOMEZ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1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ANDREA CAROLINA SAMUDIO HOYOS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1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1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IF('S-ASIG-01'!D19="","",'S-ASIG-01'!D19)</f>
        <v>LIST</v>
      </c>
      <c r="D19" s="35" t="s">
        <v>95</v>
      </c>
      <c r="E19" s="215" t="str">
        <f>LIDER!$E$31</f>
        <v>Identificar Los Aspectos Legales, Tributarios, Administrativos, Macroeconómicos, Aduaneros, Tecnológicos e Internacionales Que Definen El Perfil De Colanta  En Los Negocios Internacionales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FARINA GABRIELA COGOLLO PALOMINO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1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CAMILO MARQUEZ GONZALEZ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1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MAURO JOSE OLIVERA NAVAS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1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OSCAR ANDRES PÁJARO GARCÍA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1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PAZ DE LA CARIDAD VASQUEZ DE ARCO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1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IF('S-ASIG-01'!D26="","",'S-ASIG-01'!D26)</f>
        <v>LIST</v>
      </c>
      <c r="D26" s="35" t="s">
        <v>95</v>
      </c>
      <c r="E26" s="215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 t="str">
        <f>LIDER!H43</f>
        <v>JUAN CAMILO CORRALES DE LA ROSA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1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YORCELIS MERCADO GUERRA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1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CESAR ANDRES PAJARO RAMOS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1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ELIAN ENRIQUE POLO SOTO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1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KATERYN SOFIA SILVA PEÑATE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1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IF('S-ASIG-01'!D33="","",'S-ASIG-01'!D33)</f>
        <v>LIST</v>
      </c>
      <c r="D33" s="35" t="s">
        <v>95</v>
      </c>
      <c r="E33" s="215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 t="str">
        <f>LIDER!E51</f>
        <v>ADRIAN JOSE MARRIAGA MUÑOZ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1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YULIETH DE JESÚS MARTÍNEZ CARRASQUILLA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1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ANGELLO STIVEN ORTEGA MESINO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1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ENIT THERAN CAICEDO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1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SHERLYN CAMILA VILLEGAS MEZA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1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IF('S-ASIG-01'!D40="","",'S-ASIG-01'!D40)</f>
        <v>LIST</v>
      </c>
      <c r="D40" s="35" t="s">
        <v>95</v>
      </c>
      <c r="E40" s="215" t="str">
        <f>LIDER!$E$34</f>
        <v>Aspectos legales, tributarios, administrativos, macroeconómicos, aduaneros, tecnológicos e internacionales de la empresa Tenaris TuboCaribe en los negocios internacionales.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 t="str">
        <f>LIDER!F51</f>
        <v>DUVAN ANDRES CESPEDES PEREZ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1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ISAAC MAURICIO FACIO LINCE BUSTOS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1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JHAMER LUIS MAZA RAMOS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1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106</v>
      </c>
      <c r="C47" s="32" t="str">
        <f>IF('S-ASIG-01'!D47="","",'S-ASIG-01'!D47)</f>
        <v>LIST</v>
      </c>
      <c r="D47" s="35" t="s">
        <v>95</v>
      </c>
      <c r="E47" s="215" t="str">
        <f>LIDER!$E$35</f>
        <v>Aspectos legales, tributarios, Administrativos, Macroeconómicos, Aduaneros, Tecnológicos e Internacionales que definen el perfil de la empresa THE ELITE FLOWER SAS CI en los negocios internacionales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 t="str">
        <f>LIDER!G51</f>
        <v>YILIANIS DIAZ MARTINEZ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1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YORBIN HOYOS BELTRAN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1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CRYSTIAN DAVID JULIO SARMIENTO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1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NATALIA ROLDAN GARCIA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0</v>
      </c>
      <c r="E51" s="21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IF('S-ASIG-01'!D54="","",'S-ASIG-01'!D54)</f>
        <v>LIST</v>
      </c>
      <c r="D54" s="35" t="s">
        <v>95</v>
      </c>
      <c r="E54" s="215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IF('S-ASIG-01'!D61="","",'S-ASIG-01'!D61)</f>
        <v>LIST</v>
      </c>
      <c r="D61" s="35" t="s">
        <v>95</v>
      </c>
      <c r="E61" s="215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IF('S-ASIG-01'!D68="","",'S-ASIG-01'!D68)</f>
        <v>LIST</v>
      </c>
      <c r="D68" s="35" t="s">
        <v>95</v>
      </c>
      <c r="E68" s="215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IF('S-ASIG-01'!D75="","",'S-ASIG-01'!D75)</f>
        <v>LIST</v>
      </c>
      <c r="D75" s="35" t="s">
        <v>95</v>
      </c>
      <c r="E75" s="215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IF('S-ASIG-01'!D82="","",'S-ASIG-01'!D82)</f>
        <v>LIST</v>
      </c>
      <c r="D82" s="35" t="s">
        <v>95</v>
      </c>
      <c r="E82" s="215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1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INTERNACIONALIZACION</v>
      </c>
      <c r="C2" s="3"/>
      <c r="E2" s="216" t="s">
        <v>90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CONCATENATE(LIDER!D4," - ",LIDER!D6," - ",LIDER!D5)</f>
        <v>INTERNACIONALIZACION - 2345 - TATIANA MILENA ROJAS AROCA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92</v>
      </c>
      <c r="C5" s="34" t="str">
        <f>IF('S-ASIG-02'!D5="","",'S-ASIG-02'!D5)</f>
        <v>LIST</v>
      </c>
      <c r="D5" s="35" t="s">
        <v>95</v>
      </c>
      <c r="E5" s="198" t="str">
        <f>LIDER!$E$29</f>
        <v xml:space="preserve">
Factores Legales, Tributarios, Macroeconómicos, Tecnológicos e Internacionales en la participación de Grupo Nutresa en los Negocios Internacionales
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SUNYMAR BARBOZA LOPEZ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DEIVER ALEXANDER FERNÁNDEZ BENÍTEZ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XAVIER ALEXANDER MENDOZA VILLAR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LUZ ARIANA ORTEGA CUESTA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DANIEL DAVID ORTEGA TORRES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IF('S-ASIG-02'!D12="","",'S-ASIG-02'!D12)</f>
        <v>LIST</v>
      </c>
      <c r="D12" s="35" t="s">
        <v>95</v>
      </c>
      <c r="E12" s="198" t="str">
        <f>LIDER!$E$30</f>
        <v>Aspectos Legales, Tributarios, Administrativos, Macroeconómicos, Aduaneros, Tecnológicos e Internacionales Que Definen El Perfil De Ecopetrol S.A En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ANDRES FELIPE ARRIETA MEDINA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SHARITH DANIELA PABA ARRIETA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MARYURI PUERTA GOMEZ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ANDREA CAROLINA SAMUDIO HOYOS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IF('S-ASIG-02'!D19="","",'S-ASIG-02'!D19)</f>
        <v>LIST</v>
      </c>
      <c r="D19" s="35" t="s">
        <v>95</v>
      </c>
      <c r="E19" s="198" t="str">
        <f>LIDER!$E$31</f>
        <v>Identificar Los Aspectos Legales, Tributarios, Administrativos, Macroeconómicos, Aduaneros, Tecnológicos e Internacionales Que Definen El Perfil De Colanta  En Los Negocios Internacionales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FARINA GABRIELA COGOLLO PALOMINO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CAMILO MARQUEZ GONZALEZ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MAURO JOSE OLIVERA NAVAS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OSCAR ANDRES PÁJARO GARCÍA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PAZ DE LA CARIDAD VASQUEZ DE ARCO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IF('S-ASIG-02'!D26="","",'S-ASIG-02'!D26)</f>
        <v>LIST</v>
      </c>
      <c r="D26" s="35" t="s">
        <v>95</v>
      </c>
      <c r="E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 t="str">
        <f>LIDER!H43</f>
        <v>JUAN CAMILO CORRALES DE LA ROSA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YORCELIS MERCADO GUERRA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CESAR ANDRES PAJARO RAMOS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ELIAN ENRIQUE POLO SOTO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KATERYN SOFIA SILVA PEÑATE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IF('S-ASIG-02'!D33="","",'S-ASIG-02'!D33)</f>
        <v>LIST</v>
      </c>
      <c r="D33" s="35" t="s">
        <v>95</v>
      </c>
      <c r="E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 t="str">
        <f>LIDER!E51</f>
        <v>ADRIAN JOSE MARRIAGA MUÑOZ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YULIETH DE JESÚS MARTÍNEZ CARRASQUILLA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ANGELLO STIVEN ORTEGA MESINO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ENIT THERAN CAICEDO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SHERLYN CAMILA VILLEGAS MEZA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IF('S-ASIG-02'!D40="","",'S-ASIG-02'!D40)</f>
        <v>LIST</v>
      </c>
      <c r="D40" s="35" t="s">
        <v>95</v>
      </c>
      <c r="E40" s="198" t="str">
        <f>LIDER!$E$34</f>
        <v>Aspectos legales, tributarios, administrativos, macroeconómicos, aduaneros, tecnológicos e internacionales de la empresa Tenaris TuboCaribe en los negocios internacionales.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 t="str">
        <f>LIDER!F51</f>
        <v>DUVAN ANDRES CESPEDES PEREZ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ISAAC MAURICIO FACIO LINCE BUSTOS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JHAMER LUIS MAZA RAMOS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106</v>
      </c>
      <c r="C47" s="32" t="str">
        <f>IF('S-ASIG-02'!D47="","",'S-ASIG-02'!D47)</f>
        <v>LIST</v>
      </c>
      <c r="D47" s="35" t="s">
        <v>95</v>
      </c>
      <c r="E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 t="str">
        <f>LIDER!G51</f>
        <v>YILIANIS DIAZ MARTINEZ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YORBIN HOYOS BELTRAN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CRYSTIAN DAVID JULIO SARMIENTO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NATALIA ROLDAN GARCIA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0</v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IF('S-ASIG-02'!D54="","",'S-ASIG-02'!D54)</f>
        <v>LIST</v>
      </c>
      <c r="D54" s="35" t="s">
        <v>95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IF('S-ASIG-02'!D61="","",'S-ASIG-02'!D61)</f>
        <v>LIST</v>
      </c>
      <c r="D61" s="35" t="s">
        <v>95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IF('S-ASIG-02'!D68="","",'S-ASIG-02'!D68)</f>
        <v>LIST</v>
      </c>
      <c r="D68" s="35" t="s">
        <v>95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IF('S-ASIG-02'!D75="","",'S-ASIG-02'!D75)</f>
        <v>LIST</v>
      </c>
      <c r="D75" s="35" t="s">
        <v>95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IF('S-ASIG-02'!D82="","",'S-ASIG-02'!D82)</f>
        <v>LIST</v>
      </c>
      <c r="D82" s="35" t="s">
        <v>95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LEGISLACION PARA EL COMERCIO</v>
      </c>
      <c r="C2" s="3"/>
      <c r="E2" s="216" t="s">
        <v>90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CONCATENATE(LIDER!E4," - ",LIDER!E6," - ",LIDER!E5)</f>
        <v>LEGISLACION PARA EL COMERCIO - 2350 - HAROLD ANTONIO CUADRO VELASQUEZ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92</v>
      </c>
      <c r="C5" s="34" t="str">
        <f>IF('S-ASIG-03'!D5="","",'S-ASIG-03'!D5)</f>
        <v>LIST</v>
      </c>
      <c r="D5" s="35" t="s">
        <v>95</v>
      </c>
      <c r="E5" s="198" t="str">
        <f>LIDER!$E$29</f>
        <v xml:space="preserve">
Factores Legales, Tributarios, Macroeconómicos, Tecnológicos e Internacionales en la participación de Grupo Nutresa en los Negocios Internacionales
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SUNYMAR BARBOZA LOPEZ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DEIVER ALEXANDER FERNÁNDEZ BENÍTEZ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XAVIER ALEXANDER MENDOZA VILLAR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LUZ ARIANA ORTEGA CUESTA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DANIEL DAVID ORTEGA TORRES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IF('S-ASIG-03'!D12="","",'S-ASIG-03'!D12)</f>
        <v>LIST</v>
      </c>
      <c r="D12" s="35" t="s">
        <v>95</v>
      </c>
      <c r="E12" s="198" t="str">
        <f>LIDER!$E$30</f>
        <v>Aspectos Legales, Tributarios, Administrativos, Macroeconómicos, Aduaneros, Tecnológicos e Internacionales Que Definen El Perfil De Ecopetrol S.A En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ANDRES FELIPE ARRIETA MEDINA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SHARITH DANIELA PABA ARRIETA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MARYURI PUERTA GOMEZ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ANDREA CAROLINA SAMUDIO HOYOS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IF('S-ASIG-03'!D19="","",'S-ASIG-03'!D19)</f>
        <v>LIST</v>
      </c>
      <c r="D19" s="35" t="s">
        <v>95</v>
      </c>
      <c r="E19" s="198" t="str">
        <f>LIDER!$E$31</f>
        <v>Identificar Los Aspectos Legales, Tributarios, Administrativos, Macroeconómicos, Aduaneros, Tecnológicos e Internacionales Que Definen El Perfil De Colanta  En Los Negocios Internacionales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FARINA GABRIELA COGOLLO PALOMINO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CAMILO MARQUEZ GONZALEZ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MAURO JOSE OLIVERA NAVAS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OSCAR ANDRES PÁJARO GARCÍA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PAZ DE LA CARIDAD VASQUEZ DE ARCO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IF('S-ASIG-03'!D26="","",'S-ASIG-03'!D26)</f>
        <v>LIST</v>
      </c>
      <c r="D26" s="35" t="s">
        <v>95</v>
      </c>
      <c r="E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 t="str">
        <f>LIDER!H43</f>
        <v>JUAN CAMILO CORRALES DE LA ROSA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YORCELIS MERCADO GUERRA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CESAR ANDRES PAJARO RAMOS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ELIAN ENRIQUE POLO SOTO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KATERYN SOFIA SILVA PEÑATE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IF('S-ASIG-03'!D33="","",'S-ASIG-03'!D33)</f>
        <v>LIST</v>
      </c>
      <c r="D33" s="35" t="s">
        <v>95</v>
      </c>
      <c r="E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 t="str">
        <f>LIDER!E51</f>
        <v>ADRIAN JOSE MARRIAGA MUÑOZ</v>
      </c>
      <c r="C34" s="33" t="str">
        <f>IF('S-ASIG-03'!D34="","",'S-ASIG-03'!D34)</f>
        <v>N</v>
      </c>
      <c r="D34" s="30" t="str">
        <f>IF(B34=0,"",IF(C34="",$E$34*LIDER!$H$19+F34*LIDER!$H$20+G34*LIDER!$H$21+H34*LIDER!$H$22+I34*LIDER!$H$23+J34*LIDER!$H$24+K34*LIDER!$H$25,"N"))</f>
        <v>N</v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YULIETH DE JESÚS MARTÍNEZ CARRASQUILLA</v>
      </c>
      <c r="C35" s="33" t="str">
        <f>IF('S-ASIG-03'!D35="","",'S-ASIG-03'!D35)</f>
        <v>N</v>
      </c>
      <c r="D35" s="30" t="str">
        <f>IF(B35=0,"",IF(C35="",$E$34*LIDER!$H$19+F35*LIDER!$H$20+G35*LIDER!$H$21+H35*LIDER!$H$22+I35*LIDER!$H$23+J35*LIDER!$H$24+K35*LIDER!$H$25,"N"))</f>
        <v>N</v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ANGELLO STIVEN ORTEGA MESINO</v>
      </c>
      <c r="C36" s="33" t="str">
        <f>IF('S-ASIG-03'!D36="","",'S-ASIG-03'!D36)</f>
        <v>N</v>
      </c>
      <c r="D36" s="30" t="str">
        <f>IF(B36=0,"",IF(C36="",$E$34*LIDER!$H$19+F36*LIDER!$H$20+G36*LIDER!$H$21+H36*LIDER!$H$22+I36*LIDER!$H$23+J36*LIDER!$H$24+K36*LIDER!$H$25,"N"))</f>
        <v>N</v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ENIT THERAN CAICEDO</v>
      </c>
      <c r="C37" s="33" t="str">
        <f>IF('S-ASIG-03'!D37="","",'S-ASIG-03'!D37)</f>
        <v>N</v>
      </c>
      <c r="D37" s="30" t="str">
        <f>IF(B37=0,"",IF(C37="",$E$34*LIDER!$H$19+F37*LIDER!$H$20+G37*LIDER!$H$21+H37*LIDER!$H$22+I37*LIDER!$H$23+J37*LIDER!$H$24+K37*LIDER!$H$25,"N"))</f>
        <v>N</v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SHERLYN CAMILA VILLEGAS MEZA</v>
      </c>
      <c r="C38" s="33" t="str">
        <f>IF('S-ASIG-03'!D38="","",'S-ASIG-03'!D38)</f>
        <v>N</v>
      </c>
      <c r="D38" s="30" t="str">
        <f>IF(B38=0,"",IF(C38="",$E$34*LIDER!$H$19+F38*LIDER!$H$20+G38*LIDER!$H$21+H38*LIDER!$H$22+I38*LIDER!$H$23+J38*LIDER!$H$24+K38*LIDER!$H$25,"N"))</f>
        <v>N</v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IF('S-ASIG-03'!D40="","",'S-ASIG-03'!D40)</f>
        <v>LIST</v>
      </c>
      <c r="D40" s="35" t="s">
        <v>95</v>
      </c>
      <c r="E40" s="198" t="str">
        <f>LIDER!$E$34</f>
        <v>Aspectos legales, tributarios, administrativos, macroeconómicos, aduaneros, tecnológicos e internacionales de la empresa Tenaris TuboCaribe en los negocios internacionales.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 t="str">
        <f>LIDER!F51</f>
        <v>DUVAN ANDRES CESPEDES PEREZ</v>
      </c>
      <c r="C41" s="33" t="str">
        <f>IF('S-ASIG-03'!D41="","",'S-ASIG-03'!D41)</f>
        <v>N</v>
      </c>
      <c r="D41" s="30" t="str">
        <f>IF(B41=0,"",IF(C41="",$E$41*LIDER!$H$19+F41*LIDER!$H$20+G41*LIDER!$H$21+H41*LIDER!$H$22+I41*LIDER!$H$23+J41*LIDER!$H$24+K41*LIDER!$H$25,"N"))</f>
        <v>N</v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ISAAC MAURICIO FACIO LINCE BUSTOS</v>
      </c>
      <c r="C42" s="33" t="str">
        <f>IF('S-ASIG-03'!D42="","",'S-ASIG-03'!D42)</f>
        <v>N</v>
      </c>
      <c r="D42" s="30" t="str">
        <f>IF(B42=0,"",IF(C42="",$E$41*LIDER!$H$19+F42*LIDER!$H$20+G42*LIDER!$H$21+H42*LIDER!$H$22+I42*LIDER!$H$23+J42*LIDER!$H$24+K42*LIDER!$H$25,"N"))</f>
        <v>N</v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JHAMER LUIS MAZA RAMOS</v>
      </c>
      <c r="C43" s="33" t="str">
        <f>IF('S-ASIG-03'!D43="","",'S-ASIG-03'!D43)</f>
        <v>N</v>
      </c>
      <c r="D43" s="30" t="str">
        <f>IF(B43=0,"",IF(C43="",$E$41*LIDER!$H$19+F43*LIDER!$H$20+G43*LIDER!$H$21+H43*LIDER!$H$22+I43*LIDER!$H$23+J43*LIDER!$H$24+K43*LIDER!$H$25,"N"))</f>
        <v>N</v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106</v>
      </c>
      <c r="C47" s="32" t="str">
        <f>IF('S-ASIG-03'!D47="","",'S-ASIG-03'!D47)</f>
        <v>LIST</v>
      </c>
      <c r="D47" s="35" t="s">
        <v>95</v>
      </c>
      <c r="E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 t="str">
        <f>LIDER!G51</f>
        <v>YILIANIS DIAZ MARTINEZ</v>
      </c>
      <c r="C48" s="33" t="str">
        <f>IF('S-ASIG-03'!D48="","",'S-ASIG-03'!D48)</f>
        <v>N</v>
      </c>
      <c r="D48" s="30" t="str">
        <f>IF(B48=0,"",IF(C48="",$E$48*LIDER!$H$19+F48*LIDER!$H$20+G48*LIDER!$H$21+H48*LIDER!$H$22+I48*LIDER!$H$23+J48*LIDER!$H$24+K48*LIDER!$H$25,"N"))</f>
        <v>N</v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YORBIN HOYOS BELTRAN</v>
      </c>
      <c r="C49" s="33" t="str">
        <f>IF('S-ASIG-03'!D49="","",'S-ASIG-03'!D49)</f>
        <v>N</v>
      </c>
      <c r="D49" s="30" t="str">
        <f>IF(B49=0,"",IF(C49="",$E$48*LIDER!$H$19+F49*LIDER!$H$20+G49*LIDER!$H$21+H49*LIDER!$H$22+I49*LIDER!$H$23+J49*LIDER!$H$24+K49*LIDER!$H$25,"N"))</f>
        <v>N</v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CRYSTIAN DAVID JULIO SARMIENTO</v>
      </c>
      <c r="C50" s="33" t="str">
        <f>IF('S-ASIG-03'!D50="","",'S-ASIG-03'!D50)</f>
        <v>N</v>
      </c>
      <c r="D50" s="30" t="str">
        <f>IF(B50=0,"",IF(C50="",$E$48*LIDER!$H$19+F50*LIDER!$H$20+G50*LIDER!$H$21+H50*LIDER!$H$22+I50*LIDER!$H$23+J50*LIDER!$H$24+K50*LIDER!$H$25,"N"))</f>
        <v>N</v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NATALIA ROLDAN GARCIA</v>
      </c>
      <c r="C51" s="33" t="str">
        <f>IF('S-ASIG-03'!D51="","",'S-ASIG-03'!D51)</f>
        <v>N</v>
      </c>
      <c r="D51" s="30" t="str">
        <f>IF(B51=0,"",IF(C51="",$E$48*LIDER!$H$19+F51*LIDER!$H$20+G51*LIDER!$H$21+H51*LIDER!$H$22+I51*LIDER!$H$23+J51*LIDER!$H$24+K51*LIDER!$H$25,"N"))</f>
        <v>N</v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IF('S-ASIG-03'!D54="","",'S-ASIG-03'!D54)</f>
        <v>LIST</v>
      </c>
      <c r="D54" s="35" t="s">
        <v>95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IF('S-ASIG-03'!D61="","",'S-ASIG-03'!D61)</f>
        <v>LIST</v>
      </c>
      <c r="D61" s="35" t="s">
        <v>95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IF('S-ASIG-03'!D68="","",'S-ASIG-03'!D68)</f>
        <v>LIST</v>
      </c>
      <c r="D68" s="35" t="s">
        <v>95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IF('S-ASIG-03'!D75="","",'S-ASIG-03'!D75)</f>
        <v>LIST</v>
      </c>
      <c r="D75" s="35" t="s">
        <v>95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IF('S-ASIG-03'!D82="","",'S-ASIG-03'!D82)</f>
        <v>LIST</v>
      </c>
      <c r="D82" s="35" t="s">
        <v>95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MACROECONOMÍA</v>
      </c>
      <c r="C2" s="3"/>
      <c r="E2" s="216" t="s">
        <v>90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CONCATENATE(LIDER!F4," - ",LIDER!F6," - ",LIDER!F5)</f>
        <v>MACROECONOMÍA - 1494 - ZILLAH EUGENIA CANTILLO ALTAMIRANDA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92</v>
      </c>
      <c r="C5" s="34" t="str">
        <f>IF('S-ASIG-04'!D5="","",'S-ASIG-04'!D5)</f>
        <v>LIST</v>
      </c>
      <c r="D5" s="35" t="s">
        <v>95</v>
      </c>
      <c r="E5" s="198" t="str">
        <f>LIDER!$E$29</f>
        <v xml:space="preserve">
Factores Legales, Tributarios, Macroeconómicos, Tecnológicos e Internacionales en la participación de Grupo Nutresa en los Negocios Internacionales
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SUNYMAR BARBOZA LOPEZ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DEIVER ALEXANDER FERNÁNDEZ BENÍTEZ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XAVIER ALEXANDER MENDOZA VILLAR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LUZ ARIANA ORTEGA CUESTA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DANIEL DAVID ORTEGA TORRES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IF('S-ASIG-04'!D12="","",'S-ASIG-04'!D12)</f>
        <v>LIST</v>
      </c>
      <c r="D12" s="35" t="s">
        <v>95</v>
      </c>
      <c r="E12" s="198" t="str">
        <f>LIDER!$E$30</f>
        <v>Aspectos Legales, Tributarios, Administrativos, Macroeconómicos, Aduaneros, Tecnológicos e Internacionales Que Definen El Perfil De Ecopetrol S.A En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ANDRES FELIPE ARRIETA MEDINA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SHARITH DANIELA PABA ARRIETA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MARYURI PUERTA GOMEZ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ANDREA CAROLINA SAMUDIO HOYOS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IF('S-ASIG-04'!D19="","",'S-ASIG-04'!D19)</f>
        <v>LIST</v>
      </c>
      <c r="D19" s="35" t="s">
        <v>95</v>
      </c>
      <c r="E19" s="198" t="str">
        <f>LIDER!$E$31</f>
        <v>Identificar Los Aspectos Legales, Tributarios, Administrativos, Macroeconómicos, Aduaneros, Tecnológicos e Internacionales Que Definen El Perfil De Colanta  En Los Negocios Internacionales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FARINA GABRIELA COGOLLO PALOMINO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CAMILO MARQUEZ GONZALEZ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MAURO JOSE OLIVERA NAVAS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OSCAR ANDRES PÁJARO GARCÍA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PAZ DE LA CARIDAD VASQUEZ DE ARCO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IF('S-ASIG-04'!D26="","",'S-ASIG-04'!D26)</f>
        <v>LIST</v>
      </c>
      <c r="D26" s="35" t="s">
        <v>95</v>
      </c>
      <c r="E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 t="str">
        <f>LIDER!H43</f>
        <v>JUAN CAMILO CORRALES DE LA ROSA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YORCELIS MERCADO GUERRA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CESAR ANDRES PAJARO RAMOS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ELIAN ENRIQUE POLO SOTO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KATERYN SOFIA SILVA PEÑATE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IF('S-ASIG-04'!D33="","",'S-ASIG-04'!D33)</f>
        <v>LIST</v>
      </c>
      <c r="D33" s="35" t="s">
        <v>95</v>
      </c>
      <c r="E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 t="str">
        <f>LIDER!E51</f>
        <v>ADRIAN JOSE MARRIAGA MUÑOZ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YULIETH DE JESÚS MARTÍNEZ CARRASQUILLA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ANGELLO STIVEN ORTEGA MESINO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ENIT THERAN CAICEDO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SHERLYN CAMILA VILLEGAS MEZA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IF('S-ASIG-04'!D40="","",'S-ASIG-04'!D40)</f>
        <v>LIST</v>
      </c>
      <c r="D40" s="35" t="s">
        <v>95</v>
      </c>
      <c r="E40" s="198" t="str">
        <f>LIDER!$E$34</f>
        <v>Aspectos legales, tributarios, administrativos, macroeconómicos, aduaneros, tecnológicos e internacionales de la empresa Tenaris TuboCaribe en los negocios internacionales.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 t="str">
        <f>LIDER!F51</f>
        <v>DUVAN ANDRES CESPEDES PEREZ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ISAAC MAURICIO FACIO LINCE BUSTOS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JHAMER LUIS MAZA RAMOS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106</v>
      </c>
      <c r="C47" s="32" t="str">
        <f>IF('S-ASIG-04'!D47="","",'S-ASIG-04'!D47)</f>
        <v>LIST</v>
      </c>
      <c r="D47" s="35" t="s">
        <v>95</v>
      </c>
      <c r="E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 t="str">
        <f>LIDER!G51</f>
        <v>YILIANIS DIAZ MARTINEZ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YORBIN HOYOS BELTRAN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CRYSTIAN DAVID JULIO SARMIENTO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NATALIA ROLDAN GARCIA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0</v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IF('S-ASIG-04'!D54="","",'S-ASIG-04'!D54)</f>
        <v>LIST</v>
      </c>
      <c r="D54" s="35" t="s">
        <v>95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IF('S-ASIG-04'!D61="","",'S-ASIG-04'!D61)</f>
        <v>LIST</v>
      </c>
      <c r="D61" s="35" t="s">
        <v>95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IF('S-ASIG-04'!D68="","",'S-ASIG-04'!D68)</f>
        <v>LIST</v>
      </c>
      <c r="D68" s="35" t="s">
        <v>95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IF('S-ASIG-04'!D75="","",'S-ASIG-04'!D75)</f>
        <v>LIST</v>
      </c>
      <c r="D75" s="35" t="s">
        <v>95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IF('S-ASIG-04'!D82="","",'S-ASIG-04'!D82)</f>
        <v>LIST</v>
      </c>
      <c r="D82" s="35" t="s">
        <v>95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MATEMÁTICAS FINANCIERAS</v>
      </c>
      <c r="C2" s="3"/>
      <c r="E2" s="216" t="s">
        <v>90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CONCATENATE(LIDER!G4," - ",LIDER!G6," - ",LIDER!G5)</f>
        <v>MATEMÁTICAS FINANCIERAS - 1362 - JAVIER MARTINEZ PEREZ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92</v>
      </c>
      <c r="C5" s="34" t="str">
        <f>IF('S-ASIG-05'!D5="","",'S-ASIG-05'!D5)</f>
        <v>LIST</v>
      </c>
      <c r="D5" s="35" t="s">
        <v>95</v>
      </c>
      <c r="E5" s="198" t="str">
        <f>LIDER!$E$29</f>
        <v xml:space="preserve">
Factores Legales, Tributarios, Macroeconómicos, Tecnológicos e Internacionales en la participación de Grupo Nutresa en los Negocios Internacionales
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SUNYMAR BARBOZA LOPEZ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DEIVER ALEXANDER FERNÁNDEZ BENÍTEZ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XAVIER ALEXANDER MENDOZA VILLAR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LUZ ARIANA ORTEGA CUESTA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DANIEL DAVID ORTEGA TORRES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IF('S-ASIG-05'!D12="","",'S-ASIG-05'!D12)</f>
        <v>LIST</v>
      </c>
      <c r="D12" s="35" t="s">
        <v>95</v>
      </c>
      <c r="E12" s="198" t="str">
        <f>LIDER!$E$30</f>
        <v>Aspectos Legales, Tributarios, Administrativos, Macroeconómicos, Aduaneros, Tecnológicos e Internacionales Que Definen El Perfil De Ecopetrol S.A En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ANDRES FELIPE ARRIETA MEDINA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SHARITH DANIELA PABA ARRIETA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MARYURI PUERTA GOMEZ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ANDREA CAROLINA SAMUDIO HOYOS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IF('S-ASIG-05'!D19="","",'S-ASIG-05'!D19)</f>
        <v>LIST</v>
      </c>
      <c r="D19" s="35" t="s">
        <v>95</v>
      </c>
      <c r="E19" s="198" t="str">
        <f>LIDER!$E$31</f>
        <v>Identificar Los Aspectos Legales, Tributarios, Administrativos, Macroeconómicos, Aduaneros, Tecnológicos e Internacionales Que Definen El Perfil De Colanta  En Los Negocios Internacionales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FARINA GABRIELA COGOLLO PALOMINO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CAMILO MARQUEZ GONZALEZ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MAURO JOSE OLIVERA NAVAS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OSCAR ANDRES PÁJARO GARCÍA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PAZ DE LA CARIDAD VASQUEZ DE ARCO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IF('S-ASIG-05'!D26="","",'S-ASIG-05'!D26)</f>
        <v>LIST</v>
      </c>
      <c r="D26" s="35" t="s">
        <v>95</v>
      </c>
      <c r="E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 t="str">
        <f>LIDER!H43</f>
        <v>JUAN CAMILO CORRALES DE LA ROSA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YORCELIS MERCADO GUERRA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CESAR ANDRES PAJARO RAMOS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ELIAN ENRIQUE POLO SOTO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KATERYN SOFIA SILVA PEÑATE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IF('S-ASIG-05'!D33="","",'S-ASIG-05'!D33)</f>
        <v>LIST</v>
      </c>
      <c r="D33" s="35" t="s">
        <v>95</v>
      </c>
      <c r="E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 t="str">
        <f>LIDER!E51</f>
        <v>ADRIAN JOSE MARRIAGA MUÑOZ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YULIETH DE JESÚS MARTÍNEZ CARRASQUILLA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ANGELLO STIVEN ORTEGA MESINO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ENIT THERAN CAICEDO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SHERLYN CAMILA VILLEGAS MEZA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IF('S-ASIG-05'!D40="","",'S-ASIG-05'!D40)</f>
        <v>LIST</v>
      </c>
      <c r="D40" s="35" t="s">
        <v>95</v>
      </c>
      <c r="E40" s="198" t="str">
        <f>LIDER!$E$34</f>
        <v>Aspectos legales, tributarios, administrativos, macroeconómicos, aduaneros, tecnológicos e internacionales de la empresa Tenaris TuboCaribe en los negocios internacionales.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 t="str">
        <f>LIDER!F51</f>
        <v>DUVAN ANDRES CESPEDES PEREZ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ISAAC MAURICIO FACIO LINCE BUSTOS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JHAMER LUIS MAZA RAMOS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106</v>
      </c>
      <c r="C47" s="32" t="str">
        <f>IF('S-ASIG-05'!D47="","",'S-ASIG-05'!D47)</f>
        <v>LIST</v>
      </c>
      <c r="D47" s="35" t="s">
        <v>95</v>
      </c>
      <c r="E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 t="str">
        <f>LIDER!G51</f>
        <v>YILIANIS DIAZ MARTINEZ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YORBIN HOYOS BELTRAN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CRYSTIAN DAVID JULIO SARMIENTO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NATALIA ROLDAN GARCIA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0</v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IF('S-ASIG-05'!D54="","",'S-ASIG-05'!D54)</f>
        <v>LIST</v>
      </c>
      <c r="D54" s="35" t="s">
        <v>95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IF('S-ASIG-05'!D61="","",'S-ASIG-05'!D61)</f>
        <v>LIST</v>
      </c>
      <c r="D61" s="35" t="s">
        <v>95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IF('S-ASIG-05'!D68="","",'S-ASIG-05'!D68)</f>
        <v>LIST</v>
      </c>
      <c r="D68" s="35" t="s">
        <v>95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IF('S-ASIG-05'!D75="","",'S-ASIG-05'!D75)</f>
        <v>LIST</v>
      </c>
      <c r="D75" s="35" t="s">
        <v>95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IF('S-ASIG-05'!D82="","",'S-ASIG-05'!D82)</f>
        <v>LIST</v>
      </c>
      <c r="D82" s="35" t="s">
        <v>95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LIDER!H4</f>
        <v>0</v>
      </c>
      <c r="C2" s="3"/>
      <c r="E2" s="216" t="s">
        <v>90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CONCATENATE(LIDER!H4," - ",LIDER!H6," - ",LIDER!H5)</f>
        <v xml:space="preserve"> -  - 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92</v>
      </c>
      <c r="C5" s="34" t="str">
        <f>IF('S-ASIG-06'!D5="","",'S-ASIG-06'!D5)</f>
        <v>LIST</v>
      </c>
      <c r="D5" s="35" t="s">
        <v>95</v>
      </c>
      <c r="E5" s="198" t="str">
        <f>LIDER!$E$29</f>
        <v xml:space="preserve">
Factores Legales, Tributarios, Macroeconómicos, Tecnológicos e Internacionales en la participación de Grupo Nutresa en los Negocios Internacionales
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SUNYMAR BARBOZA LOPEZ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DEIVER ALEXANDER FERNÁNDEZ BENÍTEZ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XAVIER ALEXANDER MENDOZA VILLAR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LUZ ARIANA ORTEGA CUESTA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DANIEL DAVID ORTEGA TORRES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IF('S-ASIG-06'!D12="","",'S-ASIG-06'!D12)</f>
        <v>LIST</v>
      </c>
      <c r="D12" s="35" t="s">
        <v>95</v>
      </c>
      <c r="E12" s="198" t="str">
        <f>LIDER!$E$30</f>
        <v>Aspectos Legales, Tributarios, Administrativos, Macroeconómicos, Aduaneros, Tecnológicos e Internacionales Que Definen El Perfil De Ecopetrol S.A En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ANDRES FELIPE ARRIETA MEDINA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SHARITH DANIELA PABA ARRIETA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MARYURI PUERTA GOMEZ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ANDREA CAROLINA SAMUDIO HOYOS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IF('S-ASIG-06'!D19="","",'S-ASIG-06'!D19)</f>
        <v>LIST</v>
      </c>
      <c r="D19" s="35" t="s">
        <v>95</v>
      </c>
      <c r="E19" s="198" t="str">
        <f>LIDER!$E$31</f>
        <v>Identificar Los Aspectos Legales, Tributarios, Administrativos, Macroeconómicos, Aduaneros, Tecnológicos e Internacionales Que Definen El Perfil De Colanta  En Los Negocios Internacionales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FARINA GABRIELA COGOLLO PALOMINO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CAMILO MARQUEZ GONZALEZ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MAURO JOSE OLIVERA NAVAS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OSCAR ANDRES PÁJARO GARCÍA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PAZ DE LA CARIDAD VASQUEZ DE ARCO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IF('S-ASIG-06'!D26="","",'S-ASIG-06'!D26)</f>
        <v>LIST</v>
      </c>
      <c r="D26" s="35" t="s">
        <v>95</v>
      </c>
      <c r="E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 t="str">
        <f>LIDER!H43</f>
        <v>JUAN CAMILO CORRALES DE LA ROSA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YORCELIS MERCADO GUERRA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CESAR ANDRES PAJARO RAMOS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ELIAN ENRIQUE POLO SOTO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KATERYN SOFIA SILVA PEÑATE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IF('S-ASIG-06'!D33="","",'S-ASIG-06'!D33)</f>
        <v>LIST</v>
      </c>
      <c r="D33" s="35" t="s">
        <v>95</v>
      </c>
      <c r="E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 t="str">
        <f>LIDER!E51</f>
        <v>ADRIAN JOSE MARRIAGA MUÑOZ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YULIETH DE JESÚS MARTÍNEZ CARRASQUILLA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ANGELLO STIVEN ORTEGA MESINO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ENIT THERAN CAICEDO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SHERLYN CAMILA VILLEGAS MEZA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IF('S-ASIG-06'!D40="","",'S-ASIG-06'!D40)</f>
        <v>LIST</v>
      </c>
      <c r="D40" s="35" t="s">
        <v>95</v>
      </c>
      <c r="E40" s="198" t="str">
        <f>LIDER!$E$34</f>
        <v>Aspectos legales, tributarios, administrativos, macroeconómicos, aduaneros, tecnológicos e internacionales de la empresa Tenaris TuboCaribe en los negocios internacionales.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 t="str">
        <f>LIDER!F51</f>
        <v>DUVAN ANDRES CESPEDES PEREZ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ISAAC MAURICIO FACIO LINCE BUSTOS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JHAMER LUIS MAZA RAMOS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106</v>
      </c>
      <c r="C47" s="32" t="str">
        <f>IF('S-ASIG-06'!D47="","",'S-ASIG-06'!D47)</f>
        <v>LIST</v>
      </c>
      <c r="D47" s="35" t="s">
        <v>95</v>
      </c>
      <c r="E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 t="str">
        <f>LIDER!G51</f>
        <v>YILIANIS DIAZ MARTINEZ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YORBIN HOYOS BELTRAN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CRYSTIAN DAVID JULIO SARMIENTO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NATALIA ROLDAN GARCIA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0</v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IF('S-ASIG-06'!D54="","",'S-ASIG-06'!D54)</f>
        <v>LIST</v>
      </c>
      <c r="D54" s="35" t="s">
        <v>95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IF('S-ASIG-06'!D61="","",'S-ASIG-06'!D61)</f>
        <v>LIST</v>
      </c>
      <c r="D61" s="35" t="s">
        <v>95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IF('S-ASIG-06'!D68="","",'S-ASIG-06'!D68)</f>
        <v>LIST</v>
      </c>
      <c r="D68" s="35" t="s">
        <v>95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IF('S-ASIG-06'!D75="","",'S-ASIG-06'!D75)</f>
        <v>LIST</v>
      </c>
      <c r="D75" s="35" t="s">
        <v>95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IF('S-ASIG-06'!D82="","",'S-ASIG-06'!D82)</f>
        <v>LIST</v>
      </c>
      <c r="D82" s="35" t="s">
        <v>95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0" t="str">
        <f>LIDER!B2</f>
        <v>TECNOLOGÍA EN GESTIÓN DE NEGOCIOS INTERN</v>
      </c>
      <c r="B1" s="201"/>
      <c r="C1" s="201"/>
      <c r="D1" s="201"/>
      <c r="E1" s="201"/>
      <c r="F1" s="201"/>
      <c r="G1" s="202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16" t="s">
        <v>90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CONCATENATE(LIDER!I4," - ",LIDER!I6," - ",LIDER!I5)</f>
        <v xml:space="preserve"> -  - 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92</v>
      </c>
      <c r="C5" s="34" t="str">
        <f>IF('S-ASIG-07'!D5="","",'S-ASIG-07'!D5)</f>
        <v>LIST</v>
      </c>
      <c r="D5" s="35" t="s">
        <v>95</v>
      </c>
      <c r="E5" s="198" t="str">
        <f>LIDER!$E$29</f>
        <v xml:space="preserve">
Factores Legales, Tributarios, Macroeconómicos, Tecnológicos e Internacionales en la participación de Grupo Nutresa en los Negocios Internacionales
</v>
      </c>
      <c r="F5" s="198"/>
      <c r="G5" s="198"/>
      <c r="H5" s="198"/>
      <c r="I5" s="198"/>
      <c r="J5" s="198"/>
      <c r="K5" s="198"/>
    </row>
    <row r="6" spans="1:11" s="2" customFormat="1" ht="12.75">
      <c r="A6" s="9">
        <v>1</v>
      </c>
      <c r="B6" s="28" t="str">
        <f>LIDER!E43</f>
        <v>SUNYMAR BARBOZA LOPEZ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DEIVER ALEXANDER FERNÁNDEZ BENÍTEZ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XAVIER ALEXANDER MENDOZA VILLAR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LUZ ARIANA ORTEGA CUESTA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DANIEL DAVID ORTEGA TORRES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IF('S-ASIG-07'!D12="","",'S-ASIG-07'!D12)</f>
        <v>LIST</v>
      </c>
      <c r="D12" s="35" t="s">
        <v>95</v>
      </c>
      <c r="E12" s="198" t="str">
        <f>LIDER!$E$30</f>
        <v>Aspectos Legales, Tributarios, Administrativos, Macroeconómicos, Aduaneros, Tecnológicos e Internacionales Que Definen El Perfil De Ecopetrol S.A En Los Negocios Internacionales</v>
      </c>
      <c r="F12" s="198"/>
      <c r="G12" s="198"/>
      <c r="H12" s="198"/>
      <c r="I12" s="198"/>
      <c r="J12" s="198"/>
      <c r="K12" s="198"/>
    </row>
    <row r="13" spans="1:11" s="2" customFormat="1" ht="12.75">
      <c r="A13" s="9">
        <v>1</v>
      </c>
      <c r="B13" s="28" t="str">
        <f>LIDER!F43</f>
        <v>ANDRES FELIPE ARRIETA MEDINA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SHARITH DANIELA PABA ARRIETA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MARYURI PUERTA GOMEZ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ANDREA CAROLINA SAMUDIO HOYOS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IF('S-ASIG-07'!D19="","",'S-ASIG-07'!D19)</f>
        <v>LIST</v>
      </c>
      <c r="D19" s="35" t="s">
        <v>95</v>
      </c>
      <c r="E19" s="198" t="str">
        <f>LIDER!$E$31</f>
        <v>Identificar Los Aspectos Legales, Tributarios, Administrativos, Macroeconómicos, Aduaneros, Tecnológicos e Internacionales Que Definen El Perfil De Colanta  En Los Negocios Internacionales</v>
      </c>
      <c r="F19" s="198"/>
      <c r="G19" s="198"/>
      <c r="H19" s="198"/>
      <c r="I19" s="198"/>
      <c r="J19" s="198"/>
      <c r="K19" s="198"/>
    </row>
    <row r="20" spans="1:11" s="2" customFormat="1" ht="12.75">
      <c r="A20" s="9">
        <v>1</v>
      </c>
      <c r="B20" s="28" t="str">
        <f>LIDER!G43</f>
        <v>FARINA GABRIELA COGOLLO PALOMINO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JUAN CAMILO MARQUEZ GONZALEZ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MAURO JOSE OLIVERA NAVAS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OSCAR ANDRES PÁJARO GARCÍA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PAZ DE LA CARIDAD VASQUEZ DE ARCO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IF('S-ASIG-07'!D26="","",'S-ASIG-07'!D26)</f>
        <v>LIST</v>
      </c>
      <c r="D26" s="35" t="s">
        <v>95</v>
      </c>
      <c r="E26" s="198" t="str">
        <f>LIDER!$E$32</f>
        <v xml:space="preserve">Aspectos Legales, Tributarios, Administrativos, Macroeconómicos, Aduaneros, Tecnológicos e Internacionales que definen el perfil el perfil de la empresa Federación Nacional Cafetera en los negocios internacionales.
</v>
      </c>
      <c r="F26" s="198"/>
      <c r="G26" s="198"/>
      <c r="H26" s="198"/>
      <c r="I26" s="198"/>
      <c r="J26" s="198"/>
      <c r="K26" s="198"/>
    </row>
    <row r="27" spans="1:11" s="2" customFormat="1" ht="12.75">
      <c r="A27" s="9">
        <v>1</v>
      </c>
      <c r="B27" s="28" t="str">
        <f>LIDER!H43</f>
        <v>JUAN CAMILO CORRALES DE LA ROSA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YORCELIS MERCADO GUERRA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CESAR ANDRES PAJARO RAMOS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ELIAN ENRIQUE POLO SOTO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KATERYN SOFIA SILVA PEÑATE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IF('S-ASIG-07'!D33="","",'S-ASIG-07'!D33)</f>
        <v>LIST</v>
      </c>
      <c r="D33" s="35" t="s">
        <v>95</v>
      </c>
      <c r="E33" s="198" t="str">
        <f>LIDER!$E$33</f>
        <v xml:space="preserve"> Aspectos legales, tributarios, administrativos, macroeconómicos, aduaneros, tecnológicos e internacionales que definen el perfil de Procafecol S.A. (Juan Valdez) en los negocios internacionales
</v>
      </c>
      <c r="F33" s="198"/>
      <c r="G33" s="198"/>
      <c r="H33" s="198"/>
      <c r="I33" s="198"/>
      <c r="J33" s="198"/>
      <c r="K33" s="198"/>
    </row>
    <row r="34" spans="1:11" s="2" customFormat="1" ht="12.75">
      <c r="A34" s="9">
        <v>1</v>
      </c>
      <c r="B34" s="28" t="str">
        <f>LIDER!E51</f>
        <v>ADRIAN JOSE MARRIAGA MUÑOZ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YULIETH DE JESÚS MARTÍNEZ CARRASQUILLA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ANGELLO STIVEN ORTEGA MESINO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ENIT THERAN CAICEDO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SHERLYN CAMILA VILLEGAS MEZA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9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IF('S-ASIG-07'!D40="","",'S-ASIG-07'!D40)</f>
        <v>LIST</v>
      </c>
      <c r="D40" s="35" t="s">
        <v>95</v>
      </c>
      <c r="E40" s="198" t="str">
        <f>LIDER!$E$34</f>
        <v>Aspectos legales, tributarios, administrativos, macroeconómicos, aduaneros, tecnológicos e internacionales de la empresa Tenaris TuboCaribe en los negocios internacionales.</v>
      </c>
      <c r="F40" s="198"/>
      <c r="G40" s="198"/>
      <c r="H40" s="198"/>
      <c r="I40" s="198"/>
      <c r="J40" s="198"/>
      <c r="K40" s="198"/>
    </row>
    <row r="41" spans="1:11" s="2" customFormat="1" ht="12.75">
      <c r="A41" s="9">
        <v>1</v>
      </c>
      <c r="B41" s="28" t="str">
        <f>LIDER!F51</f>
        <v>DUVAN ANDRES CESPEDES PEREZ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ISAAC MAURICIO FACIO LINCE BUSTOS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JHAMER LUIS MAZA RAMOS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106</v>
      </c>
      <c r="C47" s="32" t="str">
        <f>IF('S-ASIG-07'!D47="","",'S-ASIG-07'!D47)</f>
        <v>LIST</v>
      </c>
      <c r="D47" s="35" t="s">
        <v>95</v>
      </c>
      <c r="E47" s="198" t="str">
        <f>LIDER!$E$35</f>
        <v>Aspectos legales, tributarios, Administrativos, Macroeconómicos, Aduaneros, Tecnológicos e Internacionales que definen el perfil de la empresa THE ELITE FLOWER SAS CI en los negocios internacionales</v>
      </c>
      <c r="F47" s="198"/>
      <c r="G47" s="198"/>
      <c r="H47" s="198"/>
      <c r="I47" s="198"/>
      <c r="J47" s="198"/>
      <c r="K47" s="198"/>
    </row>
    <row r="48" spans="1:11" s="2" customFormat="1" ht="12.75">
      <c r="A48" s="9">
        <v>1</v>
      </c>
      <c r="B48" s="28" t="str">
        <f>LIDER!G51</f>
        <v>YILIANIS DIAZ MARTINEZ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YORBIN HOYOS BELTRAN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CRYSTIAN DAVID JULIO SARMIENTO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NATALIA ROLDAN GARCIA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9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IF('S-ASIG-07'!D54="","",'S-ASIG-07'!D54)</f>
        <v>LIST</v>
      </c>
      <c r="D54" s="35" t="s">
        <v>95</v>
      </c>
      <c r="E54" s="198" t="str">
        <f>LIDER!$E$36</f>
        <v>GRUPO#8</v>
      </c>
      <c r="F54" s="198"/>
      <c r="G54" s="198"/>
      <c r="H54" s="198"/>
      <c r="I54" s="198"/>
      <c r="J54" s="198"/>
      <c r="K54" s="198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IF('S-ASIG-07'!D61="","",'S-ASIG-07'!D61)</f>
        <v>LIST</v>
      </c>
      <c r="D61" s="35" t="s">
        <v>95</v>
      </c>
      <c r="E61" s="198" t="str">
        <f>LIDER!$E$37</f>
        <v>GRUPO#9</v>
      </c>
      <c r="F61" s="198"/>
      <c r="G61" s="198"/>
      <c r="H61" s="198"/>
      <c r="I61" s="198"/>
      <c r="J61" s="198"/>
      <c r="K61" s="198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IF('S-ASIG-07'!D68="","",'S-ASIG-07'!D68)</f>
        <v>LIST</v>
      </c>
      <c r="D68" s="35" t="s">
        <v>95</v>
      </c>
      <c r="E68" s="198" t="str">
        <f>LIDER!$E$38</f>
        <v>GRUPO#10</v>
      </c>
      <c r="F68" s="198"/>
      <c r="G68" s="198"/>
      <c r="H68" s="198"/>
      <c r="I68" s="198"/>
      <c r="J68" s="198"/>
      <c r="K68" s="198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IF('S-ASIG-07'!D75="","",'S-ASIG-07'!D75)</f>
        <v>LIST</v>
      </c>
      <c r="D75" s="35" t="s">
        <v>95</v>
      </c>
      <c r="E75" s="198" t="str">
        <f>LIDER!$E$39</f>
        <v>GRUPO#11</v>
      </c>
      <c r="F75" s="198"/>
      <c r="G75" s="198"/>
      <c r="H75" s="198"/>
      <c r="I75" s="198"/>
      <c r="J75" s="198"/>
      <c r="K75" s="198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IF('S-ASIG-07'!D82="","",'S-ASIG-07'!D82)</f>
        <v>LIST</v>
      </c>
      <c r="D82" s="35" t="s">
        <v>95</v>
      </c>
      <c r="E82" s="198" t="str">
        <f>LIDER!$E$40</f>
        <v>GRUPO#12</v>
      </c>
      <c r="F82" s="198"/>
      <c r="G82" s="198"/>
      <c r="H82" s="198"/>
      <c r="I82" s="198"/>
      <c r="J82" s="198"/>
      <c r="K82" s="198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 activeCell="B35" sqref="B35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SEM-03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142" t="s">
        <v>114</v>
      </c>
      <c r="H2" s="143"/>
      <c r="I2" s="143"/>
      <c r="J2" s="143"/>
      <c r="K2" s="143"/>
      <c r="L2" s="143"/>
      <c r="M2" s="144"/>
      <c r="N2" s="2"/>
      <c r="O2" s="147" t="s">
        <v>115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2246</v>
      </c>
      <c r="H3" s="49" t="str">
        <f>CONCATENATE("N° : ",LIDER!D6)</f>
        <v>N° : 2345</v>
      </c>
      <c r="I3" s="49" t="str">
        <f>CONCATENATE("N° : ",LIDER!E6)</f>
        <v>N° : 2350</v>
      </c>
      <c r="J3" s="49" t="str">
        <f>CONCATENATE("N° : ",LIDER!F6)</f>
        <v>N° : 1494</v>
      </c>
      <c r="K3" s="49" t="str">
        <f>CONCATENATE("N° : ",LIDER!G6)</f>
        <v>N° : 1362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2246</v>
      </c>
      <c r="P3" s="49" t="str">
        <f t="shared" ref="P3:U3" si="0">H3</f>
        <v>N° : 2345</v>
      </c>
      <c r="Q3" s="49" t="str">
        <f t="shared" si="0"/>
        <v>N° : 2350</v>
      </c>
      <c r="R3" s="49" t="str">
        <f t="shared" si="0"/>
        <v>N° : 1494</v>
      </c>
      <c r="S3" s="49" t="str">
        <f t="shared" si="0"/>
        <v>N° : 1362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116</v>
      </c>
      <c r="D4" s="54" t="s">
        <v>117</v>
      </c>
      <c r="E4" s="55" t="s">
        <v>118</v>
      </c>
      <c r="G4" s="56" t="str">
        <f>MID(LIDER!C4,1,9)</f>
        <v>TECNOLOGI</v>
      </c>
      <c r="H4" s="57" t="str">
        <f>MID(LIDER!D4,1,9)</f>
        <v>INTERNACI</v>
      </c>
      <c r="I4" s="57" t="str">
        <f>MID(LIDER!E4,1,9)</f>
        <v>LEGISLACI</v>
      </c>
      <c r="J4" s="57" t="str">
        <f>MID(LIDER!F4,1,9)</f>
        <v>MACROECON</v>
      </c>
      <c r="K4" s="57" t="str">
        <f>MID(LIDER!G4,1,9)</f>
        <v>MATEMÁTIC</v>
      </c>
      <c r="L4" s="57" t="str">
        <f>MID(LIDER!H4,1,9)</f>
        <v/>
      </c>
      <c r="M4" s="58" t="str">
        <f>MID(LIDER!I4,1,9)</f>
        <v/>
      </c>
      <c r="N4" s="59" t="s">
        <v>119</v>
      </c>
      <c r="O4" s="60" t="str">
        <f t="shared" ref="O4:U4" si="1">G4</f>
        <v>TECNOLOGI</v>
      </c>
      <c r="P4" s="61" t="str">
        <f t="shared" si="1"/>
        <v>INTERNACI</v>
      </c>
      <c r="Q4" s="61" t="str">
        <f t="shared" si="1"/>
        <v>LEGISLACI</v>
      </c>
      <c r="R4" s="61" t="str">
        <f t="shared" si="1"/>
        <v>MACROECON</v>
      </c>
      <c r="S4" s="61" t="str">
        <f t="shared" si="1"/>
        <v>MATEMÁTIC</v>
      </c>
      <c r="T4" s="61" t="str">
        <f t="shared" si="1"/>
        <v/>
      </c>
      <c r="U4" s="62" t="str">
        <f t="shared" si="1"/>
        <v/>
      </c>
      <c r="V4" s="59" t="s">
        <v>120</v>
      </c>
    </row>
    <row r="5" spans="1:22" ht="15" customHeight="1">
      <c r="A5" s="12">
        <v>1</v>
      </c>
      <c r="B5" s="63" t="str">
        <f>LIDER!C9</f>
        <v>SUNYMAR BARBOZA LOPEZ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4.4940000000000007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4.6999999999999993</v>
      </c>
      <c r="H5" s="65">
        <f>IF(B5=0,"",IFERROR(VLOOKUP(B5,'S-ASIG-02'!$B$5:$E$88,4,0),0))</f>
        <v>4.3</v>
      </c>
      <c r="I5" s="65">
        <f>IF(B5=0,"",IFERROR(VLOOKUP(B5,'S-ASIG-03'!$B$5:$E$88,4,0),0))</f>
        <v>4.57</v>
      </c>
      <c r="J5" s="65">
        <f>IF(B5=0,"",IFERROR(VLOOKUP(B5,'S-ASIG-04'!$B$5:$E$88,4,0),0))</f>
        <v>4.3499999999999996</v>
      </c>
      <c r="K5" s="65">
        <f>IF(B5=0,"",IFERROR(VLOOKUP(B5,'S-ASIG-05'!$B$5:$E$88,4,0),0))</f>
        <v>4.55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121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122</v>
      </c>
    </row>
    <row r="6" spans="1:22" ht="15" customHeight="1">
      <c r="A6" s="12">
        <v>2</v>
      </c>
      <c r="B6" s="70" t="str">
        <f>LIDER!C10</f>
        <v>DEIVER ALEXANDER FERNÁNDEZ BENÍTEZ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4.4940000000000007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4.6999999999999993</v>
      </c>
      <c r="H6" s="72">
        <f>IF(B6=0,"",IFERROR(VLOOKUP(B6,'S-ASIG-02'!$B$5:$E$88,4,0),0))</f>
        <v>4.3</v>
      </c>
      <c r="I6" s="72">
        <f>IF(B6=0,"",IFERROR(VLOOKUP(B6,'S-ASIG-03'!$B$5:$E$88,4,0),0))</f>
        <v>4.57</v>
      </c>
      <c r="J6" s="72">
        <f>IF(B6=0,"",IFERROR(VLOOKUP(B6,'S-ASIG-04'!$B$5:$E$88,4,0),0))</f>
        <v>4.3499999999999996</v>
      </c>
      <c r="K6" s="72">
        <f>IF(B6=0,"",IFERROR(VLOOKUP(B6,'S-ASIG-05'!$B$5:$E$88,4,0),0))</f>
        <v>4.55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121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122</v>
      </c>
    </row>
    <row r="7" spans="1:22" ht="15" customHeight="1">
      <c r="A7" s="12">
        <v>3</v>
      </c>
      <c r="B7" s="70" t="str">
        <f>LIDER!C11</f>
        <v>XAVIER ALEXANDER MENDOZA VILLAR</v>
      </c>
      <c r="C7" s="64" t="str">
        <f>IF(B7=0,"",IFERROR(VLOOKUP(B7,'S-ASIG-01'!$B$5:$E$88,2,0),0))</f>
        <v>G01</v>
      </c>
      <c r="D7" s="65">
        <f t="shared" si="2"/>
        <v>4.4940000000000007</v>
      </c>
      <c r="E7" s="66">
        <f t="shared" si="3"/>
        <v>0</v>
      </c>
      <c r="F7" s="47"/>
      <c r="G7" s="71">
        <f>IF(B7=0,"",IFERROR(VLOOKUP(B7,'S-ASIG-01'!$B$5:$E$88,4,0),0))</f>
        <v>4.6999999999999993</v>
      </c>
      <c r="H7" s="72">
        <f>IF(B7=0,"",IFERROR(VLOOKUP(B7,'S-ASIG-02'!$B$5:$E$88,4,0),0))</f>
        <v>4.3</v>
      </c>
      <c r="I7" s="72">
        <f>IF(B7=0,"",IFERROR(VLOOKUP(B7,'S-ASIG-03'!$B$5:$E$88,4,0),0))</f>
        <v>4.57</v>
      </c>
      <c r="J7" s="72">
        <f>IF(B7=0,"",IFERROR(VLOOKUP(B7,'S-ASIG-04'!$B$5:$E$88,4,0),0))</f>
        <v>4.3499999999999996</v>
      </c>
      <c r="K7" s="72">
        <f>IF(B7=0,"",IFERROR(VLOOKUP(B7,'S-ASIG-05'!$B$5:$E$88,4,0),0))</f>
        <v>4.55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121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122</v>
      </c>
    </row>
    <row r="8" spans="1:22" ht="15" customHeight="1">
      <c r="A8" s="12">
        <v>4</v>
      </c>
      <c r="B8" s="70" t="str">
        <f>LIDER!C12</f>
        <v>LUZ ARIANA ORTEGA CUESTA</v>
      </c>
      <c r="C8" s="64" t="str">
        <f>IF(B8=0,"",IFERROR(VLOOKUP(B8,'S-ASIG-01'!$B$5:$E$88,2,0),0))</f>
        <v>G01</v>
      </c>
      <c r="D8" s="65">
        <f t="shared" si="2"/>
        <v>4.4940000000000007</v>
      </c>
      <c r="E8" s="66">
        <f t="shared" si="3"/>
        <v>0</v>
      </c>
      <c r="F8" s="47"/>
      <c r="G8" s="71">
        <f>IF(B8=0,"",IFERROR(VLOOKUP(B8,'S-ASIG-01'!$B$5:$E$88,4,0),0))</f>
        <v>4.6999999999999993</v>
      </c>
      <c r="H8" s="72">
        <f>IF(B8=0,"",IFERROR(VLOOKUP(B8,'S-ASIG-02'!$B$5:$E$88,4,0),0))</f>
        <v>4.3</v>
      </c>
      <c r="I8" s="72">
        <f>IF(B8=0,"",IFERROR(VLOOKUP(B8,'S-ASIG-03'!$B$5:$E$88,4,0),0))</f>
        <v>4.57</v>
      </c>
      <c r="J8" s="72">
        <f>IF(B8=0,"",IFERROR(VLOOKUP(B8,'S-ASIG-04'!$B$5:$E$88,4,0),0))</f>
        <v>4.3499999999999996</v>
      </c>
      <c r="K8" s="72">
        <f>IF(B8=0,"",IFERROR(VLOOKUP(B8,'S-ASIG-05'!$B$5:$E$88,4,0),0))</f>
        <v>4.55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121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122</v>
      </c>
    </row>
    <row r="9" spans="1:22" ht="15" customHeight="1">
      <c r="A9" s="12">
        <v>5</v>
      </c>
      <c r="B9" s="70" t="str">
        <f>LIDER!C13</f>
        <v>DANIEL DAVID ORTEGA TORRES</v>
      </c>
      <c r="C9" s="64" t="str">
        <f>IF(B9=0,"",IFERROR(VLOOKUP(B9,'S-ASIG-01'!$B$5:$E$88,2,0),0))</f>
        <v>G01</v>
      </c>
      <c r="D9" s="65">
        <f t="shared" si="2"/>
        <v>4.4940000000000007</v>
      </c>
      <c r="E9" s="66">
        <f t="shared" si="3"/>
        <v>0</v>
      </c>
      <c r="F9" s="47"/>
      <c r="G9" s="71">
        <f>IF(B9=0,"",IFERROR(VLOOKUP(B9,'S-ASIG-01'!$B$5:$E$88,4,0),0))</f>
        <v>4.6999999999999993</v>
      </c>
      <c r="H9" s="72">
        <f>IF(B9=0,"",IFERROR(VLOOKUP(B9,'S-ASIG-02'!$B$5:$E$88,4,0),0))</f>
        <v>4.3</v>
      </c>
      <c r="I9" s="72">
        <f>IF(B9=0,"",IFERROR(VLOOKUP(B9,'S-ASIG-03'!$B$5:$E$88,4,0),0))</f>
        <v>4.57</v>
      </c>
      <c r="J9" s="72">
        <f>IF(B9=0,"",IFERROR(VLOOKUP(B9,'S-ASIG-04'!$B$5:$E$88,4,0),0))</f>
        <v>4.3499999999999996</v>
      </c>
      <c r="K9" s="72">
        <f>IF(B9=0,"",IFERROR(VLOOKUP(B9,'S-ASIG-05'!$B$5:$E$88,4,0),0))</f>
        <v>4.55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121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122</v>
      </c>
    </row>
    <row r="10" spans="1:22" ht="15" customHeight="1">
      <c r="A10" s="12">
        <v>6</v>
      </c>
      <c r="B10" s="70" t="str">
        <f>LIDER!C14</f>
        <v>ANDRES FELIPE ARRIETA MEDINA</v>
      </c>
      <c r="C10" s="64" t="str">
        <f>IF(B10=0,"",IFERROR(VLOOKUP(B10,'S-ASIG-01'!$B$5:$E$88,2,0),0))</f>
        <v>G02</v>
      </c>
      <c r="D10" s="65">
        <f t="shared" si="2"/>
        <v>4.0780000000000003</v>
      </c>
      <c r="E10" s="66">
        <f t="shared" si="3"/>
        <v>0</v>
      </c>
      <c r="F10" s="47"/>
      <c r="G10" s="71">
        <f>IF(B10=0,"",IFERROR(VLOOKUP(B10,'S-ASIG-01'!$B$5:$E$88,4,0),0))</f>
        <v>4</v>
      </c>
      <c r="H10" s="72">
        <f>IF(B10=0,"",IFERROR(VLOOKUP(B10,'S-ASIG-02'!$B$5:$E$88,4,0),0))</f>
        <v>4.3</v>
      </c>
      <c r="I10" s="72">
        <f>IF(B10=0,"",IFERROR(VLOOKUP(B10,'S-ASIG-03'!$B$5:$E$88,4,0),0))</f>
        <v>3.7900000000000005</v>
      </c>
      <c r="J10" s="72">
        <f>IF(B10=0,"",IFERROR(VLOOKUP(B10,'S-ASIG-04'!$B$5:$E$88,4,0),0))</f>
        <v>4.55</v>
      </c>
      <c r="K10" s="72">
        <f>IF(B10=0,"",IFERROR(VLOOKUP(B10,'S-ASIG-05'!$B$5:$E$88,4,0),0))</f>
        <v>3.7500000000000004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121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122</v>
      </c>
    </row>
    <row r="11" spans="1:22" ht="15" customHeight="1">
      <c r="A11" s="12">
        <v>7</v>
      </c>
      <c r="B11" s="70" t="str">
        <f>LIDER!C15</f>
        <v>SHARITH DANIELA PABA ARRIETA</v>
      </c>
      <c r="C11" s="64" t="str">
        <f>IF(B11=0,"",IFERROR(VLOOKUP(B11,'S-ASIG-01'!$B$5:$E$88,2,0),0))</f>
        <v>G02</v>
      </c>
      <c r="D11" s="65">
        <f t="shared" si="2"/>
        <v>4.0780000000000003</v>
      </c>
      <c r="E11" s="66">
        <f t="shared" si="3"/>
        <v>0</v>
      </c>
      <c r="F11" s="47"/>
      <c r="G11" s="71">
        <f>IF(B11=0,"",IFERROR(VLOOKUP(B11,'S-ASIG-01'!$B$5:$E$88,4,0),0))</f>
        <v>4</v>
      </c>
      <c r="H11" s="72">
        <f>IF(B11=0,"",IFERROR(VLOOKUP(B11,'S-ASIG-02'!$B$5:$E$88,4,0),0))</f>
        <v>4.3</v>
      </c>
      <c r="I11" s="72">
        <f>IF(B11=0,"",IFERROR(VLOOKUP(B11,'S-ASIG-03'!$B$5:$E$88,4,0),0))</f>
        <v>3.7900000000000005</v>
      </c>
      <c r="J11" s="72">
        <f>IF(B11=0,"",IFERROR(VLOOKUP(B11,'S-ASIG-04'!$B$5:$E$88,4,0),0))</f>
        <v>4.55</v>
      </c>
      <c r="K11" s="72">
        <f>IF(B11=0,"",IFERROR(VLOOKUP(B11,'S-ASIG-05'!$B$5:$E$88,4,0),0))</f>
        <v>3.7500000000000004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121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122</v>
      </c>
    </row>
    <row r="12" spans="1:22" ht="15" customHeight="1">
      <c r="A12" s="12">
        <v>8</v>
      </c>
      <c r="B12" s="70" t="str">
        <f>LIDER!C16</f>
        <v>MARYURI PUERTA GOMEZ</v>
      </c>
      <c r="C12" s="64" t="str">
        <f>IF(B12=0,"",IFERROR(VLOOKUP(B12,'S-ASIG-01'!$B$5:$E$88,2,0),0))</f>
        <v>G02</v>
      </c>
      <c r="D12" s="65">
        <f t="shared" si="2"/>
        <v>4.0780000000000003</v>
      </c>
      <c r="E12" s="66">
        <f t="shared" si="3"/>
        <v>0</v>
      </c>
      <c r="F12" s="47"/>
      <c r="G12" s="71">
        <f>IF(B12=0,"",IFERROR(VLOOKUP(B12,'S-ASIG-01'!$B$5:$E$88,4,0),0))</f>
        <v>4</v>
      </c>
      <c r="H12" s="72">
        <f>IF(B12=0,"",IFERROR(VLOOKUP(B12,'S-ASIG-02'!$B$5:$E$88,4,0),0))</f>
        <v>4.3</v>
      </c>
      <c r="I12" s="72">
        <f>IF(B12=0,"",IFERROR(VLOOKUP(B12,'S-ASIG-03'!$B$5:$E$88,4,0),0))</f>
        <v>3.7900000000000005</v>
      </c>
      <c r="J12" s="72">
        <f>IF(B12=0,"",IFERROR(VLOOKUP(B12,'S-ASIG-04'!$B$5:$E$88,4,0),0))</f>
        <v>4.55</v>
      </c>
      <c r="K12" s="72">
        <f>IF(B12=0,"",IFERROR(VLOOKUP(B12,'S-ASIG-05'!$B$5:$E$88,4,0),0))</f>
        <v>3.7500000000000004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121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122</v>
      </c>
    </row>
    <row r="13" spans="1:22" ht="15" customHeight="1">
      <c r="A13" s="12">
        <v>9</v>
      </c>
      <c r="B13" s="70" t="str">
        <f>LIDER!C17</f>
        <v>ANDREA CAROLINA SAMUDIO HOYOS</v>
      </c>
      <c r="C13" s="64" t="str">
        <f>IF(B13=0,"",IFERROR(VLOOKUP(B13,'S-ASIG-01'!$B$5:$E$88,2,0),0))</f>
        <v>G02</v>
      </c>
      <c r="D13" s="65">
        <f t="shared" si="2"/>
        <v>4.0780000000000003</v>
      </c>
      <c r="E13" s="66">
        <f t="shared" si="3"/>
        <v>0</v>
      </c>
      <c r="F13" s="47"/>
      <c r="G13" s="71">
        <f>IF(B13=0,"",IFERROR(VLOOKUP(B13,'S-ASIG-01'!$B$5:$E$88,4,0),0))</f>
        <v>4</v>
      </c>
      <c r="H13" s="72">
        <f>IF(B13=0,"",IFERROR(VLOOKUP(B13,'S-ASIG-02'!$B$5:$E$88,4,0),0))</f>
        <v>4.3</v>
      </c>
      <c r="I13" s="72">
        <f>IF(B13=0,"",IFERROR(VLOOKUP(B13,'S-ASIG-03'!$B$5:$E$88,4,0),0))</f>
        <v>3.7900000000000005</v>
      </c>
      <c r="J13" s="72">
        <f>IF(B13=0,"",IFERROR(VLOOKUP(B13,'S-ASIG-04'!$B$5:$E$88,4,0),0))</f>
        <v>4.55</v>
      </c>
      <c r="K13" s="72">
        <f>IF(B13=0,"",IFERROR(VLOOKUP(B13,'S-ASIG-05'!$B$5:$E$88,4,0),0))</f>
        <v>3.7500000000000004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121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122</v>
      </c>
    </row>
    <row r="14" spans="1:22" ht="15" customHeight="1">
      <c r="A14" s="12">
        <v>10</v>
      </c>
      <c r="B14" s="70" t="str">
        <f>LIDER!C18</f>
        <v>FARINA GABRIELA COGOLLO PALOMINO</v>
      </c>
      <c r="C14" s="64" t="str">
        <f>IF(B14=0,"",IFERROR(VLOOKUP(B14,'S-ASIG-01'!$B$5:$E$88,2,0),0))</f>
        <v>G03</v>
      </c>
      <c r="D14" s="65">
        <f t="shared" si="2"/>
        <v>3.306</v>
      </c>
      <c r="E14" s="66">
        <f t="shared" si="3"/>
        <v>0</v>
      </c>
      <c r="F14" s="47"/>
      <c r="G14" s="71">
        <f>IF(B14=0,"",IFERROR(VLOOKUP(B14,'S-ASIG-01'!$B$5:$E$88,4,0),0))</f>
        <v>3.4200000000000004</v>
      </c>
      <c r="H14" s="72">
        <f>IF(B14=0,"",IFERROR(VLOOKUP(B14,'S-ASIG-02'!$B$5:$E$88,4,0),0))</f>
        <v>3.5000000000000004</v>
      </c>
      <c r="I14" s="72">
        <f>IF(B14=0,"",IFERROR(VLOOKUP(B14,'S-ASIG-03'!$B$5:$E$88,4,0),0))</f>
        <v>3.41</v>
      </c>
      <c r="J14" s="72">
        <f>IF(B14=0,"",IFERROR(VLOOKUP(B14,'S-ASIG-04'!$B$5:$E$88,4,0),0))</f>
        <v>3.1500000000000004</v>
      </c>
      <c r="K14" s="72">
        <f>IF(B14=0,"",IFERROR(VLOOKUP(B14,'S-ASIG-05'!$B$5:$E$88,4,0),0))</f>
        <v>3.0500000000000007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121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122</v>
      </c>
    </row>
    <row r="15" spans="1:22" ht="15" customHeight="1">
      <c r="A15" s="12">
        <v>11</v>
      </c>
      <c r="B15" s="70" t="str">
        <f>LIDER!C19</f>
        <v>JUAN CAMILO MARQUEZ GONZALEZ</v>
      </c>
      <c r="C15" s="64" t="str">
        <f>IF(B15=0,"",IFERROR(VLOOKUP(B15,'S-ASIG-01'!$B$5:$E$88,2,0),0))</f>
        <v>G03</v>
      </c>
      <c r="D15" s="65">
        <f t="shared" si="2"/>
        <v>3.306</v>
      </c>
      <c r="E15" s="66">
        <f t="shared" si="3"/>
        <v>0</v>
      </c>
      <c r="F15" s="47"/>
      <c r="G15" s="71">
        <f>IF(B15=0,"",IFERROR(VLOOKUP(B15,'S-ASIG-01'!$B$5:$E$88,4,0),0))</f>
        <v>3.4200000000000004</v>
      </c>
      <c r="H15" s="72">
        <f>IF(B15=0,"",IFERROR(VLOOKUP(B15,'S-ASIG-02'!$B$5:$E$88,4,0),0))</f>
        <v>3.5000000000000004</v>
      </c>
      <c r="I15" s="72">
        <f>IF(B15=0,"",IFERROR(VLOOKUP(B15,'S-ASIG-03'!$B$5:$E$88,4,0),0))</f>
        <v>3.41</v>
      </c>
      <c r="J15" s="72">
        <f>IF(B15=0,"",IFERROR(VLOOKUP(B15,'S-ASIG-04'!$B$5:$E$88,4,0),0))</f>
        <v>3.1500000000000004</v>
      </c>
      <c r="K15" s="72">
        <f>IF(B15=0,"",IFERROR(VLOOKUP(B15,'S-ASIG-05'!$B$5:$E$88,4,0),0))</f>
        <v>3.0500000000000007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121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122</v>
      </c>
    </row>
    <row r="16" spans="1:22" ht="15" customHeight="1">
      <c r="A16" s="12">
        <v>12</v>
      </c>
      <c r="B16" s="70" t="str">
        <f>LIDER!C20</f>
        <v>MAURO JOSE OLIVERA NAVAS</v>
      </c>
      <c r="C16" s="64" t="str">
        <f>IF(B16=0,"",IFERROR(VLOOKUP(B16,'S-ASIG-01'!$B$5:$E$88,2,0),0))</f>
        <v>G03</v>
      </c>
      <c r="D16" s="65">
        <f t="shared" si="2"/>
        <v>3.306</v>
      </c>
      <c r="E16" s="66">
        <f t="shared" si="3"/>
        <v>0</v>
      </c>
      <c r="F16" s="47"/>
      <c r="G16" s="71">
        <f>IF(B16=0,"",IFERROR(VLOOKUP(B16,'S-ASIG-01'!$B$5:$E$88,4,0),0))</f>
        <v>3.4200000000000004</v>
      </c>
      <c r="H16" s="72">
        <f>IF(B16=0,"",IFERROR(VLOOKUP(B16,'S-ASIG-02'!$B$5:$E$88,4,0),0))</f>
        <v>3.5000000000000004</v>
      </c>
      <c r="I16" s="72">
        <f>IF(B16=0,"",IFERROR(VLOOKUP(B16,'S-ASIG-03'!$B$5:$E$88,4,0),0))</f>
        <v>3.41</v>
      </c>
      <c r="J16" s="72">
        <f>IF(B16=0,"",IFERROR(VLOOKUP(B16,'S-ASIG-04'!$B$5:$E$88,4,0),0))</f>
        <v>3.1500000000000004</v>
      </c>
      <c r="K16" s="72">
        <f>IF(B16=0,"",IFERROR(VLOOKUP(B16,'S-ASIG-05'!$B$5:$E$88,4,0),0))</f>
        <v>3.0500000000000007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121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122</v>
      </c>
    </row>
    <row r="17" spans="1:22" ht="15" customHeight="1">
      <c r="A17" s="12">
        <v>13</v>
      </c>
      <c r="B17" s="70" t="str">
        <f>LIDER!C21</f>
        <v>OSCAR ANDRES PÁJARO GARCÍA</v>
      </c>
      <c r="C17" s="64" t="str">
        <f>IF(B17=0,"",IFERROR(VLOOKUP(B17,'S-ASIG-01'!$B$5:$E$88,2,0),0))</f>
        <v>G03</v>
      </c>
      <c r="D17" s="65">
        <f t="shared" si="2"/>
        <v>3.306</v>
      </c>
      <c r="E17" s="66">
        <f t="shared" si="3"/>
        <v>0</v>
      </c>
      <c r="F17" s="47"/>
      <c r="G17" s="71">
        <f>IF(B17=0,"",IFERROR(VLOOKUP(B17,'S-ASIG-01'!$B$5:$E$88,4,0),0))</f>
        <v>3.4200000000000004</v>
      </c>
      <c r="H17" s="72">
        <f>IF(B17=0,"",IFERROR(VLOOKUP(B17,'S-ASIG-02'!$B$5:$E$88,4,0),0))</f>
        <v>3.5000000000000004</v>
      </c>
      <c r="I17" s="72">
        <f>IF(B17=0,"",IFERROR(VLOOKUP(B17,'S-ASIG-03'!$B$5:$E$88,4,0),0))</f>
        <v>3.41</v>
      </c>
      <c r="J17" s="72">
        <f>IF(B17=0,"",IFERROR(VLOOKUP(B17,'S-ASIG-04'!$B$5:$E$88,4,0),0))</f>
        <v>3.1500000000000004</v>
      </c>
      <c r="K17" s="72">
        <f>IF(B17=0,"",IFERROR(VLOOKUP(B17,'S-ASIG-05'!$B$5:$E$88,4,0),0))</f>
        <v>3.0500000000000007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121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122</v>
      </c>
    </row>
    <row r="18" spans="1:22" ht="15" customHeight="1">
      <c r="A18" s="12">
        <v>14</v>
      </c>
      <c r="B18" s="70" t="str">
        <f>LIDER!C22</f>
        <v>MARIA PAZ DE LA CARIDAD VASQUEZ DE ARCO</v>
      </c>
      <c r="C18" s="64" t="str">
        <f>IF(B18=0,"",IFERROR(VLOOKUP(B18,'S-ASIG-01'!$B$5:$E$88,2,0),0))</f>
        <v>G03</v>
      </c>
      <c r="D18" s="65">
        <f t="shared" si="2"/>
        <v>3.306</v>
      </c>
      <c r="E18" s="66">
        <f t="shared" si="3"/>
        <v>0</v>
      </c>
      <c r="F18" s="47"/>
      <c r="G18" s="71">
        <f>IF(B18=0,"",IFERROR(VLOOKUP(B18,'S-ASIG-01'!$B$5:$E$88,4,0),0))</f>
        <v>3.4200000000000004</v>
      </c>
      <c r="H18" s="72">
        <f>IF(B18=0,"",IFERROR(VLOOKUP(B18,'S-ASIG-02'!$B$5:$E$88,4,0),0))</f>
        <v>3.5000000000000004</v>
      </c>
      <c r="I18" s="72">
        <f>IF(B18=0,"",IFERROR(VLOOKUP(B18,'S-ASIG-03'!$B$5:$E$88,4,0),0))</f>
        <v>3.41</v>
      </c>
      <c r="J18" s="72">
        <f>IF(B18=0,"",IFERROR(VLOOKUP(B18,'S-ASIG-04'!$B$5:$E$88,4,0),0))</f>
        <v>3.1500000000000004</v>
      </c>
      <c r="K18" s="72">
        <f>IF(B18=0,"",IFERROR(VLOOKUP(B18,'S-ASIG-05'!$B$5:$E$88,4,0),0))</f>
        <v>3.0500000000000007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121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122</v>
      </c>
    </row>
    <row r="19" spans="1:22" ht="15" customHeight="1">
      <c r="A19" s="12">
        <v>15</v>
      </c>
      <c r="B19" s="70" t="str">
        <f>LIDER!C23</f>
        <v>JUAN CAMILO CORRALES DE LA ROSA</v>
      </c>
      <c r="C19" s="64" t="str">
        <f>IF(B19=0,"",IFERROR(VLOOKUP(B19,'S-ASIG-01'!$B$5:$E$88,2,0),0))</f>
        <v>G04</v>
      </c>
      <c r="D19" s="65">
        <f t="shared" si="2"/>
        <v>4.3979999999999997</v>
      </c>
      <c r="E19" s="66">
        <f t="shared" si="3"/>
        <v>0</v>
      </c>
      <c r="F19" s="47"/>
      <c r="G19" s="71">
        <f>IF(B19=0,"",IFERROR(VLOOKUP(B19,'S-ASIG-01'!$B$5:$E$88,4,0),0))</f>
        <v>4.71</v>
      </c>
      <c r="H19" s="72">
        <f>IF(B19=0,"",IFERROR(VLOOKUP(B19,'S-ASIG-02'!$B$5:$E$88,4,0),0))</f>
        <v>4.3</v>
      </c>
      <c r="I19" s="72">
        <f>IF(B19=0,"",IFERROR(VLOOKUP(B19,'S-ASIG-03'!$B$5:$E$88,4,0),0))</f>
        <v>4.5199999999999996</v>
      </c>
      <c r="J19" s="72">
        <f>IF(B19=0,"",IFERROR(VLOOKUP(B19,'S-ASIG-04'!$B$5:$E$88,4,0),0))</f>
        <v>4.3000000000000007</v>
      </c>
      <c r="K19" s="72">
        <f>IF(B19=0,"",IFERROR(VLOOKUP(B19,'S-ASIG-05'!$B$5:$E$88,4,0),0))</f>
        <v>4.16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121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122</v>
      </c>
    </row>
    <row r="20" spans="1:22" ht="15" customHeight="1">
      <c r="A20" s="12">
        <v>16</v>
      </c>
      <c r="B20" s="70" t="str">
        <f>LIDER!C24</f>
        <v>YORCELIS MERCADO GUERRA</v>
      </c>
      <c r="C20" s="64" t="str">
        <f>IF(B20=0,"",IFERROR(VLOOKUP(B20,'S-ASIG-01'!$B$5:$E$88,2,0),0))</f>
        <v>G04</v>
      </c>
      <c r="D20" s="65">
        <f t="shared" si="2"/>
        <v>4.3979999999999997</v>
      </c>
      <c r="E20" s="66">
        <f t="shared" si="3"/>
        <v>0</v>
      </c>
      <c r="F20" s="47"/>
      <c r="G20" s="71">
        <f>IF(B20=0,"",IFERROR(VLOOKUP(B20,'S-ASIG-01'!$B$5:$E$88,4,0),0))</f>
        <v>4.71</v>
      </c>
      <c r="H20" s="72">
        <f>IF(B20=0,"",IFERROR(VLOOKUP(B20,'S-ASIG-02'!$B$5:$E$88,4,0),0))</f>
        <v>4.3</v>
      </c>
      <c r="I20" s="72">
        <f>IF(B20=0,"",IFERROR(VLOOKUP(B20,'S-ASIG-03'!$B$5:$E$88,4,0),0))</f>
        <v>4.5199999999999996</v>
      </c>
      <c r="J20" s="72">
        <f>IF(B20=0,"",IFERROR(VLOOKUP(B20,'S-ASIG-04'!$B$5:$E$88,4,0),0))</f>
        <v>4.3000000000000007</v>
      </c>
      <c r="K20" s="72">
        <f>IF(B20=0,"",IFERROR(VLOOKUP(B20,'S-ASIG-05'!$B$5:$E$88,4,0),0))</f>
        <v>4.16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121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122</v>
      </c>
    </row>
    <row r="21" spans="1:22" ht="15" customHeight="1">
      <c r="A21" s="12">
        <v>17</v>
      </c>
      <c r="B21" s="70" t="str">
        <f>LIDER!C25</f>
        <v>CESAR ANDRES PAJARO RAMOS</v>
      </c>
      <c r="C21" s="64" t="str">
        <f>IF(B21=0,"",IFERROR(VLOOKUP(B21,'S-ASIG-01'!$B$5:$E$88,2,0),0))</f>
        <v>G04</v>
      </c>
      <c r="D21" s="65">
        <f t="shared" si="2"/>
        <v>4.3979999999999997</v>
      </c>
      <c r="E21" s="66">
        <f t="shared" si="3"/>
        <v>0</v>
      </c>
      <c r="F21" s="47"/>
      <c r="G21" s="71">
        <f>IF(B21=0,"",IFERROR(VLOOKUP(B21,'S-ASIG-01'!$B$5:$E$88,4,0),0))</f>
        <v>4.71</v>
      </c>
      <c r="H21" s="72">
        <f>IF(B21=0,"",IFERROR(VLOOKUP(B21,'S-ASIG-02'!$B$5:$E$88,4,0),0))</f>
        <v>4.3</v>
      </c>
      <c r="I21" s="72">
        <f>IF(B21=0,"",IFERROR(VLOOKUP(B21,'S-ASIG-03'!$B$5:$E$88,4,0),0))</f>
        <v>4.5199999999999996</v>
      </c>
      <c r="J21" s="72">
        <f>IF(B21=0,"",IFERROR(VLOOKUP(B21,'S-ASIG-04'!$B$5:$E$88,4,0),0))</f>
        <v>4.3000000000000007</v>
      </c>
      <c r="K21" s="72">
        <f>IF(B21=0,"",IFERROR(VLOOKUP(B21,'S-ASIG-05'!$B$5:$E$88,4,0),0))</f>
        <v>4.16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121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122</v>
      </c>
    </row>
    <row r="22" spans="1:22" ht="15" customHeight="1">
      <c r="A22" s="12">
        <v>18</v>
      </c>
      <c r="B22" s="70" t="str">
        <f>LIDER!C26</f>
        <v>ELIAN ENRIQUE POLO SOTO</v>
      </c>
      <c r="C22" s="64" t="str">
        <f>IF(B22=0,"",IFERROR(VLOOKUP(B22,'S-ASIG-01'!$B$5:$E$88,2,0),0))</f>
        <v>G04</v>
      </c>
      <c r="D22" s="65">
        <f t="shared" si="2"/>
        <v>4.3979999999999997</v>
      </c>
      <c r="E22" s="66">
        <f t="shared" si="3"/>
        <v>0</v>
      </c>
      <c r="F22" s="47"/>
      <c r="G22" s="71">
        <f>IF(B22=0,"",IFERROR(VLOOKUP(B22,'S-ASIG-01'!$B$5:$E$88,4,0),0))</f>
        <v>4.71</v>
      </c>
      <c r="H22" s="72">
        <f>IF(B22=0,"",IFERROR(VLOOKUP(B22,'S-ASIG-02'!$B$5:$E$88,4,0),0))</f>
        <v>4.3</v>
      </c>
      <c r="I22" s="72">
        <f>IF(B22=0,"",IFERROR(VLOOKUP(B22,'S-ASIG-03'!$B$5:$E$88,4,0),0))</f>
        <v>4.5199999999999996</v>
      </c>
      <c r="J22" s="72">
        <f>IF(B22=0,"",IFERROR(VLOOKUP(B22,'S-ASIG-04'!$B$5:$E$88,4,0),0))</f>
        <v>4.3000000000000007</v>
      </c>
      <c r="K22" s="72">
        <f>IF(B22=0,"",IFERROR(VLOOKUP(B22,'S-ASIG-05'!$B$5:$E$88,4,0),0))</f>
        <v>4.16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121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122</v>
      </c>
    </row>
    <row r="23" spans="1:22" ht="15" customHeight="1">
      <c r="A23" s="12">
        <v>19</v>
      </c>
      <c r="B23" s="70" t="str">
        <f>LIDER!C27</f>
        <v>KATERYN SOFIA SILVA PEÑATE</v>
      </c>
      <c r="C23" s="64" t="str">
        <f>IF(B23=0,"",IFERROR(VLOOKUP(B23,'S-ASIG-01'!$B$5:$E$88,2,0),0))</f>
        <v>G04</v>
      </c>
      <c r="D23" s="65">
        <f t="shared" si="2"/>
        <v>4.3979999999999997</v>
      </c>
      <c r="E23" s="66">
        <f t="shared" si="3"/>
        <v>0</v>
      </c>
      <c r="F23" s="47"/>
      <c r="G23" s="71">
        <f>IF(B23=0,"",IFERROR(VLOOKUP(B23,'S-ASIG-01'!$B$5:$E$88,4,0),0))</f>
        <v>4.71</v>
      </c>
      <c r="H23" s="72">
        <f>IF(B23=0,"",IFERROR(VLOOKUP(B23,'S-ASIG-02'!$B$5:$E$88,4,0),0))</f>
        <v>4.3</v>
      </c>
      <c r="I23" s="72">
        <f>IF(B23=0,"",IFERROR(VLOOKUP(B23,'S-ASIG-03'!$B$5:$E$88,4,0),0))</f>
        <v>4.5199999999999996</v>
      </c>
      <c r="J23" s="72">
        <f>IF(B23=0,"",IFERROR(VLOOKUP(B23,'S-ASIG-04'!$B$5:$E$88,4,0),0))</f>
        <v>4.3000000000000007</v>
      </c>
      <c r="K23" s="72">
        <f>IF(B23=0,"",IFERROR(VLOOKUP(B23,'S-ASIG-05'!$B$5:$E$88,4,0),0))</f>
        <v>4.16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121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122</v>
      </c>
    </row>
    <row r="24" spans="1:22" ht="15" customHeight="1">
      <c r="A24" s="12">
        <v>20</v>
      </c>
      <c r="B24" s="70" t="str">
        <f>LIDER!C28</f>
        <v>ADRIAN JOSE MARRIAGA MUÑOZ</v>
      </c>
      <c r="C24" s="64" t="str">
        <f>IF(B24=0,"",IFERROR(VLOOKUP(B24,'S-ASIG-01'!$B$5:$E$88,2,0),0))</f>
        <v>G05</v>
      </c>
      <c r="D24" s="65">
        <f t="shared" si="2"/>
        <v>4.4950000000000001</v>
      </c>
      <c r="E24" s="66">
        <f t="shared" si="3"/>
        <v>0</v>
      </c>
      <c r="F24" s="47"/>
      <c r="G24" s="71">
        <f>IF(B24=0,"",IFERROR(VLOOKUP(B24,'S-ASIG-01'!$B$5:$E$88,4,0),0))</f>
        <v>4.79</v>
      </c>
      <c r="H24" s="72">
        <f>IF(B24=0,"",IFERROR(VLOOKUP(B24,'S-ASIG-02'!$B$5:$E$88,4,0),0))</f>
        <v>4.3</v>
      </c>
      <c r="I24" s="72" t="str">
        <f>IF(B24=0,"",IFERROR(VLOOKUP(B24,'S-ASIG-03'!$B$5:$E$88,4,0),0))</f>
        <v>N</v>
      </c>
      <c r="J24" s="72">
        <f>IF(B24=0,"",IFERROR(VLOOKUP(B24,'S-ASIG-04'!$B$5:$E$88,4,0),0))</f>
        <v>4.59</v>
      </c>
      <c r="K24" s="72">
        <f>IF(B24=0,"",IFERROR(VLOOKUP(B24,'S-ASIG-05'!$B$5:$E$88,4,0),0))</f>
        <v>4.3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121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 t="str">
        <f>IF(B24=0,"",IFERROR(VLOOKUP(B24,'T-ASIG-03'!$B$5:$D$88,3,0),0))</f>
        <v>N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122</v>
      </c>
    </row>
    <row r="25" spans="1:22" ht="15" customHeight="1">
      <c r="A25" s="12">
        <v>21</v>
      </c>
      <c r="B25" s="70" t="str">
        <f>LIDER!C29</f>
        <v>YULIETH DE JESÚS MARTÍNEZ CARRASQUILLA</v>
      </c>
      <c r="C25" s="64" t="str">
        <f>IF(B25=0,"",IFERROR(VLOOKUP(B25,'S-ASIG-01'!$B$5:$E$88,2,0),0))</f>
        <v>G05</v>
      </c>
      <c r="D25" s="65">
        <f t="shared" si="2"/>
        <v>4.4950000000000001</v>
      </c>
      <c r="E25" s="66">
        <f t="shared" si="3"/>
        <v>0</v>
      </c>
      <c r="F25" s="47"/>
      <c r="G25" s="71">
        <f>IF(B25=0,"",IFERROR(VLOOKUP(B25,'S-ASIG-01'!$B$5:$E$88,4,0),0))</f>
        <v>4.79</v>
      </c>
      <c r="H25" s="72">
        <f>IF(B25=0,"",IFERROR(VLOOKUP(B25,'S-ASIG-02'!$B$5:$E$88,4,0),0))</f>
        <v>4.3</v>
      </c>
      <c r="I25" s="72" t="str">
        <f>IF(B25=0,"",IFERROR(VLOOKUP(B25,'S-ASIG-03'!$B$5:$E$88,4,0),0))</f>
        <v>N</v>
      </c>
      <c r="J25" s="72">
        <f>IF(B25=0,"",IFERROR(VLOOKUP(B25,'S-ASIG-04'!$B$5:$E$88,4,0),0))</f>
        <v>4.59</v>
      </c>
      <c r="K25" s="72">
        <f>IF(B25=0,"",IFERROR(VLOOKUP(B25,'S-ASIG-05'!$B$5:$E$88,4,0),0))</f>
        <v>4.3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121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 t="str">
        <f>IF(B25=0,"",IFERROR(VLOOKUP(B25,'T-ASIG-03'!$B$5:$D$88,3,0),0))</f>
        <v>N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122</v>
      </c>
    </row>
    <row r="26" spans="1:22" ht="15" customHeight="1">
      <c r="A26" s="12">
        <v>22</v>
      </c>
      <c r="B26" s="70" t="str">
        <f>LIDER!C30</f>
        <v>ANGELLO STIVEN ORTEGA MESINO</v>
      </c>
      <c r="C26" s="64" t="str">
        <f>IF(B26=0,"",IFERROR(VLOOKUP(B26,'S-ASIG-01'!$B$5:$E$88,2,0),0))</f>
        <v>G05</v>
      </c>
      <c r="D26" s="65">
        <f t="shared" si="2"/>
        <v>4.4950000000000001</v>
      </c>
      <c r="E26" s="66">
        <f t="shared" si="3"/>
        <v>0</v>
      </c>
      <c r="F26" s="47"/>
      <c r="G26" s="71">
        <f>IF(B26=0,"",IFERROR(VLOOKUP(B26,'S-ASIG-01'!$B$5:$E$88,4,0),0))</f>
        <v>4.79</v>
      </c>
      <c r="H26" s="72">
        <f>IF(B26=0,"",IFERROR(VLOOKUP(B26,'S-ASIG-02'!$B$5:$E$88,4,0),0))</f>
        <v>4.3</v>
      </c>
      <c r="I26" s="72" t="str">
        <f>IF(B26=0,"",IFERROR(VLOOKUP(B26,'S-ASIG-03'!$B$5:$E$88,4,0),0))</f>
        <v>N</v>
      </c>
      <c r="J26" s="72">
        <f>IF(B26=0,"",IFERROR(VLOOKUP(B26,'S-ASIG-04'!$B$5:$E$88,4,0),0))</f>
        <v>4.59</v>
      </c>
      <c r="K26" s="72">
        <f>IF(B26=0,"",IFERROR(VLOOKUP(B26,'S-ASIG-05'!$B$5:$E$88,4,0),0))</f>
        <v>4.3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121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 t="str">
        <f>IF(B26=0,"",IFERROR(VLOOKUP(B26,'T-ASIG-03'!$B$5:$D$88,3,0),0))</f>
        <v>N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122</v>
      </c>
    </row>
    <row r="27" spans="1:22" ht="15" customHeight="1">
      <c r="A27" s="12">
        <v>23</v>
      </c>
      <c r="B27" s="70" t="str">
        <f>LIDER!C31</f>
        <v>THERES ENIT THERAN CAICEDO</v>
      </c>
      <c r="C27" s="64" t="str">
        <f>IF(B27=0,"",IFERROR(VLOOKUP(B27,'S-ASIG-01'!$B$5:$E$88,2,0),0))</f>
        <v>G05</v>
      </c>
      <c r="D27" s="65">
        <f t="shared" si="2"/>
        <v>4.4950000000000001</v>
      </c>
      <c r="E27" s="66">
        <f t="shared" si="3"/>
        <v>0</v>
      </c>
      <c r="F27" s="47"/>
      <c r="G27" s="71">
        <f>IF(B27=0,"",IFERROR(VLOOKUP(B27,'S-ASIG-01'!$B$5:$E$88,4,0),0))</f>
        <v>4.79</v>
      </c>
      <c r="H27" s="72">
        <f>IF(B27=0,"",IFERROR(VLOOKUP(B27,'S-ASIG-02'!$B$5:$E$88,4,0),0))</f>
        <v>4.3</v>
      </c>
      <c r="I27" s="72" t="str">
        <f>IF(B27=0,"",IFERROR(VLOOKUP(B27,'S-ASIG-03'!$B$5:$E$88,4,0),0))</f>
        <v>N</v>
      </c>
      <c r="J27" s="72">
        <f>IF(B27=0,"",IFERROR(VLOOKUP(B27,'S-ASIG-04'!$B$5:$E$88,4,0),0))</f>
        <v>4.59</v>
      </c>
      <c r="K27" s="72">
        <f>IF(B27=0,"",IFERROR(VLOOKUP(B27,'S-ASIG-05'!$B$5:$E$88,4,0),0))</f>
        <v>4.3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121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 t="str">
        <f>IF(B27=0,"",IFERROR(VLOOKUP(B27,'T-ASIG-03'!$B$5:$D$88,3,0),0))</f>
        <v>N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122</v>
      </c>
    </row>
    <row r="28" spans="1:22" ht="15" customHeight="1">
      <c r="A28" s="12">
        <v>24</v>
      </c>
      <c r="B28" s="70" t="str">
        <f>LIDER!C32</f>
        <v>SHERLYN CAMILA VILLEGAS MEZA</v>
      </c>
      <c r="C28" s="64" t="str">
        <f>IF(B28=0,"",IFERROR(VLOOKUP(B28,'S-ASIG-01'!$B$5:$E$88,2,0),0))</f>
        <v>G05</v>
      </c>
      <c r="D28" s="65">
        <f t="shared" si="2"/>
        <v>4.4950000000000001</v>
      </c>
      <c r="E28" s="66">
        <f t="shared" si="3"/>
        <v>0</v>
      </c>
      <c r="F28" s="47"/>
      <c r="G28" s="71">
        <f>IF(B28=0,"",IFERROR(VLOOKUP(B28,'S-ASIG-01'!$B$5:$E$88,4,0),0))</f>
        <v>4.79</v>
      </c>
      <c r="H28" s="72">
        <f>IF(B28=0,"",IFERROR(VLOOKUP(B28,'S-ASIG-02'!$B$5:$E$88,4,0),0))</f>
        <v>4.3</v>
      </c>
      <c r="I28" s="72" t="str">
        <f>IF(B28=0,"",IFERROR(VLOOKUP(B28,'S-ASIG-03'!$B$5:$E$88,4,0),0))</f>
        <v>N</v>
      </c>
      <c r="J28" s="72">
        <f>IF(B28=0,"",IFERROR(VLOOKUP(B28,'S-ASIG-04'!$B$5:$E$88,4,0),0))</f>
        <v>4.59</v>
      </c>
      <c r="K28" s="72">
        <f>IF(B28=0,"",IFERROR(VLOOKUP(B28,'S-ASIG-05'!$B$5:$E$88,4,0),0))</f>
        <v>4.3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121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 t="str">
        <f>IF(B28=0,"",IFERROR(VLOOKUP(B28,'T-ASIG-03'!$B$5:$D$88,3,0),0))</f>
        <v>N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122</v>
      </c>
    </row>
    <row r="29" spans="1:22" ht="15" customHeight="1">
      <c r="A29" s="12">
        <v>25</v>
      </c>
      <c r="B29" s="70" t="str">
        <f>LIDER!C33</f>
        <v>DUVAN ANDRES CESPEDES PEREZ</v>
      </c>
      <c r="C29" s="64" t="str">
        <f>IF(B29=0,"",IFERROR(VLOOKUP(B29,'S-ASIG-01'!$B$5:$E$88,2,0),0))</f>
        <v>G06</v>
      </c>
      <c r="D29" s="65">
        <f t="shared" si="2"/>
        <v>2.6425000000000001</v>
      </c>
      <c r="E29" s="66">
        <f t="shared" si="3"/>
        <v>0</v>
      </c>
      <c r="F29" s="47"/>
      <c r="G29" s="71">
        <f>IF(B29=0,"",IFERROR(VLOOKUP(B29,'S-ASIG-01'!$B$5:$E$88,4,0),0))</f>
        <v>3.0700000000000003</v>
      </c>
      <c r="H29" s="72">
        <f>IF(B29=0,"",IFERROR(VLOOKUP(B29,'S-ASIG-02'!$B$5:$E$88,4,0),0))</f>
        <v>2.5</v>
      </c>
      <c r="I29" s="72" t="str">
        <f>IF(B29=0,"",IFERROR(VLOOKUP(B29,'S-ASIG-03'!$B$5:$E$88,4,0),0))</f>
        <v>N</v>
      </c>
      <c r="J29" s="72">
        <f>IF(B29=0,"",IFERROR(VLOOKUP(B29,'S-ASIG-04'!$B$5:$E$88,4,0),0))</f>
        <v>2.4500000000000002</v>
      </c>
      <c r="K29" s="72">
        <f>IF(B29=0,"",IFERROR(VLOOKUP(B29,'S-ASIG-05'!$B$5:$E$88,4,0),0))</f>
        <v>2.5500000000000003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121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 t="str">
        <f>IF(B29=0,"",IFERROR(VLOOKUP(B29,'T-ASIG-03'!$B$5:$D$88,3,0),0))</f>
        <v>N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122</v>
      </c>
    </row>
    <row r="30" spans="1:22" ht="15" customHeight="1">
      <c r="A30" s="12">
        <v>26</v>
      </c>
      <c r="B30" s="70" t="str">
        <f>LIDER!C34</f>
        <v>ISAAC MAURICIO FACIO LINCE BUSTOS</v>
      </c>
      <c r="C30" s="64" t="str">
        <f>IF(B30=0,"",IFERROR(VLOOKUP(B30,'S-ASIG-01'!$B$5:$E$88,2,0),0))</f>
        <v>G06</v>
      </c>
      <c r="D30" s="65">
        <f t="shared" si="2"/>
        <v>2.6425000000000001</v>
      </c>
      <c r="E30" s="66">
        <f t="shared" si="3"/>
        <v>0</v>
      </c>
      <c r="F30" s="47"/>
      <c r="G30" s="71">
        <f>IF(B30=0,"",IFERROR(VLOOKUP(B30,'S-ASIG-01'!$B$5:$E$88,4,0),0))</f>
        <v>3.0700000000000003</v>
      </c>
      <c r="H30" s="72">
        <f>IF(B30=0,"",IFERROR(VLOOKUP(B30,'S-ASIG-02'!$B$5:$E$88,4,0),0))</f>
        <v>2.5</v>
      </c>
      <c r="I30" s="72" t="str">
        <f>IF(B30=0,"",IFERROR(VLOOKUP(B30,'S-ASIG-03'!$B$5:$E$88,4,0),0))</f>
        <v>N</v>
      </c>
      <c r="J30" s="72">
        <f>IF(B30=0,"",IFERROR(VLOOKUP(B30,'S-ASIG-04'!$B$5:$E$88,4,0),0))</f>
        <v>2.4500000000000002</v>
      </c>
      <c r="K30" s="72">
        <f>IF(B30=0,"",IFERROR(VLOOKUP(B30,'S-ASIG-05'!$B$5:$E$88,4,0),0))</f>
        <v>2.5500000000000003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121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 t="str">
        <f>IF(B30=0,"",IFERROR(VLOOKUP(B30,'T-ASIG-03'!$B$5:$D$88,3,0),0))</f>
        <v>N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122</v>
      </c>
    </row>
    <row r="31" spans="1:22" ht="15" customHeight="1">
      <c r="A31" s="12">
        <v>27</v>
      </c>
      <c r="B31" s="70" t="str">
        <f>LIDER!C35</f>
        <v>JHAMER LUIS MAZA RAMOS</v>
      </c>
      <c r="C31" s="64" t="str">
        <f>IF(B31=0,"",IFERROR(VLOOKUP(B31,'S-ASIG-01'!$B$5:$E$88,2,0),0))</f>
        <v>G06</v>
      </c>
      <c r="D31" s="65">
        <f t="shared" si="2"/>
        <v>2.6425000000000001</v>
      </c>
      <c r="E31" s="66">
        <f t="shared" si="3"/>
        <v>0</v>
      </c>
      <c r="F31" s="47"/>
      <c r="G31" s="71">
        <f>IF(B31=0,"",IFERROR(VLOOKUP(B31,'S-ASIG-01'!$B$5:$E$88,4,0),0))</f>
        <v>3.0700000000000003</v>
      </c>
      <c r="H31" s="72">
        <f>IF(B31=0,"",IFERROR(VLOOKUP(B31,'S-ASIG-02'!$B$5:$E$88,4,0),0))</f>
        <v>2.5</v>
      </c>
      <c r="I31" s="72" t="str">
        <f>IF(B31=0,"",IFERROR(VLOOKUP(B31,'S-ASIG-03'!$B$5:$E$88,4,0),0))</f>
        <v>N</v>
      </c>
      <c r="J31" s="72">
        <f>IF(B31=0,"",IFERROR(VLOOKUP(B31,'S-ASIG-04'!$B$5:$E$88,4,0),0))</f>
        <v>2.4500000000000002</v>
      </c>
      <c r="K31" s="72">
        <f>IF(B31=0,"",IFERROR(VLOOKUP(B31,'S-ASIG-05'!$B$5:$E$88,4,0),0))</f>
        <v>2.5500000000000003</v>
      </c>
      <c r="L31" s="72">
        <f>IF(B31=0,"",IFERROR(VLOOKUP(B31,'S-ASIG-06'!$B$5:$E$88,4,0),0))</f>
        <v>0</v>
      </c>
      <c r="M31" s="73">
        <f>IF(B31=0,"",IFERROR(VLOOKUP(B31,'S-ASIG-07'!$B$5:$E$88,4,0),0))</f>
        <v>0</v>
      </c>
      <c r="N31" s="68" t="s">
        <v>121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 t="str">
        <f>IF(B31=0,"",IFERROR(VLOOKUP(B31,'T-ASIG-03'!$B$5:$D$88,3,0),0))</f>
        <v>N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122</v>
      </c>
    </row>
    <row r="32" spans="1:22" ht="15" customHeight="1">
      <c r="A32" s="12">
        <v>28</v>
      </c>
      <c r="B32" s="70" t="str">
        <f>LIDER!C36</f>
        <v>YILIANIS DIAZ MARTINEZ</v>
      </c>
      <c r="C32" s="64" t="str">
        <f>IF(B32=0,"",IFERROR(VLOOKUP(B32,'S-ASIG-01'!$B$5:$E$88,2,0),0))</f>
        <v>G07</v>
      </c>
      <c r="D32" s="65">
        <f t="shared" si="2"/>
        <v>4.3975</v>
      </c>
      <c r="E32" s="66">
        <f t="shared" si="3"/>
        <v>0</v>
      </c>
      <c r="F32" s="47"/>
      <c r="G32" s="71">
        <f>IF(B32=0,"",IFERROR(VLOOKUP(B32,'S-ASIG-01'!$B$5:$E$88,4,0),0))</f>
        <v>4.74</v>
      </c>
      <c r="H32" s="72">
        <f>IF(B32=0,"",IFERROR(VLOOKUP(B32,'S-ASIG-02'!$B$5:$E$88,4,0),0))</f>
        <v>4.2</v>
      </c>
      <c r="I32" s="72" t="str">
        <f>IF(B32=0,"",IFERROR(VLOOKUP(B32,'S-ASIG-03'!$B$5:$E$88,4,0),0))</f>
        <v>N</v>
      </c>
      <c r="J32" s="72">
        <f>IF(B32=0,"",IFERROR(VLOOKUP(B32,'S-ASIG-04'!$B$5:$E$88,4,0),0))</f>
        <v>4.3499999999999996</v>
      </c>
      <c r="K32" s="72">
        <f>IF(B32=0,"",IFERROR(VLOOKUP(B32,'S-ASIG-05'!$B$5:$E$88,4,0),0))</f>
        <v>4.3</v>
      </c>
      <c r="L32" s="72">
        <f>IF(B32=0,"",IFERROR(VLOOKUP(B32,'S-ASIG-06'!$B$5:$E$88,4,0),0))</f>
        <v>0</v>
      </c>
      <c r="M32" s="73">
        <f>IF(B32=0,"",IFERROR(VLOOKUP(B32,'S-ASIG-07'!$B$5:$E$88,4,0),0))</f>
        <v>0</v>
      </c>
      <c r="N32" s="68" t="s">
        <v>121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 t="str">
        <f>IF(B32=0,"",IFERROR(VLOOKUP(B32,'T-ASIG-03'!$B$5:$D$88,3,0),0))</f>
        <v>N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122</v>
      </c>
    </row>
    <row r="33" spans="1:22" ht="15" customHeight="1">
      <c r="A33" s="12">
        <v>29</v>
      </c>
      <c r="B33" s="70" t="str">
        <f>LIDER!C37</f>
        <v>YORBIN HOYOS BELTRAN</v>
      </c>
      <c r="C33" s="64" t="str">
        <f>IF(B33=0,"",IFERROR(VLOOKUP(B33,'S-ASIG-01'!$B$5:$E$88,2,0),0))</f>
        <v>G07</v>
      </c>
      <c r="D33" s="65">
        <f t="shared" si="2"/>
        <v>4.3975</v>
      </c>
      <c r="E33" s="66">
        <f t="shared" si="3"/>
        <v>0</v>
      </c>
      <c r="F33" s="47"/>
      <c r="G33" s="71">
        <f>IF(B33=0,"",IFERROR(VLOOKUP(B33,'S-ASIG-01'!$B$5:$E$88,4,0),0))</f>
        <v>4.74</v>
      </c>
      <c r="H33" s="72">
        <f>IF(B33=0,"",IFERROR(VLOOKUP(B33,'S-ASIG-02'!$B$5:$E$88,4,0),0))</f>
        <v>4.2</v>
      </c>
      <c r="I33" s="72" t="str">
        <f>IF(B33=0,"",IFERROR(VLOOKUP(B33,'S-ASIG-03'!$B$5:$E$88,4,0),0))</f>
        <v>N</v>
      </c>
      <c r="J33" s="72">
        <f>IF(B33=0,"",IFERROR(VLOOKUP(B33,'S-ASIG-04'!$B$5:$E$88,4,0),0))</f>
        <v>4.3499999999999996</v>
      </c>
      <c r="K33" s="72">
        <f>IF(B33=0,"",IFERROR(VLOOKUP(B33,'S-ASIG-05'!$B$5:$E$88,4,0),0))</f>
        <v>4.3</v>
      </c>
      <c r="L33" s="72">
        <f>IF(B33=0,"",IFERROR(VLOOKUP(B33,'S-ASIG-06'!$B$5:$E$88,4,0),0))</f>
        <v>0</v>
      </c>
      <c r="M33" s="73">
        <f>IF(B33=0,"",IFERROR(VLOOKUP(B33,'S-ASIG-07'!$B$5:$E$88,4,0),0))</f>
        <v>0</v>
      </c>
      <c r="N33" s="68" t="s">
        <v>121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 t="str">
        <f>IF(B33=0,"",IFERROR(VLOOKUP(B33,'T-ASIG-03'!$B$5:$D$88,3,0),0))</f>
        <v>N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122</v>
      </c>
    </row>
    <row r="34" spans="1:22" ht="15" customHeight="1">
      <c r="A34" s="12">
        <v>30</v>
      </c>
      <c r="B34" s="70" t="str">
        <f>LIDER!C38</f>
        <v>CRYSTIAN DAVID JULIO SARMIENTO</v>
      </c>
      <c r="C34" s="64" t="str">
        <f>IF(B34=0,"",IFERROR(VLOOKUP(B34,'S-ASIG-01'!$B$5:$E$88,2,0),0))</f>
        <v>G07</v>
      </c>
      <c r="D34" s="65">
        <f t="shared" si="2"/>
        <v>4.3975</v>
      </c>
      <c r="E34" s="66">
        <f t="shared" si="3"/>
        <v>0</v>
      </c>
      <c r="F34" s="47"/>
      <c r="G34" s="71">
        <f>IF(B34=0,"",IFERROR(VLOOKUP(B34,'S-ASIG-01'!$B$5:$E$88,4,0),0))</f>
        <v>4.74</v>
      </c>
      <c r="H34" s="72">
        <f>IF(B34=0,"",IFERROR(VLOOKUP(B34,'S-ASIG-02'!$B$5:$E$88,4,0),0))</f>
        <v>4.2</v>
      </c>
      <c r="I34" s="72" t="str">
        <f>IF(B34=0,"",IFERROR(VLOOKUP(B34,'S-ASIG-03'!$B$5:$E$88,4,0),0))</f>
        <v>N</v>
      </c>
      <c r="J34" s="72">
        <f>IF(B34=0,"",IFERROR(VLOOKUP(B34,'S-ASIG-04'!$B$5:$E$88,4,0),0))</f>
        <v>4.3499999999999996</v>
      </c>
      <c r="K34" s="72">
        <f>IF(B34=0,"",IFERROR(VLOOKUP(B34,'S-ASIG-05'!$B$5:$E$88,4,0),0))</f>
        <v>4.3</v>
      </c>
      <c r="L34" s="72">
        <f>IF(B34=0,"",IFERROR(VLOOKUP(B34,'S-ASIG-06'!$B$5:$E$88,4,0),0))</f>
        <v>0</v>
      </c>
      <c r="M34" s="73">
        <f>IF(B34=0,"",IFERROR(VLOOKUP(B34,'S-ASIG-07'!$B$5:$E$88,4,0),0))</f>
        <v>0</v>
      </c>
      <c r="N34" s="68" t="s">
        <v>121</v>
      </c>
      <c r="O34" s="71">
        <f>IF(B34=0,"",IFERROR(VLOOKUP(B34,'T-ASIG-01'!$B$5:$D$88,3,0),0))</f>
        <v>0</v>
      </c>
      <c r="P34" s="72">
        <f>IF(B34=0,"",IFERROR(VLOOKUP(B34,'T-ASIG-02'!$B$5:$D$88,3,0),0))</f>
        <v>0</v>
      </c>
      <c r="Q34" s="72" t="str">
        <f>IF(B34=0,"",IFERROR(VLOOKUP(B34,'T-ASIG-03'!$B$5:$D$88,3,0),0))</f>
        <v>N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122</v>
      </c>
    </row>
    <row r="35" spans="1:22" ht="15" customHeight="1">
      <c r="A35" s="12">
        <v>31</v>
      </c>
      <c r="B35" s="70" t="str">
        <f>LIDER!C39</f>
        <v>NATALIA ROLDAN GARCIA</v>
      </c>
      <c r="C35" s="64" t="str">
        <f>IF(B35=0,"",IFERROR(VLOOKUP(B35,'S-ASIG-01'!$B$5:$E$88,2,0),0))</f>
        <v>G07</v>
      </c>
      <c r="D35" s="65">
        <f t="shared" si="2"/>
        <v>4.3975</v>
      </c>
      <c r="E35" s="66">
        <f t="shared" si="3"/>
        <v>0</v>
      </c>
      <c r="F35" s="47"/>
      <c r="G35" s="71">
        <f>IF(B35=0,"",IFERROR(VLOOKUP(B35,'S-ASIG-01'!$B$5:$E$88,4,0),0))</f>
        <v>4.74</v>
      </c>
      <c r="H35" s="72">
        <f>IF(B35=0,"",IFERROR(VLOOKUP(B35,'S-ASIG-02'!$B$5:$E$88,4,0),0))</f>
        <v>4.2</v>
      </c>
      <c r="I35" s="72" t="str">
        <f>IF(B35=0,"",IFERROR(VLOOKUP(B35,'S-ASIG-03'!$B$5:$E$88,4,0),0))</f>
        <v>N</v>
      </c>
      <c r="J35" s="72">
        <f>IF(B35=0,"",IFERROR(VLOOKUP(B35,'S-ASIG-04'!$B$5:$E$88,4,0),0))</f>
        <v>4.3499999999999996</v>
      </c>
      <c r="K35" s="72">
        <f>IF(B35=0,"",IFERROR(VLOOKUP(B35,'S-ASIG-05'!$B$5:$E$88,4,0),0))</f>
        <v>4.3</v>
      </c>
      <c r="L35" s="72">
        <f>IF(B35=0,"",IFERROR(VLOOKUP(B35,'S-ASIG-06'!$B$5:$E$88,4,0),0))</f>
        <v>0</v>
      </c>
      <c r="M35" s="73">
        <f>IF(B35=0,"",IFERROR(VLOOKUP(B35,'S-ASIG-07'!$B$5:$E$88,4,0),0))</f>
        <v>0</v>
      </c>
      <c r="N35" s="68" t="s">
        <v>121</v>
      </c>
      <c r="O35" s="71">
        <f>IF(B35=0,"",IFERROR(VLOOKUP(B35,'T-ASIG-01'!$B$5:$D$88,3,0),0))</f>
        <v>0</v>
      </c>
      <c r="P35" s="72">
        <f>IF(B35=0,"",IFERROR(VLOOKUP(B35,'T-ASIG-02'!$B$5:$D$88,3,0),0))</f>
        <v>0</v>
      </c>
      <c r="Q35" s="72" t="str">
        <f>IF(B35=0,"",IFERROR(VLOOKUP(B35,'T-ASIG-03'!$B$5:$D$88,3,0),0))</f>
        <v>N</v>
      </c>
      <c r="R35" s="72">
        <f>IF(B35=0,"",IFERROR(VLOOKUP(B35,'T-ASIG-04'!$B$5:$D$88,3,0),0))</f>
        <v>0</v>
      </c>
      <c r="S35" s="72">
        <f>IF(B35=0,"",IFERROR(VLOOKUP(B35,'T-ASIG-05'!$B$5:$D$88,3,0),0))</f>
        <v>0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122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121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122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121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122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121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122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121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122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121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122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121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122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121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122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121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122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121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122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121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122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121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122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121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122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121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122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121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122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121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122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121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122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121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122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121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122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121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122</v>
      </c>
    </row>
  </sheetData>
  <sheetProtection algorithmName="SHA-512" hashValue="8D8qrrybGVpUvXpA23zTK9R354rphaCXA4hSt5CxEyXtH/gCTWCAmHTjXmO6lCwfNPa4ajA8zHHUOud297wqLg==" saltValue="nvta89WQVpmDe3ueJvgpx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HAROLD ANTONIO CUADRO</cp:lastModifiedBy>
  <cp:revision/>
  <dcterms:created xsi:type="dcterms:W3CDTF">2025-09-29T20:45:44Z</dcterms:created>
  <dcterms:modified xsi:type="dcterms:W3CDTF">2026-10-14T23:22:04Z</dcterms:modified>
  <cp:category/>
  <cp:contentStatus/>
</cp:coreProperties>
</file>