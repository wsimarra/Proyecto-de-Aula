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2/"/>
    </mc:Choice>
  </mc:AlternateContent>
  <xr:revisionPtr revIDLastSave="117" documentId="13_ncr:1_{954E0B19-3D6E-470A-BEEA-F71DAD14B006}" xr6:coauthVersionLast="47" xr6:coauthVersionMax="47" xr10:uidLastSave="{343789F4-69A8-4FB2-9DD2-52F01E23972C}"/>
  <bookViews>
    <workbookView xWindow="-120" yWindow="-120" windowWidth="20730" windowHeight="11040" tabRatio="720" firstSheet="15" activeTab="6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<sst xmlns="http://schemas.openxmlformats.org/spreadsheetml/2006/main" count="665" uniqueCount="110">
  <si>
    <t>TECNOLOGÍA EN GESTIÓN DE NEGOCIOS INTERN</t>
  </si>
  <si>
    <t>SEMESTRE:</t>
  </si>
  <si>
    <t>SEM-02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</si>
  <si>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</si>
  <si>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</si>
  <si>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</si>
  <si>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</si>
  <si>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</si>
  <si>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</si>
  <si>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</si>
  <si>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</si>
  <si>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</si>
  <si>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COSTOS Y PRESUPUESTO</t>
  </si>
  <si>
    <t>LEGISLACION EMPRESARIAL</t>
  </si>
  <si>
    <t>SEMINARIO INVESTIGATIVO</t>
  </si>
  <si>
    <t>ECONOMÍA GENERAL</t>
  </si>
  <si>
    <t>PROCESO ADMINISTRATIVO</t>
  </si>
  <si>
    <t>JEYSSON STEEVEN ANILLO CARRANZA</t>
  </si>
  <si>
    <t>HAROLD TERRIL CARABALLO</t>
  </si>
  <si>
    <t>MELISSA LOPEZ ROMERO</t>
  </si>
  <si>
    <t>JAIME EDUARDO GONZALEZ DIAZ</t>
  </si>
  <si>
    <t>PAULO FONTALVO VELEZ</t>
  </si>
  <si>
    <t>JUAN SEBASTIAN HERNANDEZ COBOS</t>
  </si>
  <si>
    <t>LISTA DE ESTUDIANTES</t>
  </si>
  <si>
    <t>SEGUNDA ENTREGA - CRITERIOS DE EVALUACIÓN DOCUMENTO - SEGUNDO CORTE</t>
  </si>
  <si>
    <t>PONDERACIÓN</t>
  </si>
  <si>
    <t>ADMINISTRACIÓN DE EMPRESAS C.I</t>
  </si>
  <si>
    <t>NASLY GABRIELA BABILONIA MENDOZA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</si>
  <si>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</si>
  <si>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</si>
  <si>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DIEGO ANDRES GALINDEZ NAVARRO</t>
  </si>
  <si>
    <t>ANTEPROYECTO: Portada, planteamiento del problema, justificacion del trabajo o proyecto de aula, objetivos, marco teorico, diseño metodologico.</t>
  </si>
  <si>
    <t>CONTADURÍA PÚBLICA</t>
  </si>
  <si>
    <t>JESUS ALBERTO LARA ANGULO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</si>
  <si>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</si>
  <si>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</si>
  <si>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RICHARTH JOSE LOPEZ PUERTA</t>
  </si>
  <si>
    <t>BILIOGRAFIA: Las referencias bibliograficas: adoptan las normas APA. El documento es producto de un rastreo bibliografico que muestra analisis y sistensis.</t>
  </si>
  <si>
    <t>MARIA PAULA ROMERO GOMEZ</t>
  </si>
  <si>
    <t>ASESORIAS: Anexó la hoja de tutoria firmada ( 3 fimas minmimo).</t>
  </si>
  <si>
    <t>TECNOLOGíA EN GESTION CONTABLE</t>
  </si>
  <si>
    <t>FABIO ANDRES CALVO WOODBINE</t>
  </si>
  <si>
    <t>TECNOLOGÍA EN GESTIÓN DE MARKETING</t>
  </si>
  <si>
    <t>KEYLI YONALY GOMEZ JULIO</t>
  </si>
  <si>
    <t>TECNOLOGÍA EN GESTIÓN DEL TALENTO HUMANO</t>
  </si>
  <si>
    <t>SANTIAGO QUINTERO TAJAN</t>
  </si>
  <si>
    <t>TECNOLOGÍA EN GESTIÓN FINANCIERA</t>
  </si>
  <si>
    <t>YULIETH PATRICIA RUIZ MEZA</t>
  </si>
  <si>
    <t>TECNOLOGÍA EN GESTIÓN LOGISTICA Y PORTUARIA</t>
  </si>
  <si>
    <t>CAROLAY VALDELAMAR CHAVEZ</t>
  </si>
  <si>
    <t>ENTREGA FINAL - CRITERIO DE EVALUACIÓN SUSTENTACIÓN - TERCER CORTE</t>
  </si>
  <si>
    <t>TECNOLOGÍA EN GESTIÓN TURISTICA Y HOTELERA</t>
  </si>
  <si>
    <t>ROBINSON CRISMATT BATISTA</t>
  </si>
  <si>
    <t>Evaluación del Documento Final</t>
  </si>
  <si>
    <t>BERMARYS FLORES HERNÁNDEZ</t>
  </si>
  <si>
    <t>Sustentación de los Resultados: Se refleja un dominio del tema, la  información está delimitada y es clara. Hay una jerarquía y fluidez en las ideas que presenta.</t>
  </si>
  <si>
    <t>ABRAHAM DAVID RAMOS POSADA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</si>
  <si>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</si>
  <si>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ALEJANDRO ENRIQUE ROCHA ALCALA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</si>
  <si>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</si>
  <si>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JHONATAN MIGUEL ROJAS BELTRÁN</t>
  </si>
  <si>
    <t>Tiempo: El uso del tiempo fue apropiado, se ajusta al previsto.
Ofrece una conclusión donde condensa las ideas principales del objetivo general y los específicos.</t>
  </si>
  <si>
    <t>HANNA MARGARITA ESCORCIA RAMIREZ</t>
  </si>
  <si>
    <t>Uso de Recursos Audiovisuales Tecnológicos: La sustentación se acompaña de recursos visuales pertinentes, atractivos y de gran calidad</t>
  </si>
  <si>
    <t>TIFFANY LORENA JIMENEZ ALTAHONA</t>
  </si>
  <si>
    <t>DAIRO MANUEL NAVARRO MURILLO</t>
  </si>
  <si>
    <t>FREDY ANTONIO PLAZA HERNANDEZ</t>
  </si>
  <si>
    <t>TITULOS DE LOS PROYECTOS DE AULA</t>
  </si>
  <si>
    <t>GRUPO#1 Análisis comparativo de McDonald's Colombia y Burger King Colombia</t>
  </si>
  <si>
    <t>GRUPO#2 Caracterización de los aspectos administrativos, legales, económicos y de costos de las empresas Leonisa S.A. y Comercializadora Arturo Calle S.A.S.</t>
  </si>
  <si>
    <t>GRUPO#3 Análisis de los aspectos administrativos, legales, económicos y de costos de APPLE y SAMSUNG como empresas participantes en el mismo sector económico</t>
  </si>
  <si>
    <t>GRUPO#4 Análisis comparativo de los aspectos administrativos, legales, económicos y de costos de Alpina y Alquería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</si>
  <si>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</si>
  <si>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</si>
  <si>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</si>
  <si>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</si>
  <si>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</si>
  <si>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</si>
  <si>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</si>
  <si>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</si>
  <si>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</si>
  <si>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</si>
  <si>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</si>
  <si>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</si>
  <si>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</si>
  <si>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</si>
  <si>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</si>
  <si>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</si>
  <si>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</si>
  <si>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</si>
  <si>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N</t>
  </si>
  <si>
    <t>GRUPO#4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</si>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</sst>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0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10" borderId="17" xfId="0" applyFont="1" applyFill="1" applyBorder="1" applyAlignment="1" applyProtection="1">
      <alignment vertical="center" wrapText="1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46" xfId="0" applyNumberFormat="1" applyFont="1" applyFill="1" applyBorder="1" applyAlignment="1" applyProtection="1">
      <alignment horizontal="center" vertical="center" wrapText="1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6" zoomScaleNormal="86" workbookViewId="0">
      <selection activeCell="F5" sqref="F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7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3232</v>
      </c>
      <c r="D6" s="141">
        <v>2211</v>
      </c>
      <c r="E6" s="141">
        <v>2231</v>
      </c>
      <c r="F6" s="141">
        <v>1926</v>
      </c>
      <c r="G6" s="141">
        <v>1415</v>
      </c>
      <c r="H6" s="141">
        <v>1328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53" t="s">
        <v>24</v>
      </c>
      <c r="F8" s="154"/>
      <c r="G8" s="155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56" t="s">
        <v>28</v>
      </c>
      <c r="F9" s="157"/>
      <c r="G9" s="158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59" t="s">
        <v>31</v>
      </c>
      <c r="F10" s="160"/>
      <c r="G10" s="161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56" t="s">
        <v>34</v>
      </c>
      <c r="F11" s="157"/>
      <c r="G11" s="158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59" t="s">
        <v>37</v>
      </c>
      <c r="F12" s="160"/>
      <c r="G12" s="161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2" t="s">
        <v>39</v>
      </c>
      <c r="F13" s="163"/>
      <c r="G13" s="164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65"/>
      <c r="F14" s="166"/>
      <c r="G14" s="167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5"/>
      <c r="F15" s="176"/>
      <c r="G15" s="177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4"/>
      <c r="F17" s="184"/>
      <c r="G17" s="184"/>
      <c r="H17" s="184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1" t="s">
        <v>50</v>
      </c>
      <c r="F18" s="192"/>
      <c r="G18" s="192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1" t="s">
        <v>53</v>
      </c>
      <c r="F19" s="182"/>
      <c r="G19" s="183"/>
      <c r="H19" s="133">
        <v>0.5</v>
      </c>
    </row>
    <row r="20" spans="2:9" ht="15" customHeight="1">
      <c r="B20" s="108">
        <v>12</v>
      </c>
      <c r="C20" s="111" t="s">
        <v>54</v>
      </c>
      <c r="E20" s="185" t="s">
        <v>55</v>
      </c>
      <c r="F20" s="186"/>
      <c r="G20" s="187"/>
      <c r="H20" s="134">
        <v>0.2</v>
      </c>
    </row>
    <row r="21" spans="2:9" ht="15" customHeight="1">
      <c r="B21" s="108">
        <v>13</v>
      </c>
      <c r="C21" s="111" t="s">
        <v>56</v>
      </c>
      <c r="E21" s="193" t="s">
        <v>57</v>
      </c>
      <c r="F21" s="194"/>
      <c r="G21" s="195"/>
      <c r="H21" s="135">
        <v>0.1</v>
      </c>
    </row>
    <row r="22" spans="2:9" ht="15" customHeight="1">
      <c r="B22" s="108">
        <v>14</v>
      </c>
      <c r="C22" s="111" t="s">
        <v>58</v>
      </c>
      <c r="E22" s="185" t="s">
        <v>59</v>
      </c>
      <c r="F22" s="166"/>
      <c r="G22" s="167"/>
      <c r="H22" s="134">
        <v>0.05</v>
      </c>
    </row>
    <row r="23" spans="2:9" ht="15" customHeight="1">
      <c r="B23" s="108">
        <v>15</v>
      </c>
      <c r="C23" s="111" t="s">
        <v>60</v>
      </c>
      <c r="E23" s="193" t="s">
        <v>61</v>
      </c>
      <c r="F23" s="194"/>
      <c r="G23" s="195"/>
      <c r="H23" s="136">
        <v>0.05</v>
      </c>
    </row>
    <row r="24" spans="2:9" ht="15" customHeight="1">
      <c r="B24" s="108">
        <v>16</v>
      </c>
      <c r="C24" s="111" t="s">
        <v>62</v>
      </c>
      <c r="E24" s="185" t="s">
        <v>63</v>
      </c>
      <c r="F24" s="186"/>
      <c r="G24" s="187"/>
      <c r="H24" s="134">
        <v>0.1</v>
      </c>
    </row>
    <row r="25" spans="2:9" ht="15" customHeight="1" thickBot="1">
      <c r="B25" s="108">
        <v>17</v>
      </c>
      <c r="C25" s="111" t="s">
        <v>64</v>
      </c>
      <c r="E25" s="178"/>
      <c r="F25" s="179"/>
      <c r="G25" s="180"/>
      <c r="H25" s="135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8" t="s">
        <v>67</v>
      </c>
      <c r="F28" s="189"/>
      <c r="G28" s="189"/>
      <c r="H28" s="190"/>
    </row>
    <row r="29" spans="2:9" ht="15" customHeight="1" thickBot="1">
      <c r="B29" s="108">
        <v>21</v>
      </c>
      <c r="C29" s="111"/>
      <c r="E29" s="171" t="s">
        <v>68</v>
      </c>
      <c r="F29" s="172"/>
      <c r="G29" s="172"/>
      <c r="H29" s="173"/>
    </row>
    <row r="30" spans="2:9" ht="15" customHeight="1" thickBot="1">
      <c r="B30" s="108">
        <v>22</v>
      </c>
      <c r="C30" s="111"/>
      <c r="E30" s="168" t="s">
        <v>69</v>
      </c>
      <c r="F30" s="169"/>
      <c r="G30" s="169"/>
      <c r="H30" s="170"/>
    </row>
    <row r="31" spans="2:9" ht="15" customHeight="1" thickBot="1">
      <c r="B31" s="108">
        <v>23</v>
      </c>
      <c r="C31" s="111"/>
      <c r="E31" s="171" t="s">
        <v>70</v>
      </c>
      <c r="F31" s="172"/>
      <c r="G31" s="172"/>
      <c r="H31" s="173"/>
    </row>
    <row r="32" spans="2:9" ht="15" customHeight="1">
      <c r="B32" s="108">
        <v>24</v>
      </c>
      <c r="C32" s="111"/>
      <c r="E32" s="174" t="s">
        <v>71</v>
      </c>
      <c r="F32" s="169"/>
      <c r="G32" s="169"/>
      <c r="H32" s="170"/>
    </row>
    <row r="33" spans="2:8" ht="15" customHeight="1" thickBot="1">
      <c r="B33" s="108">
        <v>25</v>
      </c>
      <c r="C33" s="111"/>
      <c r="E33" s="171" t="s">
        <v>72</v>
      </c>
      <c r="F33" s="172"/>
      <c r="G33" s="172"/>
      <c r="H33" s="173"/>
    </row>
    <row r="34" spans="2:8" ht="15" customHeight="1" thickBot="1">
      <c r="B34" s="108">
        <v>26</v>
      </c>
      <c r="C34" s="111"/>
      <c r="E34" s="168" t="s">
        <v>73</v>
      </c>
      <c r="F34" s="169"/>
      <c r="G34" s="169"/>
      <c r="H34" s="170"/>
    </row>
    <row r="35" spans="2:8" ht="15" customHeight="1" thickBot="1">
      <c r="B35" s="108">
        <v>27</v>
      </c>
      <c r="C35" s="111"/>
      <c r="E35" s="171" t="s">
        <v>74</v>
      </c>
      <c r="F35" s="172"/>
      <c r="G35" s="172"/>
      <c r="H35" s="173"/>
    </row>
    <row r="36" spans="2:8" ht="15" customHeight="1" thickBot="1">
      <c r="B36" s="108">
        <v>28</v>
      </c>
      <c r="C36" s="111"/>
      <c r="E36" s="168" t="s">
        <v>75</v>
      </c>
      <c r="F36" s="169"/>
      <c r="G36" s="169"/>
      <c r="H36" s="170"/>
    </row>
    <row r="37" spans="2:8" ht="15" customHeight="1" thickBot="1">
      <c r="B37" s="108">
        <v>29</v>
      </c>
      <c r="C37" s="111"/>
      <c r="E37" s="171" t="s">
        <v>76</v>
      </c>
      <c r="F37" s="172"/>
      <c r="G37" s="172"/>
      <c r="H37" s="173"/>
    </row>
    <row r="38" spans="2:8" ht="15" customHeight="1" thickBot="1">
      <c r="B38" s="108">
        <v>30</v>
      </c>
      <c r="C38" s="111"/>
      <c r="E38" s="168" t="s">
        <v>77</v>
      </c>
      <c r="F38" s="169"/>
      <c r="G38" s="169"/>
      <c r="H38" s="170"/>
    </row>
    <row r="39" spans="2:8" ht="15" customHeight="1" thickBot="1">
      <c r="B39" s="108">
        <v>31</v>
      </c>
      <c r="C39" s="111"/>
      <c r="E39" s="171" t="s">
        <v>78</v>
      </c>
      <c r="F39" s="172"/>
      <c r="G39" s="172"/>
      <c r="H39" s="173"/>
    </row>
    <row r="40" spans="2:8" ht="15" customHeight="1" thickBot="1">
      <c r="B40" s="108">
        <v>32</v>
      </c>
      <c r="C40" s="111"/>
      <c r="E40" s="168" t="s">
        <v>79</v>
      </c>
      <c r="F40" s="169"/>
      <c r="G40" s="169"/>
      <c r="H40" s="170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 Análisis com</v>
      </c>
      <c r="F42" s="116" t="str">
        <f>MID(E30,1,20)</f>
        <v>GRUPO#2 Caracterizac</v>
      </c>
      <c r="G42" s="116" t="str">
        <f>MID(E31,1,20)</f>
        <v xml:space="preserve">GRUPO#3 Análisis de </v>
      </c>
      <c r="H42" s="117" t="str">
        <f>MID(E32,1,20)</f>
        <v>GRUPO#4 Análisis com</v>
      </c>
    </row>
    <row r="43" spans="2:8" ht="15" customHeight="1">
      <c r="B43" s="108">
        <v>35</v>
      </c>
      <c r="C43" s="111"/>
      <c r="E43" s="118" t="s">
        <v>27</v>
      </c>
      <c r="F43" s="119" t="s">
        <v>41</v>
      </c>
      <c r="G43" s="119" t="s">
        <v>52</v>
      </c>
      <c r="H43" s="120" t="s">
        <v>62</v>
      </c>
    </row>
    <row r="44" spans="2:8" ht="15" customHeight="1">
      <c r="B44" s="108">
        <v>36</v>
      </c>
      <c r="C44" s="111"/>
      <c r="E44" s="121" t="s">
        <v>30</v>
      </c>
      <c r="F44" s="122" t="s">
        <v>43</v>
      </c>
      <c r="G44" s="122" t="s">
        <v>54</v>
      </c>
      <c r="H44" s="123" t="s">
        <v>64</v>
      </c>
    </row>
    <row r="45" spans="2:8" ht="15" customHeight="1">
      <c r="B45" s="108">
        <v>37</v>
      </c>
      <c r="C45" s="111"/>
      <c r="E45" s="124" t="s">
        <v>33</v>
      </c>
      <c r="F45" s="125" t="s">
        <v>45</v>
      </c>
      <c r="G45" s="125" t="s">
        <v>56</v>
      </c>
      <c r="H45" s="126" t="s">
        <v>65</v>
      </c>
    </row>
    <row r="46" spans="2:8" ht="15" customHeight="1">
      <c r="B46" s="108">
        <v>38</v>
      </c>
      <c r="C46" s="111"/>
      <c r="E46" s="121" t="s">
        <v>36</v>
      </c>
      <c r="F46" s="122" t="s">
        <v>47</v>
      </c>
      <c r="G46" s="122" t="s">
        <v>58</v>
      </c>
      <c r="H46" s="123" t="s">
        <v>66</v>
      </c>
    </row>
    <row r="47" spans="2:8" ht="15" customHeight="1">
      <c r="B47" s="108">
        <v>39</v>
      </c>
      <c r="C47" s="111"/>
      <c r="E47" s="124" t="s">
        <v>38</v>
      </c>
      <c r="F47" s="125" t="s">
        <v>49</v>
      </c>
      <c r="G47" s="125" t="s">
        <v>60</v>
      </c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4MTmCxGp8StTLBNGbr9wvg9TnurTs7K1iZhlpt8D5fiMebaoNleXcieRjOsUvtB5SeXPniWp9czklaT/oGtOMw==" saltValue="joHRRWiR8wDfhzgPpf2+jQ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4" activePane="bottomRight" state="frozen"/>
      <selection pane="bottomRight" activeCell="F20" sqref="F20:J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7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206" t="s">
        <v>80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CONCATENATE(LIDER!C4," - ",LIDER!C6," - ",LIDER!C5)</f>
        <v>INTRODUCCIÓN A LOS NEGOCIOS IN - 3232 - JEYSSON STEEVEN ANILLO CARRANZA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82</v>
      </c>
      <c r="C5" s="88" t="s">
        <v>83</v>
      </c>
      <c r="D5" s="32" t="s">
        <v>84</v>
      </c>
      <c r="E5" s="89" t="s">
        <v>85</v>
      </c>
      <c r="F5" s="200" t="str">
        <f>LIDER!$E$29</f>
        <v>GRUPO#1 Análisis comparativo de McDonald's Colombia y Burger King Colombia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NASLY GABRIELA BABILONIA MENDOZA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3.6199999999999997</v>
      </c>
      <c r="F6" s="201">
        <v>2.5</v>
      </c>
      <c r="G6" s="198">
        <v>4.0999999999999996</v>
      </c>
      <c r="H6" s="196">
        <v>4</v>
      </c>
      <c r="I6" s="198">
        <v>4.5</v>
      </c>
      <c r="J6" s="196">
        <v>2</v>
      </c>
      <c r="K6" s="198"/>
      <c r="L6" s="196"/>
    </row>
    <row r="7" spans="1:12" s="2" customFormat="1" ht="15" customHeight="1">
      <c r="A7" s="12">
        <v>2</v>
      </c>
      <c r="B7" s="10" t="str">
        <f>LIDER!E44</f>
        <v>DIEGO ANDRES GALINDEZ NAVARRO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3.6199999999999997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JESUS ALBERTO LARA ANGULO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3.6199999999999997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RICHARTH JOSE LOPEZ PUERTA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3.6199999999999997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 t="str">
        <f>LIDER!E47</f>
        <v>MARIA PAULA ROMERO GOMEZ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3.6199999999999997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86</v>
      </c>
      <c r="C12" s="88" t="s">
        <v>87</v>
      </c>
      <c r="D12" s="32" t="str">
        <f>D5</f>
        <v>LIST</v>
      </c>
      <c r="E12" s="89" t="s">
        <v>85</v>
      </c>
      <c r="F12" s="200" t="str">
        <f>LIDER!$E$30</f>
        <v>GRUPO#2 Caracterización de los aspectos administrativos, legales, económicos y de costos de las empresas Leonisa S.A. y Comercializadora Arturo Calle S.A.S.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FABIO ANDRES CALVO WOODBINE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4.21</v>
      </c>
      <c r="F13" s="201">
        <v>4.2</v>
      </c>
      <c r="G13" s="198">
        <v>4.0999999999999996</v>
      </c>
      <c r="H13" s="196">
        <v>4</v>
      </c>
      <c r="I13" s="198">
        <v>4.5</v>
      </c>
      <c r="J13" s="196">
        <v>4.5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KEYLI YONALY GOMEZ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4.21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SANTIAGO QUINTERO TAJAN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4.21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YULIETH PATRICIA RUIZ MEZA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4.21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CAROLAY VALDELAMAR CHAVEZ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4.21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88</v>
      </c>
      <c r="C19" s="88" t="s">
        <v>89</v>
      </c>
      <c r="D19" s="32" t="str">
        <f>D12</f>
        <v>LIST</v>
      </c>
      <c r="E19" s="89" t="s">
        <v>85</v>
      </c>
      <c r="F19" s="200" t="str">
        <f>LIDER!$E$31</f>
        <v>GRUPO#3 Análisis de los aspectos administrativos, legales, económicos y de costos de APPLE y SAMSUNG como empresas participantes en el mismo sector económico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ROBINSON CRISMATT BATISTA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4.17</v>
      </c>
      <c r="F20" s="201">
        <v>4</v>
      </c>
      <c r="G20" s="198">
        <v>4.0999999999999996</v>
      </c>
      <c r="H20" s="196">
        <v>4</v>
      </c>
      <c r="I20" s="198">
        <v>4.5</v>
      </c>
      <c r="J20" s="196">
        <v>4.5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BERMARYS FLORES HERNÁNDEZ</v>
      </c>
      <c r="C21" s="90" t="str">
        <f t="shared" ref="C21:C25" si="2">C20</f>
        <v>G03</v>
      </c>
      <c r="D21" s="96" t="s">
        <v>90</v>
      </c>
      <c r="E21" s="11" t="str">
        <f>IF(B21=0,0,IF(D21="",$F$20*LIDER!$H$9+$G$20*LIDER!$H$10+$H$20*LIDER!$H$11+$I$20*LIDER!$H$12+$J$20*LIDER!$H$13+$K$20*LIDER!$H$14+$L$20*LIDER!$H$15,"N"))</f>
        <v>N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ABRAHAM DAVID RAMOS POSADA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4.17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ALEJANDRO ENRIQUE ROCHA ALCALA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4.17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JHONATAN MIGUEL ROJAS BELTRÁN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4.17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91</v>
      </c>
      <c r="C26" s="88" t="s">
        <v>92</v>
      </c>
      <c r="D26" s="32" t="str">
        <f>D19</f>
        <v>LIST</v>
      </c>
      <c r="E26" s="89" t="s">
        <v>85</v>
      </c>
      <c r="F26" s="200" t="str">
        <f>LIDER!$E$32</f>
        <v>GRUPO#4 Análisis comparativo de los aspectos administrativos, legales, económicos y de costos de Alpina y Alquería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HANNA MARGARITA ESCORCIA RAMIREZ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4.26</v>
      </c>
      <c r="F27" s="201">
        <v>4.2</v>
      </c>
      <c r="G27" s="198">
        <v>4.2</v>
      </c>
      <c r="H27" s="196">
        <v>4</v>
      </c>
      <c r="I27" s="198">
        <v>4.5999999999999996</v>
      </c>
      <c r="J27" s="196">
        <v>4.5999999999999996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TIFFANY LORENA JIMENEZ ALTAHONA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4.26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DAIRO MANUEL NAVARRO MURILLO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4.26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FREDY ANTONIO PLAZA HERNANDEZ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4.26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72</v>
      </c>
      <c r="C33" s="88" t="s">
        <v>93</v>
      </c>
      <c r="D33" s="32" t="str">
        <f>D26</f>
        <v>LIST</v>
      </c>
      <c r="E33" s="89" t="s">
        <v>85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73</v>
      </c>
      <c r="C40" s="88" t="s">
        <v>94</v>
      </c>
      <c r="D40" s="32" t="str">
        <f>D33</f>
        <v>LIST</v>
      </c>
      <c r="E40" s="89" t="s">
        <v>85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74</v>
      </c>
      <c r="C47" s="88" t="s">
        <v>95</v>
      </c>
      <c r="D47" s="32" t="str">
        <f>D40</f>
        <v>LIST</v>
      </c>
      <c r="E47" s="89" t="s">
        <v>85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75</v>
      </c>
      <c r="C54" s="88" t="s">
        <v>96</v>
      </c>
      <c r="D54" s="32" t="str">
        <f>D47</f>
        <v>LIST</v>
      </c>
      <c r="E54" s="89" t="s">
        <v>85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76</v>
      </c>
      <c r="C61" s="88" t="s">
        <v>97</v>
      </c>
      <c r="D61" s="32" t="str">
        <f>D54</f>
        <v>LIST</v>
      </c>
      <c r="E61" s="89" t="s">
        <v>85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77</v>
      </c>
      <c r="C68" s="88" t="s">
        <v>98</v>
      </c>
      <c r="D68" s="32" t="str">
        <f>D61</f>
        <v>LIST</v>
      </c>
      <c r="E68" s="89" t="s">
        <v>85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78</v>
      </c>
      <c r="C75" s="88" t="s">
        <v>99</v>
      </c>
      <c r="D75" s="32" t="str">
        <f>D68</f>
        <v>LIST</v>
      </c>
      <c r="E75" s="89" t="s">
        <v>85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79</v>
      </c>
      <c r="C82" s="88" t="s">
        <v>100</v>
      </c>
      <c r="D82" s="32" t="str">
        <f>D75</f>
        <v>LIST</v>
      </c>
      <c r="E82" s="89" t="s">
        <v>85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7</v>
      </c>
    </row>
    <row r="2" spans="1:12" s="2" customFormat="1" ht="20.100000000000001" customHeight="1" thickBot="1">
      <c r="B2" s="81" t="str">
        <f>LIDER!D4</f>
        <v>COSTOS Y PRESUPUESTO</v>
      </c>
      <c r="C2" s="82"/>
      <c r="D2" s="3"/>
      <c r="F2" s="206" t="s">
        <v>80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CONCATENATE(LIDER!D4," - ",LIDER!D6," - ",LIDER!D5)</f>
        <v>COSTOS Y PRESUPUESTO - 2211 - HAROLD TERRIL CARABALLO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82</v>
      </c>
      <c r="C5" s="88" t="s">
        <v>83</v>
      </c>
      <c r="D5" s="32" t="s">
        <v>84</v>
      </c>
      <c r="E5" s="89" t="s">
        <v>85</v>
      </c>
      <c r="F5" s="200" t="str">
        <f>LIDER!$E$29</f>
        <v>GRUPO#1 Análisis comparativo de McDonald's Colombia y Burger King Colombia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NASLY GABRIELA BABILONIA MENDOZA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/>
      <c r="G6" s="198"/>
      <c r="H6" s="196"/>
      <c r="I6" s="198"/>
      <c r="J6" s="196"/>
      <c r="K6" s="198"/>
      <c r="L6" s="196"/>
    </row>
    <row r="7" spans="1:12" s="2" customFormat="1" ht="15" customHeight="1">
      <c r="A7" s="12">
        <v>2</v>
      </c>
      <c r="B7" s="10" t="str">
        <f>LIDER!E44</f>
        <v>DIEGO ANDRES GALINDEZ NAVARRO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JESUS ALBERTO LARA ANGULO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RICHARTH JOSE LOPEZ PUERTA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 t="str">
        <f>LIDER!E47</f>
        <v>MARIA PAULA ROMERO GOMEZ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86</v>
      </c>
      <c r="C12" s="88" t="s">
        <v>87</v>
      </c>
      <c r="D12" s="32" t="str">
        <f>D5</f>
        <v>LIST</v>
      </c>
      <c r="E12" s="89" t="s">
        <v>85</v>
      </c>
      <c r="F12" s="200" t="str">
        <f>LIDER!$E$30</f>
        <v>GRUPO#2 Caracterización de los aspectos administrativos, legales, económicos y de costos de las empresas Leonisa S.A. y Comercializadora Arturo Calle S.A.S.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FABIO ANDRES CALVO WOODBINE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1"/>
      <c r="G13" s="198"/>
      <c r="H13" s="196"/>
      <c r="I13" s="198"/>
      <c r="J13" s="196"/>
      <c r="K13" s="198"/>
      <c r="L13" s="196"/>
    </row>
    <row r="14" spans="1:12" s="2" customFormat="1" ht="15" customHeight="1">
      <c r="A14" s="12">
        <v>2</v>
      </c>
      <c r="B14" s="10" t="str">
        <f>LIDER!F44</f>
        <v>KEYLI YONALY GOMEZ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SANTIAGO QUINTERO TAJAN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YULIETH PATRICIA RUIZ MEZA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CAROLAY VALDELAMAR CHAVEZ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88</v>
      </c>
      <c r="C19" s="88" t="s">
        <v>89</v>
      </c>
      <c r="D19" s="32" t="str">
        <f>D12</f>
        <v>LIST</v>
      </c>
      <c r="E19" s="89" t="s">
        <v>85</v>
      </c>
      <c r="F19" s="200" t="str">
        <f>LIDER!$E$31</f>
        <v>GRUPO#3 Análisis de los aspectos administrativos, legales, económicos y de costos de APPLE y SAMSUNG como empresas participantes en el mismo sector económico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ROBINSON CRISMATT BATISTA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1"/>
      <c r="G20" s="198"/>
      <c r="H20" s="196"/>
      <c r="I20" s="198"/>
      <c r="J20" s="196"/>
      <c r="K20" s="198"/>
      <c r="L20" s="196"/>
    </row>
    <row r="21" spans="1:12" s="2" customFormat="1" ht="15" customHeight="1">
      <c r="A21" s="12">
        <v>2</v>
      </c>
      <c r="B21" s="10" t="str">
        <f>LIDER!G44</f>
        <v>BERMARYS FLORES HERNÁNDEZ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ABRAHAM DAVID RAMOS POSADA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ALEJANDRO ENRIQUE ROCHA ALCALA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JHONATAN MIGUEL ROJAS BELTRÁN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91</v>
      </c>
      <c r="C26" s="88" t="s">
        <v>92</v>
      </c>
      <c r="D26" s="32" t="str">
        <f>D19</f>
        <v>LIST</v>
      </c>
      <c r="E26" s="89" t="s">
        <v>85</v>
      </c>
      <c r="F26" s="200" t="str">
        <f>LIDER!$E$32</f>
        <v>GRUPO#4 Análisis comparativo de los aspectos administrativos, legales, económicos y de costos de Alpina y Alquería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HANNA MARGARITA ESCORCIA RAMIREZ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TIFFANY LORENA JIMENEZ ALTAHONA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DAIRO MANUEL NAVARRO MURILLO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FREDY ANTONIO PLAZA HERNANDEZ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72</v>
      </c>
      <c r="C33" s="88" t="s">
        <v>93</v>
      </c>
      <c r="D33" s="32" t="str">
        <f>D26</f>
        <v>LIST</v>
      </c>
      <c r="E33" s="89" t="s">
        <v>85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73</v>
      </c>
      <c r="C40" s="88" t="s">
        <v>94</v>
      </c>
      <c r="D40" s="32" t="str">
        <f>D33</f>
        <v>LIST</v>
      </c>
      <c r="E40" s="89" t="s">
        <v>85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74</v>
      </c>
      <c r="C47" s="88" t="s">
        <v>95</v>
      </c>
      <c r="D47" s="32" t="str">
        <f>D40</f>
        <v>LIST</v>
      </c>
      <c r="E47" s="89" t="s">
        <v>85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75</v>
      </c>
      <c r="C54" s="88" t="s">
        <v>96</v>
      </c>
      <c r="D54" s="32" t="str">
        <f>D47</f>
        <v>LIST</v>
      </c>
      <c r="E54" s="89" t="s">
        <v>85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76</v>
      </c>
      <c r="C61" s="88" t="s">
        <v>97</v>
      </c>
      <c r="D61" s="32" t="str">
        <f>D54</f>
        <v>LIST</v>
      </c>
      <c r="E61" s="89" t="s">
        <v>85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77</v>
      </c>
      <c r="C68" s="88" t="s">
        <v>98</v>
      </c>
      <c r="D68" s="32" t="str">
        <f>D61</f>
        <v>LIST</v>
      </c>
      <c r="E68" s="89" t="s">
        <v>85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78</v>
      </c>
      <c r="C75" s="88" t="s">
        <v>99</v>
      </c>
      <c r="D75" s="32" t="str">
        <f>D68</f>
        <v>LIST</v>
      </c>
      <c r="E75" s="89" t="s">
        <v>85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79</v>
      </c>
      <c r="C82" s="88" t="s">
        <v>100</v>
      </c>
      <c r="D82" s="32" t="str">
        <f>D75</f>
        <v>LIST</v>
      </c>
      <c r="E82" s="89" t="s">
        <v>85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20" sqref="F20:F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7</v>
      </c>
    </row>
    <row r="2" spans="1:12" s="2" customFormat="1" ht="20.100000000000001" customHeight="1" thickBot="1">
      <c r="B2" s="81" t="str">
        <f>LIDER!E4</f>
        <v>LEGISLACION EMPRESARIAL</v>
      </c>
      <c r="C2" s="82"/>
      <c r="D2" s="3"/>
      <c r="F2" s="206" t="s">
        <v>80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CONCATENATE(LIDER!E4," - ",LIDER!E6," - ",LIDER!E5)</f>
        <v>LEGISLACION EMPRESARIAL - 2231 - MELISSA LOPEZ ROMERO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82</v>
      </c>
      <c r="C5" s="88" t="s">
        <v>83</v>
      </c>
      <c r="D5" s="32" t="s">
        <v>84</v>
      </c>
      <c r="E5" s="89" t="s">
        <v>85</v>
      </c>
      <c r="F5" s="200" t="str">
        <f>LIDER!$E$29</f>
        <v>GRUPO#1 Análisis comparativo de McDonald's Colombia y Burger King Colombia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NASLY GABRIELA BABILONIA MENDOZA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3.73</v>
      </c>
      <c r="F6" s="201">
        <v>4</v>
      </c>
      <c r="G6" s="198">
        <v>3.5</v>
      </c>
      <c r="H6" s="196">
        <v>3.5</v>
      </c>
      <c r="I6" s="198">
        <v>3.4</v>
      </c>
      <c r="J6" s="196">
        <v>5</v>
      </c>
      <c r="K6" s="198"/>
      <c r="L6" s="196"/>
    </row>
    <row r="7" spans="1:12" s="2" customFormat="1" ht="15" customHeight="1">
      <c r="A7" s="12">
        <v>2</v>
      </c>
      <c r="B7" s="10" t="str">
        <f>LIDER!E44</f>
        <v>DIEGO ANDRES GALINDEZ NAVARRO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3.73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JESUS ALBERTO LARA ANGULO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3.73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RICHARTH JOSE LOPEZ PUERTA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3.73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 t="str">
        <f>LIDER!E47</f>
        <v>MARIA PAULA ROMERO GOMEZ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3.73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86</v>
      </c>
      <c r="C12" s="88" t="s">
        <v>87</v>
      </c>
      <c r="D12" s="32" t="str">
        <f>D5</f>
        <v>LIST</v>
      </c>
      <c r="E12" s="89" t="s">
        <v>85</v>
      </c>
      <c r="F12" s="200" t="str">
        <f>LIDER!$E$30</f>
        <v>GRUPO#2 Caracterización de los aspectos administrativos, legales, económicos y de costos de las empresas Leonisa S.A. y Comercializadora Arturo Calle S.A.S.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FABIO ANDRES CALVO WOODBINE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3.95</v>
      </c>
      <c r="F13" s="201">
        <v>4</v>
      </c>
      <c r="G13" s="198">
        <v>4</v>
      </c>
      <c r="H13" s="196">
        <v>3.5</v>
      </c>
      <c r="I13" s="198">
        <v>4</v>
      </c>
      <c r="J13" s="210">
        <v>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KEYLI YONALY GOMEZ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3.95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SANTIAGO QUINTERO TAJAN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3.95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YULIETH PATRICIA RUIZ MEZA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3.95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CAROLAY VALDELAMAR CHAVEZ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3.95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88</v>
      </c>
      <c r="C19" s="88" t="s">
        <v>89</v>
      </c>
      <c r="D19" s="32" t="str">
        <f>D12</f>
        <v>LIST</v>
      </c>
      <c r="E19" s="89" t="s">
        <v>85</v>
      </c>
      <c r="F19" s="200" t="str">
        <f>LIDER!$E$31</f>
        <v>GRUPO#3 Análisis de los aspectos administrativos, legales, económicos y de costos de APPLE y SAMSUNG como empresas participantes en el mismo sector económico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ROBINSON CRISMATT BATISTA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4.0599999999999996</v>
      </c>
      <c r="F20" s="201">
        <v>4</v>
      </c>
      <c r="G20" s="198">
        <v>4</v>
      </c>
      <c r="H20" s="196">
        <v>4</v>
      </c>
      <c r="I20" s="198">
        <v>3.8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BERMARYS FLORES HERNÁNDEZ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4.0599999999999996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ABRAHAM DAVID RAMOS POSADA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4.0599999999999996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ALEJANDRO ENRIQUE ROCHA ALCALA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4.0599999999999996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JHONATAN MIGUEL ROJAS BELTRÁN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4.0599999999999996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91</v>
      </c>
      <c r="C26" s="88" t="s">
        <v>92</v>
      </c>
      <c r="D26" s="32" t="str">
        <f>D19</f>
        <v>LIST</v>
      </c>
      <c r="E26" s="89" t="s">
        <v>85</v>
      </c>
      <c r="F26" s="200" t="str">
        <f>LIDER!$E$32</f>
        <v>GRUPO#4 Análisis comparativo de los aspectos administrativos, legales, económicos y de costos de Alpina y Alquería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HANNA MARGARITA ESCORCIA RAMIREZ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4.3000000000000007</v>
      </c>
      <c r="F27" s="201">
        <v>4</v>
      </c>
      <c r="G27" s="198">
        <v>4.5</v>
      </c>
      <c r="H27" s="196">
        <v>4</v>
      </c>
      <c r="I27" s="198">
        <v>4.5</v>
      </c>
      <c r="J27" s="196">
        <v>5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TIFFANY LORENA JIMENEZ ALTAHONA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4.3000000000000007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DAIRO MANUEL NAVARRO MURILLO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4.3000000000000007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FREDY ANTONIO PLAZA HERNANDEZ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4.3000000000000007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72</v>
      </c>
      <c r="C33" s="88" t="s">
        <v>93</v>
      </c>
      <c r="D33" s="32" t="str">
        <f>D26</f>
        <v>LIST</v>
      </c>
      <c r="E33" s="89" t="s">
        <v>85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73</v>
      </c>
      <c r="C40" s="88" t="s">
        <v>94</v>
      </c>
      <c r="D40" s="32" t="str">
        <f>D33</f>
        <v>LIST</v>
      </c>
      <c r="E40" s="89" t="s">
        <v>85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74</v>
      </c>
      <c r="C47" s="88" t="s">
        <v>95</v>
      </c>
      <c r="D47" s="32" t="str">
        <f>D40</f>
        <v>LIST</v>
      </c>
      <c r="E47" s="89" t="s">
        <v>85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75</v>
      </c>
      <c r="C54" s="88" t="s">
        <v>96</v>
      </c>
      <c r="D54" s="32" t="str">
        <f>D47</f>
        <v>LIST</v>
      </c>
      <c r="E54" s="89" t="s">
        <v>85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76</v>
      </c>
      <c r="C61" s="88" t="s">
        <v>97</v>
      </c>
      <c r="D61" s="32" t="str">
        <f>D54</f>
        <v>LIST</v>
      </c>
      <c r="E61" s="89" t="s">
        <v>85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77</v>
      </c>
      <c r="C68" s="88" t="s">
        <v>98</v>
      </c>
      <c r="D68" s="32" t="str">
        <f>D61</f>
        <v>LIST</v>
      </c>
      <c r="E68" s="89" t="s">
        <v>85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78</v>
      </c>
      <c r="C75" s="88" t="s">
        <v>99</v>
      </c>
      <c r="D75" s="32" t="str">
        <f>D68</f>
        <v>LIST</v>
      </c>
      <c r="E75" s="89" t="s">
        <v>85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79</v>
      </c>
      <c r="C82" s="88" t="s">
        <v>100</v>
      </c>
      <c r="D82" s="32" t="str">
        <f>D75</f>
        <v>LIST</v>
      </c>
      <c r="E82" s="89" t="s">
        <v>85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13" sqref="F13:F18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7</v>
      </c>
    </row>
    <row r="2" spans="1:12" s="2" customFormat="1" ht="20.100000000000001" customHeight="1" thickBot="1">
      <c r="B2" s="81" t="str">
        <f>LIDER!F4</f>
        <v>SEMINARIO INVESTIGATIVO</v>
      </c>
      <c r="C2" s="82"/>
      <c r="D2" s="3"/>
      <c r="F2" s="206" t="s">
        <v>80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CONCATENATE(LIDER!F4," - ",LIDER!F6," - ",LIDER!F5)</f>
        <v>SEMINARIO INVESTIGATIVO - 1926 - JAIME EDUARDO GONZALEZ DIAZ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82</v>
      </c>
      <c r="C5" s="88" t="s">
        <v>83</v>
      </c>
      <c r="D5" s="32" t="s">
        <v>84</v>
      </c>
      <c r="E5" s="89" t="s">
        <v>85</v>
      </c>
      <c r="F5" s="200" t="str">
        <f>LIDER!$E$29</f>
        <v>GRUPO#1 Análisis comparativo de McDonald's Colombia y Burger King Colombia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NASLY GABRIELA BABILONIA MENDOZA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3.4000000000000004</v>
      </c>
      <c r="F6" s="201">
        <v>2</v>
      </c>
      <c r="G6" s="198">
        <v>4</v>
      </c>
      <c r="H6" s="196">
        <v>4</v>
      </c>
      <c r="I6" s="198">
        <v>5</v>
      </c>
      <c r="J6" s="196">
        <v>0</v>
      </c>
      <c r="K6" s="198"/>
      <c r="L6" s="196"/>
    </row>
    <row r="7" spans="1:12" s="2" customFormat="1" ht="15" customHeight="1">
      <c r="A7" s="12">
        <v>2</v>
      </c>
      <c r="B7" s="10" t="str">
        <f>LIDER!E44</f>
        <v>DIEGO ANDRES GALINDEZ NAVARRO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3.4000000000000004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JESUS ALBERTO LARA ANGULO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3.4000000000000004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RICHARTH JOSE LOPEZ PUERTA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3.4000000000000004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 t="str">
        <f>LIDER!E47</f>
        <v>MARIA PAULA ROMERO GOMEZ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3.4000000000000004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86</v>
      </c>
      <c r="C12" s="88" t="s">
        <v>87</v>
      </c>
      <c r="D12" s="32" t="str">
        <f>D5</f>
        <v>LIST</v>
      </c>
      <c r="E12" s="89" t="s">
        <v>85</v>
      </c>
      <c r="F12" s="200" t="str">
        <f>LIDER!$E$30</f>
        <v>GRUPO#2 Caracterización de los aspectos administrativos, legales, económicos y de costos de las empresas Leonisa S.A. y Comercializadora Arturo Calle S.A.S.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FABIO ANDRES CALVO WOODBINE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</v>
      </c>
      <c r="F13" s="201">
        <v>4</v>
      </c>
      <c r="G13" s="198">
        <v>4</v>
      </c>
      <c r="H13" s="196">
        <v>4</v>
      </c>
      <c r="I13" s="198">
        <v>5</v>
      </c>
      <c r="J13" s="196">
        <v>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KEYLI YONALY GOMEZ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SANTIAGO QUINTERO TAJAN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YULIETH PATRICIA RUIZ MEZA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CAROLAY VALDELAMAR CHAVEZ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88</v>
      </c>
      <c r="C19" s="88" t="s">
        <v>89</v>
      </c>
      <c r="D19" s="32" t="str">
        <f>D12</f>
        <v>LIST</v>
      </c>
      <c r="E19" s="89" t="s">
        <v>85</v>
      </c>
      <c r="F19" s="200" t="str">
        <f>LIDER!$E$31</f>
        <v>GRUPO#3 Análisis de los aspectos administrativos, legales, económicos y de costos de APPLE y SAMSUNG como empresas participantes en el mismo sector económico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ROBINSON CRISMATT BATISTA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4.3</v>
      </c>
      <c r="F20" s="201">
        <v>4</v>
      </c>
      <c r="G20" s="198">
        <v>4</v>
      </c>
      <c r="H20" s="196">
        <v>4</v>
      </c>
      <c r="I20" s="198">
        <v>5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BERMARYS FLORES HERNÁNDEZ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4.3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ABRAHAM DAVID RAMOS POSADA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4.3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ALEJANDRO ENRIQUE ROCHA ALCALA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4.3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JHONATAN MIGUEL ROJAS BELTRÁN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4.3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91</v>
      </c>
      <c r="C26" s="88" t="s">
        <v>92</v>
      </c>
      <c r="D26" s="32" t="str">
        <f>D19</f>
        <v>LIST</v>
      </c>
      <c r="E26" s="89" t="s">
        <v>85</v>
      </c>
      <c r="F26" s="200" t="str">
        <f>LIDER!$E$32</f>
        <v>GRUPO#4 Análisis comparativo de los aspectos administrativos, legales, económicos y de costos de Alpina y Alquería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HANNA MARGARITA ESCORCIA RAMIREZ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</v>
      </c>
      <c r="F27" s="201">
        <v>4</v>
      </c>
      <c r="G27" s="198">
        <v>4</v>
      </c>
      <c r="H27" s="196">
        <v>4</v>
      </c>
      <c r="I27" s="198">
        <v>5</v>
      </c>
      <c r="J27" s="196">
        <v>5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TIFFANY LORENA JIMENEZ ALTAHONA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DAIRO MANUEL NAVARRO MURILLO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FREDY ANTONIO PLAZA HERNANDEZ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72</v>
      </c>
      <c r="C33" s="88" t="s">
        <v>93</v>
      </c>
      <c r="D33" s="32" t="str">
        <f>D26</f>
        <v>LIST</v>
      </c>
      <c r="E33" s="89" t="s">
        <v>85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73</v>
      </c>
      <c r="C40" s="88" t="s">
        <v>94</v>
      </c>
      <c r="D40" s="32" t="str">
        <f>D33</f>
        <v>LIST</v>
      </c>
      <c r="E40" s="89" t="s">
        <v>85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74</v>
      </c>
      <c r="C47" s="88" t="s">
        <v>95</v>
      </c>
      <c r="D47" s="32" t="str">
        <f>D40</f>
        <v>LIST</v>
      </c>
      <c r="E47" s="89" t="s">
        <v>85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75</v>
      </c>
      <c r="C54" s="88" t="s">
        <v>96</v>
      </c>
      <c r="D54" s="32" t="str">
        <f>D47</f>
        <v>LIST</v>
      </c>
      <c r="E54" s="89" t="s">
        <v>85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76</v>
      </c>
      <c r="C61" s="88" t="s">
        <v>97</v>
      </c>
      <c r="D61" s="32" t="str">
        <f>D54</f>
        <v>LIST</v>
      </c>
      <c r="E61" s="89" t="s">
        <v>85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77</v>
      </c>
      <c r="C68" s="88" t="s">
        <v>98</v>
      </c>
      <c r="D68" s="32" t="str">
        <f>D61</f>
        <v>LIST</v>
      </c>
      <c r="E68" s="89" t="s">
        <v>85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78</v>
      </c>
      <c r="C75" s="88" t="s">
        <v>99</v>
      </c>
      <c r="D75" s="32" t="str">
        <f>D68</f>
        <v>LIST</v>
      </c>
      <c r="E75" s="89" t="s">
        <v>85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79</v>
      </c>
      <c r="C82" s="88" t="s">
        <v>100</v>
      </c>
      <c r="D82" s="32" t="str">
        <f>D75</f>
        <v>LIST</v>
      </c>
      <c r="E82" s="89" t="s">
        <v>85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27" sqref="F27:J3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7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206" t="s">
        <v>80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CONCATENATE(LIDER!G4," - ",LIDER!G6," - ",LIDER!G5)</f>
        <v>ECONOMÍA GENERAL - 1415 - PAULO FONTALVO VELEZ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82</v>
      </c>
      <c r="C5" s="88" t="s">
        <v>83</v>
      </c>
      <c r="D5" s="32" t="s">
        <v>84</v>
      </c>
      <c r="E5" s="89" t="s">
        <v>85</v>
      </c>
      <c r="F5" s="200" t="str">
        <f>LIDER!$E$29</f>
        <v>GRUPO#1 Análisis comparativo de McDonald's Colombia y Burger King Colombia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NASLY GABRIELA BABILONIA MENDOZA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4.05</v>
      </c>
      <c r="F6" s="201">
        <v>3.5</v>
      </c>
      <c r="G6" s="198">
        <v>4.2</v>
      </c>
      <c r="H6" s="196">
        <v>4.2</v>
      </c>
      <c r="I6" s="198">
        <v>4.5</v>
      </c>
      <c r="J6" s="196">
        <v>3.5</v>
      </c>
      <c r="K6" s="198"/>
      <c r="L6" s="196"/>
    </row>
    <row r="7" spans="1:12" s="2" customFormat="1" ht="15" customHeight="1">
      <c r="A7" s="12">
        <v>2</v>
      </c>
      <c r="B7" s="10" t="str">
        <f>LIDER!E44</f>
        <v>DIEGO ANDRES GALINDEZ NAVARRO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4.05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JESUS ALBERTO LARA ANGULO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4.05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RICHARTH JOSE LOPEZ PUERTA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4.05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 t="str">
        <f>LIDER!E47</f>
        <v>MARIA PAULA ROMERO GOMEZ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4.05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86</v>
      </c>
      <c r="C12" s="88" t="s">
        <v>87</v>
      </c>
      <c r="D12" s="32" t="str">
        <f>D5</f>
        <v>LIST</v>
      </c>
      <c r="E12" s="89" t="s">
        <v>85</v>
      </c>
      <c r="F12" s="200" t="str">
        <f>LIDER!$E$30</f>
        <v>GRUPO#2 Caracterización de los aspectos administrativos, legales, económicos y de costos de las empresas Leonisa S.A. y Comercializadora Arturo Calle S.A.S.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FABIO ANDRES CALVO WOODBINE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4.62</v>
      </c>
      <c r="F13" s="201">
        <v>4.5</v>
      </c>
      <c r="G13" s="198">
        <v>4.5</v>
      </c>
      <c r="H13" s="196">
        <v>4.4000000000000004</v>
      </c>
      <c r="I13" s="198">
        <v>5</v>
      </c>
      <c r="J13" s="196">
        <v>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KEYLI YONALY GOMEZ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4.62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SANTIAGO QUINTERO TAJAN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4.62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YULIETH PATRICIA RUIZ MEZA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4.62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CAROLAY VALDELAMAR CHAVEZ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4.62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88</v>
      </c>
      <c r="C19" s="88" t="s">
        <v>89</v>
      </c>
      <c r="D19" s="32" t="str">
        <f>D12</f>
        <v>LIST</v>
      </c>
      <c r="E19" s="89" t="s">
        <v>85</v>
      </c>
      <c r="F19" s="200" t="str">
        <f>LIDER!$E$31</f>
        <v>GRUPO#3 Análisis de los aspectos administrativos, legales, económicos y de costos de APPLE y SAMSUNG como empresas participantes en el mismo sector económico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ROBINSON CRISMATT BATISTA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3.8200000000000003</v>
      </c>
      <c r="F20" s="201">
        <v>3</v>
      </c>
      <c r="G20" s="198">
        <v>3.8</v>
      </c>
      <c r="H20" s="196">
        <v>4</v>
      </c>
      <c r="I20" s="198">
        <v>3.8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BERMARYS FLORES HERNÁNDEZ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3.8200000000000003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ABRAHAM DAVID RAMOS POSADA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3.8200000000000003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ALEJANDRO ENRIQUE ROCHA ALCALA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3.8200000000000003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JHONATAN MIGUEL ROJAS BELTRÁN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3.8200000000000003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91</v>
      </c>
      <c r="C26" s="88" t="s">
        <v>92</v>
      </c>
      <c r="D26" s="32" t="str">
        <f>D19</f>
        <v>LIST</v>
      </c>
      <c r="E26" s="89" t="s">
        <v>85</v>
      </c>
      <c r="F26" s="200" t="str">
        <f>LIDER!$E$32</f>
        <v>GRUPO#4 Análisis comparativo de los aspectos administrativos, legales, económicos y de costos de Alpina y Alquería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HANNA MARGARITA ESCORCIA RAMIREZ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4.3599999999999994</v>
      </c>
      <c r="F27" s="201">
        <v>4</v>
      </c>
      <c r="G27" s="198">
        <v>4.5</v>
      </c>
      <c r="H27" s="196">
        <v>4.2</v>
      </c>
      <c r="I27" s="198">
        <v>4.5</v>
      </c>
      <c r="J27" s="196">
        <v>5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TIFFANY LORENA JIMENEZ ALTAHONA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4.3599999999999994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DAIRO MANUEL NAVARRO MURILLO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4.3599999999999994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FREDY ANTONIO PLAZA HERNANDEZ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4.3599999999999994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72</v>
      </c>
      <c r="C33" s="88" t="s">
        <v>93</v>
      </c>
      <c r="D33" s="32" t="str">
        <f>D26</f>
        <v>LIST</v>
      </c>
      <c r="E33" s="89" t="s">
        <v>85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73</v>
      </c>
      <c r="C40" s="88" t="s">
        <v>94</v>
      </c>
      <c r="D40" s="32" t="str">
        <f>D33</f>
        <v>LIST</v>
      </c>
      <c r="E40" s="89" t="s">
        <v>85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74</v>
      </c>
      <c r="C47" s="88" t="s">
        <v>95</v>
      </c>
      <c r="D47" s="32" t="str">
        <f>D40</f>
        <v>LIST</v>
      </c>
      <c r="E47" s="89" t="s">
        <v>85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75</v>
      </c>
      <c r="C54" s="88" t="s">
        <v>96</v>
      </c>
      <c r="D54" s="32" t="str">
        <f>D47</f>
        <v>LIST</v>
      </c>
      <c r="E54" s="89" t="s">
        <v>85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76</v>
      </c>
      <c r="C61" s="88" t="s">
        <v>97</v>
      </c>
      <c r="D61" s="32" t="str">
        <f>D54</f>
        <v>LIST</v>
      </c>
      <c r="E61" s="89" t="s">
        <v>85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77</v>
      </c>
      <c r="C68" s="88" t="s">
        <v>98</v>
      </c>
      <c r="D68" s="32" t="str">
        <f>D61</f>
        <v>LIST</v>
      </c>
      <c r="E68" s="89" t="s">
        <v>85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78</v>
      </c>
      <c r="C75" s="88" t="s">
        <v>99</v>
      </c>
      <c r="D75" s="32" t="str">
        <f>D68</f>
        <v>LIST</v>
      </c>
      <c r="E75" s="89" t="s">
        <v>85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79</v>
      </c>
      <c r="C82" s="88" t="s">
        <v>100</v>
      </c>
      <c r="D82" s="32" t="str">
        <f>D75</f>
        <v>LIST</v>
      </c>
      <c r="E82" s="89" t="s">
        <v>85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tabSelected="1" workbookViewId="0">
      <pane xSplit="5" ySplit="3" topLeftCell="F4" activePane="bottomRight" state="frozen"/>
      <selection pane="bottomRight" activeCell="I20" sqref="I20:I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7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6" t="s">
        <v>80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CONCATENATE(LIDER!H4," - ",LIDER!H6," - ",LIDER!H5)</f>
        <v>PROCESO ADMINISTRATIVO - 1328 - JUAN SEBASTIAN HERNANDEZ COBOS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82</v>
      </c>
      <c r="C5" s="88" t="s">
        <v>83</v>
      </c>
      <c r="D5" s="32" t="s">
        <v>84</v>
      </c>
      <c r="E5" s="89" t="s">
        <v>85</v>
      </c>
      <c r="F5" s="200" t="str">
        <f>LIDER!$E$29</f>
        <v>GRUPO#1 Análisis comparativo de McDonald's Colombia y Burger King Colombia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NASLY GABRIELA BABILONIA MENDOZA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3.2900000000000005</v>
      </c>
      <c r="F6" s="201">
        <v>2</v>
      </c>
      <c r="G6" s="198">
        <v>3.5</v>
      </c>
      <c r="H6" s="196">
        <v>3.5</v>
      </c>
      <c r="I6" s="198">
        <v>3.7</v>
      </c>
      <c r="J6" s="196">
        <v>4</v>
      </c>
      <c r="K6" s="198"/>
      <c r="L6" s="196"/>
    </row>
    <row r="7" spans="1:12" s="2" customFormat="1" ht="15" customHeight="1">
      <c r="A7" s="12">
        <v>2</v>
      </c>
      <c r="B7" s="10" t="str">
        <f>LIDER!E44</f>
        <v>DIEGO ANDRES GALINDEZ NAVARRO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3.2900000000000005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JESUS ALBERTO LARA ANGULO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3.2900000000000005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RICHARTH JOSE LOPEZ PUERTA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3.2900000000000005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 t="str">
        <f>LIDER!E47</f>
        <v>MARIA PAULA ROMERO GOMEZ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3.2900000000000005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86</v>
      </c>
      <c r="C12" s="88" t="s">
        <v>87</v>
      </c>
      <c r="D12" s="32" t="str">
        <f>D5</f>
        <v>LIST</v>
      </c>
      <c r="E12" s="89" t="s">
        <v>85</v>
      </c>
      <c r="F12" s="200" t="str">
        <f>LIDER!$E$30</f>
        <v>GRUPO#2 Caracterización de los aspectos administrativos, legales, económicos y de costos de las empresas Leonisa S.A. y Comercializadora Arturo Calle S.A.S.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FABIO ANDRES CALVO WOODBINE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4.03</v>
      </c>
      <c r="F13" s="201">
        <v>4</v>
      </c>
      <c r="G13" s="198">
        <v>4.0999999999999996</v>
      </c>
      <c r="H13" s="196">
        <v>4</v>
      </c>
      <c r="I13" s="198">
        <v>3.8</v>
      </c>
      <c r="J13" s="196">
        <v>4.5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KEYLI YONALY GOMEZ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4.03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SANTIAGO QUINTERO TAJAN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4.03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YULIETH PATRICIA RUIZ MEZA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4.03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CAROLAY VALDELAMAR CHAVEZ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4.03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88</v>
      </c>
      <c r="C19" s="88" t="s">
        <v>89</v>
      </c>
      <c r="D19" s="32" t="str">
        <f>D12</f>
        <v>LIST</v>
      </c>
      <c r="E19" s="89" t="s">
        <v>85</v>
      </c>
      <c r="F19" s="200" t="str">
        <f>LIDER!$E$31</f>
        <v>GRUPO#3 Análisis de los aspectos administrativos, legales, económicos y de costos de APPLE y SAMSUNG como empresas participantes en el mismo sector económico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ROBINSON CRISMATT BATISTA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4.21</v>
      </c>
      <c r="F20" s="201">
        <v>4</v>
      </c>
      <c r="G20" s="198">
        <v>4</v>
      </c>
      <c r="H20" s="196">
        <v>4.2</v>
      </c>
      <c r="I20" s="198">
        <v>4.5</v>
      </c>
      <c r="J20" s="196">
        <v>4.5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BERMARYS FLORES HERNÁNDEZ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4.21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ABRAHAM DAVID RAMOS POSADA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4.21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ALEJANDRO ENRIQUE ROCHA ALCALA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4.21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JHONATAN MIGUEL ROJAS BELTRÁN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4.21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91</v>
      </c>
      <c r="C26" s="88" t="s">
        <v>92</v>
      </c>
      <c r="D26" s="32" t="str">
        <f>D19</f>
        <v>LIST</v>
      </c>
      <c r="E26" s="89" t="s">
        <v>85</v>
      </c>
      <c r="F26" s="200" t="str">
        <f>LIDER!$E$32</f>
        <v>GRUPO#4 Análisis comparativo de los aspectos administrativos, legales, económicos y de costos de Alpina y Alquería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HANNA MARGARITA ESCORCIA RAMIREZ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4.3000000000000007</v>
      </c>
      <c r="F27" s="201">
        <v>4</v>
      </c>
      <c r="G27" s="198">
        <v>4.5</v>
      </c>
      <c r="H27" s="196">
        <v>4</v>
      </c>
      <c r="I27" s="198">
        <v>4.5</v>
      </c>
      <c r="J27" s="196">
        <v>5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TIFFANY LORENA JIMENEZ ALTAHONA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4.3000000000000007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DAIRO MANUEL NAVARRO MURILLO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4.3000000000000007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FREDY ANTONIO PLAZA HERNANDEZ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4.3000000000000007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72</v>
      </c>
      <c r="C33" s="88" t="s">
        <v>93</v>
      </c>
      <c r="D33" s="32" t="str">
        <f>D26</f>
        <v>LIST</v>
      </c>
      <c r="E33" s="89" t="s">
        <v>85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73</v>
      </c>
      <c r="C40" s="88" t="s">
        <v>94</v>
      </c>
      <c r="D40" s="32" t="str">
        <f>D33</f>
        <v>LIST</v>
      </c>
      <c r="E40" s="89" t="s">
        <v>85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74</v>
      </c>
      <c r="C47" s="88" t="s">
        <v>95</v>
      </c>
      <c r="D47" s="32" t="str">
        <f>D40</f>
        <v>LIST</v>
      </c>
      <c r="E47" s="89" t="s">
        <v>85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75</v>
      </c>
      <c r="C54" s="88" t="s">
        <v>96</v>
      </c>
      <c r="D54" s="32" t="str">
        <f>D47</f>
        <v>LIST</v>
      </c>
      <c r="E54" s="89" t="s">
        <v>85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76</v>
      </c>
      <c r="C61" s="88" t="s">
        <v>97</v>
      </c>
      <c r="D61" s="32" t="str">
        <f>D54</f>
        <v>LIST</v>
      </c>
      <c r="E61" s="89" t="s">
        <v>85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77</v>
      </c>
      <c r="C68" s="88" t="s">
        <v>98</v>
      </c>
      <c r="D68" s="32" t="str">
        <f>D61</f>
        <v>LIST</v>
      </c>
      <c r="E68" s="89" t="s">
        <v>85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78</v>
      </c>
      <c r="C75" s="88" t="s">
        <v>99</v>
      </c>
      <c r="D75" s="32" t="str">
        <f>D68</f>
        <v>LIST</v>
      </c>
      <c r="E75" s="89" t="s">
        <v>85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79</v>
      </c>
      <c r="C82" s="88" t="s">
        <v>100</v>
      </c>
      <c r="D82" s="32" t="str">
        <f>D75</f>
        <v>LIST</v>
      </c>
      <c r="E82" s="89" t="s">
        <v>85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7" activePane="bottomRight" state="frozen"/>
      <selection pane="bottomRight" sqref="A1:H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7</v>
      </c>
    </row>
    <row r="2" spans="1:12" s="2" customFormat="1" ht="20.100000000000001" customHeight="1" thickBot="1">
      <c r="B2" s="81">
        <f>LIDER!I4</f>
        <v>0</v>
      </c>
      <c r="C2" s="82"/>
      <c r="D2" s="3"/>
      <c r="F2" s="206" t="s">
        <v>80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81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CONCATENATE(LIDER!I4," - ",LIDER!I6," - ",LIDER!I5)</f>
        <v xml:space="preserve"> -  - 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82</v>
      </c>
      <c r="C5" s="88" t="s">
        <v>83</v>
      </c>
      <c r="D5" s="32" t="s">
        <v>84</v>
      </c>
      <c r="E5" s="89" t="s">
        <v>85</v>
      </c>
      <c r="F5" s="200" t="str">
        <f>LIDER!$E$29</f>
        <v>GRUPO#1 Análisis comparativo de McDonald's Colombia y Burger King Colombia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NASLY GABRIELA BABILONIA MENDOZA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/>
      <c r="G6" s="198"/>
      <c r="H6" s="196"/>
      <c r="I6" s="198"/>
      <c r="J6" s="196"/>
      <c r="K6" s="198"/>
      <c r="L6" s="196"/>
    </row>
    <row r="7" spans="1:12" s="2" customFormat="1" ht="15" customHeight="1">
      <c r="A7" s="12">
        <v>2</v>
      </c>
      <c r="B7" s="10" t="str">
        <f>LIDER!E44</f>
        <v>DIEGO ANDRES GALINDEZ NAVARRO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JESUS ALBERTO LARA ANGULO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RICHARTH JOSE LOPEZ PUERTA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 t="str">
        <f>LIDER!E47</f>
        <v>MARIA PAULA ROMERO GOMEZ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86</v>
      </c>
      <c r="C12" s="88" t="s">
        <v>87</v>
      </c>
      <c r="D12" s="32" t="str">
        <f>D5</f>
        <v>LIST</v>
      </c>
      <c r="E12" s="89" t="s">
        <v>85</v>
      </c>
      <c r="F12" s="200" t="str">
        <f>LIDER!$E$30</f>
        <v>GRUPO#2 Caracterización de los aspectos administrativos, legales, económicos y de costos de las empresas Leonisa S.A. y Comercializadora Arturo Calle S.A.S.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FABIO ANDRES CALVO WOODBINE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1"/>
      <c r="G13" s="198"/>
      <c r="H13" s="196"/>
      <c r="I13" s="198"/>
      <c r="J13" s="196"/>
      <c r="K13" s="198"/>
      <c r="L13" s="196"/>
    </row>
    <row r="14" spans="1:12" s="2" customFormat="1" ht="15" customHeight="1">
      <c r="A14" s="12">
        <v>2</v>
      </c>
      <c r="B14" s="10" t="str">
        <f>LIDER!F44</f>
        <v>KEYLI YONALY GOMEZ JULIO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SANTIAGO QUINTERO TAJAN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YULIETH PATRICIA RUIZ MEZA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CAROLAY VALDELAMAR CHAVEZ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88</v>
      </c>
      <c r="C19" s="88" t="s">
        <v>89</v>
      </c>
      <c r="D19" s="32" t="str">
        <f>D12</f>
        <v>LIST</v>
      </c>
      <c r="E19" s="89" t="s">
        <v>85</v>
      </c>
      <c r="F19" s="200" t="str">
        <f>LIDER!$E$31</f>
        <v>GRUPO#3 Análisis de los aspectos administrativos, legales, económicos y de costos de APPLE y SAMSUNG como empresas participantes en el mismo sector económico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ROBINSON CRISMATT BATISTA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1"/>
      <c r="G20" s="198"/>
      <c r="H20" s="196"/>
      <c r="I20" s="198"/>
      <c r="J20" s="196"/>
      <c r="K20" s="198"/>
      <c r="L20" s="196"/>
    </row>
    <row r="21" spans="1:12" s="2" customFormat="1" ht="15" customHeight="1">
      <c r="A21" s="12">
        <v>2</v>
      </c>
      <c r="B21" s="10" t="str">
        <f>LIDER!G44</f>
        <v>BERMARYS FLORES HERNÁNDEZ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ABRAHAM DAVID RAMOS POSADA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ALEJANDRO ENRIQUE ROCHA ALCALA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JHONATAN MIGUEL ROJAS BELTRÁN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91</v>
      </c>
      <c r="C26" s="88" t="s">
        <v>92</v>
      </c>
      <c r="D26" s="32" t="str">
        <f>D19</f>
        <v>LIST</v>
      </c>
      <c r="E26" s="89" t="s">
        <v>85</v>
      </c>
      <c r="F26" s="200" t="str">
        <f>LIDER!$E$32</f>
        <v>GRUPO#4 Análisis comparativo de los aspectos administrativos, legales, económicos y de costos de Alpina y Alquería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HANNA MARGARITA ESCORCIA RAMIREZ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TIFFANY LORENA JIMENEZ ALTAHONA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DAIRO MANUEL NAVARRO MURILLO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FREDY ANTONIO PLAZA HERNANDEZ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72</v>
      </c>
      <c r="C33" s="88" t="s">
        <v>93</v>
      </c>
      <c r="D33" s="32" t="str">
        <f>D26</f>
        <v>LIST</v>
      </c>
      <c r="E33" s="89" t="s">
        <v>85</v>
      </c>
      <c r="F33" s="200" t="str">
        <f>LIDER!$E$33</f>
        <v>GRUPO#5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73</v>
      </c>
      <c r="C40" s="88" t="s">
        <v>94</v>
      </c>
      <c r="D40" s="32" t="str">
        <f>D33</f>
        <v>LIST</v>
      </c>
      <c r="E40" s="89" t="s">
        <v>85</v>
      </c>
      <c r="F40" s="200" t="str">
        <f>LIDER!$E$34</f>
        <v>GRUPO#6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74</v>
      </c>
      <c r="C47" s="88" t="s">
        <v>95</v>
      </c>
      <c r="D47" s="32" t="str">
        <f>D40</f>
        <v>LIST</v>
      </c>
      <c r="E47" s="89" t="s">
        <v>85</v>
      </c>
      <c r="F47" s="200" t="str">
        <f>LIDER!$E$35</f>
        <v>GRUPO#7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75</v>
      </c>
      <c r="C54" s="88" t="s">
        <v>96</v>
      </c>
      <c r="D54" s="32" t="str">
        <f>D47</f>
        <v>LIST</v>
      </c>
      <c r="E54" s="89" t="s">
        <v>85</v>
      </c>
      <c r="F54" s="200" t="str">
        <f>LIDER!$E$36</f>
        <v>GRUPO#8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76</v>
      </c>
      <c r="C61" s="88" t="s">
        <v>97</v>
      </c>
      <c r="D61" s="32" t="str">
        <f>D54</f>
        <v>LIST</v>
      </c>
      <c r="E61" s="89" t="s">
        <v>85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77</v>
      </c>
      <c r="C68" s="88" t="s">
        <v>98</v>
      </c>
      <c r="D68" s="32" t="str">
        <f>D61</f>
        <v>LIST</v>
      </c>
      <c r="E68" s="89" t="s">
        <v>85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78</v>
      </c>
      <c r="C75" s="88" t="s">
        <v>99</v>
      </c>
      <c r="D75" s="32" t="str">
        <f>D68</f>
        <v>LIST</v>
      </c>
      <c r="E75" s="89" t="s">
        <v>85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79</v>
      </c>
      <c r="C82" s="88" t="s">
        <v>100</v>
      </c>
      <c r="D82" s="32" t="str">
        <f>D75</f>
        <v>LIST</v>
      </c>
      <c r="E82" s="89" t="s">
        <v>85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7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212" t="s">
        <v>80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CONCATENATE(LIDER!C4," - ",LIDER!C6," - ",LIDER!C5)</f>
        <v>INTRODUCCIÓN A LOS NEGOCIOS IN - 3232 - JEYSSON STEEVEN ANILLO CARRANZA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82</v>
      </c>
      <c r="C5" s="32" t="str">
        <f>IF('S-ASIG-01'!D5="","",'S-ASIG-01'!D5)</f>
        <v>LIST</v>
      </c>
      <c r="D5" s="35" t="s">
        <v>85</v>
      </c>
      <c r="E5" s="215" t="str">
        <f>LIDER!$E$29</f>
        <v>GRUPO#1 Análisis comparativo de McDonald's Colombia y Burger King Colombia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NASLY GABRIELA BABILONIA MENDOZA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1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DIEGO ANDRES GALINDEZ NAVARRO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1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JESUS ALBERTO LARA ANGULO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1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RICHARTH JOSE LOPEZ PUERTA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1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PAULA ROMERO GOMEZ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1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86</v>
      </c>
      <c r="C12" s="32" t="str">
        <f>IF('S-ASIG-01'!D12="","",'S-ASIG-01'!D12)</f>
        <v>LIST</v>
      </c>
      <c r="D12" s="35" t="s">
        <v>85</v>
      </c>
      <c r="E12" s="215" t="str">
        <f>LIDER!$E$30</f>
        <v>GRUPO#2 Caracterización de los aspectos administrativos, legales, económicos y de costos de las empresas Leonisa S.A. y Comercializadora Arturo Calle S.A.S.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FABIO ANDRES CALVO WOODBINE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1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KEYLI YONALY GOMEZ JULIO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1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QUINTERO TAJAN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1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YULIETH PATRICIA RUIZ MEZA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1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CAROLAY VALDELAMAR CHAVEZ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1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88</v>
      </c>
      <c r="C19" s="32" t="str">
        <f>IF('S-ASIG-01'!D19="","",'S-ASIG-01'!D19)</f>
        <v>LIST</v>
      </c>
      <c r="D19" s="35" t="s">
        <v>85</v>
      </c>
      <c r="E19" s="215" t="str">
        <f>LIDER!$E$31</f>
        <v>GRUPO#3 Análisis de los aspectos administrativos, legales, económicos y de costos de APPLE y SAMSUNG como empresas participantes en el mismo sector económico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ROBINSON CRISMATT BATISTA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1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BERMARYS FLORES HERNÁNDEZ</v>
      </c>
      <c r="C21" s="33" t="str">
        <f>IF('S-ASIG-01'!D21="","",'S-ASIG-01'!D21)</f>
        <v>N</v>
      </c>
      <c r="D21" s="30" t="str">
        <f>IF(B21=0,"",IF(C21="",$E$20*LIDER!$H$19+F21*LIDER!$H$20+G21*LIDER!$H$21+H21*LIDER!$H$22+I21*LIDER!$H$23+J21*LIDER!$H$24+K21*LIDER!$H$25,"N"))</f>
        <v>N</v>
      </c>
      <c r="E21" s="21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ABRAHAM DAVID RAMOS POSADA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1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ALEJANDRO ENRIQUE ROCHA ALCALA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1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JHONATAN MIGUEL ROJAS BELTRÁN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1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91</v>
      </c>
      <c r="C26" s="32" t="str">
        <f>IF('S-ASIG-01'!D26="","",'S-ASIG-01'!D26)</f>
        <v>LIST</v>
      </c>
      <c r="D26" s="35" t="s">
        <v>85</v>
      </c>
      <c r="E26" s="215" t="str">
        <f>LIDER!$E$32</f>
        <v>GRUPO#4 Análisis comparativo de los aspectos administrativos, legales, económicos y de costos de Alpina y Alquería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HANNA MARGARITA ESCORCIA RAMIREZ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1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TIFFANY LORENA JIMENEZ ALTAHONA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1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DAIRO MANUEL NAVARRO MURILLO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1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FREDY ANTONIO PLAZA HERNANDEZ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1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1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IF('S-ASIG-01'!D33="","",'S-ASIG-01'!D33)</f>
        <v>LIST</v>
      </c>
      <c r="D33" s="35" t="s">
        <v>85</v>
      </c>
      <c r="E33" s="215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11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11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11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11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1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IF('S-ASIG-01'!D40="","",'S-ASIG-01'!D40)</f>
        <v>LIST</v>
      </c>
      <c r="D40" s="35" t="s">
        <v>85</v>
      </c>
      <c r="E40" s="215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1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1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1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IF('S-ASIG-01'!D47="","",'S-ASIG-01'!D47)</f>
        <v>LIST</v>
      </c>
      <c r="D47" s="35" t="s">
        <v>85</v>
      </c>
      <c r="E47" s="215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IF('S-ASIG-01'!D54="","",'S-ASIG-01'!D54)</f>
        <v>LIST</v>
      </c>
      <c r="D54" s="35" t="s">
        <v>85</v>
      </c>
      <c r="E54" s="215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IF('S-ASIG-01'!D61="","",'S-ASIG-01'!D61)</f>
        <v>LIST</v>
      </c>
      <c r="D61" s="35" t="s">
        <v>85</v>
      </c>
      <c r="E61" s="215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IF('S-ASIG-01'!D68="","",'S-ASIG-01'!D68)</f>
        <v>LIST</v>
      </c>
      <c r="D68" s="35" t="s">
        <v>85</v>
      </c>
      <c r="E68" s="215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IF('S-ASIG-01'!D75="","",'S-ASIG-01'!D75)</f>
        <v>LIST</v>
      </c>
      <c r="D75" s="35" t="s">
        <v>85</v>
      </c>
      <c r="E75" s="215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IF('S-ASIG-01'!D82="","",'S-ASIG-01'!D82)</f>
        <v>LIST</v>
      </c>
      <c r="D82" s="35" t="s">
        <v>85</v>
      </c>
      <c r="E82" s="215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6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7</v>
      </c>
    </row>
    <row r="2" spans="1:11" s="2" customFormat="1" ht="20.100000000000001" customHeight="1" thickBot="1">
      <c r="B2" s="22" t="str">
        <f>LIDER!D4</f>
        <v>COSTOS Y PRESUPUESTO</v>
      </c>
      <c r="C2" s="3"/>
      <c r="E2" s="212" t="s">
        <v>80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CONCATENATE(LIDER!D4," - ",LIDER!D6," - ",LIDER!D5)</f>
        <v>COSTOS Y PRESUPUESTO - 2211 - HAROLD TERRIL CARABALLO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82</v>
      </c>
      <c r="C5" s="34" t="str">
        <f>IF('S-ASIG-02'!D5="","",'S-ASIG-02'!D5)</f>
        <v>LIST</v>
      </c>
      <c r="D5" s="35" t="s">
        <v>85</v>
      </c>
      <c r="E5" s="200" t="str">
        <f>LIDER!$E$29</f>
        <v>GRUPO#1 Análisis comparativo de McDonald's Colombia y Burger King Colombia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NASLY GABRIELA BABILONIA MENDOZA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DIEGO ANDRES GALINDEZ NAVARRO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JESUS ALBERTO LARA ANGULO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RICHARTH JOSE LOPEZ PUERTA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PAULA ROMERO GOMEZ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86</v>
      </c>
      <c r="C12" s="32" t="str">
        <f>IF('S-ASIG-02'!D12="","",'S-ASIG-02'!D12)</f>
        <v>LIST</v>
      </c>
      <c r="D12" s="35" t="s">
        <v>85</v>
      </c>
      <c r="E12" s="200" t="str">
        <f>LIDER!$E$30</f>
        <v>GRUPO#2 Caracterización de los aspectos administrativos, legales, económicos y de costos de las empresas Leonisa S.A. y Comercializadora Arturo Calle S.A.S.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FABIO ANDRES CALVO WOODBINE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KEYLI YONALY GOMEZ JULIO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QUINTERO TAJAN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YULIETH PATRICIA RUIZ MEZA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CAROLAY VALDELAMAR CHAVEZ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88</v>
      </c>
      <c r="C19" s="32" t="str">
        <f>IF('S-ASIG-02'!D19="","",'S-ASIG-02'!D19)</f>
        <v>LIST</v>
      </c>
      <c r="D19" s="35" t="s">
        <v>85</v>
      </c>
      <c r="E19" s="200" t="str">
        <f>LIDER!$E$31</f>
        <v>GRUPO#3 Análisis de los aspectos administrativos, legales, económicos y de costos de APPLE y SAMSUNG como empresas participantes en el mismo sector económico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ROBINSON CRISMATT BATISTA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BERMARYS FLORES HERNÁNDEZ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ABRAHAM DAVID RAMOS POSADA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ALEJANDRO ENRIQUE ROCHA ALCALA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JHONATAN MIGUEL ROJAS BELTRÁN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91</v>
      </c>
      <c r="C26" s="32" t="str">
        <f>IF('S-ASIG-02'!D26="","",'S-ASIG-02'!D26)</f>
        <v>LIST</v>
      </c>
      <c r="D26" s="35" t="s">
        <v>85</v>
      </c>
      <c r="E26" s="200" t="str">
        <f>LIDER!$E$32</f>
        <v>GRUPO#4 Análisis comparativo de los aspectos administrativos, legales, económicos y de costos de Alpina y Alquería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HANNA MARGARITA ESCORCIA RAMIREZ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TIFFANY LORENA JIMENEZ ALTAHONA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DAIRO MANUEL NAVARRO MURILLO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FREDY ANTONIO PLAZA HERNANDEZ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IF('S-ASIG-02'!D33="","",'S-ASIG-02'!D33)</f>
        <v>LIST</v>
      </c>
      <c r="D33" s="35" t="s">
        <v>85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IF('S-ASIG-02'!D40="","",'S-ASIG-02'!D40)</f>
        <v>LIST</v>
      </c>
      <c r="D40" s="35" t="s">
        <v>85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IF('S-ASIG-02'!D47="","",'S-ASIG-02'!D47)</f>
        <v>LIST</v>
      </c>
      <c r="D47" s="35" t="s">
        <v>85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IF('S-ASIG-02'!D54="","",'S-ASIG-02'!D54)</f>
        <v>LIST</v>
      </c>
      <c r="D54" s="35" t="s">
        <v>85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IF('S-ASIG-02'!D61="","",'S-ASIG-02'!D61)</f>
        <v>LIST</v>
      </c>
      <c r="D61" s="35" t="s">
        <v>85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IF('S-ASIG-02'!D68="","",'S-ASIG-02'!D68)</f>
        <v>LIST</v>
      </c>
      <c r="D68" s="35" t="s">
        <v>85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IF('S-ASIG-02'!D75="","",'S-ASIG-02'!D75)</f>
        <v>LIST</v>
      </c>
      <c r="D75" s="35" t="s">
        <v>85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IF('S-ASIG-02'!D82="","",'S-ASIG-02'!D82)</f>
        <v>LIST</v>
      </c>
      <c r="D82" s="35" t="s">
        <v>85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70" zoomScaleNormal="70"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7</v>
      </c>
    </row>
    <row r="2" spans="1:11" s="2" customFormat="1" ht="20.100000000000001" customHeight="1" thickBot="1">
      <c r="B2" s="22" t="str">
        <f>LIDER!E4</f>
        <v>LEGISLACION EMPRESARIAL</v>
      </c>
      <c r="C2" s="3"/>
      <c r="E2" s="212" t="s">
        <v>80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CONCATENATE(LIDER!E4," - ",LIDER!E6," - ",LIDER!E5)</f>
        <v>LEGISLACION EMPRESARIAL - 2231 - MELISSA LOPEZ ROMERO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82</v>
      </c>
      <c r="C5" s="34" t="str">
        <f>IF('S-ASIG-03'!D5="","",'S-ASIG-03'!D5)</f>
        <v>LIST</v>
      </c>
      <c r="D5" s="35" t="s">
        <v>85</v>
      </c>
      <c r="E5" s="200" t="str">
        <f>LIDER!$E$29</f>
        <v>GRUPO#1 Análisis comparativo de McDonald's Colombia y Burger King Colombia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NASLY GABRIELA BABILONIA MENDOZA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DIEGO ANDRES GALINDEZ NAVARRO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JESUS ALBERTO LARA ANGULO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RICHARTH JOSE LOPEZ PUERTA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PAULA ROMERO GOMEZ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86</v>
      </c>
      <c r="C12" s="32" t="str">
        <f>IF('S-ASIG-03'!D12="","",'S-ASIG-03'!D12)</f>
        <v>LIST</v>
      </c>
      <c r="D12" s="35" t="s">
        <v>85</v>
      </c>
      <c r="E12" s="200" t="str">
        <f>LIDER!$E$30</f>
        <v>GRUPO#2 Caracterización de los aspectos administrativos, legales, económicos y de costos de las empresas Leonisa S.A. y Comercializadora Arturo Calle S.A.S.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FABIO ANDRES CALVO WOODBINE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KEYLI YONALY GOMEZ JULIO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QUINTERO TAJAN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YULIETH PATRICIA RUIZ MEZA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CAROLAY VALDELAMAR CHAVEZ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88</v>
      </c>
      <c r="C19" s="32" t="str">
        <f>IF('S-ASIG-03'!D19="","",'S-ASIG-03'!D19)</f>
        <v>LIST</v>
      </c>
      <c r="D19" s="35" t="s">
        <v>85</v>
      </c>
      <c r="E19" s="200" t="str">
        <f>LIDER!$E$31</f>
        <v>GRUPO#3 Análisis de los aspectos administrativos, legales, económicos y de costos de APPLE y SAMSUNG como empresas participantes en el mismo sector económico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ROBINSON CRISMATT BATISTA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BERMARYS FLORES HERNÁNDEZ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ABRAHAM DAVID RAMOS POSADA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ALEJANDRO ENRIQUE ROCHA ALCALA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JHONATAN MIGUEL ROJAS BELTRÁN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91</v>
      </c>
      <c r="C26" s="32" t="str">
        <f>IF('S-ASIG-03'!D26="","",'S-ASIG-03'!D26)</f>
        <v>LIST</v>
      </c>
      <c r="D26" s="35" t="s">
        <v>85</v>
      </c>
      <c r="E26" s="200" t="str">
        <f>LIDER!$E$32</f>
        <v>GRUPO#4 Análisis comparativo de los aspectos administrativos, legales, económicos y de costos de Alpina y Alquería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HANNA MARGARITA ESCORCIA RAMIREZ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TIFFANY LORENA JIMENEZ ALTAHONA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DAIRO MANUEL NAVARRO MURILLO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FREDY ANTONIO PLAZA HERNANDEZ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IF('S-ASIG-03'!D33="","",'S-ASIG-03'!D33)</f>
        <v>LIST</v>
      </c>
      <c r="D33" s="35" t="s">
        <v>85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IF('S-ASIG-03'!D40="","",'S-ASIG-03'!D40)</f>
        <v>LIST</v>
      </c>
      <c r="D40" s="35" t="s">
        <v>85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IF('S-ASIG-03'!D47="","",'S-ASIG-03'!D47)</f>
        <v>LIST</v>
      </c>
      <c r="D47" s="35" t="s">
        <v>85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IF('S-ASIG-03'!D54="","",'S-ASIG-03'!D54)</f>
        <v>LIST</v>
      </c>
      <c r="D54" s="35" t="s">
        <v>85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IF('S-ASIG-03'!D61="","",'S-ASIG-03'!D61)</f>
        <v>LIST</v>
      </c>
      <c r="D61" s="35" t="s">
        <v>85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IF('S-ASIG-03'!D68="","",'S-ASIG-03'!D68)</f>
        <v>LIST</v>
      </c>
      <c r="D68" s="35" t="s">
        <v>85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IF('S-ASIG-03'!D75="","",'S-ASIG-03'!D75)</f>
        <v>LIST</v>
      </c>
      <c r="D75" s="35" t="s">
        <v>85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IF('S-ASIG-03'!D82="","",'S-ASIG-03'!D82)</f>
        <v>LIST</v>
      </c>
      <c r="D82" s="35" t="s">
        <v>85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70" zoomScaleNormal="70" workbookViewId="0">
      <pane xSplit="4" ySplit="3" topLeftCell="E25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7</v>
      </c>
    </row>
    <row r="2" spans="1:11" s="2" customFormat="1" ht="20.100000000000001" customHeight="1" thickBot="1">
      <c r="B2" s="22" t="str">
        <f>LIDER!F4</f>
        <v>SEMINARIO INVESTIGATIVO</v>
      </c>
      <c r="C2" s="3"/>
      <c r="E2" s="212" t="s">
        <v>80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CONCATENATE(LIDER!F4," - ",LIDER!F6," - ",LIDER!F5)</f>
        <v>SEMINARIO INVESTIGATIVO - 1926 - JAIME EDUARDO GONZALEZ DIAZ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82</v>
      </c>
      <c r="C5" s="34" t="str">
        <f>IF('S-ASIG-04'!D5="","",'S-ASIG-04'!D5)</f>
        <v>LIST</v>
      </c>
      <c r="D5" s="35" t="s">
        <v>85</v>
      </c>
      <c r="E5" s="200" t="str">
        <f>LIDER!$E$29</f>
        <v>GRUPO#1 Análisis comparativo de McDonald's Colombia y Burger King Colombia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NASLY GABRIELA BABILONIA MENDOZA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DIEGO ANDRES GALINDEZ NAVARRO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JESUS ALBERTO LARA ANGULO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RICHARTH JOSE LOPEZ PUERTA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PAULA ROMERO GOMEZ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86</v>
      </c>
      <c r="C12" s="32" t="str">
        <f>IF('S-ASIG-04'!D12="","",'S-ASIG-04'!D12)</f>
        <v>LIST</v>
      </c>
      <c r="D12" s="35" t="s">
        <v>85</v>
      </c>
      <c r="E12" s="200" t="str">
        <f>LIDER!$E$30</f>
        <v>GRUPO#2 Caracterización de los aspectos administrativos, legales, económicos y de costos de las empresas Leonisa S.A. y Comercializadora Arturo Calle S.A.S.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FABIO ANDRES CALVO WOODBINE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KEYLI YONALY GOMEZ JULIO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QUINTERO TAJAN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YULIETH PATRICIA RUIZ MEZA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CAROLAY VALDELAMAR CHAVEZ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88</v>
      </c>
      <c r="C19" s="32" t="str">
        <f>IF('S-ASIG-04'!D19="","",'S-ASIG-04'!D19)</f>
        <v>LIST</v>
      </c>
      <c r="D19" s="35" t="s">
        <v>85</v>
      </c>
      <c r="E19" s="200" t="str">
        <f>LIDER!$E$31</f>
        <v>GRUPO#3 Análisis de los aspectos administrativos, legales, económicos y de costos de APPLE y SAMSUNG como empresas participantes en el mismo sector económico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ROBINSON CRISMATT BATISTA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BERMARYS FLORES HERNÁNDEZ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ABRAHAM DAVID RAMOS POSADA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ALEJANDRO ENRIQUE ROCHA ALCALA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JHONATAN MIGUEL ROJAS BELTRÁN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91</v>
      </c>
      <c r="C26" s="32" t="str">
        <f>IF('S-ASIG-04'!D26="","",'S-ASIG-04'!D26)</f>
        <v>LIST</v>
      </c>
      <c r="D26" s="35" t="s">
        <v>85</v>
      </c>
      <c r="E26" s="200" t="str">
        <f>LIDER!$E$32</f>
        <v>GRUPO#4 Análisis comparativo de los aspectos administrativos, legales, económicos y de costos de Alpina y Alquería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HANNA MARGARITA ESCORCIA RAMIREZ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TIFFANY LORENA JIMENEZ ALTAHONA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DAIRO MANUEL NAVARRO MURILLO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FREDY ANTONIO PLAZA HERNANDEZ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IF('S-ASIG-04'!D33="","",'S-ASIG-04'!D33)</f>
        <v>LIST</v>
      </c>
      <c r="D33" s="35" t="s">
        <v>85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IF('S-ASIG-04'!D40="","",'S-ASIG-04'!D40)</f>
        <v>LIST</v>
      </c>
      <c r="D40" s="35" t="s">
        <v>85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IF('S-ASIG-04'!D47="","",'S-ASIG-04'!D47)</f>
        <v>LIST</v>
      </c>
      <c r="D47" s="35" t="s">
        <v>85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IF('S-ASIG-04'!D54="","",'S-ASIG-04'!D54)</f>
        <v>LIST</v>
      </c>
      <c r="D54" s="35" t="s">
        <v>85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IF('S-ASIG-04'!D61="","",'S-ASIG-04'!D61)</f>
        <v>LIST</v>
      </c>
      <c r="D61" s="35" t="s">
        <v>85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IF('S-ASIG-04'!D68="","",'S-ASIG-04'!D68)</f>
        <v>LIST</v>
      </c>
      <c r="D68" s="35" t="s">
        <v>85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IF('S-ASIG-04'!D75="","",'S-ASIG-04'!D75)</f>
        <v>LIST</v>
      </c>
      <c r="D75" s="35" t="s">
        <v>85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IF('S-ASIG-04'!D82="","",'S-ASIG-04'!D82)</f>
        <v>LIST</v>
      </c>
      <c r="D82" s="35" t="s">
        <v>85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7</v>
      </c>
    </row>
    <row r="2" spans="1:11" s="2" customFormat="1" ht="20.100000000000001" customHeight="1" thickBot="1">
      <c r="B2" s="22" t="str">
        <f>LIDER!G4</f>
        <v>ECONOMÍA GENERAL</v>
      </c>
      <c r="C2" s="3"/>
      <c r="E2" s="212" t="s">
        <v>80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CONCATENATE(LIDER!G4," - ",LIDER!G6," - ",LIDER!G5)</f>
        <v>ECONOMÍA GENERAL - 1415 - PAULO FONTALVO VELEZ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82</v>
      </c>
      <c r="C5" s="34" t="str">
        <f>IF('S-ASIG-05'!D5="","",'S-ASIG-05'!D5)</f>
        <v>LIST</v>
      </c>
      <c r="D5" s="35" t="s">
        <v>85</v>
      </c>
      <c r="E5" s="200" t="str">
        <f>LIDER!$E$29</f>
        <v>GRUPO#1 Análisis comparativo de McDonald's Colombia y Burger King Colombia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NASLY GABRIELA BABILONIA MENDOZA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DIEGO ANDRES GALINDEZ NAVARRO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JESUS ALBERTO LARA ANGULO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RICHARTH JOSE LOPEZ PUERTA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PAULA ROMERO GOMEZ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86</v>
      </c>
      <c r="C12" s="32" t="str">
        <f>IF('S-ASIG-05'!D12="","",'S-ASIG-05'!D12)</f>
        <v>LIST</v>
      </c>
      <c r="D12" s="35" t="s">
        <v>85</v>
      </c>
      <c r="E12" s="200" t="str">
        <f>LIDER!$E$30</f>
        <v>GRUPO#2 Caracterización de los aspectos administrativos, legales, económicos y de costos de las empresas Leonisa S.A. y Comercializadora Arturo Calle S.A.S.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FABIO ANDRES CALVO WOODBINE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KEYLI YONALY GOMEZ JULIO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QUINTERO TAJAN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YULIETH PATRICIA RUIZ MEZA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CAROLAY VALDELAMAR CHAVEZ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88</v>
      </c>
      <c r="C19" s="32" t="str">
        <f>IF('S-ASIG-05'!D19="","",'S-ASIG-05'!D19)</f>
        <v>LIST</v>
      </c>
      <c r="D19" s="35" t="s">
        <v>85</v>
      </c>
      <c r="E19" s="200" t="str">
        <f>LIDER!$E$31</f>
        <v>GRUPO#3 Análisis de los aspectos administrativos, legales, económicos y de costos de APPLE y SAMSUNG como empresas participantes en el mismo sector económico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ROBINSON CRISMATT BATISTA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BERMARYS FLORES HERNÁNDEZ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ABRAHAM DAVID RAMOS POSADA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ALEJANDRO ENRIQUE ROCHA ALCALA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JHONATAN MIGUEL ROJAS BELTRÁN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91</v>
      </c>
      <c r="C26" s="32" t="str">
        <f>IF('S-ASIG-05'!D26="","",'S-ASIG-05'!D26)</f>
        <v>LIST</v>
      </c>
      <c r="D26" s="35" t="s">
        <v>85</v>
      </c>
      <c r="E26" s="200" t="str">
        <f>LIDER!$E$32</f>
        <v>GRUPO#4 Análisis comparativo de los aspectos administrativos, legales, económicos y de costos de Alpina y Alquería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HANNA MARGARITA ESCORCIA RAMIREZ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TIFFANY LORENA JIMENEZ ALTAHONA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DAIRO MANUEL NAVARRO MURILLO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FREDY ANTONIO PLAZA HERNANDEZ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IF('S-ASIG-05'!D33="","",'S-ASIG-05'!D33)</f>
        <v>LIST</v>
      </c>
      <c r="D33" s="35" t="s">
        <v>85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IF('S-ASIG-05'!D40="","",'S-ASIG-05'!D40)</f>
        <v>LIST</v>
      </c>
      <c r="D40" s="35" t="s">
        <v>85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IF('S-ASIG-05'!D47="","",'S-ASIG-05'!D47)</f>
        <v>LIST</v>
      </c>
      <c r="D47" s="35" t="s">
        <v>85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IF('S-ASIG-05'!D54="","",'S-ASIG-05'!D54)</f>
        <v>LIST</v>
      </c>
      <c r="D54" s="35" t="s">
        <v>85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IF('S-ASIG-05'!D61="","",'S-ASIG-05'!D61)</f>
        <v>LIST</v>
      </c>
      <c r="D61" s="35" t="s">
        <v>85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IF('S-ASIG-05'!D68="","",'S-ASIG-05'!D68)</f>
        <v>LIST</v>
      </c>
      <c r="D68" s="35" t="s">
        <v>85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IF('S-ASIG-05'!D75="","",'S-ASIG-05'!D75)</f>
        <v>LIST</v>
      </c>
      <c r="D75" s="35" t="s">
        <v>85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IF('S-ASIG-05'!D82="","",'S-ASIG-05'!D82)</f>
        <v>LIST</v>
      </c>
      <c r="D82" s="35" t="s">
        <v>85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60" zoomScaleNormal="6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7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12" t="s">
        <v>80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CONCATENATE(LIDER!H4," - ",LIDER!H6," - ",LIDER!H5)</f>
        <v>PROCESO ADMINISTRATIVO - 1328 - JUAN SEBASTIAN HERNANDEZ COBOS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82</v>
      </c>
      <c r="C5" s="34" t="str">
        <f>IF('S-ASIG-06'!D5="","",'S-ASIG-06'!D5)</f>
        <v>LIST</v>
      </c>
      <c r="D5" s="35" t="s">
        <v>85</v>
      </c>
      <c r="E5" s="200" t="str">
        <f>LIDER!$E$29</f>
        <v>GRUPO#1 Análisis comparativo de McDonald's Colombia y Burger King Colombia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NASLY GABRIELA BABILONIA MENDOZA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DIEGO ANDRES GALINDEZ NAVARRO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JESUS ALBERTO LARA ANGULO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RICHARTH JOSE LOPEZ PUERTA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PAULA ROMERO GOMEZ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86</v>
      </c>
      <c r="C12" s="32" t="str">
        <f>IF('S-ASIG-06'!D12="","",'S-ASIG-06'!D12)</f>
        <v>LIST</v>
      </c>
      <c r="D12" s="35" t="s">
        <v>85</v>
      </c>
      <c r="E12" s="200" t="str">
        <f>LIDER!$E$30</f>
        <v>GRUPO#2 Caracterización de los aspectos administrativos, legales, económicos y de costos de las empresas Leonisa S.A. y Comercializadora Arturo Calle S.A.S.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FABIO ANDRES CALVO WOODBINE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KEYLI YONALY GOMEZ JULIO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QUINTERO TAJAN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YULIETH PATRICIA RUIZ MEZA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CAROLAY VALDELAMAR CHAVEZ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88</v>
      </c>
      <c r="C19" s="32" t="str">
        <f>IF('S-ASIG-06'!D19="","",'S-ASIG-06'!D19)</f>
        <v>LIST</v>
      </c>
      <c r="D19" s="35" t="s">
        <v>85</v>
      </c>
      <c r="E19" s="200" t="str">
        <f>LIDER!$E$31</f>
        <v>GRUPO#3 Análisis de los aspectos administrativos, legales, económicos y de costos de APPLE y SAMSUNG como empresas participantes en el mismo sector económico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ROBINSON CRISMATT BATISTA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BERMARYS FLORES HERNÁNDEZ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ABRAHAM DAVID RAMOS POSADA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ALEJANDRO ENRIQUE ROCHA ALCALA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JHONATAN MIGUEL ROJAS BELTRÁN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91</v>
      </c>
      <c r="C26" s="32" t="str">
        <f>IF('S-ASIG-06'!D26="","",'S-ASIG-06'!D26)</f>
        <v>LIST</v>
      </c>
      <c r="D26" s="35" t="s">
        <v>85</v>
      </c>
      <c r="E26" s="200" t="str">
        <f>LIDER!$E$32</f>
        <v>GRUPO#4 Análisis comparativo de los aspectos administrativos, legales, económicos y de costos de Alpina y Alquería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HANNA MARGARITA ESCORCIA RAMIREZ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TIFFANY LORENA JIMENEZ ALTAHONA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DAIRO MANUEL NAVARRO MURILLO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FREDY ANTONIO PLAZA HERNANDEZ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IF('S-ASIG-06'!D33="","",'S-ASIG-06'!D33)</f>
        <v>LIST</v>
      </c>
      <c r="D33" s="35" t="s">
        <v>85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IF('S-ASIG-06'!D40="","",'S-ASIG-06'!D40)</f>
        <v>LIST</v>
      </c>
      <c r="D40" s="35" t="s">
        <v>85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IF('S-ASIG-06'!D47="","",'S-ASIG-06'!D47)</f>
        <v>LIST</v>
      </c>
      <c r="D47" s="35" t="s">
        <v>85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IF('S-ASIG-06'!D54="","",'S-ASIG-06'!D54)</f>
        <v>LIST</v>
      </c>
      <c r="D54" s="35" t="s">
        <v>85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IF('S-ASIG-06'!D61="","",'S-ASIG-06'!D61)</f>
        <v>LIST</v>
      </c>
      <c r="D61" s="35" t="s">
        <v>85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IF('S-ASIG-06'!D68="","",'S-ASIG-06'!D68)</f>
        <v>LIST</v>
      </c>
      <c r="D68" s="35" t="s">
        <v>85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IF('S-ASIG-06'!D75="","",'S-ASIG-06'!D75)</f>
        <v>LIST</v>
      </c>
      <c r="D75" s="35" t="s">
        <v>85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IF('S-ASIG-06'!D82="","",'S-ASIG-06'!D82)</f>
        <v>LIST</v>
      </c>
      <c r="D82" s="35" t="s">
        <v>85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7</v>
      </c>
    </row>
    <row r="2" spans="1:11" s="2" customFormat="1" ht="20.100000000000001" customHeight="1" thickBot="1">
      <c r="B2" s="22">
        <f>LIDER!I4</f>
        <v>0</v>
      </c>
      <c r="C2" s="3"/>
      <c r="E2" s="212" t="s">
        <v>80</v>
      </c>
      <c r="F2" s="213"/>
      <c r="G2" s="213"/>
      <c r="H2" s="213"/>
      <c r="I2" s="213"/>
      <c r="J2" s="213"/>
      <c r="K2" s="214"/>
    </row>
    <row r="3" spans="1:11" s="2" customFormat="1" ht="145.5" customHeight="1" thickBot="1">
      <c r="B3" s="4" t="s">
        <v>81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7" t="str">
        <f>CONCATENATE(LIDER!I4," - ",LIDER!I6," - ",LIDER!I5)</f>
        <v xml:space="preserve"> -  - </v>
      </c>
      <c r="F4" s="218"/>
      <c r="G4" s="218"/>
      <c r="H4" s="218"/>
      <c r="I4" s="218"/>
      <c r="J4" s="218"/>
      <c r="K4" s="219"/>
    </row>
    <row r="5" spans="1:11" s="2" customFormat="1" ht="15.75" customHeight="1" thickBot="1">
      <c r="A5" s="8"/>
      <c r="B5" s="27" t="s">
        <v>82</v>
      </c>
      <c r="C5" s="34" t="str">
        <f>IF('S-ASIG-07'!D5="","",'S-ASIG-07'!D5)</f>
        <v>LIST</v>
      </c>
      <c r="D5" s="35" t="s">
        <v>85</v>
      </c>
      <c r="E5" s="200" t="str">
        <f>LIDER!$E$29</f>
        <v>GRUPO#1 Análisis comparativo de McDonald's Colombia y Burger King Colombia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NASLY GABRIELA BABILONIA MENDOZA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DIEGO ANDRES GALINDEZ NAVARRO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JESUS ALBERTO LARA ANGULO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RICHARTH JOSE LOPEZ PUERTA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PAULA ROMERO GOMEZ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86</v>
      </c>
      <c r="C12" s="32" t="str">
        <f>IF('S-ASIG-07'!D12="","",'S-ASIG-07'!D12)</f>
        <v>LIST</v>
      </c>
      <c r="D12" s="35" t="s">
        <v>85</v>
      </c>
      <c r="E12" s="200" t="str">
        <f>LIDER!$E$30</f>
        <v>GRUPO#2 Caracterización de los aspectos administrativos, legales, económicos y de costos de las empresas Leonisa S.A. y Comercializadora Arturo Calle S.A.S.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FABIO ANDRES CALVO WOODBINE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KEYLI YONALY GOMEZ JULIO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QUINTERO TAJAN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YULIETH PATRICIA RUIZ MEZA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CAROLAY VALDELAMAR CHAVEZ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88</v>
      </c>
      <c r="C19" s="32" t="str">
        <f>IF('S-ASIG-07'!D19="","",'S-ASIG-07'!D19)</f>
        <v>LIST</v>
      </c>
      <c r="D19" s="35" t="s">
        <v>85</v>
      </c>
      <c r="E19" s="200" t="str">
        <f>LIDER!$E$31</f>
        <v>GRUPO#3 Análisis de los aspectos administrativos, legales, económicos y de costos de APPLE y SAMSUNG como empresas participantes en el mismo sector económico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ROBINSON CRISMATT BATISTA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BERMARYS FLORES HERNÁNDEZ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ABRAHAM DAVID RAMOS POSADA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ALEJANDRO ENRIQUE ROCHA ALCALA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JHONATAN MIGUEL ROJAS BELTRÁN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91</v>
      </c>
      <c r="C26" s="32" t="str">
        <f>IF('S-ASIG-07'!D26="","",'S-ASIG-07'!D26)</f>
        <v>LIST</v>
      </c>
      <c r="D26" s="35" t="s">
        <v>85</v>
      </c>
      <c r="E26" s="200" t="str">
        <f>LIDER!$E$32</f>
        <v>GRUPO#4 Análisis comparativo de los aspectos administrativos, legales, económicos y de costos de Alpina y Alquería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HANNA MARGARITA ESCORCIA RAMIREZ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TIFFANY LORENA JIMENEZ ALTAHONA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DAIRO MANUEL NAVARRO MURILLO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FREDY ANTONIO PLAZA HERNANDEZ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72</v>
      </c>
      <c r="C33" s="32" t="str">
        <f>IF('S-ASIG-07'!D33="","",'S-ASIG-07'!D33)</f>
        <v>LIST</v>
      </c>
      <c r="D33" s="35" t="s">
        <v>85</v>
      </c>
      <c r="E33" s="200" t="str">
        <f>LIDER!$E$33</f>
        <v>GRUPO#5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73</v>
      </c>
      <c r="C40" s="32" t="str">
        <f>IF('S-ASIG-07'!D40="","",'S-ASIG-07'!D40)</f>
        <v>LIST</v>
      </c>
      <c r="D40" s="35" t="s">
        <v>85</v>
      </c>
      <c r="E40" s="200" t="str">
        <f>LIDER!$E$34</f>
        <v>GRUPO#6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74</v>
      </c>
      <c r="C47" s="32" t="str">
        <f>IF('S-ASIG-07'!D47="","",'S-ASIG-07'!D47)</f>
        <v>LIST</v>
      </c>
      <c r="D47" s="35" t="s">
        <v>85</v>
      </c>
      <c r="E47" s="200" t="str">
        <f>LIDER!$E$35</f>
        <v>GRUPO#7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75</v>
      </c>
      <c r="C54" s="32" t="str">
        <f>IF('S-ASIG-07'!D54="","",'S-ASIG-07'!D54)</f>
        <v>LIST</v>
      </c>
      <c r="D54" s="35" t="s">
        <v>85</v>
      </c>
      <c r="E54" s="200" t="str">
        <f>LIDER!$E$36</f>
        <v>GRUPO#8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76</v>
      </c>
      <c r="C61" s="32" t="str">
        <f>IF('S-ASIG-07'!D61="","",'S-ASIG-07'!D61)</f>
        <v>LIST</v>
      </c>
      <c r="D61" s="35" t="s">
        <v>85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77</v>
      </c>
      <c r="C68" s="32" t="str">
        <f>IF('S-ASIG-07'!D68="","",'S-ASIG-07'!D68)</f>
        <v>LIST</v>
      </c>
      <c r="D68" s="35" t="s">
        <v>85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78</v>
      </c>
      <c r="C75" s="32" t="str">
        <f>IF('S-ASIG-07'!D75="","",'S-ASIG-07'!D75)</f>
        <v>LIST</v>
      </c>
      <c r="D75" s="35" t="s">
        <v>85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79</v>
      </c>
      <c r="C82" s="32" t="str">
        <f>IF('S-ASIG-07'!D82="","",'S-ASIG-07'!D82)</f>
        <v>LIST</v>
      </c>
      <c r="D82" s="35" t="s">
        <v>85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13" activePane="bottomRight" state="frozen"/>
      <selection pane="bottomRight" activeCell="B18" sqref="B18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SEM-02</v>
      </c>
      <c r="Q1" s="43" t="str">
        <f>LIDER!G2</f>
        <v>SECCIÓN:</v>
      </c>
      <c r="R1" s="44">
        <f>LIDER!H2</f>
        <v>7</v>
      </c>
      <c r="S1" s="42"/>
      <c r="T1" s="42"/>
      <c r="U1" s="45"/>
    </row>
    <row r="2" spans="1:22" ht="20.100000000000001" customHeight="1" thickBot="1">
      <c r="G2" s="142" t="s">
        <v>101</v>
      </c>
      <c r="H2" s="143"/>
      <c r="I2" s="143"/>
      <c r="J2" s="143"/>
      <c r="K2" s="143"/>
      <c r="L2" s="143"/>
      <c r="M2" s="144"/>
      <c r="N2" s="2"/>
      <c r="O2" s="147" t="s">
        <v>102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3232</v>
      </c>
      <c r="H3" s="49" t="str">
        <f>CONCATENATE("N° : ",LIDER!D6)</f>
        <v>N° : 2211</v>
      </c>
      <c r="I3" s="49" t="str">
        <f>CONCATENATE("N° : ",LIDER!E6)</f>
        <v>N° : 2231</v>
      </c>
      <c r="J3" s="49" t="str">
        <f>CONCATENATE("N° : ",LIDER!F6)</f>
        <v>N° : 1926</v>
      </c>
      <c r="K3" s="49" t="str">
        <f>CONCATENATE("N° : ",LIDER!G6)</f>
        <v>N° : 1415</v>
      </c>
      <c r="L3" s="49" t="str">
        <f>CONCATENATE("N° : ",LIDER!H6)</f>
        <v>N° : 1328</v>
      </c>
      <c r="M3" s="50" t="str">
        <f>CONCATENATE("N° : ",LIDER!I6)</f>
        <v xml:space="preserve">N° : </v>
      </c>
      <c r="O3" s="48" t="str">
        <f>G3</f>
        <v>N° : 3232</v>
      </c>
      <c r="P3" s="49" t="str">
        <f t="shared" ref="P3:U3" si="0">H3</f>
        <v>N° : 2211</v>
      </c>
      <c r="Q3" s="49" t="str">
        <f t="shared" si="0"/>
        <v>N° : 2231</v>
      </c>
      <c r="R3" s="49" t="str">
        <f t="shared" si="0"/>
        <v>N° : 1926</v>
      </c>
      <c r="S3" s="49" t="str">
        <f t="shared" si="0"/>
        <v>N° : 1415</v>
      </c>
      <c r="T3" s="49" t="str">
        <f t="shared" si="0"/>
        <v>N° : 1328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103</v>
      </c>
      <c r="D4" s="54" t="s">
        <v>104</v>
      </c>
      <c r="E4" s="55" t="s">
        <v>105</v>
      </c>
      <c r="G4" s="56" t="str">
        <f>MID(LIDER!C4,1,9)</f>
        <v>INTRODUCC</v>
      </c>
      <c r="H4" s="57" t="str">
        <f>MID(LIDER!D4,1,9)</f>
        <v xml:space="preserve">COSTOS Y </v>
      </c>
      <c r="I4" s="57" t="str">
        <f>MID(LIDER!E4,1,9)</f>
        <v>LEGISLACI</v>
      </c>
      <c r="J4" s="57" t="str">
        <f>MID(LIDER!F4,1,9)</f>
        <v>SEMINARIO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106</v>
      </c>
      <c r="O4" s="60" t="str">
        <f t="shared" ref="O4:U4" si="1">G4</f>
        <v>INTRODUCC</v>
      </c>
      <c r="P4" s="61" t="str">
        <f t="shared" si="1"/>
        <v xml:space="preserve">COSTOS Y </v>
      </c>
      <c r="Q4" s="61" t="str">
        <f t="shared" si="1"/>
        <v>LEGISLACI</v>
      </c>
      <c r="R4" s="61" t="str">
        <f t="shared" si="1"/>
        <v>SEMINARIO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107</v>
      </c>
    </row>
    <row r="5" spans="1:22" ht="15" customHeight="1">
      <c r="A5" s="12">
        <v>1</v>
      </c>
      <c r="B5" s="63" t="str">
        <f>LIDER!C9</f>
        <v>NASLY GABRIELA BABILONIA MENDOZA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3.6179999999999999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3.6199999999999997</v>
      </c>
      <c r="H5" s="65">
        <f>IF(B5=0,"",IFERROR(VLOOKUP(B5,'S-ASIG-02'!$B$5:$E$88,4,0),0))</f>
        <v>0</v>
      </c>
      <c r="I5" s="65">
        <f>IF(B5=0,"",IFERROR(VLOOKUP(B5,'S-ASIG-03'!$B$5:$E$88,4,0),0))</f>
        <v>3.73</v>
      </c>
      <c r="J5" s="65">
        <f>IF(B5=0,"",IFERROR(VLOOKUP(B5,'S-ASIG-04'!$B$5:$E$88,4,0),0))</f>
        <v>3.4000000000000004</v>
      </c>
      <c r="K5" s="65">
        <f>IF(B5=0,"",IFERROR(VLOOKUP(B5,'S-ASIG-05'!$B$5:$E$88,4,0),0))</f>
        <v>4.05</v>
      </c>
      <c r="L5" s="65">
        <f>IF(B5=0,"",IFERROR(VLOOKUP(B5,'S-ASIG-06'!$B$5:$E$88,4,0),0))</f>
        <v>3.2900000000000005</v>
      </c>
      <c r="M5" s="66">
        <f>IF(B5=0,"",IFERROR(VLOOKUP(B5,'S-ASIG-07'!$B$5:$E$88,4,0),0))</f>
        <v>0</v>
      </c>
      <c r="N5" s="68" t="s">
        <v>108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109</v>
      </c>
    </row>
    <row r="6" spans="1:22" ht="15" customHeight="1">
      <c r="A6" s="12">
        <v>2</v>
      </c>
      <c r="B6" s="70" t="str">
        <f>LIDER!C10</f>
        <v>DIEGO ANDRES GALINDEZ NAVARRO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3.6179999999999999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3.6199999999999997</v>
      </c>
      <c r="H6" s="72">
        <f>IF(B6=0,"",IFERROR(VLOOKUP(B6,'S-ASIG-02'!$B$5:$E$88,4,0),0))</f>
        <v>0</v>
      </c>
      <c r="I6" s="72">
        <f>IF(B6=0,"",IFERROR(VLOOKUP(B6,'S-ASIG-03'!$B$5:$E$88,4,0),0))</f>
        <v>3.73</v>
      </c>
      <c r="J6" s="72">
        <f>IF(B6=0,"",IFERROR(VLOOKUP(B6,'S-ASIG-04'!$B$5:$E$88,4,0),0))</f>
        <v>3.4000000000000004</v>
      </c>
      <c r="K6" s="72">
        <f>IF(B6=0,"",IFERROR(VLOOKUP(B6,'S-ASIG-05'!$B$5:$E$88,4,0),0))</f>
        <v>4.05</v>
      </c>
      <c r="L6" s="72">
        <f>IF(B6=0,"",IFERROR(VLOOKUP(B6,'S-ASIG-06'!$B$5:$E$88,4,0),0))</f>
        <v>3.2900000000000005</v>
      </c>
      <c r="M6" s="73">
        <f>IF(B6=0,"",IFERROR(VLOOKUP(B6,'S-ASIG-07'!$B$5:$E$88,4,0),0))</f>
        <v>0</v>
      </c>
      <c r="N6" s="68" t="s">
        <v>108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109</v>
      </c>
    </row>
    <row r="7" spans="1:22" ht="15" customHeight="1">
      <c r="A7" s="12">
        <v>3</v>
      </c>
      <c r="B7" s="70" t="str">
        <f>LIDER!C11</f>
        <v>JESUS ALBERTO LARA ANGULO</v>
      </c>
      <c r="C7" s="64" t="str">
        <f>IF(B7=0,"",IFERROR(VLOOKUP(B7,'S-ASIG-01'!$B$5:$E$88,2,0),0))</f>
        <v>G01</v>
      </c>
      <c r="D7" s="65">
        <f t="shared" si="2"/>
        <v>3.6179999999999999</v>
      </c>
      <c r="E7" s="66">
        <f t="shared" si="3"/>
        <v>0</v>
      </c>
      <c r="F7" s="47"/>
      <c r="G7" s="71">
        <f>IF(B7=0,"",IFERROR(VLOOKUP(B7,'S-ASIG-01'!$B$5:$E$88,4,0),0))</f>
        <v>3.6199999999999997</v>
      </c>
      <c r="H7" s="72">
        <f>IF(B7=0,"",IFERROR(VLOOKUP(B7,'S-ASIG-02'!$B$5:$E$88,4,0),0))</f>
        <v>0</v>
      </c>
      <c r="I7" s="72">
        <f>IF(B7=0,"",IFERROR(VLOOKUP(B7,'S-ASIG-03'!$B$5:$E$88,4,0),0))</f>
        <v>3.73</v>
      </c>
      <c r="J7" s="72">
        <f>IF(B7=0,"",IFERROR(VLOOKUP(B7,'S-ASIG-04'!$B$5:$E$88,4,0),0))</f>
        <v>3.4000000000000004</v>
      </c>
      <c r="K7" s="72">
        <f>IF(B7=0,"",IFERROR(VLOOKUP(B7,'S-ASIG-05'!$B$5:$E$88,4,0),0))</f>
        <v>4.05</v>
      </c>
      <c r="L7" s="72">
        <f>IF(B7=0,"",IFERROR(VLOOKUP(B7,'S-ASIG-06'!$B$5:$E$88,4,0),0))</f>
        <v>3.2900000000000005</v>
      </c>
      <c r="M7" s="73">
        <f>IF(B7=0,"",IFERROR(VLOOKUP(B7,'S-ASIG-07'!$B$5:$E$88,4,0),0))</f>
        <v>0</v>
      </c>
      <c r="N7" s="68" t="s">
        <v>108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109</v>
      </c>
    </row>
    <row r="8" spans="1:22" ht="15" customHeight="1">
      <c r="A8" s="12">
        <v>4</v>
      </c>
      <c r="B8" s="70" t="str">
        <f>LIDER!C12</f>
        <v>RICHARTH JOSE LOPEZ PUERTA</v>
      </c>
      <c r="C8" s="64" t="str">
        <f>IF(B8=0,"",IFERROR(VLOOKUP(B8,'S-ASIG-01'!$B$5:$E$88,2,0),0))</f>
        <v>G01</v>
      </c>
      <c r="D8" s="65">
        <f t="shared" si="2"/>
        <v>3.6179999999999999</v>
      </c>
      <c r="E8" s="66">
        <f t="shared" si="3"/>
        <v>0</v>
      </c>
      <c r="F8" s="47"/>
      <c r="G8" s="71">
        <f>IF(B8=0,"",IFERROR(VLOOKUP(B8,'S-ASIG-01'!$B$5:$E$88,4,0),0))</f>
        <v>3.6199999999999997</v>
      </c>
      <c r="H8" s="72">
        <f>IF(B8=0,"",IFERROR(VLOOKUP(B8,'S-ASIG-02'!$B$5:$E$88,4,0),0))</f>
        <v>0</v>
      </c>
      <c r="I8" s="72">
        <f>IF(B8=0,"",IFERROR(VLOOKUP(B8,'S-ASIG-03'!$B$5:$E$88,4,0),0))</f>
        <v>3.73</v>
      </c>
      <c r="J8" s="72">
        <f>IF(B8=0,"",IFERROR(VLOOKUP(B8,'S-ASIG-04'!$B$5:$E$88,4,0),0))</f>
        <v>3.4000000000000004</v>
      </c>
      <c r="K8" s="72">
        <f>IF(B8=0,"",IFERROR(VLOOKUP(B8,'S-ASIG-05'!$B$5:$E$88,4,0),0))</f>
        <v>4.05</v>
      </c>
      <c r="L8" s="72">
        <f>IF(B8=0,"",IFERROR(VLOOKUP(B8,'S-ASIG-06'!$B$5:$E$88,4,0),0))</f>
        <v>3.2900000000000005</v>
      </c>
      <c r="M8" s="73">
        <f>IF(B8=0,"",IFERROR(VLOOKUP(B8,'S-ASIG-07'!$B$5:$E$88,4,0),0))</f>
        <v>0</v>
      </c>
      <c r="N8" s="68" t="s">
        <v>108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109</v>
      </c>
    </row>
    <row r="9" spans="1:22" ht="15" customHeight="1">
      <c r="A9" s="12">
        <v>5</v>
      </c>
      <c r="B9" s="70" t="str">
        <f>LIDER!C13</f>
        <v>MARIA PAULA ROMERO GOMEZ</v>
      </c>
      <c r="C9" s="64" t="str">
        <f>IF(B9=0,"",IFERROR(VLOOKUP(B9,'S-ASIG-01'!$B$5:$E$88,2,0),0))</f>
        <v>G01</v>
      </c>
      <c r="D9" s="65">
        <f t="shared" si="2"/>
        <v>3.6179999999999999</v>
      </c>
      <c r="E9" s="66">
        <f t="shared" si="3"/>
        <v>0</v>
      </c>
      <c r="F9" s="47"/>
      <c r="G9" s="71">
        <f>IF(B9=0,"",IFERROR(VLOOKUP(B9,'S-ASIG-01'!$B$5:$E$88,4,0),0))</f>
        <v>3.6199999999999997</v>
      </c>
      <c r="H9" s="72">
        <f>IF(B9=0,"",IFERROR(VLOOKUP(B9,'S-ASIG-02'!$B$5:$E$88,4,0),0))</f>
        <v>0</v>
      </c>
      <c r="I9" s="72">
        <f>IF(B9=0,"",IFERROR(VLOOKUP(B9,'S-ASIG-03'!$B$5:$E$88,4,0),0))</f>
        <v>3.73</v>
      </c>
      <c r="J9" s="72">
        <f>IF(B9=0,"",IFERROR(VLOOKUP(B9,'S-ASIG-04'!$B$5:$E$88,4,0),0))</f>
        <v>3.4000000000000004</v>
      </c>
      <c r="K9" s="72">
        <f>IF(B9=0,"",IFERROR(VLOOKUP(B9,'S-ASIG-05'!$B$5:$E$88,4,0),0))</f>
        <v>4.05</v>
      </c>
      <c r="L9" s="72">
        <f>IF(B9=0,"",IFERROR(VLOOKUP(B9,'S-ASIG-06'!$B$5:$E$88,4,0),0))</f>
        <v>3.2900000000000005</v>
      </c>
      <c r="M9" s="73">
        <f>IF(B9=0,"",IFERROR(VLOOKUP(B9,'S-ASIG-07'!$B$5:$E$88,4,0),0))</f>
        <v>0</v>
      </c>
      <c r="N9" s="68" t="s">
        <v>108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109</v>
      </c>
    </row>
    <row r="10" spans="1:22" ht="15" customHeight="1">
      <c r="A10" s="12">
        <v>6</v>
      </c>
      <c r="B10" s="70" t="str">
        <f>LIDER!C14</f>
        <v>FABIO ANDRES CALVO WOODBINE</v>
      </c>
      <c r="C10" s="64" t="str">
        <f>IF(B10=0,"",IFERROR(VLOOKUP(B10,'S-ASIG-01'!$B$5:$E$88,2,0),0))</f>
        <v>G02</v>
      </c>
      <c r="D10" s="65">
        <f t="shared" si="2"/>
        <v>4.2220000000000004</v>
      </c>
      <c r="E10" s="66">
        <f t="shared" si="3"/>
        <v>0</v>
      </c>
      <c r="F10" s="47"/>
      <c r="G10" s="71">
        <f>IF(B10=0,"",IFERROR(VLOOKUP(B10,'S-ASIG-01'!$B$5:$E$88,4,0),0))</f>
        <v>4.21</v>
      </c>
      <c r="H10" s="72">
        <f>IF(B10=0,"",IFERROR(VLOOKUP(B10,'S-ASIG-02'!$B$5:$E$88,4,0),0))</f>
        <v>0</v>
      </c>
      <c r="I10" s="72">
        <f>IF(B10=0,"",IFERROR(VLOOKUP(B10,'S-ASIG-03'!$B$5:$E$88,4,0),0))</f>
        <v>3.95</v>
      </c>
      <c r="J10" s="72">
        <f>IF(B10=0,"",IFERROR(VLOOKUP(B10,'S-ASIG-04'!$B$5:$E$88,4,0),0))</f>
        <v>4.3</v>
      </c>
      <c r="K10" s="72">
        <f>IF(B10=0,"",IFERROR(VLOOKUP(B10,'S-ASIG-05'!$B$5:$E$88,4,0),0))</f>
        <v>4.62</v>
      </c>
      <c r="L10" s="72">
        <f>IF(B10=0,"",IFERROR(VLOOKUP(B10,'S-ASIG-06'!$B$5:$E$88,4,0),0))</f>
        <v>4.03</v>
      </c>
      <c r="M10" s="73">
        <f>IF(B10=0,"",IFERROR(VLOOKUP(B10,'S-ASIG-07'!$B$5:$E$88,4,0),0))</f>
        <v>0</v>
      </c>
      <c r="N10" s="68" t="s">
        <v>108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109</v>
      </c>
    </row>
    <row r="11" spans="1:22" ht="15" customHeight="1">
      <c r="A11" s="12">
        <v>7</v>
      </c>
      <c r="B11" s="70" t="str">
        <f>LIDER!C15</f>
        <v>KEYLI YONALY GOMEZ JULIO</v>
      </c>
      <c r="C11" s="64" t="str">
        <f>IF(B11=0,"",IFERROR(VLOOKUP(B11,'S-ASIG-01'!$B$5:$E$88,2,0),0))</f>
        <v>G02</v>
      </c>
      <c r="D11" s="65">
        <f t="shared" si="2"/>
        <v>4.2220000000000004</v>
      </c>
      <c r="E11" s="66">
        <f t="shared" si="3"/>
        <v>0</v>
      </c>
      <c r="F11" s="47"/>
      <c r="G11" s="71">
        <f>IF(B11=0,"",IFERROR(VLOOKUP(B11,'S-ASIG-01'!$B$5:$E$88,4,0),0))</f>
        <v>4.21</v>
      </c>
      <c r="H11" s="72">
        <f>IF(B11=0,"",IFERROR(VLOOKUP(B11,'S-ASIG-02'!$B$5:$E$88,4,0),0))</f>
        <v>0</v>
      </c>
      <c r="I11" s="72">
        <f>IF(B11=0,"",IFERROR(VLOOKUP(B11,'S-ASIG-03'!$B$5:$E$88,4,0),0))</f>
        <v>3.95</v>
      </c>
      <c r="J11" s="72">
        <f>IF(B11=0,"",IFERROR(VLOOKUP(B11,'S-ASIG-04'!$B$5:$E$88,4,0),0))</f>
        <v>4.3</v>
      </c>
      <c r="K11" s="72">
        <f>IF(B11=0,"",IFERROR(VLOOKUP(B11,'S-ASIG-05'!$B$5:$E$88,4,0),0))</f>
        <v>4.62</v>
      </c>
      <c r="L11" s="72">
        <f>IF(B11=0,"",IFERROR(VLOOKUP(B11,'S-ASIG-06'!$B$5:$E$88,4,0),0))</f>
        <v>4.03</v>
      </c>
      <c r="M11" s="73">
        <f>IF(B11=0,"",IFERROR(VLOOKUP(B11,'S-ASIG-07'!$B$5:$E$88,4,0),0))</f>
        <v>0</v>
      </c>
      <c r="N11" s="68" t="s">
        <v>108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109</v>
      </c>
    </row>
    <row r="12" spans="1:22" ht="15" customHeight="1">
      <c r="A12" s="12">
        <v>8</v>
      </c>
      <c r="B12" s="70" t="str">
        <f>LIDER!C16</f>
        <v>SANTIAGO QUINTERO TAJAN</v>
      </c>
      <c r="C12" s="64" t="str">
        <f>IF(B12=0,"",IFERROR(VLOOKUP(B12,'S-ASIG-01'!$B$5:$E$88,2,0),0))</f>
        <v>G02</v>
      </c>
      <c r="D12" s="65">
        <f t="shared" si="2"/>
        <v>4.2220000000000004</v>
      </c>
      <c r="E12" s="66">
        <f t="shared" si="3"/>
        <v>0</v>
      </c>
      <c r="F12" s="47"/>
      <c r="G12" s="71">
        <f>IF(B12=0,"",IFERROR(VLOOKUP(B12,'S-ASIG-01'!$B$5:$E$88,4,0),0))</f>
        <v>4.21</v>
      </c>
      <c r="H12" s="72">
        <f>IF(B12=0,"",IFERROR(VLOOKUP(B12,'S-ASIG-02'!$B$5:$E$88,4,0),0))</f>
        <v>0</v>
      </c>
      <c r="I12" s="72">
        <f>IF(B12=0,"",IFERROR(VLOOKUP(B12,'S-ASIG-03'!$B$5:$E$88,4,0),0))</f>
        <v>3.95</v>
      </c>
      <c r="J12" s="72">
        <f>IF(B12=0,"",IFERROR(VLOOKUP(B12,'S-ASIG-04'!$B$5:$E$88,4,0),0))</f>
        <v>4.3</v>
      </c>
      <c r="K12" s="72">
        <f>IF(B12=0,"",IFERROR(VLOOKUP(B12,'S-ASIG-05'!$B$5:$E$88,4,0),0))</f>
        <v>4.62</v>
      </c>
      <c r="L12" s="72">
        <f>IF(B12=0,"",IFERROR(VLOOKUP(B12,'S-ASIG-06'!$B$5:$E$88,4,0),0))</f>
        <v>4.03</v>
      </c>
      <c r="M12" s="73">
        <f>IF(B12=0,"",IFERROR(VLOOKUP(B12,'S-ASIG-07'!$B$5:$E$88,4,0),0))</f>
        <v>0</v>
      </c>
      <c r="N12" s="68" t="s">
        <v>108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109</v>
      </c>
    </row>
    <row r="13" spans="1:22" ht="15" customHeight="1">
      <c r="A13" s="12">
        <v>9</v>
      </c>
      <c r="B13" s="70" t="str">
        <f>LIDER!C17</f>
        <v>YULIETH PATRICIA RUIZ MEZA</v>
      </c>
      <c r="C13" s="64" t="str">
        <f>IF(B13=0,"",IFERROR(VLOOKUP(B13,'S-ASIG-01'!$B$5:$E$88,2,0),0))</f>
        <v>G02</v>
      </c>
      <c r="D13" s="65">
        <f t="shared" si="2"/>
        <v>4.2220000000000004</v>
      </c>
      <c r="E13" s="66">
        <f t="shared" si="3"/>
        <v>0</v>
      </c>
      <c r="F13" s="47"/>
      <c r="G13" s="71">
        <f>IF(B13=0,"",IFERROR(VLOOKUP(B13,'S-ASIG-01'!$B$5:$E$88,4,0),0))</f>
        <v>4.21</v>
      </c>
      <c r="H13" s="72">
        <f>IF(B13=0,"",IFERROR(VLOOKUP(B13,'S-ASIG-02'!$B$5:$E$88,4,0),0))</f>
        <v>0</v>
      </c>
      <c r="I13" s="72">
        <f>IF(B13=0,"",IFERROR(VLOOKUP(B13,'S-ASIG-03'!$B$5:$E$88,4,0),0))</f>
        <v>3.95</v>
      </c>
      <c r="J13" s="72">
        <f>IF(B13=0,"",IFERROR(VLOOKUP(B13,'S-ASIG-04'!$B$5:$E$88,4,0),0))</f>
        <v>4.3</v>
      </c>
      <c r="K13" s="72">
        <f>IF(B13=0,"",IFERROR(VLOOKUP(B13,'S-ASIG-05'!$B$5:$E$88,4,0),0))</f>
        <v>4.62</v>
      </c>
      <c r="L13" s="72">
        <f>IF(B13=0,"",IFERROR(VLOOKUP(B13,'S-ASIG-06'!$B$5:$E$88,4,0),0))</f>
        <v>4.03</v>
      </c>
      <c r="M13" s="73">
        <f>IF(B13=0,"",IFERROR(VLOOKUP(B13,'S-ASIG-07'!$B$5:$E$88,4,0),0))</f>
        <v>0</v>
      </c>
      <c r="N13" s="68" t="s">
        <v>108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109</v>
      </c>
    </row>
    <row r="14" spans="1:22" ht="15" customHeight="1">
      <c r="A14" s="12">
        <v>10</v>
      </c>
      <c r="B14" s="70" t="str">
        <f>LIDER!C18</f>
        <v>CAROLAY VALDELAMAR CHAVEZ</v>
      </c>
      <c r="C14" s="64" t="str">
        <f>IF(B14=0,"",IFERROR(VLOOKUP(B14,'S-ASIG-01'!$B$5:$E$88,2,0),0))</f>
        <v>G02</v>
      </c>
      <c r="D14" s="65">
        <f t="shared" si="2"/>
        <v>4.2220000000000004</v>
      </c>
      <c r="E14" s="66">
        <f t="shared" si="3"/>
        <v>0</v>
      </c>
      <c r="F14" s="47"/>
      <c r="G14" s="71">
        <f>IF(B14=0,"",IFERROR(VLOOKUP(B14,'S-ASIG-01'!$B$5:$E$88,4,0),0))</f>
        <v>4.21</v>
      </c>
      <c r="H14" s="72">
        <f>IF(B14=0,"",IFERROR(VLOOKUP(B14,'S-ASIG-02'!$B$5:$E$88,4,0),0))</f>
        <v>0</v>
      </c>
      <c r="I14" s="72">
        <f>IF(B14=0,"",IFERROR(VLOOKUP(B14,'S-ASIG-03'!$B$5:$E$88,4,0),0))</f>
        <v>3.95</v>
      </c>
      <c r="J14" s="72">
        <f>IF(B14=0,"",IFERROR(VLOOKUP(B14,'S-ASIG-04'!$B$5:$E$88,4,0),0))</f>
        <v>4.3</v>
      </c>
      <c r="K14" s="72">
        <f>IF(B14=0,"",IFERROR(VLOOKUP(B14,'S-ASIG-05'!$B$5:$E$88,4,0),0))</f>
        <v>4.62</v>
      </c>
      <c r="L14" s="72">
        <f>IF(B14=0,"",IFERROR(VLOOKUP(B14,'S-ASIG-06'!$B$5:$E$88,4,0),0))</f>
        <v>4.03</v>
      </c>
      <c r="M14" s="73">
        <f>IF(B14=0,"",IFERROR(VLOOKUP(B14,'S-ASIG-07'!$B$5:$E$88,4,0),0))</f>
        <v>0</v>
      </c>
      <c r="N14" s="68" t="s">
        <v>108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109</v>
      </c>
    </row>
    <row r="15" spans="1:22" ht="15" customHeight="1">
      <c r="A15" s="12">
        <v>11</v>
      </c>
      <c r="B15" s="70" t="str">
        <f>LIDER!C19</f>
        <v>ROBINSON CRISMATT BATISTA</v>
      </c>
      <c r="C15" s="64" t="str">
        <f>IF(B15=0,"",IFERROR(VLOOKUP(B15,'S-ASIG-01'!$B$5:$E$88,2,0),0))</f>
        <v>G03</v>
      </c>
      <c r="D15" s="65">
        <f t="shared" si="2"/>
        <v>4.1120000000000001</v>
      </c>
      <c r="E15" s="66">
        <f t="shared" si="3"/>
        <v>0</v>
      </c>
      <c r="F15" s="47"/>
      <c r="G15" s="71">
        <f>IF(B15=0,"",IFERROR(VLOOKUP(B15,'S-ASIG-01'!$B$5:$E$88,4,0),0))</f>
        <v>4.17</v>
      </c>
      <c r="H15" s="72">
        <f>IF(B15=0,"",IFERROR(VLOOKUP(B15,'S-ASIG-02'!$B$5:$E$88,4,0),0))</f>
        <v>0</v>
      </c>
      <c r="I15" s="72">
        <f>IF(B15=0,"",IFERROR(VLOOKUP(B15,'S-ASIG-03'!$B$5:$E$88,4,0),0))</f>
        <v>4.0599999999999996</v>
      </c>
      <c r="J15" s="72">
        <f>IF(B15=0,"",IFERROR(VLOOKUP(B15,'S-ASIG-04'!$B$5:$E$88,4,0),0))</f>
        <v>4.3</v>
      </c>
      <c r="K15" s="72">
        <f>IF(B15=0,"",IFERROR(VLOOKUP(B15,'S-ASIG-05'!$B$5:$E$88,4,0),0))</f>
        <v>3.8200000000000003</v>
      </c>
      <c r="L15" s="72">
        <f>IF(B15=0,"",IFERROR(VLOOKUP(B15,'S-ASIG-06'!$B$5:$E$88,4,0),0))</f>
        <v>4.21</v>
      </c>
      <c r="M15" s="73">
        <f>IF(B15=0,"",IFERROR(VLOOKUP(B15,'S-ASIG-07'!$B$5:$E$88,4,0),0))</f>
        <v>0</v>
      </c>
      <c r="N15" s="68" t="s">
        <v>108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109</v>
      </c>
    </row>
    <row r="16" spans="1:22" ht="15" customHeight="1">
      <c r="A16" s="12">
        <v>12</v>
      </c>
      <c r="B16" s="70" t="str">
        <f>LIDER!C20</f>
        <v>BERMARYS FLORES HERNÁNDEZ</v>
      </c>
      <c r="C16" s="64" t="str">
        <f>IF(B16=0,"",IFERROR(VLOOKUP(B16,'S-ASIG-01'!$B$5:$E$88,2,0),0))</f>
        <v>G03</v>
      </c>
      <c r="D16" s="65">
        <f t="shared" si="2"/>
        <v>4.0975000000000001</v>
      </c>
      <c r="E16" s="66">
        <f t="shared" si="3"/>
        <v>0</v>
      </c>
      <c r="F16" s="47"/>
      <c r="G16" s="71" t="str">
        <f>IF(B16=0,"",IFERROR(VLOOKUP(B16,'S-ASIG-01'!$B$5:$E$88,4,0),0))</f>
        <v>N</v>
      </c>
      <c r="H16" s="72">
        <f>IF(B16=0,"",IFERROR(VLOOKUP(B16,'S-ASIG-02'!$B$5:$E$88,4,0),0))</f>
        <v>0</v>
      </c>
      <c r="I16" s="72">
        <f>IF(B16=0,"",IFERROR(VLOOKUP(B16,'S-ASIG-03'!$B$5:$E$88,4,0),0))</f>
        <v>4.0599999999999996</v>
      </c>
      <c r="J16" s="72">
        <f>IF(B16=0,"",IFERROR(VLOOKUP(B16,'S-ASIG-04'!$B$5:$E$88,4,0),0))</f>
        <v>4.3</v>
      </c>
      <c r="K16" s="72">
        <f>IF(B16=0,"",IFERROR(VLOOKUP(B16,'S-ASIG-05'!$B$5:$E$88,4,0),0))</f>
        <v>3.8200000000000003</v>
      </c>
      <c r="L16" s="72">
        <f>IF(B16=0,"",IFERROR(VLOOKUP(B16,'S-ASIG-06'!$B$5:$E$88,4,0),0))</f>
        <v>4.21</v>
      </c>
      <c r="M16" s="73">
        <f>IF(B16=0,"",IFERROR(VLOOKUP(B16,'S-ASIG-07'!$B$5:$E$88,4,0),0))</f>
        <v>0</v>
      </c>
      <c r="N16" s="68" t="s">
        <v>108</v>
      </c>
      <c r="O16" s="71" t="str">
        <f>IF(B16=0,"",IFERROR(VLOOKUP(B16,'T-ASIG-01'!$B$5:$D$88,3,0),0))</f>
        <v>N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109</v>
      </c>
    </row>
    <row r="17" spans="1:22" ht="15" customHeight="1">
      <c r="A17" s="12">
        <v>13</v>
      </c>
      <c r="B17" s="70" t="str">
        <f>LIDER!C21</f>
        <v>ABRAHAM DAVID RAMOS POSADA</v>
      </c>
      <c r="C17" s="64" t="str">
        <f>IF(B17=0,"",IFERROR(VLOOKUP(B17,'S-ASIG-01'!$B$5:$E$88,2,0),0))</f>
        <v>G03</v>
      </c>
      <c r="D17" s="65">
        <f t="shared" si="2"/>
        <v>4.1120000000000001</v>
      </c>
      <c r="E17" s="66">
        <f t="shared" si="3"/>
        <v>0</v>
      </c>
      <c r="F17" s="47"/>
      <c r="G17" s="71">
        <f>IF(B17=0,"",IFERROR(VLOOKUP(B17,'S-ASIG-01'!$B$5:$E$88,4,0),0))</f>
        <v>4.17</v>
      </c>
      <c r="H17" s="72">
        <f>IF(B17=0,"",IFERROR(VLOOKUP(B17,'S-ASIG-02'!$B$5:$E$88,4,0),0))</f>
        <v>0</v>
      </c>
      <c r="I17" s="72">
        <f>IF(B17=0,"",IFERROR(VLOOKUP(B17,'S-ASIG-03'!$B$5:$E$88,4,0),0))</f>
        <v>4.0599999999999996</v>
      </c>
      <c r="J17" s="72">
        <f>IF(B17=0,"",IFERROR(VLOOKUP(B17,'S-ASIG-04'!$B$5:$E$88,4,0),0))</f>
        <v>4.3</v>
      </c>
      <c r="K17" s="72">
        <f>IF(B17=0,"",IFERROR(VLOOKUP(B17,'S-ASIG-05'!$B$5:$E$88,4,0),0))</f>
        <v>3.8200000000000003</v>
      </c>
      <c r="L17" s="72">
        <f>IF(B17=0,"",IFERROR(VLOOKUP(B17,'S-ASIG-06'!$B$5:$E$88,4,0),0))</f>
        <v>4.21</v>
      </c>
      <c r="M17" s="73">
        <f>IF(B17=0,"",IFERROR(VLOOKUP(B17,'S-ASIG-07'!$B$5:$E$88,4,0),0))</f>
        <v>0</v>
      </c>
      <c r="N17" s="68" t="s">
        <v>108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109</v>
      </c>
    </row>
    <row r="18" spans="1:22" ht="15" customHeight="1">
      <c r="A18" s="12">
        <v>14</v>
      </c>
      <c r="B18" s="70" t="str">
        <f>LIDER!C22</f>
        <v>ALEJANDRO ENRIQUE ROCHA ALCALA</v>
      </c>
      <c r="C18" s="64" t="str">
        <f>IF(B18=0,"",IFERROR(VLOOKUP(B18,'S-ASIG-01'!$B$5:$E$88,2,0),0))</f>
        <v>G03</v>
      </c>
      <c r="D18" s="65">
        <f t="shared" si="2"/>
        <v>4.1120000000000001</v>
      </c>
      <c r="E18" s="66">
        <f t="shared" si="3"/>
        <v>0</v>
      </c>
      <c r="F18" s="47"/>
      <c r="G18" s="71">
        <f>IF(B18=0,"",IFERROR(VLOOKUP(B18,'S-ASIG-01'!$B$5:$E$88,4,0),0))</f>
        <v>4.17</v>
      </c>
      <c r="H18" s="72">
        <f>IF(B18=0,"",IFERROR(VLOOKUP(B18,'S-ASIG-02'!$B$5:$E$88,4,0),0))</f>
        <v>0</v>
      </c>
      <c r="I18" s="72">
        <f>IF(B18=0,"",IFERROR(VLOOKUP(B18,'S-ASIG-03'!$B$5:$E$88,4,0),0))</f>
        <v>4.0599999999999996</v>
      </c>
      <c r="J18" s="72">
        <f>IF(B18=0,"",IFERROR(VLOOKUP(B18,'S-ASIG-04'!$B$5:$E$88,4,0),0))</f>
        <v>4.3</v>
      </c>
      <c r="K18" s="72">
        <f>IF(B18=0,"",IFERROR(VLOOKUP(B18,'S-ASIG-05'!$B$5:$E$88,4,0),0))</f>
        <v>3.8200000000000003</v>
      </c>
      <c r="L18" s="72">
        <f>IF(B18=0,"",IFERROR(VLOOKUP(B18,'S-ASIG-06'!$B$5:$E$88,4,0),0))</f>
        <v>4.21</v>
      </c>
      <c r="M18" s="73">
        <f>IF(B18=0,"",IFERROR(VLOOKUP(B18,'S-ASIG-07'!$B$5:$E$88,4,0),0))</f>
        <v>0</v>
      </c>
      <c r="N18" s="68" t="s">
        <v>108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109</v>
      </c>
    </row>
    <row r="19" spans="1:22" ht="15" customHeight="1">
      <c r="A19" s="12">
        <v>15</v>
      </c>
      <c r="B19" s="70" t="str">
        <f>LIDER!C23</f>
        <v>JHONATAN MIGUEL ROJAS BELTRÁN</v>
      </c>
      <c r="C19" s="64" t="str">
        <f>IF(B19=0,"",IFERROR(VLOOKUP(B19,'S-ASIG-01'!$B$5:$E$88,2,0),0))</f>
        <v>G03</v>
      </c>
      <c r="D19" s="65">
        <f t="shared" si="2"/>
        <v>4.1120000000000001</v>
      </c>
      <c r="E19" s="66">
        <f t="shared" si="3"/>
        <v>0</v>
      </c>
      <c r="F19" s="47"/>
      <c r="G19" s="71">
        <f>IF(B19=0,"",IFERROR(VLOOKUP(B19,'S-ASIG-01'!$B$5:$E$88,4,0),0))</f>
        <v>4.17</v>
      </c>
      <c r="H19" s="72">
        <f>IF(B19=0,"",IFERROR(VLOOKUP(B19,'S-ASIG-02'!$B$5:$E$88,4,0),0))</f>
        <v>0</v>
      </c>
      <c r="I19" s="72">
        <f>IF(B19=0,"",IFERROR(VLOOKUP(B19,'S-ASIG-03'!$B$5:$E$88,4,0),0))</f>
        <v>4.0599999999999996</v>
      </c>
      <c r="J19" s="72">
        <f>IF(B19=0,"",IFERROR(VLOOKUP(B19,'S-ASIG-04'!$B$5:$E$88,4,0),0))</f>
        <v>4.3</v>
      </c>
      <c r="K19" s="72">
        <f>IF(B19=0,"",IFERROR(VLOOKUP(B19,'S-ASIG-05'!$B$5:$E$88,4,0),0))</f>
        <v>3.8200000000000003</v>
      </c>
      <c r="L19" s="72">
        <f>IF(B19=0,"",IFERROR(VLOOKUP(B19,'S-ASIG-06'!$B$5:$E$88,4,0),0))</f>
        <v>4.21</v>
      </c>
      <c r="M19" s="73">
        <f>IF(B19=0,"",IFERROR(VLOOKUP(B19,'S-ASIG-07'!$B$5:$E$88,4,0),0))</f>
        <v>0</v>
      </c>
      <c r="N19" s="68" t="s">
        <v>108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109</v>
      </c>
    </row>
    <row r="20" spans="1:22" ht="15" customHeight="1">
      <c r="A20" s="12">
        <v>16</v>
      </c>
      <c r="B20" s="70" t="str">
        <f>LIDER!C24</f>
        <v>HANNA MARGARITA ESCORCIA RAMIREZ</v>
      </c>
      <c r="C20" s="64" t="str">
        <f>IF(B20=0,"",IFERROR(VLOOKUP(B20,'S-ASIG-01'!$B$5:$E$88,2,0),0))</f>
        <v>G04</v>
      </c>
      <c r="D20" s="65">
        <f t="shared" si="2"/>
        <v>4.3040000000000003</v>
      </c>
      <c r="E20" s="66">
        <f t="shared" si="3"/>
        <v>0</v>
      </c>
      <c r="F20" s="47"/>
      <c r="G20" s="71">
        <f>IF(B20=0,"",IFERROR(VLOOKUP(B20,'S-ASIG-01'!$B$5:$E$88,4,0),0))</f>
        <v>4.26</v>
      </c>
      <c r="H20" s="72">
        <f>IF(B20=0,"",IFERROR(VLOOKUP(B20,'S-ASIG-02'!$B$5:$E$88,4,0),0))</f>
        <v>0</v>
      </c>
      <c r="I20" s="72">
        <f>IF(B20=0,"",IFERROR(VLOOKUP(B20,'S-ASIG-03'!$B$5:$E$88,4,0),0))</f>
        <v>4.3000000000000007</v>
      </c>
      <c r="J20" s="72">
        <f>IF(B20=0,"",IFERROR(VLOOKUP(B20,'S-ASIG-04'!$B$5:$E$88,4,0),0))</f>
        <v>4.3</v>
      </c>
      <c r="K20" s="72">
        <f>IF(B20=0,"",IFERROR(VLOOKUP(B20,'S-ASIG-05'!$B$5:$E$88,4,0),0))</f>
        <v>4.3599999999999994</v>
      </c>
      <c r="L20" s="72">
        <f>IF(B20=0,"",IFERROR(VLOOKUP(B20,'S-ASIG-06'!$B$5:$E$88,4,0),0))</f>
        <v>4.3000000000000007</v>
      </c>
      <c r="M20" s="73">
        <f>IF(B20=0,"",IFERROR(VLOOKUP(B20,'S-ASIG-07'!$B$5:$E$88,4,0),0))</f>
        <v>0</v>
      </c>
      <c r="N20" s="68" t="s">
        <v>108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109</v>
      </c>
    </row>
    <row r="21" spans="1:22" ht="15" customHeight="1">
      <c r="A21" s="12">
        <v>17</v>
      </c>
      <c r="B21" s="70" t="str">
        <f>LIDER!C25</f>
        <v>TIFFANY LORENA JIMENEZ ALTAHONA</v>
      </c>
      <c r="C21" s="64" t="str">
        <f>IF(B21=0,"",IFERROR(VLOOKUP(B21,'S-ASIG-01'!$B$5:$E$88,2,0),0))</f>
        <v>G04</v>
      </c>
      <c r="D21" s="65">
        <f t="shared" si="2"/>
        <v>4.3040000000000003</v>
      </c>
      <c r="E21" s="66">
        <f t="shared" si="3"/>
        <v>0</v>
      </c>
      <c r="F21" s="47"/>
      <c r="G21" s="71">
        <f>IF(B21=0,"",IFERROR(VLOOKUP(B21,'S-ASIG-01'!$B$5:$E$88,4,0),0))</f>
        <v>4.26</v>
      </c>
      <c r="H21" s="72">
        <f>IF(B21=0,"",IFERROR(VLOOKUP(B21,'S-ASIG-02'!$B$5:$E$88,4,0),0))</f>
        <v>0</v>
      </c>
      <c r="I21" s="72">
        <f>IF(B21=0,"",IFERROR(VLOOKUP(B21,'S-ASIG-03'!$B$5:$E$88,4,0),0))</f>
        <v>4.3000000000000007</v>
      </c>
      <c r="J21" s="72">
        <f>IF(B21=0,"",IFERROR(VLOOKUP(B21,'S-ASIG-04'!$B$5:$E$88,4,0),0))</f>
        <v>4.3</v>
      </c>
      <c r="K21" s="72">
        <f>IF(B21=0,"",IFERROR(VLOOKUP(B21,'S-ASIG-05'!$B$5:$E$88,4,0),0))</f>
        <v>4.3599999999999994</v>
      </c>
      <c r="L21" s="72">
        <f>IF(B21=0,"",IFERROR(VLOOKUP(B21,'S-ASIG-06'!$B$5:$E$88,4,0),0))</f>
        <v>4.3000000000000007</v>
      </c>
      <c r="M21" s="73">
        <f>IF(B21=0,"",IFERROR(VLOOKUP(B21,'S-ASIG-07'!$B$5:$E$88,4,0),0))</f>
        <v>0</v>
      </c>
      <c r="N21" s="68" t="s">
        <v>108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109</v>
      </c>
    </row>
    <row r="22" spans="1:22" ht="15" customHeight="1">
      <c r="A22" s="12">
        <v>18</v>
      </c>
      <c r="B22" s="70" t="str">
        <f>LIDER!C26</f>
        <v>DAIRO MANUEL NAVARRO MURILLO</v>
      </c>
      <c r="C22" s="64" t="str">
        <f>IF(B22=0,"",IFERROR(VLOOKUP(B22,'S-ASIG-01'!$B$5:$E$88,2,0),0))</f>
        <v>G04</v>
      </c>
      <c r="D22" s="65">
        <f t="shared" si="2"/>
        <v>4.3040000000000003</v>
      </c>
      <c r="E22" s="66">
        <f t="shared" si="3"/>
        <v>0</v>
      </c>
      <c r="F22" s="47"/>
      <c r="G22" s="71">
        <f>IF(B22=0,"",IFERROR(VLOOKUP(B22,'S-ASIG-01'!$B$5:$E$88,4,0),0))</f>
        <v>4.26</v>
      </c>
      <c r="H22" s="72">
        <f>IF(B22=0,"",IFERROR(VLOOKUP(B22,'S-ASIG-02'!$B$5:$E$88,4,0),0))</f>
        <v>0</v>
      </c>
      <c r="I22" s="72">
        <f>IF(B22=0,"",IFERROR(VLOOKUP(B22,'S-ASIG-03'!$B$5:$E$88,4,0),0))</f>
        <v>4.3000000000000007</v>
      </c>
      <c r="J22" s="72">
        <f>IF(B22=0,"",IFERROR(VLOOKUP(B22,'S-ASIG-04'!$B$5:$E$88,4,0),0))</f>
        <v>4.3</v>
      </c>
      <c r="K22" s="72">
        <f>IF(B22=0,"",IFERROR(VLOOKUP(B22,'S-ASIG-05'!$B$5:$E$88,4,0),0))</f>
        <v>4.3599999999999994</v>
      </c>
      <c r="L22" s="72">
        <f>IF(B22=0,"",IFERROR(VLOOKUP(B22,'S-ASIG-06'!$B$5:$E$88,4,0),0))</f>
        <v>4.3000000000000007</v>
      </c>
      <c r="M22" s="73">
        <f>IF(B22=0,"",IFERROR(VLOOKUP(B22,'S-ASIG-07'!$B$5:$E$88,4,0),0))</f>
        <v>0</v>
      </c>
      <c r="N22" s="68" t="s">
        <v>108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109</v>
      </c>
    </row>
    <row r="23" spans="1:22" ht="15" customHeight="1">
      <c r="A23" s="12">
        <v>19</v>
      </c>
      <c r="B23" s="70" t="str">
        <f>LIDER!C27</f>
        <v>FREDY ANTONIO PLAZA HERNANDEZ</v>
      </c>
      <c r="C23" s="64" t="str">
        <f>IF(B23=0,"",IFERROR(VLOOKUP(B23,'S-ASIG-01'!$B$5:$E$88,2,0),0))</f>
        <v>G04</v>
      </c>
      <c r="D23" s="65">
        <f t="shared" si="2"/>
        <v>4.3040000000000003</v>
      </c>
      <c r="E23" s="66">
        <f t="shared" si="3"/>
        <v>0</v>
      </c>
      <c r="F23" s="47"/>
      <c r="G23" s="71">
        <f>IF(B23=0,"",IFERROR(VLOOKUP(B23,'S-ASIG-01'!$B$5:$E$88,4,0),0))</f>
        <v>4.26</v>
      </c>
      <c r="H23" s="72">
        <f>IF(B23=0,"",IFERROR(VLOOKUP(B23,'S-ASIG-02'!$B$5:$E$88,4,0),0))</f>
        <v>0</v>
      </c>
      <c r="I23" s="72">
        <f>IF(B23=0,"",IFERROR(VLOOKUP(B23,'S-ASIG-03'!$B$5:$E$88,4,0),0))</f>
        <v>4.3000000000000007</v>
      </c>
      <c r="J23" s="72">
        <f>IF(B23=0,"",IFERROR(VLOOKUP(B23,'S-ASIG-04'!$B$5:$E$88,4,0),0))</f>
        <v>4.3</v>
      </c>
      <c r="K23" s="72">
        <f>IF(B23=0,"",IFERROR(VLOOKUP(B23,'S-ASIG-05'!$B$5:$E$88,4,0),0))</f>
        <v>4.3599999999999994</v>
      </c>
      <c r="L23" s="72">
        <f>IF(B23=0,"",IFERROR(VLOOKUP(B23,'S-ASIG-06'!$B$5:$E$88,4,0),0))</f>
        <v>4.3000000000000007</v>
      </c>
      <c r="M23" s="73">
        <f>IF(B23=0,"",IFERROR(VLOOKUP(B23,'S-ASIG-07'!$B$5:$E$88,4,0),0))</f>
        <v>0</v>
      </c>
      <c r="N23" s="68" t="s">
        <v>108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109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108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109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108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109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108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109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108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109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108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109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108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109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108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109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108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109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108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109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108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109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108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109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108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109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108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109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108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109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108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109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108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109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108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109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108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109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108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109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108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109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108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109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108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109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108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109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108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109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108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109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108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109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108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109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108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109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108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109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108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109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108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109</v>
      </c>
    </row>
  </sheetData>
  <sheetProtection algorithmName="SHA-512" hashValue="ifkVYDvo4QPmQEAiL8hnueFACH8YIffJGhZ5ND+7IkdyhXYC2qLE9sFQWZ2Gn7mLMnQLYbg6oA2/GQQSJIe/yg==" saltValue="Fq7t715rRxJvn+h+AvRdq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2026-10-15T21:47:44Z</dcterms:modified>
  <cp:category/>
  <cp:contentStatus/>
</cp:coreProperties>
</file>