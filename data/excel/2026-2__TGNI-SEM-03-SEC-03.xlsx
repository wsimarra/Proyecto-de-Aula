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3/"/>
    </mc:Choice>
  </mc:AlternateContent>
  <xr:revisionPtr revIDLastSave="105" documentId="13_ncr:1_{32CA7247-8BD7-4D1B-B177-E105FD2F2E96}" xr6:coauthVersionLast="47" xr6:coauthVersionMax="47" xr10:uidLastSave="{89A2519E-4E47-4BAB-9C4B-770FB19D29F2}"/>
  <bookViews>
    <workbookView xWindow="-120" yWindow="-120" windowWidth="20730" windowHeight="11040" tabRatio="8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D36" i="16" s="1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D34" i="7" s="1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D36" i="7"/>
  <c r="B36" i="7"/>
  <c r="D35" i="7"/>
  <c r="B35" i="7"/>
  <c r="B34" i="7"/>
  <c r="B32" i="7"/>
  <c r="D32" i="7" s="1"/>
  <c r="D31" i="7"/>
  <c r="B31" i="7"/>
  <c r="D30" i="7"/>
  <c r="B30" i="7"/>
  <c r="B29" i="7"/>
  <c r="D29" i="7" s="1"/>
  <c r="D28" i="7"/>
  <c r="B28" i="7"/>
  <c r="D27" i="7"/>
  <c r="B27" i="7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D37" i="6" s="1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D42" i="6"/>
  <c r="B42" i="6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D27" i="6"/>
  <c r="B27" i="6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D34" i="5"/>
  <c r="B34" i="5"/>
  <c r="B32" i="5"/>
  <c r="D32" i="5" s="1"/>
  <c r="B31" i="5"/>
  <c r="D31" i="5" s="1"/>
  <c r="B30" i="5"/>
  <c r="D30" i="5" s="1"/>
  <c r="B29" i="5"/>
  <c r="D29" i="5" s="1"/>
  <c r="D28" i="5"/>
  <c r="B28" i="5"/>
  <c r="D27" i="5"/>
  <c r="B27" i="5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D36" i="4" s="1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D28" i="4"/>
  <c r="B28" i="4"/>
  <c r="D27" i="4"/>
  <c r="B27" i="4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B35" i="3"/>
  <c r="B34" i="3"/>
  <c r="D34" i="3" s="1"/>
  <c r="B32" i="3"/>
  <c r="D32" i="3" s="1"/>
  <c r="B31" i="3"/>
  <c r="D31" i="3" s="1"/>
  <c r="B30" i="3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E29" i="15"/>
  <c r="B29" i="15"/>
  <c r="C28" i="15"/>
  <c r="C29" i="15" s="1"/>
  <c r="C30" i="15" s="1"/>
  <c r="C31" i="15" s="1"/>
  <c r="C32" i="15" s="1"/>
  <c r="B28" i="15"/>
  <c r="E28" i="15" s="1"/>
  <c r="E27" i="15"/>
  <c r="C27" i="15"/>
  <c r="B27" i="15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E35" i="11"/>
  <c r="B35" i="1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E27" i="10"/>
  <c r="C27" i="10"/>
  <c r="B27" i="10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<sst xmlns="http://schemas.openxmlformats.org/spreadsheetml/2006/main" count="649" uniqueCount="104">
  <si>
    <t>TECNOLOGÍA EN GESTIÓN DE NEGOCIOS INTERN</t>
  </si>
  <si>
    <t>SEMESTRE:</t>
  </si>
  <si>
    <t>SEM-03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</si>
  <si>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</si>
  <si>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</si>
  <si>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</si>
  <si>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</si>
  <si>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</si>
  <si>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</si>
  <si>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</si>
  <si>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</si>
  <si>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TECNOLOGIA APLICADA</t>
  </si>
  <si>
    <t>INTERNACIONALIZACION</t>
  </si>
  <si>
    <t>LEGISLACION PARA EL COMERCIO</t>
  </si>
  <si>
    <t>MACROECONOMÍA</t>
  </si>
  <si>
    <t>MATEMÁTICAS FINANCIERAS</t>
  </si>
  <si>
    <t>ARMANDO ACOSTA JULIO</t>
  </si>
  <si>
    <t>JEYSSON STEEVEN ANILLO CARRANZA</t>
  </si>
  <si>
    <t>HAROLD ANTONIO CUADRO VELASQUEZ</t>
  </si>
  <si>
    <t>LUIS ROBERTO PAJARO ZABALA</t>
  </si>
  <si>
    <t>EDGAR ALEXANDER NAVARRO MARTINEZ</t>
  </si>
  <si>
    <t>LISTA DE ESTUDIANTES</t>
  </si>
  <si>
    <t>SEGUNDA ENTREGA - CRITERIO DE EVALUACIÓN DOCUMENTO - SEGUNDO CORTE</t>
  </si>
  <si>
    <t>PONDERACIÓN</t>
  </si>
  <si>
    <t>ADMINISTRACIÓN DE EMPRESAS C.I</t>
  </si>
  <si>
    <t>SARAY MICHELLE MATUTE SILGADO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</si>
  <si>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</si>
  <si>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</si>
  <si>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EMILY YOANA PEDROZA VASQUEZ</t>
  </si>
  <si>
    <t>ANTEPROYECTO: Portada, planteamiento del problema, justificacion del trabajo o proyecto de aula, objetivos, marco teorico, diseño metodologico.</t>
  </si>
  <si>
    <t>CONTADURÍA PÚBLICA</t>
  </si>
  <si>
    <t>GABRIELA POLO LORA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</si>
  <si>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</si>
  <si>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</si>
  <si>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VALENTINA ISABEL RAMIREZ MENDOZA</t>
  </si>
  <si>
    <t>BILIOGRAFIA: Las referencias bibliograficas: adoptan las normas APA. El documento es producto de un rastreo bibliografico que muestra analisis y sistensis.</t>
  </si>
  <si>
    <t>ANA LUCIA RODRIGUEZ PUELLO</t>
  </si>
  <si>
    <t>ASESORIAS: Anexó la hoja de tutoria firmada ( 3 fimas minmimo).</t>
  </si>
  <si>
    <t>TECNOLOGíA EN GESTION CONTABLE</t>
  </si>
  <si>
    <t>SANDY SOFIA BELLO CAMPILLO</t>
  </si>
  <si>
    <t>TECNOLOGÍA EN GESTIÓN DE MARKETING</t>
  </si>
  <si>
    <t>DIEGO ALEXANDER CARDONA BOLAÑO</t>
  </si>
  <si>
    <t>TECNOLOGÍA EN GESTIÓN DEL TALENTO HUMANO</t>
  </si>
  <si>
    <t>LUIS FERNANDO GAMARRA POLO</t>
  </si>
  <si>
    <t>TECNOLOGÍA EN GESTIÓN FINANCIERA</t>
  </si>
  <si>
    <t>EDDY MASSA BELTRAN</t>
  </si>
  <si>
    <t>TECNOLOGÍA EN GESTIÓN LOGISTICA Y PORTUARIA</t>
  </si>
  <si>
    <t>DANIEL ANDRES REALES VARGAS</t>
  </si>
  <si>
    <t>ENTREGA FINAL - CRITERIO DE EVALUACIÓN SUSTENTACIÓN - TERCER CORTE</t>
  </si>
  <si>
    <t>TECNOLOGÍA EN GESTIÓN TURISTICA Y HOTELERA</t>
  </si>
  <si>
    <t>DANNA MARCELA RODRIGUEZ OSPINA</t>
  </si>
  <si>
    <t>Evaluación del Documento Final</t>
  </si>
  <si>
    <t>LUISA FERNANDA CASTRO MONTES</t>
  </si>
  <si>
    <t>Sustentación de los Resultados: Se refleja un dominio del tema, la  información está delimitada y es clara. Hay una jerarquía y fluidez en las ideas que presenta.</t>
  </si>
  <si>
    <t>ROBERTO CARLOS PIÑA GARCES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</si>
  <si>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</si>
  <si>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JUAN MANUEL RODRIGUEZ BARRETO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</si>
  <si>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</si>
  <si>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JESUS DAVID RODRIGUEZ RODRIGUEZ</t>
  </si>
  <si>
    <t>Tiempo: El uso del tiempo fue apropiado, se ajusta al previsto.
Ofrece una conclusión donde condensa las ideas principales del objetivo general y los específicos.</t>
  </si>
  <si>
    <t>SAMUEL ALEXANDER VELASQUEZ ALVAREZ</t>
  </si>
  <si>
    <t>Uso de Recursos Audiovisuales Tecnológicos: La sustentación se acompaña de recursos visuales pertinentes, atractivos y de gran calidad</t>
  </si>
  <si>
    <t>YEIMIS CAROLINA CAÑATE MIRANDA</t>
  </si>
  <si>
    <t>TITULOS DE LOS PROYECTOS DE AULA</t>
  </si>
  <si>
    <t>Los aspectos legales, tributarios, administrativos, macroeconómicos, aduaneros, tecnológicos e internacionales que definen el perfil de la empresa Vélez en los negocios internacionales</t>
  </si>
  <si>
    <t xml:space="preserve">Aspectos legales, tributarios, administrativos, macroeconómicos, aduaneros, tecnológicos e internacionales que definen el a Amazon en los negocios internacionales </t>
  </si>
  <si>
    <t>Los aspectos legales, tributarios, administrativos, macroeconómicos, aduaneros, tecnológicos e internacionales que definen el perfil de la empresa Juan Valdez en los negocios internacionales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</si>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</sst>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37" zoomScale="91" zoomScaleNormal="91" workbookViewId="0">
      <selection activeCell="G44" sqref="G44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78" t="s">
        <v>0</v>
      </c>
      <c r="C2" s="179"/>
      <c r="D2" s="180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2248</v>
      </c>
      <c r="D6" s="134">
        <v>2347</v>
      </c>
      <c r="E6" s="134">
        <v>2352</v>
      </c>
      <c r="F6" s="134">
        <v>1496</v>
      </c>
      <c r="G6" s="134">
        <v>1364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81" t="s">
        <v>22</v>
      </c>
      <c r="F8" s="182"/>
      <c r="G8" s="183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84" t="s">
        <v>26</v>
      </c>
      <c r="F9" s="185"/>
      <c r="G9" s="186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58" t="s">
        <v>29</v>
      </c>
      <c r="F10" s="159"/>
      <c r="G10" s="160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84" t="s">
        <v>32</v>
      </c>
      <c r="F11" s="185"/>
      <c r="G11" s="186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58" t="s">
        <v>35</v>
      </c>
      <c r="F12" s="159"/>
      <c r="G12" s="160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1" t="s">
        <v>37</v>
      </c>
      <c r="F13" s="162"/>
      <c r="G13" s="163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4"/>
      <c r="F14" s="156"/>
      <c r="G14" s="157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65"/>
      <c r="F15" s="166"/>
      <c r="G15" s="167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74"/>
      <c r="F17" s="174"/>
      <c r="G17" s="174"/>
      <c r="H17" s="174"/>
      <c r="I17" s="69" t="s">
        <v>46</v>
      </c>
    </row>
    <row r="18" spans="2:9" ht="15" customHeight="1" thickBot="1">
      <c r="B18" s="108">
        <v>10</v>
      </c>
      <c r="C18" s="111" t="s">
        <v>47</v>
      </c>
      <c r="E18" s="148" t="s">
        <v>48</v>
      </c>
      <c r="F18" s="149"/>
      <c r="G18" s="149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71" t="s">
        <v>51</v>
      </c>
      <c r="F19" s="172"/>
      <c r="G19" s="173"/>
      <c r="H19" s="138">
        <v>0.5</v>
      </c>
    </row>
    <row r="20" spans="2:9" ht="15" customHeight="1">
      <c r="B20" s="108">
        <v>12</v>
      </c>
      <c r="C20" s="111" t="s">
        <v>52</v>
      </c>
      <c r="E20" s="150" t="s">
        <v>53</v>
      </c>
      <c r="F20" s="151"/>
      <c r="G20" s="152"/>
      <c r="H20" s="139">
        <v>0.2</v>
      </c>
    </row>
    <row r="21" spans="2:9" ht="15" customHeight="1">
      <c r="B21" s="108">
        <v>13</v>
      </c>
      <c r="C21" s="111" t="s">
        <v>54</v>
      </c>
      <c r="E21" s="153" t="s">
        <v>55</v>
      </c>
      <c r="F21" s="154"/>
      <c r="G21" s="155"/>
      <c r="H21" s="140">
        <v>0.1</v>
      </c>
    </row>
    <row r="22" spans="2:9" ht="15" customHeight="1">
      <c r="B22" s="108">
        <v>14</v>
      </c>
      <c r="C22" s="111" t="s">
        <v>56</v>
      </c>
      <c r="E22" s="150" t="s">
        <v>57</v>
      </c>
      <c r="F22" s="156"/>
      <c r="G22" s="157"/>
      <c r="H22" s="139">
        <v>0.05</v>
      </c>
    </row>
    <row r="23" spans="2:9" ht="15" customHeight="1">
      <c r="B23" s="108">
        <v>15</v>
      </c>
      <c r="C23" s="111" t="s">
        <v>58</v>
      </c>
      <c r="E23" s="153" t="s">
        <v>59</v>
      </c>
      <c r="F23" s="154"/>
      <c r="G23" s="155"/>
      <c r="H23" s="141">
        <v>0.05</v>
      </c>
    </row>
    <row r="24" spans="2:9" ht="15" customHeight="1">
      <c r="B24" s="108">
        <v>16</v>
      </c>
      <c r="C24" s="111" t="s">
        <v>60</v>
      </c>
      <c r="E24" s="150" t="s">
        <v>61</v>
      </c>
      <c r="F24" s="151"/>
      <c r="G24" s="152"/>
      <c r="H24" s="139">
        <v>0.1</v>
      </c>
    </row>
    <row r="25" spans="2:9" ht="15" customHeight="1" thickBot="1">
      <c r="B25" s="108">
        <v>17</v>
      </c>
      <c r="C25" s="111" t="s">
        <v>62</v>
      </c>
      <c r="E25" s="168"/>
      <c r="F25" s="169"/>
      <c r="G25" s="170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75" t="s">
        <v>63</v>
      </c>
      <c r="F28" s="176"/>
      <c r="G28" s="176"/>
      <c r="H28" s="177"/>
    </row>
    <row r="29" spans="2:9" ht="15" customHeight="1" thickBot="1">
      <c r="B29" s="108">
        <v>21</v>
      </c>
      <c r="C29" s="111"/>
      <c r="E29" s="145" t="s">
        <v>64</v>
      </c>
      <c r="F29" s="146"/>
      <c r="G29" s="146"/>
      <c r="H29" s="147"/>
    </row>
    <row r="30" spans="2:9" ht="15" customHeight="1" thickBot="1">
      <c r="B30" s="108">
        <v>22</v>
      </c>
      <c r="C30" s="111"/>
      <c r="E30" s="142" t="s">
        <v>65</v>
      </c>
      <c r="F30" s="143"/>
      <c r="G30" s="143"/>
      <c r="H30" s="144"/>
    </row>
    <row r="31" spans="2:9" ht="15" customHeight="1" thickBot="1">
      <c r="B31" s="108">
        <v>23</v>
      </c>
      <c r="C31" s="111"/>
      <c r="E31" s="145" t="s">
        <v>66</v>
      </c>
      <c r="F31" s="146"/>
      <c r="G31" s="146"/>
      <c r="H31" s="147"/>
    </row>
    <row r="32" spans="2:9" ht="15" customHeight="1" thickBot="1">
      <c r="B32" s="108">
        <v>24</v>
      </c>
      <c r="C32" s="111"/>
      <c r="E32" s="142"/>
      <c r="F32" s="143"/>
      <c r="G32" s="143"/>
      <c r="H32" s="144"/>
    </row>
    <row r="33" spans="2:8" ht="15" customHeight="1" thickBot="1">
      <c r="B33" s="108">
        <v>25</v>
      </c>
      <c r="C33" s="111"/>
      <c r="E33" s="145"/>
      <c r="F33" s="146"/>
      <c r="G33" s="146"/>
      <c r="H33" s="147"/>
    </row>
    <row r="34" spans="2:8" ht="15" customHeight="1" thickBot="1">
      <c r="B34" s="108">
        <v>26</v>
      </c>
      <c r="C34" s="111"/>
      <c r="E34" s="142"/>
      <c r="F34" s="143"/>
      <c r="G34" s="143"/>
      <c r="H34" s="144"/>
    </row>
    <row r="35" spans="2:8" ht="15" customHeight="1" thickBot="1">
      <c r="B35" s="108">
        <v>27</v>
      </c>
      <c r="C35" s="111"/>
      <c r="E35" s="145"/>
      <c r="F35" s="146"/>
      <c r="G35" s="146"/>
      <c r="H35" s="147"/>
    </row>
    <row r="36" spans="2:8" ht="15" customHeight="1" thickBot="1">
      <c r="B36" s="108">
        <v>28</v>
      </c>
      <c r="C36" s="111"/>
      <c r="E36" s="142"/>
      <c r="F36" s="143"/>
      <c r="G36" s="143"/>
      <c r="H36" s="144"/>
    </row>
    <row r="37" spans="2:8" ht="15" customHeight="1" thickBot="1">
      <c r="B37" s="108">
        <v>29</v>
      </c>
      <c r="C37" s="111"/>
      <c r="E37" s="145"/>
      <c r="F37" s="146"/>
      <c r="G37" s="146"/>
      <c r="H37" s="147"/>
    </row>
    <row r="38" spans="2:8" ht="15" customHeight="1" thickBot="1">
      <c r="B38" s="108">
        <v>30</v>
      </c>
      <c r="C38" s="111"/>
      <c r="E38" s="142"/>
      <c r="F38" s="143"/>
      <c r="G38" s="143"/>
      <c r="H38" s="144"/>
    </row>
    <row r="39" spans="2:8" ht="15" customHeight="1" thickBot="1">
      <c r="B39" s="108">
        <v>31</v>
      </c>
      <c r="C39" s="111"/>
      <c r="E39" s="145"/>
      <c r="F39" s="146"/>
      <c r="G39" s="146"/>
      <c r="H39" s="147"/>
    </row>
    <row r="40" spans="2:8" ht="15" customHeight="1" thickBot="1">
      <c r="B40" s="108">
        <v>32</v>
      </c>
      <c r="C40" s="111"/>
      <c r="E40" s="142"/>
      <c r="F40" s="143"/>
      <c r="G40" s="143"/>
      <c r="H40" s="144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Los aspectos legales</v>
      </c>
      <c r="F42" s="116" t="str">
        <f>MID(E30,1,20)</f>
        <v>Aspectos legales, tr</v>
      </c>
      <c r="G42" s="116" t="str">
        <f>MID(E31,1,20)</f>
        <v>Los aspectos legales</v>
      </c>
      <c r="H42" s="117" t="str">
        <f>MID(E32,1,20)</f>
        <v/>
      </c>
    </row>
    <row r="43" spans="2:8" ht="15" customHeight="1">
      <c r="B43" s="108">
        <v>35</v>
      </c>
      <c r="C43" s="111"/>
      <c r="E43" s="118" t="s">
        <v>25</v>
      </c>
      <c r="F43" s="119" t="s">
        <v>39</v>
      </c>
      <c r="G43" s="119" t="s">
        <v>52</v>
      </c>
      <c r="H43" s="120"/>
    </row>
    <row r="44" spans="2:8" ht="15" customHeight="1">
      <c r="B44" s="108">
        <v>36</v>
      </c>
      <c r="C44" s="111"/>
      <c r="E44" s="121" t="s">
        <v>28</v>
      </c>
      <c r="F44" s="122" t="s">
        <v>41</v>
      </c>
      <c r="G44" s="122" t="s">
        <v>54</v>
      </c>
      <c r="H44" s="123"/>
    </row>
    <row r="45" spans="2:8" ht="15" customHeight="1">
      <c r="B45" s="108">
        <v>37</v>
      </c>
      <c r="C45" s="111"/>
      <c r="E45" s="124" t="s">
        <v>31</v>
      </c>
      <c r="F45" s="125" t="s">
        <v>43</v>
      </c>
      <c r="G45" s="125" t="s">
        <v>56</v>
      </c>
      <c r="H45" s="126"/>
    </row>
    <row r="46" spans="2:8" ht="15" customHeight="1">
      <c r="B46" s="108">
        <v>38</v>
      </c>
      <c r="C46" s="111"/>
      <c r="E46" s="121" t="s">
        <v>34</v>
      </c>
      <c r="F46" s="122" t="s">
        <v>45</v>
      </c>
      <c r="G46" s="122" t="s">
        <v>58</v>
      </c>
      <c r="H46" s="123"/>
    </row>
    <row r="47" spans="2:8" ht="15" customHeight="1">
      <c r="B47" s="108">
        <v>39</v>
      </c>
      <c r="C47" s="111"/>
      <c r="E47" s="124" t="s">
        <v>36</v>
      </c>
      <c r="F47" s="125" t="s">
        <v>47</v>
      </c>
      <c r="G47" s="125" t="s">
        <v>60</v>
      </c>
      <c r="H47" s="126"/>
    </row>
    <row r="48" spans="2:8" ht="15" customHeight="1" thickBot="1">
      <c r="B48" s="108">
        <v>40</v>
      </c>
      <c r="C48" s="111"/>
      <c r="E48" s="127"/>
      <c r="F48" s="128" t="s">
        <v>50</v>
      </c>
      <c r="G48" s="128" t="s">
        <v>62</v>
      </c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/>
      </c>
      <c r="F50" s="116" t="str">
        <f>MID(E34,1,20)</f>
        <v/>
      </c>
      <c r="G50" s="116" t="str">
        <f>MID(E35,1,20)</f>
        <v/>
      </c>
      <c r="H50" s="117" t="str">
        <f>MID(E36,1,20)</f>
        <v/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/>
      </c>
      <c r="F58" s="116" t="str">
        <f>MID(E38,1,20)</f>
        <v/>
      </c>
      <c r="G58" s="116" t="str">
        <f>MID(E39,1,20)</f>
        <v/>
      </c>
      <c r="H58" s="117" t="str">
        <f>MID(E40,1,20)</f>
        <v/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fe3Hlw8lK/8LPiPSe7vVQBCucY1uWK//Cx88rDlc1LEwGsbu0tlN6dWFAmgPSbUHHIdKPkNOiopnQZCTh8lfdw==" saltValue="fvPtDDcbCoVB1Eb1ex2nyA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12" activePane="bottomRight" state="frozen"/>
      <selection pane="bottomRight" activeCell="H20" sqref="H20:H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TECNOLOGIA APLICADA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CONCATENATE(LIDER!C4," - ",LIDER!C6," - ",LIDER!C5)</f>
        <v>TECNOLOGIA APLICADA - 2248 - ARMANDO ACOSTA JULIO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4.6999999999999993</v>
      </c>
      <c r="F6" s="190">
        <v>4.5999999999999996</v>
      </c>
      <c r="G6" s="187">
        <v>4.5</v>
      </c>
      <c r="H6" s="188">
        <v>4.5999999999999996</v>
      </c>
      <c r="I6" s="187">
        <v>5</v>
      </c>
      <c r="J6" s="188">
        <v>5</v>
      </c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4.6999999999999993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4.6999999999999993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4.6999999999999993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4.6999999999999993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3.6999999999999997</v>
      </c>
      <c r="F13" s="190">
        <v>4</v>
      </c>
      <c r="G13" s="187">
        <v>4</v>
      </c>
      <c r="H13" s="188">
        <v>4</v>
      </c>
      <c r="I13" s="187">
        <v>2</v>
      </c>
      <c r="J13" s="188">
        <v>5</v>
      </c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3.6999999999999997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3.6999999999999997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3.6999999999999997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3.6999999999999997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3.6999999999999997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190">
        <v>4</v>
      </c>
      <c r="G20" s="187">
        <v>4</v>
      </c>
      <c r="H20" s="188">
        <v>4</v>
      </c>
      <c r="I20" s="187">
        <v>5</v>
      </c>
      <c r="J20" s="188">
        <v>5</v>
      </c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4.3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K20" sqref="K20:K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INTERNACIONALIZACION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CONCATENATE(LIDER!D4," - ",LIDER!D6," - ",LIDER!D5)</f>
        <v>INTERNACIONALIZACION - 2347 - JEYSSON STEEVEN ANILLO CARRANZA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4.63</v>
      </c>
      <c r="F6" s="190">
        <v>4.5</v>
      </c>
      <c r="G6" s="187">
        <v>4.5</v>
      </c>
      <c r="H6" s="188">
        <v>4.7</v>
      </c>
      <c r="I6" s="187">
        <v>4.8</v>
      </c>
      <c r="J6" s="188">
        <v>4.5999999999999996</v>
      </c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4.63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4.63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4.63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4.63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3.39</v>
      </c>
      <c r="F13" s="190">
        <v>4</v>
      </c>
      <c r="G13" s="187">
        <v>3.8</v>
      </c>
      <c r="H13" s="188">
        <v>3.9</v>
      </c>
      <c r="I13" s="187">
        <v>1</v>
      </c>
      <c r="J13" s="188">
        <v>4.5999999999999996</v>
      </c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3.39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3.39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3.39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3.39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3.39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4.17</v>
      </c>
      <c r="F20" s="190">
        <v>4.0999999999999996</v>
      </c>
      <c r="G20" s="187">
        <v>4</v>
      </c>
      <c r="H20" s="188">
        <v>3.9</v>
      </c>
      <c r="I20" s="187">
        <v>4.7</v>
      </c>
      <c r="J20" s="188">
        <v>4.4000000000000004</v>
      </c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4.17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4.17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4.17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4.17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4.17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1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CONCATENATE(LIDER!E4," - ",LIDER!E6," - ",LIDER!E5)</f>
        <v>LEGISLACION PARA EL COMERCIO - 2352 - HAROLD ANTONIO CUADRO VELASQUEZ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190">
        <v>4.5</v>
      </c>
      <c r="G6" s="187">
        <v>4.5</v>
      </c>
      <c r="H6" s="188">
        <v>4.5</v>
      </c>
      <c r="I6" s="187">
        <v>4.5</v>
      </c>
      <c r="J6" s="188">
        <v>5</v>
      </c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3.1500000000000004</v>
      </c>
      <c r="F13" s="190">
        <v>4</v>
      </c>
      <c r="G13" s="187">
        <v>4</v>
      </c>
      <c r="H13" s="188">
        <v>2</v>
      </c>
      <c r="I13" s="187">
        <v>2.5</v>
      </c>
      <c r="J13" s="188">
        <v>4.5</v>
      </c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3.1500000000000004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3.1500000000000004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3.1500000000000004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3.1500000000000004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3.1500000000000004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</v>
      </c>
      <c r="F20" s="190">
        <v>4.5</v>
      </c>
      <c r="G20" s="187">
        <v>4.2</v>
      </c>
      <c r="H20" s="188">
        <v>4.2</v>
      </c>
      <c r="I20" s="187">
        <v>4</v>
      </c>
      <c r="J20" s="188">
        <v>4</v>
      </c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4.2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8" activePane="bottomRight" state="frozen"/>
      <selection pane="bottomRight" activeCell="K20" sqref="K20:K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CONCATENATE(LIDER!F4," - ",LIDER!F6," - ",LIDER!F5)</f>
        <v>MACROECONOMÍA - 1496 - LUIS ROBERTO PAJARO ZABALA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190">
        <v>4.5</v>
      </c>
      <c r="G6" s="187">
        <v>4.5</v>
      </c>
      <c r="H6" s="188">
        <v>4.5</v>
      </c>
      <c r="I6" s="187">
        <v>4.5</v>
      </c>
      <c r="J6" s="188">
        <v>5</v>
      </c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4.25</v>
      </c>
      <c r="F13" s="190">
        <v>4.5</v>
      </c>
      <c r="G13" s="187">
        <v>4.5</v>
      </c>
      <c r="H13" s="188">
        <v>4.5</v>
      </c>
      <c r="I13" s="187">
        <v>3</v>
      </c>
      <c r="J13" s="188">
        <v>5</v>
      </c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4.25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4.25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4.25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4.25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4.25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190">
        <v>4.5</v>
      </c>
      <c r="G20" s="187">
        <v>4.5</v>
      </c>
      <c r="H20" s="188">
        <v>4.5</v>
      </c>
      <c r="I20" s="187">
        <v>4.5</v>
      </c>
      <c r="J20" s="188">
        <v>5</v>
      </c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4.55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zoomScale="86" zoomScaleNormal="86" workbookViewId="0">
      <pane xSplit="5" ySplit="3" topLeftCell="F4" activePane="bottomRight" state="frozen"/>
      <selection pane="bottomRight" activeCell="I20" sqref="I20:I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CONCATENATE(LIDER!G4," - ",LIDER!G6," - ",LIDER!G5)</f>
        <v>MATEMÁTICAS FINANCIERAS - 1364 - EDGAR ALEXANDER NAVARRO MARTINEZ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190">
        <v>4.5</v>
      </c>
      <c r="G6" s="187">
        <v>4.5</v>
      </c>
      <c r="H6" s="188">
        <v>4</v>
      </c>
      <c r="I6" s="187">
        <v>4.5</v>
      </c>
      <c r="J6" s="188">
        <v>5</v>
      </c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3.7600000000000002</v>
      </c>
      <c r="F13" s="190">
        <v>3.5</v>
      </c>
      <c r="G13" s="187">
        <v>3.8</v>
      </c>
      <c r="H13" s="188">
        <v>4</v>
      </c>
      <c r="I13" s="187">
        <v>3</v>
      </c>
      <c r="J13" s="188">
        <v>5</v>
      </c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3.7600000000000002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3.7600000000000002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3.7600000000000002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3.7600000000000002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3.7600000000000002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190">
        <v>4.5</v>
      </c>
      <c r="G20" s="187">
        <v>4.5</v>
      </c>
      <c r="H20" s="188">
        <v>4</v>
      </c>
      <c r="I20" s="187">
        <v>4</v>
      </c>
      <c r="J20" s="188">
        <v>5</v>
      </c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4.3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16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LIDER!H4</f>
        <v>0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CONCATENATE(LIDER!H4," - ",LIDER!H6," - ",LIDER!H5)</f>
        <v xml:space="preserve"> -  - 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0"/>
      <c r="G6" s="187"/>
      <c r="H6" s="188"/>
      <c r="I6" s="187"/>
      <c r="J6" s="188"/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0"/>
      <c r="G13" s="187"/>
      <c r="H13" s="188"/>
      <c r="I13" s="187"/>
      <c r="J13" s="188"/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0"/>
      <c r="G20" s="187"/>
      <c r="H20" s="188"/>
      <c r="I20" s="187"/>
      <c r="J20" s="188"/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60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2"/>
      <c r="H1" s="19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194" t="s">
        <v>67</v>
      </c>
      <c r="G2" s="195"/>
      <c r="H2" s="195"/>
      <c r="I2" s="195"/>
      <c r="J2" s="195"/>
      <c r="K2" s="195"/>
      <c r="L2" s="196"/>
    </row>
    <row r="3" spans="1:12" s="2" customFormat="1" ht="145.5" customHeight="1">
      <c r="B3" s="83" t="s">
        <v>68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97" t="str">
        <f>CONCATENATE(LIDER!I4," - ",LIDER!I6," - ",LIDER!I5)</f>
        <v xml:space="preserve"> -  - </v>
      </c>
      <c r="G4" s="197"/>
      <c r="H4" s="197"/>
      <c r="I4" s="197"/>
      <c r="J4" s="197"/>
      <c r="K4" s="197"/>
      <c r="L4" s="197"/>
    </row>
    <row r="5" spans="1:12" s="2" customFormat="1" ht="15.75" customHeight="1" thickBot="1">
      <c r="A5" s="8"/>
      <c r="B5" s="25" t="s">
        <v>69</v>
      </c>
      <c r="C5" s="88" t="s">
        <v>70</v>
      </c>
      <c r="D5" s="32" t="s">
        <v>71</v>
      </c>
      <c r="E5" s="89" t="s">
        <v>72</v>
      </c>
      <c r="F5" s="189" t="str">
        <f>LIDER!$E$29</f>
        <v>Los aspectos legales, tributarios, administrativos, macroeconómicos, aduaneros, tecnológicos e internacionales que definen el perfil de la empresa Vélez en los negocios internacionales</v>
      </c>
      <c r="G5" s="189"/>
      <c r="H5" s="189"/>
      <c r="I5" s="189"/>
      <c r="J5" s="189"/>
      <c r="K5" s="189"/>
      <c r="L5" s="189"/>
    </row>
    <row r="6" spans="1:12" s="2" customFormat="1" ht="12.75">
      <c r="A6" s="9">
        <v>1</v>
      </c>
      <c r="B6" s="10" t="str">
        <f>LIDER!E43</f>
        <v>SARAY MICHELLE MATUTE SILGADO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0"/>
      <c r="G6" s="187"/>
      <c r="H6" s="188"/>
      <c r="I6" s="187"/>
      <c r="J6" s="188"/>
      <c r="K6" s="187"/>
      <c r="L6" s="188"/>
    </row>
    <row r="7" spans="1:12" s="2" customFormat="1" ht="15" customHeight="1">
      <c r="A7" s="12">
        <v>2</v>
      </c>
      <c r="B7" s="10" t="str">
        <f>LIDER!E44</f>
        <v>EMILY YOANA PEDROZA VASQUEZ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0"/>
      <c r="G7" s="187"/>
      <c r="H7" s="188"/>
      <c r="I7" s="187"/>
      <c r="J7" s="188"/>
      <c r="K7" s="187"/>
      <c r="L7" s="188"/>
    </row>
    <row r="8" spans="1:12" s="2" customFormat="1" ht="15" customHeight="1">
      <c r="A8" s="12">
        <v>3</v>
      </c>
      <c r="B8" s="10" t="str">
        <f>LIDER!E45</f>
        <v>GABRIELA POLO LORA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0"/>
      <c r="G8" s="187"/>
      <c r="H8" s="188"/>
      <c r="I8" s="187"/>
      <c r="J8" s="188"/>
      <c r="K8" s="187"/>
      <c r="L8" s="188"/>
    </row>
    <row r="9" spans="1:12" s="2" customFormat="1" ht="15" customHeight="1">
      <c r="A9" s="12">
        <v>4</v>
      </c>
      <c r="B9" s="10" t="str">
        <f>LIDER!E46</f>
        <v>VALENTINA ISABEL RAMIREZ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0"/>
      <c r="G9" s="187"/>
      <c r="H9" s="188"/>
      <c r="I9" s="187"/>
      <c r="J9" s="188"/>
      <c r="K9" s="187"/>
      <c r="L9" s="188"/>
    </row>
    <row r="10" spans="1:12" s="2" customFormat="1" ht="15" customHeight="1">
      <c r="A10" s="12">
        <v>5</v>
      </c>
      <c r="B10" s="10" t="str">
        <f>LIDER!E47</f>
        <v>ANA LUCIA RODRIGUEZ PUELLO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0"/>
      <c r="G10" s="187"/>
      <c r="H10" s="188"/>
      <c r="I10" s="187"/>
      <c r="J10" s="188"/>
      <c r="K10" s="187"/>
      <c r="L10" s="18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0"/>
      <c r="G11" s="187"/>
      <c r="H11" s="188"/>
      <c r="I11" s="187"/>
      <c r="J11" s="188"/>
      <c r="K11" s="187"/>
      <c r="L11" s="188"/>
    </row>
    <row r="12" spans="1:12" s="2" customFormat="1" ht="15.75" customHeight="1" thickBot="1">
      <c r="A12" s="8"/>
      <c r="B12" s="25" t="s">
        <v>73</v>
      </c>
      <c r="C12" s="88" t="s">
        <v>74</v>
      </c>
      <c r="D12" s="32" t="str">
        <f>D5</f>
        <v>LIST</v>
      </c>
      <c r="E12" s="89" t="s">
        <v>72</v>
      </c>
      <c r="F12" s="189" t="str">
        <f>LIDER!$E$30</f>
        <v xml:space="preserve">Aspectos legales, tributarios, administrativos, macroeconómicos, aduaneros, tecnológicos e internacionales que definen el a Amazon en los negocios internacionales </v>
      </c>
      <c r="G12" s="189"/>
      <c r="H12" s="189"/>
      <c r="I12" s="189"/>
      <c r="J12" s="189"/>
      <c r="K12" s="189"/>
      <c r="L12" s="189"/>
    </row>
    <row r="13" spans="1:12" s="2" customFormat="1" ht="12.75">
      <c r="A13" s="9">
        <v>1</v>
      </c>
      <c r="B13" s="10" t="str">
        <f>LIDER!F43</f>
        <v>SANDY SOFIA BELLO CAMPILLO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0"/>
      <c r="G13" s="187"/>
      <c r="H13" s="188"/>
      <c r="I13" s="187"/>
      <c r="J13" s="188"/>
      <c r="K13" s="187"/>
      <c r="L13" s="188"/>
    </row>
    <row r="14" spans="1:12" s="2" customFormat="1" ht="15" customHeight="1">
      <c r="A14" s="12">
        <v>2</v>
      </c>
      <c r="B14" s="10" t="str">
        <f>LIDER!F44</f>
        <v>DIEGO ALEXANDER CARDONA BOLAÑO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0"/>
      <c r="G14" s="187"/>
      <c r="H14" s="188"/>
      <c r="I14" s="187"/>
      <c r="J14" s="188"/>
      <c r="K14" s="187"/>
      <c r="L14" s="188"/>
    </row>
    <row r="15" spans="1:12" s="2" customFormat="1" ht="15" customHeight="1">
      <c r="A15" s="12">
        <v>3</v>
      </c>
      <c r="B15" s="10" t="str">
        <f>LIDER!F45</f>
        <v>LUIS FERNANDO GAMARRA POLO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0"/>
      <c r="G15" s="187"/>
      <c r="H15" s="188"/>
      <c r="I15" s="187"/>
      <c r="J15" s="188"/>
      <c r="K15" s="187"/>
      <c r="L15" s="188"/>
    </row>
    <row r="16" spans="1:12" s="2" customFormat="1" ht="15" customHeight="1">
      <c r="A16" s="12">
        <v>4</v>
      </c>
      <c r="B16" s="10" t="str">
        <f>LIDER!F46</f>
        <v>EDDY MASSA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0"/>
      <c r="G16" s="187"/>
      <c r="H16" s="188"/>
      <c r="I16" s="187"/>
      <c r="J16" s="188"/>
      <c r="K16" s="187"/>
      <c r="L16" s="188"/>
    </row>
    <row r="17" spans="1:12" s="2" customFormat="1" ht="15" customHeight="1">
      <c r="A17" s="12">
        <v>5</v>
      </c>
      <c r="B17" s="10" t="str">
        <f>LIDER!F47</f>
        <v>DANIEL ANDRES REALES VARGAS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0"/>
      <c r="G17" s="187"/>
      <c r="H17" s="188"/>
      <c r="I17" s="187"/>
      <c r="J17" s="188"/>
      <c r="K17" s="187"/>
      <c r="L17" s="188"/>
    </row>
    <row r="18" spans="1:12" s="2" customFormat="1" ht="15.75" customHeight="1">
      <c r="A18" s="13">
        <v>6</v>
      </c>
      <c r="B18" s="91" t="str">
        <f>LIDER!F48</f>
        <v>DANNA MARCELA RODRIGUEZ OSPINA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0"/>
      <c r="G18" s="187"/>
      <c r="H18" s="188"/>
      <c r="I18" s="187"/>
      <c r="J18" s="188"/>
      <c r="K18" s="187"/>
      <c r="L18" s="188"/>
    </row>
    <row r="19" spans="1:12" s="2" customFormat="1" ht="15.75" customHeight="1">
      <c r="A19" s="14"/>
      <c r="B19" s="25" t="s">
        <v>75</v>
      </c>
      <c r="C19" s="88" t="s">
        <v>76</v>
      </c>
      <c r="D19" s="32" t="str">
        <f>D12</f>
        <v>LIST</v>
      </c>
      <c r="E19" s="89" t="s">
        <v>72</v>
      </c>
      <c r="F19" s="189" t="str">
        <f>LIDER!$E$31</f>
        <v>Los aspectos legales, tributarios, administrativos, macroeconómicos, aduaneros, tecnológicos e internacionales que definen el perfil de la empresa Juan Valdez en los negocios internacionales</v>
      </c>
      <c r="G19" s="189"/>
      <c r="H19" s="189"/>
      <c r="I19" s="189"/>
      <c r="J19" s="189"/>
      <c r="K19" s="189"/>
      <c r="L19" s="189"/>
    </row>
    <row r="20" spans="1:12" s="2" customFormat="1" ht="12.75">
      <c r="A20" s="9">
        <v>1</v>
      </c>
      <c r="B20" s="10" t="str">
        <f>LIDER!G43</f>
        <v>LUISA FERNANDA CASTRO MONTES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0"/>
      <c r="G20" s="187"/>
      <c r="H20" s="188"/>
      <c r="I20" s="187"/>
      <c r="J20" s="188"/>
      <c r="K20" s="187"/>
      <c r="L20" s="188"/>
    </row>
    <row r="21" spans="1:12" s="2" customFormat="1" ht="15" customHeight="1">
      <c r="A21" s="12">
        <v>2</v>
      </c>
      <c r="B21" s="10" t="str">
        <f>LIDER!G44</f>
        <v>ROBERTO CARLOS PIÑA GARCES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0"/>
      <c r="G21" s="187"/>
      <c r="H21" s="188"/>
      <c r="I21" s="187"/>
      <c r="J21" s="188"/>
      <c r="K21" s="187"/>
      <c r="L21" s="188"/>
    </row>
    <row r="22" spans="1:12" s="2" customFormat="1" ht="15" customHeight="1">
      <c r="A22" s="12">
        <v>3</v>
      </c>
      <c r="B22" s="10" t="str">
        <f>LIDER!G45</f>
        <v>JUAN MANUEL RODRIGUEZ BARRETO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0"/>
      <c r="G22" s="187"/>
      <c r="H22" s="188"/>
      <c r="I22" s="187"/>
      <c r="J22" s="188"/>
      <c r="K22" s="187"/>
      <c r="L22" s="188"/>
    </row>
    <row r="23" spans="1:12" s="2" customFormat="1" ht="15" customHeight="1">
      <c r="A23" s="12">
        <v>4</v>
      </c>
      <c r="B23" s="10" t="str">
        <f>LIDER!G46</f>
        <v>JESUS DAVID RODRIGUEZ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0"/>
      <c r="G23" s="187"/>
      <c r="H23" s="188"/>
      <c r="I23" s="187"/>
      <c r="J23" s="188"/>
      <c r="K23" s="187"/>
      <c r="L23" s="188"/>
    </row>
    <row r="24" spans="1:12" s="2" customFormat="1" ht="15" customHeight="1">
      <c r="A24" s="12">
        <v>5</v>
      </c>
      <c r="B24" s="10" t="str">
        <f>LIDER!G47</f>
        <v>SAMUEL ALEXANDER VELASQUEZ ALVAREZ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0"/>
      <c r="G24" s="187"/>
      <c r="H24" s="188"/>
      <c r="I24" s="187"/>
      <c r="J24" s="188"/>
      <c r="K24" s="187"/>
      <c r="L24" s="188"/>
    </row>
    <row r="25" spans="1:12" s="2" customFormat="1" ht="15.75" customHeight="1">
      <c r="A25" s="13">
        <v>6</v>
      </c>
      <c r="B25" s="91" t="str">
        <f>LIDER!G48</f>
        <v>YEIMIS CAROLINA CAÑATE MIRANDA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0"/>
      <c r="G25" s="187"/>
      <c r="H25" s="188"/>
      <c r="I25" s="187"/>
      <c r="J25" s="188"/>
      <c r="K25" s="187"/>
      <c r="L25" s="188"/>
    </row>
    <row r="26" spans="1:12" s="2" customFormat="1" ht="15.75" customHeight="1">
      <c r="A26" s="14"/>
      <c r="B26" s="25" t="s">
        <v>77</v>
      </c>
      <c r="C26" s="88" t="s">
        <v>78</v>
      </c>
      <c r="D26" s="32" t="str">
        <f>D19</f>
        <v>LIST</v>
      </c>
      <c r="E26" s="89" t="s">
        <v>72</v>
      </c>
      <c r="F26" s="189">
        <f>LIDER!$E$32</f>
        <v>0</v>
      </c>
      <c r="G26" s="189"/>
      <c r="H26" s="189"/>
      <c r="I26" s="189"/>
      <c r="J26" s="189"/>
      <c r="K26" s="189"/>
      <c r="L26" s="18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0"/>
      <c r="G27" s="187"/>
      <c r="H27" s="188"/>
      <c r="I27" s="187"/>
      <c r="J27" s="188"/>
      <c r="K27" s="187"/>
      <c r="L27" s="188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0"/>
      <c r="G28" s="187"/>
      <c r="H28" s="188"/>
      <c r="I28" s="187"/>
      <c r="J28" s="188"/>
      <c r="K28" s="187"/>
      <c r="L28" s="188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0"/>
      <c r="G29" s="187"/>
      <c r="H29" s="188"/>
      <c r="I29" s="187"/>
      <c r="J29" s="188"/>
      <c r="K29" s="187"/>
      <c r="L29" s="18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0"/>
      <c r="G30" s="187"/>
      <c r="H30" s="188"/>
      <c r="I30" s="187"/>
      <c r="J30" s="188"/>
      <c r="K30" s="187"/>
      <c r="L30" s="18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0"/>
      <c r="G31" s="187"/>
      <c r="H31" s="188"/>
      <c r="I31" s="187"/>
      <c r="J31" s="188"/>
      <c r="K31" s="187"/>
      <c r="L31" s="18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0"/>
      <c r="G32" s="187"/>
      <c r="H32" s="188"/>
      <c r="I32" s="187"/>
      <c r="J32" s="188"/>
      <c r="K32" s="187"/>
      <c r="L32" s="188"/>
    </row>
    <row r="33" spans="1:12" s="2" customFormat="1" ht="15.75" customHeight="1">
      <c r="A33" s="14"/>
      <c r="B33" s="25" t="s">
        <v>79</v>
      </c>
      <c r="C33" s="88" t="s">
        <v>80</v>
      </c>
      <c r="D33" s="32" t="str">
        <f>D26</f>
        <v>LIST</v>
      </c>
      <c r="E33" s="89" t="s">
        <v>72</v>
      </c>
      <c r="F33" s="189">
        <f>LIDER!$E$33</f>
        <v>0</v>
      </c>
      <c r="G33" s="189"/>
      <c r="H33" s="189"/>
      <c r="I33" s="189"/>
      <c r="J33" s="189"/>
      <c r="K33" s="189"/>
      <c r="L33" s="18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0"/>
      <c r="G34" s="187"/>
      <c r="H34" s="188"/>
      <c r="I34" s="187"/>
      <c r="J34" s="188"/>
      <c r="K34" s="187"/>
      <c r="L34" s="188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0"/>
      <c r="G35" s="187"/>
      <c r="H35" s="188"/>
      <c r="I35" s="187"/>
      <c r="J35" s="188"/>
      <c r="K35" s="187"/>
      <c r="L35" s="188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0"/>
      <c r="G36" s="187"/>
      <c r="H36" s="188"/>
      <c r="I36" s="187"/>
      <c r="J36" s="188"/>
      <c r="K36" s="187"/>
      <c r="L36" s="188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0"/>
      <c r="G37" s="187"/>
      <c r="H37" s="188"/>
      <c r="I37" s="187"/>
      <c r="J37" s="188"/>
      <c r="K37" s="187"/>
      <c r="L37" s="188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0"/>
      <c r="G38" s="187"/>
      <c r="H38" s="188"/>
      <c r="I38" s="187"/>
      <c r="J38" s="188"/>
      <c r="K38" s="187"/>
      <c r="L38" s="18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0"/>
      <c r="G39" s="187"/>
      <c r="H39" s="188"/>
      <c r="I39" s="187"/>
      <c r="J39" s="188"/>
      <c r="K39" s="187"/>
      <c r="L39" s="188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72</v>
      </c>
      <c r="F40" s="189">
        <f>LIDER!$E$34</f>
        <v>0</v>
      </c>
      <c r="G40" s="189"/>
      <c r="H40" s="189"/>
      <c r="I40" s="189"/>
      <c r="J40" s="189"/>
      <c r="K40" s="189"/>
      <c r="L40" s="18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0"/>
      <c r="G41" s="187"/>
      <c r="H41" s="188"/>
      <c r="I41" s="187"/>
      <c r="J41" s="188"/>
      <c r="K41" s="187"/>
      <c r="L41" s="18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0"/>
      <c r="G42" s="187"/>
      <c r="H42" s="188"/>
      <c r="I42" s="187"/>
      <c r="J42" s="188"/>
      <c r="K42" s="187"/>
      <c r="L42" s="18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0"/>
      <c r="G43" s="187"/>
      <c r="H43" s="188"/>
      <c r="I43" s="187"/>
      <c r="J43" s="188"/>
      <c r="K43" s="187"/>
      <c r="L43" s="18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0"/>
      <c r="G44" s="187"/>
      <c r="H44" s="188"/>
      <c r="I44" s="187"/>
      <c r="J44" s="188"/>
      <c r="K44" s="187"/>
      <c r="L44" s="18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0"/>
      <c r="G45" s="187"/>
      <c r="H45" s="188"/>
      <c r="I45" s="187"/>
      <c r="J45" s="188"/>
      <c r="K45" s="187"/>
      <c r="L45" s="18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0"/>
      <c r="G46" s="187"/>
      <c r="H46" s="188"/>
      <c r="I46" s="187"/>
      <c r="J46" s="188"/>
      <c r="K46" s="187"/>
      <c r="L46" s="188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72</v>
      </c>
      <c r="F47" s="189">
        <f>LIDER!$E$35</f>
        <v>0</v>
      </c>
      <c r="G47" s="189"/>
      <c r="H47" s="189"/>
      <c r="I47" s="189"/>
      <c r="J47" s="189"/>
      <c r="K47" s="189"/>
      <c r="L47" s="18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0"/>
      <c r="G48" s="187"/>
      <c r="H48" s="188"/>
      <c r="I48" s="187"/>
      <c r="J48" s="188"/>
      <c r="K48" s="187"/>
      <c r="L48" s="18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0"/>
      <c r="G49" s="187"/>
      <c r="H49" s="188"/>
      <c r="I49" s="187"/>
      <c r="J49" s="188"/>
      <c r="K49" s="187"/>
      <c r="L49" s="18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0"/>
      <c r="G50" s="187"/>
      <c r="H50" s="188"/>
      <c r="I50" s="187"/>
      <c r="J50" s="188"/>
      <c r="K50" s="187"/>
      <c r="L50" s="18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0"/>
      <c r="G51" s="187"/>
      <c r="H51" s="188"/>
      <c r="I51" s="187"/>
      <c r="J51" s="188"/>
      <c r="K51" s="187"/>
      <c r="L51" s="18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0"/>
      <c r="G52" s="187"/>
      <c r="H52" s="188"/>
      <c r="I52" s="187"/>
      <c r="J52" s="188"/>
      <c r="K52" s="187"/>
      <c r="L52" s="18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0"/>
      <c r="G53" s="187"/>
      <c r="H53" s="188"/>
      <c r="I53" s="187"/>
      <c r="J53" s="188"/>
      <c r="K53" s="187"/>
      <c r="L53" s="188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72</v>
      </c>
      <c r="F54" s="189">
        <f>LIDER!$E$36</f>
        <v>0</v>
      </c>
      <c r="G54" s="189"/>
      <c r="H54" s="189"/>
      <c r="I54" s="189"/>
      <c r="J54" s="189"/>
      <c r="K54" s="189"/>
      <c r="L54" s="18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0"/>
      <c r="G55" s="187"/>
      <c r="H55" s="188"/>
      <c r="I55" s="187"/>
      <c r="J55" s="188"/>
      <c r="K55" s="187"/>
      <c r="L55" s="18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0"/>
      <c r="G56" s="187"/>
      <c r="H56" s="188"/>
      <c r="I56" s="187"/>
      <c r="J56" s="188"/>
      <c r="K56" s="187"/>
      <c r="L56" s="18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0"/>
      <c r="G57" s="187"/>
      <c r="H57" s="188"/>
      <c r="I57" s="187"/>
      <c r="J57" s="188"/>
      <c r="K57" s="187"/>
      <c r="L57" s="18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0"/>
      <c r="G58" s="187"/>
      <c r="H58" s="188"/>
      <c r="I58" s="187"/>
      <c r="J58" s="188"/>
      <c r="K58" s="187"/>
      <c r="L58" s="18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0"/>
      <c r="G59" s="187"/>
      <c r="H59" s="188"/>
      <c r="I59" s="187"/>
      <c r="J59" s="188"/>
      <c r="K59" s="187"/>
      <c r="L59" s="18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0"/>
      <c r="G60" s="187"/>
      <c r="H60" s="188"/>
      <c r="I60" s="187"/>
      <c r="J60" s="188"/>
      <c r="K60" s="187"/>
      <c r="L60" s="188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72</v>
      </c>
      <c r="F61" s="189">
        <f>LIDER!$E$37</f>
        <v>0</v>
      </c>
      <c r="G61" s="189"/>
      <c r="H61" s="189"/>
      <c r="I61" s="189"/>
      <c r="J61" s="189"/>
      <c r="K61" s="189"/>
      <c r="L61" s="18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0"/>
      <c r="G62" s="187"/>
      <c r="H62" s="188"/>
      <c r="I62" s="187"/>
      <c r="J62" s="188"/>
      <c r="K62" s="187"/>
      <c r="L62" s="18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0"/>
      <c r="G63" s="187"/>
      <c r="H63" s="188"/>
      <c r="I63" s="187"/>
      <c r="J63" s="188"/>
      <c r="K63" s="187"/>
      <c r="L63" s="18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0"/>
      <c r="G64" s="187"/>
      <c r="H64" s="188"/>
      <c r="I64" s="187"/>
      <c r="J64" s="188"/>
      <c r="K64" s="187"/>
      <c r="L64" s="18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0"/>
      <c r="G65" s="187"/>
      <c r="H65" s="188"/>
      <c r="I65" s="187"/>
      <c r="J65" s="188"/>
      <c r="K65" s="187"/>
      <c r="L65" s="18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0"/>
      <c r="G66" s="187"/>
      <c r="H66" s="188"/>
      <c r="I66" s="187"/>
      <c r="J66" s="188"/>
      <c r="K66" s="187"/>
      <c r="L66" s="18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0"/>
      <c r="G67" s="187"/>
      <c r="H67" s="188"/>
      <c r="I67" s="187"/>
      <c r="J67" s="188"/>
      <c r="K67" s="187"/>
      <c r="L67" s="188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72</v>
      </c>
      <c r="F68" s="189">
        <f>LIDER!$E$38</f>
        <v>0</v>
      </c>
      <c r="G68" s="189"/>
      <c r="H68" s="189"/>
      <c r="I68" s="189"/>
      <c r="J68" s="189"/>
      <c r="K68" s="189"/>
      <c r="L68" s="18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0"/>
      <c r="G69" s="187"/>
      <c r="H69" s="188"/>
      <c r="I69" s="187"/>
      <c r="J69" s="188"/>
      <c r="K69" s="187"/>
      <c r="L69" s="18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0"/>
      <c r="G70" s="187"/>
      <c r="H70" s="188"/>
      <c r="I70" s="187"/>
      <c r="J70" s="188"/>
      <c r="K70" s="187"/>
      <c r="L70" s="18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0"/>
      <c r="G71" s="187"/>
      <c r="H71" s="188"/>
      <c r="I71" s="187"/>
      <c r="J71" s="188"/>
      <c r="K71" s="187"/>
      <c r="L71" s="18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0"/>
      <c r="G72" s="187"/>
      <c r="H72" s="188"/>
      <c r="I72" s="187"/>
      <c r="J72" s="188"/>
      <c r="K72" s="187"/>
      <c r="L72" s="18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0"/>
      <c r="G73" s="187"/>
      <c r="H73" s="188"/>
      <c r="I73" s="187"/>
      <c r="J73" s="188"/>
      <c r="K73" s="187"/>
      <c r="L73" s="18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0"/>
      <c r="G74" s="187"/>
      <c r="H74" s="188"/>
      <c r="I74" s="187"/>
      <c r="J74" s="188"/>
      <c r="K74" s="187"/>
      <c r="L74" s="188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72</v>
      </c>
      <c r="F75" s="189">
        <f>LIDER!$E$39</f>
        <v>0</v>
      </c>
      <c r="G75" s="189"/>
      <c r="H75" s="189"/>
      <c r="I75" s="189"/>
      <c r="J75" s="189"/>
      <c r="K75" s="189"/>
      <c r="L75" s="18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0"/>
      <c r="G76" s="187"/>
      <c r="H76" s="188"/>
      <c r="I76" s="187"/>
      <c r="J76" s="188"/>
      <c r="K76" s="187"/>
      <c r="L76" s="18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0"/>
      <c r="G77" s="187"/>
      <c r="H77" s="188"/>
      <c r="I77" s="187"/>
      <c r="J77" s="188"/>
      <c r="K77" s="187"/>
      <c r="L77" s="18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0"/>
      <c r="G78" s="187"/>
      <c r="H78" s="188"/>
      <c r="I78" s="187"/>
      <c r="J78" s="188"/>
      <c r="K78" s="187"/>
      <c r="L78" s="18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0"/>
      <c r="G79" s="187"/>
      <c r="H79" s="188"/>
      <c r="I79" s="187"/>
      <c r="J79" s="188"/>
      <c r="K79" s="187"/>
      <c r="L79" s="18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0"/>
      <c r="G80" s="187"/>
      <c r="H80" s="188"/>
      <c r="I80" s="187"/>
      <c r="J80" s="188"/>
      <c r="K80" s="187"/>
      <c r="L80" s="18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0"/>
      <c r="G81" s="187"/>
      <c r="H81" s="188"/>
      <c r="I81" s="187"/>
      <c r="J81" s="188"/>
      <c r="K81" s="187"/>
      <c r="L81" s="188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72</v>
      </c>
      <c r="F82" s="189">
        <f>LIDER!$E$40</f>
        <v>0</v>
      </c>
      <c r="G82" s="189"/>
      <c r="H82" s="189"/>
      <c r="I82" s="189"/>
      <c r="J82" s="189"/>
      <c r="K82" s="189"/>
      <c r="L82" s="18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0"/>
      <c r="G83" s="187"/>
      <c r="H83" s="188"/>
      <c r="I83" s="187"/>
      <c r="J83" s="188"/>
      <c r="K83" s="187"/>
      <c r="L83" s="18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0"/>
      <c r="G84" s="187"/>
      <c r="H84" s="188"/>
      <c r="I84" s="187"/>
      <c r="J84" s="188"/>
      <c r="K84" s="187"/>
      <c r="L84" s="18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0"/>
      <c r="G85" s="187"/>
      <c r="H85" s="188"/>
      <c r="I85" s="187"/>
      <c r="J85" s="188"/>
      <c r="K85" s="187"/>
      <c r="L85" s="18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0"/>
      <c r="G86" s="187"/>
      <c r="H86" s="188"/>
      <c r="I86" s="187"/>
      <c r="J86" s="188"/>
      <c r="K86" s="187"/>
      <c r="L86" s="18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0"/>
      <c r="G87" s="187"/>
      <c r="H87" s="188"/>
      <c r="I87" s="187"/>
      <c r="J87" s="188"/>
      <c r="K87" s="187"/>
      <c r="L87" s="18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9"/>
      <c r="H88" s="200"/>
      <c r="I88" s="199"/>
      <c r="J88" s="200"/>
      <c r="K88" s="199"/>
      <c r="L88" s="20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TECNOLOGIA APLICADA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TECNOLOGIA APLICADA - 2248 - ARMANDO ACOSTA JULIO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2" t="str">
        <f>IF('S-ASIG-01'!D5="","",'S-ASIG-01'!D5)</f>
        <v>LIST</v>
      </c>
      <c r="D5" s="35" t="s">
        <v>72</v>
      </c>
      <c r="E5" s="206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IF('S-ASIG-01'!D12="","",'S-ASIG-01'!D12)</f>
        <v>LIST</v>
      </c>
      <c r="D12" s="35" t="s">
        <v>72</v>
      </c>
      <c r="E12" s="206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0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IF('S-ASIG-01'!D19="","",'S-ASIG-01'!D19)</f>
        <v>LIST</v>
      </c>
      <c r="D19" s="35" t="s">
        <v>72</v>
      </c>
      <c r="E19" s="206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0</v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IF('S-ASIG-01'!D26="","",'S-ASIG-01'!D26)</f>
        <v>LIST</v>
      </c>
      <c r="D26" s="35" t="s">
        <v>72</v>
      </c>
      <c r="E26" s="206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IF('S-ASIG-01'!D33="","",'S-ASIG-01'!D33)</f>
        <v>LIST</v>
      </c>
      <c r="D33" s="35" t="s">
        <v>72</v>
      </c>
      <c r="E33" s="206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IF('S-ASIG-01'!D40="","",'S-ASIG-01'!D40)</f>
        <v>LIST</v>
      </c>
      <c r="D40" s="35" t="s">
        <v>72</v>
      </c>
      <c r="E40" s="206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IF('S-ASIG-01'!D47="","",'S-ASIG-01'!D47)</f>
        <v>LIST</v>
      </c>
      <c r="D47" s="35" t="s">
        <v>72</v>
      </c>
      <c r="E47" s="206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IF('S-ASIG-01'!D54="","",'S-ASIG-01'!D54)</f>
        <v>LIST</v>
      </c>
      <c r="D54" s="35" t="s">
        <v>72</v>
      </c>
      <c r="E54" s="206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IF('S-ASIG-01'!D61="","",'S-ASIG-01'!D61)</f>
        <v>LIST</v>
      </c>
      <c r="D61" s="35" t="s">
        <v>72</v>
      </c>
      <c r="E61" s="206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IF('S-ASIG-01'!D68="","",'S-ASIG-01'!D68)</f>
        <v>LIST</v>
      </c>
      <c r="D68" s="35" t="s">
        <v>72</v>
      </c>
      <c r="E68" s="206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IF('S-ASIG-01'!D75="","",'S-ASIG-01'!D75)</f>
        <v>LIST</v>
      </c>
      <c r="D75" s="35" t="s">
        <v>72</v>
      </c>
      <c r="E75" s="206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IF('S-ASIG-01'!D82="","",'S-ASIG-01'!D82)</f>
        <v>LIST</v>
      </c>
      <c r="D82" s="35" t="s">
        <v>72</v>
      </c>
      <c r="E82" s="206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INTERNACIONALIZACION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INTERNACIONALIZACION - 2347 - JEYSSON STEEVEN ANILLO CARRANZA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IF('S-ASIG-02'!D5="","",'S-ASIG-02'!D5)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IF('S-ASIG-02'!D12="","",'S-ASIG-02'!D12)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IF('S-ASIG-02'!D19="","",'S-ASIG-02'!D19)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IF('S-ASIG-02'!D26="","",'S-ASIG-02'!D26)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IF('S-ASIG-02'!D33="","",'S-ASIG-02'!D33)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IF('S-ASIG-02'!D40="","",'S-ASIG-02'!D40)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IF('S-ASIG-02'!D47="","",'S-ASIG-02'!D47)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IF('S-ASIG-02'!D54="","",'S-ASIG-02'!D54)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IF('S-ASIG-02'!D61="","",'S-ASIG-02'!D61)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IF('S-ASIG-02'!D68="","",'S-ASIG-02'!D68)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IF('S-ASIG-02'!D75="","",'S-ASIG-02'!D75)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IF('S-ASIG-02'!D82="","",'S-ASIG-02'!D82)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LEGISLACION PARA EL COMERCIO - 2352 - HAROLD ANTONIO CUADRO VELASQUEZ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IF('S-ASIG-03'!D5="","",'S-ASIG-03'!D5)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IF('S-ASIG-03'!D12="","",'S-ASIG-03'!D12)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IF('S-ASIG-03'!D19="","",'S-ASIG-03'!D19)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IF('S-ASIG-03'!D26="","",'S-ASIG-03'!D26)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IF('S-ASIG-03'!D33="","",'S-ASIG-03'!D33)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IF('S-ASIG-03'!D40="","",'S-ASIG-03'!D40)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IF('S-ASIG-03'!D47="","",'S-ASIG-03'!D47)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IF('S-ASIG-03'!D54="","",'S-ASIG-03'!D54)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IF('S-ASIG-03'!D61="","",'S-ASIG-03'!D61)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IF('S-ASIG-03'!D68="","",'S-ASIG-03'!D68)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IF('S-ASIG-03'!D75="","",'S-ASIG-03'!D75)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IF('S-ASIG-03'!D82="","",'S-ASIG-03'!D82)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MACROECONOMÍA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MACROECONOMÍA - 1496 - LUIS ROBERTO PAJARO ZABALA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IF('S-ASIG-04'!D5="","",'S-ASIG-04'!D5)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IF('S-ASIG-04'!D12="","",'S-ASIG-04'!D12)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IF('S-ASIG-04'!D19="","",'S-ASIG-04'!D19)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IF('S-ASIG-04'!D26="","",'S-ASIG-04'!D26)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IF('S-ASIG-04'!D33="","",'S-ASIG-04'!D33)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IF('S-ASIG-04'!D40="","",'S-ASIG-04'!D40)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IF('S-ASIG-04'!D47="","",'S-ASIG-04'!D47)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IF('S-ASIG-04'!D54="","",'S-ASIG-04'!D54)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IF('S-ASIG-04'!D61="","",'S-ASIG-04'!D61)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IF('S-ASIG-04'!D68="","",'S-ASIG-04'!D68)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IF('S-ASIG-04'!D75="","",'S-ASIG-04'!D75)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IF('S-ASIG-04'!D82="","",'S-ASIG-04'!D82)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MATEMÁTICAS FINANCIERAS - 1364 - EDGAR ALEXANDER NAVARRO MARTINEZ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IF('S-ASIG-05'!D5="","",'S-ASIG-05'!D5)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IF('S-ASIG-05'!D12="","",'S-ASIG-05'!D12)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IF('S-ASIG-05'!D19="","",'S-ASIG-05'!D19)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IF('S-ASIG-05'!D26="","",'S-ASIG-05'!D26)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IF('S-ASIG-05'!D33="","",'S-ASIG-05'!D33)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IF('S-ASIG-05'!D40="","",'S-ASIG-05'!D40)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IF('S-ASIG-05'!D47="","",'S-ASIG-05'!D47)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IF('S-ASIG-05'!D54="","",'S-ASIG-05'!D54)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IF('S-ASIG-05'!D61="","",'S-ASIG-05'!D61)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IF('S-ASIG-05'!D68="","",'S-ASIG-05'!D68)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IF('S-ASIG-05'!D75="","",'S-ASIG-05'!D75)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IF('S-ASIG-05'!D82="","",'S-ASIG-05'!D82)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LIDER!H4</f>
        <v>0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IF('S-ASIG-06'!D5="","",'S-ASIG-06'!D5)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IF('S-ASIG-06'!D12="","",'S-ASIG-06'!D12)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IF('S-ASIG-06'!D18="","",'S-ASIG-06'!D18)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IF('S-ASIG-06'!D19="","",'S-ASIG-06'!D19)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IF('S-ASIG-06'!D26="","",'S-ASIG-06'!D26)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IF('S-ASIG-06'!D33="","",'S-ASIG-06'!D33)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IF('S-ASIG-06'!D40="","",'S-ASIG-06'!D40)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IF('S-ASIG-06'!D47="","",'S-ASIG-06'!D47)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IF('S-ASIG-06'!D54="","",'S-ASIG-06'!D54)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IF('S-ASIG-06'!D61="","",'S-ASIG-06'!D61)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IF('S-ASIG-06'!D68="","",'S-ASIG-06'!D68)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IF('S-ASIG-06'!D75="","",'S-ASIG-06'!D75)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IF('S-ASIG-06'!D82="","",'S-ASIG-06'!D82)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1" t="str">
        <f>LIDER!B2</f>
        <v>TECNOLOGÍA EN GESTIÓN DE NEGOCIOS INTERN</v>
      </c>
      <c r="B1" s="192"/>
      <c r="C1" s="192"/>
      <c r="D1" s="192"/>
      <c r="E1" s="192"/>
      <c r="F1" s="192"/>
      <c r="G1" s="19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07" t="s">
        <v>67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69</v>
      </c>
      <c r="C5" s="34" t="str">
        <f>IF('S-ASIG-07'!D5="","",'S-ASIG-07'!D5)</f>
        <v>LIST</v>
      </c>
      <c r="D5" s="35" t="s">
        <v>72</v>
      </c>
      <c r="E5" s="189" t="str">
        <f>LIDER!$E$29</f>
        <v>Los aspectos legales, tributarios, administrativos, macroeconómicos, aduaneros, tecnológicos e internacionales que definen el perfil de la empresa Vélez en los negocios internacionales</v>
      </c>
      <c r="F5" s="189"/>
      <c r="G5" s="189"/>
      <c r="H5" s="189"/>
      <c r="I5" s="189"/>
      <c r="J5" s="189"/>
      <c r="K5" s="189"/>
    </row>
    <row r="6" spans="1:11" s="2" customFormat="1" ht="12.75">
      <c r="A6" s="9">
        <v>1</v>
      </c>
      <c r="B6" s="28" t="str">
        <f>LIDER!E43</f>
        <v>SARAY MICHELLE MATUTE SILGADO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8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YOANA PEDROZA VASQUEZ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8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POLO LORA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8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VALENTINA ISABEL RAMIREZ MENDOZA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8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LUCIA RODRIGUEZ PUELLO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8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8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IF('S-ASIG-07'!D12="","",'S-ASIG-07'!D12)</f>
        <v>LIST</v>
      </c>
      <c r="D12" s="35" t="s">
        <v>72</v>
      </c>
      <c r="E12" s="189" t="str">
        <f>LIDER!$E$30</f>
        <v xml:space="preserve">Aspectos legales, tributarios, administrativos, macroeconómicos, aduaneros, tecnológicos e internacionales que definen el a Amazon en los negocios internacionales </v>
      </c>
      <c r="F12" s="189"/>
      <c r="G12" s="189"/>
      <c r="H12" s="189"/>
      <c r="I12" s="189"/>
      <c r="J12" s="189"/>
      <c r="K12" s="189"/>
    </row>
    <row r="13" spans="1:11" s="2" customFormat="1" ht="12.75">
      <c r="A13" s="9">
        <v>1</v>
      </c>
      <c r="B13" s="28" t="str">
        <f>LIDER!F43</f>
        <v>SANDY SOFIA BELLO CAMPILLO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8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ALEXANDER CARDONA BOLAÑO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8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FERNANDO GAMARRA POLO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8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EDDY MASSA BELTRAN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8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 ANDRES REALES VARGAS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8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DANNA MARCELA RODRIGUEZ OSPINA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8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IF('S-ASIG-07'!D19="","",'S-ASIG-07'!D19)</f>
        <v>LIST</v>
      </c>
      <c r="D19" s="35" t="s">
        <v>72</v>
      </c>
      <c r="E19" s="189" t="str">
        <f>LIDER!$E$31</f>
        <v>Los aspectos legales, tributarios, administrativos, macroeconómicos, aduaneros, tecnológicos e internacionales que definen el perfil de la empresa Juan Valdez en los negocios internacionales</v>
      </c>
      <c r="F19" s="189"/>
      <c r="G19" s="189"/>
      <c r="H19" s="189"/>
      <c r="I19" s="189"/>
      <c r="J19" s="189"/>
      <c r="K19" s="189"/>
    </row>
    <row r="20" spans="1:11" s="2" customFormat="1" ht="12.75">
      <c r="A20" s="9">
        <v>1</v>
      </c>
      <c r="B20" s="28" t="str">
        <f>LIDER!G43</f>
        <v>LUISA FERNANDA CASTRO MONTES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8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ROBERTO CARLOS PIÑA GARCES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8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MANUEL RODRIGUEZ BARRETO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8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DAVID RODRIGUEZ RODRIGUEZ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8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SAMUEL ALEXANDER VELASQUEZ ALVAREZ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8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YEIMIS CAROLINA CAÑATE MIRANDA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8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77</v>
      </c>
      <c r="C26" s="32" t="str">
        <f>IF('S-ASIG-07'!D26="","",'S-ASIG-07'!D26)</f>
        <v>LIST</v>
      </c>
      <c r="D26" s="35" t="s">
        <v>72</v>
      </c>
      <c r="E26" s="189">
        <f>LIDER!$E$32</f>
        <v>0</v>
      </c>
      <c r="F26" s="189"/>
      <c r="G26" s="189"/>
      <c r="H26" s="189"/>
      <c r="I26" s="189"/>
      <c r="J26" s="189"/>
      <c r="K26" s="189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8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8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8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8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8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8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79</v>
      </c>
      <c r="C33" s="32" t="str">
        <f>IF('S-ASIG-07'!D33="","",'S-ASIG-07'!D33)</f>
        <v>LIST</v>
      </c>
      <c r="D33" s="35" t="s">
        <v>72</v>
      </c>
      <c r="E33" s="189">
        <f>LIDER!$E$33</f>
        <v>0</v>
      </c>
      <c r="F33" s="189"/>
      <c r="G33" s="189"/>
      <c r="H33" s="189"/>
      <c r="I33" s="189"/>
      <c r="J33" s="189"/>
      <c r="K33" s="189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8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8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8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8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8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8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IF('S-ASIG-07'!D40="","",'S-ASIG-07'!D40)</f>
        <v>LIST</v>
      </c>
      <c r="D40" s="35" t="s">
        <v>72</v>
      </c>
      <c r="E40" s="189">
        <f>LIDER!$E$34</f>
        <v>0</v>
      </c>
      <c r="F40" s="189"/>
      <c r="G40" s="189"/>
      <c r="H40" s="189"/>
      <c r="I40" s="189"/>
      <c r="J40" s="189"/>
      <c r="K40" s="189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8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8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8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8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8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8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IF('S-ASIG-07'!D47="","",'S-ASIG-07'!D47)</f>
        <v>LIST</v>
      </c>
      <c r="D47" s="35" t="s">
        <v>72</v>
      </c>
      <c r="E47" s="189">
        <f>LIDER!$E$35</f>
        <v>0</v>
      </c>
      <c r="F47" s="189"/>
      <c r="G47" s="189"/>
      <c r="H47" s="189"/>
      <c r="I47" s="189"/>
      <c r="J47" s="189"/>
      <c r="K47" s="189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8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8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8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8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8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8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IF('S-ASIG-07'!D54="","",'S-ASIG-07'!D54)</f>
        <v>LIST</v>
      </c>
      <c r="D54" s="35" t="s">
        <v>72</v>
      </c>
      <c r="E54" s="189">
        <f>LIDER!$E$36</f>
        <v>0</v>
      </c>
      <c r="F54" s="189"/>
      <c r="G54" s="189"/>
      <c r="H54" s="189"/>
      <c r="I54" s="189"/>
      <c r="J54" s="189"/>
      <c r="K54" s="189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8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8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8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8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8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8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IF('S-ASIG-07'!D61="","",'S-ASIG-07'!D61)</f>
        <v>LIST</v>
      </c>
      <c r="D61" s="35" t="s">
        <v>72</v>
      </c>
      <c r="E61" s="189">
        <f>LIDER!$E$37</f>
        <v>0</v>
      </c>
      <c r="F61" s="189"/>
      <c r="G61" s="189"/>
      <c r="H61" s="189"/>
      <c r="I61" s="189"/>
      <c r="J61" s="189"/>
      <c r="K61" s="18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8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8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8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8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8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8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IF('S-ASIG-07'!D68="","",'S-ASIG-07'!D68)</f>
        <v>LIST</v>
      </c>
      <c r="D68" s="35" t="s">
        <v>72</v>
      </c>
      <c r="E68" s="189">
        <f>LIDER!$E$38</f>
        <v>0</v>
      </c>
      <c r="F68" s="189"/>
      <c r="G68" s="189"/>
      <c r="H68" s="189"/>
      <c r="I68" s="189"/>
      <c r="J68" s="189"/>
      <c r="K68" s="18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8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8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8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8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8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8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IF('S-ASIG-07'!D75="","",'S-ASIG-07'!D75)</f>
        <v>LIST</v>
      </c>
      <c r="D75" s="35" t="s">
        <v>72</v>
      </c>
      <c r="E75" s="189">
        <f>LIDER!$E$39</f>
        <v>0</v>
      </c>
      <c r="F75" s="189"/>
      <c r="G75" s="189"/>
      <c r="H75" s="189"/>
      <c r="I75" s="189"/>
      <c r="J75" s="189"/>
      <c r="K75" s="18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8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8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8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8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8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8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IF('S-ASIG-07'!D82="","",'S-ASIG-07'!D82)</f>
        <v>LIST</v>
      </c>
      <c r="D82" s="35" t="s">
        <v>72</v>
      </c>
      <c r="E82" s="189">
        <f>LIDER!$E$40</f>
        <v>0</v>
      </c>
      <c r="F82" s="189"/>
      <c r="G82" s="189"/>
      <c r="H82" s="189"/>
      <c r="I82" s="189"/>
      <c r="J82" s="189"/>
      <c r="K82" s="18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8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8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8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8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8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1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SEM-03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0" t="s">
        <v>95</v>
      </c>
      <c r="H2" s="211"/>
      <c r="I2" s="211"/>
      <c r="J2" s="211"/>
      <c r="K2" s="211"/>
      <c r="L2" s="211"/>
      <c r="M2" s="212"/>
      <c r="N2" s="2"/>
      <c r="O2" s="215" t="s">
        <v>96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2248</v>
      </c>
      <c r="H3" s="49" t="str">
        <f>CONCATENATE("N° : ",LIDER!D6)</f>
        <v>N° : 2347</v>
      </c>
      <c r="I3" s="49" t="str">
        <f>CONCATENATE("N° : ",LIDER!E6)</f>
        <v>N° : 2352</v>
      </c>
      <c r="J3" s="49" t="str">
        <f>CONCATENATE("N° : ",LIDER!F6)</f>
        <v>N° : 1496</v>
      </c>
      <c r="K3" s="49" t="str">
        <f>CONCATENATE("N° : ",LIDER!G6)</f>
        <v>N° : 1364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2248</v>
      </c>
      <c r="P3" s="49" t="str">
        <f t="shared" ref="P3:U3" si="0">H3</f>
        <v>N° : 2347</v>
      </c>
      <c r="Q3" s="49" t="str">
        <f t="shared" si="0"/>
        <v>N° : 2352</v>
      </c>
      <c r="R3" s="49" t="str">
        <f t="shared" si="0"/>
        <v>N° : 1496</v>
      </c>
      <c r="S3" s="49" t="str">
        <f t="shared" si="0"/>
        <v>N° : 1364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97</v>
      </c>
      <c r="D4" s="54" t="s">
        <v>98</v>
      </c>
      <c r="E4" s="55" t="s">
        <v>99</v>
      </c>
      <c r="G4" s="56" t="str">
        <f>MID(LIDER!C4,1,9)</f>
        <v>TECNOLOGI</v>
      </c>
      <c r="H4" s="57" t="str">
        <f>MID(LIDER!D4,1,9)</f>
        <v>INTERNACI</v>
      </c>
      <c r="I4" s="57" t="str">
        <f>MID(LIDER!E4,1,9)</f>
        <v>LEGISLACI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100</v>
      </c>
      <c r="O4" s="60" t="str">
        <f t="shared" ref="O4:U4" si="1">G4</f>
        <v>TECNOLOGI</v>
      </c>
      <c r="P4" s="61" t="str">
        <f t="shared" si="1"/>
        <v>INTERNACI</v>
      </c>
      <c r="Q4" s="61" t="str">
        <f t="shared" si="1"/>
        <v>LEGISLACI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101</v>
      </c>
    </row>
    <row r="5" spans="1:22" ht="15" customHeight="1">
      <c r="A5" s="12">
        <v>1</v>
      </c>
      <c r="B5" s="63" t="str">
        <f>LIDER!C9</f>
        <v>SARAY MICHELLE MATUTE SILGADO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4.5659999999999998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4.6999999999999993</v>
      </c>
      <c r="H5" s="65">
        <f>IF(B5=0,"",IFERROR(VLOOKUP(B5,'S-ASIG-02'!$B$5:$E$88,4,0),0))</f>
        <v>4.63</v>
      </c>
      <c r="I5" s="65">
        <f>IF(B5=0,"",IFERROR(VLOOKUP(B5,'S-ASIG-03'!$B$5:$E$88,4,0),0))</f>
        <v>4.55</v>
      </c>
      <c r="J5" s="65">
        <f>IF(B5=0,"",IFERROR(VLOOKUP(B5,'S-ASIG-04'!$B$5:$E$88,4,0),0))</f>
        <v>4.55</v>
      </c>
      <c r="K5" s="65">
        <f>IF(B5=0,"",IFERROR(VLOOKUP(B5,'S-ASIG-05'!$B$5:$E$88,4,0),0))</f>
        <v>4.4000000000000004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103</v>
      </c>
    </row>
    <row r="6" spans="1:22" ht="15" customHeight="1">
      <c r="A6" s="12">
        <v>2</v>
      </c>
      <c r="B6" s="70" t="str">
        <f>LIDER!C10</f>
        <v>EMILY YOANA PEDROZA VASQUEZ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4.5659999999999998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4.6999999999999993</v>
      </c>
      <c r="H6" s="72">
        <f>IF(B6=0,"",IFERROR(VLOOKUP(B6,'S-ASIG-02'!$B$5:$E$88,4,0),0))</f>
        <v>4.63</v>
      </c>
      <c r="I6" s="72">
        <f>IF(B6=0,"",IFERROR(VLOOKUP(B6,'S-ASIG-03'!$B$5:$E$88,4,0),0))</f>
        <v>4.55</v>
      </c>
      <c r="J6" s="72">
        <f>IF(B6=0,"",IFERROR(VLOOKUP(B6,'S-ASIG-04'!$B$5:$E$88,4,0),0))</f>
        <v>4.55</v>
      </c>
      <c r="K6" s="72">
        <f>IF(B6=0,"",IFERROR(VLOOKUP(B6,'S-ASIG-05'!$B$5:$E$88,4,0),0))</f>
        <v>4.4000000000000004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103</v>
      </c>
    </row>
    <row r="7" spans="1:22" ht="15" customHeight="1">
      <c r="A7" s="12">
        <v>3</v>
      </c>
      <c r="B7" s="70" t="str">
        <f>LIDER!C11</f>
        <v>GABRIELA POLO LORA</v>
      </c>
      <c r="C7" s="64" t="str">
        <f>IF(B7=0,"",IFERROR(VLOOKUP(B7,'S-ASIG-01'!$B$5:$E$88,2,0),0))</f>
        <v>G01</v>
      </c>
      <c r="D7" s="65">
        <f t="shared" si="2"/>
        <v>4.5659999999999998</v>
      </c>
      <c r="E7" s="66">
        <f t="shared" si="3"/>
        <v>0</v>
      </c>
      <c r="F7" s="47"/>
      <c r="G7" s="71">
        <f>IF(B7=0,"",IFERROR(VLOOKUP(B7,'S-ASIG-01'!$B$5:$E$88,4,0),0))</f>
        <v>4.6999999999999993</v>
      </c>
      <c r="H7" s="72">
        <f>IF(B7=0,"",IFERROR(VLOOKUP(B7,'S-ASIG-02'!$B$5:$E$88,4,0),0))</f>
        <v>4.63</v>
      </c>
      <c r="I7" s="72">
        <f>IF(B7=0,"",IFERROR(VLOOKUP(B7,'S-ASIG-03'!$B$5:$E$88,4,0),0))</f>
        <v>4.55</v>
      </c>
      <c r="J7" s="72">
        <f>IF(B7=0,"",IFERROR(VLOOKUP(B7,'S-ASIG-04'!$B$5:$E$88,4,0),0))</f>
        <v>4.55</v>
      </c>
      <c r="K7" s="72">
        <f>IF(B7=0,"",IFERROR(VLOOKUP(B7,'S-ASIG-05'!$B$5:$E$88,4,0),0))</f>
        <v>4.4000000000000004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103</v>
      </c>
    </row>
    <row r="8" spans="1:22" ht="15" customHeight="1">
      <c r="A8" s="12">
        <v>4</v>
      </c>
      <c r="B8" s="70" t="str">
        <f>LIDER!C12</f>
        <v>VALENTINA ISABEL RAMIREZ MENDOZA</v>
      </c>
      <c r="C8" s="64" t="str">
        <f>IF(B8=0,"",IFERROR(VLOOKUP(B8,'S-ASIG-01'!$B$5:$E$88,2,0),0))</f>
        <v>G01</v>
      </c>
      <c r="D8" s="65">
        <f t="shared" si="2"/>
        <v>4.5659999999999998</v>
      </c>
      <c r="E8" s="66">
        <f t="shared" si="3"/>
        <v>0</v>
      </c>
      <c r="F8" s="47"/>
      <c r="G8" s="71">
        <f>IF(B8=0,"",IFERROR(VLOOKUP(B8,'S-ASIG-01'!$B$5:$E$88,4,0),0))</f>
        <v>4.6999999999999993</v>
      </c>
      <c r="H8" s="72">
        <f>IF(B8=0,"",IFERROR(VLOOKUP(B8,'S-ASIG-02'!$B$5:$E$88,4,0),0))</f>
        <v>4.63</v>
      </c>
      <c r="I8" s="72">
        <f>IF(B8=0,"",IFERROR(VLOOKUP(B8,'S-ASIG-03'!$B$5:$E$88,4,0),0))</f>
        <v>4.55</v>
      </c>
      <c r="J8" s="72">
        <f>IF(B8=0,"",IFERROR(VLOOKUP(B8,'S-ASIG-04'!$B$5:$E$88,4,0),0))</f>
        <v>4.55</v>
      </c>
      <c r="K8" s="72">
        <f>IF(B8=0,"",IFERROR(VLOOKUP(B8,'S-ASIG-05'!$B$5:$E$88,4,0),0))</f>
        <v>4.4000000000000004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103</v>
      </c>
    </row>
    <row r="9" spans="1:22" ht="15" customHeight="1">
      <c r="A9" s="12">
        <v>5</v>
      </c>
      <c r="B9" s="70" t="str">
        <f>LIDER!C13</f>
        <v>ANA LUCIA RODRIGUEZ PUELLO</v>
      </c>
      <c r="C9" s="64" t="str">
        <f>IF(B9=0,"",IFERROR(VLOOKUP(B9,'S-ASIG-01'!$B$5:$E$88,2,0),0))</f>
        <v>G01</v>
      </c>
      <c r="D9" s="65">
        <f t="shared" si="2"/>
        <v>4.5659999999999998</v>
      </c>
      <c r="E9" s="66">
        <f t="shared" si="3"/>
        <v>0</v>
      </c>
      <c r="F9" s="47"/>
      <c r="G9" s="71">
        <f>IF(B9=0,"",IFERROR(VLOOKUP(B9,'S-ASIG-01'!$B$5:$E$88,4,0),0))</f>
        <v>4.6999999999999993</v>
      </c>
      <c r="H9" s="72">
        <f>IF(B9=0,"",IFERROR(VLOOKUP(B9,'S-ASIG-02'!$B$5:$E$88,4,0),0))</f>
        <v>4.63</v>
      </c>
      <c r="I9" s="72">
        <f>IF(B9=0,"",IFERROR(VLOOKUP(B9,'S-ASIG-03'!$B$5:$E$88,4,0),0))</f>
        <v>4.55</v>
      </c>
      <c r="J9" s="72">
        <f>IF(B9=0,"",IFERROR(VLOOKUP(B9,'S-ASIG-04'!$B$5:$E$88,4,0),0))</f>
        <v>4.55</v>
      </c>
      <c r="K9" s="72">
        <f>IF(B9=0,"",IFERROR(VLOOKUP(B9,'S-ASIG-05'!$B$5:$E$88,4,0),0))</f>
        <v>4.4000000000000004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102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103</v>
      </c>
    </row>
    <row r="10" spans="1:22" ht="15" customHeight="1">
      <c r="A10" s="12">
        <v>6</v>
      </c>
      <c r="B10" s="70" t="str">
        <f>LIDER!C14</f>
        <v>SANDY SOFIA BELLO CAMPILLO</v>
      </c>
      <c r="C10" s="64" t="str">
        <f>IF(B10=0,"",IFERROR(VLOOKUP(B10,'S-ASIG-01'!$B$5:$E$88,2,0),0))</f>
        <v>G02</v>
      </c>
      <c r="D10" s="65">
        <f t="shared" si="2"/>
        <v>3.65</v>
      </c>
      <c r="E10" s="66">
        <f t="shared" si="3"/>
        <v>0</v>
      </c>
      <c r="F10" s="47"/>
      <c r="G10" s="71">
        <f>IF(B10=0,"",IFERROR(VLOOKUP(B10,'S-ASIG-01'!$B$5:$E$88,4,0),0))</f>
        <v>3.6999999999999997</v>
      </c>
      <c r="H10" s="72">
        <f>IF(B10=0,"",IFERROR(VLOOKUP(B10,'S-ASIG-02'!$B$5:$E$88,4,0),0))</f>
        <v>3.39</v>
      </c>
      <c r="I10" s="72">
        <f>IF(B10=0,"",IFERROR(VLOOKUP(B10,'S-ASIG-03'!$B$5:$E$88,4,0),0))</f>
        <v>3.1500000000000004</v>
      </c>
      <c r="J10" s="72">
        <f>IF(B10=0,"",IFERROR(VLOOKUP(B10,'S-ASIG-04'!$B$5:$E$88,4,0),0))</f>
        <v>4.25</v>
      </c>
      <c r="K10" s="72">
        <f>IF(B10=0,"",IFERROR(VLOOKUP(B10,'S-ASIG-05'!$B$5:$E$88,4,0),0))</f>
        <v>3.7600000000000002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102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103</v>
      </c>
    </row>
    <row r="11" spans="1:22" ht="15" customHeight="1">
      <c r="A11" s="12">
        <v>7</v>
      </c>
      <c r="B11" s="70" t="str">
        <f>LIDER!C15</f>
        <v>DIEGO ALEXANDER CARDONA BOLAÑO</v>
      </c>
      <c r="C11" s="64" t="str">
        <f>IF(B11=0,"",IFERROR(VLOOKUP(B11,'S-ASIG-01'!$B$5:$E$88,2,0),0))</f>
        <v>G02</v>
      </c>
      <c r="D11" s="65">
        <f t="shared" si="2"/>
        <v>3.65</v>
      </c>
      <c r="E11" s="66">
        <f t="shared" si="3"/>
        <v>0</v>
      </c>
      <c r="F11" s="47"/>
      <c r="G11" s="71">
        <f>IF(B11=0,"",IFERROR(VLOOKUP(B11,'S-ASIG-01'!$B$5:$E$88,4,0),0))</f>
        <v>3.6999999999999997</v>
      </c>
      <c r="H11" s="72">
        <f>IF(B11=0,"",IFERROR(VLOOKUP(B11,'S-ASIG-02'!$B$5:$E$88,4,0),0))</f>
        <v>3.39</v>
      </c>
      <c r="I11" s="72">
        <f>IF(B11=0,"",IFERROR(VLOOKUP(B11,'S-ASIG-03'!$B$5:$E$88,4,0),0))</f>
        <v>3.1500000000000004</v>
      </c>
      <c r="J11" s="72">
        <f>IF(B11=0,"",IFERROR(VLOOKUP(B11,'S-ASIG-04'!$B$5:$E$88,4,0),0))</f>
        <v>4.25</v>
      </c>
      <c r="K11" s="72">
        <f>IF(B11=0,"",IFERROR(VLOOKUP(B11,'S-ASIG-05'!$B$5:$E$88,4,0),0))</f>
        <v>3.7600000000000002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102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103</v>
      </c>
    </row>
    <row r="12" spans="1:22" ht="15" customHeight="1">
      <c r="A12" s="12">
        <v>8</v>
      </c>
      <c r="B12" s="70" t="str">
        <f>LIDER!C16</f>
        <v>LUIS FERNANDO GAMARRA POLO</v>
      </c>
      <c r="C12" s="64" t="str">
        <f>IF(B12=0,"",IFERROR(VLOOKUP(B12,'S-ASIG-01'!$B$5:$E$88,2,0),0))</f>
        <v>G02</v>
      </c>
      <c r="D12" s="65">
        <f t="shared" si="2"/>
        <v>3.65</v>
      </c>
      <c r="E12" s="66">
        <f t="shared" si="3"/>
        <v>0</v>
      </c>
      <c r="F12" s="47"/>
      <c r="G12" s="71">
        <f>IF(B12=0,"",IFERROR(VLOOKUP(B12,'S-ASIG-01'!$B$5:$E$88,4,0),0))</f>
        <v>3.6999999999999997</v>
      </c>
      <c r="H12" s="72">
        <f>IF(B12=0,"",IFERROR(VLOOKUP(B12,'S-ASIG-02'!$B$5:$E$88,4,0),0))</f>
        <v>3.39</v>
      </c>
      <c r="I12" s="72">
        <f>IF(B12=0,"",IFERROR(VLOOKUP(B12,'S-ASIG-03'!$B$5:$E$88,4,0),0))</f>
        <v>3.1500000000000004</v>
      </c>
      <c r="J12" s="72">
        <f>IF(B12=0,"",IFERROR(VLOOKUP(B12,'S-ASIG-04'!$B$5:$E$88,4,0),0))</f>
        <v>4.25</v>
      </c>
      <c r="K12" s="72">
        <f>IF(B12=0,"",IFERROR(VLOOKUP(B12,'S-ASIG-05'!$B$5:$E$88,4,0),0))</f>
        <v>3.7600000000000002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102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103</v>
      </c>
    </row>
    <row r="13" spans="1:22" ht="15" customHeight="1">
      <c r="A13" s="12">
        <v>9</v>
      </c>
      <c r="B13" s="70" t="str">
        <f>LIDER!C17</f>
        <v>EDDY MASSA BELTRAN</v>
      </c>
      <c r="C13" s="64" t="str">
        <f>IF(B13=0,"",IFERROR(VLOOKUP(B13,'S-ASIG-01'!$B$5:$E$88,2,0),0))</f>
        <v>G02</v>
      </c>
      <c r="D13" s="65">
        <f t="shared" si="2"/>
        <v>3.65</v>
      </c>
      <c r="E13" s="66">
        <f t="shared" si="3"/>
        <v>0</v>
      </c>
      <c r="F13" s="47"/>
      <c r="G13" s="71">
        <f>IF(B13=0,"",IFERROR(VLOOKUP(B13,'S-ASIG-01'!$B$5:$E$88,4,0),0))</f>
        <v>3.6999999999999997</v>
      </c>
      <c r="H13" s="72">
        <f>IF(B13=0,"",IFERROR(VLOOKUP(B13,'S-ASIG-02'!$B$5:$E$88,4,0),0))</f>
        <v>3.39</v>
      </c>
      <c r="I13" s="72">
        <f>IF(B13=0,"",IFERROR(VLOOKUP(B13,'S-ASIG-03'!$B$5:$E$88,4,0),0))</f>
        <v>3.1500000000000004</v>
      </c>
      <c r="J13" s="72">
        <f>IF(B13=0,"",IFERROR(VLOOKUP(B13,'S-ASIG-04'!$B$5:$E$88,4,0),0))</f>
        <v>4.25</v>
      </c>
      <c r="K13" s="72">
        <f>IF(B13=0,"",IFERROR(VLOOKUP(B13,'S-ASIG-05'!$B$5:$E$88,4,0),0))</f>
        <v>3.7600000000000002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102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103</v>
      </c>
    </row>
    <row r="14" spans="1:22" ht="15" customHeight="1">
      <c r="A14" s="12">
        <v>10</v>
      </c>
      <c r="B14" s="70" t="str">
        <f>LIDER!C18</f>
        <v>DANIEL ANDRES REALES VARGAS</v>
      </c>
      <c r="C14" s="64" t="str">
        <f>IF(B14=0,"",IFERROR(VLOOKUP(B14,'S-ASIG-01'!$B$5:$E$88,2,0),0))</f>
        <v>G02</v>
      </c>
      <c r="D14" s="65">
        <f t="shared" si="2"/>
        <v>3.65</v>
      </c>
      <c r="E14" s="66">
        <f t="shared" si="3"/>
        <v>0</v>
      </c>
      <c r="F14" s="47"/>
      <c r="G14" s="71">
        <f>IF(B14=0,"",IFERROR(VLOOKUP(B14,'S-ASIG-01'!$B$5:$E$88,4,0),0))</f>
        <v>3.6999999999999997</v>
      </c>
      <c r="H14" s="72">
        <f>IF(B14=0,"",IFERROR(VLOOKUP(B14,'S-ASIG-02'!$B$5:$E$88,4,0),0))</f>
        <v>3.39</v>
      </c>
      <c r="I14" s="72">
        <f>IF(B14=0,"",IFERROR(VLOOKUP(B14,'S-ASIG-03'!$B$5:$E$88,4,0),0))</f>
        <v>3.1500000000000004</v>
      </c>
      <c r="J14" s="72">
        <f>IF(B14=0,"",IFERROR(VLOOKUP(B14,'S-ASIG-04'!$B$5:$E$88,4,0),0))</f>
        <v>4.25</v>
      </c>
      <c r="K14" s="72">
        <f>IF(B14=0,"",IFERROR(VLOOKUP(B14,'S-ASIG-05'!$B$5:$E$88,4,0),0))</f>
        <v>3.7600000000000002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102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103</v>
      </c>
    </row>
    <row r="15" spans="1:22" ht="15" customHeight="1">
      <c r="A15" s="12">
        <v>11</v>
      </c>
      <c r="B15" s="70" t="str">
        <f>LIDER!C19</f>
        <v>DANNA MARCELA RODRIGUEZ OSPINA</v>
      </c>
      <c r="C15" s="64" t="str">
        <f>IF(B15=0,"",IFERROR(VLOOKUP(B15,'S-ASIG-01'!$B$5:$E$88,2,0),0))</f>
        <v>G02</v>
      </c>
      <c r="D15" s="65">
        <f t="shared" si="2"/>
        <v>3.65</v>
      </c>
      <c r="E15" s="66">
        <f t="shared" si="3"/>
        <v>0</v>
      </c>
      <c r="F15" s="47"/>
      <c r="G15" s="71">
        <f>IF(B15=0,"",IFERROR(VLOOKUP(B15,'S-ASIG-01'!$B$5:$E$88,4,0),0))</f>
        <v>3.6999999999999997</v>
      </c>
      <c r="H15" s="72">
        <f>IF(B15=0,"",IFERROR(VLOOKUP(B15,'S-ASIG-02'!$B$5:$E$88,4,0),0))</f>
        <v>3.39</v>
      </c>
      <c r="I15" s="72">
        <f>IF(B15=0,"",IFERROR(VLOOKUP(B15,'S-ASIG-03'!$B$5:$E$88,4,0),0))</f>
        <v>3.1500000000000004</v>
      </c>
      <c r="J15" s="72">
        <f>IF(B15=0,"",IFERROR(VLOOKUP(B15,'S-ASIG-04'!$B$5:$E$88,4,0),0))</f>
        <v>4.25</v>
      </c>
      <c r="K15" s="72">
        <f>IF(B15=0,"",IFERROR(VLOOKUP(B15,'S-ASIG-05'!$B$5:$E$88,4,0),0))</f>
        <v>3.7600000000000002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102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103</v>
      </c>
    </row>
    <row r="16" spans="1:22" ht="15" customHeight="1">
      <c r="A16" s="12">
        <v>12</v>
      </c>
      <c r="B16" s="70" t="str">
        <f>LIDER!C20</f>
        <v>LUISA FERNANDA CASTRO MONTES</v>
      </c>
      <c r="C16" s="64" t="str">
        <f>IF(B16=0,"",IFERROR(VLOOKUP(B16,'S-ASIG-01'!$B$5:$E$88,2,0),0))</f>
        <v>G03</v>
      </c>
      <c r="D16" s="65">
        <f t="shared" si="2"/>
        <v>4.3040000000000003</v>
      </c>
      <c r="E16" s="66">
        <f t="shared" si="3"/>
        <v>0</v>
      </c>
      <c r="F16" s="47"/>
      <c r="G16" s="71">
        <f>IF(B16=0,"",IFERROR(VLOOKUP(B16,'S-ASIG-01'!$B$5:$E$88,4,0),0))</f>
        <v>4.3</v>
      </c>
      <c r="H16" s="72">
        <f>IF(B16=0,"",IFERROR(VLOOKUP(B16,'S-ASIG-02'!$B$5:$E$88,4,0),0))</f>
        <v>4.17</v>
      </c>
      <c r="I16" s="72">
        <f>IF(B16=0,"",IFERROR(VLOOKUP(B16,'S-ASIG-03'!$B$5:$E$88,4,0),0))</f>
        <v>4.2</v>
      </c>
      <c r="J16" s="72">
        <f>IF(B16=0,"",IFERROR(VLOOKUP(B16,'S-ASIG-04'!$B$5:$E$88,4,0),0))</f>
        <v>4.55</v>
      </c>
      <c r="K16" s="72">
        <f>IF(B16=0,"",IFERROR(VLOOKUP(B16,'S-ASIG-05'!$B$5:$E$88,4,0),0))</f>
        <v>4.3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102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103</v>
      </c>
    </row>
    <row r="17" spans="1:22" ht="15" customHeight="1">
      <c r="A17" s="12">
        <v>13</v>
      </c>
      <c r="B17" s="70" t="str">
        <f>LIDER!C21</f>
        <v>ROBERTO CARLOS PIÑA GARCES</v>
      </c>
      <c r="C17" s="64" t="str">
        <f>IF(B17=0,"",IFERROR(VLOOKUP(B17,'S-ASIG-01'!$B$5:$E$88,2,0),0))</f>
        <v>G03</v>
      </c>
      <c r="D17" s="65">
        <f t="shared" si="2"/>
        <v>4.3040000000000003</v>
      </c>
      <c r="E17" s="66">
        <f t="shared" si="3"/>
        <v>0</v>
      </c>
      <c r="F17" s="47"/>
      <c r="G17" s="71">
        <f>IF(B17=0,"",IFERROR(VLOOKUP(B17,'S-ASIG-01'!$B$5:$E$88,4,0),0))</f>
        <v>4.3</v>
      </c>
      <c r="H17" s="72">
        <f>IF(B17=0,"",IFERROR(VLOOKUP(B17,'S-ASIG-02'!$B$5:$E$88,4,0),0))</f>
        <v>4.17</v>
      </c>
      <c r="I17" s="72">
        <f>IF(B17=0,"",IFERROR(VLOOKUP(B17,'S-ASIG-03'!$B$5:$E$88,4,0),0))</f>
        <v>4.2</v>
      </c>
      <c r="J17" s="72">
        <f>IF(B17=0,"",IFERROR(VLOOKUP(B17,'S-ASIG-04'!$B$5:$E$88,4,0),0))</f>
        <v>4.55</v>
      </c>
      <c r="K17" s="72">
        <f>IF(B17=0,"",IFERROR(VLOOKUP(B17,'S-ASIG-05'!$B$5:$E$88,4,0),0))</f>
        <v>4.3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102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103</v>
      </c>
    </row>
    <row r="18" spans="1:22" ht="15" customHeight="1">
      <c r="A18" s="12">
        <v>14</v>
      </c>
      <c r="B18" s="70" t="str">
        <f>LIDER!C22</f>
        <v>JUAN MANUEL RODRIGUEZ BARRETO</v>
      </c>
      <c r="C18" s="64" t="str">
        <f>IF(B18=0,"",IFERROR(VLOOKUP(B18,'S-ASIG-01'!$B$5:$E$88,2,0),0))</f>
        <v>G03</v>
      </c>
      <c r="D18" s="65">
        <f t="shared" si="2"/>
        <v>4.3040000000000003</v>
      </c>
      <c r="E18" s="66">
        <f t="shared" si="3"/>
        <v>0</v>
      </c>
      <c r="F18" s="47"/>
      <c r="G18" s="71">
        <f>IF(B18=0,"",IFERROR(VLOOKUP(B18,'S-ASIG-01'!$B$5:$E$88,4,0),0))</f>
        <v>4.3</v>
      </c>
      <c r="H18" s="72">
        <f>IF(B18=0,"",IFERROR(VLOOKUP(B18,'S-ASIG-02'!$B$5:$E$88,4,0),0))</f>
        <v>4.17</v>
      </c>
      <c r="I18" s="72">
        <f>IF(B18=0,"",IFERROR(VLOOKUP(B18,'S-ASIG-03'!$B$5:$E$88,4,0),0))</f>
        <v>4.2</v>
      </c>
      <c r="J18" s="72">
        <f>IF(B18=0,"",IFERROR(VLOOKUP(B18,'S-ASIG-04'!$B$5:$E$88,4,0),0))</f>
        <v>4.55</v>
      </c>
      <c r="K18" s="72">
        <f>IF(B18=0,"",IFERROR(VLOOKUP(B18,'S-ASIG-05'!$B$5:$E$88,4,0),0))</f>
        <v>4.3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102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103</v>
      </c>
    </row>
    <row r="19" spans="1:22" ht="15" customHeight="1">
      <c r="A19" s="12">
        <v>15</v>
      </c>
      <c r="B19" s="70" t="str">
        <f>LIDER!C23</f>
        <v>JESUS DAVID RODRIGUEZ RODRIGUEZ</v>
      </c>
      <c r="C19" s="64" t="str">
        <f>IF(B19=0,"",IFERROR(VLOOKUP(B19,'S-ASIG-01'!$B$5:$E$88,2,0),0))</f>
        <v>G03</v>
      </c>
      <c r="D19" s="65">
        <f t="shared" si="2"/>
        <v>4.3040000000000003</v>
      </c>
      <c r="E19" s="66">
        <f t="shared" si="3"/>
        <v>0</v>
      </c>
      <c r="F19" s="47"/>
      <c r="G19" s="71">
        <f>IF(B19=0,"",IFERROR(VLOOKUP(B19,'S-ASIG-01'!$B$5:$E$88,4,0),0))</f>
        <v>4.3</v>
      </c>
      <c r="H19" s="72">
        <f>IF(B19=0,"",IFERROR(VLOOKUP(B19,'S-ASIG-02'!$B$5:$E$88,4,0),0))</f>
        <v>4.17</v>
      </c>
      <c r="I19" s="72">
        <f>IF(B19=0,"",IFERROR(VLOOKUP(B19,'S-ASIG-03'!$B$5:$E$88,4,0),0))</f>
        <v>4.2</v>
      </c>
      <c r="J19" s="72">
        <f>IF(B19=0,"",IFERROR(VLOOKUP(B19,'S-ASIG-04'!$B$5:$E$88,4,0),0))</f>
        <v>4.55</v>
      </c>
      <c r="K19" s="72">
        <f>IF(B19=0,"",IFERROR(VLOOKUP(B19,'S-ASIG-05'!$B$5:$E$88,4,0),0))</f>
        <v>4.3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102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103</v>
      </c>
    </row>
    <row r="20" spans="1:22" ht="15" customHeight="1">
      <c r="A20" s="12">
        <v>16</v>
      </c>
      <c r="B20" s="70" t="str">
        <f>LIDER!C24</f>
        <v>SAMUEL ALEXANDER VELASQUEZ ALVAREZ</v>
      </c>
      <c r="C20" s="64" t="str">
        <f>IF(B20=0,"",IFERROR(VLOOKUP(B20,'S-ASIG-01'!$B$5:$E$88,2,0),0))</f>
        <v>G03</v>
      </c>
      <c r="D20" s="65">
        <f t="shared" si="2"/>
        <v>4.3040000000000003</v>
      </c>
      <c r="E20" s="66">
        <f t="shared" si="3"/>
        <v>0</v>
      </c>
      <c r="F20" s="47"/>
      <c r="G20" s="71">
        <f>IF(B20=0,"",IFERROR(VLOOKUP(B20,'S-ASIG-01'!$B$5:$E$88,4,0),0))</f>
        <v>4.3</v>
      </c>
      <c r="H20" s="72">
        <f>IF(B20=0,"",IFERROR(VLOOKUP(B20,'S-ASIG-02'!$B$5:$E$88,4,0),0))</f>
        <v>4.17</v>
      </c>
      <c r="I20" s="72">
        <f>IF(B20=0,"",IFERROR(VLOOKUP(B20,'S-ASIG-03'!$B$5:$E$88,4,0),0))</f>
        <v>4.2</v>
      </c>
      <c r="J20" s="72">
        <f>IF(B20=0,"",IFERROR(VLOOKUP(B20,'S-ASIG-04'!$B$5:$E$88,4,0),0))</f>
        <v>4.55</v>
      </c>
      <c r="K20" s="72">
        <f>IF(B20=0,"",IFERROR(VLOOKUP(B20,'S-ASIG-05'!$B$5:$E$88,4,0),0))</f>
        <v>4.3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102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103</v>
      </c>
    </row>
    <row r="21" spans="1:22" ht="15" customHeight="1">
      <c r="A21" s="12">
        <v>17</v>
      </c>
      <c r="B21" s="70" t="str">
        <f>LIDER!C25</f>
        <v>YEIMIS CAROLINA CAÑATE MIRANDA</v>
      </c>
      <c r="C21" s="64" t="str">
        <f>IF(B21=0,"",IFERROR(VLOOKUP(B21,'S-ASIG-01'!$B$5:$E$88,2,0),0))</f>
        <v>G03</v>
      </c>
      <c r="D21" s="65">
        <f t="shared" si="2"/>
        <v>4.3040000000000003</v>
      </c>
      <c r="E21" s="66">
        <f t="shared" si="3"/>
        <v>0</v>
      </c>
      <c r="F21" s="47"/>
      <c r="G21" s="71">
        <f>IF(B21=0,"",IFERROR(VLOOKUP(B21,'S-ASIG-01'!$B$5:$E$88,4,0),0))</f>
        <v>4.3</v>
      </c>
      <c r="H21" s="72">
        <f>IF(B21=0,"",IFERROR(VLOOKUP(B21,'S-ASIG-02'!$B$5:$E$88,4,0),0))</f>
        <v>4.17</v>
      </c>
      <c r="I21" s="72">
        <f>IF(B21=0,"",IFERROR(VLOOKUP(B21,'S-ASIG-03'!$B$5:$E$88,4,0),0))</f>
        <v>4.2</v>
      </c>
      <c r="J21" s="72">
        <f>IF(B21=0,"",IFERROR(VLOOKUP(B21,'S-ASIG-04'!$B$5:$E$88,4,0),0))</f>
        <v>4.55</v>
      </c>
      <c r="K21" s="72">
        <f>IF(B21=0,"",IFERROR(VLOOKUP(B21,'S-ASIG-05'!$B$5:$E$88,4,0),0))</f>
        <v>4.3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102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103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102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103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102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103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102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103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102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103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102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103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102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103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102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103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102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103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102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103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102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103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102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103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102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103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102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103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102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103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102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103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102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103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102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103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102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103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102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103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102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103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102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103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102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103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102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103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102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103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102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103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102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103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102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103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102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103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102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103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102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103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102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103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102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103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102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103</v>
      </c>
    </row>
  </sheetData>
  <sheetProtection algorithmName="SHA-512" hashValue="ckNjecVMVCEsX2BA05eU3AfiRJnkRPga0FUT1Ot8a/SIQIj55kV2kO2onMOl4BocN3Ijyoa9xb5me+ay+JTnNw==" saltValue="OfhNDLJYfc7EfU0XWebsU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2026-10-15T15:26:27Z</dcterms:modified>
  <cp:category/>
  <cp:contentStatus/>
</cp:coreProperties>
</file>