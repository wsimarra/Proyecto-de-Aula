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5/"/>
    </mc:Choice>
  </mc:AlternateContent>
  <xr:revisionPtr revIDLastSave="314" documentId="13_ncr:1_{D69796E3-6521-407E-80C6-0A2A3EF0F389}" xr6:coauthVersionLast="47" xr6:coauthVersionMax="47" xr10:uidLastSave="{0C3239AD-9FBD-4517-80EB-DB3E824CD13A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37" i="4" l="1"/>
  <c r="D37" i="16"/>
  <c r="D36" i="6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<sst xmlns="http://schemas.openxmlformats.org/spreadsheetml/2006/main" count="687" uniqueCount="118">
  <si>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</si>
  <si>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</si>
  <si>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</si>
  <si>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</si>
  <si>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</si>
  <si>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</si>
  <si>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</si>
  <si>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</si>
  <si>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</si>
  <si>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</si>
  <si>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</si>
  <si>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TALENTO HUMANO</t>
  </si>
  <si>
    <t>ELECTIVA DE PROFUNDIZACION II</t>
  </si>
  <si>
    <t>MARKETING INTERNACIONAL</t>
  </si>
  <si>
    <t>ELECTIVA LIBRE SOCIOHUMANÍS I</t>
  </si>
  <si>
    <t>ORGANIZACIÓN Y MÉTODOS DE TRAB</t>
  </si>
  <si>
    <t>ESTEFANIA MIRANDA PESTANA</t>
  </si>
  <si>
    <t>JEYSSON STEEVEN ANILLO CARRANZA</t>
  </si>
  <si>
    <t>ROBERTH ALFONSO RODRIGUEZ VIZCAINO</t>
  </si>
  <si>
    <t>BLANCA FLOREZ TABORDA</t>
  </si>
  <si>
    <t>LUIS ENRIQUE SCHNEIDER PALOMINO</t>
  </si>
  <si>
    <t>LISTA DE ESTUDIANTES</t>
  </si>
  <si>
    <t>SEGUNDA ENTREGA - CRITERIO DE EVALUACIÓN DOCUMENTO - SEGUNDO CORTE</t>
  </si>
  <si>
    <t>PONDERACIÓN</t>
  </si>
  <si>
    <t>ADMINISTRACIÓN DE EMPRESAS C.I</t>
  </si>
  <si>
    <t>Nicole Blanquicett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</si>
  <si>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</si>
  <si>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</si>
  <si>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 xml:space="preserve">Sebastián Castillo </t>
  </si>
  <si>
    <t>ANTEPROYECTO: Portada, planteamiento del problema, justificacion del trabajo o proyecto de aula, objetivos, marco teorico, diseño metodologico.</t>
  </si>
  <si>
    <t>CONTADURÍA PÚBLICA</t>
  </si>
  <si>
    <t xml:space="preserve">Gabriela Ching 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</si>
  <si>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</si>
  <si>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</si>
  <si>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María Angélica Lopez</t>
  </si>
  <si>
    <t>BILIOGRAFIA: Las referencias bibliograficas: adoptan las normas APA. El documento es producto de un rastreo bibliografico que muestra analisis y sistensis.</t>
  </si>
  <si>
    <t>Shereine Tovar</t>
  </si>
  <si>
    <t>ASESORIAS: Anexó la hoja de tutoria firmada ( 3 fimas minmimo).</t>
  </si>
  <si>
    <t>TECNOLOGíA EN GESTION CONTABLE</t>
  </si>
  <si>
    <t xml:space="preserve">Brayer David Altamiranda Morales </t>
  </si>
  <si>
    <t>TECNOLOGÍA EN GESTIÓN DE MARKETING</t>
  </si>
  <si>
    <t xml:space="preserve">Luis Alberto Campo Ospino </t>
  </si>
  <si>
    <t>TECNOLOGÍA EN GESTIÓN DEL TALENTO HUMANO</t>
  </si>
  <si>
    <t xml:space="preserve">Brayan Smith Cantillo González </t>
  </si>
  <si>
    <t>TECNOLOGÍA EN GESTIÓN FINANCIERA</t>
  </si>
  <si>
    <t xml:space="preserve">Ayleen Patricia Herbales Puerta </t>
  </si>
  <si>
    <t>TECNOLOGÍA EN GESTIÓN LOGISTICA Y PORTUARIA</t>
  </si>
  <si>
    <t>Alexander Ruiz Guzman</t>
  </si>
  <si>
    <t>ENTREGA FINAL - CRITERIO DE EVALUACIÓN SUSTENTACIÓN - TERCER CORTE</t>
  </si>
  <si>
    <t>TECNOLOGÍA EN GESTIÓN TURISTICA Y HOTELERA</t>
  </si>
  <si>
    <t xml:space="preserve">Katerin sofia Ceballos Fernández </t>
  </si>
  <si>
    <t>Evaluación del Documento Final</t>
  </si>
  <si>
    <t>Elver Consuegra</t>
  </si>
  <si>
    <t>Sustentación de los Resultados: Se refleja un dominio del tema, la  información está delimitada y es clara. Hay una jerarquía y fluidez en las ideas que presenta.</t>
  </si>
  <si>
    <t xml:space="preserve">Juliana Díaz Pérez 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</si>
  <si>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</si>
  <si>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 xml:space="preserve">Rut Elena Montoya Ávila 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</si>
  <si>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</si>
  <si>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 xml:space="preserve">Daniela Ramírez Aguirre </t>
  </si>
  <si>
    <t>Tiempo: El uso del tiempo fue apropiado, se ajusta al previsto.
Ofrece una conclusión donde condensa las ideas principales del objetivo general y los específicos.</t>
  </si>
  <si>
    <t xml:space="preserve"> Jhoiny Luz Valdes González</t>
  </si>
  <si>
    <t>Uso de Recursos Audiovisuales Tecnológicos: La sustentación se acompaña de recursos visuales pertinentes, atractivos y de gran calidad</t>
  </si>
  <si>
    <t>Jeraldine Ramirez Arteaga</t>
  </si>
  <si>
    <t>Aisha Carmona Diaz</t>
  </si>
  <si>
    <t>Danna Orozco Torres</t>
  </si>
  <si>
    <t>Heidy Herrera Pertuz</t>
  </si>
  <si>
    <t>TITULOS DE LOS PROYECTOS DE AULA</t>
  </si>
  <si>
    <t xml:space="preserve">Nicolle Rodríguez </t>
  </si>
  <si>
    <t>GRUPO#1  Glow Hair</t>
  </si>
  <si>
    <t>Maria Camila Guzman Alvarez</t>
  </si>
  <si>
    <t>GRUPO#2 Vaps</t>
  </si>
  <si>
    <t>Jhoan Arturo Posada Franco</t>
  </si>
  <si>
    <t>GRUPO#3 Dulce Origen</t>
  </si>
  <si>
    <t>Grissell Tayrama Rodrguez Solarte</t>
  </si>
  <si>
    <t>GRUPO#4 Body Butters</t>
  </si>
  <si>
    <t>Yeifel aguilar alcala</t>
  </si>
  <si>
    <t>GRUPO#5 Sibarita del Mar</t>
  </si>
  <si>
    <t>Zaid zamudio morelo</t>
  </si>
  <si>
    <t>GRUPO#6</t>
  </si>
  <si>
    <t>GRUPO#7</t>
  </si>
  <si>
    <t>GRUPO#8</t>
  </si>
  <si>
    <t>GRUPO#9</t>
  </si>
  <si>
    <t>GRUPO#10</t>
  </si>
  <si>
    <t>GRUPO#11</t>
  </si>
  <si>
    <t>GRUPO#12</t>
  </si>
  <si>
    <t xml:space="preserve">Elver Javier consuegra Conde 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</si>
  <si>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</si>
  <si>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</si>
  <si>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</si>
  <si>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</si>
  <si>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</si>
  <si>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</si>
  <si>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</si>
  <si>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</si>
  <si>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</si>
  <si>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</si>
  <si>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N</t>
  </si>
  <si>
    <t>GRUPO#4</t>
  </si>
  <si>
    <t>G04</t>
  </si>
  <si>
    <t>GRUPO#5</t>
  </si>
  <si>
    <t>G05</t>
  </si>
  <si>
    <t>G06</t>
  </si>
  <si>
    <t>G07</t>
  </si>
  <si>
    <t>G08</t>
  </si>
  <si>
    <t>G09</t>
  </si>
  <si>
    <t>G10</t>
  </si>
  <si>
    <t>G11</t>
  </si>
  <si>
    <t>G12</t>
  </si>
  <si>
    <t xml:space="preserve"> 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</si>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</sst>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29" fillId="0" borderId="56" xfId="0" applyFont="1" applyBorder="1" applyProtection="1">
      <protection locked="0"/>
    </xf>
    <xf numFmtId="0" fontId="29" fillId="0" borderId="57" xfId="0" applyFont="1" applyBorder="1" applyProtection="1">
      <protection locked="0"/>
    </xf>
    <xf numFmtId="0" fontId="29" fillId="0" borderId="56" xfId="0" applyFont="1" applyBorder="1" applyAlignment="1" applyProtection="1">
      <alignment wrapText="1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12" zoomScale="80" zoomScaleNormal="80" workbookViewId="0">
      <selection activeCell="D24" sqref="D24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3" t="s">
        <v>0</v>
      </c>
      <c r="C2" s="154"/>
      <c r="D2" s="155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3847</v>
      </c>
      <c r="D6" s="134">
        <v>3850</v>
      </c>
      <c r="E6" s="134">
        <v>3851</v>
      </c>
      <c r="F6" s="134">
        <v>3849</v>
      </c>
      <c r="G6" s="134">
        <v>3848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6" t="s">
        <v>22</v>
      </c>
      <c r="F8" s="157"/>
      <c r="G8" s="158"/>
      <c r="H8" s="110" t="s">
        <v>23</v>
      </c>
      <c r="I8" s="69" t="s">
        <v>24</v>
      </c>
    </row>
    <row r="9" spans="2:9" ht="15" customHeight="1">
      <c r="B9" s="108">
        <v>1</v>
      </c>
      <c r="C9" s="142" t="s">
        <v>25</v>
      </c>
      <c r="E9" s="159" t="s">
        <v>26</v>
      </c>
      <c r="F9" s="160"/>
      <c r="G9" s="161"/>
      <c r="H9" s="135">
        <v>0.2</v>
      </c>
      <c r="I9" s="69" t="s">
        <v>27</v>
      </c>
    </row>
    <row r="10" spans="2:9" ht="15" customHeight="1">
      <c r="B10" s="108">
        <v>2</v>
      </c>
      <c r="C10" s="142" t="s">
        <v>28</v>
      </c>
      <c r="E10" s="162" t="s">
        <v>29</v>
      </c>
      <c r="F10" s="163"/>
      <c r="G10" s="164"/>
      <c r="H10" s="136">
        <v>0.2</v>
      </c>
      <c r="I10" s="69" t="s">
        <v>30</v>
      </c>
    </row>
    <row r="11" spans="2:9" ht="15" customHeight="1">
      <c r="B11" s="108">
        <v>3</v>
      </c>
      <c r="C11" s="142" t="s">
        <v>31</v>
      </c>
      <c r="E11" s="159" t="s">
        <v>32</v>
      </c>
      <c r="F11" s="160"/>
      <c r="G11" s="161"/>
      <c r="H11" s="135">
        <v>0.3</v>
      </c>
      <c r="I11" s="69" t="s">
        <v>33</v>
      </c>
    </row>
    <row r="12" spans="2:9" ht="15" customHeight="1">
      <c r="B12" s="108">
        <v>4</v>
      </c>
      <c r="C12" s="142" t="s">
        <v>34</v>
      </c>
      <c r="E12" s="162" t="s">
        <v>35</v>
      </c>
      <c r="F12" s="163"/>
      <c r="G12" s="164"/>
      <c r="H12" s="136">
        <v>0.2</v>
      </c>
      <c r="I12" s="69" t="s">
        <v>0</v>
      </c>
    </row>
    <row r="13" spans="2:9" ht="15" customHeight="1">
      <c r="B13" s="108">
        <v>5</v>
      </c>
      <c r="C13" s="143" t="s">
        <v>36</v>
      </c>
      <c r="E13" s="165" t="s">
        <v>37</v>
      </c>
      <c r="F13" s="166"/>
      <c r="G13" s="167"/>
      <c r="H13" s="135">
        <v>0.1</v>
      </c>
      <c r="I13" s="69" t="s">
        <v>38</v>
      </c>
    </row>
    <row r="14" spans="2:9" ht="15" customHeight="1">
      <c r="B14" s="108">
        <v>6</v>
      </c>
      <c r="C14" s="142" t="s">
        <v>39</v>
      </c>
      <c r="E14" s="168"/>
      <c r="F14" s="169"/>
      <c r="G14" s="170"/>
      <c r="H14" s="136">
        <v>0</v>
      </c>
      <c r="I14" s="69" t="s">
        <v>40</v>
      </c>
    </row>
    <row r="15" spans="2:9" ht="15" customHeight="1">
      <c r="B15" s="108">
        <v>7</v>
      </c>
      <c r="C15" s="142" t="s">
        <v>41</v>
      </c>
      <c r="E15" s="177"/>
      <c r="F15" s="178"/>
      <c r="G15" s="179"/>
      <c r="H15" s="135">
        <v>0</v>
      </c>
      <c r="I15" s="69" t="s">
        <v>42</v>
      </c>
    </row>
    <row r="16" spans="2:9" ht="15" customHeight="1">
      <c r="B16" s="108">
        <v>8</v>
      </c>
      <c r="C16" s="142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>
      <c r="B17" s="108">
        <v>9</v>
      </c>
      <c r="C17" s="142" t="s">
        <v>45</v>
      </c>
      <c r="E17" s="186"/>
      <c r="F17" s="186"/>
      <c r="G17" s="186"/>
      <c r="H17" s="186"/>
      <c r="I17" s="69" t="s">
        <v>46</v>
      </c>
    </row>
    <row r="18" spans="2:9" ht="15" customHeight="1">
      <c r="B18" s="108">
        <v>10</v>
      </c>
      <c r="C18" s="143" t="s">
        <v>47</v>
      </c>
      <c r="E18" s="193" t="s">
        <v>48</v>
      </c>
      <c r="F18" s="194"/>
      <c r="G18" s="194"/>
      <c r="H18" s="113" t="s">
        <v>23</v>
      </c>
      <c r="I18" s="69" t="s">
        <v>49</v>
      </c>
    </row>
    <row r="19" spans="2:9" ht="15" customHeight="1">
      <c r="B19" s="108">
        <v>11</v>
      </c>
      <c r="C19" s="142" t="s">
        <v>50</v>
      </c>
      <c r="E19" s="183" t="s">
        <v>51</v>
      </c>
      <c r="F19" s="184"/>
      <c r="G19" s="185"/>
      <c r="H19" s="138">
        <v>0.5</v>
      </c>
    </row>
    <row r="20" spans="2:9" ht="15" customHeight="1">
      <c r="B20" s="108">
        <v>12</v>
      </c>
      <c r="C20" s="142" t="s">
        <v>52</v>
      </c>
      <c r="E20" s="187" t="s">
        <v>53</v>
      </c>
      <c r="F20" s="188"/>
      <c r="G20" s="189"/>
      <c r="H20" s="139">
        <v>0.2</v>
      </c>
    </row>
    <row r="21" spans="2:9" ht="15" customHeight="1">
      <c r="B21" s="108">
        <v>13</v>
      </c>
      <c r="C21" s="142" t="s">
        <v>54</v>
      </c>
      <c r="E21" s="195" t="s">
        <v>55</v>
      </c>
      <c r="F21" s="196"/>
      <c r="G21" s="197"/>
      <c r="H21" s="140">
        <v>0.1</v>
      </c>
    </row>
    <row r="22" spans="2:9" ht="15" customHeight="1">
      <c r="B22" s="108">
        <v>14</v>
      </c>
      <c r="C22" s="142" t="s">
        <v>56</v>
      </c>
      <c r="E22" s="187" t="s">
        <v>57</v>
      </c>
      <c r="F22" s="169"/>
      <c r="G22" s="170"/>
      <c r="H22" s="139">
        <v>0.05</v>
      </c>
    </row>
    <row r="23" spans="2:9" ht="15" customHeight="1">
      <c r="B23" s="108">
        <v>15</v>
      </c>
      <c r="C23" s="142" t="s">
        <v>58</v>
      </c>
      <c r="E23" s="195" t="s">
        <v>59</v>
      </c>
      <c r="F23" s="196"/>
      <c r="G23" s="197"/>
      <c r="H23" s="141">
        <v>0.05</v>
      </c>
    </row>
    <row r="24" spans="2:9" ht="15" customHeight="1">
      <c r="B24" s="108">
        <v>16</v>
      </c>
      <c r="C24" s="143" t="s">
        <v>60</v>
      </c>
      <c r="E24" s="187" t="s">
        <v>61</v>
      </c>
      <c r="F24" s="188"/>
      <c r="G24" s="189"/>
      <c r="H24" s="139">
        <v>0.1</v>
      </c>
    </row>
    <row r="25" spans="2:9" ht="15" customHeight="1">
      <c r="B25" s="108">
        <v>17</v>
      </c>
      <c r="C25" s="142" t="s">
        <v>62</v>
      </c>
      <c r="E25" s="180"/>
      <c r="F25" s="181"/>
      <c r="G25" s="182"/>
      <c r="H25" s="140"/>
    </row>
    <row r="26" spans="2:9" ht="15" customHeight="1">
      <c r="B26" s="108">
        <v>18</v>
      </c>
      <c r="C26" s="142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>
      <c r="B27" s="108">
        <v>19</v>
      </c>
      <c r="C27" s="142" t="s">
        <v>64</v>
      </c>
      <c r="E27" s="114"/>
      <c r="F27" s="114"/>
      <c r="G27" s="114"/>
      <c r="H27" s="114"/>
    </row>
    <row r="28" spans="2:9" ht="15" customHeight="1">
      <c r="B28" s="108">
        <v>20</v>
      </c>
      <c r="C28" s="142" t="s">
        <v>65</v>
      </c>
      <c r="E28" s="190" t="s">
        <v>66</v>
      </c>
      <c r="F28" s="191"/>
      <c r="G28" s="191"/>
      <c r="H28" s="192"/>
    </row>
    <row r="29" spans="2:9" ht="15" customHeight="1">
      <c r="B29" s="108">
        <v>21</v>
      </c>
      <c r="C29" s="143" t="s">
        <v>67</v>
      </c>
      <c r="E29" s="174" t="s">
        <v>68</v>
      </c>
      <c r="F29" s="175"/>
      <c r="G29" s="175"/>
      <c r="H29" s="176"/>
    </row>
    <row r="30" spans="2:9" ht="15" customHeight="1">
      <c r="B30" s="108">
        <v>22</v>
      </c>
      <c r="C30" s="142" t="s">
        <v>69</v>
      </c>
      <c r="E30" s="171" t="s">
        <v>70</v>
      </c>
      <c r="F30" s="172"/>
      <c r="G30" s="172"/>
      <c r="H30" s="173"/>
    </row>
    <row r="31" spans="2:9" ht="15" customHeight="1">
      <c r="B31" s="108">
        <v>23</v>
      </c>
      <c r="C31" s="142" t="s">
        <v>71</v>
      </c>
      <c r="E31" s="174" t="s">
        <v>72</v>
      </c>
      <c r="F31" s="175"/>
      <c r="G31" s="175"/>
      <c r="H31" s="176"/>
    </row>
    <row r="32" spans="2:9" ht="15" customHeight="1">
      <c r="B32" s="108">
        <v>24</v>
      </c>
      <c r="C32" s="142" t="s">
        <v>73</v>
      </c>
      <c r="E32" s="171" t="s">
        <v>74</v>
      </c>
      <c r="F32" s="172"/>
      <c r="G32" s="172"/>
      <c r="H32" s="173"/>
    </row>
    <row r="33" spans="2:8" ht="15" customHeight="1">
      <c r="B33" s="108">
        <v>25</v>
      </c>
      <c r="C33" s="144" t="s">
        <v>75</v>
      </c>
      <c r="E33" s="174" t="s">
        <v>76</v>
      </c>
      <c r="F33" s="175"/>
      <c r="G33" s="175"/>
      <c r="H33" s="176"/>
    </row>
    <row r="34" spans="2:8" ht="15" customHeight="1">
      <c r="B34" s="108">
        <v>26</v>
      </c>
      <c r="C34" s="143" t="s">
        <v>77</v>
      </c>
      <c r="E34" s="171" t="s">
        <v>78</v>
      </c>
      <c r="F34" s="172"/>
      <c r="G34" s="172"/>
      <c r="H34" s="173"/>
    </row>
    <row r="35" spans="2:8" ht="15" customHeight="1">
      <c r="B35" s="108">
        <v>27</v>
      </c>
      <c r="C35" s="111"/>
      <c r="E35" s="174" t="s">
        <v>79</v>
      </c>
      <c r="F35" s="175"/>
      <c r="G35" s="175"/>
      <c r="H35" s="176"/>
    </row>
    <row r="36" spans="2:8" ht="15" customHeight="1">
      <c r="B36" s="108">
        <v>28</v>
      </c>
      <c r="C36" s="111"/>
      <c r="E36" s="171" t="s">
        <v>80</v>
      </c>
      <c r="F36" s="172"/>
      <c r="G36" s="172"/>
      <c r="H36" s="173"/>
    </row>
    <row r="37" spans="2:8" ht="15" customHeight="1" thickBot="1">
      <c r="B37" s="108">
        <v>29</v>
      </c>
      <c r="C37" s="111"/>
      <c r="E37" s="174" t="s">
        <v>81</v>
      </c>
      <c r="F37" s="175"/>
      <c r="G37" s="175"/>
      <c r="H37" s="176"/>
    </row>
    <row r="38" spans="2:8" ht="15" customHeight="1" thickBot="1">
      <c r="B38" s="108">
        <v>30</v>
      </c>
      <c r="C38" s="111"/>
      <c r="E38" s="171" t="s">
        <v>82</v>
      </c>
      <c r="F38" s="172"/>
      <c r="G38" s="172"/>
      <c r="H38" s="173"/>
    </row>
    <row r="39" spans="2:8" ht="15" customHeight="1" thickBot="1">
      <c r="B39" s="108">
        <v>31</v>
      </c>
      <c r="C39" s="111"/>
      <c r="E39" s="174" t="s">
        <v>83</v>
      </c>
      <c r="F39" s="175"/>
      <c r="G39" s="175"/>
      <c r="H39" s="176"/>
    </row>
    <row r="40" spans="2:8" ht="15" customHeight="1" thickBot="1">
      <c r="B40" s="108">
        <v>32</v>
      </c>
      <c r="C40" s="111"/>
      <c r="E40" s="171" t="s">
        <v>84</v>
      </c>
      <c r="F40" s="172"/>
      <c r="G40" s="172"/>
      <c r="H40" s="173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>
      <c r="B42" s="108">
        <v>34</v>
      </c>
      <c r="C42" s="111"/>
      <c r="E42" s="115" t="str">
        <f>MID(E29,1,20)</f>
        <v>GRUPO#1  Glow Hair</v>
      </c>
      <c r="F42" s="116" t="str">
        <f>MID(E30,1,20)</f>
        <v>GRUPO#2 Vaps</v>
      </c>
      <c r="G42" s="116" t="str">
        <f>MID(E31,1,20)</f>
        <v>GRUPO#3 Dulce Origen</v>
      </c>
      <c r="H42" s="117" t="str">
        <f>MID(E32,1,20)</f>
        <v>GRUPO#4 Body Butters</v>
      </c>
    </row>
    <row r="43" spans="2:8" ht="15" customHeight="1">
      <c r="B43" s="108">
        <v>35</v>
      </c>
      <c r="C43" s="111"/>
      <c r="E43" s="118" t="s">
        <v>25</v>
      </c>
      <c r="F43" s="119" t="s">
        <v>39</v>
      </c>
      <c r="G43" s="119" t="s">
        <v>50</v>
      </c>
      <c r="H43" s="120" t="s">
        <v>62</v>
      </c>
    </row>
    <row r="44" spans="2:8" ht="15" customHeight="1">
      <c r="B44" s="108">
        <v>36</v>
      </c>
      <c r="C44" s="111"/>
      <c r="E44" s="121" t="s">
        <v>28</v>
      </c>
      <c r="F44" s="122" t="s">
        <v>41</v>
      </c>
      <c r="G44" s="122" t="s">
        <v>85</v>
      </c>
      <c r="H44" s="123" t="s">
        <v>63</v>
      </c>
    </row>
    <row r="45" spans="2:8" ht="15" customHeight="1">
      <c r="B45" s="108">
        <v>37</v>
      </c>
      <c r="C45" s="111"/>
      <c r="E45" s="124" t="s">
        <v>31</v>
      </c>
      <c r="F45" s="125" t="s">
        <v>43</v>
      </c>
      <c r="G45" s="125" t="s">
        <v>54</v>
      </c>
      <c r="H45" s="126" t="s">
        <v>64</v>
      </c>
    </row>
    <row r="46" spans="2:8" ht="15" customHeight="1">
      <c r="B46" s="108">
        <v>38</v>
      </c>
      <c r="C46" s="111"/>
      <c r="E46" s="121" t="s">
        <v>36</v>
      </c>
      <c r="F46" s="122" t="s">
        <v>45</v>
      </c>
      <c r="G46" s="122" t="s">
        <v>56</v>
      </c>
      <c r="H46" s="123" t="s">
        <v>65</v>
      </c>
    </row>
    <row r="47" spans="2:8" ht="15" customHeight="1">
      <c r="B47" s="108">
        <v>39</v>
      </c>
      <c r="C47" s="111"/>
      <c r="E47" s="124" t="s">
        <v>34</v>
      </c>
      <c r="F47" s="125" t="s">
        <v>47</v>
      </c>
      <c r="G47" s="125" t="s">
        <v>58</v>
      </c>
      <c r="H47" s="126" t="s">
        <v>67</v>
      </c>
    </row>
    <row r="48" spans="2:8" ht="15" customHeight="1">
      <c r="B48" s="108">
        <v>40</v>
      </c>
      <c r="C48" s="111"/>
      <c r="E48" s="127"/>
      <c r="F48" s="128"/>
      <c r="G48" s="128" t="s">
        <v>60</v>
      </c>
      <c r="H48" s="129"/>
    </row>
    <row r="49" spans="2:8" ht="15" customHeigh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Sibarita del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69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71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73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75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77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oOntVe7iaLWy2iejhWagwP3MEp0WnNgCG7tNJTSFyJVOTyUJ2emwfriynlk4SHbIk6T6wYzK33CFW4kjETDg1w==" saltValue="PEveSSPBAwBohQFEe8PV9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TALENTO HUMANO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CONCATENATE(LIDER!C4," - ",LIDER!C6," - ",LIDER!C5)</f>
        <v>TALENTO HUMANO - 3847 - ESTEFANIA MIRANDA PESTANA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4.4400000000000004</v>
      </c>
      <c r="F6" s="203">
        <v>4.5</v>
      </c>
      <c r="G6" s="200">
        <v>4.4000000000000004</v>
      </c>
      <c r="H6" s="198">
        <v>4.3</v>
      </c>
      <c r="I6" s="200">
        <v>4.5</v>
      </c>
      <c r="J6" s="198">
        <v>4.7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4.4400000000000004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4.4400000000000004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4.4400000000000004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4.4400000000000004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4.4000000000000004</v>
      </c>
      <c r="F13" s="203">
        <v>4.4000000000000004</v>
      </c>
      <c r="G13" s="200">
        <v>4.4000000000000004</v>
      </c>
      <c r="H13" s="198">
        <v>4.4000000000000004</v>
      </c>
      <c r="I13" s="200">
        <v>4.4000000000000004</v>
      </c>
      <c r="J13" s="198">
        <v>4.4000000000000004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4.4000000000000004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4.4000000000000004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4.4000000000000004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4.4000000000000004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4.4600000000000009</v>
      </c>
      <c r="F20" s="203">
        <v>4.5</v>
      </c>
      <c r="G20" s="200">
        <v>4.4000000000000004</v>
      </c>
      <c r="H20" s="198">
        <v>4.4000000000000004</v>
      </c>
      <c r="I20" s="200">
        <v>4.5</v>
      </c>
      <c r="J20" s="198">
        <v>4.5999999999999996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 t="s">
        <v>96</v>
      </c>
      <c r="E21" s="11" t="str">
        <f>IF(B21=0,0,IF(D21="",$F$20*LIDER!$H$9+$G$20*LIDER!$H$10+$H$20*LIDER!$H$11+$I$20*LIDER!$H$12+$J$20*LIDER!$H$13+$K$20*LIDER!$H$14+$L$20*LIDER!$H$15,"N"))</f>
        <v>N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4.4600000000000009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4.4600000000000009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4.4600000000000009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4.4600000000000009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4.4000000000000004</v>
      </c>
      <c r="F27" s="203">
        <v>4.4000000000000004</v>
      </c>
      <c r="G27" s="200">
        <v>4.4000000000000004</v>
      </c>
      <c r="H27" s="198">
        <v>4.4000000000000004</v>
      </c>
      <c r="I27" s="200">
        <v>4.4000000000000004</v>
      </c>
      <c r="J27" s="198">
        <v>4.4000000000000004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4.4000000000000004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4.4000000000000004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4.4000000000000004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4.4000000000000004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4.5999999999999996</v>
      </c>
      <c r="F34" s="203">
        <v>4.5999999999999996</v>
      </c>
      <c r="G34" s="200">
        <v>4.5999999999999996</v>
      </c>
      <c r="H34" s="198">
        <v>4.5999999999999996</v>
      </c>
      <c r="I34" s="200">
        <v>4.5999999999999996</v>
      </c>
      <c r="J34" s="198">
        <v>4.5999999999999996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4.5999999999999996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4.5999999999999996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4.5999999999999996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4.5999999999999996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5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ELECTIVA DE PROFUNDIZACION II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CONCATENATE(LIDER!D4," - ",LIDER!D6," - ",LIDER!D5)</f>
        <v>ELECTIVA DE PROFUNDIZACION II - 3850 - JEYSSON STEEVEN ANILLO CARRANZA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4.51</v>
      </c>
      <c r="F6" s="203">
        <v>4.4000000000000004</v>
      </c>
      <c r="G6" s="200">
        <v>4.5999999999999996</v>
      </c>
      <c r="H6" s="198">
        <v>4.5</v>
      </c>
      <c r="I6" s="200">
        <v>4.5</v>
      </c>
      <c r="J6" s="198">
        <v>4.5999999999999996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4.51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4.51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4.51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4.51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4.1800000000000006</v>
      </c>
      <c r="F13" s="203">
        <v>4.3</v>
      </c>
      <c r="G13" s="200">
        <v>4.2</v>
      </c>
      <c r="H13" s="198">
        <v>4</v>
      </c>
      <c r="I13" s="200">
        <v>4.4000000000000004</v>
      </c>
      <c r="J13" s="198">
        <v>4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4.1800000000000006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4.1800000000000006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4.1800000000000006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4.1800000000000006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4.2200000000000006</v>
      </c>
      <c r="F20" s="203">
        <v>4.2</v>
      </c>
      <c r="G20" s="200">
        <v>4.3</v>
      </c>
      <c r="H20" s="198">
        <v>4.4000000000000004</v>
      </c>
      <c r="I20" s="200">
        <v>4</v>
      </c>
      <c r="J20" s="198">
        <v>4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4.2200000000000006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4.2200000000000006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4.2200000000000006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4.2200000000000006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4.2200000000000006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4.4500000000000011</v>
      </c>
      <c r="F27" s="203">
        <v>4.5</v>
      </c>
      <c r="G27" s="200">
        <v>4.4000000000000004</v>
      </c>
      <c r="H27" s="198">
        <v>4.4000000000000004</v>
      </c>
      <c r="I27" s="200">
        <v>4.5</v>
      </c>
      <c r="J27" s="198">
        <v>4.5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4.4500000000000011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4.4500000000000011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4.4500000000000011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4.4500000000000011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4.57</v>
      </c>
      <c r="F34" s="203">
        <v>4.7</v>
      </c>
      <c r="G34" s="200">
        <v>4.5</v>
      </c>
      <c r="H34" s="198">
        <v>4.5999999999999996</v>
      </c>
      <c r="I34" s="200">
        <v>4.5</v>
      </c>
      <c r="J34" s="198">
        <v>4.5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4.57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4.57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4.57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4.57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8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MARKETING INTERNACIONAL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CONCATENATE(LIDER!E4," - ",LIDER!E6," - ",LIDER!E5)</f>
        <v>MARKETING INTERNACIONAL - 3851 - ROBERTH ALFONSO RODRIGUEZ VIZCAINO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4.6500000000000004</v>
      </c>
      <c r="F6" s="203">
        <v>4.5</v>
      </c>
      <c r="G6" s="200">
        <v>4.5</v>
      </c>
      <c r="H6" s="198">
        <v>4.5</v>
      </c>
      <c r="I6" s="200">
        <v>5</v>
      </c>
      <c r="J6" s="198">
        <v>5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4.6500000000000004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4.6500000000000004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4.6500000000000004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4.6500000000000004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4.66</v>
      </c>
      <c r="F13" s="203">
        <v>4.5</v>
      </c>
      <c r="G13" s="200">
        <v>4.4000000000000004</v>
      </c>
      <c r="H13" s="198">
        <v>4.5999999999999996</v>
      </c>
      <c r="I13" s="200">
        <v>5</v>
      </c>
      <c r="J13" s="198">
        <v>5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4.66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4.66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4.66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4.66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4.6500000000000004</v>
      </c>
      <c r="F20" s="203">
        <v>4.5</v>
      </c>
      <c r="G20" s="200">
        <v>4.5</v>
      </c>
      <c r="H20" s="198">
        <v>4.5</v>
      </c>
      <c r="I20" s="200">
        <v>5</v>
      </c>
      <c r="J20" s="198">
        <v>5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4.6500000000000004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4.6500000000000004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4.6500000000000004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4.6500000000000004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4.6500000000000004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4.72</v>
      </c>
      <c r="F27" s="203">
        <v>4.5999999999999996</v>
      </c>
      <c r="G27" s="200">
        <v>4.5999999999999996</v>
      </c>
      <c r="H27" s="198">
        <v>4.5999999999999996</v>
      </c>
      <c r="I27" s="200">
        <v>5</v>
      </c>
      <c r="J27" s="198">
        <v>5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4.72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4.72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4.72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4.72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4.55</v>
      </c>
      <c r="F34" s="203">
        <v>4.5999999999999996</v>
      </c>
      <c r="G34" s="200">
        <v>4.5</v>
      </c>
      <c r="H34" s="198">
        <v>4.5999999999999996</v>
      </c>
      <c r="I34" s="200">
        <v>4.5</v>
      </c>
      <c r="J34" s="198">
        <v>4.5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4.55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4.55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4.55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4.55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3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ELECTIVA LIBRE SOCIOHUMANÍS I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CONCATENATE(LIDER!F4," - ",LIDER!F6," - ",LIDER!F5)</f>
        <v>ELECTIVA LIBRE SOCIOHUMANÍS I - 3849 - BLANCA FLOREZ TABORDA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200"/>
      <c r="H6" s="198"/>
      <c r="I6" s="200"/>
      <c r="J6" s="198"/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200"/>
      <c r="H13" s="198"/>
      <c r="I13" s="200"/>
      <c r="J13" s="198"/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200"/>
      <c r="H34" s="198"/>
      <c r="I34" s="200"/>
      <c r="J34" s="198"/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CONCATENATE(LIDER!G4," - ",LIDER!G6," - ",LIDER!G5)</f>
        <v>ORGANIZACIÓN Y MÉTODOS DE TRAB - 3848 - LUIS ENRIQUE SCHNEIDER PALOMINO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203">
        <v>4.4000000000000004</v>
      </c>
      <c r="G6" s="200">
        <v>4.4000000000000004</v>
      </c>
      <c r="H6" s="198">
        <v>4.4000000000000004</v>
      </c>
      <c r="I6" s="200">
        <v>4.4000000000000004</v>
      </c>
      <c r="J6" s="198">
        <v>4.4000000000000004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3">
        <v>4</v>
      </c>
      <c r="G13" s="200">
        <v>4</v>
      </c>
      <c r="H13" s="198">
        <v>4</v>
      </c>
      <c r="I13" s="200">
        <v>4</v>
      </c>
      <c r="J13" s="198">
        <v>4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</v>
      </c>
      <c r="F20" s="203">
        <v>4.5</v>
      </c>
      <c r="G20" s="200">
        <v>4.5</v>
      </c>
      <c r="H20" s="198">
        <v>4.5</v>
      </c>
      <c r="I20" s="200">
        <v>4.5</v>
      </c>
      <c r="J20" s="198">
        <v>4.5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4.5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4.4000000000000004</v>
      </c>
      <c r="F27" s="203">
        <v>4.4000000000000004</v>
      </c>
      <c r="G27" s="200">
        <v>4.4000000000000004</v>
      </c>
      <c r="H27" s="198">
        <v>4.4000000000000004</v>
      </c>
      <c r="I27" s="200">
        <v>4.4000000000000004</v>
      </c>
      <c r="J27" s="198">
        <v>4.4000000000000004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4.4000000000000004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 t="s">
        <v>96</v>
      </c>
      <c r="E29" s="11" t="str">
        <f>IF(B29=0,0,IF(D29="",$F$27*LIDER!$H$9+$G$27*LIDER!$H$10+$H$27*LIDER!$H$11+$I$27*LIDER!$H$12+$J$27*LIDER!$H$13+$K$27*LIDER!$H$14+$L$27*LIDER!$H$15,"N"))</f>
        <v>N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 t="s">
        <v>96</v>
      </c>
      <c r="E30" s="11" t="str">
        <f>IF(B30=0,0,IF(D30="",$F$27*LIDER!$H$9+$G$27*LIDER!$H$10+$H$27*LIDER!$H$11+$I$27*LIDER!$H$12+$J$27*LIDER!$H$13+$K$27*LIDER!$H$14+$L$27*LIDER!$H$15,"N"))</f>
        <v>N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4.4000000000000004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</v>
      </c>
      <c r="F34" s="203">
        <v>4.5</v>
      </c>
      <c r="G34" s="200">
        <v>4.5</v>
      </c>
      <c r="H34" s="198">
        <v>4.5</v>
      </c>
      <c r="I34" s="200">
        <v>4.5</v>
      </c>
      <c r="J34" s="198">
        <v>4.5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 t="s">
        <v>96</v>
      </c>
      <c r="E37" s="11" t="str">
        <f>IF(B37=0,0,IF(D37="",$F$34*LIDER!$H$9+$G$34*LIDER!$H$10+$H$34*LIDER!$H$11+$I$34*LIDER!$H$12+$J$34*LIDER!$H$13+$K$34*LIDER!$H$14+$L$34*LIDER!$H$15,"N"))</f>
        <v>N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 t="s">
        <v>96</v>
      </c>
      <c r="E38" s="11" t="str">
        <f>IF(B38=0,0,IF(D38="",$F$34*LIDER!$H$9+$G$34*LIDER!$H$10+$H$34*LIDER!$H$11+$I$34*LIDER!$H$12+$J$34*LIDER!$H$13+$K$34*LIDER!$H$14+$L$34*LIDER!$H$15,"N"))</f>
        <v>N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LIDER!H4</f>
        <v>0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CONCATENATE(LIDER!H4," - ",LIDER!H6," - ",LIDER!H5)</f>
        <v xml:space="preserve"> -  - 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200"/>
      <c r="H6" s="198"/>
      <c r="I6" s="200"/>
      <c r="J6" s="198"/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200"/>
      <c r="H13" s="198"/>
      <c r="I13" s="200"/>
      <c r="J13" s="198"/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200"/>
      <c r="H34" s="198"/>
      <c r="I34" s="200"/>
      <c r="J34" s="198"/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20" sqref="F20:F25"/>
      <selection pane="bottomLeft" activeCell="F20" sqref="F20:F25"/>
      <selection pane="topRight" activeCell="F20" sqref="F20:F2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>
        <f>LIDER!I4</f>
        <v>0</v>
      </c>
      <c r="C2" s="82"/>
      <c r="D2" s="3"/>
      <c r="F2" s="208" t="s">
        <v>86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CONCATENATE(LIDER!I4," - ",LIDER!I6," - ",LIDER!I5)</f>
        <v xml:space="preserve"> -  - 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88</v>
      </c>
      <c r="C5" s="88" t="s">
        <v>89</v>
      </c>
      <c r="D5" s="32" t="s">
        <v>90</v>
      </c>
      <c r="E5" s="89" t="s">
        <v>91</v>
      </c>
      <c r="F5" s="202" t="str">
        <f>LIDER!$E$29</f>
        <v>GRUPO#1  Glow Hair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>Nicole Blanquicett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200"/>
      <c r="H6" s="198"/>
      <c r="I6" s="200"/>
      <c r="J6" s="198"/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Sebastián Castillo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Gabriela Ching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>Shereine Tovar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>María Angélica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92</v>
      </c>
      <c r="C12" s="88" t="s">
        <v>93</v>
      </c>
      <c r="D12" s="32" t="str">
        <f>D5</f>
        <v>LIST</v>
      </c>
      <c r="E12" s="89" t="s">
        <v>91</v>
      </c>
      <c r="F12" s="202" t="str">
        <f>LIDER!$E$30</f>
        <v>GRUPO#2 Vaps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 xml:space="preserve">Brayer David Altamiranda Morales 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200"/>
      <c r="H13" s="198"/>
      <c r="I13" s="200"/>
      <c r="J13" s="198"/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Luis Alberto Campo Ospino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Brayan Smith Cantillo González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Ayleen Patricia Herbales Puerta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>Alexander Ruiz Guzman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94</v>
      </c>
      <c r="C19" s="88" t="s">
        <v>95</v>
      </c>
      <c r="D19" s="32" t="str">
        <f>D12</f>
        <v>LIST</v>
      </c>
      <c r="E19" s="89" t="s">
        <v>91</v>
      </c>
      <c r="F19" s="202" t="str">
        <f>LIDER!$E$31</f>
        <v>GRUPO#3 Dulce Origen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Katerin sofia Ceballos Fernández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Elver Javier consuegra Conde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 t="str">
        <f>LIDER!G45</f>
        <v xml:space="preserve">Juliana Díaz Pérez 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 t="str">
        <f>LIDER!G46</f>
        <v xml:space="preserve">Rut Elena Montoya Ávila 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 t="str">
        <f>LIDER!G47</f>
        <v xml:space="preserve">Daniela Ramírez Aguirre 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 t="str">
        <f>LIDER!G48</f>
        <v xml:space="preserve"> Jhoiny Luz Valdes González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91</v>
      </c>
      <c r="F26" s="202" t="str">
        <f>LIDER!$E$32</f>
        <v>GRUPO#4 Body Butters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>Jeraldine Ramirez Arteaga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>Aisha Carmona Diaz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>Danna Orozco Torres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 t="str">
        <f>LIDER!H46</f>
        <v>Heidy Herrera Pertuz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 t="str">
        <f>LIDER!H47</f>
        <v xml:space="preserve">Nicolle Rodríguez 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91</v>
      </c>
      <c r="F33" s="202" t="str">
        <f>LIDER!$E$33</f>
        <v>GRUPO#5 Sibarita del Mar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>Maria Camila Guzman Alvarez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200"/>
      <c r="H34" s="198"/>
      <c r="I34" s="200"/>
      <c r="J34" s="198"/>
      <c r="K34" s="200"/>
      <c r="L34" s="198"/>
    </row>
    <row r="35" spans="1:12" s="2" customFormat="1" ht="15" customHeight="1">
      <c r="A35" s="12">
        <v>2</v>
      </c>
      <c r="B35" s="10" t="str">
        <f>LIDER!E52</f>
        <v>Jhoan Arturo Posada Franco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>Grissell Tayrama Rodrguez Solarte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>Yeifel aguilar alcala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>Zaid zamudio morelo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78</v>
      </c>
      <c r="C40" s="88" t="s">
        <v>101</v>
      </c>
      <c r="D40" s="32" t="str">
        <f>D33</f>
        <v>LIST</v>
      </c>
      <c r="E40" s="89" t="s">
        <v>91</v>
      </c>
      <c r="F40" s="202" t="str">
        <f>LIDER!$E$34</f>
        <v>GRUPO#6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79</v>
      </c>
      <c r="C47" s="88" t="s">
        <v>102</v>
      </c>
      <c r="D47" s="32" t="str">
        <f>D40</f>
        <v>LIST</v>
      </c>
      <c r="E47" s="89" t="s">
        <v>91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80</v>
      </c>
      <c r="C54" s="88" t="s">
        <v>103</v>
      </c>
      <c r="D54" s="32" t="str">
        <f>D47</f>
        <v>LIST</v>
      </c>
      <c r="E54" s="89" t="s">
        <v>91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81</v>
      </c>
      <c r="C61" s="88" t="s">
        <v>104</v>
      </c>
      <c r="D61" s="32" t="str">
        <f>D54</f>
        <v>LIST</v>
      </c>
      <c r="E61" s="89" t="s">
        <v>91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82</v>
      </c>
      <c r="C68" s="88" t="s">
        <v>105</v>
      </c>
      <c r="D68" s="32" t="str">
        <f>D61</f>
        <v>LIST</v>
      </c>
      <c r="E68" s="89" t="s">
        <v>91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83</v>
      </c>
      <c r="C75" s="88" t="s">
        <v>106</v>
      </c>
      <c r="D75" s="32" t="str">
        <f>D68</f>
        <v>LIST</v>
      </c>
      <c r="E75" s="89" t="s">
        <v>91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84</v>
      </c>
      <c r="C82" s="88" t="s">
        <v>107</v>
      </c>
      <c r="D82" s="32" t="str">
        <f>D75</f>
        <v>LIST</v>
      </c>
      <c r="E82" s="89" t="s">
        <v>91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36" activePane="bottomRight" state="frozen"/>
      <selection pane="bottomRight" activeCell="E34" sqref="E34:I39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TALENTO HUMANO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CONCATENATE(LIDER!C4," - ",LIDER!C6," - ",LIDER!C5)</f>
        <v>TALENTO HUMANO - 3847 - ESTEFANIA MIRANDA PESTANA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2" t="str">
        <f>IF('S-ASIG-01'!D5="","",'S-ASIG-01'!D5)</f>
        <v>LIST</v>
      </c>
      <c r="D5" s="35" t="s">
        <v>91</v>
      </c>
      <c r="E5" s="216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4.07</v>
      </c>
      <c r="E6" s="212">
        <v>4.5</v>
      </c>
      <c r="F6" s="24">
        <v>4.5999999999999996</v>
      </c>
      <c r="G6" s="24">
        <v>4.4000000000000004</v>
      </c>
      <c r="H6" s="24">
        <v>4.5999999999999996</v>
      </c>
      <c r="I6" s="24">
        <v>4.5999999999999996</v>
      </c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4.07</v>
      </c>
      <c r="E7" s="212"/>
      <c r="F7" s="18">
        <v>4.5999999999999996</v>
      </c>
      <c r="G7" s="18">
        <v>4.4000000000000004</v>
      </c>
      <c r="H7" s="18">
        <v>4.5999999999999996</v>
      </c>
      <c r="I7" s="18">
        <v>4.5999999999999996</v>
      </c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4.07</v>
      </c>
      <c r="E8" s="212"/>
      <c r="F8" s="18">
        <v>4.5999999999999996</v>
      </c>
      <c r="G8" s="18">
        <v>4.4000000000000004</v>
      </c>
      <c r="H8" s="18">
        <v>4.5999999999999996</v>
      </c>
      <c r="I8" s="18">
        <v>4.5999999999999996</v>
      </c>
      <c r="J8" s="18"/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4.07</v>
      </c>
      <c r="E9" s="212"/>
      <c r="F9" s="18">
        <v>4.5999999999999996</v>
      </c>
      <c r="G9" s="18">
        <v>4.4000000000000004</v>
      </c>
      <c r="H9" s="18">
        <v>4.5999999999999996</v>
      </c>
      <c r="I9" s="18">
        <v>4.5999999999999996</v>
      </c>
      <c r="J9" s="18"/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4.07</v>
      </c>
      <c r="E10" s="212"/>
      <c r="F10" s="18">
        <v>4.5999999999999996</v>
      </c>
      <c r="G10" s="18">
        <v>4.4000000000000004</v>
      </c>
      <c r="H10" s="18">
        <v>4.5999999999999996</v>
      </c>
      <c r="I10" s="18">
        <v>4.5999999999999996</v>
      </c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2"/>
      <c r="F11" s="26">
        <v>4.5999999999999996</v>
      </c>
      <c r="G11" s="26">
        <v>4.4000000000000004</v>
      </c>
      <c r="H11" s="26">
        <v>4.5999999999999996</v>
      </c>
      <c r="I11" s="26">
        <v>4.5999999999999996</v>
      </c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IF('S-ASIG-01'!D12="","",'S-ASIG-01'!D12)</f>
        <v>LIST</v>
      </c>
      <c r="D12" s="35" t="s">
        <v>91</v>
      </c>
      <c r="E12" s="216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4.17</v>
      </c>
      <c r="E13" s="212">
        <v>4.5</v>
      </c>
      <c r="F13" s="24">
        <v>4.8</v>
      </c>
      <c r="G13" s="24">
        <v>4.8</v>
      </c>
      <c r="H13" s="24">
        <v>4.8</v>
      </c>
      <c r="I13" s="24">
        <v>4.8</v>
      </c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4.13</v>
      </c>
      <c r="E14" s="212"/>
      <c r="F14" s="18">
        <v>4.7</v>
      </c>
      <c r="G14" s="18">
        <v>4.7</v>
      </c>
      <c r="H14" s="18">
        <v>4.7</v>
      </c>
      <c r="I14" s="18">
        <v>4.7</v>
      </c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4.13</v>
      </c>
      <c r="E15" s="212"/>
      <c r="F15" s="18">
        <v>4.7</v>
      </c>
      <c r="G15" s="18">
        <v>4.7</v>
      </c>
      <c r="H15" s="18">
        <v>4.7</v>
      </c>
      <c r="I15" s="18">
        <v>4.7</v>
      </c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4.13</v>
      </c>
      <c r="E16" s="212"/>
      <c r="F16" s="18">
        <v>4.7</v>
      </c>
      <c r="G16" s="18">
        <v>4.7</v>
      </c>
      <c r="H16" s="18">
        <v>4.7</v>
      </c>
      <c r="I16" s="18">
        <v>4.7</v>
      </c>
      <c r="J16" s="18"/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4.13</v>
      </c>
      <c r="E17" s="212"/>
      <c r="F17" s="18">
        <v>4.7</v>
      </c>
      <c r="G17" s="18">
        <v>4.7</v>
      </c>
      <c r="H17" s="18">
        <v>4.7</v>
      </c>
      <c r="I17" s="18">
        <v>4.7</v>
      </c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2"/>
      <c r="F18" s="26">
        <v>4.7</v>
      </c>
      <c r="G18" s="26">
        <v>4.7</v>
      </c>
      <c r="H18" s="26">
        <v>4.7</v>
      </c>
      <c r="I18" s="26">
        <v>4.7</v>
      </c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IF('S-ASIG-01'!D19="","",'S-ASIG-01'!D19)</f>
        <v>LIST</v>
      </c>
      <c r="D19" s="35" t="s">
        <v>91</v>
      </c>
      <c r="E19" s="216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4.1500000000000004</v>
      </c>
      <c r="E20" s="212">
        <v>4.7</v>
      </c>
      <c r="F20" s="24">
        <v>4.5</v>
      </c>
      <c r="G20" s="24">
        <v>4.5</v>
      </c>
      <c r="H20" s="24">
        <v>4.5</v>
      </c>
      <c r="I20" s="24">
        <v>4.5</v>
      </c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IF('S-ASIG-01'!D21="","",'S-ASIG-01'!D21)</f>
        <v>N</v>
      </c>
      <c r="D21" s="30" t="str">
        <f>IF(B21=0,"",IF(C21="",$E$20*LIDER!$H$19+F21*LIDER!$H$20+G21*LIDER!$H$21+H21*LIDER!$H$22+I21*LIDER!$H$23+J21*LIDER!$H$24+K21*LIDER!$H$25,"N"))</f>
        <v>N</v>
      </c>
      <c r="E21" s="212"/>
      <c r="F21" s="18">
        <v>4.5</v>
      </c>
      <c r="G21" s="18">
        <v>4.5</v>
      </c>
      <c r="H21" s="18">
        <v>4.5</v>
      </c>
      <c r="I21" s="18">
        <v>4.5</v>
      </c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4.1500000000000004</v>
      </c>
      <c r="E22" s="212"/>
      <c r="F22" s="18">
        <v>4.5</v>
      </c>
      <c r="G22" s="18">
        <v>4.5</v>
      </c>
      <c r="H22" s="18">
        <v>4.5</v>
      </c>
      <c r="I22" s="18">
        <v>4.5</v>
      </c>
      <c r="J22" s="18"/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4.1500000000000004</v>
      </c>
      <c r="E23" s="212"/>
      <c r="F23" s="18">
        <v>4.5</v>
      </c>
      <c r="G23" s="18">
        <v>4.5</v>
      </c>
      <c r="H23" s="18">
        <v>4.5</v>
      </c>
      <c r="I23" s="18">
        <v>4.5</v>
      </c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4.1500000000000004</v>
      </c>
      <c r="E24" s="212"/>
      <c r="F24" s="18">
        <v>4.5</v>
      </c>
      <c r="G24" s="18">
        <v>4.5</v>
      </c>
      <c r="H24" s="18">
        <v>4.5</v>
      </c>
      <c r="I24" s="18">
        <v>4.5</v>
      </c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4.1500000000000004</v>
      </c>
      <c r="E25" s="212"/>
      <c r="F25" s="26">
        <v>4.5</v>
      </c>
      <c r="G25" s="26">
        <v>4.5</v>
      </c>
      <c r="H25" s="26">
        <v>4.5</v>
      </c>
      <c r="I25" s="26">
        <v>4.5</v>
      </c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IF('S-ASIG-01'!D26="","",'S-ASIG-01'!D26)</f>
        <v>LIST</v>
      </c>
      <c r="D26" s="35" t="s">
        <v>91</v>
      </c>
      <c r="E26" s="216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4.05</v>
      </c>
      <c r="E27" s="212">
        <v>4.5</v>
      </c>
      <c r="F27" s="24">
        <v>4.5</v>
      </c>
      <c r="G27" s="24">
        <v>4.5</v>
      </c>
      <c r="H27" s="24">
        <v>4.5</v>
      </c>
      <c r="I27" s="24">
        <v>4.5</v>
      </c>
      <c r="J27" s="24"/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4.05</v>
      </c>
      <c r="E28" s="212"/>
      <c r="F28" s="18">
        <v>4.5</v>
      </c>
      <c r="G28" s="18">
        <v>4.5</v>
      </c>
      <c r="H28" s="18">
        <v>4.5</v>
      </c>
      <c r="I28" s="18">
        <v>4.5</v>
      </c>
      <c r="J28" s="18"/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4.05</v>
      </c>
      <c r="E29" s="212"/>
      <c r="F29" s="18">
        <v>4.5</v>
      </c>
      <c r="G29" s="18">
        <v>4.5</v>
      </c>
      <c r="H29" s="18">
        <v>4.5</v>
      </c>
      <c r="I29" s="18">
        <v>4.5</v>
      </c>
      <c r="J29" s="18"/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4.05</v>
      </c>
      <c r="E30" s="212"/>
      <c r="F30" s="18">
        <v>4.5</v>
      </c>
      <c r="G30" s="18">
        <v>4.5</v>
      </c>
      <c r="H30" s="18">
        <v>4.5</v>
      </c>
      <c r="I30" s="18">
        <v>4.5</v>
      </c>
      <c r="J30" s="18"/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4.05</v>
      </c>
      <c r="E31" s="212"/>
      <c r="F31" s="18">
        <v>4.5</v>
      </c>
      <c r="G31" s="18">
        <v>4.5</v>
      </c>
      <c r="H31" s="18">
        <v>4.5</v>
      </c>
      <c r="I31" s="18">
        <v>4.5</v>
      </c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2"/>
      <c r="F32" s="26">
        <v>4.5</v>
      </c>
      <c r="G32" s="26">
        <v>4.5</v>
      </c>
      <c r="H32" s="26">
        <v>4.5</v>
      </c>
      <c r="I32" s="26">
        <v>4.5</v>
      </c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IF('S-ASIG-01'!D33="","",'S-ASIG-01'!D33)</f>
        <v>LIST</v>
      </c>
      <c r="D33" s="35" t="s">
        <v>91</v>
      </c>
      <c r="E33" s="216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3.88</v>
      </c>
      <c r="E34" s="212">
        <v>4.4000000000000004</v>
      </c>
      <c r="F34" s="24">
        <v>4.2</v>
      </c>
      <c r="G34" s="24">
        <v>4.2</v>
      </c>
      <c r="H34" s="24">
        <v>4.2</v>
      </c>
      <c r="I34" s="24">
        <v>4.2</v>
      </c>
      <c r="J34" s="24"/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3.88</v>
      </c>
      <c r="E35" s="212"/>
      <c r="F35" s="18">
        <v>4.2</v>
      </c>
      <c r="G35" s="18">
        <v>4.2</v>
      </c>
      <c r="H35" s="18">
        <v>4.2</v>
      </c>
      <c r="I35" s="18">
        <v>4.2</v>
      </c>
      <c r="J35" s="18"/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3.88</v>
      </c>
      <c r="E36" s="212"/>
      <c r="F36" s="18">
        <v>4.2</v>
      </c>
      <c r="G36" s="18">
        <v>4.2</v>
      </c>
      <c r="H36" s="18">
        <v>4.2</v>
      </c>
      <c r="I36" s="18">
        <v>4.2</v>
      </c>
      <c r="J36" s="18"/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3.88</v>
      </c>
      <c r="E37" s="212"/>
      <c r="F37" s="18">
        <v>4.2</v>
      </c>
      <c r="G37" s="18">
        <v>4.2</v>
      </c>
      <c r="H37" s="18">
        <v>4.2</v>
      </c>
      <c r="I37" s="18">
        <v>4.2</v>
      </c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3.88</v>
      </c>
      <c r="E38" s="212"/>
      <c r="F38" s="18">
        <v>4.2</v>
      </c>
      <c r="G38" s="18">
        <v>4.2</v>
      </c>
      <c r="H38" s="18">
        <v>4.2</v>
      </c>
      <c r="I38" s="18">
        <v>4.2</v>
      </c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2"/>
      <c r="F39" s="26">
        <v>4.2</v>
      </c>
      <c r="G39" s="26">
        <v>4.2</v>
      </c>
      <c r="H39" s="26">
        <v>4.2</v>
      </c>
      <c r="I39" s="26">
        <v>4.2</v>
      </c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IF('S-ASIG-01'!D40="","",'S-ASIG-01'!D40)</f>
        <v>LIST</v>
      </c>
      <c r="D40" s="35" t="s">
        <v>91</v>
      </c>
      <c r="E40" s="216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IF('S-ASIG-01'!D47="","",'S-ASIG-01'!D47)</f>
        <v>LIST</v>
      </c>
      <c r="D47" s="35" t="s">
        <v>91</v>
      </c>
      <c r="E47" s="216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IF('S-ASIG-01'!D54="","",'S-ASIG-01'!D54)</f>
        <v>LIST</v>
      </c>
      <c r="D54" s="35" t="s">
        <v>91</v>
      </c>
      <c r="E54" s="216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IF('S-ASIG-01'!D61="","",'S-ASIG-01'!D61)</f>
        <v>LIST</v>
      </c>
      <c r="D61" s="35" t="s">
        <v>91</v>
      </c>
      <c r="E61" s="216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IF('S-ASIG-01'!D68="","",'S-ASIG-01'!D68)</f>
        <v>LIST</v>
      </c>
      <c r="D68" s="35" t="s">
        <v>91</v>
      </c>
      <c r="E68" s="216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IF('S-ASIG-01'!D75="","",'S-ASIG-01'!D75)</f>
        <v>LIST</v>
      </c>
      <c r="D75" s="35" t="s">
        <v>91</v>
      </c>
      <c r="E75" s="216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IF('S-ASIG-01'!D82="","",'S-ASIG-01'!D82)</f>
        <v>LIST</v>
      </c>
      <c r="D82" s="35" t="s">
        <v>91</v>
      </c>
      <c r="E82" s="216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7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F18" activePane="bottomRight" state="frozen"/>
      <selection pane="bottomRight" activeCell="G20" sqref="G20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ELECTIVA DE PROFUNDIZACION II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CONCATENATE(LIDER!D4," - ",LIDER!D6," - ",LIDER!D5)</f>
        <v>ELECTIVA DE PROFUNDIZACION II - 3850 - JEYSSON STEEVEN ANILLO CARRANZA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IF('S-ASIG-02'!D5="","",'S-ASIG-02'!D5)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4.53</v>
      </c>
      <c r="E6" s="200">
        <v>4.5</v>
      </c>
      <c r="F6" s="24">
        <v>4.5999999999999996</v>
      </c>
      <c r="G6" s="24">
        <v>4.4000000000000004</v>
      </c>
      <c r="H6" s="24">
        <v>4.5999999999999996</v>
      </c>
      <c r="I6" s="24">
        <v>4.5999999999999996</v>
      </c>
      <c r="J6" s="24">
        <v>4.5999999999999996</v>
      </c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4.53</v>
      </c>
      <c r="E7" s="200"/>
      <c r="F7" s="18">
        <v>4.5999999999999996</v>
      </c>
      <c r="G7" s="18">
        <v>4.4000000000000004</v>
      </c>
      <c r="H7" s="18">
        <v>4.5999999999999996</v>
      </c>
      <c r="I7" s="18">
        <v>4.5999999999999996</v>
      </c>
      <c r="J7" s="18">
        <v>4.5999999999999996</v>
      </c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4.53</v>
      </c>
      <c r="E8" s="200"/>
      <c r="F8" s="18">
        <v>4.5999999999999996</v>
      </c>
      <c r="G8" s="18">
        <v>4.4000000000000004</v>
      </c>
      <c r="H8" s="18">
        <v>4.5999999999999996</v>
      </c>
      <c r="I8" s="18">
        <v>4.5999999999999996</v>
      </c>
      <c r="J8" s="18">
        <v>4.5999999999999996</v>
      </c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4.53</v>
      </c>
      <c r="E9" s="200"/>
      <c r="F9" s="18">
        <v>4.5999999999999996</v>
      </c>
      <c r="G9" s="18">
        <v>4.4000000000000004</v>
      </c>
      <c r="H9" s="18">
        <v>4.5999999999999996</v>
      </c>
      <c r="I9" s="18">
        <v>4.5999999999999996</v>
      </c>
      <c r="J9" s="18">
        <v>4.5999999999999996</v>
      </c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4.53</v>
      </c>
      <c r="E10" s="200"/>
      <c r="F10" s="18">
        <v>4.5999999999999996</v>
      </c>
      <c r="G10" s="18">
        <v>4.4000000000000004</v>
      </c>
      <c r="H10" s="18">
        <v>4.5999999999999996</v>
      </c>
      <c r="I10" s="18">
        <v>4.5999999999999996</v>
      </c>
      <c r="J10" s="18">
        <v>4.5999999999999996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>
        <v>4.5999999999999996</v>
      </c>
      <c r="G11" s="26">
        <v>4.4000000000000004</v>
      </c>
      <c r="H11" s="26">
        <v>4.5999999999999996</v>
      </c>
      <c r="I11" s="26">
        <v>4.5999999999999996</v>
      </c>
      <c r="J11" s="26">
        <v>4.5999999999999996</v>
      </c>
      <c r="K11" s="26"/>
    </row>
    <row r="12" spans="1:11" s="2" customFormat="1" ht="15.75" customHeight="1" thickBot="1">
      <c r="A12" s="8"/>
      <c r="B12" s="27" t="s">
        <v>92</v>
      </c>
      <c r="C12" s="32" t="str">
        <f>IF('S-ASIG-02'!D12="","",'S-ASIG-02'!D12)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4.6500000000000004</v>
      </c>
      <c r="E13" s="200">
        <v>4.5</v>
      </c>
      <c r="F13" s="24">
        <v>4.8</v>
      </c>
      <c r="G13" s="24">
        <v>4.8</v>
      </c>
      <c r="H13" s="24">
        <v>4.8</v>
      </c>
      <c r="I13" s="24">
        <v>4.8</v>
      </c>
      <c r="J13" s="24">
        <v>4.8</v>
      </c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4.5999999999999996</v>
      </c>
      <c r="E14" s="200"/>
      <c r="F14" s="18">
        <v>4.7</v>
      </c>
      <c r="G14" s="18">
        <v>4.7</v>
      </c>
      <c r="H14" s="18">
        <v>4.7</v>
      </c>
      <c r="I14" s="18">
        <v>4.7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4.5999999999999996</v>
      </c>
      <c r="E15" s="200"/>
      <c r="F15" s="18">
        <v>4.7</v>
      </c>
      <c r="G15" s="18">
        <v>4.7</v>
      </c>
      <c r="H15" s="18">
        <v>4.7</v>
      </c>
      <c r="I15" s="18">
        <v>4.7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4.5999999999999996</v>
      </c>
      <c r="E16" s="200"/>
      <c r="F16" s="18">
        <v>4.7</v>
      </c>
      <c r="G16" s="18">
        <v>4.7</v>
      </c>
      <c r="H16" s="18">
        <v>4.7</v>
      </c>
      <c r="I16" s="18">
        <v>4.7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4.5999999999999996</v>
      </c>
      <c r="E17" s="200"/>
      <c r="F17" s="18">
        <v>4.7</v>
      </c>
      <c r="G17" s="18">
        <v>4.7</v>
      </c>
      <c r="H17" s="18">
        <v>4.7</v>
      </c>
      <c r="I17" s="18">
        <v>4.7</v>
      </c>
      <c r="J17" s="18">
        <v>4.7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>
        <v>4.7</v>
      </c>
      <c r="G18" s="26">
        <v>4.7</v>
      </c>
      <c r="H18" s="26">
        <v>4.7</v>
      </c>
      <c r="I18" s="26">
        <v>4.7</v>
      </c>
      <c r="J18" s="26">
        <v>4.7</v>
      </c>
      <c r="K18" s="26"/>
    </row>
    <row r="19" spans="1:11" s="2" customFormat="1" ht="15.75" customHeight="1" thickBot="1">
      <c r="A19" s="14"/>
      <c r="B19" s="27" t="s">
        <v>94</v>
      </c>
      <c r="C19" s="32" t="str">
        <f>IF('S-ASIG-02'!D19="","",'S-ASIG-02'!D19)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4.6000000000000005</v>
      </c>
      <c r="E20" s="200">
        <v>4.7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2.35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4.6000000000000005</v>
      </c>
      <c r="E22" s="200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4.6000000000000005</v>
      </c>
      <c r="E23" s="200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4.6000000000000005</v>
      </c>
      <c r="E24" s="200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4.6000000000000005</v>
      </c>
      <c r="E25" s="200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97</v>
      </c>
      <c r="C26" s="32" t="str">
        <f>IF('S-ASIG-02'!D26="","",'S-ASIG-02'!D26)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4.5</v>
      </c>
      <c r="E27" s="200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4.5</v>
      </c>
      <c r="E28" s="200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4.5</v>
      </c>
      <c r="E29" s="200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4.5</v>
      </c>
      <c r="E30" s="200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4.5</v>
      </c>
      <c r="E31" s="200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>
        <v>4.5</v>
      </c>
      <c r="G32" s="26">
        <v>4.5</v>
      </c>
      <c r="H32" s="26">
        <v>4.5</v>
      </c>
      <c r="I32" s="26">
        <v>4.5</v>
      </c>
      <c r="J32" s="26">
        <v>4.5</v>
      </c>
      <c r="K32" s="26"/>
    </row>
    <row r="33" spans="1:11" s="2" customFormat="1" ht="15.75" customHeight="1" thickBot="1">
      <c r="A33" s="14"/>
      <c r="B33" s="27" t="s">
        <v>99</v>
      </c>
      <c r="C33" s="32" t="str">
        <f>IF('S-ASIG-02'!D33="","",'S-ASIG-02'!D33)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4.3</v>
      </c>
      <c r="E34" s="200">
        <v>4.4000000000000004</v>
      </c>
      <c r="F34" s="24">
        <v>4.2</v>
      </c>
      <c r="G34" s="24">
        <v>4.2</v>
      </c>
      <c r="H34" s="24">
        <v>4.2</v>
      </c>
      <c r="I34" s="24">
        <v>4.2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4.3</v>
      </c>
      <c r="E35" s="200"/>
      <c r="F35" s="18">
        <v>4.2</v>
      </c>
      <c r="G35" s="18">
        <v>4.2</v>
      </c>
      <c r="H35" s="18">
        <v>4.2</v>
      </c>
      <c r="I35" s="18">
        <v>4.2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4.3</v>
      </c>
      <c r="E36" s="200"/>
      <c r="F36" s="18">
        <v>4.2</v>
      </c>
      <c r="G36" s="18">
        <v>4.2</v>
      </c>
      <c r="H36" s="18">
        <v>4.2</v>
      </c>
      <c r="I36" s="18">
        <v>4.2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4.3</v>
      </c>
      <c r="E37" s="200"/>
      <c r="F37" s="18">
        <v>4.2</v>
      </c>
      <c r="G37" s="18">
        <v>4.2</v>
      </c>
      <c r="H37" s="18">
        <v>4.2</v>
      </c>
      <c r="I37" s="18">
        <v>4.2</v>
      </c>
      <c r="J37" s="18">
        <v>4.2</v>
      </c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4.3</v>
      </c>
      <c r="E38" s="200"/>
      <c r="F38" s="18">
        <v>4.2</v>
      </c>
      <c r="G38" s="18">
        <v>4.2</v>
      </c>
      <c r="H38" s="18">
        <v>4.2</v>
      </c>
      <c r="I38" s="18">
        <v>4.2</v>
      </c>
      <c r="J38" s="18">
        <v>4.2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>
        <v>4.2</v>
      </c>
      <c r="G39" s="26">
        <v>4.2</v>
      </c>
      <c r="H39" s="26">
        <v>4.2</v>
      </c>
      <c r="I39" s="26">
        <v>4.2</v>
      </c>
      <c r="J39" s="26">
        <v>4.2</v>
      </c>
      <c r="K39" s="26"/>
    </row>
    <row r="40" spans="1:11" s="2" customFormat="1" ht="15.75" customHeight="1" thickBot="1">
      <c r="A40" s="14"/>
      <c r="B40" s="27" t="s">
        <v>78</v>
      </c>
      <c r="C40" s="32" t="str">
        <f>IF('S-ASIG-02'!D40="","",'S-ASIG-02'!D40)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IF('S-ASIG-02'!D47="","",'S-ASIG-02'!D47)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IF('S-ASIG-02'!D54="","",'S-ASIG-02'!D54)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IF('S-ASIG-02'!D61="","",'S-ASIG-02'!D61)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IF('S-ASIG-02'!D68="","",'S-ASIG-02'!D68)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IF('S-ASIG-02'!D75="","",'S-ASIG-02'!D75)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IF('S-ASIG-02'!D82="","",'S-ASIG-02'!D82)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H17" activePane="bottomRight" state="frozen"/>
      <selection pane="bottomRight" activeCell="K21" sqref="K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MARKETING INTERNACIONAL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CONCATENATE(LIDER!E4," - ",LIDER!E6," - ",LIDER!E5)</f>
        <v>MARKETING INTERNACIONAL - 3851 - ROBERTH ALFONSO RODRIGUEZ VIZCAINO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IF('S-ASIG-03'!D5="","",'S-ASIG-03'!D5)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4.6000000000000005</v>
      </c>
      <c r="E6" s="200">
        <v>4.7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4.6000000000000005</v>
      </c>
      <c r="E7" s="200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4.75</v>
      </c>
      <c r="E8" s="200"/>
      <c r="F8" s="18">
        <v>4.8</v>
      </c>
      <c r="G8" s="18">
        <v>4.8</v>
      </c>
      <c r="H8" s="18">
        <v>4.8</v>
      </c>
      <c r="I8" s="18">
        <v>4.8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4.6000000000000005</v>
      </c>
      <c r="E9" s="200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4.6000000000000005</v>
      </c>
      <c r="E10" s="200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IF('S-ASIG-03'!D12="","",'S-ASIG-03'!D12)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4.45</v>
      </c>
      <c r="E13" s="200">
        <v>4.5</v>
      </c>
      <c r="F13" s="24">
        <v>4.4000000000000004</v>
      </c>
      <c r="G13" s="24">
        <v>4.4000000000000004</v>
      </c>
      <c r="H13" s="24">
        <v>4.4000000000000004</v>
      </c>
      <c r="I13" s="24">
        <v>4.4000000000000004</v>
      </c>
      <c r="J13" s="24">
        <v>4.4000000000000004</v>
      </c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4.45</v>
      </c>
      <c r="E14" s="200"/>
      <c r="F14" s="18">
        <v>4.4000000000000004</v>
      </c>
      <c r="G14" s="18">
        <v>4.4000000000000004</v>
      </c>
      <c r="H14" s="18">
        <v>4.4000000000000004</v>
      </c>
      <c r="I14" s="18">
        <v>4.4000000000000004</v>
      </c>
      <c r="J14" s="18">
        <v>4.4000000000000004</v>
      </c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4.45</v>
      </c>
      <c r="E15" s="200"/>
      <c r="F15" s="18">
        <v>4.4000000000000004</v>
      </c>
      <c r="G15" s="18">
        <v>4.4000000000000004</v>
      </c>
      <c r="H15" s="18">
        <v>4.4000000000000004</v>
      </c>
      <c r="I15" s="18">
        <v>4.4000000000000004</v>
      </c>
      <c r="J15" s="18">
        <v>4.4000000000000004</v>
      </c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4.45</v>
      </c>
      <c r="E16" s="200"/>
      <c r="F16" s="18">
        <v>4.4000000000000004</v>
      </c>
      <c r="G16" s="18">
        <v>4.4000000000000004</v>
      </c>
      <c r="H16" s="18">
        <v>4.4000000000000004</v>
      </c>
      <c r="I16" s="18">
        <v>4.4000000000000004</v>
      </c>
      <c r="J16" s="18">
        <v>4.4000000000000004</v>
      </c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4.45</v>
      </c>
      <c r="E17" s="200"/>
      <c r="F17" s="18">
        <v>4.4000000000000004</v>
      </c>
      <c r="G17" s="18">
        <v>4.4000000000000004</v>
      </c>
      <c r="H17" s="18">
        <v>4.4000000000000004</v>
      </c>
      <c r="I17" s="18">
        <v>4.4000000000000004</v>
      </c>
      <c r="J17" s="18">
        <v>4.4000000000000004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IF('S-ASIG-03'!D19="","",'S-ASIG-03'!D19)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4.6000000000000005</v>
      </c>
      <c r="E20" s="200">
        <v>4.7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2.35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4.6000000000000005</v>
      </c>
      <c r="E22" s="200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4.6000000000000005</v>
      </c>
      <c r="E23" s="200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4.6000000000000005</v>
      </c>
      <c r="E24" s="200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4.6000000000000005</v>
      </c>
      <c r="E25" s="200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97</v>
      </c>
      <c r="C26" s="32" t="str">
        <f>IF('S-ASIG-03'!D26="","",'S-ASIG-03'!D26)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4.5</v>
      </c>
      <c r="E27" s="200">
        <v>4.5</v>
      </c>
      <c r="F27" s="24">
        <v>4.5</v>
      </c>
      <c r="G27" s="24">
        <v>4.5</v>
      </c>
      <c r="H27" s="24">
        <v>4.5</v>
      </c>
      <c r="I27" s="24">
        <v>4.5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4.5</v>
      </c>
      <c r="E28" s="200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4.5</v>
      </c>
      <c r="E29" s="200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4.5</v>
      </c>
      <c r="E30" s="200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4.5</v>
      </c>
      <c r="E31" s="200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IF('S-ASIG-03'!D33="","",'S-ASIG-03'!D33)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IF('S-ASIG-03'!D40="","",'S-ASIG-03'!D40)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IF('S-ASIG-03'!D47="","",'S-ASIG-03'!D47)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IF('S-ASIG-03'!D54="","",'S-ASIG-03'!D54)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IF('S-ASIG-03'!D61="","",'S-ASIG-03'!D61)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IF('S-ASIG-03'!D68="","",'S-ASIG-03'!D68)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IF('S-ASIG-03'!D75="","",'S-ASIG-03'!D75)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IF('S-ASIG-03'!D82="","",'S-ASIG-03'!D82)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3" activePane="bottomRight" state="frozen"/>
      <selection pane="bottomRight" activeCell="E41" sqref="E41:E4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ELECTIVA LIBRE SOCIOHUMANÍS I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CONCATENATE(LIDER!F4," - ",LIDER!F6," - ",LIDER!F5)</f>
        <v>ELECTIVA LIBRE SOCIOHUMANÍS I - 3849 - BLANCA FLOREZ TABORDA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IF('S-ASIG-04'!D5="","",'S-ASIG-04'!D5)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4.07</v>
      </c>
      <c r="E6" s="200">
        <v>4.5</v>
      </c>
      <c r="F6" s="24">
        <v>4.5999999999999996</v>
      </c>
      <c r="G6" s="24">
        <v>4.4000000000000004</v>
      </c>
      <c r="H6" s="24">
        <v>4.5999999999999996</v>
      </c>
      <c r="I6" s="24">
        <v>4.5999999999999996</v>
      </c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4.07</v>
      </c>
      <c r="E7" s="200"/>
      <c r="F7" s="18">
        <v>4.5999999999999996</v>
      </c>
      <c r="G7" s="18">
        <v>4.4000000000000004</v>
      </c>
      <c r="H7" s="18">
        <v>4.5999999999999996</v>
      </c>
      <c r="I7" s="18">
        <v>4.5999999999999996</v>
      </c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4.07</v>
      </c>
      <c r="E8" s="200"/>
      <c r="F8" s="18">
        <v>4.5999999999999996</v>
      </c>
      <c r="G8" s="18">
        <v>4.4000000000000004</v>
      </c>
      <c r="H8" s="18">
        <v>4.5999999999999996</v>
      </c>
      <c r="I8" s="18">
        <v>4.5999999999999996</v>
      </c>
      <c r="J8" s="18"/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4.07</v>
      </c>
      <c r="E9" s="200"/>
      <c r="F9" s="18">
        <v>4.5999999999999996</v>
      </c>
      <c r="G9" s="18">
        <v>4.4000000000000004</v>
      </c>
      <c r="H9" s="18">
        <v>4.5999999999999996</v>
      </c>
      <c r="I9" s="18">
        <v>4.5999999999999996</v>
      </c>
      <c r="J9" s="18"/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4.07</v>
      </c>
      <c r="E10" s="200"/>
      <c r="F10" s="18">
        <v>4.5999999999999996</v>
      </c>
      <c r="G10" s="18">
        <v>4.4000000000000004</v>
      </c>
      <c r="H10" s="18">
        <v>4.5999999999999996</v>
      </c>
      <c r="I10" s="18">
        <v>4.5999999999999996</v>
      </c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>
        <v>4.5999999999999996</v>
      </c>
      <c r="G11" s="26">
        <v>4.4000000000000004</v>
      </c>
      <c r="H11" s="26">
        <v>4.5999999999999996</v>
      </c>
      <c r="I11" s="26">
        <v>4.5999999999999996</v>
      </c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IF('S-ASIG-04'!D12="","",'S-ASIG-04'!D12)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4.17</v>
      </c>
      <c r="E13" s="200">
        <v>4.5</v>
      </c>
      <c r="F13" s="24">
        <v>4.8</v>
      </c>
      <c r="G13" s="24">
        <v>4.8</v>
      </c>
      <c r="H13" s="24">
        <v>4.8</v>
      </c>
      <c r="I13" s="24">
        <v>4.8</v>
      </c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4.13</v>
      </c>
      <c r="E14" s="200"/>
      <c r="F14" s="18">
        <v>4.7</v>
      </c>
      <c r="G14" s="18">
        <v>4.7</v>
      </c>
      <c r="H14" s="18">
        <v>4.7</v>
      </c>
      <c r="I14" s="18">
        <v>4.7</v>
      </c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4.13</v>
      </c>
      <c r="E15" s="200"/>
      <c r="F15" s="18">
        <v>4.7</v>
      </c>
      <c r="G15" s="18">
        <v>4.7</v>
      </c>
      <c r="H15" s="18">
        <v>4.7</v>
      </c>
      <c r="I15" s="18">
        <v>4.7</v>
      </c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4.13</v>
      </c>
      <c r="E16" s="200"/>
      <c r="F16" s="18">
        <v>4.7</v>
      </c>
      <c r="G16" s="18">
        <v>4.7</v>
      </c>
      <c r="H16" s="18">
        <v>4.7</v>
      </c>
      <c r="I16" s="18">
        <v>4.7</v>
      </c>
      <c r="J16" s="18"/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4.13</v>
      </c>
      <c r="E17" s="200"/>
      <c r="F17" s="18">
        <v>4.7</v>
      </c>
      <c r="G17" s="18">
        <v>4.7</v>
      </c>
      <c r="H17" s="18">
        <v>4.7</v>
      </c>
      <c r="I17" s="18">
        <v>4.7</v>
      </c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>
        <v>4.7</v>
      </c>
      <c r="G18" s="26">
        <v>4.7</v>
      </c>
      <c r="H18" s="26">
        <v>4.7</v>
      </c>
      <c r="I18" s="26">
        <v>4.7</v>
      </c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IF('S-ASIG-04'!D19="","",'S-ASIG-04'!D19)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4.1500000000000004</v>
      </c>
      <c r="E20" s="200">
        <v>4.7</v>
      </c>
      <c r="F20" s="24">
        <v>4.5</v>
      </c>
      <c r="G20" s="24">
        <v>4.5</v>
      </c>
      <c r="H20" s="24">
        <v>4.5</v>
      </c>
      <c r="I20" s="24">
        <v>4.5</v>
      </c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4.1500000000000004</v>
      </c>
      <c r="E21" s="200"/>
      <c r="F21" s="18">
        <v>4.5</v>
      </c>
      <c r="G21" s="18">
        <v>4.5</v>
      </c>
      <c r="H21" s="18">
        <v>4.5</v>
      </c>
      <c r="I21" s="18">
        <v>4.5</v>
      </c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4.1500000000000004</v>
      </c>
      <c r="E22" s="200"/>
      <c r="F22" s="18">
        <v>4.5</v>
      </c>
      <c r="G22" s="18">
        <v>4.5</v>
      </c>
      <c r="H22" s="18">
        <v>4.5</v>
      </c>
      <c r="I22" s="18">
        <v>4.5</v>
      </c>
      <c r="J22" s="18"/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4.1500000000000004</v>
      </c>
      <c r="E23" s="200"/>
      <c r="F23" s="18">
        <v>4.5</v>
      </c>
      <c r="G23" s="18">
        <v>4.5</v>
      </c>
      <c r="H23" s="18">
        <v>4.5</v>
      </c>
      <c r="I23" s="18">
        <v>4.5</v>
      </c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4.1500000000000004</v>
      </c>
      <c r="E24" s="200"/>
      <c r="F24" s="18">
        <v>4.5</v>
      </c>
      <c r="G24" s="18">
        <v>4.5</v>
      </c>
      <c r="H24" s="18">
        <v>4.5</v>
      </c>
      <c r="I24" s="18">
        <v>4.5</v>
      </c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4.1500000000000004</v>
      </c>
      <c r="E25" s="200"/>
      <c r="F25" s="26">
        <v>4.5</v>
      </c>
      <c r="G25" s="26">
        <v>4.5</v>
      </c>
      <c r="H25" s="26">
        <v>4.5</v>
      </c>
      <c r="I25" s="26">
        <v>4.5</v>
      </c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IF('S-ASIG-04'!D26="","",'S-ASIG-04'!D26)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4.05</v>
      </c>
      <c r="E27" s="200">
        <v>4.5</v>
      </c>
      <c r="F27" s="24">
        <v>4.5</v>
      </c>
      <c r="G27" s="24">
        <v>4.5</v>
      </c>
      <c r="H27" s="24">
        <v>4.5</v>
      </c>
      <c r="I27" s="24">
        <v>4.5</v>
      </c>
      <c r="J27" s="24"/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4.05</v>
      </c>
      <c r="E28" s="200"/>
      <c r="F28" s="18">
        <v>4.5</v>
      </c>
      <c r="G28" s="18">
        <v>4.5</v>
      </c>
      <c r="H28" s="18">
        <v>4.5</v>
      </c>
      <c r="I28" s="18">
        <v>4.5</v>
      </c>
      <c r="J28" s="18"/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4.05</v>
      </c>
      <c r="E29" s="200"/>
      <c r="F29" s="18">
        <v>4.5</v>
      </c>
      <c r="G29" s="18">
        <v>4.5</v>
      </c>
      <c r="H29" s="18">
        <v>4.5</v>
      </c>
      <c r="I29" s="18">
        <v>4.5</v>
      </c>
      <c r="J29" s="18"/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4.05</v>
      </c>
      <c r="E30" s="200"/>
      <c r="F30" s="18">
        <v>4.5</v>
      </c>
      <c r="G30" s="18">
        <v>4.5</v>
      </c>
      <c r="H30" s="18">
        <v>4.5</v>
      </c>
      <c r="I30" s="18">
        <v>4.5</v>
      </c>
      <c r="J30" s="18"/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4.05</v>
      </c>
      <c r="E31" s="200"/>
      <c r="F31" s="18">
        <v>4.5</v>
      </c>
      <c r="G31" s="18">
        <v>4.5</v>
      </c>
      <c r="H31" s="18">
        <v>4.5</v>
      </c>
      <c r="I31" s="18">
        <v>4.5</v>
      </c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>
        <v>4.5</v>
      </c>
      <c r="G32" s="26">
        <v>4.5</v>
      </c>
      <c r="H32" s="26">
        <v>4.5</v>
      </c>
      <c r="I32" s="26">
        <v>4.5</v>
      </c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IF('S-ASIG-04'!D33="","",'S-ASIG-04'!D33)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3.88</v>
      </c>
      <c r="E34" s="200">
        <v>4.4000000000000004</v>
      </c>
      <c r="F34" s="24">
        <v>4.2</v>
      </c>
      <c r="G34" s="24">
        <v>4.2</v>
      </c>
      <c r="H34" s="24">
        <v>4.2</v>
      </c>
      <c r="I34" s="24">
        <v>4.2</v>
      </c>
      <c r="J34" s="24"/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3.88</v>
      </c>
      <c r="E35" s="200"/>
      <c r="F35" s="18">
        <v>4.2</v>
      </c>
      <c r="G35" s="18">
        <v>4.2</v>
      </c>
      <c r="H35" s="18">
        <v>4.2</v>
      </c>
      <c r="I35" s="18">
        <v>4.2</v>
      </c>
      <c r="J35" s="18"/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3.88</v>
      </c>
      <c r="E36" s="200"/>
      <c r="F36" s="18">
        <v>4.2</v>
      </c>
      <c r="G36" s="18">
        <v>4.2</v>
      </c>
      <c r="H36" s="18">
        <v>4.2</v>
      </c>
      <c r="I36" s="18">
        <v>4.2</v>
      </c>
      <c r="J36" s="18"/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3.88</v>
      </c>
      <c r="E37" s="200"/>
      <c r="F37" s="18">
        <v>4.2</v>
      </c>
      <c r="G37" s="18">
        <v>4.2</v>
      </c>
      <c r="H37" s="18">
        <v>4.2</v>
      </c>
      <c r="I37" s="18">
        <v>4.2</v>
      </c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3.88</v>
      </c>
      <c r="E38" s="200"/>
      <c r="F38" s="18">
        <v>4.2</v>
      </c>
      <c r="G38" s="18">
        <v>4.2</v>
      </c>
      <c r="H38" s="18">
        <v>4.2</v>
      </c>
      <c r="I38" s="18">
        <v>4.2</v>
      </c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>
        <v>4.2</v>
      </c>
      <c r="G39" s="26">
        <v>4.2</v>
      </c>
      <c r="H39" s="26">
        <v>4.2</v>
      </c>
      <c r="I39" s="26">
        <v>4.2</v>
      </c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IF('S-ASIG-04'!D40="","",'S-ASIG-04'!D40)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IF('S-ASIG-04'!D47="","",'S-ASIG-04'!D47)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IF('S-ASIG-04'!D54="","",'S-ASIG-04'!D54)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IF('S-ASIG-04'!D61="","",'S-ASIG-04'!D61)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IF('S-ASIG-04'!D68="","",'S-ASIG-04'!D68)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IF('S-ASIG-04'!D75="","",'S-ASIG-04'!D75)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IF('S-ASIG-04'!D82="","",'S-ASIG-04'!D82)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F4" activePane="bottomRight" state="frozen"/>
      <selection pane="bottomRight" activeCell="I21" sqref="I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CONCATENATE(LIDER!G4," - ",LIDER!G6," - ",LIDER!G5)</f>
        <v>ORGANIZACIÓN Y MÉTODOS DE TRAB - 3848 - LUIS ENRIQUE SCHNEIDER PALOMINO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IF('S-ASIG-05'!D5="","",'S-ASIG-05'!D5)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4.5999999999999996</v>
      </c>
      <c r="E6" s="200">
        <v>4.5999999999999996</v>
      </c>
      <c r="F6" s="24">
        <v>4.5999999999999996</v>
      </c>
      <c r="G6" s="24">
        <v>4.5999999999999996</v>
      </c>
      <c r="H6" s="24">
        <v>4.5999999999999996</v>
      </c>
      <c r="I6" s="24">
        <v>4.5999999999999996</v>
      </c>
      <c r="J6" s="24">
        <v>4.5999999999999996</v>
      </c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4.5999999999999996</v>
      </c>
      <c r="E7" s="200"/>
      <c r="F7" s="18">
        <v>4.5999999999999996</v>
      </c>
      <c r="G7" s="18">
        <v>4.5999999999999996</v>
      </c>
      <c r="H7" s="18">
        <v>4.5999999999999996</v>
      </c>
      <c r="I7" s="18">
        <v>4.5999999999999996</v>
      </c>
      <c r="J7" s="18">
        <v>4.5999999999999996</v>
      </c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4.5999999999999996</v>
      </c>
      <c r="E8" s="200"/>
      <c r="F8" s="18">
        <v>4.5999999999999996</v>
      </c>
      <c r="G8" s="18">
        <v>4.5999999999999996</v>
      </c>
      <c r="H8" s="18">
        <v>4.5999999999999996</v>
      </c>
      <c r="I8" s="18">
        <v>4.5999999999999996</v>
      </c>
      <c r="J8" s="18">
        <v>4.5999999999999996</v>
      </c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4.5999999999999996</v>
      </c>
      <c r="E9" s="200"/>
      <c r="F9" s="18">
        <v>4.5999999999999996</v>
      </c>
      <c r="G9" s="18">
        <v>4.5999999999999996</v>
      </c>
      <c r="H9" s="18">
        <v>4.5999999999999996</v>
      </c>
      <c r="I9" s="18">
        <v>4.5999999999999996</v>
      </c>
      <c r="J9" s="18">
        <v>4.5999999999999996</v>
      </c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4.5999999999999996</v>
      </c>
      <c r="E10" s="200"/>
      <c r="F10" s="18">
        <v>4.5999999999999996</v>
      </c>
      <c r="G10" s="18">
        <v>4.5999999999999996</v>
      </c>
      <c r="H10" s="18">
        <v>4.5999999999999996</v>
      </c>
      <c r="I10" s="18">
        <v>4.5999999999999996</v>
      </c>
      <c r="J10" s="18">
        <v>4.5999999999999996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IF('S-ASIG-05'!D12="","",'S-ASIG-05'!D12)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4.3500000000000005</v>
      </c>
      <c r="E13" s="200">
        <v>4.3</v>
      </c>
      <c r="F13" s="24">
        <v>4.4000000000000004</v>
      </c>
      <c r="G13" s="24">
        <v>4.4000000000000004</v>
      </c>
      <c r="H13" s="24">
        <v>4.4000000000000004</v>
      </c>
      <c r="I13" s="24">
        <v>4.4000000000000004</v>
      </c>
      <c r="J13" s="24">
        <v>4.4000000000000004</v>
      </c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4.3500000000000005</v>
      </c>
      <c r="E14" s="200"/>
      <c r="F14" s="18">
        <v>4.4000000000000004</v>
      </c>
      <c r="G14" s="18">
        <v>4.4000000000000004</v>
      </c>
      <c r="H14" s="18">
        <v>4.4000000000000004</v>
      </c>
      <c r="I14" s="18">
        <v>4.4000000000000004</v>
      </c>
      <c r="J14" s="18">
        <v>4.4000000000000004</v>
      </c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4.3500000000000005</v>
      </c>
      <c r="E15" s="200"/>
      <c r="F15" s="18">
        <v>4.4000000000000004</v>
      </c>
      <c r="G15" s="18">
        <v>4.4000000000000004</v>
      </c>
      <c r="H15" s="18">
        <v>4.4000000000000004</v>
      </c>
      <c r="I15" s="18">
        <v>4.4000000000000004</v>
      </c>
      <c r="J15" s="18">
        <v>4.4000000000000004</v>
      </c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4.3500000000000005</v>
      </c>
      <c r="E16" s="200"/>
      <c r="F16" s="18">
        <v>4.4000000000000004</v>
      </c>
      <c r="G16" s="18">
        <v>4.4000000000000004</v>
      </c>
      <c r="H16" s="18">
        <v>4.4000000000000004</v>
      </c>
      <c r="I16" s="18">
        <v>4.4000000000000004</v>
      </c>
      <c r="J16" s="18">
        <v>4.4000000000000004</v>
      </c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4.3500000000000005</v>
      </c>
      <c r="E17" s="200"/>
      <c r="F17" s="18">
        <v>4.4000000000000004</v>
      </c>
      <c r="G17" s="18">
        <v>4.4000000000000004</v>
      </c>
      <c r="H17" s="18">
        <v>4.4000000000000004</v>
      </c>
      <c r="I17" s="18">
        <v>4.4000000000000004</v>
      </c>
      <c r="J17" s="18">
        <v>4.4000000000000004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IF('S-ASIG-05'!D19="","",'S-ASIG-05'!D19)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4.5999999999999996</v>
      </c>
      <c r="E20" s="200">
        <v>4.5999999999999996</v>
      </c>
      <c r="F20" s="24">
        <v>4.5999999999999996</v>
      </c>
      <c r="G20" s="24">
        <v>4.5999999999999996</v>
      </c>
      <c r="H20" s="24">
        <v>4.5999999999999996</v>
      </c>
      <c r="I20" s="24">
        <v>4.5999999999999996</v>
      </c>
      <c r="J20" s="24">
        <v>4.5999999999999996</v>
      </c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IF('S-ASIG-05'!D21="","",'S-ASIG-05'!D21)</f>
        <v/>
      </c>
      <c r="D21" s="30" t="e">
        <f>IF(B21=0,"",IF(C21="",$E$20*LIDER!$H$19+F21*LIDER!$H$20+G21*LIDER!$H$21+H21*LIDER!$H$22+I21*LIDER!$H$23+J21*LIDER!$H$24+K21*LIDER!$H$25,"N"))</f>
        <v>#VALUE!</v>
      </c>
      <c r="E21" s="200"/>
      <c r="F21" s="18" t="s">
        <v>108</v>
      </c>
      <c r="G21" s="18" t="s">
        <v>108</v>
      </c>
      <c r="H21" s="18" t="s">
        <v>108</v>
      </c>
      <c r="I21" s="18" t="s">
        <v>108</v>
      </c>
      <c r="J21" s="18" t="s">
        <v>108</v>
      </c>
      <c r="K21" s="18" t="s">
        <v>108</v>
      </c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4.5999999999999996</v>
      </c>
      <c r="E22" s="200"/>
      <c r="F22" s="18">
        <v>4.5999999999999996</v>
      </c>
      <c r="G22" s="18">
        <v>4.5999999999999996</v>
      </c>
      <c r="H22" s="18">
        <v>4.5999999999999996</v>
      </c>
      <c r="I22" s="18">
        <v>4.5999999999999996</v>
      </c>
      <c r="J22" s="18">
        <v>4.5999999999999996</v>
      </c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4.5999999999999996</v>
      </c>
      <c r="E23" s="200"/>
      <c r="F23" s="18">
        <v>4.5999999999999996</v>
      </c>
      <c r="G23" s="18">
        <v>4.5999999999999996</v>
      </c>
      <c r="H23" s="18">
        <v>4.5999999999999996</v>
      </c>
      <c r="I23" s="18">
        <v>4.5999999999999996</v>
      </c>
      <c r="J23" s="18">
        <v>4.5999999999999996</v>
      </c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4.5999999999999996</v>
      </c>
      <c r="E24" s="200"/>
      <c r="F24" s="18">
        <v>4.5999999999999996</v>
      </c>
      <c r="G24" s="18">
        <v>4.5999999999999996</v>
      </c>
      <c r="H24" s="18">
        <v>4.5999999999999996</v>
      </c>
      <c r="I24" s="18">
        <v>4.5999999999999996</v>
      </c>
      <c r="J24" s="18">
        <v>4.5999999999999996</v>
      </c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4.5999999999999996</v>
      </c>
      <c r="E25" s="200"/>
      <c r="F25" s="26">
        <v>4.5999999999999996</v>
      </c>
      <c r="G25" s="26">
        <v>4.5999999999999996</v>
      </c>
      <c r="H25" s="26">
        <v>4.5999999999999996</v>
      </c>
      <c r="I25" s="26">
        <v>4.5999999999999996</v>
      </c>
      <c r="J25" s="26">
        <v>4.5999999999999996</v>
      </c>
      <c r="K25" s="26"/>
    </row>
    <row r="26" spans="1:11" s="2" customFormat="1" ht="15.75" customHeight="1" thickBot="1">
      <c r="A26" s="14"/>
      <c r="B26" s="27" t="s">
        <v>97</v>
      </c>
      <c r="C26" s="32" t="str">
        <f>IF('S-ASIG-05'!D26="","",'S-ASIG-05'!D26)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4.6999999999999993</v>
      </c>
      <c r="E27" s="200">
        <v>4.5999999999999996</v>
      </c>
      <c r="F27" s="24">
        <v>4.8</v>
      </c>
      <c r="G27" s="24">
        <v>4.8</v>
      </c>
      <c r="H27" s="24">
        <v>4.8</v>
      </c>
      <c r="I27" s="24">
        <v>4.8</v>
      </c>
      <c r="J27" s="24">
        <v>4.8</v>
      </c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4.6999999999999993</v>
      </c>
      <c r="E28" s="200"/>
      <c r="F28" s="18">
        <v>4.8</v>
      </c>
      <c r="G28" s="18">
        <v>4.8</v>
      </c>
      <c r="H28" s="18">
        <v>4.8</v>
      </c>
      <c r="I28" s="18">
        <v>4.8</v>
      </c>
      <c r="J28" s="18">
        <v>4.8</v>
      </c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IF('S-ASIG-05'!D29="","",'S-ASIG-05'!D29)</f>
        <v>N</v>
      </c>
      <c r="D29" s="30" t="str">
        <f>IF(B29=0,"",IF(C29="",$E$27*LIDER!$H$19+F29*LIDER!$H$20+G29*LIDER!$H$21+H29*LIDER!$H$22+I29*LIDER!$H$23+J29*LIDER!$H$24+K29*LIDER!$H$25,"N"))</f>
        <v>N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IF('S-ASIG-05'!D30="","",'S-ASIG-05'!D30)</f>
        <v>N</v>
      </c>
      <c r="D30" s="30" t="str">
        <f>IF(B30=0,"",IF(C30="",$E$27*LIDER!$H$19+F30*LIDER!$H$20+G30*LIDER!$H$21+H30*LIDER!$H$22+I30*LIDER!$H$23+J30*LIDER!$H$24+K30*LIDER!$H$25,"N"))</f>
        <v>N</v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4.6999999999999993</v>
      </c>
      <c r="E31" s="200"/>
      <c r="F31" s="18">
        <v>4.8</v>
      </c>
      <c r="G31" s="18">
        <v>4.8</v>
      </c>
      <c r="H31" s="18">
        <v>4.8</v>
      </c>
      <c r="I31" s="18">
        <v>4.8</v>
      </c>
      <c r="J31" s="18">
        <v>4.8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IF('S-ASIG-05'!D33="","",'S-ASIG-05'!D33)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4.0999999999999996</v>
      </c>
      <c r="E34" s="200">
        <v>4</v>
      </c>
      <c r="F34" s="24">
        <v>4.2</v>
      </c>
      <c r="G34" s="24">
        <v>4.2</v>
      </c>
      <c r="H34" s="24">
        <v>4.2</v>
      </c>
      <c r="I34" s="24">
        <v>4.2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4.0999999999999996</v>
      </c>
      <c r="E35" s="200"/>
      <c r="F35" s="18">
        <v>4.2</v>
      </c>
      <c r="G35" s="18">
        <v>4.2</v>
      </c>
      <c r="H35" s="18">
        <v>4.2</v>
      </c>
      <c r="I35" s="18">
        <v>4.2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4.0999999999999996</v>
      </c>
      <c r="E36" s="200"/>
      <c r="F36" s="18">
        <v>4.2</v>
      </c>
      <c r="G36" s="18">
        <v>4.2</v>
      </c>
      <c r="H36" s="18">
        <v>4.2</v>
      </c>
      <c r="I36" s="18">
        <v>4.2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IF('S-ASIG-05'!D37="","",'S-ASIG-05'!D37)</f>
        <v>N</v>
      </c>
      <c r="D37" s="30" t="str">
        <f>IF(B37=0,"",IF(C37="",$E$34*LIDER!$H$19+F37*LIDER!$H$20+G37*LIDER!$H$21+H37*LIDER!$H$22+I37*LIDER!$H$23+J37*LIDER!$H$24+K37*LIDER!$H$25,"N"))</f>
        <v>N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IF('S-ASIG-05'!D38="","",'S-ASIG-05'!D38)</f>
        <v>N</v>
      </c>
      <c r="D38" s="30" t="str">
        <f>IF(B38=0,"",IF(C38="",$E$34*LIDER!$H$19+F38*LIDER!$H$20+G38*LIDER!$H$21+H38*LIDER!$H$22+I38*LIDER!$H$23+J38*LIDER!$H$24+K38*LIDER!$H$25,"N"))</f>
        <v>N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IF('S-ASIG-05'!D40="","",'S-ASIG-05'!D40)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IF('S-ASIG-05'!D47="","",'S-ASIG-05'!D47)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IF('S-ASIG-05'!D54="","",'S-ASIG-05'!D54)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IF('S-ASIG-05'!D61="","",'S-ASIG-05'!D61)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IF('S-ASIG-05'!D68="","",'S-ASIG-05'!D68)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IF('S-ASIG-05'!D75="","",'S-ASIG-05'!D75)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IF('S-ASIG-05'!D82="","",'S-ASIG-05'!D82)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H21" sqref="H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LIDER!H4</f>
        <v>0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CONCATENATE(LIDER!H4," - ",LIDER!H6," - ",LIDER!H5)</f>
        <v xml:space="preserve"> -  - 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IF('S-ASIG-06'!D5="","",'S-ASIG-06'!D5)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IF('S-ASIG-06'!D12="","",'S-ASIG-06'!D12)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IF('S-ASIG-06'!D19="","",'S-ASIG-06'!D19)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IF('S-ASIG-06'!D26="","",'S-ASIG-06'!D26)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IF('S-ASIG-06'!D33="","",'S-ASIG-06'!D33)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IF('S-ASIG-06'!D40="","",'S-ASIG-06'!D40)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IF('S-ASIG-06'!D47="","",'S-ASIG-06'!D47)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IF('S-ASIG-06'!D54="","",'S-ASIG-06'!D54)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IF('S-ASIG-06'!D61="","",'S-ASIG-06'!D61)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IF('S-ASIG-06'!D68="","",'S-ASIG-06'!D68)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IF('S-ASIG-06'!D75="","",'S-ASIG-06'!D75)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IF('S-ASIG-06'!D82="","",'S-ASIG-06'!D82)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>
        <f>LIDER!I4</f>
        <v>0</v>
      </c>
      <c r="C2" s="3"/>
      <c r="E2" s="213" t="s">
        <v>86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CONCATENATE(LIDER!I4," - ",LIDER!I6," - ",LIDER!I5)</f>
        <v xml:space="preserve"> -  - 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88</v>
      </c>
      <c r="C5" s="34" t="str">
        <f>IF('S-ASIG-07'!D5="","",'S-ASIG-07'!D5)</f>
        <v>LIST</v>
      </c>
      <c r="D5" s="35" t="s">
        <v>91</v>
      </c>
      <c r="E5" s="202" t="str">
        <f>LIDER!$E$29</f>
        <v>GRUPO#1  Glow Hair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>Nicole Blanquicett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Sebastián Castillo 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Gabriela Ching 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Shereine Tovar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María Angélica Lopez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92</v>
      </c>
      <c r="C12" s="32" t="str">
        <f>IF('S-ASIG-07'!D12="","",'S-ASIG-07'!D12)</f>
        <v>LIST</v>
      </c>
      <c r="D12" s="35" t="s">
        <v>91</v>
      </c>
      <c r="E12" s="202" t="str">
        <f>LIDER!$E$30</f>
        <v>GRUPO#2 Vaps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 xml:space="preserve">Brayer David Altamiranda Morales 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Luis Alberto Campo Ospino 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Brayan Smith Cantillo González 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Ayleen Patricia Herbales Puerta 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Alexander Ruiz Guzman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94</v>
      </c>
      <c r="C19" s="32" t="str">
        <f>IF('S-ASIG-07'!D19="","",'S-ASIG-07'!D19)</f>
        <v>LIST</v>
      </c>
      <c r="D19" s="35" t="s">
        <v>91</v>
      </c>
      <c r="E19" s="202" t="str">
        <f>LIDER!$E$31</f>
        <v>GRUPO#3 Dulce Origen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Katerin sofia Ceballos Fernández 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Elver Javier consuegra Conde 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 xml:space="preserve">Juliana Díaz Pérez 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 xml:space="preserve">Rut Elena Montoya Ávila 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 xml:space="preserve">Daniela Ramírez Aguirre 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 xml:space="preserve"> Jhoiny Luz Valdes González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IF('S-ASIG-07'!D26="","",'S-ASIG-07'!D26)</f>
        <v>LIST</v>
      </c>
      <c r="D26" s="35" t="s">
        <v>91</v>
      </c>
      <c r="E26" s="202" t="str">
        <f>LIDER!$E$32</f>
        <v>GRUPO#4 Body Butters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>Jeraldine Ramirez Arteaga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Aisha Carmona Diaz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Orozco Torres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Heidy Herrera Pertuz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 xml:space="preserve">Nicolle Rodríguez 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IF('S-ASIG-07'!D33="","",'S-ASIG-07'!D33)</f>
        <v>LIST</v>
      </c>
      <c r="D33" s="35" t="s">
        <v>91</v>
      </c>
      <c r="E33" s="202" t="str">
        <f>LIDER!$E$33</f>
        <v>GRUPO#5 Sibarita del Mar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>Maria Camila Guzman Alvarez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Jhoan Arturo Posada Franco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Grissell Tayrama Rodrguez Solarte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Yeifel aguilar alcala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Zaid zamudio morelo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IF('S-ASIG-07'!D40="","",'S-ASIG-07'!D40)</f>
        <v>LIST</v>
      </c>
      <c r="D40" s="35" t="s">
        <v>91</v>
      </c>
      <c r="E40" s="202" t="str">
        <f>LIDER!$E$34</f>
        <v>GRUPO#6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IF('S-ASIG-07'!D47="","",'S-ASIG-07'!D47)</f>
        <v>LIST</v>
      </c>
      <c r="D47" s="35" t="s">
        <v>91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IF('S-ASIG-07'!D54="","",'S-ASIG-07'!D54)</f>
        <v>LIST</v>
      </c>
      <c r="D54" s="35" t="s">
        <v>91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IF('S-ASIG-07'!D61="","",'S-ASIG-07'!D61)</f>
        <v>LIST</v>
      </c>
      <c r="D61" s="35" t="s">
        <v>91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IF('S-ASIG-07'!D68="","",'S-ASIG-07'!D68)</f>
        <v>LIST</v>
      </c>
      <c r="D68" s="35" t="s">
        <v>91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IF('S-ASIG-07'!D75="","",'S-ASIG-07'!D75)</f>
        <v>LIST</v>
      </c>
      <c r="D75" s="35" t="s">
        <v>91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IF('S-ASIG-07'!D82="","",'S-ASIG-07'!D82)</f>
        <v>LIST</v>
      </c>
      <c r="D82" s="35" t="s">
        <v>91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L27" activePane="bottomRight" state="frozen"/>
      <selection pane="bottomRight" activeCell="B4" sqref="B4:E30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9" t="str">
        <f>LIDER!B2</f>
        <v>TECNOLOGÍA EN GESTIÓN DE NEGOCIOS INTERN</v>
      </c>
      <c r="H1" s="149"/>
      <c r="I1" s="149"/>
      <c r="J1" s="149"/>
      <c r="K1" s="149"/>
      <c r="L1" s="149"/>
      <c r="M1" s="149"/>
      <c r="N1" s="148" t="str">
        <f>LIDER!E2</f>
        <v>SEMESTRE:</v>
      </c>
      <c r="O1" s="148"/>
      <c r="P1" s="44" t="str">
        <f>LIDER!F2</f>
        <v>SEM-05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145" t="s">
        <v>109</v>
      </c>
      <c r="H2" s="146"/>
      <c r="I2" s="146"/>
      <c r="J2" s="146"/>
      <c r="K2" s="146"/>
      <c r="L2" s="146"/>
      <c r="M2" s="147"/>
      <c r="N2" s="2"/>
      <c r="O2" s="150" t="s">
        <v>110</v>
      </c>
      <c r="P2" s="151"/>
      <c r="Q2" s="151"/>
      <c r="R2" s="151"/>
      <c r="S2" s="151"/>
      <c r="T2" s="151"/>
      <c r="U2" s="152"/>
    </row>
    <row r="3" spans="1:22" ht="20.100000000000001" customHeight="1" thickBot="1">
      <c r="G3" s="48" t="str">
        <f>CONCATENATE("N° : ",LIDER!C6)</f>
        <v>N° : 3847</v>
      </c>
      <c r="H3" s="49" t="str">
        <f>CONCATENATE("N° : ",LIDER!D6)</f>
        <v>N° : 3850</v>
      </c>
      <c r="I3" s="49" t="str">
        <f>CONCATENATE("N° : ",LIDER!E6)</f>
        <v>N° : 3851</v>
      </c>
      <c r="J3" s="49" t="str">
        <f>CONCATENATE("N° : ",LIDER!F6)</f>
        <v>N° : 3849</v>
      </c>
      <c r="K3" s="49" t="str">
        <f>CONCATENATE("N° : ",LIDER!G6)</f>
        <v>N° : 3848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3847</v>
      </c>
      <c r="P3" s="49" t="str">
        <f t="shared" ref="P3:U3" si="0">H3</f>
        <v>N° : 3850</v>
      </c>
      <c r="Q3" s="49" t="str">
        <f t="shared" si="0"/>
        <v>N° : 3851</v>
      </c>
      <c r="R3" s="49" t="str">
        <f t="shared" si="0"/>
        <v>N° : 3849</v>
      </c>
      <c r="S3" s="49" t="str">
        <f t="shared" si="0"/>
        <v>N° : 3848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111</v>
      </c>
      <c r="D4" s="54" t="s">
        <v>112</v>
      </c>
      <c r="E4" s="55" t="s">
        <v>113</v>
      </c>
      <c r="G4" s="56" t="str">
        <f>MID(LIDER!C4,1,9)</f>
        <v>TALENTO H</v>
      </c>
      <c r="H4" s="57" t="str">
        <f>MID(LIDER!D4,1,9)</f>
        <v xml:space="preserve">ELECTIVA </v>
      </c>
      <c r="I4" s="57" t="str">
        <f>MID(LIDER!E4,1,9)</f>
        <v>MARKETING</v>
      </c>
      <c r="J4" s="57" t="str">
        <f>MID(LIDER!F4,1,9)</f>
        <v xml:space="preserve">ELECTIVA 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114</v>
      </c>
      <c r="O4" s="60" t="str">
        <f t="shared" ref="O4:U4" si="1">G4</f>
        <v>TALENTO H</v>
      </c>
      <c r="P4" s="61" t="str">
        <f t="shared" si="1"/>
        <v xml:space="preserve">ELECTIVA </v>
      </c>
      <c r="Q4" s="61" t="str">
        <f t="shared" si="1"/>
        <v>MARKETING</v>
      </c>
      <c r="R4" s="61" t="str">
        <f t="shared" si="1"/>
        <v xml:space="preserve">ELECTIVA 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115</v>
      </c>
    </row>
    <row r="5" spans="1:22" ht="15" customHeight="1">
      <c r="A5" s="12">
        <v>1</v>
      </c>
      <c r="B5" s="63" t="str">
        <f>LIDER!C9</f>
        <v>Nicole Blanquicett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4.5</v>
      </c>
      <c r="E5" s="66">
        <f>IF(B5=0,"",IFERROR(SUMIF(O5:U5,"&gt;0",O5:U5)/COUNTIF(O5:U5,"&gt;0"),0))</f>
        <v>4.3740000000000006</v>
      </c>
      <c r="F5" s="47"/>
      <c r="G5" s="67">
        <f>IF(B5=0,"",IFERROR(VLOOKUP(B5,'S-ASIG-01'!$B$5:$E$88,4,0),0))</f>
        <v>4.4400000000000004</v>
      </c>
      <c r="H5" s="65">
        <f>IF(B5=0,"",IFERROR(VLOOKUP(B5,'S-ASIG-02'!$B$5:$E$88,4,0),0))</f>
        <v>4.51</v>
      </c>
      <c r="I5" s="65">
        <f>IF(B5=0,"",IFERROR(VLOOKUP(B5,'S-ASIG-03'!$B$5:$E$88,4,0),0))</f>
        <v>4.6500000000000004</v>
      </c>
      <c r="J5" s="65">
        <f>IF(B5=0,"",IFERROR(VLOOKUP(B5,'S-ASIG-04'!$B$5:$E$88,4,0),0))</f>
        <v>0</v>
      </c>
      <c r="K5" s="65">
        <f>IF(B5=0,"",IFERROR(VLOOKUP(B5,'S-ASIG-05'!$B$5:$E$88,4,0),0))</f>
        <v>4.4000000000000004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116</v>
      </c>
      <c r="O5" s="67">
        <f>IF(B5=0,"",IFERROR(VLOOKUP(B5,'T-ASIG-01'!$B$5:$D$88,3,0),0))</f>
        <v>4.07</v>
      </c>
      <c r="P5" s="65">
        <f>IF(B5=0,"",IFERROR(VLOOKUP(B5,'T-ASIG-02'!$B$5:$D$88,3,0),0))</f>
        <v>4.53</v>
      </c>
      <c r="Q5" s="65">
        <f>IF(B5=0,"",IFERROR(VLOOKUP(B5,'T-ASIG-03'!$B$5:$D$88,3,0),0))</f>
        <v>4.6000000000000005</v>
      </c>
      <c r="R5" s="65">
        <f>IF(B5=0,"",IFERROR(VLOOKUP(B5,'T-ASIG-04'!$B$5:$D$88,3,0),0))</f>
        <v>4.07</v>
      </c>
      <c r="S5" s="65">
        <f>IF(B5=0,"",IFERROR(VLOOKUP(B5,'T-ASIG-05'!$B$5:$D$88,3,0),0))</f>
        <v>4.5999999999999996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117</v>
      </c>
    </row>
    <row r="6" spans="1:22" ht="15" customHeight="1">
      <c r="A6" s="12">
        <v>2</v>
      </c>
      <c r="B6" s="70" t="str">
        <f>LIDER!C10</f>
        <v xml:space="preserve">Sebastián Castillo 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4.5</v>
      </c>
      <c r="E6" s="66">
        <f t="shared" ref="E6:E54" si="3">IF(B6=0,"",IFERROR(SUMIF(O6:U6,"&gt;0",O6:U6)/COUNTIF(O6:U6,"&gt;0"),0))</f>
        <v>4.3740000000000006</v>
      </c>
      <c r="F6" s="47"/>
      <c r="G6" s="71">
        <f>IF(B6=0,"",IFERROR(VLOOKUP(B6,'S-ASIG-01'!$B$5:$E$88,4,0),0))</f>
        <v>4.4400000000000004</v>
      </c>
      <c r="H6" s="72">
        <f>IF(B6=0,"",IFERROR(VLOOKUP(B6,'S-ASIG-02'!$B$5:$E$88,4,0),0))</f>
        <v>4.51</v>
      </c>
      <c r="I6" s="72">
        <f>IF(B6=0,"",IFERROR(VLOOKUP(B6,'S-ASIG-03'!$B$5:$E$88,4,0),0))</f>
        <v>4.6500000000000004</v>
      </c>
      <c r="J6" s="72">
        <f>IF(B6=0,"",IFERROR(VLOOKUP(B6,'S-ASIG-04'!$B$5:$E$88,4,0),0))</f>
        <v>0</v>
      </c>
      <c r="K6" s="72">
        <f>IF(B6=0,"",IFERROR(VLOOKUP(B6,'S-ASIG-05'!$B$5:$E$88,4,0),0))</f>
        <v>4.4000000000000004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116</v>
      </c>
      <c r="O6" s="71">
        <f>IF(B6=0,"",IFERROR(VLOOKUP(B6,'T-ASIG-01'!$B$5:$D$88,3,0),0))</f>
        <v>4.07</v>
      </c>
      <c r="P6" s="72">
        <f>IF(B6=0,"",IFERROR(VLOOKUP(B6,'T-ASIG-02'!$B$5:$D$88,3,0),0))</f>
        <v>4.53</v>
      </c>
      <c r="Q6" s="72">
        <f>IF(B6=0,"",IFERROR(VLOOKUP(B6,'T-ASIG-03'!$B$5:$D$88,3,0),0))</f>
        <v>4.6000000000000005</v>
      </c>
      <c r="R6" s="72">
        <f>IF(B6=0,"",IFERROR(VLOOKUP(B6,'T-ASIG-04'!$B$5:$D$88,3,0),0))</f>
        <v>4.07</v>
      </c>
      <c r="S6" s="72">
        <f>IF(B6=0,"",IFERROR(VLOOKUP(B6,'T-ASIG-05'!$B$5:$D$88,3,0),0))</f>
        <v>4.5999999999999996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117</v>
      </c>
    </row>
    <row r="7" spans="1:22" ht="15" customHeight="1">
      <c r="A7" s="12">
        <v>3</v>
      </c>
      <c r="B7" s="70" t="str">
        <f>LIDER!C11</f>
        <v xml:space="preserve">Gabriela Ching </v>
      </c>
      <c r="C7" s="64" t="str">
        <f>IF(B7=0,"",IFERROR(VLOOKUP(B7,'S-ASIG-01'!$B$5:$E$88,2,0),0))</f>
        <v>G01</v>
      </c>
      <c r="D7" s="65">
        <f t="shared" si="2"/>
        <v>4.5</v>
      </c>
      <c r="E7" s="66">
        <f t="shared" si="3"/>
        <v>4.4040000000000008</v>
      </c>
      <c r="F7" s="47"/>
      <c r="G7" s="71">
        <f>IF(B7=0,"",IFERROR(VLOOKUP(B7,'S-ASIG-01'!$B$5:$E$88,4,0),0))</f>
        <v>4.4400000000000004</v>
      </c>
      <c r="H7" s="72">
        <f>IF(B7=0,"",IFERROR(VLOOKUP(B7,'S-ASIG-02'!$B$5:$E$88,4,0),0))</f>
        <v>4.51</v>
      </c>
      <c r="I7" s="72">
        <f>IF(B7=0,"",IFERROR(VLOOKUP(B7,'S-ASIG-03'!$B$5:$E$88,4,0),0))</f>
        <v>4.6500000000000004</v>
      </c>
      <c r="J7" s="72">
        <f>IF(B7=0,"",IFERROR(VLOOKUP(B7,'S-ASIG-04'!$B$5:$E$88,4,0),0))</f>
        <v>0</v>
      </c>
      <c r="K7" s="72">
        <f>IF(B7=0,"",IFERROR(VLOOKUP(B7,'S-ASIG-05'!$B$5:$E$88,4,0),0))</f>
        <v>4.4000000000000004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116</v>
      </c>
      <c r="O7" s="71">
        <f>IF(B7=0,"",IFERROR(VLOOKUP(B7,'T-ASIG-01'!$B$5:$D$88,3,0),0))</f>
        <v>4.07</v>
      </c>
      <c r="P7" s="72">
        <f>IF(B7=0,"",IFERROR(VLOOKUP(B7,'T-ASIG-02'!$B$5:$D$88,3,0),0))</f>
        <v>4.53</v>
      </c>
      <c r="Q7" s="72">
        <f>IF(B7=0,"",IFERROR(VLOOKUP(B7,'T-ASIG-03'!$B$5:$D$88,3,0),0))</f>
        <v>4.75</v>
      </c>
      <c r="R7" s="72">
        <f>IF(B7=0,"",IFERROR(VLOOKUP(B7,'T-ASIG-04'!$B$5:$D$88,3,0),0))</f>
        <v>4.07</v>
      </c>
      <c r="S7" s="72">
        <f>IF(B7=0,"",IFERROR(VLOOKUP(B7,'T-ASIG-05'!$B$5:$D$88,3,0),0))</f>
        <v>4.5999999999999996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117</v>
      </c>
    </row>
    <row r="8" spans="1:22" ht="15" customHeight="1">
      <c r="A8" s="12">
        <v>4</v>
      </c>
      <c r="B8" s="70" t="str">
        <f>LIDER!C12</f>
        <v>María Angélica Lopez</v>
      </c>
      <c r="C8" s="64" t="str">
        <f>IF(B8=0,"",IFERROR(VLOOKUP(B8,'S-ASIG-01'!$B$5:$E$88,2,0),0))</f>
        <v>G01</v>
      </c>
      <c r="D8" s="65">
        <f t="shared" si="2"/>
        <v>4.5</v>
      </c>
      <c r="E8" s="66">
        <f t="shared" si="3"/>
        <v>4.3740000000000006</v>
      </c>
      <c r="F8" s="47"/>
      <c r="G8" s="71">
        <f>IF(B8=0,"",IFERROR(VLOOKUP(B8,'S-ASIG-01'!$B$5:$E$88,4,0),0))</f>
        <v>4.4400000000000004</v>
      </c>
      <c r="H8" s="72">
        <f>IF(B8=0,"",IFERROR(VLOOKUP(B8,'S-ASIG-02'!$B$5:$E$88,4,0),0))</f>
        <v>4.51</v>
      </c>
      <c r="I8" s="72">
        <f>IF(B8=0,"",IFERROR(VLOOKUP(B8,'S-ASIG-03'!$B$5:$E$88,4,0),0))</f>
        <v>4.6500000000000004</v>
      </c>
      <c r="J8" s="72">
        <f>IF(B8=0,"",IFERROR(VLOOKUP(B8,'S-ASIG-04'!$B$5:$E$88,4,0),0))</f>
        <v>0</v>
      </c>
      <c r="K8" s="72">
        <f>IF(B8=0,"",IFERROR(VLOOKUP(B8,'S-ASIG-05'!$B$5:$E$88,4,0),0))</f>
        <v>4.4000000000000004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116</v>
      </c>
      <c r="O8" s="71">
        <f>IF(B8=0,"",IFERROR(VLOOKUP(B8,'T-ASIG-01'!$B$5:$D$88,3,0),0))</f>
        <v>4.07</v>
      </c>
      <c r="P8" s="72">
        <f>IF(B8=0,"",IFERROR(VLOOKUP(B8,'T-ASIG-02'!$B$5:$D$88,3,0),0))</f>
        <v>4.53</v>
      </c>
      <c r="Q8" s="72">
        <f>IF(B8=0,"",IFERROR(VLOOKUP(B8,'T-ASIG-03'!$B$5:$D$88,3,0),0))</f>
        <v>4.6000000000000005</v>
      </c>
      <c r="R8" s="72">
        <f>IF(B8=0,"",IFERROR(VLOOKUP(B8,'T-ASIG-04'!$B$5:$D$88,3,0),0))</f>
        <v>4.07</v>
      </c>
      <c r="S8" s="72">
        <f>IF(B8=0,"",IFERROR(VLOOKUP(B8,'T-ASIG-05'!$B$5:$D$88,3,0),0))</f>
        <v>4.5999999999999996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117</v>
      </c>
    </row>
    <row r="9" spans="1:22" ht="15" customHeight="1">
      <c r="A9" s="12">
        <v>5</v>
      </c>
      <c r="B9" s="70" t="str">
        <f>LIDER!C13</f>
        <v>Shereine Tovar</v>
      </c>
      <c r="C9" s="64" t="str">
        <f>IF(B9=0,"",IFERROR(VLOOKUP(B9,'S-ASIG-01'!$B$5:$E$88,2,0),0))</f>
        <v>G01</v>
      </c>
      <c r="D9" s="65">
        <f t="shared" si="2"/>
        <v>4.5</v>
      </c>
      <c r="E9" s="66">
        <f t="shared" si="3"/>
        <v>4.3740000000000006</v>
      </c>
      <c r="F9" s="47"/>
      <c r="G9" s="71">
        <f>IF(B9=0,"",IFERROR(VLOOKUP(B9,'S-ASIG-01'!$B$5:$E$88,4,0),0))</f>
        <v>4.4400000000000004</v>
      </c>
      <c r="H9" s="72">
        <f>IF(B9=0,"",IFERROR(VLOOKUP(B9,'S-ASIG-02'!$B$5:$E$88,4,0),0))</f>
        <v>4.51</v>
      </c>
      <c r="I9" s="72">
        <f>IF(B9=0,"",IFERROR(VLOOKUP(B9,'S-ASIG-03'!$B$5:$E$88,4,0),0))</f>
        <v>4.6500000000000004</v>
      </c>
      <c r="J9" s="72">
        <f>IF(B9=0,"",IFERROR(VLOOKUP(B9,'S-ASIG-04'!$B$5:$E$88,4,0),0))</f>
        <v>0</v>
      </c>
      <c r="K9" s="72">
        <f>IF(B9=0,"",IFERROR(VLOOKUP(B9,'S-ASIG-05'!$B$5:$E$88,4,0),0))</f>
        <v>4.4000000000000004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116</v>
      </c>
      <c r="O9" s="71">
        <f>IF(B9=0,"",IFERROR(VLOOKUP(B9,'T-ASIG-01'!$B$5:$D$88,3,0),0))</f>
        <v>4.07</v>
      </c>
      <c r="P9" s="72">
        <f>IF(B9=0,"",IFERROR(VLOOKUP(B9,'T-ASIG-02'!$B$5:$D$88,3,0),0))</f>
        <v>4.53</v>
      </c>
      <c r="Q9" s="72">
        <f>IF(B9=0,"",IFERROR(VLOOKUP(B9,'T-ASIG-03'!$B$5:$D$88,3,0),0))</f>
        <v>4.6000000000000005</v>
      </c>
      <c r="R9" s="72">
        <f>IF(B9=0,"",IFERROR(VLOOKUP(B9,'T-ASIG-04'!$B$5:$D$88,3,0),0))</f>
        <v>4.07</v>
      </c>
      <c r="S9" s="72">
        <f>IF(B9=0,"",IFERROR(VLOOKUP(B9,'T-ASIG-05'!$B$5:$D$88,3,0),0))</f>
        <v>4.5999999999999996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117</v>
      </c>
    </row>
    <row r="10" spans="1:22" ht="15" customHeight="1">
      <c r="A10" s="12">
        <v>6</v>
      </c>
      <c r="B10" s="70" t="str">
        <f>LIDER!C14</f>
        <v xml:space="preserve">Brayer David Altamiranda Morales </v>
      </c>
      <c r="C10" s="64" t="str">
        <f>IF(B10=0,"",IFERROR(VLOOKUP(B10,'S-ASIG-01'!$B$5:$E$88,2,0),0))</f>
        <v>G02</v>
      </c>
      <c r="D10" s="65">
        <f t="shared" si="2"/>
        <v>4.3100000000000005</v>
      </c>
      <c r="E10" s="66">
        <f t="shared" si="3"/>
        <v>4.3579999999999997</v>
      </c>
      <c r="F10" s="47"/>
      <c r="G10" s="71">
        <f>IF(B10=0,"",IFERROR(VLOOKUP(B10,'S-ASIG-01'!$B$5:$E$88,4,0),0))</f>
        <v>4.4000000000000004</v>
      </c>
      <c r="H10" s="72">
        <f>IF(B10=0,"",IFERROR(VLOOKUP(B10,'S-ASIG-02'!$B$5:$E$88,4,0),0))</f>
        <v>4.1800000000000006</v>
      </c>
      <c r="I10" s="72">
        <f>IF(B10=0,"",IFERROR(VLOOKUP(B10,'S-ASIG-03'!$B$5:$E$88,4,0),0))</f>
        <v>4.66</v>
      </c>
      <c r="J10" s="72">
        <f>IF(B10=0,"",IFERROR(VLOOKUP(B10,'S-ASIG-04'!$B$5:$E$88,4,0),0))</f>
        <v>0</v>
      </c>
      <c r="K10" s="72">
        <f>IF(B10=0,"",IFERROR(VLOOKUP(B10,'S-ASIG-05'!$B$5:$E$88,4,0),0))</f>
        <v>3.9999999999999996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116</v>
      </c>
      <c r="O10" s="71">
        <f>IF(B10=0,"",IFERROR(VLOOKUP(B10,'T-ASIG-01'!$B$5:$D$88,3,0),0))</f>
        <v>4.17</v>
      </c>
      <c r="P10" s="72">
        <f>IF(B10=0,"",IFERROR(VLOOKUP(B10,'T-ASIG-02'!$B$5:$D$88,3,0),0))</f>
        <v>4.6500000000000004</v>
      </c>
      <c r="Q10" s="72">
        <f>IF(B10=0,"",IFERROR(VLOOKUP(B10,'T-ASIG-03'!$B$5:$D$88,3,0),0))</f>
        <v>4.45</v>
      </c>
      <c r="R10" s="72">
        <f>IF(B10=0,"",IFERROR(VLOOKUP(B10,'T-ASIG-04'!$B$5:$D$88,3,0),0))</f>
        <v>4.17</v>
      </c>
      <c r="S10" s="72">
        <f>IF(B10=0,"",IFERROR(VLOOKUP(B10,'T-ASIG-05'!$B$5:$D$88,3,0),0))</f>
        <v>4.3500000000000005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117</v>
      </c>
    </row>
    <row r="11" spans="1:22" ht="15" customHeight="1">
      <c r="A11" s="12">
        <v>7</v>
      </c>
      <c r="B11" s="70" t="str">
        <f>LIDER!C15</f>
        <v xml:space="preserve">Luis Alberto Campo Ospino </v>
      </c>
      <c r="C11" s="64" t="str">
        <f>IF(B11=0,"",IFERROR(VLOOKUP(B11,'S-ASIG-01'!$B$5:$E$88,2,0),0))</f>
        <v>G02</v>
      </c>
      <c r="D11" s="65">
        <f t="shared" si="2"/>
        <v>4.3100000000000005</v>
      </c>
      <c r="E11" s="66">
        <f t="shared" si="3"/>
        <v>4.3319999999999999</v>
      </c>
      <c r="F11" s="47"/>
      <c r="G11" s="71">
        <f>IF(B11=0,"",IFERROR(VLOOKUP(B11,'S-ASIG-01'!$B$5:$E$88,4,0),0))</f>
        <v>4.4000000000000004</v>
      </c>
      <c r="H11" s="72">
        <f>IF(B11=0,"",IFERROR(VLOOKUP(B11,'S-ASIG-02'!$B$5:$E$88,4,0),0))</f>
        <v>4.1800000000000006</v>
      </c>
      <c r="I11" s="72">
        <f>IF(B11=0,"",IFERROR(VLOOKUP(B11,'S-ASIG-03'!$B$5:$E$88,4,0),0))</f>
        <v>4.66</v>
      </c>
      <c r="J11" s="72">
        <f>IF(B11=0,"",IFERROR(VLOOKUP(B11,'S-ASIG-04'!$B$5:$E$88,4,0),0))</f>
        <v>0</v>
      </c>
      <c r="K11" s="72">
        <f>IF(B11=0,"",IFERROR(VLOOKUP(B11,'S-ASIG-05'!$B$5:$E$88,4,0),0))</f>
        <v>3.9999999999999996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116</v>
      </c>
      <c r="O11" s="71">
        <f>IF(B11=0,"",IFERROR(VLOOKUP(B11,'T-ASIG-01'!$B$5:$D$88,3,0),0))</f>
        <v>4.13</v>
      </c>
      <c r="P11" s="72">
        <f>IF(B11=0,"",IFERROR(VLOOKUP(B11,'T-ASIG-02'!$B$5:$D$88,3,0),0))</f>
        <v>4.5999999999999996</v>
      </c>
      <c r="Q11" s="72">
        <f>IF(B11=0,"",IFERROR(VLOOKUP(B11,'T-ASIG-03'!$B$5:$D$88,3,0),0))</f>
        <v>4.45</v>
      </c>
      <c r="R11" s="72">
        <f>IF(B11=0,"",IFERROR(VLOOKUP(B11,'T-ASIG-04'!$B$5:$D$88,3,0),0))</f>
        <v>4.13</v>
      </c>
      <c r="S11" s="72">
        <f>IF(B11=0,"",IFERROR(VLOOKUP(B11,'T-ASIG-05'!$B$5:$D$88,3,0),0))</f>
        <v>4.3500000000000005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117</v>
      </c>
    </row>
    <row r="12" spans="1:22" ht="15" customHeight="1">
      <c r="A12" s="12">
        <v>8</v>
      </c>
      <c r="B12" s="70" t="str">
        <f>LIDER!C16</f>
        <v xml:space="preserve">Brayan Smith Cantillo González </v>
      </c>
      <c r="C12" s="64" t="str">
        <f>IF(B12=0,"",IFERROR(VLOOKUP(B12,'S-ASIG-01'!$B$5:$E$88,2,0),0))</f>
        <v>G02</v>
      </c>
      <c r="D12" s="65">
        <f t="shared" si="2"/>
        <v>4.3100000000000005</v>
      </c>
      <c r="E12" s="66">
        <f t="shared" si="3"/>
        <v>4.3319999999999999</v>
      </c>
      <c r="F12" s="47"/>
      <c r="G12" s="71">
        <f>IF(B12=0,"",IFERROR(VLOOKUP(B12,'S-ASIG-01'!$B$5:$E$88,4,0),0))</f>
        <v>4.4000000000000004</v>
      </c>
      <c r="H12" s="72">
        <f>IF(B12=0,"",IFERROR(VLOOKUP(B12,'S-ASIG-02'!$B$5:$E$88,4,0),0))</f>
        <v>4.1800000000000006</v>
      </c>
      <c r="I12" s="72">
        <f>IF(B12=0,"",IFERROR(VLOOKUP(B12,'S-ASIG-03'!$B$5:$E$88,4,0),0))</f>
        <v>4.66</v>
      </c>
      <c r="J12" s="72">
        <f>IF(B12=0,"",IFERROR(VLOOKUP(B12,'S-ASIG-04'!$B$5:$E$88,4,0),0))</f>
        <v>0</v>
      </c>
      <c r="K12" s="72">
        <f>IF(B12=0,"",IFERROR(VLOOKUP(B12,'S-ASIG-05'!$B$5:$E$88,4,0),0))</f>
        <v>3.9999999999999996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116</v>
      </c>
      <c r="O12" s="71">
        <f>IF(B12=0,"",IFERROR(VLOOKUP(B12,'T-ASIG-01'!$B$5:$D$88,3,0),0))</f>
        <v>4.13</v>
      </c>
      <c r="P12" s="72">
        <f>IF(B12=0,"",IFERROR(VLOOKUP(B12,'T-ASIG-02'!$B$5:$D$88,3,0),0))</f>
        <v>4.5999999999999996</v>
      </c>
      <c r="Q12" s="72">
        <f>IF(B12=0,"",IFERROR(VLOOKUP(B12,'T-ASIG-03'!$B$5:$D$88,3,0),0))</f>
        <v>4.45</v>
      </c>
      <c r="R12" s="72">
        <f>IF(B12=0,"",IFERROR(VLOOKUP(B12,'T-ASIG-04'!$B$5:$D$88,3,0),0))</f>
        <v>4.13</v>
      </c>
      <c r="S12" s="72">
        <f>IF(B12=0,"",IFERROR(VLOOKUP(B12,'T-ASIG-05'!$B$5:$D$88,3,0),0))</f>
        <v>4.3500000000000005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117</v>
      </c>
    </row>
    <row r="13" spans="1:22" ht="15" customHeight="1">
      <c r="A13" s="12">
        <v>9</v>
      </c>
      <c r="B13" s="70" t="str">
        <f>LIDER!C17</f>
        <v xml:space="preserve">Ayleen Patricia Herbales Puerta </v>
      </c>
      <c r="C13" s="64" t="str">
        <f>IF(B13=0,"",IFERROR(VLOOKUP(B13,'S-ASIG-01'!$B$5:$E$88,2,0),0))</f>
        <v>G02</v>
      </c>
      <c r="D13" s="65">
        <f t="shared" si="2"/>
        <v>4.3100000000000005</v>
      </c>
      <c r="E13" s="66">
        <f t="shared" si="3"/>
        <v>4.3319999999999999</v>
      </c>
      <c r="F13" s="47"/>
      <c r="G13" s="71">
        <f>IF(B13=0,"",IFERROR(VLOOKUP(B13,'S-ASIG-01'!$B$5:$E$88,4,0),0))</f>
        <v>4.4000000000000004</v>
      </c>
      <c r="H13" s="72">
        <f>IF(B13=0,"",IFERROR(VLOOKUP(B13,'S-ASIG-02'!$B$5:$E$88,4,0),0))</f>
        <v>4.1800000000000006</v>
      </c>
      <c r="I13" s="72">
        <f>IF(B13=0,"",IFERROR(VLOOKUP(B13,'S-ASIG-03'!$B$5:$E$88,4,0),0))</f>
        <v>4.66</v>
      </c>
      <c r="J13" s="72">
        <f>IF(B13=0,"",IFERROR(VLOOKUP(B13,'S-ASIG-04'!$B$5:$E$88,4,0),0))</f>
        <v>0</v>
      </c>
      <c r="K13" s="72">
        <f>IF(B13=0,"",IFERROR(VLOOKUP(B13,'S-ASIG-05'!$B$5:$E$88,4,0),0))</f>
        <v>3.9999999999999996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116</v>
      </c>
      <c r="O13" s="71">
        <f>IF(B13=0,"",IFERROR(VLOOKUP(B13,'T-ASIG-01'!$B$5:$D$88,3,0),0))</f>
        <v>4.13</v>
      </c>
      <c r="P13" s="72">
        <f>IF(B13=0,"",IFERROR(VLOOKUP(B13,'T-ASIG-02'!$B$5:$D$88,3,0),0))</f>
        <v>4.5999999999999996</v>
      </c>
      <c r="Q13" s="72">
        <f>IF(B13=0,"",IFERROR(VLOOKUP(B13,'T-ASIG-03'!$B$5:$D$88,3,0),0))</f>
        <v>4.45</v>
      </c>
      <c r="R13" s="72">
        <f>IF(B13=0,"",IFERROR(VLOOKUP(B13,'T-ASIG-04'!$B$5:$D$88,3,0),0))</f>
        <v>4.13</v>
      </c>
      <c r="S13" s="72">
        <f>IF(B13=0,"",IFERROR(VLOOKUP(B13,'T-ASIG-05'!$B$5:$D$88,3,0),0))</f>
        <v>4.3500000000000005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117</v>
      </c>
    </row>
    <row r="14" spans="1:22" ht="15" customHeight="1">
      <c r="A14" s="12">
        <v>10</v>
      </c>
      <c r="B14" s="70" t="str">
        <f>LIDER!C18</f>
        <v>Alexander Ruiz Guzman</v>
      </c>
      <c r="C14" s="64" t="str">
        <f>IF(B14=0,"",IFERROR(VLOOKUP(B14,'S-ASIG-01'!$B$5:$E$88,2,0),0))</f>
        <v>G02</v>
      </c>
      <c r="D14" s="65">
        <f t="shared" si="2"/>
        <v>4.3100000000000005</v>
      </c>
      <c r="E14" s="66">
        <f t="shared" si="3"/>
        <v>4.3319999999999999</v>
      </c>
      <c r="F14" s="47"/>
      <c r="G14" s="71">
        <f>IF(B14=0,"",IFERROR(VLOOKUP(B14,'S-ASIG-01'!$B$5:$E$88,4,0),0))</f>
        <v>4.4000000000000004</v>
      </c>
      <c r="H14" s="72">
        <f>IF(B14=0,"",IFERROR(VLOOKUP(B14,'S-ASIG-02'!$B$5:$E$88,4,0),0))</f>
        <v>4.1800000000000006</v>
      </c>
      <c r="I14" s="72">
        <f>IF(B14=0,"",IFERROR(VLOOKUP(B14,'S-ASIG-03'!$B$5:$E$88,4,0),0))</f>
        <v>4.66</v>
      </c>
      <c r="J14" s="72">
        <f>IF(B14=0,"",IFERROR(VLOOKUP(B14,'S-ASIG-04'!$B$5:$E$88,4,0),0))</f>
        <v>0</v>
      </c>
      <c r="K14" s="72">
        <f>IF(B14=0,"",IFERROR(VLOOKUP(B14,'S-ASIG-05'!$B$5:$E$88,4,0),0))</f>
        <v>3.9999999999999996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116</v>
      </c>
      <c r="O14" s="71">
        <f>IF(B14=0,"",IFERROR(VLOOKUP(B14,'T-ASIG-01'!$B$5:$D$88,3,0),0))</f>
        <v>4.13</v>
      </c>
      <c r="P14" s="72">
        <f>IF(B14=0,"",IFERROR(VLOOKUP(B14,'T-ASIG-02'!$B$5:$D$88,3,0),0))</f>
        <v>4.5999999999999996</v>
      </c>
      <c r="Q14" s="72">
        <f>IF(B14=0,"",IFERROR(VLOOKUP(B14,'T-ASIG-03'!$B$5:$D$88,3,0),0))</f>
        <v>4.45</v>
      </c>
      <c r="R14" s="72">
        <f>IF(B14=0,"",IFERROR(VLOOKUP(B14,'T-ASIG-04'!$B$5:$D$88,3,0),0))</f>
        <v>4.13</v>
      </c>
      <c r="S14" s="72">
        <f>IF(B14=0,"",IFERROR(VLOOKUP(B14,'T-ASIG-05'!$B$5:$D$88,3,0),0))</f>
        <v>4.3500000000000005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117</v>
      </c>
    </row>
    <row r="15" spans="1:22" ht="15" customHeight="1">
      <c r="A15" s="12">
        <v>11</v>
      </c>
      <c r="B15" s="70" t="str">
        <f>LIDER!C19</f>
        <v xml:space="preserve">Katerin sofia Ceballos Fernández </v>
      </c>
      <c r="C15" s="64" t="str">
        <f>IF(B15=0,"",IFERROR(VLOOKUP(B15,'S-ASIG-01'!$B$5:$E$88,2,0),0))</f>
        <v>G03</v>
      </c>
      <c r="D15" s="65">
        <f t="shared" si="2"/>
        <v>4.4575000000000005</v>
      </c>
      <c r="E15" s="66">
        <f t="shared" si="3"/>
        <v>4.42</v>
      </c>
      <c r="F15" s="47"/>
      <c r="G15" s="71">
        <f>IF(B15=0,"",IFERROR(VLOOKUP(B15,'S-ASIG-01'!$B$5:$E$88,4,0),0))</f>
        <v>4.4600000000000009</v>
      </c>
      <c r="H15" s="72">
        <f>IF(B15=0,"",IFERROR(VLOOKUP(B15,'S-ASIG-02'!$B$5:$E$88,4,0),0))</f>
        <v>4.2200000000000006</v>
      </c>
      <c r="I15" s="72">
        <f>IF(B15=0,"",IFERROR(VLOOKUP(B15,'S-ASIG-03'!$B$5:$E$88,4,0),0))</f>
        <v>4.6500000000000004</v>
      </c>
      <c r="J15" s="72">
        <f>IF(B15=0,"",IFERROR(VLOOKUP(B15,'S-ASIG-04'!$B$5:$E$88,4,0),0))</f>
        <v>0</v>
      </c>
      <c r="K15" s="72">
        <f>IF(B15=0,"",IFERROR(VLOOKUP(B15,'S-ASIG-05'!$B$5:$E$88,4,0),0))</f>
        <v>4.5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116</v>
      </c>
      <c r="O15" s="71">
        <f>IF(B15=0,"",IFERROR(VLOOKUP(B15,'T-ASIG-01'!$B$5:$D$88,3,0),0))</f>
        <v>4.1500000000000004</v>
      </c>
      <c r="P15" s="72">
        <f>IF(B15=0,"",IFERROR(VLOOKUP(B15,'T-ASIG-02'!$B$5:$D$88,3,0),0))</f>
        <v>4.6000000000000005</v>
      </c>
      <c r="Q15" s="72">
        <f>IF(B15=0,"",IFERROR(VLOOKUP(B15,'T-ASIG-03'!$B$5:$D$88,3,0),0))</f>
        <v>4.6000000000000005</v>
      </c>
      <c r="R15" s="72">
        <f>IF(B15=0,"",IFERROR(VLOOKUP(B15,'T-ASIG-04'!$B$5:$D$88,3,0),0))</f>
        <v>4.1500000000000004</v>
      </c>
      <c r="S15" s="72">
        <f>IF(B15=0,"",IFERROR(VLOOKUP(B15,'T-ASIG-05'!$B$5:$D$88,3,0),0))</f>
        <v>4.5999999999999996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117</v>
      </c>
    </row>
    <row r="16" spans="1:22" ht="15" customHeight="1">
      <c r="A16" s="12">
        <v>12</v>
      </c>
      <c r="B16" s="70" t="str">
        <f>LIDER!C20</f>
        <v>Elver Consuegra</v>
      </c>
      <c r="C16" s="64">
        <f>IF(B16=0,"",IFERROR(VLOOKUP(B16,'S-ASIG-01'!$B$5:$E$88,2,0),0))</f>
        <v>0</v>
      </c>
      <c r="D16" s="65">
        <f t="shared" si="2"/>
        <v>0</v>
      </c>
      <c r="E16" s="66">
        <f t="shared" si="3"/>
        <v>0</v>
      </c>
      <c r="F16" s="47"/>
      <c r="G16" s="71">
        <f>IF(B16=0,"",IFERROR(VLOOKUP(B16,'S-ASIG-01'!$B$5:$E$88,4,0),0))</f>
        <v>0</v>
      </c>
      <c r="H16" s="72">
        <f>IF(B16=0,"",IFERROR(VLOOKUP(B16,'S-ASIG-02'!$B$5:$E$88,4,0),0))</f>
        <v>0</v>
      </c>
      <c r="I16" s="72">
        <f>IF(B16=0,"",IFERROR(VLOOKUP(B16,'S-ASIG-03'!$B$5:$E$88,4,0),0))</f>
        <v>0</v>
      </c>
      <c r="J16" s="72">
        <f>IF(B16=0,"",IFERROR(VLOOKUP(B16,'S-ASIG-04'!$B$5:$E$88,4,0),0))</f>
        <v>0</v>
      </c>
      <c r="K16" s="72">
        <f>IF(B16=0,"",IFERROR(VLOOKUP(B16,'S-ASIG-05'!$B$5:$E$88,4,0),0))</f>
        <v>0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116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117</v>
      </c>
    </row>
    <row r="17" spans="1:22" ht="15" customHeight="1">
      <c r="A17" s="12">
        <v>13</v>
      </c>
      <c r="B17" s="70" t="str">
        <f>LIDER!C21</f>
        <v xml:space="preserve">Juliana Díaz Pérez </v>
      </c>
      <c r="C17" s="64" t="str">
        <f>IF(B17=0,"",IFERROR(VLOOKUP(B17,'S-ASIG-01'!$B$5:$E$88,2,0),0))</f>
        <v>G03</v>
      </c>
      <c r="D17" s="65">
        <f t="shared" si="2"/>
        <v>4.4575000000000005</v>
      </c>
      <c r="E17" s="66">
        <f t="shared" si="3"/>
        <v>4.42</v>
      </c>
      <c r="F17" s="47"/>
      <c r="G17" s="71">
        <f>IF(B17=0,"",IFERROR(VLOOKUP(B17,'S-ASIG-01'!$B$5:$E$88,4,0),0))</f>
        <v>4.4600000000000009</v>
      </c>
      <c r="H17" s="72">
        <f>IF(B17=0,"",IFERROR(VLOOKUP(B17,'S-ASIG-02'!$B$5:$E$88,4,0),0))</f>
        <v>4.2200000000000006</v>
      </c>
      <c r="I17" s="72">
        <f>IF(B17=0,"",IFERROR(VLOOKUP(B17,'S-ASIG-03'!$B$5:$E$88,4,0),0))</f>
        <v>4.6500000000000004</v>
      </c>
      <c r="J17" s="72">
        <f>IF(B17=0,"",IFERROR(VLOOKUP(B17,'S-ASIG-04'!$B$5:$E$88,4,0),0))</f>
        <v>0</v>
      </c>
      <c r="K17" s="72">
        <f>IF(B17=0,"",IFERROR(VLOOKUP(B17,'S-ASIG-05'!$B$5:$E$88,4,0),0))</f>
        <v>4.5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116</v>
      </c>
      <c r="O17" s="71">
        <f>IF(B17=0,"",IFERROR(VLOOKUP(B17,'T-ASIG-01'!$B$5:$D$88,3,0),0))</f>
        <v>4.1500000000000004</v>
      </c>
      <c r="P17" s="72">
        <f>IF(B17=0,"",IFERROR(VLOOKUP(B17,'T-ASIG-02'!$B$5:$D$88,3,0),0))</f>
        <v>4.6000000000000005</v>
      </c>
      <c r="Q17" s="72">
        <f>IF(B17=0,"",IFERROR(VLOOKUP(B17,'T-ASIG-03'!$B$5:$D$88,3,0),0))</f>
        <v>4.6000000000000005</v>
      </c>
      <c r="R17" s="72">
        <f>IF(B17=0,"",IFERROR(VLOOKUP(B17,'T-ASIG-04'!$B$5:$D$88,3,0),0))</f>
        <v>4.1500000000000004</v>
      </c>
      <c r="S17" s="72">
        <f>IF(B17=0,"",IFERROR(VLOOKUP(B17,'T-ASIG-05'!$B$5:$D$88,3,0),0))</f>
        <v>4.5999999999999996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117</v>
      </c>
    </row>
    <row r="18" spans="1:22" ht="15" customHeight="1">
      <c r="A18" s="12">
        <v>14</v>
      </c>
      <c r="B18" s="70" t="str">
        <f>LIDER!C22</f>
        <v xml:space="preserve">Rut Elena Montoya Ávila </v>
      </c>
      <c r="C18" s="64" t="str">
        <f>IF(B18=0,"",IFERROR(VLOOKUP(B18,'S-ASIG-01'!$B$5:$E$88,2,0),0))</f>
        <v>G03</v>
      </c>
      <c r="D18" s="65">
        <f t="shared" si="2"/>
        <v>4.4575000000000005</v>
      </c>
      <c r="E18" s="66">
        <f t="shared" si="3"/>
        <v>4.42</v>
      </c>
      <c r="F18" s="47"/>
      <c r="G18" s="71">
        <f>IF(B18=0,"",IFERROR(VLOOKUP(B18,'S-ASIG-01'!$B$5:$E$88,4,0),0))</f>
        <v>4.4600000000000009</v>
      </c>
      <c r="H18" s="72">
        <f>IF(B18=0,"",IFERROR(VLOOKUP(B18,'S-ASIG-02'!$B$5:$E$88,4,0),0))</f>
        <v>4.2200000000000006</v>
      </c>
      <c r="I18" s="72">
        <f>IF(B18=0,"",IFERROR(VLOOKUP(B18,'S-ASIG-03'!$B$5:$E$88,4,0),0))</f>
        <v>4.6500000000000004</v>
      </c>
      <c r="J18" s="72">
        <f>IF(B18=0,"",IFERROR(VLOOKUP(B18,'S-ASIG-04'!$B$5:$E$88,4,0),0))</f>
        <v>0</v>
      </c>
      <c r="K18" s="72">
        <f>IF(B18=0,"",IFERROR(VLOOKUP(B18,'S-ASIG-05'!$B$5:$E$88,4,0),0))</f>
        <v>4.5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116</v>
      </c>
      <c r="O18" s="71">
        <f>IF(B18=0,"",IFERROR(VLOOKUP(B18,'T-ASIG-01'!$B$5:$D$88,3,0),0))</f>
        <v>4.1500000000000004</v>
      </c>
      <c r="P18" s="72">
        <f>IF(B18=0,"",IFERROR(VLOOKUP(B18,'T-ASIG-02'!$B$5:$D$88,3,0),0))</f>
        <v>4.6000000000000005</v>
      </c>
      <c r="Q18" s="72">
        <f>IF(B18=0,"",IFERROR(VLOOKUP(B18,'T-ASIG-03'!$B$5:$D$88,3,0),0))</f>
        <v>4.6000000000000005</v>
      </c>
      <c r="R18" s="72">
        <f>IF(B18=0,"",IFERROR(VLOOKUP(B18,'T-ASIG-04'!$B$5:$D$88,3,0),0))</f>
        <v>4.1500000000000004</v>
      </c>
      <c r="S18" s="72">
        <f>IF(B18=0,"",IFERROR(VLOOKUP(B18,'T-ASIG-05'!$B$5:$D$88,3,0),0))</f>
        <v>4.5999999999999996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117</v>
      </c>
    </row>
    <row r="19" spans="1:22" ht="15" customHeight="1">
      <c r="A19" s="12">
        <v>15</v>
      </c>
      <c r="B19" s="70" t="str">
        <f>LIDER!C23</f>
        <v xml:space="preserve">Daniela Ramírez Aguirre </v>
      </c>
      <c r="C19" s="64" t="str">
        <f>IF(B19=0,"",IFERROR(VLOOKUP(B19,'S-ASIG-01'!$B$5:$E$88,2,0),0))</f>
        <v>G03</v>
      </c>
      <c r="D19" s="65">
        <f t="shared" si="2"/>
        <v>4.4575000000000005</v>
      </c>
      <c r="E19" s="66">
        <f t="shared" si="3"/>
        <v>4.42</v>
      </c>
      <c r="F19" s="47"/>
      <c r="G19" s="71">
        <f>IF(B19=0,"",IFERROR(VLOOKUP(B19,'S-ASIG-01'!$B$5:$E$88,4,0),0))</f>
        <v>4.4600000000000009</v>
      </c>
      <c r="H19" s="72">
        <f>IF(B19=0,"",IFERROR(VLOOKUP(B19,'S-ASIG-02'!$B$5:$E$88,4,0),0))</f>
        <v>4.2200000000000006</v>
      </c>
      <c r="I19" s="72">
        <f>IF(B19=0,"",IFERROR(VLOOKUP(B19,'S-ASIG-03'!$B$5:$E$88,4,0),0))</f>
        <v>4.6500000000000004</v>
      </c>
      <c r="J19" s="72">
        <f>IF(B19=0,"",IFERROR(VLOOKUP(B19,'S-ASIG-04'!$B$5:$E$88,4,0),0))</f>
        <v>0</v>
      </c>
      <c r="K19" s="72">
        <f>IF(B19=0,"",IFERROR(VLOOKUP(B19,'S-ASIG-05'!$B$5:$E$88,4,0),0))</f>
        <v>4.5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116</v>
      </c>
      <c r="O19" s="71">
        <f>IF(B19=0,"",IFERROR(VLOOKUP(B19,'T-ASIG-01'!$B$5:$D$88,3,0),0))</f>
        <v>4.1500000000000004</v>
      </c>
      <c r="P19" s="72">
        <f>IF(B19=0,"",IFERROR(VLOOKUP(B19,'T-ASIG-02'!$B$5:$D$88,3,0),0))</f>
        <v>4.6000000000000005</v>
      </c>
      <c r="Q19" s="72">
        <f>IF(B19=0,"",IFERROR(VLOOKUP(B19,'T-ASIG-03'!$B$5:$D$88,3,0),0))</f>
        <v>4.6000000000000005</v>
      </c>
      <c r="R19" s="72">
        <f>IF(B19=0,"",IFERROR(VLOOKUP(B19,'T-ASIG-04'!$B$5:$D$88,3,0),0))</f>
        <v>4.1500000000000004</v>
      </c>
      <c r="S19" s="72">
        <f>IF(B19=0,"",IFERROR(VLOOKUP(B19,'T-ASIG-05'!$B$5:$D$88,3,0),0))</f>
        <v>4.5999999999999996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117</v>
      </c>
    </row>
    <row r="20" spans="1:22" ht="15" customHeight="1">
      <c r="A20" s="12">
        <v>16</v>
      </c>
      <c r="B20" s="70" t="str">
        <f>LIDER!C24</f>
        <v xml:space="preserve"> Jhoiny Luz Valdes González</v>
      </c>
      <c r="C20" s="64" t="str">
        <f>IF(B20=0,"",IFERROR(VLOOKUP(B20,'S-ASIG-01'!$B$5:$E$88,2,0),0))</f>
        <v>G03</v>
      </c>
      <c r="D20" s="65">
        <f t="shared" si="2"/>
        <v>4.4575000000000005</v>
      </c>
      <c r="E20" s="66">
        <f t="shared" si="3"/>
        <v>4.42</v>
      </c>
      <c r="F20" s="47"/>
      <c r="G20" s="71">
        <f>IF(B20=0,"",IFERROR(VLOOKUP(B20,'S-ASIG-01'!$B$5:$E$88,4,0),0))</f>
        <v>4.4600000000000009</v>
      </c>
      <c r="H20" s="72">
        <f>IF(B20=0,"",IFERROR(VLOOKUP(B20,'S-ASIG-02'!$B$5:$E$88,4,0),0))</f>
        <v>4.2200000000000006</v>
      </c>
      <c r="I20" s="72">
        <f>IF(B20=0,"",IFERROR(VLOOKUP(B20,'S-ASIG-03'!$B$5:$E$88,4,0),0))</f>
        <v>4.6500000000000004</v>
      </c>
      <c r="J20" s="72">
        <f>IF(B20=0,"",IFERROR(VLOOKUP(B20,'S-ASIG-04'!$B$5:$E$88,4,0),0))</f>
        <v>0</v>
      </c>
      <c r="K20" s="72">
        <f>IF(B20=0,"",IFERROR(VLOOKUP(B20,'S-ASIG-05'!$B$5:$E$88,4,0),0))</f>
        <v>4.5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116</v>
      </c>
      <c r="O20" s="71">
        <f>IF(B20=0,"",IFERROR(VLOOKUP(B20,'T-ASIG-01'!$B$5:$D$88,3,0),0))</f>
        <v>4.1500000000000004</v>
      </c>
      <c r="P20" s="72">
        <f>IF(B20=0,"",IFERROR(VLOOKUP(B20,'T-ASIG-02'!$B$5:$D$88,3,0),0))</f>
        <v>4.6000000000000005</v>
      </c>
      <c r="Q20" s="72">
        <f>IF(B20=0,"",IFERROR(VLOOKUP(B20,'T-ASIG-03'!$B$5:$D$88,3,0),0))</f>
        <v>4.6000000000000005</v>
      </c>
      <c r="R20" s="72">
        <f>IF(B20=0,"",IFERROR(VLOOKUP(B20,'T-ASIG-04'!$B$5:$D$88,3,0),0))</f>
        <v>4.1500000000000004</v>
      </c>
      <c r="S20" s="72">
        <f>IF(B20=0,"",IFERROR(VLOOKUP(B20,'T-ASIG-05'!$B$5:$D$88,3,0),0))</f>
        <v>4.5999999999999996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117</v>
      </c>
    </row>
    <row r="21" spans="1:22" ht="15" customHeight="1">
      <c r="A21" s="12">
        <v>17</v>
      </c>
      <c r="B21" s="70" t="str">
        <f>LIDER!C25</f>
        <v>Jeraldine Ramirez Arteaga</v>
      </c>
      <c r="C21" s="64" t="str">
        <f>IF(B21=0,"",IFERROR(VLOOKUP(B21,'S-ASIG-01'!$B$5:$E$88,2,0),0))</f>
        <v>G04</v>
      </c>
      <c r="D21" s="65">
        <f t="shared" si="2"/>
        <v>4.4924999999999997</v>
      </c>
      <c r="E21" s="66">
        <f t="shared" si="3"/>
        <v>4.3600000000000003</v>
      </c>
      <c r="F21" s="47"/>
      <c r="G21" s="71">
        <f>IF(B21=0,"",IFERROR(VLOOKUP(B21,'S-ASIG-01'!$B$5:$E$88,4,0),0))</f>
        <v>4.4000000000000004</v>
      </c>
      <c r="H21" s="72">
        <f>IF(B21=0,"",IFERROR(VLOOKUP(B21,'S-ASIG-02'!$B$5:$E$88,4,0),0))</f>
        <v>4.4500000000000011</v>
      </c>
      <c r="I21" s="72">
        <f>IF(B21=0,"",IFERROR(VLOOKUP(B21,'S-ASIG-03'!$B$5:$E$88,4,0),0))</f>
        <v>4.72</v>
      </c>
      <c r="J21" s="72">
        <f>IF(B21=0,"",IFERROR(VLOOKUP(B21,'S-ASIG-04'!$B$5:$E$88,4,0),0))</f>
        <v>0</v>
      </c>
      <c r="K21" s="72">
        <f>IF(B21=0,"",IFERROR(VLOOKUP(B21,'S-ASIG-05'!$B$5:$E$88,4,0),0))</f>
        <v>4.4000000000000004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116</v>
      </c>
      <c r="O21" s="71">
        <f>IF(B21=0,"",IFERROR(VLOOKUP(B21,'T-ASIG-01'!$B$5:$D$88,3,0),0))</f>
        <v>4.05</v>
      </c>
      <c r="P21" s="72">
        <f>IF(B21=0,"",IFERROR(VLOOKUP(B21,'T-ASIG-02'!$B$5:$D$88,3,0),0))</f>
        <v>4.5</v>
      </c>
      <c r="Q21" s="72">
        <f>IF(B21=0,"",IFERROR(VLOOKUP(B21,'T-ASIG-03'!$B$5:$D$88,3,0),0))</f>
        <v>4.5</v>
      </c>
      <c r="R21" s="72">
        <f>IF(B21=0,"",IFERROR(VLOOKUP(B21,'T-ASIG-04'!$B$5:$D$88,3,0),0))</f>
        <v>4.05</v>
      </c>
      <c r="S21" s="72">
        <f>IF(B21=0,"",IFERROR(VLOOKUP(B21,'T-ASIG-05'!$B$5:$D$88,3,0),0))</f>
        <v>4.6999999999999993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117</v>
      </c>
    </row>
    <row r="22" spans="1:22" ht="15" customHeight="1">
      <c r="A22" s="12">
        <v>18</v>
      </c>
      <c r="B22" s="70" t="str">
        <f>LIDER!C26</f>
        <v>Aisha Carmona Diaz</v>
      </c>
      <c r="C22" s="64" t="str">
        <f>IF(B22=0,"",IFERROR(VLOOKUP(B22,'S-ASIG-01'!$B$5:$E$88,2,0),0))</f>
        <v>G04</v>
      </c>
      <c r="D22" s="65">
        <f t="shared" si="2"/>
        <v>4.4924999999999997</v>
      </c>
      <c r="E22" s="66">
        <f t="shared" si="3"/>
        <v>4.3600000000000003</v>
      </c>
      <c r="F22" s="47"/>
      <c r="G22" s="71">
        <f>IF(B22=0,"",IFERROR(VLOOKUP(B22,'S-ASIG-01'!$B$5:$E$88,4,0),0))</f>
        <v>4.4000000000000004</v>
      </c>
      <c r="H22" s="72">
        <f>IF(B22=0,"",IFERROR(VLOOKUP(B22,'S-ASIG-02'!$B$5:$E$88,4,0),0))</f>
        <v>4.4500000000000011</v>
      </c>
      <c r="I22" s="72">
        <f>IF(B22=0,"",IFERROR(VLOOKUP(B22,'S-ASIG-03'!$B$5:$E$88,4,0),0))</f>
        <v>4.72</v>
      </c>
      <c r="J22" s="72">
        <f>IF(B22=0,"",IFERROR(VLOOKUP(B22,'S-ASIG-04'!$B$5:$E$88,4,0),0))</f>
        <v>0</v>
      </c>
      <c r="K22" s="72">
        <f>IF(B22=0,"",IFERROR(VLOOKUP(B22,'S-ASIG-05'!$B$5:$E$88,4,0),0))</f>
        <v>4.4000000000000004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116</v>
      </c>
      <c r="O22" s="71">
        <f>IF(B22=0,"",IFERROR(VLOOKUP(B22,'T-ASIG-01'!$B$5:$D$88,3,0),0))</f>
        <v>4.05</v>
      </c>
      <c r="P22" s="72">
        <f>IF(B22=0,"",IFERROR(VLOOKUP(B22,'T-ASIG-02'!$B$5:$D$88,3,0),0))</f>
        <v>4.5</v>
      </c>
      <c r="Q22" s="72">
        <f>IF(B22=0,"",IFERROR(VLOOKUP(B22,'T-ASIG-03'!$B$5:$D$88,3,0),0))</f>
        <v>4.5</v>
      </c>
      <c r="R22" s="72">
        <f>IF(B22=0,"",IFERROR(VLOOKUP(B22,'T-ASIG-04'!$B$5:$D$88,3,0),0))</f>
        <v>4.05</v>
      </c>
      <c r="S22" s="72">
        <f>IF(B22=0,"",IFERROR(VLOOKUP(B22,'T-ASIG-05'!$B$5:$D$88,3,0),0))</f>
        <v>4.6999999999999993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117</v>
      </c>
    </row>
    <row r="23" spans="1:22" ht="15" customHeight="1">
      <c r="A23" s="12">
        <v>19</v>
      </c>
      <c r="B23" s="70" t="str">
        <f>LIDER!C27</f>
        <v>Danna Orozco Torres</v>
      </c>
      <c r="C23" s="64" t="str">
        <f>IF(B23=0,"",IFERROR(VLOOKUP(B23,'S-ASIG-01'!$B$5:$E$88,2,0),0))</f>
        <v>G04</v>
      </c>
      <c r="D23" s="65">
        <f t="shared" si="2"/>
        <v>4.5233333333333334</v>
      </c>
      <c r="E23" s="66">
        <f t="shared" si="3"/>
        <v>4.2750000000000004</v>
      </c>
      <c r="F23" s="47"/>
      <c r="G23" s="71">
        <f>IF(B23=0,"",IFERROR(VLOOKUP(B23,'S-ASIG-01'!$B$5:$E$88,4,0),0))</f>
        <v>4.4000000000000004</v>
      </c>
      <c r="H23" s="72">
        <f>IF(B23=0,"",IFERROR(VLOOKUP(B23,'S-ASIG-02'!$B$5:$E$88,4,0),0))</f>
        <v>4.4500000000000011</v>
      </c>
      <c r="I23" s="72">
        <f>IF(B23=0,"",IFERROR(VLOOKUP(B23,'S-ASIG-03'!$B$5:$E$88,4,0),0))</f>
        <v>4.72</v>
      </c>
      <c r="J23" s="72">
        <f>IF(B23=0,"",IFERROR(VLOOKUP(B23,'S-ASIG-04'!$B$5:$E$88,4,0),0))</f>
        <v>0</v>
      </c>
      <c r="K23" s="72" t="str">
        <f>IF(B23=0,"",IFERROR(VLOOKUP(B23,'S-ASIG-05'!$B$5:$E$88,4,0),0))</f>
        <v>N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116</v>
      </c>
      <c r="O23" s="71">
        <f>IF(B23=0,"",IFERROR(VLOOKUP(B23,'T-ASIG-01'!$B$5:$D$88,3,0),0))</f>
        <v>4.05</v>
      </c>
      <c r="P23" s="72">
        <f>IF(B23=0,"",IFERROR(VLOOKUP(B23,'T-ASIG-02'!$B$5:$D$88,3,0),0))</f>
        <v>4.5</v>
      </c>
      <c r="Q23" s="72">
        <f>IF(B23=0,"",IFERROR(VLOOKUP(B23,'T-ASIG-03'!$B$5:$D$88,3,0),0))</f>
        <v>4.5</v>
      </c>
      <c r="R23" s="72">
        <f>IF(B23=0,"",IFERROR(VLOOKUP(B23,'T-ASIG-04'!$B$5:$D$88,3,0),0))</f>
        <v>4.05</v>
      </c>
      <c r="S23" s="72" t="str">
        <f>IF(B23=0,"",IFERROR(VLOOKUP(B23,'T-ASIG-05'!$B$5:$D$88,3,0),0))</f>
        <v>N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117</v>
      </c>
    </row>
    <row r="24" spans="1:22" ht="15" customHeight="1">
      <c r="A24" s="12">
        <v>20</v>
      </c>
      <c r="B24" s="70" t="str">
        <f>LIDER!C28</f>
        <v>Heidy Herrera Pertuz</v>
      </c>
      <c r="C24" s="64" t="str">
        <f>IF(B24=0,"",IFERROR(VLOOKUP(B24,'S-ASIG-01'!$B$5:$E$88,2,0),0))</f>
        <v>G04</v>
      </c>
      <c r="D24" s="65">
        <f t="shared" si="2"/>
        <v>4.5233333333333334</v>
      </c>
      <c r="E24" s="66">
        <f t="shared" si="3"/>
        <v>4.2750000000000004</v>
      </c>
      <c r="F24" s="47"/>
      <c r="G24" s="71">
        <f>IF(B24=0,"",IFERROR(VLOOKUP(B24,'S-ASIG-01'!$B$5:$E$88,4,0),0))</f>
        <v>4.4000000000000004</v>
      </c>
      <c r="H24" s="72">
        <f>IF(B24=0,"",IFERROR(VLOOKUP(B24,'S-ASIG-02'!$B$5:$E$88,4,0),0))</f>
        <v>4.4500000000000011</v>
      </c>
      <c r="I24" s="72">
        <f>IF(B24=0,"",IFERROR(VLOOKUP(B24,'S-ASIG-03'!$B$5:$E$88,4,0),0))</f>
        <v>4.72</v>
      </c>
      <c r="J24" s="72">
        <f>IF(B24=0,"",IFERROR(VLOOKUP(B24,'S-ASIG-04'!$B$5:$E$88,4,0),0))</f>
        <v>0</v>
      </c>
      <c r="K24" s="72" t="str">
        <f>IF(B24=0,"",IFERROR(VLOOKUP(B24,'S-ASIG-05'!$B$5:$E$88,4,0),0))</f>
        <v>N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116</v>
      </c>
      <c r="O24" s="71">
        <f>IF(B24=0,"",IFERROR(VLOOKUP(B24,'T-ASIG-01'!$B$5:$D$88,3,0),0))</f>
        <v>4.05</v>
      </c>
      <c r="P24" s="72">
        <f>IF(B24=0,"",IFERROR(VLOOKUP(B24,'T-ASIG-02'!$B$5:$D$88,3,0),0))</f>
        <v>4.5</v>
      </c>
      <c r="Q24" s="72">
        <f>IF(B24=0,"",IFERROR(VLOOKUP(B24,'T-ASIG-03'!$B$5:$D$88,3,0),0))</f>
        <v>4.5</v>
      </c>
      <c r="R24" s="72">
        <f>IF(B24=0,"",IFERROR(VLOOKUP(B24,'T-ASIG-04'!$B$5:$D$88,3,0),0))</f>
        <v>4.05</v>
      </c>
      <c r="S24" s="72" t="str">
        <f>IF(B24=0,"",IFERROR(VLOOKUP(B24,'T-ASIG-05'!$B$5:$D$88,3,0),0))</f>
        <v>N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117</v>
      </c>
    </row>
    <row r="25" spans="1:22" ht="15" customHeight="1">
      <c r="A25" s="12">
        <v>21</v>
      </c>
      <c r="B25" s="70" t="str">
        <f>LIDER!C29</f>
        <v xml:space="preserve">Nicolle Rodríguez </v>
      </c>
      <c r="C25" s="64" t="str">
        <f>IF(B25=0,"",IFERROR(VLOOKUP(B25,'S-ASIG-01'!$B$5:$E$88,2,0),0))</f>
        <v>G04</v>
      </c>
      <c r="D25" s="65">
        <f t="shared" si="2"/>
        <v>4.4924999999999997</v>
      </c>
      <c r="E25" s="66">
        <f t="shared" si="3"/>
        <v>4.3600000000000003</v>
      </c>
      <c r="F25" s="47"/>
      <c r="G25" s="71">
        <f>IF(B25=0,"",IFERROR(VLOOKUP(B25,'S-ASIG-01'!$B$5:$E$88,4,0),0))</f>
        <v>4.4000000000000004</v>
      </c>
      <c r="H25" s="72">
        <f>IF(B25=0,"",IFERROR(VLOOKUP(B25,'S-ASIG-02'!$B$5:$E$88,4,0),0))</f>
        <v>4.4500000000000011</v>
      </c>
      <c r="I25" s="72">
        <f>IF(B25=0,"",IFERROR(VLOOKUP(B25,'S-ASIG-03'!$B$5:$E$88,4,0),0))</f>
        <v>4.72</v>
      </c>
      <c r="J25" s="72">
        <f>IF(B25=0,"",IFERROR(VLOOKUP(B25,'S-ASIG-04'!$B$5:$E$88,4,0),0))</f>
        <v>0</v>
      </c>
      <c r="K25" s="72">
        <f>IF(B25=0,"",IFERROR(VLOOKUP(B25,'S-ASIG-05'!$B$5:$E$88,4,0),0))</f>
        <v>4.4000000000000004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116</v>
      </c>
      <c r="O25" s="71">
        <f>IF(B25=0,"",IFERROR(VLOOKUP(B25,'T-ASIG-01'!$B$5:$D$88,3,0),0))</f>
        <v>4.05</v>
      </c>
      <c r="P25" s="72">
        <f>IF(B25=0,"",IFERROR(VLOOKUP(B25,'T-ASIG-02'!$B$5:$D$88,3,0),0))</f>
        <v>4.5</v>
      </c>
      <c r="Q25" s="72">
        <f>IF(B25=0,"",IFERROR(VLOOKUP(B25,'T-ASIG-03'!$B$5:$D$88,3,0),0))</f>
        <v>4.5</v>
      </c>
      <c r="R25" s="72">
        <f>IF(B25=0,"",IFERROR(VLOOKUP(B25,'T-ASIG-04'!$B$5:$D$88,3,0),0))</f>
        <v>4.05</v>
      </c>
      <c r="S25" s="72">
        <f>IF(B25=0,"",IFERROR(VLOOKUP(B25,'T-ASIG-05'!$B$5:$D$88,3,0),0))</f>
        <v>4.6999999999999993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117</v>
      </c>
    </row>
    <row r="26" spans="1:22" ht="15" customHeight="1">
      <c r="A26" s="12">
        <v>22</v>
      </c>
      <c r="B26" s="70" t="str">
        <f>LIDER!C30</f>
        <v>Maria Camila Guzman Alvarez</v>
      </c>
      <c r="C26" s="64" t="str">
        <f>IF(B26=0,"",IFERROR(VLOOKUP(B26,'S-ASIG-01'!$B$5:$E$88,2,0),0))</f>
        <v>G05</v>
      </c>
      <c r="D26" s="65">
        <f t="shared" si="2"/>
        <v>4.5549999999999997</v>
      </c>
      <c r="E26" s="66">
        <f t="shared" si="3"/>
        <v>4.0399999999999991</v>
      </c>
      <c r="F26" s="47"/>
      <c r="G26" s="71">
        <f>IF(B26=0,"",IFERROR(VLOOKUP(B26,'S-ASIG-01'!$B$5:$E$88,4,0),0))</f>
        <v>4.5999999999999996</v>
      </c>
      <c r="H26" s="72">
        <f>IF(B26=0,"",IFERROR(VLOOKUP(B26,'S-ASIG-02'!$B$5:$E$88,4,0),0))</f>
        <v>4.57</v>
      </c>
      <c r="I26" s="72">
        <f>IF(B26=0,"",IFERROR(VLOOKUP(B26,'S-ASIG-03'!$B$5:$E$88,4,0),0))</f>
        <v>4.55</v>
      </c>
      <c r="J26" s="72">
        <f>IF(B26=0,"",IFERROR(VLOOKUP(B26,'S-ASIG-04'!$B$5:$E$88,4,0),0))</f>
        <v>0</v>
      </c>
      <c r="K26" s="72">
        <f>IF(B26=0,"",IFERROR(VLOOKUP(B26,'S-ASIG-05'!$B$5:$E$88,4,0),0))</f>
        <v>4.5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116</v>
      </c>
      <c r="O26" s="71">
        <f>IF(B26=0,"",IFERROR(VLOOKUP(B26,'T-ASIG-01'!$B$5:$D$88,3,0),0))</f>
        <v>3.88</v>
      </c>
      <c r="P26" s="72">
        <f>IF(B26=0,"",IFERROR(VLOOKUP(B26,'T-ASIG-02'!$B$5:$D$88,3,0),0))</f>
        <v>4.3</v>
      </c>
      <c r="Q26" s="72">
        <f>IF(B26=0,"",IFERROR(VLOOKUP(B26,'T-ASIG-03'!$B$5:$D$88,3,0),0))</f>
        <v>0</v>
      </c>
      <c r="R26" s="72">
        <f>IF(B26=0,"",IFERROR(VLOOKUP(B26,'T-ASIG-04'!$B$5:$D$88,3,0),0))</f>
        <v>3.88</v>
      </c>
      <c r="S26" s="72">
        <f>IF(B26=0,"",IFERROR(VLOOKUP(B26,'T-ASIG-05'!$B$5:$D$88,3,0),0))</f>
        <v>4.0999999999999996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117</v>
      </c>
    </row>
    <row r="27" spans="1:22" ht="15" customHeight="1">
      <c r="A27" s="12">
        <v>23</v>
      </c>
      <c r="B27" s="70" t="str">
        <f>LIDER!C31</f>
        <v>Jhoan Arturo Posada Franco</v>
      </c>
      <c r="C27" s="64" t="str">
        <f>IF(B27=0,"",IFERROR(VLOOKUP(B27,'S-ASIG-01'!$B$5:$E$88,2,0),0))</f>
        <v>G05</v>
      </c>
      <c r="D27" s="65">
        <f t="shared" si="2"/>
        <v>4.5549999999999997</v>
      </c>
      <c r="E27" s="66">
        <f t="shared" si="3"/>
        <v>4.0399999999999991</v>
      </c>
      <c r="F27" s="47"/>
      <c r="G27" s="71">
        <f>IF(B27=0,"",IFERROR(VLOOKUP(B27,'S-ASIG-01'!$B$5:$E$88,4,0),0))</f>
        <v>4.5999999999999996</v>
      </c>
      <c r="H27" s="72">
        <f>IF(B27=0,"",IFERROR(VLOOKUP(B27,'S-ASIG-02'!$B$5:$E$88,4,0),0))</f>
        <v>4.57</v>
      </c>
      <c r="I27" s="72">
        <f>IF(B27=0,"",IFERROR(VLOOKUP(B27,'S-ASIG-03'!$B$5:$E$88,4,0),0))</f>
        <v>4.55</v>
      </c>
      <c r="J27" s="72">
        <f>IF(B27=0,"",IFERROR(VLOOKUP(B27,'S-ASIG-04'!$B$5:$E$88,4,0),0))</f>
        <v>0</v>
      </c>
      <c r="K27" s="72">
        <f>IF(B27=0,"",IFERROR(VLOOKUP(B27,'S-ASIG-05'!$B$5:$E$88,4,0),0))</f>
        <v>4.5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116</v>
      </c>
      <c r="O27" s="71">
        <f>IF(B27=0,"",IFERROR(VLOOKUP(B27,'T-ASIG-01'!$B$5:$D$88,3,0),0))</f>
        <v>3.88</v>
      </c>
      <c r="P27" s="72">
        <f>IF(B27=0,"",IFERROR(VLOOKUP(B27,'T-ASIG-02'!$B$5:$D$88,3,0),0))</f>
        <v>4.3</v>
      </c>
      <c r="Q27" s="72">
        <f>IF(B27=0,"",IFERROR(VLOOKUP(B27,'T-ASIG-03'!$B$5:$D$88,3,0),0))</f>
        <v>0</v>
      </c>
      <c r="R27" s="72">
        <f>IF(B27=0,"",IFERROR(VLOOKUP(B27,'T-ASIG-04'!$B$5:$D$88,3,0),0))</f>
        <v>3.88</v>
      </c>
      <c r="S27" s="72">
        <f>IF(B27=0,"",IFERROR(VLOOKUP(B27,'T-ASIG-05'!$B$5:$D$88,3,0),0))</f>
        <v>4.0999999999999996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117</v>
      </c>
    </row>
    <row r="28" spans="1:22" ht="15" customHeight="1">
      <c r="A28" s="12">
        <v>24</v>
      </c>
      <c r="B28" s="70" t="str">
        <f>LIDER!C32</f>
        <v>Grissell Tayrama Rodrguez Solarte</v>
      </c>
      <c r="C28" s="64" t="str">
        <f>IF(B28=0,"",IFERROR(VLOOKUP(B28,'S-ASIG-01'!$B$5:$E$88,2,0),0))</f>
        <v>G05</v>
      </c>
      <c r="D28" s="65">
        <f t="shared" si="2"/>
        <v>4.5549999999999997</v>
      </c>
      <c r="E28" s="66">
        <f t="shared" si="3"/>
        <v>4.0399999999999991</v>
      </c>
      <c r="F28" s="47"/>
      <c r="G28" s="71">
        <f>IF(B28=0,"",IFERROR(VLOOKUP(B28,'S-ASIG-01'!$B$5:$E$88,4,0),0))</f>
        <v>4.5999999999999996</v>
      </c>
      <c r="H28" s="72">
        <f>IF(B28=0,"",IFERROR(VLOOKUP(B28,'S-ASIG-02'!$B$5:$E$88,4,0),0))</f>
        <v>4.57</v>
      </c>
      <c r="I28" s="72">
        <f>IF(B28=0,"",IFERROR(VLOOKUP(B28,'S-ASIG-03'!$B$5:$E$88,4,0),0))</f>
        <v>4.55</v>
      </c>
      <c r="J28" s="72">
        <f>IF(B28=0,"",IFERROR(VLOOKUP(B28,'S-ASIG-04'!$B$5:$E$88,4,0),0))</f>
        <v>0</v>
      </c>
      <c r="K28" s="72">
        <f>IF(B28=0,"",IFERROR(VLOOKUP(B28,'S-ASIG-05'!$B$5:$E$88,4,0),0))</f>
        <v>4.5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116</v>
      </c>
      <c r="O28" s="71">
        <f>IF(B28=0,"",IFERROR(VLOOKUP(B28,'T-ASIG-01'!$B$5:$D$88,3,0),0))</f>
        <v>3.88</v>
      </c>
      <c r="P28" s="72">
        <f>IF(B28=0,"",IFERROR(VLOOKUP(B28,'T-ASIG-02'!$B$5:$D$88,3,0),0))</f>
        <v>4.3</v>
      </c>
      <c r="Q28" s="72">
        <f>IF(B28=0,"",IFERROR(VLOOKUP(B28,'T-ASIG-03'!$B$5:$D$88,3,0),0))</f>
        <v>0</v>
      </c>
      <c r="R28" s="72">
        <f>IF(B28=0,"",IFERROR(VLOOKUP(B28,'T-ASIG-04'!$B$5:$D$88,3,0),0))</f>
        <v>3.88</v>
      </c>
      <c r="S28" s="72">
        <f>IF(B28=0,"",IFERROR(VLOOKUP(B28,'T-ASIG-05'!$B$5:$D$88,3,0),0))</f>
        <v>4.0999999999999996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117</v>
      </c>
    </row>
    <row r="29" spans="1:22" ht="15" customHeight="1">
      <c r="A29" s="12">
        <v>25</v>
      </c>
      <c r="B29" s="70" t="str">
        <f>LIDER!C33</f>
        <v>Yeifel aguilar alcala</v>
      </c>
      <c r="C29" s="64" t="str">
        <f>IF(B29=0,"",IFERROR(VLOOKUP(B29,'S-ASIG-01'!$B$5:$E$88,2,0),0))</f>
        <v>G05</v>
      </c>
      <c r="D29" s="65">
        <f t="shared" si="2"/>
        <v>4.5733333333333333</v>
      </c>
      <c r="E29" s="66">
        <f t="shared" si="3"/>
        <v>4.0199999999999996</v>
      </c>
      <c r="F29" s="47"/>
      <c r="G29" s="71">
        <f>IF(B29=0,"",IFERROR(VLOOKUP(B29,'S-ASIG-01'!$B$5:$E$88,4,0),0))</f>
        <v>4.5999999999999996</v>
      </c>
      <c r="H29" s="72">
        <f>IF(B29=0,"",IFERROR(VLOOKUP(B29,'S-ASIG-02'!$B$5:$E$88,4,0),0))</f>
        <v>4.57</v>
      </c>
      <c r="I29" s="72">
        <f>IF(B29=0,"",IFERROR(VLOOKUP(B29,'S-ASIG-03'!$B$5:$E$88,4,0),0))</f>
        <v>4.55</v>
      </c>
      <c r="J29" s="72">
        <f>IF(B29=0,"",IFERROR(VLOOKUP(B29,'S-ASIG-04'!$B$5:$E$88,4,0),0))</f>
        <v>0</v>
      </c>
      <c r="K29" s="72" t="str">
        <f>IF(B29=0,"",IFERROR(VLOOKUP(B29,'S-ASIG-05'!$B$5:$E$88,4,0),0))</f>
        <v>N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116</v>
      </c>
      <c r="O29" s="71">
        <f>IF(B29=0,"",IFERROR(VLOOKUP(B29,'T-ASIG-01'!$B$5:$D$88,3,0),0))</f>
        <v>3.88</v>
      </c>
      <c r="P29" s="72">
        <f>IF(B29=0,"",IFERROR(VLOOKUP(B29,'T-ASIG-02'!$B$5:$D$88,3,0),0))</f>
        <v>4.3</v>
      </c>
      <c r="Q29" s="72">
        <f>IF(B29=0,"",IFERROR(VLOOKUP(B29,'T-ASIG-03'!$B$5:$D$88,3,0),0))</f>
        <v>0</v>
      </c>
      <c r="R29" s="72">
        <f>IF(B29=0,"",IFERROR(VLOOKUP(B29,'T-ASIG-04'!$B$5:$D$88,3,0),0))</f>
        <v>3.88</v>
      </c>
      <c r="S29" s="72" t="str">
        <f>IF(B29=0,"",IFERROR(VLOOKUP(B29,'T-ASIG-05'!$B$5:$D$88,3,0),0))</f>
        <v>N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117</v>
      </c>
    </row>
    <row r="30" spans="1:22" ht="15" customHeight="1">
      <c r="A30" s="12">
        <v>26</v>
      </c>
      <c r="B30" s="70" t="str">
        <f>LIDER!C34</f>
        <v>Zaid zamudio morelo</v>
      </c>
      <c r="C30" s="64" t="str">
        <f>IF(B30=0,"",IFERROR(VLOOKUP(B30,'S-ASIG-01'!$B$5:$E$88,2,0),0))</f>
        <v>G05</v>
      </c>
      <c r="D30" s="65">
        <f t="shared" si="2"/>
        <v>4.5733333333333333</v>
      </c>
      <c r="E30" s="66">
        <f t="shared" si="3"/>
        <v>4.0199999999999996</v>
      </c>
      <c r="F30" s="47"/>
      <c r="G30" s="71">
        <f>IF(B30=0,"",IFERROR(VLOOKUP(B30,'S-ASIG-01'!$B$5:$E$88,4,0),0))</f>
        <v>4.5999999999999996</v>
      </c>
      <c r="H30" s="72">
        <f>IF(B30=0,"",IFERROR(VLOOKUP(B30,'S-ASIG-02'!$B$5:$E$88,4,0),0))</f>
        <v>4.57</v>
      </c>
      <c r="I30" s="72">
        <f>IF(B30=0,"",IFERROR(VLOOKUP(B30,'S-ASIG-03'!$B$5:$E$88,4,0),0))</f>
        <v>4.55</v>
      </c>
      <c r="J30" s="72">
        <f>IF(B30=0,"",IFERROR(VLOOKUP(B30,'S-ASIG-04'!$B$5:$E$88,4,0),0))</f>
        <v>0</v>
      </c>
      <c r="K30" s="72" t="str">
        <f>IF(B30=0,"",IFERROR(VLOOKUP(B30,'S-ASIG-05'!$B$5:$E$88,4,0),0))</f>
        <v>N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116</v>
      </c>
      <c r="O30" s="71">
        <f>IF(B30=0,"",IFERROR(VLOOKUP(B30,'T-ASIG-01'!$B$5:$D$88,3,0),0))</f>
        <v>3.88</v>
      </c>
      <c r="P30" s="72">
        <f>IF(B30=0,"",IFERROR(VLOOKUP(B30,'T-ASIG-02'!$B$5:$D$88,3,0),0))</f>
        <v>4.3</v>
      </c>
      <c r="Q30" s="72">
        <f>IF(B30=0,"",IFERROR(VLOOKUP(B30,'T-ASIG-03'!$B$5:$D$88,3,0),0))</f>
        <v>0</v>
      </c>
      <c r="R30" s="72">
        <f>IF(B30=0,"",IFERROR(VLOOKUP(B30,'T-ASIG-04'!$B$5:$D$88,3,0),0))</f>
        <v>3.88</v>
      </c>
      <c r="S30" s="72" t="str">
        <f>IF(B30=0,"",IFERROR(VLOOKUP(B30,'T-ASIG-05'!$B$5:$D$88,3,0),0))</f>
        <v>N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117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116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117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116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117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116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117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116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117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116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117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116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117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116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117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116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117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116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117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116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117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116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117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116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117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116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117</v>
      </c>
    </row>
  </sheetData>
  <sheetProtection algorithmName="SHA-512" hashValue="qtDtj9Tv+0ZK9bdvzgiecK8/Ghs0U0rpnai1OPoEFXc5Hm5z2syba0g5AUCbB3Obpc9I+cf7XHoHAj7XADWogw==" saltValue="6QCRmTfDQWk2P5u+3ceZk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ESTEFANIA MIRANDA PESTANA</cp:lastModifiedBy>
  <cp:revision/>
  <dcterms:created xsi:type="dcterms:W3CDTF">2025-09-29T20:45:44Z</dcterms:created>
  <dcterms:modified xsi:type="dcterms:W3CDTF">2026-05-27T15:58:50Z</dcterms:modified>
  <cp:category/>
  <cp:contentStatus/>
</cp:coreProperties>
</file>