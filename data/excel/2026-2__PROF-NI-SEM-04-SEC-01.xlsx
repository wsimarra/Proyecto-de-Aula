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 I L F R A N\Desktop\TECNOLOGICO COMFENALCO\2026-2\GESTION DE PROYECTOS DE AULA\PROF-NI\SEMESTRE-4\"/>
    </mc:Choice>
  </mc:AlternateContent>
  <xr:revisionPtr revIDLastSave="70" documentId="13_ncr:1_{4E6F5B99-07F2-4903-8668-DBC32417E177}" xr6:coauthVersionLast="47" xr6:coauthVersionMax="47" xr10:uidLastSave="{056A5679-E411-422D-90A5-21B0298C5B56}"/>
  <bookViews>
    <workbookView xWindow="-120" yWindow="-120" windowWidth="20730" windowHeight="11040" tabRatio="815" firstSheet="4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D21" i="16" s="1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D37" i="16" s="1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D30" i="16"/>
  <c r="B30" i="16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D22" i="7" s="1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D41" i="7"/>
  <c r="B41" i="7"/>
  <c r="B39" i="7"/>
  <c r="D39" i="7" s="1"/>
  <c r="B38" i="7"/>
  <c r="D37" i="7"/>
  <c r="B37" i="7"/>
  <c r="B36" i="7"/>
  <c r="D36" i="7" s="1"/>
  <c r="D35" i="7"/>
  <c r="B35" i="7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D17" i="7"/>
  <c r="B17" i="7"/>
  <c r="D16" i="7"/>
  <c r="B16" i="7"/>
  <c r="B15" i="7"/>
  <c r="D15" i="7" s="1"/>
  <c r="B14" i="7"/>
  <c r="D14" i="7" s="1"/>
  <c r="B13" i="7"/>
  <c r="D13" i="7" s="1"/>
  <c r="D11" i="7"/>
  <c r="B11" i="7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D36" i="6" s="1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D30" i="6"/>
  <c r="B30" i="6"/>
  <c r="B29" i="6"/>
  <c r="D29" i="6" s="1"/>
  <c r="B28" i="6"/>
  <c r="D28" i="6" s="1"/>
  <c r="D27" i="6"/>
  <c r="B27" i="6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D22" i="5" s="1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D28" i="5"/>
  <c r="B28" i="5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D9" i="5"/>
  <c r="B9" i="5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D21" i="4" s="1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D37" i="4" s="1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D42" i="4"/>
  <c r="B42" i="4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D30" i="4"/>
  <c r="B30" i="4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D16" i="4"/>
  <c r="B16" i="4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D42" i="3" s="1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D24" i="3"/>
  <c r="B24" i="3"/>
  <c r="B23" i="3"/>
  <c r="D23" i="3" s="1"/>
  <c r="B22" i="3"/>
  <c r="B21" i="3"/>
  <c r="B20" i="3"/>
  <c r="D18" i="3"/>
  <c r="B18" i="3"/>
  <c r="B17" i="3"/>
  <c r="D17" i="3" s="1"/>
  <c r="D16" i="3"/>
  <c r="B16" i="3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E23" i="15"/>
  <c r="B23" i="15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E16" i="15"/>
  <c r="B16" i="15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E55" i="14"/>
  <c r="C55" i="14"/>
  <c r="B55" i="14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E36" i="14"/>
  <c r="B36" i="14"/>
  <c r="B35" i="14"/>
  <c r="E35" i="14" s="1"/>
  <c r="E34" i="14"/>
  <c r="C34" i="14"/>
  <c r="C35" i="14" s="1"/>
  <c r="C36" i="14" s="1"/>
  <c r="C37" i="14" s="1"/>
  <c r="C38" i="14" s="1"/>
  <c r="C39" i="14" s="1"/>
  <c r="B34" i="14"/>
  <c r="F33" i="14"/>
  <c r="B32" i="14"/>
  <c r="E32" i="14" s="1"/>
  <c r="E31" i="14"/>
  <c r="B31" i="14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E27" i="14"/>
  <c r="C27" i="14"/>
  <c r="B27" i="14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E20" i="14"/>
  <c r="C20" i="14"/>
  <c r="B20" i="14"/>
  <c r="F19" i="14"/>
  <c r="B18" i="14"/>
  <c r="E18" i="14" s="1"/>
  <c r="E17" i="14"/>
  <c r="B17" i="14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E44" i="13"/>
  <c r="B44" i="13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E38" i="13"/>
  <c r="B38" i="13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E23" i="13"/>
  <c r="B23" i="13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E16" i="13"/>
  <c r="B16" i="13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B38" i="12"/>
  <c r="E38" i="12" s="1"/>
  <c r="B37" i="12"/>
  <c r="E37" i="12" s="1"/>
  <c r="E36" i="12"/>
  <c r="B36" i="12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E41" i="11"/>
  <c r="C41" i="11"/>
  <c r="C42" i="11" s="1"/>
  <c r="C43" i="11" s="1"/>
  <c r="C44" i="11" s="1"/>
  <c r="C45" i="11" s="1"/>
  <c r="C46" i="11" s="1"/>
  <c r="B41" i="1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E29" i="11"/>
  <c r="B29" i="11"/>
  <c r="E28" i="11"/>
  <c r="C28" i="11"/>
  <c r="C29" i="11" s="1"/>
  <c r="C30" i="11" s="1"/>
  <c r="C31" i="11" s="1"/>
  <c r="C32" i="11" s="1"/>
  <c r="B28" i="11"/>
  <c r="C27" i="11"/>
  <c r="B27" i="11"/>
  <c r="E27" i="11" s="1"/>
  <c r="F26" i="11"/>
  <c r="B25" i="11"/>
  <c r="E25" i="11" s="1"/>
  <c r="B24" i="11"/>
  <c r="E24" i="11" s="1"/>
  <c r="B23" i="11"/>
  <c r="E23" i="11" s="1"/>
  <c r="E22" i="11"/>
  <c r="B22" i="11"/>
  <c r="E21" i="11"/>
  <c r="B21" i="1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E44" i="10"/>
  <c r="B44" i="10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E23" i="10"/>
  <c r="B23" i="10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E16" i="10"/>
  <c r="B16" i="10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E10" i="10"/>
  <c r="B10" i="10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64" i="6" l="1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<sst xmlns="http://schemas.openxmlformats.org/spreadsheetml/2006/main" count="628" uniqueCount="91">
  <si>
    <t>NEGOCIOS INTERNACIONALES PROFESIONAL</t>
  </si>
  <si>
    <t>SEMESTRE:</t>
  </si>
  <si>
    <t>SEM-04</t>
  </si>
  <si>
    <t>SECCIÓN:</t>
  </si>
  <si>
    <t>LIDER</t>
  </si>
  <si>
    <t>DISCIPLINAR#2</t>
  </si>
  <si>
    <t>DISCIPLINAR#3</t>
  </si>
  <si>
    <t>DISCIPLINAR#4</t>
  </si>
  <si>
    <t>DISCIPLINAR#5</t>
  </si>
  <si>
    <t>DISCIPLINAR#6</t>
  </si>
  <si>
    <t>DISCIPLINAR#7</t>
  </si>
  <si>
    <t>IMPORTACIONES Y EXPORTACIONES</t>
  </si>
  <si>
    <t>ETICA</t>
  </si>
  <si>
    <t>ESTADÍSTICA</t>
  </si>
  <si>
    <t>FUNDAMENTOS DE MERCADEO</t>
  </si>
  <si>
    <t>FUNDAMENTOS DE FINANZAS</t>
  </si>
  <si>
    <t>TATIANA MILENA ROJAS AROCA</t>
  </si>
  <si>
    <t>LEIDY ENID QUINTERO SÁNCHEZ</t>
  </si>
  <si>
    <t>VICTOR HUGO HURTADO OROZCO</t>
  </si>
  <si>
    <t>SAMUEL BRUNAL RAMOS</t>
  </si>
  <si>
    <t>LEONARDO CARLOS DE ORO BARRIOS</t>
  </si>
  <si>
    <t>LISTA DE ESTUDIANTES</t>
  </si>
  <si>
    <t>SEGUNDA ENTREGA - CRITERIO DE EVALUACIÓN DOCUMENTO - SEGUNDO CORTE</t>
  </si>
  <si>
    <t>PONDERACIÓN</t>
  </si>
  <si>
    <t>ADMINISTRACIÓN DE EMPRESAS C.I</t>
  </si>
  <si>
    <t>CARLOS ALBERTO AMADOR MORALES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</si>
  <si>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</si>
  <si>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</si>
  <si>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DANIEL JESED DIAZ VERGARA</t>
  </si>
  <si>
    <t>ANTEPROYECTO: Portada, planteamiento del problema, justificacion del trabajo o proyecto de aula, objetivos, marco teorico, diseño metodologico.</t>
  </si>
  <si>
    <t>CONTADURÍA PÚBLICA</t>
  </si>
  <si>
    <t>LAURA SOFIA ESCOBAR CORDOBA</t>
  </si>
  <si>
    <t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t>
  </si>
  <si>
    <t>GENESIS VALENTINA SUAREZ VILORIA</t>
  </si>
  <si>
    <t>BILIOGRAFIA: Las referencias bibliograficas adoptan las normas APA. El documento es producto de un rastreo bibliografico que muestra analisis y sistensis.</t>
  </si>
  <si>
    <t>TECNOLOGÍA EN GESTIÓN DE NEGOCIOS INTERN</t>
  </si>
  <si>
    <t>SAMUEL JOSÉ MARIN VARELA</t>
  </si>
  <si>
    <t>ASESORIAS: Anexó la hoja de tutoria firmada ( 3 fimas minmimo).</t>
  </si>
  <si>
    <t>TECNOLOGíA EN GESTION CONTABLE</t>
  </si>
  <si>
    <t>JUSTIN DANIEL TORRES SANMARTIN</t>
  </si>
  <si>
    <t>TECNOLOGÍA EN GESTIÓN DE MARKETING</t>
  </si>
  <si>
    <t>MIGUEL BANDA AVENDAÑO</t>
  </si>
  <si>
    <t>TECNOLOGÍA EN GESTIÓN DEL TALENTO HUMANO</t>
  </si>
  <si>
    <t>TECNOLOGÍA EN GESTIÓN FINANCIERA</t>
  </si>
  <si>
    <t>TECNOLOGÍA EN GESTIÓN LOGISTICA Y PORTUARIA</t>
  </si>
  <si>
    <t>ENTREGA FINAL - CRITERIO DE EVALUACIÓN SUSTENTACIÓN - TERCER CORTE</t>
  </si>
  <si>
    <t>TECNOLOGÍA EN GESTIÓN TURISTICA Y HOTELERA</t>
  </si>
  <si>
    <t>Evaluación del Documento Final</t>
  </si>
  <si>
    <t>Sustentación de los Resultados: Se refleja un dominio del tema, la  información está delimitada y es clara. Hay una jerarquía y fluidez en las ideas que presenta.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</si>
  <si>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</si>
  <si>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</si>
  <si>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Tiempo: El uso del tiempo fue apropiado, se ajusta al previsto.
Ofrece una conclusión donde condensa las ideas principales del objetivo general y los específicos.</t>
  </si>
  <si>
    <t>Uso de Recursos Audiovisuales Tecnológicos: La sustentación se acompaña de recursos visuales pertinentes, atractivos y de gran calidad</t>
  </si>
  <si>
    <t>TITULOS DE LOS PROYECTOS DE AULA</t>
  </si>
  <si>
    <t>GRUPO#1</t>
  </si>
  <si>
    <t>GRUPO#2</t>
  </si>
  <si>
    <t>CRITERIOS DE EVALUACIÓN</t>
  </si>
  <si>
    <t>Estudiantes</t>
  </si>
  <si>
    <t>G01</t>
  </si>
  <si>
    <t>LIST</t>
  </si>
  <si>
    <t>DEF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</si>
  <si>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</si>
  <si>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</si>
  <si>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</si>
  <si>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</si>
  <si>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</si>
  <si>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</si>
  <si>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</si>
  <si>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</si>
  <si>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</si>
  <si>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</si>
  <si>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</si>
  <si>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</si>
  <si>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</si>
  <si>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</si>
  <si>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</si>
  <si>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GRUPO#10</t>
  </si>
  <si>
    <t>G10</t>
  </si>
  <si>
    <t>GRUPO#11</t>
  </si>
  <si>
    <t>G11</t>
  </si>
  <si>
    <t>GRUPO#12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</si>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</sst>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95" zoomScaleNormal="95" workbookViewId="0">
      <selection activeCell="F45" sqref="F4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92" t="s">
        <v>0</v>
      </c>
      <c r="C2" s="193"/>
      <c r="D2" s="194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1438</v>
      </c>
      <c r="D6" s="134">
        <v>2268</v>
      </c>
      <c r="E6" s="134">
        <v>1803</v>
      </c>
      <c r="F6" s="134">
        <v>1357</v>
      </c>
      <c r="G6" s="134">
        <v>1479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95" t="s">
        <v>22</v>
      </c>
      <c r="F8" s="196"/>
      <c r="G8" s="197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98" t="s">
        <v>26</v>
      </c>
      <c r="F9" s="199"/>
      <c r="G9" s="200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72" t="s">
        <v>29</v>
      </c>
      <c r="F10" s="173"/>
      <c r="G10" s="174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98" t="s">
        <v>32</v>
      </c>
      <c r="F11" s="199"/>
      <c r="G11" s="200"/>
      <c r="H11" s="135">
        <v>0.3</v>
      </c>
      <c r="I11" s="69" t="s">
        <v>0</v>
      </c>
    </row>
    <row r="12" spans="2:9" ht="15" customHeight="1">
      <c r="B12" s="108">
        <v>4</v>
      </c>
      <c r="C12" s="111" t="s">
        <v>33</v>
      </c>
      <c r="E12" s="172" t="s">
        <v>34</v>
      </c>
      <c r="F12" s="173"/>
      <c r="G12" s="174"/>
      <c r="H12" s="136">
        <v>0.2</v>
      </c>
      <c r="I12" s="69" t="s">
        <v>35</v>
      </c>
    </row>
    <row r="13" spans="2:9" ht="15" customHeight="1">
      <c r="B13" s="108">
        <v>5</v>
      </c>
      <c r="C13" s="111" t="s">
        <v>36</v>
      </c>
      <c r="E13" s="175" t="s">
        <v>37</v>
      </c>
      <c r="F13" s="176"/>
      <c r="G13" s="177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78"/>
      <c r="F14" s="170"/>
      <c r="G14" s="171"/>
      <c r="H14" s="136">
        <v>0</v>
      </c>
      <c r="I14" s="69" t="s">
        <v>40</v>
      </c>
    </row>
    <row r="15" spans="2:9" ht="15" customHeight="1" thickBot="1">
      <c r="B15" s="108">
        <v>7</v>
      </c>
      <c r="C15" s="111" t="s">
        <v>41</v>
      </c>
      <c r="E15" s="179"/>
      <c r="F15" s="180"/>
      <c r="G15" s="181"/>
      <c r="H15" s="135">
        <v>0</v>
      </c>
      <c r="I15" s="69" t="s">
        <v>42</v>
      </c>
    </row>
    <row r="16" spans="2:9" ht="15" customHeight="1" thickBot="1">
      <c r="B16" s="108">
        <v>8</v>
      </c>
      <c r="C16" s="111"/>
      <c r="E16" s="112"/>
      <c r="F16" s="112"/>
      <c r="G16" s="112"/>
      <c r="H16" s="137">
        <f>IF(SUM(H9:H15)&gt;1,"Más del 100%",SUM(H9:H15))</f>
        <v>0.99999999999999989</v>
      </c>
      <c r="I16" s="69" t="s">
        <v>43</v>
      </c>
    </row>
    <row r="17" spans="2:9" ht="15" customHeight="1" thickBot="1">
      <c r="B17" s="108">
        <v>9</v>
      </c>
      <c r="C17" s="111"/>
      <c r="E17" s="188"/>
      <c r="F17" s="188"/>
      <c r="G17" s="188"/>
      <c r="H17" s="188"/>
      <c r="I17" s="69" t="s">
        <v>44</v>
      </c>
    </row>
    <row r="18" spans="2:9" ht="15" customHeight="1" thickBot="1">
      <c r="B18" s="108">
        <v>10</v>
      </c>
      <c r="C18" s="111"/>
      <c r="E18" s="162" t="s">
        <v>45</v>
      </c>
      <c r="F18" s="163"/>
      <c r="G18" s="163"/>
      <c r="H18" s="113" t="s">
        <v>23</v>
      </c>
      <c r="I18" s="69" t="s">
        <v>46</v>
      </c>
    </row>
    <row r="19" spans="2:9" ht="15" customHeight="1">
      <c r="B19" s="108">
        <v>11</v>
      </c>
      <c r="C19" s="111"/>
      <c r="E19" s="185" t="s">
        <v>47</v>
      </c>
      <c r="F19" s="186"/>
      <c r="G19" s="187"/>
      <c r="H19" s="138">
        <v>0.5</v>
      </c>
    </row>
    <row r="20" spans="2:9" ht="15" customHeight="1">
      <c r="B20" s="108">
        <v>12</v>
      </c>
      <c r="C20" s="111"/>
      <c r="E20" s="164" t="s">
        <v>48</v>
      </c>
      <c r="F20" s="165"/>
      <c r="G20" s="166"/>
      <c r="H20" s="139">
        <v>0.2</v>
      </c>
    </row>
    <row r="21" spans="2:9" ht="15" customHeight="1">
      <c r="B21" s="108">
        <v>13</v>
      </c>
      <c r="C21" s="111"/>
      <c r="E21" s="167" t="s">
        <v>49</v>
      </c>
      <c r="F21" s="168"/>
      <c r="G21" s="169"/>
      <c r="H21" s="140">
        <v>0.1</v>
      </c>
    </row>
    <row r="22" spans="2:9" ht="15" customHeight="1">
      <c r="B22" s="108">
        <v>14</v>
      </c>
      <c r="C22" s="111"/>
      <c r="E22" s="164" t="s">
        <v>50</v>
      </c>
      <c r="F22" s="170"/>
      <c r="G22" s="171"/>
      <c r="H22" s="139">
        <v>0.05</v>
      </c>
    </row>
    <row r="23" spans="2:9" ht="15" customHeight="1">
      <c r="B23" s="108">
        <v>15</v>
      </c>
      <c r="C23" s="111"/>
      <c r="E23" s="167" t="s">
        <v>51</v>
      </c>
      <c r="F23" s="168"/>
      <c r="G23" s="169"/>
      <c r="H23" s="141">
        <v>0.05</v>
      </c>
    </row>
    <row r="24" spans="2:9" ht="15" customHeight="1">
      <c r="B24" s="108">
        <v>16</v>
      </c>
      <c r="C24" s="111"/>
      <c r="E24" s="164" t="s">
        <v>52</v>
      </c>
      <c r="F24" s="165"/>
      <c r="G24" s="166"/>
      <c r="H24" s="139">
        <v>0.1</v>
      </c>
    </row>
    <row r="25" spans="2:9" ht="15" customHeight="1" thickBot="1">
      <c r="B25" s="108">
        <v>17</v>
      </c>
      <c r="C25" s="111"/>
      <c r="E25" s="182"/>
      <c r="F25" s="183"/>
      <c r="G25" s="184"/>
      <c r="H25" s="140"/>
    </row>
    <row r="26" spans="2:9" ht="15" customHeight="1" thickBot="1">
      <c r="B26" s="108">
        <v>18</v>
      </c>
      <c r="C26" s="111"/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89" t="s">
        <v>53</v>
      </c>
      <c r="F28" s="190"/>
      <c r="G28" s="190"/>
      <c r="H28" s="191"/>
    </row>
    <row r="29" spans="2:9" ht="15" customHeight="1" thickBot="1">
      <c r="B29" s="108">
        <v>21</v>
      </c>
      <c r="C29" s="111"/>
      <c r="E29" s="159" t="s">
        <v>54</v>
      </c>
      <c r="F29" s="160"/>
      <c r="G29" s="160"/>
      <c r="H29" s="161"/>
    </row>
    <row r="30" spans="2:9" ht="15" customHeight="1" thickBot="1">
      <c r="B30" s="108">
        <v>22</v>
      </c>
      <c r="C30" s="111"/>
      <c r="E30" s="156" t="s">
        <v>55</v>
      </c>
      <c r="F30" s="157"/>
      <c r="G30" s="157"/>
      <c r="H30" s="158"/>
    </row>
    <row r="31" spans="2:9" ht="15" customHeight="1" thickBot="1">
      <c r="B31" s="108">
        <v>23</v>
      </c>
      <c r="C31" s="111"/>
      <c r="E31" s="159"/>
      <c r="F31" s="160"/>
      <c r="G31" s="160"/>
      <c r="H31" s="161"/>
    </row>
    <row r="32" spans="2:9" ht="15" customHeight="1" thickBot="1">
      <c r="B32" s="108">
        <v>24</v>
      </c>
      <c r="C32" s="111"/>
      <c r="E32" s="156"/>
      <c r="F32" s="157"/>
      <c r="G32" s="157"/>
      <c r="H32" s="158"/>
    </row>
    <row r="33" spans="2:8" ht="15" customHeight="1" thickBot="1">
      <c r="B33" s="108">
        <v>25</v>
      </c>
      <c r="C33" s="111"/>
      <c r="E33" s="159"/>
      <c r="F33" s="160"/>
      <c r="G33" s="160"/>
      <c r="H33" s="161"/>
    </row>
    <row r="34" spans="2:8" ht="15" customHeight="1" thickBot="1">
      <c r="B34" s="108">
        <v>26</v>
      </c>
      <c r="C34" s="111"/>
      <c r="E34" s="156"/>
      <c r="F34" s="157"/>
      <c r="G34" s="157"/>
      <c r="H34" s="158"/>
    </row>
    <row r="35" spans="2:8" ht="15" customHeight="1" thickBot="1">
      <c r="B35" s="108">
        <v>27</v>
      </c>
      <c r="C35" s="111"/>
      <c r="E35" s="159"/>
      <c r="F35" s="160"/>
      <c r="G35" s="160"/>
      <c r="H35" s="161"/>
    </row>
    <row r="36" spans="2:8" ht="15" customHeight="1" thickBot="1">
      <c r="B36" s="108">
        <v>28</v>
      </c>
      <c r="C36" s="111"/>
      <c r="E36" s="156"/>
      <c r="F36" s="157"/>
      <c r="G36" s="157"/>
      <c r="H36" s="158"/>
    </row>
    <row r="37" spans="2:8" ht="15" customHeight="1" thickBot="1">
      <c r="B37" s="108">
        <v>29</v>
      </c>
      <c r="C37" s="111"/>
      <c r="E37" s="159"/>
      <c r="F37" s="160"/>
      <c r="G37" s="160"/>
      <c r="H37" s="161"/>
    </row>
    <row r="38" spans="2:8" ht="15" customHeight="1" thickBot="1">
      <c r="B38" s="108">
        <v>30</v>
      </c>
      <c r="C38" s="111"/>
      <c r="E38" s="156"/>
      <c r="F38" s="157"/>
      <c r="G38" s="157"/>
      <c r="H38" s="158"/>
    </row>
    <row r="39" spans="2:8" ht="15" customHeight="1" thickBot="1">
      <c r="B39" s="108">
        <v>31</v>
      </c>
      <c r="C39" s="111"/>
      <c r="E39" s="159"/>
      <c r="F39" s="160"/>
      <c r="G39" s="160"/>
      <c r="H39" s="161"/>
    </row>
    <row r="40" spans="2:8" ht="15" customHeight="1" thickBot="1">
      <c r="B40" s="108">
        <v>32</v>
      </c>
      <c r="C40" s="111"/>
      <c r="E40" s="156"/>
      <c r="F40" s="157"/>
      <c r="G40" s="157"/>
      <c r="H40" s="158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/>
      </c>
      <c r="H42" s="117" t="str">
        <f>MID(E32,1,20)</f>
        <v/>
      </c>
    </row>
    <row r="43" spans="2:8" ht="15" customHeight="1">
      <c r="B43" s="108">
        <v>35</v>
      </c>
      <c r="C43" s="111"/>
      <c r="E43" s="118" t="s">
        <v>25</v>
      </c>
      <c r="F43" s="119" t="s">
        <v>36</v>
      </c>
      <c r="G43" s="119"/>
      <c r="H43" s="120"/>
    </row>
    <row r="44" spans="2:8" ht="15" customHeight="1">
      <c r="B44" s="108">
        <v>36</v>
      </c>
      <c r="C44" s="111"/>
      <c r="E44" s="121" t="s">
        <v>28</v>
      </c>
      <c r="F44" s="122" t="s">
        <v>39</v>
      </c>
      <c r="G44" s="122"/>
      <c r="H44" s="123"/>
    </row>
    <row r="45" spans="2:8" ht="15" customHeight="1">
      <c r="B45" s="108">
        <v>37</v>
      </c>
      <c r="C45" s="111"/>
      <c r="E45" s="124" t="s">
        <v>31</v>
      </c>
      <c r="F45" s="125" t="s">
        <v>41</v>
      </c>
      <c r="G45" s="125"/>
      <c r="H45" s="126"/>
    </row>
    <row r="46" spans="2:8" ht="15" customHeight="1">
      <c r="B46" s="108">
        <v>38</v>
      </c>
      <c r="C46" s="111"/>
      <c r="E46" s="121" t="s">
        <v>33</v>
      </c>
      <c r="F46" s="122"/>
      <c r="G46" s="122"/>
      <c r="H46" s="123"/>
    </row>
    <row r="47" spans="2:8" ht="15" customHeight="1">
      <c r="B47" s="108">
        <v>39</v>
      </c>
      <c r="C47" s="111"/>
      <c r="E47" s="124"/>
      <c r="F47" s="125"/>
      <c r="G47" s="125"/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/>
      </c>
      <c r="F50" s="116" t="str">
        <f>MID(E34,1,20)</f>
        <v/>
      </c>
      <c r="G50" s="116" t="str">
        <f>MID(E35,1,20)</f>
        <v/>
      </c>
      <c r="H50" s="117" t="str">
        <f>MID(E36,1,20)</f>
        <v/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/>
      </c>
      <c r="F58" s="116" t="str">
        <f>MID(E38,1,20)</f>
        <v/>
      </c>
      <c r="G58" s="116" t="str">
        <f>MID(E39,1,20)</f>
        <v/>
      </c>
      <c r="H58" s="117" t="str">
        <f>MID(E40,1,20)</f>
        <v/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lOBExHEzEzPWH5sHniojnMKrBEn5lSEN42KmKU0GeMPPNlzhLHuBxx8y8JDNvRlZBi+ACyfbZBvwHXh6L8/W+A==" saltValue="snBw2o+ExSPtNFqq0YbSlQ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4" activePane="bottomRight" state="frozen"/>
      <selection pane="bottomRight" activeCell="F13" sqref="F13:J18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IMPORTACIONES Y EXPORTACIONES</v>
      </c>
      <c r="C2" s="82"/>
      <c r="D2" s="3"/>
      <c r="F2" s="149" t="s">
        <v>56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57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CONCATENATE(LIDER!C4," - ",LIDER!C6," - ",LIDER!C5)</f>
        <v>IMPORTACIONES Y EXPORTACIONES - 1438 - TATIANA MILENA ROJAS AROCA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54</v>
      </c>
      <c r="C5" s="88" t="s">
        <v>58</v>
      </c>
      <c r="D5" s="32" t="s">
        <v>59</v>
      </c>
      <c r="E5" s="89" t="s">
        <v>60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CARLOS ALBERTO AMADOR MORALES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4.4000000000000004</v>
      </c>
      <c r="F6" s="143">
        <v>4.4000000000000004</v>
      </c>
      <c r="G6" s="144">
        <v>4.4000000000000004</v>
      </c>
      <c r="H6" s="145">
        <v>4.4000000000000004</v>
      </c>
      <c r="I6" s="144">
        <v>4.4000000000000004</v>
      </c>
      <c r="J6" s="145">
        <v>4.4000000000000004</v>
      </c>
      <c r="K6" s="144"/>
      <c r="L6" s="145"/>
    </row>
    <row r="7" spans="1:12" s="2" customFormat="1" ht="15" customHeight="1">
      <c r="A7" s="12">
        <v>2</v>
      </c>
      <c r="B7" s="10" t="str">
        <f>LIDER!E44</f>
        <v>DANIEL JESED DIAZ VERGARA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4.4000000000000004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LAURA SOFIA ESCOBAR CORDOBA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4.4000000000000004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GENESIS VALENTINA SUAREZ VILORIA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4.4000000000000004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55</v>
      </c>
      <c r="C12" s="88" t="s">
        <v>61</v>
      </c>
      <c r="D12" s="32" t="str">
        <f>D5</f>
        <v>LIST</v>
      </c>
      <c r="E12" s="89" t="s">
        <v>60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SAMUEL JOSÉ MARIN VARELA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4.4000000000000004</v>
      </c>
      <c r="F13" s="143">
        <v>4.4000000000000004</v>
      </c>
      <c r="G13" s="144">
        <v>4.4000000000000004</v>
      </c>
      <c r="H13" s="145">
        <v>4.4000000000000004</v>
      </c>
      <c r="I13" s="144">
        <v>4.4000000000000004</v>
      </c>
      <c r="J13" s="145">
        <v>4.4000000000000004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JUSTIN DANIEL TORRES SANMARTIN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4.4000000000000004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MIGUEL BANDA AVENDAÑO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4.4000000000000004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62</v>
      </c>
      <c r="C19" s="88" t="s">
        <v>63</v>
      </c>
      <c r="D19" s="32" t="str">
        <f>D12</f>
        <v>LIST</v>
      </c>
      <c r="E19" s="89" t="s">
        <v>60</v>
      </c>
      <c r="F19" s="142">
        <f>LIDER!$E$31</f>
        <v>0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64</v>
      </c>
      <c r="C26" s="88" t="s">
        <v>65</v>
      </c>
      <c r="D26" s="32" t="str">
        <f>D19</f>
        <v>LIST</v>
      </c>
      <c r="E26" s="89" t="s">
        <v>60</v>
      </c>
      <c r="F26" s="142">
        <f>LIDER!$E$32</f>
        <v>0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66</v>
      </c>
      <c r="C33" s="88" t="s">
        <v>67</v>
      </c>
      <c r="D33" s="32" t="str">
        <f>D26</f>
        <v>LIST</v>
      </c>
      <c r="E33" s="89" t="s">
        <v>60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69</v>
      </c>
      <c r="D40" s="32" t="str">
        <f>D33</f>
        <v>LIST</v>
      </c>
      <c r="E40" s="89" t="s">
        <v>60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70</v>
      </c>
      <c r="C47" s="88" t="s">
        <v>71</v>
      </c>
      <c r="D47" s="32" t="str">
        <f>D40</f>
        <v>LIST</v>
      </c>
      <c r="E47" s="89" t="s">
        <v>60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72</v>
      </c>
      <c r="C54" s="88" t="s">
        <v>73</v>
      </c>
      <c r="D54" s="32" t="str">
        <f>D47</f>
        <v>LIST</v>
      </c>
      <c r="E54" s="89" t="s">
        <v>60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74</v>
      </c>
      <c r="C61" s="88" t="s">
        <v>75</v>
      </c>
      <c r="D61" s="32" t="str">
        <f>D54</f>
        <v>LIST</v>
      </c>
      <c r="E61" s="89" t="s">
        <v>60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76</v>
      </c>
      <c r="C68" s="88" t="s">
        <v>77</v>
      </c>
      <c r="D68" s="32" t="str">
        <f>D61</f>
        <v>LIST</v>
      </c>
      <c r="E68" s="89" t="s">
        <v>60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78</v>
      </c>
      <c r="C75" s="88" t="s">
        <v>79</v>
      </c>
      <c r="D75" s="32" t="str">
        <f>D68</f>
        <v>LIST</v>
      </c>
      <c r="E75" s="89" t="s">
        <v>60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80</v>
      </c>
      <c r="C82" s="88" t="s">
        <v>81</v>
      </c>
      <c r="D82" s="32" t="str">
        <f>D75</f>
        <v>LIST</v>
      </c>
      <c r="E82" s="89" t="s">
        <v>60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H20" sqref="H20:H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ETICA</v>
      </c>
      <c r="C2" s="82"/>
      <c r="D2" s="3"/>
      <c r="F2" s="149" t="s">
        <v>56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57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CONCATENATE(LIDER!D4," - ",LIDER!D6," - ",LIDER!D5)</f>
        <v>ETICA - 2268 - LEIDY ENID QUINTERO SÁNCHEZ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54</v>
      </c>
      <c r="C5" s="88" t="s">
        <v>58</v>
      </c>
      <c r="D5" s="32" t="s">
        <v>59</v>
      </c>
      <c r="E5" s="89" t="s">
        <v>60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CARLOS ALBERTO AMADOR MORALES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</v>
      </c>
      <c r="F6" s="143">
        <v>4.5</v>
      </c>
      <c r="G6" s="144">
        <v>4.5</v>
      </c>
      <c r="H6" s="145">
        <v>4.5</v>
      </c>
      <c r="I6" s="144">
        <v>4.5</v>
      </c>
      <c r="J6" s="145">
        <v>4.5</v>
      </c>
      <c r="K6" s="144"/>
      <c r="L6" s="145"/>
    </row>
    <row r="7" spans="1:12" s="2" customFormat="1" ht="15" customHeight="1">
      <c r="A7" s="12">
        <v>2</v>
      </c>
      <c r="B7" s="10" t="str">
        <f>LIDER!E44</f>
        <v>DANIEL JESED DIAZ VERGARA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LAURA SOFIA ESCOBAR CORDOBA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GENESIS VALENTINA SUAREZ VILORIA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55</v>
      </c>
      <c r="C12" s="88" t="s">
        <v>61</v>
      </c>
      <c r="D12" s="32" t="str">
        <f>D5</f>
        <v>LIST</v>
      </c>
      <c r="E12" s="89" t="s">
        <v>60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SAMUEL JOSÉ MARIN VARELA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4.38</v>
      </c>
      <c r="F13" s="143">
        <v>4.4000000000000004</v>
      </c>
      <c r="G13" s="144">
        <v>4.4000000000000004</v>
      </c>
      <c r="H13" s="145">
        <v>4.4000000000000004</v>
      </c>
      <c r="I13" s="144">
        <v>4.4000000000000004</v>
      </c>
      <c r="J13" s="145">
        <v>4.2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JUSTIN DANIEL TORRES SANMARTIN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4.38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MIGUEL BANDA AVENDAÑO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4.38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62</v>
      </c>
      <c r="C19" s="88" t="s">
        <v>63</v>
      </c>
      <c r="D19" s="32" t="str">
        <f>D12</f>
        <v>LIST</v>
      </c>
      <c r="E19" s="89" t="s">
        <v>60</v>
      </c>
      <c r="F19" s="142">
        <f>LIDER!$E$31</f>
        <v>0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64</v>
      </c>
      <c r="C26" s="88" t="s">
        <v>65</v>
      </c>
      <c r="D26" s="32" t="str">
        <f>D19</f>
        <v>LIST</v>
      </c>
      <c r="E26" s="89" t="s">
        <v>60</v>
      </c>
      <c r="F26" s="142">
        <f>LIDER!$E$32</f>
        <v>0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66</v>
      </c>
      <c r="C33" s="88" t="s">
        <v>67</v>
      </c>
      <c r="D33" s="32" t="str">
        <f>D26</f>
        <v>LIST</v>
      </c>
      <c r="E33" s="89" t="s">
        <v>60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69</v>
      </c>
      <c r="D40" s="32" t="str">
        <f>D33</f>
        <v>LIST</v>
      </c>
      <c r="E40" s="89" t="s">
        <v>60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70</v>
      </c>
      <c r="C47" s="88" t="s">
        <v>71</v>
      </c>
      <c r="D47" s="32" t="str">
        <f>D40</f>
        <v>LIST</v>
      </c>
      <c r="E47" s="89" t="s">
        <v>60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72</v>
      </c>
      <c r="C54" s="88" t="s">
        <v>73</v>
      </c>
      <c r="D54" s="32" t="str">
        <f>D47</f>
        <v>LIST</v>
      </c>
      <c r="E54" s="89" t="s">
        <v>60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74</v>
      </c>
      <c r="C61" s="88" t="s">
        <v>75</v>
      </c>
      <c r="D61" s="32" t="str">
        <f>D54</f>
        <v>LIST</v>
      </c>
      <c r="E61" s="89" t="s">
        <v>60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76</v>
      </c>
      <c r="C68" s="88" t="s">
        <v>77</v>
      </c>
      <c r="D68" s="32" t="str">
        <f>D61</f>
        <v>LIST</v>
      </c>
      <c r="E68" s="89" t="s">
        <v>60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78</v>
      </c>
      <c r="C75" s="88" t="s">
        <v>79</v>
      </c>
      <c r="D75" s="32" t="str">
        <f>D68</f>
        <v>LIST</v>
      </c>
      <c r="E75" s="89" t="s">
        <v>60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80</v>
      </c>
      <c r="C82" s="88" t="s">
        <v>81</v>
      </c>
      <c r="D82" s="32" t="str">
        <f>D75</f>
        <v>LIST</v>
      </c>
      <c r="E82" s="89" t="s">
        <v>60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G4" activePane="bottomRight" state="frozen"/>
      <selection pane="bottomRight" activeCell="K13" sqref="K13:K18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ESTADÍSTICA</v>
      </c>
      <c r="C2" s="82"/>
      <c r="D2" s="3"/>
      <c r="F2" s="149" t="s">
        <v>56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57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CONCATENATE(LIDER!E4," - ",LIDER!E6," - ",LIDER!E5)</f>
        <v>ESTADÍSTICA - 1803 - VICTOR HUGO HURTADO OROZCO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54</v>
      </c>
      <c r="C5" s="88" t="s">
        <v>58</v>
      </c>
      <c r="D5" s="32" t="s">
        <v>59</v>
      </c>
      <c r="E5" s="89" t="s">
        <v>60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CARLOS ALBERTO AMADOR MORALES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</v>
      </c>
      <c r="F6" s="143">
        <v>4.5</v>
      </c>
      <c r="G6" s="144">
        <v>4.5</v>
      </c>
      <c r="H6" s="145">
        <v>4.5</v>
      </c>
      <c r="I6" s="144">
        <v>4.5</v>
      </c>
      <c r="J6" s="145">
        <v>4.5</v>
      </c>
      <c r="K6" s="144"/>
      <c r="L6" s="145"/>
    </row>
    <row r="7" spans="1:12" s="2" customFormat="1" ht="15" customHeight="1">
      <c r="A7" s="12">
        <v>2</v>
      </c>
      <c r="B7" s="10" t="str">
        <f>LIDER!E44</f>
        <v>DANIEL JESED DIAZ VERGARA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LAURA SOFIA ESCOBAR CORDOBA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GENESIS VALENTINA SUAREZ VILORIA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55</v>
      </c>
      <c r="C12" s="88" t="s">
        <v>61</v>
      </c>
      <c r="D12" s="32" t="str">
        <f>D5</f>
        <v>LIST</v>
      </c>
      <c r="E12" s="89" t="s">
        <v>60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SAMUEL JOSÉ MARIN VARELA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</v>
      </c>
      <c r="F13" s="143">
        <v>4.5</v>
      </c>
      <c r="G13" s="144">
        <v>4.5</v>
      </c>
      <c r="H13" s="145">
        <v>4.5</v>
      </c>
      <c r="I13" s="144">
        <v>4.5</v>
      </c>
      <c r="J13" s="145">
        <v>4.5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JUSTIN DANIEL TORRES SANMARTIN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MIGUEL BANDA AVENDAÑO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62</v>
      </c>
      <c r="C19" s="88" t="s">
        <v>63</v>
      </c>
      <c r="D19" s="32" t="str">
        <f>D12</f>
        <v>LIST</v>
      </c>
      <c r="E19" s="89" t="s">
        <v>60</v>
      </c>
      <c r="F19" s="142">
        <f>LIDER!$E$31</f>
        <v>0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64</v>
      </c>
      <c r="C26" s="88" t="s">
        <v>65</v>
      </c>
      <c r="D26" s="32" t="str">
        <f>D19</f>
        <v>LIST</v>
      </c>
      <c r="E26" s="89" t="s">
        <v>60</v>
      </c>
      <c r="F26" s="142">
        <f>LIDER!$E$32</f>
        <v>0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66</v>
      </c>
      <c r="C33" s="88" t="s">
        <v>67</v>
      </c>
      <c r="D33" s="32" t="str">
        <f>D26</f>
        <v>LIST</v>
      </c>
      <c r="E33" s="89" t="s">
        <v>60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69</v>
      </c>
      <c r="D40" s="32" t="str">
        <f>D33</f>
        <v>LIST</v>
      </c>
      <c r="E40" s="89" t="s">
        <v>60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70</v>
      </c>
      <c r="C47" s="88" t="s">
        <v>71</v>
      </c>
      <c r="D47" s="32" t="str">
        <f>D40</f>
        <v>LIST</v>
      </c>
      <c r="E47" s="89" t="s">
        <v>60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72</v>
      </c>
      <c r="C54" s="88" t="s">
        <v>73</v>
      </c>
      <c r="D54" s="32" t="str">
        <f>D47</f>
        <v>LIST</v>
      </c>
      <c r="E54" s="89" t="s">
        <v>60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74</v>
      </c>
      <c r="C61" s="88" t="s">
        <v>75</v>
      </c>
      <c r="D61" s="32" t="str">
        <f>D54</f>
        <v>LIST</v>
      </c>
      <c r="E61" s="89" t="s">
        <v>60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76</v>
      </c>
      <c r="C68" s="88" t="s">
        <v>77</v>
      </c>
      <c r="D68" s="32" t="str">
        <f>D61</f>
        <v>LIST</v>
      </c>
      <c r="E68" s="89" t="s">
        <v>60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78</v>
      </c>
      <c r="C75" s="88" t="s">
        <v>79</v>
      </c>
      <c r="D75" s="32" t="str">
        <f>D68</f>
        <v>LIST</v>
      </c>
      <c r="E75" s="89" t="s">
        <v>60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80</v>
      </c>
      <c r="C82" s="88" t="s">
        <v>81</v>
      </c>
      <c r="D82" s="32" t="str">
        <f>D75</f>
        <v>LIST</v>
      </c>
      <c r="E82" s="89" t="s">
        <v>60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G4" activePane="bottomRight" state="frozen"/>
      <selection pane="bottomRight" activeCell="K13" sqref="K13:K18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FUNDAMENTOS DE MERCADEO</v>
      </c>
      <c r="C2" s="82"/>
      <c r="D2" s="3"/>
      <c r="F2" s="149" t="s">
        <v>56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57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CONCATENATE(LIDER!F4," - ",LIDER!F6," - ",LIDER!F5)</f>
        <v>FUNDAMENTOS DE MERCADEO - 1357 - SAMUEL BRUNAL RAMOS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54</v>
      </c>
      <c r="C5" s="88" t="s">
        <v>58</v>
      </c>
      <c r="D5" s="32" t="s">
        <v>59</v>
      </c>
      <c r="E5" s="89" t="s">
        <v>60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CARLOS ALBERTO AMADOR MORALES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</v>
      </c>
      <c r="F6" s="143">
        <v>4.5</v>
      </c>
      <c r="G6" s="144">
        <v>4.5</v>
      </c>
      <c r="H6" s="145">
        <v>4.5</v>
      </c>
      <c r="I6" s="144">
        <v>4.5</v>
      </c>
      <c r="J6" s="145">
        <v>4.5</v>
      </c>
      <c r="K6" s="144"/>
      <c r="L6" s="145"/>
    </row>
    <row r="7" spans="1:12" s="2" customFormat="1" ht="15" customHeight="1">
      <c r="A7" s="12">
        <v>2</v>
      </c>
      <c r="B7" s="10" t="str">
        <f>LIDER!E44</f>
        <v>DANIEL JESED DIAZ VERGARA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LAURA SOFIA ESCOBAR CORDOBA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GENESIS VALENTINA SUAREZ VILORIA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55</v>
      </c>
      <c r="C12" s="88" t="s">
        <v>61</v>
      </c>
      <c r="D12" s="32" t="str">
        <f>D5</f>
        <v>LIST</v>
      </c>
      <c r="E12" s="89" t="s">
        <v>60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SAMUEL JOSÉ MARIN VARELA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4.4800000000000004</v>
      </c>
      <c r="F13" s="143">
        <v>4.4000000000000004</v>
      </c>
      <c r="G13" s="144">
        <v>4.5</v>
      </c>
      <c r="H13" s="145">
        <v>4.5</v>
      </c>
      <c r="I13" s="144">
        <v>4.5</v>
      </c>
      <c r="J13" s="145">
        <v>4.5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JUSTIN DANIEL TORRES SANMARTIN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4.4800000000000004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MIGUEL BANDA AVENDAÑO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4.4800000000000004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62</v>
      </c>
      <c r="C19" s="88" t="s">
        <v>63</v>
      </c>
      <c r="D19" s="32" t="str">
        <f>D12</f>
        <v>LIST</v>
      </c>
      <c r="E19" s="89" t="s">
        <v>60</v>
      </c>
      <c r="F19" s="142">
        <f>LIDER!$E$31</f>
        <v>0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64</v>
      </c>
      <c r="C26" s="88" t="s">
        <v>65</v>
      </c>
      <c r="D26" s="32" t="str">
        <f>D19</f>
        <v>LIST</v>
      </c>
      <c r="E26" s="89" t="s">
        <v>60</v>
      </c>
      <c r="F26" s="142">
        <f>LIDER!$E$32</f>
        <v>0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66</v>
      </c>
      <c r="C33" s="88" t="s">
        <v>67</v>
      </c>
      <c r="D33" s="32" t="str">
        <f>D26</f>
        <v>LIST</v>
      </c>
      <c r="E33" s="89" t="s">
        <v>60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69</v>
      </c>
      <c r="D40" s="32" t="str">
        <f>D33</f>
        <v>LIST</v>
      </c>
      <c r="E40" s="89" t="s">
        <v>60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70</v>
      </c>
      <c r="C47" s="88" t="s">
        <v>71</v>
      </c>
      <c r="D47" s="32" t="str">
        <f>D40</f>
        <v>LIST</v>
      </c>
      <c r="E47" s="89" t="s">
        <v>60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72</v>
      </c>
      <c r="C54" s="88" t="s">
        <v>73</v>
      </c>
      <c r="D54" s="32" t="str">
        <f>D47</f>
        <v>LIST</v>
      </c>
      <c r="E54" s="89" t="s">
        <v>60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74</v>
      </c>
      <c r="C61" s="88" t="s">
        <v>75</v>
      </c>
      <c r="D61" s="32" t="str">
        <f>D54</f>
        <v>LIST</v>
      </c>
      <c r="E61" s="89" t="s">
        <v>60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76</v>
      </c>
      <c r="C68" s="88" t="s">
        <v>77</v>
      </c>
      <c r="D68" s="32" t="str">
        <f>D61</f>
        <v>LIST</v>
      </c>
      <c r="E68" s="89" t="s">
        <v>60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78</v>
      </c>
      <c r="C75" s="88" t="s">
        <v>79</v>
      </c>
      <c r="D75" s="32" t="str">
        <f>D68</f>
        <v>LIST</v>
      </c>
      <c r="E75" s="89" t="s">
        <v>60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80</v>
      </c>
      <c r="C82" s="88" t="s">
        <v>81</v>
      </c>
      <c r="D82" s="32" t="str">
        <f>D75</f>
        <v>LIST</v>
      </c>
      <c r="E82" s="89" t="s">
        <v>60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G4" activePane="bottomRight" state="frozen"/>
      <selection pane="bottomRight" activeCell="K13" sqref="K13:K18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FUNDAMENTOS DE FINANZAS</v>
      </c>
      <c r="C2" s="82"/>
      <c r="D2" s="3"/>
      <c r="F2" s="149" t="s">
        <v>56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57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CONCATENATE(LIDER!G4," - ",LIDER!G6," - ",LIDER!G5)</f>
        <v>FUNDAMENTOS DE FINANZAS - 1479 - LEONARDO CARLOS DE ORO BARRIOS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54</v>
      </c>
      <c r="C5" s="88" t="s">
        <v>58</v>
      </c>
      <c r="D5" s="32" t="s">
        <v>59</v>
      </c>
      <c r="E5" s="89" t="s">
        <v>60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CARLOS ALBERTO AMADOR MORALES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</v>
      </c>
      <c r="F6" s="143">
        <v>4.5</v>
      </c>
      <c r="G6" s="144">
        <v>4.5</v>
      </c>
      <c r="H6" s="145">
        <v>4.5</v>
      </c>
      <c r="I6" s="144">
        <v>4.5</v>
      </c>
      <c r="J6" s="145">
        <v>4.5</v>
      </c>
      <c r="K6" s="144"/>
      <c r="L6" s="145"/>
    </row>
    <row r="7" spans="1:12" s="2" customFormat="1" ht="15" customHeight="1">
      <c r="A7" s="12">
        <v>2</v>
      </c>
      <c r="B7" s="10" t="str">
        <f>LIDER!E44</f>
        <v>DANIEL JESED DIAZ VERGARA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LAURA SOFIA ESCOBAR CORDOBA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GENESIS VALENTINA SUAREZ VILORIA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55</v>
      </c>
      <c r="C12" s="88" t="s">
        <v>61</v>
      </c>
      <c r="D12" s="32" t="str">
        <f>D5</f>
        <v>LIST</v>
      </c>
      <c r="E12" s="89" t="s">
        <v>60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SAMUEL JOSÉ MARIN VARELA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143">
        <v>4</v>
      </c>
      <c r="G13" s="144">
        <v>4</v>
      </c>
      <c r="H13" s="145">
        <v>4</v>
      </c>
      <c r="I13" s="144">
        <v>4</v>
      </c>
      <c r="J13" s="145">
        <v>4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JUSTIN DANIEL TORRES SANMARTIN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MIGUEL BANDA AVENDAÑO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3.9999999999999996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62</v>
      </c>
      <c r="C19" s="88" t="s">
        <v>63</v>
      </c>
      <c r="D19" s="32" t="str">
        <f>D12</f>
        <v>LIST</v>
      </c>
      <c r="E19" s="89" t="s">
        <v>60</v>
      </c>
      <c r="F19" s="142">
        <f>LIDER!$E$31</f>
        <v>0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64</v>
      </c>
      <c r="C26" s="88" t="s">
        <v>65</v>
      </c>
      <c r="D26" s="32" t="str">
        <f>D19</f>
        <v>LIST</v>
      </c>
      <c r="E26" s="89" t="s">
        <v>60</v>
      </c>
      <c r="F26" s="142">
        <f>LIDER!$E$32</f>
        <v>0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66</v>
      </c>
      <c r="C33" s="88" t="s">
        <v>67</v>
      </c>
      <c r="D33" s="32" t="str">
        <f>D26</f>
        <v>LIST</v>
      </c>
      <c r="E33" s="89" t="s">
        <v>60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69</v>
      </c>
      <c r="D40" s="32" t="str">
        <f>D33</f>
        <v>LIST</v>
      </c>
      <c r="E40" s="89" t="s">
        <v>60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70</v>
      </c>
      <c r="C47" s="88" t="s">
        <v>71</v>
      </c>
      <c r="D47" s="32" t="str">
        <f>D40</f>
        <v>LIST</v>
      </c>
      <c r="E47" s="89" t="s">
        <v>60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72</v>
      </c>
      <c r="C54" s="88" t="s">
        <v>73</v>
      </c>
      <c r="D54" s="32" t="str">
        <f>D47</f>
        <v>LIST</v>
      </c>
      <c r="E54" s="89" t="s">
        <v>60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74</v>
      </c>
      <c r="C61" s="88" t="s">
        <v>75</v>
      </c>
      <c r="D61" s="32" t="str">
        <f>D54</f>
        <v>LIST</v>
      </c>
      <c r="E61" s="89" t="s">
        <v>60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76</v>
      </c>
      <c r="C68" s="88" t="s">
        <v>77</v>
      </c>
      <c r="D68" s="32" t="str">
        <f>D61</f>
        <v>LIST</v>
      </c>
      <c r="E68" s="89" t="s">
        <v>60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78</v>
      </c>
      <c r="C75" s="88" t="s">
        <v>79</v>
      </c>
      <c r="D75" s="32" t="str">
        <f>D68</f>
        <v>LIST</v>
      </c>
      <c r="E75" s="89" t="s">
        <v>60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80</v>
      </c>
      <c r="C82" s="88" t="s">
        <v>81</v>
      </c>
      <c r="D82" s="32" t="str">
        <f>D75</f>
        <v>LIST</v>
      </c>
      <c r="E82" s="89" t="s">
        <v>60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LIDER!H4</f>
        <v>0</v>
      </c>
      <c r="C2" s="82"/>
      <c r="D2" s="3"/>
      <c r="F2" s="149" t="s">
        <v>56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57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CONCATENATE(LIDER!H4," - ",LIDER!H6," - ",LIDER!H5)</f>
        <v xml:space="preserve"> -  - 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54</v>
      </c>
      <c r="C5" s="88" t="s">
        <v>58</v>
      </c>
      <c r="D5" s="32" t="s">
        <v>59</v>
      </c>
      <c r="E5" s="89" t="s">
        <v>60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CARLOS ALBERTO AMADOR MORALES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4"/>
      <c r="H6" s="145"/>
      <c r="I6" s="144"/>
      <c r="J6" s="145"/>
      <c r="K6" s="144"/>
      <c r="L6" s="145"/>
    </row>
    <row r="7" spans="1:12" s="2" customFormat="1" ht="15" customHeight="1">
      <c r="A7" s="12">
        <v>2</v>
      </c>
      <c r="B7" s="10" t="str">
        <f>LIDER!E44</f>
        <v>DANIEL JESED DIAZ VERGARA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LAURA SOFIA ESCOBAR CORDOBA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GENESIS VALENTINA SUAREZ VILORIA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55</v>
      </c>
      <c r="C12" s="88" t="s">
        <v>61</v>
      </c>
      <c r="D12" s="32" t="str">
        <f>D5</f>
        <v>LIST</v>
      </c>
      <c r="E12" s="89" t="s">
        <v>60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SAMUEL JOSÉ MARIN VARELA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4"/>
      <c r="H13" s="145"/>
      <c r="I13" s="144"/>
      <c r="J13" s="145"/>
      <c r="K13" s="144"/>
      <c r="L13" s="145"/>
    </row>
    <row r="14" spans="1:12" s="2" customFormat="1" ht="15" customHeight="1">
      <c r="A14" s="12">
        <v>2</v>
      </c>
      <c r="B14" s="10" t="str">
        <f>LIDER!F44</f>
        <v>JUSTIN DANIEL TORRES SANMARTIN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MIGUEL BANDA AVENDAÑO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62</v>
      </c>
      <c r="C19" s="88" t="s">
        <v>63</v>
      </c>
      <c r="D19" s="32" t="str">
        <f>D12</f>
        <v>LIST</v>
      </c>
      <c r="E19" s="89" t="s">
        <v>60</v>
      </c>
      <c r="F19" s="142">
        <f>LIDER!$E$31</f>
        <v>0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64</v>
      </c>
      <c r="C26" s="88" t="s">
        <v>65</v>
      </c>
      <c r="D26" s="32" t="str">
        <f>D19</f>
        <v>LIST</v>
      </c>
      <c r="E26" s="89" t="s">
        <v>60</v>
      </c>
      <c r="F26" s="142">
        <f>LIDER!$E$32</f>
        <v>0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66</v>
      </c>
      <c r="C33" s="88" t="s">
        <v>67</v>
      </c>
      <c r="D33" s="32" t="str">
        <f>D26</f>
        <v>LIST</v>
      </c>
      <c r="E33" s="89" t="s">
        <v>60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69</v>
      </c>
      <c r="D40" s="32" t="str">
        <f>D33</f>
        <v>LIST</v>
      </c>
      <c r="E40" s="89" t="s">
        <v>60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70</v>
      </c>
      <c r="C47" s="88" t="s">
        <v>71</v>
      </c>
      <c r="D47" s="32" t="str">
        <f>D40</f>
        <v>LIST</v>
      </c>
      <c r="E47" s="89" t="s">
        <v>60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72</v>
      </c>
      <c r="C54" s="88" t="s">
        <v>73</v>
      </c>
      <c r="D54" s="32" t="str">
        <f>D47</f>
        <v>LIST</v>
      </c>
      <c r="E54" s="89" t="s">
        <v>60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74</v>
      </c>
      <c r="C61" s="88" t="s">
        <v>75</v>
      </c>
      <c r="D61" s="32" t="str">
        <f>D54</f>
        <v>LIST</v>
      </c>
      <c r="E61" s="89" t="s">
        <v>60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76</v>
      </c>
      <c r="C68" s="88" t="s">
        <v>77</v>
      </c>
      <c r="D68" s="32" t="str">
        <f>D61</f>
        <v>LIST</v>
      </c>
      <c r="E68" s="89" t="s">
        <v>60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78</v>
      </c>
      <c r="C75" s="88" t="s">
        <v>79</v>
      </c>
      <c r="D75" s="32" t="str">
        <f>D68</f>
        <v>LIST</v>
      </c>
      <c r="E75" s="89" t="s">
        <v>60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80</v>
      </c>
      <c r="C82" s="88" t="s">
        <v>81</v>
      </c>
      <c r="D82" s="32" t="str">
        <f>D75</f>
        <v>LIST</v>
      </c>
      <c r="E82" s="89" t="s">
        <v>60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LIDER!I4</f>
        <v>0</v>
      </c>
      <c r="C2" s="82"/>
      <c r="D2" s="3"/>
      <c r="F2" s="149" t="s">
        <v>56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57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CONCATENATE(LIDER!I4," - ",LIDER!I6," - ",LIDER!I5)</f>
        <v xml:space="preserve"> -  - 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54</v>
      </c>
      <c r="C5" s="88" t="s">
        <v>58</v>
      </c>
      <c r="D5" s="32" t="s">
        <v>59</v>
      </c>
      <c r="E5" s="89" t="s">
        <v>60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CARLOS ALBERTO AMADOR MORALES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4"/>
      <c r="H6" s="145"/>
      <c r="I6" s="144"/>
      <c r="J6" s="145"/>
      <c r="K6" s="144"/>
      <c r="L6" s="145"/>
    </row>
    <row r="7" spans="1:12" s="2" customFormat="1" ht="15" customHeight="1">
      <c r="A7" s="12">
        <v>2</v>
      </c>
      <c r="B7" s="10" t="str">
        <f>LIDER!E44</f>
        <v>DANIEL JESED DIAZ VERGARA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LAURA SOFIA ESCOBAR CORDOBA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GENESIS VALENTINA SUAREZ VILORIA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55</v>
      </c>
      <c r="C12" s="88" t="s">
        <v>61</v>
      </c>
      <c r="D12" s="32" t="str">
        <f>D5</f>
        <v>LIST</v>
      </c>
      <c r="E12" s="89" t="s">
        <v>60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SAMUEL JOSÉ MARIN VARELA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4"/>
      <c r="H13" s="145"/>
      <c r="I13" s="144"/>
      <c r="J13" s="145"/>
      <c r="K13" s="144"/>
      <c r="L13" s="145"/>
    </row>
    <row r="14" spans="1:12" s="2" customFormat="1" ht="15" customHeight="1">
      <c r="A14" s="12">
        <v>2</v>
      </c>
      <c r="B14" s="10" t="str">
        <f>LIDER!F44</f>
        <v>JUSTIN DANIEL TORRES SANMARTIN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MIGUEL BANDA AVENDAÑO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62</v>
      </c>
      <c r="C19" s="88" t="s">
        <v>63</v>
      </c>
      <c r="D19" s="32" t="str">
        <f>D12</f>
        <v>LIST</v>
      </c>
      <c r="E19" s="89" t="s">
        <v>60</v>
      </c>
      <c r="F19" s="142">
        <f>LIDER!$E$31</f>
        <v>0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64</v>
      </c>
      <c r="C26" s="88" t="s">
        <v>65</v>
      </c>
      <c r="D26" s="32" t="str">
        <f>D19</f>
        <v>LIST</v>
      </c>
      <c r="E26" s="89" t="s">
        <v>60</v>
      </c>
      <c r="F26" s="142">
        <f>LIDER!$E$32</f>
        <v>0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66</v>
      </c>
      <c r="C33" s="88" t="s">
        <v>67</v>
      </c>
      <c r="D33" s="32" t="str">
        <f>D26</f>
        <v>LIST</v>
      </c>
      <c r="E33" s="89" t="s">
        <v>60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69</v>
      </c>
      <c r="D40" s="32" t="str">
        <f>D33</f>
        <v>LIST</v>
      </c>
      <c r="E40" s="89" t="s">
        <v>60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70</v>
      </c>
      <c r="C47" s="88" t="s">
        <v>71</v>
      </c>
      <c r="D47" s="32" t="str">
        <f>D40</f>
        <v>LIST</v>
      </c>
      <c r="E47" s="89" t="s">
        <v>60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72</v>
      </c>
      <c r="C54" s="88" t="s">
        <v>73</v>
      </c>
      <c r="D54" s="32" t="str">
        <f>D47</f>
        <v>LIST</v>
      </c>
      <c r="E54" s="89" t="s">
        <v>60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74</v>
      </c>
      <c r="C61" s="88" t="s">
        <v>75</v>
      </c>
      <c r="D61" s="32" t="str">
        <f>D54</f>
        <v>LIST</v>
      </c>
      <c r="E61" s="89" t="s">
        <v>60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76</v>
      </c>
      <c r="C68" s="88" t="s">
        <v>77</v>
      </c>
      <c r="D68" s="32" t="str">
        <f>D61</f>
        <v>LIST</v>
      </c>
      <c r="E68" s="89" t="s">
        <v>60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78</v>
      </c>
      <c r="C75" s="88" t="s">
        <v>79</v>
      </c>
      <c r="D75" s="32" t="str">
        <f>D68</f>
        <v>LIST</v>
      </c>
      <c r="E75" s="89" t="s">
        <v>60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80</v>
      </c>
      <c r="C82" s="88" t="s">
        <v>81</v>
      </c>
      <c r="D82" s="32" t="str">
        <f>D75</f>
        <v>LIST</v>
      </c>
      <c r="E82" s="89" t="s">
        <v>60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39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IMPORTACIONES Y EXPORTACIONES</v>
      </c>
      <c r="C2" s="3"/>
      <c r="E2" s="207" t="s">
        <v>56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57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CONCATENATE(LIDER!C4," - ",LIDER!C6," - ",LIDER!C5)</f>
        <v>IMPORTACIONES Y EXPORTACIONES - 1438 - TATIANA MILENA ROJAS AROCA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54</v>
      </c>
      <c r="C5" s="32" t="str">
        <f>IF('S-ASIG-01'!D5="","",'S-ASIG-01'!D5)</f>
        <v>LIST</v>
      </c>
      <c r="D5" s="35" t="s">
        <v>60</v>
      </c>
      <c r="E5" s="206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CARLOS ALBERTO AMADOR MORALES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JESED DIAZ VERGARA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LAURA SOFIA ESCOBAR CORDOBA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GENESIS VALENTINA SUAREZ VILORIA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55</v>
      </c>
      <c r="C12" s="32" t="str">
        <f>IF('S-ASIG-01'!D12="","",'S-ASIG-01'!D12)</f>
        <v>LIST</v>
      </c>
      <c r="D12" s="35" t="s">
        <v>60</v>
      </c>
      <c r="E12" s="206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SAMUEL JOSÉ MARIN VARELA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JUSTIN DANIEL TORRES SANMARTIN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BANDA AVENDAÑO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IF('S-ASIG-01'!D16="","",'S-ASIG-01'!D16)</f>
        <v/>
      </c>
      <c r="D16" s="30" t="str">
        <f>IF(B16=0,"",IF(C16="",$E$13*LIDER!$H$19+F16*LIDER!$H$20+G16*LIDER!$H$21+H16*LIDER!$H$22+I16*LIDER!$H$23+J16*LIDER!$H$24+K16*LIDER!$H$25,"N"))</f>
        <v/>
      </c>
      <c r="E16" s="20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62</v>
      </c>
      <c r="C19" s="32" t="str">
        <f>IF('S-ASIG-01'!D19="","",'S-ASIG-01'!D19)</f>
        <v>LIST</v>
      </c>
      <c r="D19" s="35" t="s">
        <v>60</v>
      </c>
      <c r="E19" s="206">
        <f>LIDER!$E$31</f>
        <v>0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>
        <f>LIDER!G43</f>
        <v>0</v>
      </c>
      <c r="C20" s="33" t="str">
        <f>IF('S-ASIG-01'!D20="","",'S-ASIG-01'!D20)</f>
        <v/>
      </c>
      <c r="D20" s="30" t="str">
        <f>IF(B20=0,"",IF(C20="",$E$20*LIDER!$H$19+F20*LIDER!$H$20+G20*LIDER!$H$21+H20*LIDER!$H$22+I20*LIDER!$H$23+J20*LIDER!$H$24+K20*LIDER!$H$25,"N"))</f>
        <v/>
      </c>
      <c r="E20" s="20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IF('S-ASIG-01'!D21="","",'S-ASIG-01'!D21)</f>
        <v/>
      </c>
      <c r="D21" s="30" t="str">
        <f>IF(B21=0,"",IF(C21="",$E$20*LIDER!$H$19+F21*LIDER!$H$20+G21*LIDER!$H$21+H21*LIDER!$H$22+I21*LIDER!$H$23+J21*LIDER!$H$24+K21*LIDER!$H$25,"N"))</f>
        <v/>
      </c>
      <c r="E21" s="20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IF('S-ASIG-01'!D22="","",'S-ASIG-01'!D22)</f>
        <v/>
      </c>
      <c r="D22" s="30" t="str">
        <f>IF(B22=0,"",IF(C22="",$E$20*LIDER!$H$19+F22*LIDER!$H$20+G22*LIDER!$H$21+H22*LIDER!$H$22+I22*LIDER!$H$23+J22*LIDER!$H$24+K22*LIDER!$H$25,"N"))</f>
        <v/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IF('S-ASIG-01'!D23="","",'S-ASIG-01'!D23)</f>
        <v/>
      </c>
      <c r="D23" s="30" t="str">
        <f>IF(B23=0,"",IF(C23="",$E$20*LIDER!$H$19+F23*LIDER!$H$20+G23*LIDER!$H$21+H23*LIDER!$H$22+I23*LIDER!$H$23+J23*LIDER!$H$24+K23*LIDER!$H$25,"N"))</f>
        <v/>
      </c>
      <c r="E23" s="20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64</v>
      </c>
      <c r="C26" s="32" t="str">
        <f>IF('S-ASIG-01'!D26="","",'S-ASIG-01'!D26)</f>
        <v>LIST</v>
      </c>
      <c r="D26" s="35" t="s">
        <v>60</v>
      </c>
      <c r="E26" s="206">
        <f>LIDER!$E$32</f>
        <v>0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IF('S-ASIG-01'!D27="","",'S-ASIG-01'!D27)</f>
        <v/>
      </c>
      <c r="D27" s="30" t="str">
        <f>IF(B27=0,"",IF(C27="",$E$27*LIDER!$H$19+F27*LIDER!$H$20+G27*LIDER!$H$21+H27*LIDER!$H$22+I27*LIDER!$H$23+J27*LIDER!$H$24+K27*LIDER!$H$25,"N"))</f>
        <v/>
      </c>
      <c r="E27" s="20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IF('S-ASIG-01'!D28="","",'S-ASIG-01'!D28)</f>
        <v/>
      </c>
      <c r="D28" s="30" t="str">
        <f>IF(B28=0,"",IF(C28="",$E$27*LIDER!$H$19+F28*LIDER!$H$20+G28*LIDER!$H$21+H28*LIDER!$H$22+I28*LIDER!$H$23+J28*LIDER!$H$24+K28*LIDER!$H$25,"N"))</f>
        <v/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IF('S-ASIG-01'!D29="","",'S-ASIG-01'!D29)</f>
        <v/>
      </c>
      <c r="D29" s="30" t="str">
        <f>IF(B29=0,"",IF(C29="",$E$27*LIDER!$H$19+F29*LIDER!$H$20+G29*LIDER!$H$21+H29*LIDER!$H$22+I29*LIDER!$H$23+J29*LIDER!$H$24+K29*LIDER!$H$25,"N"))</f>
        <v/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IF('S-ASIG-01'!D33="","",'S-ASIG-01'!D33)</f>
        <v>LIST</v>
      </c>
      <c r="D33" s="35" t="s">
        <v>60</v>
      </c>
      <c r="E33" s="206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IF('S-ASIG-01'!D40="","",'S-ASIG-01'!D40)</f>
        <v>LIST</v>
      </c>
      <c r="D40" s="35" t="s">
        <v>60</v>
      </c>
      <c r="E40" s="206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IF('S-ASIG-01'!D47="","",'S-ASIG-01'!D47)</f>
        <v>LIST</v>
      </c>
      <c r="D47" s="35" t="s">
        <v>60</v>
      </c>
      <c r="E47" s="206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72</v>
      </c>
      <c r="C54" s="32" t="str">
        <f>IF('S-ASIG-01'!D54="","",'S-ASIG-01'!D54)</f>
        <v>LIST</v>
      </c>
      <c r="D54" s="35" t="s">
        <v>60</v>
      </c>
      <c r="E54" s="206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IF('S-ASIG-01'!D61="","",'S-ASIG-01'!D61)</f>
        <v>LIST</v>
      </c>
      <c r="D61" s="35" t="s">
        <v>60</v>
      </c>
      <c r="E61" s="206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IF('S-ASIG-01'!D68="","",'S-ASIG-01'!D68)</f>
        <v>LIST</v>
      </c>
      <c r="D68" s="35" t="s">
        <v>60</v>
      </c>
      <c r="E68" s="206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IF('S-ASIG-01'!D75="","",'S-ASIG-01'!D75)</f>
        <v>LIST</v>
      </c>
      <c r="D75" s="35" t="s">
        <v>60</v>
      </c>
      <c r="E75" s="206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IF('S-ASIG-01'!D82="","",'S-ASIG-01'!D82)</f>
        <v>LIST</v>
      </c>
      <c r="D82" s="35" t="s">
        <v>60</v>
      </c>
      <c r="E82" s="206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2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32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ETICA</v>
      </c>
      <c r="C2" s="3"/>
      <c r="E2" s="207" t="s">
        <v>56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57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CONCATENATE(LIDER!D4," - ",LIDER!D6," - ",LIDER!D5)</f>
        <v>ETICA - 2268 - LEIDY ENID QUINTERO SÁNCHEZ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54</v>
      </c>
      <c r="C5" s="34" t="str">
        <f>IF('S-ASIG-02'!D5="","",'S-ASIG-02'!D5)</f>
        <v>LIST</v>
      </c>
      <c r="D5" s="35" t="s">
        <v>60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CARLOS ALBERTO AMADOR MORALES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JESED DIAZ VERGARA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LAURA SOFIA ESCOBAR CORDOBA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GENESIS VALENTINA SUAREZ VILORIA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55</v>
      </c>
      <c r="C12" s="32" t="str">
        <f>IF('S-ASIG-02'!D12="","",'S-ASIG-02'!D12)</f>
        <v>LIST</v>
      </c>
      <c r="D12" s="35" t="s">
        <v>60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SAMUEL JOSÉ MARIN VARELA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JUSTIN DANIEL TORRES SANMARTIN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BANDA AVENDAÑO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IF('S-ASIG-02'!D16="","",'S-ASIG-02'!D16)</f>
        <v/>
      </c>
      <c r="D16" s="30" t="str">
        <f>IF(B16=0,"",IF(C16="",$E$13*LIDER!$H$19+F16*LIDER!$H$20+G16*LIDER!$H$21+H16*LIDER!$H$22+I16*LIDER!$H$23+J16*LIDER!$H$24+K16*LIDER!$H$25,"N"))</f>
        <v/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62</v>
      </c>
      <c r="C19" s="32" t="str">
        <f>IF('S-ASIG-02'!D19="","",'S-ASIG-02'!D19)</f>
        <v>LIST</v>
      </c>
      <c r="D19" s="35" t="s">
        <v>60</v>
      </c>
      <c r="E19" s="142">
        <f>LIDER!$E$31</f>
        <v>0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>
        <f>LIDER!G43</f>
        <v>0</v>
      </c>
      <c r="C20" s="33" t="str">
        <f>IF('S-ASIG-02'!D20="","",'S-ASIG-02'!D20)</f>
        <v/>
      </c>
      <c r="D20" s="30" t="str">
        <f>IF(B20=0,"",IF(C20="",$E$20*LIDER!$H$19+F20*LIDER!$H$20+G20*LIDER!$H$21+H20*LIDER!$H$22+I20*LIDER!$H$23+J20*LIDER!$H$24+K20*LIDER!$H$25,"N"))</f>
        <v/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IF('S-ASIG-02'!D21="","",'S-ASIG-02'!D21)</f>
        <v/>
      </c>
      <c r="D21" s="30" t="str">
        <f>IF(B21=0,"",IF(C21="",$E$20*LIDER!$H$19+F21*LIDER!$H$20+G21*LIDER!$H$21+H21*LIDER!$H$22+I21*LIDER!$H$23+J21*LIDER!$H$24+K21*LIDER!$H$25,"N"))</f>
        <v/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IF('S-ASIG-02'!D22="","",'S-ASIG-02'!D22)</f>
        <v/>
      </c>
      <c r="D22" s="30" t="str">
        <f>IF(B22=0,"",IF(C22="",$E$20*LIDER!$H$19+F22*LIDER!$H$20+G22*LIDER!$H$21+H22*LIDER!$H$22+I22*LIDER!$H$23+J22*LIDER!$H$24+K22*LIDER!$H$25,"N"))</f>
        <v/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IF('S-ASIG-02'!D23="","",'S-ASIG-02'!D23)</f>
        <v/>
      </c>
      <c r="D23" s="30" t="str">
        <f>IF(B23=0,"",IF(C23="",$E$20*LIDER!$H$19+F23*LIDER!$H$20+G23*LIDER!$H$21+H23*LIDER!$H$22+I23*LIDER!$H$23+J23*LIDER!$H$24+K23*LIDER!$H$25,"N"))</f>
        <v/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64</v>
      </c>
      <c r="C26" s="32" t="str">
        <f>IF('S-ASIG-02'!D26="","",'S-ASIG-02'!D26)</f>
        <v>LIST</v>
      </c>
      <c r="D26" s="35" t="s">
        <v>60</v>
      </c>
      <c r="E26" s="142">
        <f>LIDER!$E$32</f>
        <v>0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IF('S-ASIG-02'!D27="","",'S-ASIG-02'!D27)</f>
        <v/>
      </c>
      <c r="D27" s="30" t="str">
        <f>IF(B27=0,"",IF(C27="",$E$27*LIDER!$H$19+F27*LIDER!$H$20+G27*LIDER!$H$21+H27*LIDER!$H$22+I27*LIDER!$H$23+J27*LIDER!$H$24+K27*LIDER!$H$25,"N"))</f>
        <v/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IF('S-ASIG-02'!D28="","",'S-ASIG-02'!D28)</f>
        <v/>
      </c>
      <c r="D28" s="30" t="str">
        <f>IF(B28=0,"",IF(C28="",$E$27*LIDER!$H$19+F28*LIDER!$H$20+G28*LIDER!$H$21+H28*LIDER!$H$22+I28*LIDER!$H$23+J28*LIDER!$H$24+K28*LIDER!$H$25,"N"))</f>
        <v/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IF('S-ASIG-02'!D29="","",'S-ASIG-02'!D29)</f>
        <v/>
      </c>
      <c r="D29" s="30" t="str">
        <f>IF(B29=0,"",IF(C29="",$E$27*LIDER!$H$19+F29*LIDER!$H$20+G29*LIDER!$H$21+H29*LIDER!$H$22+I29*LIDER!$H$23+J29*LIDER!$H$24+K29*LIDER!$H$25,"N"))</f>
        <v/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IF('S-ASIG-02'!D33="","",'S-ASIG-02'!D33)</f>
        <v>LIST</v>
      </c>
      <c r="D33" s="35" t="s">
        <v>60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IF('S-ASIG-02'!D40="","",'S-ASIG-02'!D40)</f>
        <v>LIST</v>
      </c>
      <c r="D40" s="35" t="s">
        <v>60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IF('S-ASIG-02'!D47="","",'S-ASIG-02'!D47)</f>
        <v>LIST</v>
      </c>
      <c r="D47" s="35" t="s">
        <v>60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72</v>
      </c>
      <c r="C54" s="32" t="str">
        <f>IF('S-ASIG-02'!D54="","",'S-ASIG-02'!D54)</f>
        <v>LIST</v>
      </c>
      <c r="D54" s="35" t="s">
        <v>60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IF('S-ASIG-02'!D61="","",'S-ASIG-02'!D61)</f>
        <v>LIST</v>
      </c>
      <c r="D61" s="35" t="s">
        <v>60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IF('S-ASIG-02'!D68="","",'S-ASIG-02'!D68)</f>
        <v>LIST</v>
      </c>
      <c r="D68" s="35" t="s">
        <v>60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IF('S-ASIG-02'!D75="","",'S-ASIG-02'!D75)</f>
        <v>LIST</v>
      </c>
      <c r="D75" s="35" t="s">
        <v>60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IF('S-ASIG-02'!D82="","",'S-ASIG-02'!D82)</f>
        <v>LIST</v>
      </c>
      <c r="D82" s="35" t="s">
        <v>60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08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ESTADÍSTICA</v>
      </c>
      <c r="C2" s="3"/>
      <c r="E2" s="207" t="s">
        <v>56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57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CONCATENATE(LIDER!E4," - ",LIDER!E6," - ",LIDER!E5)</f>
        <v>ESTADÍSTICA - 1803 - VICTOR HUGO HURTADO OROZCO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54</v>
      </c>
      <c r="C5" s="34" t="str">
        <f>IF('S-ASIG-03'!D5="","",'S-ASIG-03'!D5)</f>
        <v>LIST</v>
      </c>
      <c r="D5" s="35" t="s">
        <v>60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CARLOS ALBERTO AMADOR MORALES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JESED DIAZ VERGARA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LAURA SOFIA ESCOBAR CORDOBA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GENESIS VALENTINA SUAREZ VILORIA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55</v>
      </c>
      <c r="C12" s="32" t="str">
        <f>IF('S-ASIG-03'!D12="","",'S-ASIG-03'!D12)</f>
        <v>LIST</v>
      </c>
      <c r="D12" s="35" t="s">
        <v>60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SAMUEL JOSÉ MARIN VARELA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JUSTIN DANIEL TORRES SANMARTIN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BANDA AVENDAÑO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IF('S-ASIG-03'!D16="","",'S-ASIG-03'!D16)</f>
        <v/>
      </c>
      <c r="D16" s="30" t="str">
        <f>IF(B16=0,"",IF(C16="",$E$13*LIDER!$H$19+F16*LIDER!$H$20+G16*LIDER!$H$21+H16*LIDER!$H$22+I16*LIDER!$H$23+J16*LIDER!$H$24+K16*LIDER!$H$25,"N"))</f>
        <v/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62</v>
      </c>
      <c r="C19" s="32" t="str">
        <f>IF('S-ASIG-03'!D19="","",'S-ASIG-03'!D19)</f>
        <v>LIST</v>
      </c>
      <c r="D19" s="35" t="s">
        <v>60</v>
      </c>
      <c r="E19" s="142">
        <f>LIDER!$E$31</f>
        <v>0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>
        <f>LIDER!G43</f>
        <v>0</v>
      </c>
      <c r="C20" s="33" t="str">
        <f>IF('S-ASIG-03'!D20="","",'S-ASIG-03'!D20)</f>
        <v/>
      </c>
      <c r="D20" s="30" t="str">
        <f>IF(B20=0,"",IF(C20="",$E$20*LIDER!$H$19+F20*LIDER!$H$20+G20*LIDER!$H$21+H20*LIDER!$H$22+I20*LIDER!$H$23+J20*LIDER!$H$24+K20*LIDER!$H$25,"N"))</f>
        <v/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IF('S-ASIG-03'!D21="","",'S-ASIG-03'!D21)</f>
        <v/>
      </c>
      <c r="D21" s="30" t="str">
        <f>IF(B21=0,"",IF(C21="",$E$20*LIDER!$H$19+F21*LIDER!$H$20+G21*LIDER!$H$21+H21*LIDER!$H$22+I21*LIDER!$H$23+J21*LIDER!$H$24+K21*LIDER!$H$25,"N"))</f>
        <v/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IF('S-ASIG-03'!D22="","",'S-ASIG-03'!D22)</f>
        <v/>
      </c>
      <c r="D22" s="30" t="str">
        <f>IF(B22=0,"",IF(C22="",$E$20*LIDER!$H$19+F22*LIDER!$H$20+G22*LIDER!$H$21+H22*LIDER!$H$22+I22*LIDER!$H$23+J22*LIDER!$H$24+K22*LIDER!$H$25,"N"))</f>
        <v/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IF('S-ASIG-03'!D23="","",'S-ASIG-03'!D23)</f>
        <v/>
      </c>
      <c r="D23" s="30" t="str">
        <f>IF(B23=0,"",IF(C23="",$E$20*LIDER!$H$19+F23*LIDER!$H$20+G23*LIDER!$H$21+H23*LIDER!$H$22+I23*LIDER!$H$23+J23*LIDER!$H$24+K23*LIDER!$H$25,"N"))</f>
        <v/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64</v>
      </c>
      <c r="C26" s="32" t="str">
        <f>IF('S-ASIG-03'!D26="","",'S-ASIG-03'!D26)</f>
        <v>LIST</v>
      </c>
      <c r="D26" s="35" t="s">
        <v>60</v>
      </c>
      <c r="E26" s="142">
        <f>LIDER!$E$32</f>
        <v>0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IF('S-ASIG-03'!D27="","",'S-ASIG-03'!D27)</f>
        <v/>
      </c>
      <c r="D27" s="30" t="str">
        <f>IF(B27=0,"",IF(C27="",$E$27*LIDER!$H$19+F27*LIDER!$H$20+G27*LIDER!$H$21+H27*LIDER!$H$22+I27*LIDER!$H$23+J27*LIDER!$H$24+K27*LIDER!$H$25,"N"))</f>
        <v/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IF('S-ASIG-03'!D28="","",'S-ASIG-03'!D28)</f>
        <v/>
      </c>
      <c r="D28" s="30" t="str">
        <f>IF(B28=0,"",IF(C28="",$E$27*LIDER!$H$19+F28*LIDER!$H$20+G28*LIDER!$H$21+H28*LIDER!$H$22+I28*LIDER!$H$23+J28*LIDER!$H$24+K28*LIDER!$H$25,"N"))</f>
        <v/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IF('S-ASIG-03'!D29="","",'S-ASIG-03'!D29)</f>
        <v/>
      </c>
      <c r="D29" s="30" t="str">
        <f>IF(B29=0,"",IF(C29="",$E$27*LIDER!$H$19+F29*LIDER!$H$20+G29*LIDER!$H$21+H29*LIDER!$H$22+I29*LIDER!$H$23+J29*LIDER!$H$24+K29*LIDER!$H$25,"N"))</f>
        <v/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IF('S-ASIG-03'!D33="","",'S-ASIG-03'!D33)</f>
        <v>LIST</v>
      </c>
      <c r="D33" s="35" t="s">
        <v>60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IF('S-ASIG-03'!D40="","",'S-ASIG-03'!D40)</f>
        <v>LIST</v>
      </c>
      <c r="D40" s="35" t="s">
        <v>60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IF('S-ASIG-03'!D47="","",'S-ASIG-03'!D47)</f>
        <v>LIST</v>
      </c>
      <c r="D47" s="35" t="s">
        <v>60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72</v>
      </c>
      <c r="C54" s="32" t="str">
        <f>IF('S-ASIG-03'!D54="","",'S-ASIG-03'!D54)</f>
        <v>LIST</v>
      </c>
      <c r="D54" s="35" t="s">
        <v>60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IF('S-ASIG-03'!D61="","",'S-ASIG-03'!D61)</f>
        <v>LIST</v>
      </c>
      <c r="D61" s="35" t="s">
        <v>60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IF('S-ASIG-03'!D68="","",'S-ASIG-03'!D68)</f>
        <v>LIST</v>
      </c>
      <c r="D68" s="35" t="s">
        <v>60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IF('S-ASIG-03'!D75="","",'S-ASIG-03'!D75)</f>
        <v>LIST</v>
      </c>
      <c r="D75" s="35" t="s">
        <v>60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IF('S-ASIG-03'!D82="","",'S-ASIG-03'!D82)</f>
        <v>LIST</v>
      </c>
      <c r="D82" s="35" t="s">
        <v>60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FUNDAMENTOS DE MERCADEO</v>
      </c>
      <c r="C2" s="3"/>
      <c r="E2" s="207" t="s">
        <v>56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57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CONCATENATE(LIDER!F4," - ",LIDER!F6," - ",LIDER!F5)</f>
        <v>FUNDAMENTOS DE MERCADEO - 1357 - SAMUEL BRUNAL RAMOS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54</v>
      </c>
      <c r="C5" s="34" t="str">
        <f>IF('S-ASIG-04'!D5="","",'S-ASIG-04'!D5)</f>
        <v>LIST</v>
      </c>
      <c r="D5" s="35" t="s">
        <v>60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CARLOS ALBERTO AMADOR MORALES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JESED DIAZ VERGARA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LAURA SOFIA ESCOBAR CORDOBA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GENESIS VALENTINA SUAREZ VILORIA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55</v>
      </c>
      <c r="C12" s="32" t="str">
        <f>IF('S-ASIG-04'!D12="","",'S-ASIG-04'!D12)</f>
        <v>LIST</v>
      </c>
      <c r="D12" s="35" t="s">
        <v>60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SAMUEL JOSÉ MARIN VARELA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JUSTIN DANIEL TORRES SANMARTIN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BANDA AVENDAÑO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IF('S-ASIG-04'!D16="","",'S-ASIG-04'!D16)</f>
        <v/>
      </c>
      <c r="D16" s="30" t="str">
        <f>IF(B16=0,"",IF(C16="",$E$13*LIDER!$H$19+F16*LIDER!$H$20+G16*LIDER!$H$21+H16*LIDER!$H$22+I16*LIDER!$H$23+J16*LIDER!$H$24+K16*LIDER!$H$25,"N"))</f>
        <v/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62</v>
      </c>
      <c r="C19" s="32" t="str">
        <f>IF('S-ASIG-04'!D19="","",'S-ASIG-04'!D19)</f>
        <v>LIST</v>
      </c>
      <c r="D19" s="35" t="s">
        <v>60</v>
      </c>
      <c r="E19" s="142">
        <f>LIDER!$E$31</f>
        <v>0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>
        <f>LIDER!G43</f>
        <v>0</v>
      </c>
      <c r="C20" s="33" t="str">
        <f>IF('S-ASIG-04'!D20="","",'S-ASIG-04'!D20)</f>
        <v/>
      </c>
      <c r="D20" s="30" t="str">
        <f>IF(B20=0,"",IF(C20="",$E$20*LIDER!$H$19+F20*LIDER!$H$20+G20*LIDER!$H$21+H20*LIDER!$H$22+I20*LIDER!$H$23+J20*LIDER!$H$24+K20*LIDER!$H$25,"N"))</f>
        <v/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IF('S-ASIG-04'!D21="","",'S-ASIG-04'!D21)</f>
        <v/>
      </c>
      <c r="D21" s="30" t="str">
        <f>IF(B21=0,"",IF(C21="",$E$20*LIDER!$H$19+F21*LIDER!$H$20+G21*LIDER!$H$21+H21*LIDER!$H$22+I21*LIDER!$H$23+J21*LIDER!$H$24+K21*LIDER!$H$25,"N"))</f>
        <v/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IF('S-ASIG-04'!D22="","",'S-ASIG-04'!D22)</f>
        <v/>
      </c>
      <c r="D22" s="30" t="str">
        <f>IF(B22=0,"",IF(C22="",$E$20*LIDER!$H$19+F22*LIDER!$H$20+G22*LIDER!$H$21+H22*LIDER!$H$22+I22*LIDER!$H$23+J22*LIDER!$H$24+K22*LIDER!$H$25,"N"))</f>
        <v/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IF('S-ASIG-04'!D23="","",'S-ASIG-04'!D23)</f>
        <v/>
      </c>
      <c r="D23" s="30" t="str">
        <f>IF(B23=0,"",IF(C23="",$E$20*LIDER!$H$19+F23*LIDER!$H$20+G23*LIDER!$H$21+H23*LIDER!$H$22+I23*LIDER!$H$23+J23*LIDER!$H$24+K23*LIDER!$H$25,"N"))</f>
        <v/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64</v>
      </c>
      <c r="C26" s="32" t="str">
        <f>IF('S-ASIG-04'!D26="","",'S-ASIG-04'!D26)</f>
        <v>LIST</v>
      </c>
      <c r="D26" s="35" t="s">
        <v>60</v>
      </c>
      <c r="E26" s="142">
        <f>LIDER!$E$32</f>
        <v>0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IF('S-ASIG-04'!D27="","",'S-ASIG-04'!D27)</f>
        <v/>
      </c>
      <c r="D27" s="30" t="str">
        <f>IF(B27=0,"",IF(C27="",$E$27*LIDER!$H$19+F27*LIDER!$H$20+G27*LIDER!$H$21+H27*LIDER!$H$22+I27*LIDER!$H$23+J27*LIDER!$H$24+K27*LIDER!$H$25,"N"))</f>
        <v/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IF('S-ASIG-04'!D28="","",'S-ASIG-04'!D28)</f>
        <v/>
      </c>
      <c r="D28" s="30" t="str">
        <f>IF(B28=0,"",IF(C28="",$E$27*LIDER!$H$19+F28*LIDER!$H$20+G28*LIDER!$H$21+H28*LIDER!$H$22+I28*LIDER!$H$23+J28*LIDER!$H$24+K28*LIDER!$H$25,"N"))</f>
        <v/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IF('S-ASIG-04'!D29="","",'S-ASIG-04'!D29)</f>
        <v/>
      </c>
      <c r="D29" s="30" t="str">
        <f>IF(B29=0,"",IF(C29="",$E$27*LIDER!$H$19+F29*LIDER!$H$20+G29*LIDER!$H$21+H29*LIDER!$H$22+I29*LIDER!$H$23+J29*LIDER!$H$24+K29*LIDER!$H$25,"N"))</f>
        <v/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IF('S-ASIG-04'!D33="","",'S-ASIG-04'!D33)</f>
        <v>LIST</v>
      </c>
      <c r="D33" s="35" t="s">
        <v>60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IF('S-ASIG-04'!D40="","",'S-ASIG-04'!D40)</f>
        <v>LIST</v>
      </c>
      <c r="D40" s="35" t="s">
        <v>60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IF('S-ASIG-04'!D47="","",'S-ASIG-04'!D47)</f>
        <v>LIST</v>
      </c>
      <c r="D47" s="35" t="s">
        <v>60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72</v>
      </c>
      <c r="C54" s="32" t="str">
        <f>IF('S-ASIG-04'!D54="","",'S-ASIG-04'!D54)</f>
        <v>LIST</v>
      </c>
      <c r="D54" s="35" t="s">
        <v>60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IF('S-ASIG-04'!D61="","",'S-ASIG-04'!D61)</f>
        <v>LIST</v>
      </c>
      <c r="D61" s="35" t="s">
        <v>60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IF('S-ASIG-04'!D68="","",'S-ASIG-04'!D68)</f>
        <v>LIST</v>
      </c>
      <c r="D68" s="35" t="s">
        <v>60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IF('S-ASIG-04'!D75="","",'S-ASIG-04'!D75)</f>
        <v>LIST</v>
      </c>
      <c r="D75" s="35" t="s">
        <v>60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IF('S-ASIG-04'!D82="","",'S-ASIG-04'!D82)</f>
        <v>LIST</v>
      </c>
      <c r="D82" s="35" t="s">
        <v>60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FUNDAMENTOS DE FINANZAS</v>
      </c>
      <c r="C2" s="3"/>
      <c r="E2" s="207" t="s">
        <v>56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57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CONCATENATE(LIDER!G4," - ",LIDER!G6," - ",LIDER!G5)</f>
        <v>FUNDAMENTOS DE FINANZAS - 1479 - LEONARDO CARLOS DE ORO BARRIOS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54</v>
      </c>
      <c r="C5" s="34" t="str">
        <f>IF('S-ASIG-05'!D5="","",'S-ASIG-05'!D5)</f>
        <v>LIST</v>
      </c>
      <c r="D5" s="35" t="s">
        <v>60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CARLOS ALBERTO AMADOR MORALES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JESED DIAZ VERGARA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LAURA SOFIA ESCOBAR CORDOBA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GENESIS VALENTINA SUAREZ VILORIA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55</v>
      </c>
      <c r="C12" s="32" t="str">
        <f>IF('S-ASIG-05'!D12="","",'S-ASIG-05'!D12)</f>
        <v>LIST</v>
      </c>
      <c r="D12" s="35" t="s">
        <v>60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SAMUEL JOSÉ MARIN VARELA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JUSTIN DANIEL TORRES SANMARTIN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BANDA AVENDAÑO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IF('S-ASIG-05'!D16="","",'S-ASIG-05'!D16)</f>
        <v/>
      </c>
      <c r="D16" s="30" t="str">
        <f>IF(B16=0,"",IF(C16="",$E$13*LIDER!$H$19+F16*LIDER!$H$20+G16*LIDER!$H$21+H16*LIDER!$H$22+I16*LIDER!$H$23+J16*LIDER!$H$24+K16*LIDER!$H$25,"N"))</f>
        <v/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62</v>
      </c>
      <c r="C19" s="32" t="str">
        <f>IF('S-ASIG-05'!D19="","",'S-ASIG-05'!D19)</f>
        <v>LIST</v>
      </c>
      <c r="D19" s="35" t="s">
        <v>60</v>
      </c>
      <c r="E19" s="142">
        <f>LIDER!$E$31</f>
        <v>0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>
        <f>LIDER!G43</f>
        <v>0</v>
      </c>
      <c r="C20" s="33" t="str">
        <f>IF('S-ASIG-05'!D20="","",'S-ASIG-05'!D20)</f>
        <v/>
      </c>
      <c r="D20" s="30" t="str">
        <f>IF(B20=0,"",IF(C20="",$E$20*LIDER!$H$19+F20*LIDER!$H$20+G20*LIDER!$H$21+H20*LIDER!$H$22+I20*LIDER!$H$23+J20*LIDER!$H$24+K20*LIDER!$H$25,"N"))</f>
        <v/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IF('S-ASIG-05'!D21="","",'S-ASIG-05'!D21)</f>
        <v/>
      </c>
      <c r="D21" s="30" t="str">
        <f>IF(B21=0,"",IF(C21="",$E$20*LIDER!$H$19+F21*LIDER!$H$20+G21*LIDER!$H$21+H21*LIDER!$H$22+I21*LIDER!$H$23+J21*LIDER!$H$24+K21*LIDER!$H$25,"N"))</f>
        <v/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IF('S-ASIG-05'!D22="","",'S-ASIG-05'!D22)</f>
        <v/>
      </c>
      <c r="D22" s="30" t="str">
        <f>IF(B22=0,"",IF(C22="",$E$20*LIDER!$H$19+F22*LIDER!$H$20+G22*LIDER!$H$21+H22*LIDER!$H$22+I22*LIDER!$H$23+J22*LIDER!$H$24+K22*LIDER!$H$25,"N"))</f>
        <v/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IF('S-ASIG-05'!D23="","",'S-ASIG-05'!D23)</f>
        <v/>
      </c>
      <c r="D23" s="30" t="str">
        <f>IF(B23=0,"",IF(C23="",$E$20*LIDER!$H$19+F23*LIDER!$H$20+G23*LIDER!$H$21+H23*LIDER!$H$22+I23*LIDER!$H$23+J23*LIDER!$H$24+K23*LIDER!$H$25,"N"))</f>
        <v/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64</v>
      </c>
      <c r="C26" s="32" t="str">
        <f>IF('S-ASIG-05'!D26="","",'S-ASIG-05'!D26)</f>
        <v>LIST</v>
      </c>
      <c r="D26" s="35" t="s">
        <v>60</v>
      </c>
      <c r="E26" s="142">
        <f>LIDER!$E$32</f>
        <v>0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IF('S-ASIG-05'!D27="","",'S-ASIG-05'!D27)</f>
        <v/>
      </c>
      <c r="D27" s="30" t="str">
        <f>IF(B27=0,"",IF(C27="",$E$27*LIDER!$H$19+F27*LIDER!$H$20+G27*LIDER!$H$21+H27*LIDER!$H$22+I27*LIDER!$H$23+J27*LIDER!$H$24+K27*LIDER!$H$25,"N"))</f>
        <v/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IF('S-ASIG-05'!D28="","",'S-ASIG-05'!D28)</f>
        <v/>
      </c>
      <c r="D28" s="30" t="str">
        <f>IF(B28=0,"",IF(C28="",$E$27*LIDER!$H$19+F28*LIDER!$H$20+G28*LIDER!$H$21+H28*LIDER!$H$22+I28*LIDER!$H$23+J28*LIDER!$H$24+K28*LIDER!$H$25,"N"))</f>
        <v/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IF('S-ASIG-05'!D29="","",'S-ASIG-05'!D29)</f>
        <v/>
      </c>
      <c r="D29" s="30" t="str">
        <f>IF(B29=0,"",IF(C29="",$E$27*LIDER!$H$19+F29*LIDER!$H$20+G29*LIDER!$H$21+H29*LIDER!$H$22+I29*LIDER!$H$23+J29*LIDER!$H$24+K29*LIDER!$H$25,"N"))</f>
        <v/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IF('S-ASIG-05'!D33="","",'S-ASIG-05'!D33)</f>
        <v>LIST</v>
      </c>
      <c r="D33" s="35" t="s">
        <v>60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IF('S-ASIG-05'!D40="","",'S-ASIG-05'!D40)</f>
        <v>LIST</v>
      </c>
      <c r="D40" s="35" t="s">
        <v>60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IF('S-ASIG-05'!D47="","",'S-ASIG-05'!D47)</f>
        <v>LIST</v>
      </c>
      <c r="D47" s="35" t="s">
        <v>60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72</v>
      </c>
      <c r="C54" s="32" t="str">
        <f>IF('S-ASIG-05'!D54="","",'S-ASIG-05'!D54)</f>
        <v>LIST</v>
      </c>
      <c r="D54" s="35" t="s">
        <v>60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IF('S-ASIG-05'!D61="","",'S-ASIG-05'!D61)</f>
        <v>LIST</v>
      </c>
      <c r="D61" s="35" t="s">
        <v>60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IF('S-ASIG-05'!D68="","",'S-ASIG-05'!D68)</f>
        <v>LIST</v>
      </c>
      <c r="D68" s="35" t="s">
        <v>60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IF('S-ASIG-05'!D75="","",'S-ASIG-05'!D75)</f>
        <v>LIST</v>
      </c>
      <c r="D75" s="35" t="s">
        <v>60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IF('S-ASIG-05'!D82="","",'S-ASIG-05'!D82)</f>
        <v>LIST</v>
      </c>
      <c r="D82" s="35" t="s">
        <v>60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LIDER!H4</f>
        <v>0</v>
      </c>
      <c r="C2" s="3"/>
      <c r="E2" s="207" t="s">
        <v>56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57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CONCATENATE(LIDER!H4," - ",LIDER!H6," - ",LIDER!H5)</f>
        <v xml:space="preserve"> -  - 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54</v>
      </c>
      <c r="C5" s="34" t="str">
        <f>IF('S-ASIG-06'!D5="","",'S-ASIG-06'!D5)</f>
        <v>LIST</v>
      </c>
      <c r="D5" s="35" t="s">
        <v>60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CARLOS ALBERTO AMADOR MORALES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JESED DIAZ VERGARA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LAURA SOFIA ESCOBAR CORDOBA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GENESIS VALENTINA SUAREZ VILORIA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55</v>
      </c>
      <c r="C12" s="32" t="str">
        <f>IF('S-ASIG-06'!D12="","",'S-ASIG-06'!D12)</f>
        <v>LIST</v>
      </c>
      <c r="D12" s="35" t="s">
        <v>60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SAMUEL JOSÉ MARIN VARELA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JUSTIN DANIEL TORRES SANMARTIN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BANDA AVENDAÑO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IF('S-ASIG-06'!D16="","",'S-ASIG-06'!D16)</f>
        <v/>
      </c>
      <c r="D16" s="30" t="str">
        <f>IF(B16=0,"",IF(C16="",$E$13*LIDER!$H$19+F16*LIDER!$H$20+G16*LIDER!$H$21+H16*LIDER!$H$22+I16*LIDER!$H$23+J16*LIDER!$H$24+K16*LIDER!$H$25,"N"))</f>
        <v/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62</v>
      </c>
      <c r="C19" s="32" t="str">
        <f>IF('S-ASIG-06'!D19="","",'S-ASIG-06'!D19)</f>
        <v>LIST</v>
      </c>
      <c r="D19" s="35" t="s">
        <v>60</v>
      </c>
      <c r="E19" s="142">
        <f>LIDER!$E$31</f>
        <v>0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>
        <f>LIDER!G43</f>
        <v>0</v>
      </c>
      <c r="C20" s="33" t="str">
        <f>IF('S-ASIG-06'!D20="","",'S-ASIG-06'!D20)</f>
        <v/>
      </c>
      <c r="D20" s="30" t="str">
        <f>IF(B20=0,"",IF(C20="",$E$20*LIDER!$H$19+F20*LIDER!$H$20+G20*LIDER!$H$21+H20*LIDER!$H$22+I20*LIDER!$H$23+J20*LIDER!$H$24+K20*LIDER!$H$25,"N"))</f>
        <v/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IF('S-ASIG-06'!D21="","",'S-ASIG-06'!D21)</f>
        <v/>
      </c>
      <c r="D21" s="30" t="str">
        <f>IF(B21=0,"",IF(C21="",$E$20*LIDER!$H$19+F21*LIDER!$H$20+G21*LIDER!$H$21+H21*LIDER!$H$22+I21*LIDER!$H$23+J21*LIDER!$H$24+K21*LIDER!$H$25,"N"))</f>
        <v/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IF('S-ASIG-06'!D22="","",'S-ASIG-06'!D22)</f>
        <v/>
      </c>
      <c r="D22" s="30" t="str">
        <f>IF(B22=0,"",IF(C22="",$E$20*LIDER!$H$19+F22*LIDER!$H$20+G22*LIDER!$H$21+H22*LIDER!$H$22+I22*LIDER!$H$23+J22*LIDER!$H$24+K22*LIDER!$H$25,"N"))</f>
        <v/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IF('S-ASIG-06'!D23="","",'S-ASIG-06'!D23)</f>
        <v/>
      </c>
      <c r="D23" s="30" t="str">
        <f>IF(B23=0,"",IF(C23="",$E$20*LIDER!$H$19+F23*LIDER!$H$20+G23*LIDER!$H$21+H23*LIDER!$H$22+I23*LIDER!$H$23+J23*LIDER!$H$24+K23*LIDER!$H$25,"N"))</f>
        <v/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64</v>
      </c>
      <c r="C26" s="32" t="str">
        <f>IF('S-ASIG-06'!D26="","",'S-ASIG-06'!D26)</f>
        <v>LIST</v>
      </c>
      <c r="D26" s="35" t="s">
        <v>60</v>
      </c>
      <c r="E26" s="142">
        <f>LIDER!$E$32</f>
        <v>0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IF('S-ASIG-06'!D27="","",'S-ASIG-06'!D27)</f>
        <v/>
      </c>
      <c r="D27" s="30" t="str">
        <f>IF(B27=0,"",IF(C27="",$E$27*LIDER!$H$19+F27*LIDER!$H$20+G27*LIDER!$H$21+H27*LIDER!$H$22+I27*LIDER!$H$23+J27*LIDER!$H$24+K27*LIDER!$H$25,"N"))</f>
        <v/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IF('S-ASIG-06'!D28="","",'S-ASIG-06'!D28)</f>
        <v/>
      </c>
      <c r="D28" s="30" t="str">
        <f>IF(B28=0,"",IF(C28="",$E$27*LIDER!$H$19+F28*LIDER!$H$20+G28*LIDER!$H$21+H28*LIDER!$H$22+I28*LIDER!$H$23+J28*LIDER!$H$24+K28*LIDER!$H$25,"N"))</f>
        <v/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IF('S-ASIG-06'!D29="","",'S-ASIG-06'!D29)</f>
        <v/>
      </c>
      <c r="D29" s="30" t="str">
        <f>IF(B29=0,"",IF(C29="",$E$27*LIDER!$H$19+F29*LIDER!$H$20+G29*LIDER!$H$21+H29*LIDER!$H$22+I29*LIDER!$H$23+J29*LIDER!$H$24+K29*LIDER!$H$25,"N"))</f>
        <v/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IF('S-ASIG-06'!D33="","",'S-ASIG-06'!D33)</f>
        <v>LIST</v>
      </c>
      <c r="D33" s="35" t="s">
        <v>60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IF('S-ASIG-06'!D40="","",'S-ASIG-06'!D40)</f>
        <v>LIST</v>
      </c>
      <c r="D40" s="35" t="s">
        <v>60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IF('S-ASIG-06'!D47="","",'S-ASIG-06'!D47)</f>
        <v>LIST</v>
      </c>
      <c r="D47" s="35" t="s">
        <v>60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72</v>
      </c>
      <c r="C54" s="32" t="str">
        <f>IF('S-ASIG-06'!D54="","",'S-ASIG-06'!D54)</f>
        <v>LIST</v>
      </c>
      <c r="D54" s="35" t="s">
        <v>60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IF('S-ASIG-06'!D61="","",'S-ASIG-06'!D61)</f>
        <v>LIST</v>
      </c>
      <c r="D61" s="35" t="s">
        <v>60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IF('S-ASIG-06'!D68="","",'S-ASIG-06'!D68)</f>
        <v>LIST</v>
      </c>
      <c r="D68" s="35" t="s">
        <v>60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IF('S-ASIG-06'!D75="","",'S-ASIG-06'!D75)</f>
        <v>LIST</v>
      </c>
      <c r="D75" s="35" t="s">
        <v>60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IF('S-ASIG-06'!D82="","",'S-ASIG-06'!D82)</f>
        <v>LIST</v>
      </c>
      <c r="D82" s="35" t="s">
        <v>60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LIDER!I4</f>
        <v>0</v>
      </c>
      <c r="C2" s="3"/>
      <c r="E2" s="207" t="s">
        <v>56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57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CONCATENATE(LIDER!I4," - ",LIDER!I6," - ",LIDER!I5)</f>
        <v xml:space="preserve"> -  - 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54</v>
      </c>
      <c r="C5" s="34" t="str">
        <f>IF('S-ASIG-07'!D5="","",'S-ASIG-07'!D5)</f>
        <v>LIST</v>
      </c>
      <c r="D5" s="35" t="s">
        <v>60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CARLOS ALBERTO AMADOR MORALES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JESED DIAZ VERGARA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LAURA SOFIA ESCOBAR CORDOBA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GENESIS VALENTINA SUAREZ VILORIA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55</v>
      </c>
      <c r="C12" s="32" t="str">
        <f>IF('S-ASIG-07'!D12="","",'S-ASIG-07'!D12)</f>
        <v>LIST</v>
      </c>
      <c r="D12" s="35" t="s">
        <v>60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SAMUEL JOSÉ MARIN VARELA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JUSTIN DANIEL TORRES SANMARTIN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MIGUEL BANDA AVENDAÑO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IF('S-ASIG-07'!D16="","",'S-ASIG-07'!D16)</f>
        <v/>
      </c>
      <c r="D16" s="30" t="str">
        <f>IF(B16=0,"",IF(C16="",$E$13*LIDER!$H$19+F16*LIDER!$H$20+G16*LIDER!$H$21+H16*LIDER!$H$22+I16*LIDER!$H$23+J16*LIDER!$H$24+K16*LIDER!$H$25,"N"))</f>
        <v/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62</v>
      </c>
      <c r="C19" s="32" t="str">
        <f>IF('S-ASIG-07'!D19="","",'S-ASIG-07'!D19)</f>
        <v>LIST</v>
      </c>
      <c r="D19" s="35" t="s">
        <v>60</v>
      </c>
      <c r="E19" s="142">
        <f>LIDER!$E$31</f>
        <v>0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>
        <f>LIDER!G43</f>
        <v>0</v>
      </c>
      <c r="C20" s="33" t="str">
        <f>IF('S-ASIG-07'!D20="","",'S-ASIG-07'!D20)</f>
        <v/>
      </c>
      <c r="D20" s="30" t="str">
        <f>IF(B20=0,"",IF(C20="",$E$20*LIDER!$H$19+F20*LIDER!$H$20+G20*LIDER!$H$21+H20*LIDER!$H$22+I20*LIDER!$H$23+J20*LIDER!$H$24+K20*LIDER!$H$25,"N"))</f>
        <v/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IF('S-ASIG-07'!D21="","",'S-ASIG-07'!D21)</f>
        <v/>
      </c>
      <c r="D21" s="30" t="str">
        <f>IF(B21=0,"",IF(C21="",$E$20*LIDER!$H$19+F21*LIDER!$H$20+G21*LIDER!$H$21+H21*LIDER!$H$22+I21*LIDER!$H$23+J21*LIDER!$H$24+K21*LIDER!$H$25,"N"))</f>
        <v/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IF('S-ASIG-07'!D22="","",'S-ASIG-07'!D22)</f>
        <v/>
      </c>
      <c r="D22" s="30" t="str">
        <f>IF(B22=0,"",IF(C22="",$E$20*LIDER!$H$19+F22*LIDER!$H$20+G22*LIDER!$H$21+H22*LIDER!$H$22+I22*LIDER!$H$23+J22*LIDER!$H$24+K22*LIDER!$H$25,"N"))</f>
        <v/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IF('S-ASIG-07'!D23="","",'S-ASIG-07'!D23)</f>
        <v/>
      </c>
      <c r="D23" s="30" t="str">
        <f>IF(B23=0,"",IF(C23="",$E$20*LIDER!$H$19+F23*LIDER!$H$20+G23*LIDER!$H$21+H23*LIDER!$H$22+I23*LIDER!$H$23+J23*LIDER!$H$24+K23*LIDER!$H$25,"N"))</f>
        <v/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64</v>
      </c>
      <c r="C26" s="32" t="str">
        <f>IF('S-ASIG-07'!D26="","",'S-ASIG-07'!D26)</f>
        <v>LIST</v>
      </c>
      <c r="D26" s="35" t="s">
        <v>60</v>
      </c>
      <c r="E26" s="142">
        <f>LIDER!$E$32</f>
        <v>0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IF('S-ASIG-07'!D27="","",'S-ASIG-07'!D27)</f>
        <v/>
      </c>
      <c r="D27" s="30" t="str">
        <f>IF(B27=0,"",IF(C27="",$E$27*LIDER!$H$19+F27*LIDER!$H$20+G27*LIDER!$H$21+H27*LIDER!$H$22+I27*LIDER!$H$23+J27*LIDER!$H$24+K27*LIDER!$H$25,"N"))</f>
        <v/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IF('S-ASIG-07'!D28="","",'S-ASIG-07'!D28)</f>
        <v/>
      </c>
      <c r="D28" s="30" t="str">
        <f>IF(B28=0,"",IF(C28="",$E$27*LIDER!$H$19+F28*LIDER!$H$20+G28*LIDER!$H$21+H28*LIDER!$H$22+I28*LIDER!$H$23+J28*LIDER!$H$24+K28*LIDER!$H$25,"N"))</f>
        <v/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IF('S-ASIG-07'!D29="","",'S-ASIG-07'!D29)</f>
        <v/>
      </c>
      <c r="D29" s="30" t="str">
        <f>IF(B29=0,"",IF(C29="",$E$27*LIDER!$H$19+F29*LIDER!$H$20+G29*LIDER!$H$21+H29*LIDER!$H$22+I29*LIDER!$H$23+J29*LIDER!$H$24+K29*LIDER!$H$25,"N"))</f>
        <v/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66</v>
      </c>
      <c r="C33" s="32" t="str">
        <f>IF('S-ASIG-07'!D33="","",'S-ASIG-07'!D33)</f>
        <v>LIST</v>
      </c>
      <c r="D33" s="35" t="s">
        <v>60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IF('S-ASIG-07'!D40="","",'S-ASIG-07'!D40)</f>
        <v>LIST</v>
      </c>
      <c r="D40" s="35" t="s">
        <v>60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IF('S-ASIG-07'!D47="","",'S-ASIG-07'!D47)</f>
        <v>LIST</v>
      </c>
      <c r="D47" s="35" t="s">
        <v>60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72</v>
      </c>
      <c r="C54" s="32" t="str">
        <f>IF('S-ASIG-07'!D54="","",'S-ASIG-07'!D54)</f>
        <v>LIST</v>
      </c>
      <c r="D54" s="35" t="s">
        <v>60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IF('S-ASIG-07'!D61="","",'S-ASIG-07'!D61)</f>
        <v>LIST</v>
      </c>
      <c r="D61" s="35" t="s">
        <v>60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IF('S-ASIG-07'!D68="","",'S-ASIG-07'!D68)</f>
        <v>LIST</v>
      </c>
      <c r="D68" s="35" t="s">
        <v>60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IF('S-ASIG-07'!D75="","",'S-ASIG-07'!D75)</f>
        <v>LIST</v>
      </c>
      <c r="D75" s="35" t="s">
        <v>60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IF('S-ASIG-07'!D82="","",'S-ASIG-07'!D82)</f>
        <v>LIST</v>
      </c>
      <c r="D82" s="35" t="s">
        <v>60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 activeCell="K4" sqref="K4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NEGOCIOS INTERNACIONALES PROFESIONAL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SEM-04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210" t="s">
        <v>82</v>
      </c>
      <c r="H2" s="211"/>
      <c r="I2" s="211"/>
      <c r="J2" s="211"/>
      <c r="K2" s="211"/>
      <c r="L2" s="211"/>
      <c r="M2" s="212"/>
      <c r="N2" s="2"/>
      <c r="O2" s="215" t="s">
        <v>83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1438</v>
      </c>
      <c r="H3" s="49" t="str">
        <f>CONCATENATE("N° : ",LIDER!D6)</f>
        <v>N° : 2268</v>
      </c>
      <c r="I3" s="49" t="str">
        <f>CONCATENATE("N° : ",LIDER!E6)</f>
        <v>N° : 1803</v>
      </c>
      <c r="J3" s="49" t="str">
        <f>CONCATENATE("N° : ",LIDER!F6)</f>
        <v>N° : 1357</v>
      </c>
      <c r="K3" s="49" t="str">
        <f>CONCATENATE("N° : ",LIDER!G6)</f>
        <v>N° : 1479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1438</v>
      </c>
      <c r="P3" s="49" t="str">
        <f t="shared" ref="P3:U3" si="0">H3</f>
        <v>N° : 2268</v>
      </c>
      <c r="Q3" s="49" t="str">
        <f t="shared" si="0"/>
        <v>N° : 1803</v>
      </c>
      <c r="R3" s="49" t="str">
        <f t="shared" si="0"/>
        <v>N° : 1357</v>
      </c>
      <c r="S3" s="49" t="str">
        <f t="shared" si="0"/>
        <v>N° : 1479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84</v>
      </c>
      <c r="D4" s="54" t="s">
        <v>85</v>
      </c>
      <c r="E4" s="55" t="s">
        <v>86</v>
      </c>
      <c r="G4" s="56" t="str">
        <f>MID(LIDER!C4,1,9)</f>
        <v>IMPORTACI</v>
      </c>
      <c r="H4" s="57" t="str">
        <f>MID(LIDER!D4,1,9)</f>
        <v>ETICA</v>
      </c>
      <c r="I4" s="57" t="str">
        <f>MID(LIDER!E4,1,9)</f>
        <v>ESTADÍSTI</v>
      </c>
      <c r="J4" s="57" t="str">
        <f>MID(LIDER!F4,1,9)</f>
        <v>FUNDAMENT</v>
      </c>
      <c r="K4" s="57" t="str">
        <f>MID(LIDER!G4,1,9)</f>
        <v>FUNDAMENT</v>
      </c>
      <c r="L4" s="57" t="str">
        <f>MID(LIDER!H4,1,9)</f>
        <v/>
      </c>
      <c r="M4" s="58" t="str">
        <f>MID(LIDER!I4,1,9)</f>
        <v/>
      </c>
      <c r="N4" s="59" t="s">
        <v>87</v>
      </c>
      <c r="O4" s="60" t="str">
        <f t="shared" ref="O4:U4" si="1">G4</f>
        <v>IMPORTACI</v>
      </c>
      <c r="P4" s="61" t="str">
        <f t="shared" si="1"/>
        <v>ETICA</v>
      </c>
      <c r="Q4" s="61" t="str">
        <f t="shared" si="1"/>
        <v>ESTADÍSTI</v>
      </c>
      <c r="R4" s="61" t="str">
        <f t="shared" si="1"/>
        <v>FUNDAMENT</v>
      </c>
      <c r="S4" s="61" t="str">
        <f t="shared" si="1"/>
        <v>FUNDAMENT</v>
      </c>
      <c r="T4" s="61" t="str">
        <f t="shared" si="1"/>
        <v/>
      </c>
      <c r="U4" s="62" t="str">
        <f t="shared" si="1"/>
        <v/>
      </c>
      <c r="V4" s="59" t="s">
        <v>88</v>
      </c>
    </row>
    <row r="5" spans="1:22" ht="15" customHeight="1">
      <c r="A5" s="12">
        <v>1</v>
      </c>
      <c r="B5" s="63" t="str">
        <f>LIDER!C9</f>
        <v>CARLOS ALBERTO AMADOR MORALES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4.4799999999999995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4.4000000000000004</v>
      </c>
      <c r="H5" s="65">
        <f>IF(B5=0,"",IFERROR(VLOOKUP(B5,'S-ASIG-02'!$B$5:$E$88,4,0),0))</f>
        <v>4.5</v>
      </c>
      <c r="I5" s="65">
        <f>IF(B5=0,"",IFERROR(VLOOKUP(B5,'S-ASIG-03'!$B$5:$E$88,4,0),0))</f>
        <v>4.5</v>
      </c>
      <c r="J5" s="65">
        <f>IF(B5=0,"",IFERROR(VLOOKUP(B5,'S-ASIG-04'!$B$5:$E$88,4,0),0))</f>
        <v>4.5</v>
      </c>
      <c r="K5" s="65">
        <f>IF(B5=0,"",IFERROR(VLOOKUP(B5,'S-ASIG-05'!$B$5:$E$88,4,0),0))</f>
        <v>4.5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89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90</v>
      </c>
    </row>
    <row r="6" spans="1:22" ht="15" customHeight="1">
      <c r="A6" s="12">
        <v>2</v>
      </c>
      <c r="B6" s="70" t="str">
        <f>LIDER!C10</f>
        <v>DANIEL JESED DIAZ VERGARA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4.4799999999999995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4.4000000000000004</v>
      </c>
      <c r="H6" s="72">
        <f>IF(B6=0,"",IFERROR(VLOOKUP(B6,'S-ASIG-02'!$B$5:$E$88,4,0),0))</f>
        <v>4.5</v>
      </c>
      <c r="I6" s="72">
        <f>IF(B6=0,"",IFERROR(VLOOKUP(B6,'S-ASIG-03'!$B$5:$E$88,4,0),0))</f>
        <v>4.5</v>
      </c>
      <c r="J6" s="72">
        <f>IF(B6=0,"",IFERROR(VLOOKUP(B6,'S-ASIG-04'!$B$5:$E$88,4,0),0))</f>
        <v>4.5</v>
      </c>
      <c r="K6" s="72">
        <f>IF(B6=0,"",IFERROR(VLOOKUP(B6,'S-ASIG-05'!$B$5:$E$88,4,0),0))</f>
        <v>4.5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89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90</v>
      </c>
    </row>
    <row r="7" spans="1:22" ht="15" customHeight="1">
      <c r="A7" s="12">
        <v>3</v>
      </c>
      <c r="B7" s="70" t="str">
        <f>LIDER!C11</f>
        <v>LAURA SOFIA ESCOBAR CORDOBA</v>
      </c>
      <c r="C7" s="64" t="str">
        <f>IF(B7=0,"",IFERROR(VLOOKUP(B7,'S-ASIG-01'!$B$5:$E$88,2,0),0))</f>
        <v>G01</v>
      </c>
      <c r="D7" s="65">
        <f t="shared" si="2"/>
        <v>4.4799999999999995</v>
      </c>
      <c r="E7" s="66">
        <f t="shared" si="3"/>
        <v>0</v>
      </c>
      <c r="F7" s="47"/>
      <c r="G7" s="71">
        <f>IF(B7=0,"",IFERROR(VLOOKUP(B7,'S-ASIG-01'!$B$5:$E$88,4,0),0))</f>
        <v>4.4000000000000004</v>
      </c>
      <c r="H7" s="72">
        <f>IF(B7=0,"",IFERROR(VLOOKUP(B7,'S-ASIG-02'!$B$5:$E$88,4,0),0))</f>
        <v>4.5</v>
      </c>
      <c r="I7" s="72">
        <f>IF(B7=0,"",IFERROR(VLOOKUP(B7,'S-ASIG-03'!$B$5:$E$88,4,0),0))</f>
        <v>4.5</v>
      </c>
      <c r="J7" s="72">
        <f>IF(B7=0,"",IFERROR(VLOOKUP(B7,'S-ASIG-04'!$B$5:$E$88,4,0),0))</f>
        <v>4.5</v>
      </c>
      <c r="K7" s="72">
        <f>IF(B7=0,"",IFERROR(VLOOKUP(B7,'S-ASIG-05'!$B$5:$E$88,4,0),0))</f>
        <v>4.5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89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90</v>
      </c>
    </row>
    <row r="8" spans="1:22" ht="15" customHeight="1">
      <c r="A8" s="12">
        <v>4</v>
      </c>
      <c r="B8" s="70" t="str">
        <f>LIDER!C12</f>
        <v>GENESIS VALENTINA SUAREZ VILORIA</v>
      </c>
      <c r="C8" s="64" t="str">
        <f>IF(B8=0,"",IFERROR(VLOOKUP(B8,'S-ASIG-01'!$B$5:$E$88,2,0),0))</f>
        <v>G01</v>
      </c>
      <c r="D8" s="65">
        <f t="shared" si="2"/>
        <v>4.4799999999999995</v>
      </c>
      <c r="E8" s="66">
        <f t="shared" si="3"/>
        <v>0</v>
      </c>
      <c r="F8" s="47"/>
      <c r="G8" s="71">
        <f>IF(B8=0,"",IFERROR(VLOOKUP(B8,'S-ASIG-01'!$B$5:$E$88,4,0),0))</f>
        <v>4.4000000000000004</v>
      </c>
      <c r="H8" s="72">
        <f>IF(B8=0,"",IFERROR(VLOOKUP(B8,'S-ASIG-02'!$B$5:$E$88,4,0),0))</f>
        <v>4.5</v>
      </c>
      <c r="I8" s="72">
        <f>IF(B8=0,"",IFERROR(VLOOKUP(B8,'S-ASIG-03'!$B$5:$E$88,4,0),0))</f>
        <v>4.5</v>
      </c>
      <c r="J8" s="72">
        <f>IF(B8=0,"",IFERROR(VLOOKUP(B8,'S-ASIG-04'!$B$5:$E$88,4,0),0))</f>
        <v>4.5</v>
      </c>
      <c r="K8" s="72">
        <f>IF(B8=0,"",IFERROR(VLOOKUP(B8,'S-ASIG-05'!$B$5:$E$88,4,0),0))</f>
        <v>4.5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89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90</v>
      </c>
    </row>
    <row r="9" spans="1:22" ht="15" customHeight="1">
      <c r="A9" s="12">
        <v>5</v>
      </c>
      <c r="B9" s="70" t="str">
        <f>LIDER!C13</f>
        <v>SAMUEL JOSÉ MARIN VARELA</v>
      </c>
      <c r="C9" s="64" t="str">
        <f>IF(B9=0,"",IFERROR(VLOOKUP(B9,'S-ASIG-01'!$B$5:$E$88,2,0),0))</f>
        <v>G02</v>
      </c>
      <c r="D9" s="65">
        <f t="shared" si="2"/>
        <v>4.3520000000000003</v>
      </c>
      <c r="E9" s="66">
        <f t="shared" si="3"/>
        <v>0</v>
      </c>
      <c r="F9" s="47"/>
      <c r="G9" s="71">
        <f>IF(B9=0,"",IFERROR(VLOOKUP(B9,'S-ASIG-01'!$B$5:$E$88,4,0),0))</f>
        <v>4.4000000000000004</v>
      </c>
      <c r="H9" s="72">
        <f>IF(B9=0,"",IFERROR(VLOOKUP(B9,'S-ASIG-02'!$B$5:$E$88,4,0),0))</f>
        <v>4.38</v>
      </c>
      <c r="I9" s="72">
        <f>IF(B9=0,"",IFERROR(VLOOKUP(B9,'S-ASIG-03'!$B$5:$E$88,4,0),0))</f>
        <v>4.5</v>
      </c>
      <c r="J9" s="72">
        <f>IF(B9=0,"",IFERROR(VLOOKUP(B9,'S-ASIG-04'!$B$5:$E$88,4,0),0))</f>
        <v>4.4800000000000004</v>
      </c>
      <c r="K9" s="72">
        <f>IF(B9=0,"",IFERROR(VLOOKUP(B9,'S-ASIG-05'!$B$5:$E$88,4,0),0))</f>
        <v>3.9999999999999996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89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90</v>
      </c>
    </row>
    <row r="10" spans="1:22" ht="15" customHeight="1">
      <c r="A10" s="12">
        <v>6</v>
      </c>
      <c r="B10" s="70" t="str">
        <f>LIDER!C14</f>
        <v>JUSTIN DANIEL TORRES SANMARTIN</v>
      </c>
      <c r="C10" s="64" t="str">
        <f>IF(B10=0,"",IFERROR(VLOOKUP(B10,'S-ASIG-01'!$B$5:$E$88,2,0),0))</f>
        <v>G02</v>
      </c>
      <c r="D10" s="65">
        <f t="shared" si="2"/>
        <v>4.3520000000000003</v>
      </c>
      <c r="E10" s="66">
        <f t="shared" si="3"/>
        <v>0</v>
      </c>
      <c r="F10" s="47"/>
      <c r="G10" s="71">
        <f>IF(B10=0,"",IFERROR(VLOOKUP(B10,'S-ASIG-01'!$B$5:$E$88,4,0),0))</f>
        <v>4.4000000000000004</v>
      </c>
      <c r="H10" s="72">
        <f>IF(B10=0,"",IFERROR(VLOOKUP(B10,'S-ASIG-02'!$B$5:$E$88,4,0),0))</f>
        <v>4.38</v>
      </c>
      <c r="I10" s="72">
        <f>IF(B10=0,"",IFERROR(VLOOKUP(B10,'S-ASIG-03'!$B$5:$E$88,4,0),0))</f>
        <v>4.5</v>
      </c>
      <c r="J10" s="72">
        <f>IF(B10=0,"",IFERROR(VLOOKUP(B10,'S-ASIG-04'!$B$5:$E$88,4,0),0))</f>
        <v>4.4800000000000004</v>
      </c>
      <c r="K10" s="72">
        <f>IF(B10=0,"",IFERROR(VLOOKUP(B10,'S-ASIG-05'!$B$5:$E$88,4,0),0))</f>
        <v>3.9999999999999996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89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90</v>
      </c>
    </row>
    <row r="11" spans="1:22" ht="15" customHeight="1">
      <c r="A11" s="12">
        <v>7</v>
      </c>
      <c r="B11" s="70" t="str">
        <f>LIDER!C15</f>
        <v>MIGUEL BANDA AVENDAÑO</v>
      </c>
      <c r="C11" s="64" t="str">
        <f>IF(B11=0,"",IFERROR(VLOOKUP(B11,'S-ASIG-01'!$B$5:$E$88,2,0),0))</f>
        <v>G02</v>
      </c>
      <c r="D11" s="65">
        <f t="shared" si="2"/>
        <v>4.3520000000000003</v>
      </c>
      <c r="E11" s="66">
        <f t="shared" si="3"/>
        <v>0</v>
      </c>
      <c r="F11" s="47"/>
      <c r="G11" s="71">
        <f>IF(B11=0,"",IFERROR(VLOOKUP(B11,'S-ASIG-01'!$B$5:$E$88,4,0),0))</f>
        <v>4.4000000000000004</v>
      </c>
      <c r="H11" s="72">
        <f>IF(B11=0,"",IFERROR(VLOOKUP(B11,'S-ASIG-02'!$B$5:$E$88,4,0),0))</f>
        <v>4.38</v>
      </c>
      <c r="I11" s="72">
        <f>IF(B11=0,"",IFERROR(VLOOKUP(B11,'S-ASIG-03'!$B$5:$E$88,4,0),0))</f>
        <v>4.5</v>
      </c>
      <c r="J11" s="72">
        <f>IF(B11=0,"",IFERROR(VLOOKUP(B11,'S-ASIG-04'!$B$5:$E$88,4,0),0))</f>
        <v>4.4800000000000004</v>
      </c>
      <c r="K11" s="72">
        <f>IF(B11=0,"",IFERROR(VLOOKUP(B11,'S-ASIG-05'!$B$5:$E$88,4,0),0))</f>
        <v>3.9999999999999996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89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90</v>
      </c>
    </row>
    <row r="12" spans="1:22" ht="15" customHeight="1">
      <c r="A12" s="12">
        <v>8</v>
      </c>
      <c r="B12" s="70">
        <f>LIDER!C16</f>
        <v>0</v>
      </c>
      <c r="C12" s="64" t="str">
        <f>IF(B12=0,"",IFERROR(VLOOKUP(B12,'S-ASIG-01'!$B$5:$E$88,2,0),0))</f>
        <v/>
      </c>
      <c r="D12" s="65" t="str">
        <f t="shared" si="2"/>
        <v/>
      </c>
      <c r="E12" s="66" t="str">
        <f t="shared" si="3"/>
        <v/>
      </c>
      <c r="F12" s="47"/>
      <c r="G12" s="71" t="str">
        <f>IF(B12=0,"",IFERROR(VLOOKUP(B12,'S-ASIG-01'!$B$5:$E$88,4,0),0))</f>
        <v/>
      </c>
      <c r="H12" s="72" t="str">
        <f>IF(B12=0,"",IFERROR(VLOOKUP(B12,'S-ASIG-02'!$B$5:$E$88,4,0),0))</f>
        <v/>
      </c>
      <c r="I12" s="72" t="str">
        <f>IF(B12=0,"",IFERROR(VLOOKUP(B12,'S-ASIG-03'!$B$5:$E$88,4,0),0))</f>
        <v/>
      </c>
      <c r="J12" s="72" t="str">
        <f>IF(B12=0,"",IFERROR(VLOOKUP(B12,'S-ASIG-04'!$B$5:$E$88,4,0),0))</f>
        <v/>
      </c>
      <c r="K12" s="72" t="str">
        <f>IF(B12=0,"",IFERROR(VLOOKUP(B12,'S-ASIG-05'!$B$5:$E$88,4,0),0))</f>
        <v/>
      </c>
      <c r="L12" s="72" t="str">
        <f>IF(B12=0,"",IFERROR(VLOOKUP(B12,'S-ASIG-06'!$B$5:$E$88,4,0),0))</f>
        <v/>
      </c>
      <c r="M12" s="73" t="str">
        <f>IF(B12=0,"",IFERROR(VLOOKUP(B12,'S-ASIG-07'!$B$5:$E$88,4,0),0))</f>
        <v/>
      </c>
      <c r="N12" s="68" t="s">
        <v>89</v>
      </c>
      <c r="O12" s="71" t="str">
        <f>IF(B12=0,"",IFERROR(VLOOKUP(B12,'T-ASIG-01'!$B$5:$D$88,3,0),0))</f>
        <v/>
      </c>
      <c r="P12" s="72" t="str">
        <f>IF(B12=0,"",IFERROR(VLOOKUP(B12,'T-ASIG-02'!$B$5:$D$88,3,0),0))</f>
        <v/>
      </c>
      <c r="Q12" s="72" t="str">
        <f>IF(B12=0,"",IFERROR(VLOOKUP(B12,'T-ASIG-03'!$B$5:$D$88,3,0),0))</f>
        <v/>
      </c>
      <c r="R12" s="72" t="str">
        <f>IF(B12=0,"",IFERROR(VLOOKUP(B12,'T-ASIG-04'!$B$5:$D$88,3,0),0))</f>
        <v/>
      </c>
      <c r="S12" s="72" t="str">
        <f>IF(B12=0,"",IFERROR(VLOOKUP(B12,'T-ASIG-05'!$B$5:$D$88,3,0),0))</f>
        <v/>
      </c>
      <c r="T12" s="72" t="str">
        <f>IF(B12=0,"",IFERROR(VLOOKUP(B12,'T-ASIG-06'!$B$5:$D$88,3,0),0))</f>
        <v/>
      </c>
      <c r="U12" s="73" t="str">
        <f>IF(B12=0,"",IFERROR(VLOOKUP(B12,'T-ASIG-07'!$B$5:$D$88,3,0),0))</f>
        <v/>
      </c>
      <c r="V12" s="69" t="s">
        <v>90</v>
      </c>
    </row>
    <row r="13" spans="1:22" ht="15" customHeight="1">
      <c r="A13" s="12">
        <v>9</v>
      </c>
      <c r="B13" s="70">
        <f>LIDER!C17</f>
        <v>0</v>
      </c>
      <c r="C13" s="64" t="str">
        <f>IF(B13=0,"",IFERROR(VLOOKUP(B13,'S-ASIG-01'!$B$5:$E$88,2,0),0))</f>
        <v/>
      </c>
      <c r="D13" s="65" t="str">
        <f t="shared" si="2"/>
        <v/>
      </c>
      <c r="E13" s="66" t="str">
        <f t="shared" si="3"/>
        <v/>
      </c>
      <c r="F13" s="47"/>
      <c r="G13" s="71" t="str">
        <f>IF(B13=0,"",IFERROR(VLOOKUP(B13,'S-ASIG-01'!$B$5:$E$88,4,0),0))</f>
        <v/>
      </c>
      <c r="H13" s="72" t="str">
        <f>IF(B13=0,"",IFERROR(VLOOKUP(B13,'S-ASIG-02'!$B$5:$E$88,4,0),0))</f>
        <v/>
      </c>
      <c r="I13" s="72" t="str">
        <f>IF(B13=0,"",IFERROR(VLOOKUP(B13,'S-ASIG-03'!$B$5:$E$88,4,0),0))</f>
        <v/>
      </c>
      <c r="J13" s="72" t="str">
        <f>IF(B13=0,"",IFERROR(VLOOKUP(B13,'S-ASIG-04'!$B$5:$E$88,4,0),0))</f>
        <v/>
      </c>
      <c r="K13" s="72" t="str">
        <f>IF(B13=0,"",IFERROR(VLOOKUP(B13,'S-ASIG-05'!$B$5:$E$88,4,0),0))</f>
        <v/>
      </c>
      <c r="L13" s="72" t="str">
        <f>IF(B13=0,"",IFERROR(VLOOKUP(B13,'S-ASIG-06'!$B$5:$E$88,4,0),0))</f>
        <v/>
      </c>
      <c r="M13" s="73" t="str">
        <f>IF(B13=0,"",IFERROR(VLOOKUP(B13,'S-ASIG-07'!$B$5:$E$88,4,0),0))</f>
        <v/>
      </c>
      <c r="N13" s="68" t="s">
        <v>89</v>
      </c>
      <c r="O13" s="71" t="str">
        <f>IF(B13=0,"",IFERROR(VLOOKUP(B13,'T-ASIG-01'!$B$5:$D$88,3,0),0))</f>
        <v/>
      </c>
      <c r="P13" s="72" t="str">
        <f>IF(B13=0,"",IFERROR(VLOOKUP(B13,'T-ASIG-02'!$B$5:$D$88,3,0),0))</f>
        <v/>
      </c>
      <c r="Q13" s="72" t="str">
        <f>IF(B13=0,"",IFERROR(VLOOKUP(B13,'T-ASIG-03'!$B$5:$D$88,3,0),0))</f>
        <v/>
      </c>
      <c r="R13" s="72" t="str">
        <f>IF(B13=0,"",IFERROR(VLOOKUP(B13,'T-ASIG-04'!$B$5:$D$88,3,0),0))</f>
        <v/>
      </c>
      <c r="S13" s="72" t="str">
        <f>IF(B13=0,"",IFERROR(VLOOKUP(B13,'T-ASIG-05'!$B$5:$D$88,3,0),0))</f>
        <v/>
      </c>
      <c r="T13" s="72" t="str">
        <f>IF(B13=0,"",IFERROR(VLOOKUP(B13,'T-ASIG-06'!$B$5:$D$88,3,0),0))</f>
        <v/>
      </c>
      <c r="U13" s="73" t="str">
        <f>IF(B13=0,"",IFERROR(VLOOKUP(B13,'T-ASIG-07'!$B$5:$D$88,3,0),0))</f>
        <v/>
      </c>
      <c r="V13" s="69" t="s">
        <v>90</v>
      </c>
    </row>
    <row r="14" spans="1:22" ht="15" customHeight="1">
      <c r="A14" s="12">
        <v>10</v>
      </c>
      <c r="B14" s="70">
        <f>LIDER!C18</f>
        <v>0</v>
      </c>
      <c r="C14" s="64" t="str">
        <f>IF(B14=0,"",IFERROR(VLOOKUP(B14,'S-ASIG-01'!$B$5:$E$88,2,0),0))</f>
        <v/>
      </c>
      <c r="D14" s="65" t="str">
        <f t="shared" si="2"/>
        <v/>
      </c>
      <c r="E14" s="66" t="str">
        <f t="shared" si="3"/>
        <v/>
      </c>
      <c r="F14" s="47"/>
      <c r="G14" s="71" t="str">
        <f>IF(B14=0,"",IFERROR(VLOOKUP(B14,'S-ASIG-01'!$B$5:$E$88,4,0),0))</f>
        <v/>
      </c>
      <c r="H14" s="72" t="str">
        <f>IF(B14=0,"",IFERROR(VLOOKUP(B14,'S-ASIG-02'!$B$5:$E$88,4,0),0))</f>
        <v/>
      </c>
      <c r="I14" s="72" t="str">
        <f>IF(B14=0,"",IFERROR(VLOOKUP(B14,'S-ASIG-03'!$B$5:$E$88,4,0),0))</f>
        <v/>
      </c>
      <c r="J14" s="72" t="str">
        <f>IF(B14=0,"",IFERROR(VLOOKUP(B14,'S-ASIG-04'!$B$5:$E$88,4,0),0))</f>
        <v/>
      </c>
      <c r="K14" s="72" t="str">
        <f>IF(B14=0,"",IFERROR(VLOOKUP(B14,'S-ASIG-05'!$B$5:$E$88,4,0),0))</f>
        <v/>
      </c>
      <c r="L14" s="72" t="str">
        <f>IF(B14=0,"",IFERROR(VLOOKUP(B14,'S-ASIG-06'!$B$5:$E$88,4,0),0))</f>
        <v/>
      </c>
      <c r="M14" s="73" t="str">
        <f>IF(B14=0,"",IFERROR(VLOOKUP(B14,'S-ASIG-07'!$B$5:$E$88,4,0),0))</f>
        <v/>
      </c>
      <c r="N14" s="68" t="s">
        <v>89</v>
      </c>
      <c r="O14" s="71" t="str">
        <f>IF(B14=0,"",IFERROR(VLOOKUP(B14,'T-ASIG-01'!$B$5:$D$88,3,0),0))</f>
        <v/>
      </c>
      <c r="P14" s="72" t="str">
        <f>IF(B14=0,"",IFERROR(VLOOKUP(B14,'T-ASIG-02'!$B$5:$D$88,3,0),0))</f>
        <v/>
      </c>
      <c r="Q14" s="72" t="str">
        <f>IF(B14=0,"",IFERROR(VLOOKUP(B14,'T-ASIG-03'!$B$5:$D$88,3,0),0))</f>
        <v/>
      </c>
      <c r="R14" s="72" t="str">
        <f>IF(B14=0,"",IFERROR(VLOOKUP(B14,'T-ASIG-04'!$B$5:$D$88,3,0),0))</f>
        <v/>
      </c>
      <c r="S14" s="72" t="str">
        <f>IF(B14=0,"",IFERROR(VLOOKUP(B14,'T-ASIG-05'!$B$5:$D$88,3,0),0))</f>
        <v/>
      </c>
      <c r="T14" s="72" t="str">
        <f>IF(B14=0,"",IFERROR(VLOOKUP(B14,'T-ASIG-06'!$B$5:$D$88,3,0),0))</f>
        <v/>
      </c>
      <c r="U14" s="73" t="str">
        <f>IF(B14=0,"",IFERROR(VLOOKUP(B14,'T-ASIG-07'!$B$5:$D$88,3,0),0))</f>
        <v/>
      </c>
      <c r="V14" s="69" t="s">
        <v>90</v>
      </c>
    </row>
    <row r="15" spans="1:22" ht="15" customHeight="1">
      <c r="A15" s="12">
        <v>11</v>
      </c>
      <c r="B15" s="70">
        <f>LIDER!C19</f>
        <v>0</v>
      </c>
      <c r="C15" s="64" t="str">
        <f>IF(B15=0,"",IFERROR(VLOOKUP(B15,'S-ASIG-01'!$B$5:$E$88,2,0),0))</f>
        <v/>
      </c>
      <c r="D15" s="65" t="str">
        <f t="shared" si="2"/>
        <v/>
      </c>
      <c r="E15" s="66" t="str">
        <f t="shared" si="3"/>
        <v/>
      </c>
      <c r="F15" s="47"/>
      <c r="G15" s="71" t="str">
        <f>IF(B15=0,"",IFERROR(VLOOKUP(B15,'S-ASIG-01'!$B$5:$E$88,4,0),0))</f>
        <v/>
      </c>
      <c r="H15" s="72" t="str">
        <f>IF(B15=0,"",IFERROR(VLOOKUP(B15,'S-ASIG-02'!$B$5:$E$88,4,0),0))</f>
        <v/>
      </c>
      <c r="I15" s="72" t="str">
        <f>IF(B15=0,"",IFERROR(VLOOKUP(B15,'S-ASIG-03'!$B$5:$E$88,4,0),0))</f>
        <v/>
      </c>
      <c r="J15" s="72" t="str">
        <f>IF(B15=0,"",IFERROR(VLOOKUP(B15,'S-ASIG-04'!$B$5:$E$88,4,0),0))</f>
        <v/>
      </c>
      <c r="K15" s="72" t="str">
        <f>IF(B15=0,"",IFERROR(VLOOKUP(B15,'S-ASIG-05'!$B$5:$E$88,4,0),0))</f>
        <v/>
      </c>
      <c r="L15" s="72" t="str">
        <f>IF(B15=0,"",IFERROR(VLOOKUP(B15,'S-ASIG-06'!$B$5:$E$88,4,0),0))</f>
        <v/>
      </c>
      <c r="M15" s="73" t="str">
        <f>IF(B15=0,"",IFERROR(VLOOKUP(B15,'S-ASIG-07'!$B$5:$E$88,4,0),0))</f>
        <v/>
      </c>
      <c r="N15" s="68" t="s">
        <v>89</v>
      </c>
      <c r="O15" s="71" t="str">
        <f>IF(B15=0,"",IFERROR(VLOOKUP(B15,'T-ASIG-01'!$B$5:$D$88,3,0),0))</f>
        <v/>
      </c>
      <c r="P15" s="72" t="str">
        <f>IF(B15=0,"",IFERROR(VLOOKUP(B15,'T-ASIG-02'!$B$5:$D$88,3,0),0))</f>
        <v/>
      </c>
      <c r="Q15" s="72" t="str">
        <f>IF(B15=0,"",IFERROR(VLOOKUP(B15,'T-ASIG-03'!$B$5:$D$88,3,0),0))</f>
        <v/>
      </c>
      <c r="R15" s="72" t="str">
        <f>IF(B15=0,"",IFERROR(VLOOKUP(B15,'T-ASIG-04'!$B$5:$D$88,3,0),0))</f>
        <v/>
      </c>
      <c r="S15" s="72" t="str">
        <f>IF(B15=0,"",IFERROR(VLOOKUP(B15,'T-ASIG-05'!$B$5:$D$88,3,0),0))</f>
        <v/>
      </c>
      <c r="T15" s="72" t="str">
        <f>IF(B15=0,"",IFERROR(VLOOKUP(B15,'T-ASIG-06'!$B$5:$D$88,3,0),0))</f>
        <v/>
      </c>
      <c r="U15" s="73" t="str">
        <f>IF(B15=0,"",IFERROR(VLOOKUP(B15,'T-ASIG-07'!$B$5:$D$88,3,0),0))</f>
        <v/>
      </c>
      <c r="V15" s="69" t="s">
        <v>90</v>
      </c>
    </row>
    <row r="16" spans="1:22" ht="15" customHeight="1">
      <c r="A16" s="12">
        <v>12</v>
      </c>
      <c r="B16" s="70">
        <f>LIDER!C20</f>
        <v>0</v>
      </c>
      <c r="C16" s="64" t="str">
        <f>IF(B16=0,"",IFERROR(VLOOKUP(B16,'S-ASIG-01'!$B$5:$E$88,2,0),0))</f>
        <v/>
      </c>
      <c r="D16" s="65" t="str">
        <f t="shared" si="2"/>
        <v/>
      </c>
      <c r="E16" s="66" t="str">
        <f t="shared" si="3"/>
        <v/>
      </c>
      <c r="F16" s="47"/>
      <c r="G16" s="71" t="str">
        <f>IF(B16=0,"",IFERROR(VLOOKUP(B16,'S-ASIG-01'!$B$5:$E$88,4,0),0))</f>
        <v/>
      </c>
      <c r="H16" s="72" t="str">
        <f>IF(B16=0,"",IFERROR(VLOOKUP(B16,'S-ASIG-02'!$B$5:$E$88,4,0),0))</f>
        <v/>
      </c>
      <c r="I16" s="72" t="str">
        <f>IF(B16=0,"",IFERROR(VLOOKUP(B16,'S-ASIG-03'!$B$5:$E$88,4,0),0))</f>
        <v/>
      </c>
      <c r="J16" s="72" t="str">
        <f>IF(B16=0,"",IFERROR(VLOOKUP(B16,'S-ASIG-04'!$B$5:$E$88,4,0),0))</f>
        <v/>
      </c>
      <c r="K16" s="72" t="str">
        <f>IF(B16=0,"",IFERROR(VLOOKUP(B16,'S-ASIG-05'!$B$5:$E$88,4,0),0))</f>
        <v/>
      </c>
      <c r="L16" s="72" t="str">
        <f>IF(B16=0,"",IFERROR(VLOOKUP(B16,'S-ASIG-06'!$B$5:$E$88,4,0),0))</f>
        <v/>
      </c>
      <c r="M16" s="73" t="str">
        <f>IF(B16=0,"",IFERROR(VLOOKUP(B16,'S-ASIG-07'!$B$5:$E$88,4,0),0))</f>
        <v/>
      </c>
      <c r="N16" s="68" t="s">
        <v>89</v>
      </c>
      <c r="O16" s="71" t="str">
        <f>IF(B16=0,"",IFERROR(VLOOKUP(B16,'T-ASIG-01'!$B$5:$D$88,3,0),0))</f>
        <v/>
      </c>
      <c r="P16" s="72" t="str">
        <f>IF(B16=0,"",IFERROR(VLOOKUP(B16,'T-ASIG-02'!$B$5:$D$88,3,0),0))</f>
        <v/>
      </c>
      <c r="Q16" s="72" t="str">
        <f>IF(B16=0,"",IFERROR(VLOOKUP(B16,'T-ASIG-03'!$B$5:$D$88,3,0),0))</f>
        <v/>
      </c>
      <c r="R16" s="72" t="str">
        <f>IF(B16=0,"",IFERROR(VLOOKUP(B16,'T-ASIG-04'!$B$5:$D$88,3,0),0))</f>
        <v/>
      </c>
      <c r="S16" s="72" t="str">
        <f>IF(B16=0,"",IFERROR(VLOOKUP(B16,'T-ASIG-05'!$B$5:$D$88,3,0),0))</f>
        <v/>
      </c>
      <c r="T16" s="72" t="str">
        <f>IF(B16=0,"",IFERROR(VLOOKUP(B16,'T-ASIG-06'!$B$5:$D$88,3,0),0))</f>
        <v/>
      </c>
      <c r="U16" s="73" t="str">
        <f>IF(B16=0,"",IFERROR(VLOOKUP(B16,'T-ASIG-07'!$B$5:$D$88,3,0),0))</f>
        <v/>
      </c>
      <c r="V16" s="69" t="s">
        <v>90</v>
      </c>
    </row>
    <row r="17" spans="1:22" ht="15" customHeight="1">
      <c r="A17" s="12">
        <v>13</v>
      </c>
      <c r="B17" s="70">
        <f>LIDER!C21</f>
        <v>0</v>
      </c>
      <c r="C17" s="64" t="str">
        <f>IF(B17=0,"",IFERROR(VLOOKUP(B17,'S-ASIG-01'!$B$5:$E$88,2,0),0))</f>
        <v/>
      </c>
      <c r="D17" s="65" t="str">
        <f t="shared" si="2"/>
        <v/>
      </c>
      <c r="E17" s="66" t="str">
        <f t="shared" si="3"/>
        <v/>
      </c>
      <c r="F17" s="47"/>
      <c r="G17" s="71" t="str">
        <f>IF(B17=0,"",IFERROR(VLOOKUP(B17,'S-ASIG-01'!$B$5:$E$88,4,0),0))</f>
        <v/>
      </c>
      <c r="H17" s="72" t="str">
        <f>IF(B17=0,"",IFERROR(VLOOKUP(B17,'S-ASIG-02'!$B$5:$E$88,4,0),0))</f>
        <v/>
      </c>
      <c r="I17" s="72" t="str">
        <f>IF(B17=0,"",IFERROR(VLOOKUP(B17,'S-ASIG-03'!$B$5:$E$88,4,0),0))</f>
        <v/>
      </c>
      <c r="J17" s="72" t="str">
        <f>IF(B17=0,"",IFERROR(VLOOKUP(B17,'S-ASIG-04'!$B$5:$E$88,4,0),0))</f>
        <v/>
      </c>
      <c r="K17" s="72" t="str">
        <f>IF(B17=0,"",IFERROR(VLOOKUP(B17,'S-ASIG-05'!$B$5:$E$88,4,0),0))</f>
        <v/>
      </c>
      <c r="L17" s="72" t="str">
        <f>IF(B17=0,"",IFERROR(VLOOKUP(B17,'S-ASIG-06'!$B$5:$E$88,4,0),0))</f>
        <v/>
      </c>
      <c r="M17" s="73" t="str">
        <f>IF(B17=0,"",IFERROR(VLOOKUP(B17,'S-ASIG-07'!$B$5:$E$88,4,0),0))</f>
        <v/>
      </c>
      <c r="N17" s="68" t="s">
        <v>89</v>
      </c>
      <c r="O17" s="71" t="str">
        <f>IF(B17=0,"",IFERROR(VLOOKUP(B17,'T-ASIG-01'!$B$5:$D$88,3,0),0))</f>
        <v/>
      </c>
      <c r="P17" s="72" t="str">
        <f>IF(B17=0,"",IFERROR(VLOOKUP(B17,'T-ASIG-02'!$B$5:$D$88,3,0),0))</f>
        <v/>
      </c>
      <c r="Q17" s="72" t="str">
        <f>IF(B17=0,"",IFERROR(VLOOKUP(B17,'T-ASIG-03'!$B$5:$D$88,3,0),0))</f>
        <v/>
      </c>
      <c r="R17" s="72" t="str">
        <f>IF(B17=0,"",IFERROR(VLOOKUP(B17,'T-ASIG-04'!$B$5:$D$88,3,0),0))</f>
        <v/>
      </c>
      <c r="S17" s="72" t="str">
        <f>IF(B17=0,"",IFERROR(VLOOKUP(B17,'T-ASIG-05'!$B$5:$D$88,3,0),0))</f>
        <v/>
      </c>
      <c r="T17" s="72" t="str">
        <f>IF(B17=0,"",IFERROR(VLOOKUP(B17,'T-ASIG-06'!$B$5:$D$88,3,0),0))</f>
        <v/>
      </c>
      <c r="U17" s="73" t="str">
        <f>IF(B17=0,"",IFERROR(VLOOKUP(B17,'T-ASIG-07'!$B$5:$D$88,3,0),0))</f>
        <v/>
      </c>
      <c r="V17" s="69" t="s">
        <v>90</v>
      </c>
    </row>
    <row r="18" spans="1:22" ht="15" customHeight="1">
      <c r="A18" s="12">
        <v>14</v>
      </c>
      <c r="B18" s="70">
        <f>LIDER!C22</f>
        <v>0</v>
      </c>
      <c r="C18" s="64" t="str">
        <f>IF(B18=0,"",IFERROR(VLOOKUP(B18,'S-ASIG-01'!$B$5:$E$88,2,0),0))</f>
        <v/>
      </c>
      <c r="D18" s="65" t="str">
        <f t="shared" si="2"/>
        <v/>
      </c>
      <c r="E18" s="66" t="str">
        <f t="shared" si="3"/>
        <v/>
      </c>
      <c r="F18" s="47"/>
      <c r="G18" s="71" t="str">
        <f>IF(B18=0,"",IFERROR(VLOOKUP(B18,'S-ASIG-01'!$B$5:$E$88,4,0),0))</f>
        <v/>
      </c>
      <c r="H18" s="72" t="str">
        <f>IF(B18=0,"",IFERROR(VLOOKUP(B18,'S-ASIG-02'!$B$5:$E$88,4,0),0))</f>
        <v/>
      </c>
      <c r="I18" s="72" t="str">
        <f>IF(B18=0,"",IFERROR(VLOOKUP(B18,'S-ASIG-03'!$B$5:$E$88,4,0),0))</f>
        <v/>
      </c>
      <c r="J18" s="72" t="str">
        <f>IF(B18=0,"",IFERROR(VLOOKUP(B18,'S-ASIG-04'!$B$5:$E$88,4,0),0))</f>
        <v/>
      </c>
      <c r="K18" s="72" t="str">
        <f>IF(B18=0,"",IFERROR(VLOOKUP(B18,'S-ASIG-05'!$B$5:$E$88,4,0),0))</f>
        <v/>
      </c>
      <c r="L18" s="72" t="str">
        <f>IF(B18=0,"",IFERROR(VLOOKUP(B18,'S-ASIG-06'!$B$5:$E$88,4,0),0))</f>
        <v/>
      </c>
      <c r="M18" s="73" t="str">
        <f>IF(B18=0,"",IFERROR(VLOOKUP(B18,'S-ASIG-07'!$B$5:$E$88,4,0),0))</f>
        <v/>
      </c>
      <c r="N18" s="68" t="s">
        <v>89</v>
      </c>
      <c r="O18" s="71" t="str">
        <f>IF(B18=0,"",IFERROR(VLOOKUP(B18,'T-ASIG-01'!$B$5:$D$88,3,0),0))</f>
        <v/>
      </c>
      <c r="P18" s="72" t="str">
        <f>IF(B18=0,"",IFERROR(VLOOKUP(B18,'T-ASIG-02'!$B$5:$D$88,3,0),0))</f>
        <v/>
      </c>
      <c r="Q18" s="72" t="str">
        <f>IF(B18=0,"",IFERROR(VLOOKUP(B18,'T-ASIG-03'!$B$5:$D$88,3,0),0))</f>
        <v/>
      </c>
      <c r="R18" s="72" t="str">
        <f>IF(B18=0,"",IFERROR(VLOOKUP(B18,'T-ASIG-04'!$B$5:$D$88,3,0),0))</f>
        <v/>
      </c>
      <c r="S18" s="72" t="str">
        <f>IF(B18=0,"",IFERROR(VLOOKUP(B18,'T-ASIG-05'!$B$5:$D$88,3,0),0))</f>
        <v/>
      </c>
      <c r="T18" s="72" t="str">
        <f>IF(B18=0,"",IFERROR(VLOOKUP(B18,'T-ASIG-06'!$B$5:$D$88,3,0),0))</f>
        <v/>
      </c>
      <c r="U18" s="73" t="str">
        <f>IF(B18=0,"",IFERROR(VLOOKUP(B18,'T-ASIG-07'!$B$5:$D$88,3,0),0))</f>
        <v/>
      </c>
      <c r="V18" s="69" t="s">
        <v>90</v>
      </c>
    </row>
    <row r="19" spans="1:22" ht="15" customHeight="1">
      <c r="A19" s="12">
        <v>15</v>
      </c>
      <c r="B19" s="70">
        <f>LIDER!C23</f>
        <v>0</v>
      </c>
      <c r="C19" s="64" t="str">
        <f>IF(B19=0,"",IFERROR(VLOOKUP(B19,'S-ASIG-01'!$B$5:$E$88,2,0),0))</f>
        <v/>
      </c>
      <c r="D19" s="65" t="str">
        <f t="shared" si="2"/>
        <v/>
      </c>
      <c r="E19" s="66" t="str">
        <f t="shared" si="3"/>
        <v/>
      </c>
      <c r="F19" s="47"/>
      <c r="G19" s="71" t="str">
        <f>IF(B19=0,"",IFERROR(VLOOKUP(B19,'S-ASIG-01'!$B$5:$E$88,4,0),0))</f>
        <v/>
      </c>
      <c r="H19" s="72" t="str">
        <f>IF(B19=0,"",IFERROR(VLOOKUP(B19,'S-ASIG-02'!$B$5:$E$88,4,0),0))</f>
        <v/>
      </c>
      <c r="I19" s="72" t="str">
        <f>IF(B19=0,"",IFERROR(VLOOKUP(B19,'S-ASIG-03'!$B$5:$E$88,4,0),0))</f>
        <v/>
      </c>
      <c r="J19" s="72" t="str">
        <f>IF(B19=0,"",IFERROR(VLOOKUP(B19,'S-ASIG-04'!$B$5:$E$88,4,0),0))</f>
        <v/>
      </c>
      <c r="K19" s="72" t="str">
        <f>IF(B19=0,"",IFERROR(VLOOKUP(B19,'S-ASIG-05'!$B$5:$E$88,4,0),0))</f>
        <v/>
      </c>
      <c r="L19" s="72" t="str">
        <f>IF(B19=0,"",IFERROR(VLOOKUP(B19,'S-ASIG-06'!$B$5:$E$88,4,0),0))</f>
        <v/>
      </c>
      <c r="M19" s="73" t="str">
        <f>IF(B19=0,"",IFERROR(VLOOKUP(B19,'S-ASIG-07'!$B$5:$E$88,4,0),0))</f>
        <v/>
      </c>
      <c r="N19" s="68" t="s">
        <v>89</v>
      </c>
      <c r="O19" s="71" t="str">
        <f>IF(B19=0,"",IFERROR(VLOOKUP(B19,'T-ASIG-01'!$B$5:$D$88,3,0),0))</f>
        <v/>
      </c>
      <c r="P19" s="72" t="str">
        <f>IF(B19=0,"",IFERROR(VLOOKUP(B19,'T-ASIG-02'!$B$5:$D$88,3,0),0))</f>
        <v/>
      </c>
      <c r="Q19" s="72" t="str">
        <f>IF(B19=0,"",IFERROR(VLOOKUP(B19,'T-ASIG-03'!$B$5:$D$88,3,0),0))</f>
        <v/>
      </c>
      <c r="R19" s="72" t="str">
        <f>IF(B19=0,"",IFERROR(VLOOKUP(B19,'T-ASIG-04'!$B$5:$D$88,3,0),0))</f>
        <v/>
      </c>
      <c r="S19" s="72" t="str">
        <f>IF(B19=0,"",IFERROR(VLOOKUP(B19,'T-ASIG-05'!$B$5:$D$88,3,0),0))</f>
        <v/>
      </c>
      <c r="T19" s="72" t="str">
        <f>IF(B19=0,"",IFERROR(VLOOKUP(B19,'T-ASIG-06'!$B$5:$D$88,3,0),0))</f>
        <v/>
      </c>
      <c r="U19" s="73" t="str">
        <f>IF(B19=0,"",IFERROR(VLOOKUP(B19,'T-ASIG-07'!$B$5:$D$88,3,0),0))</f>
        <v/>
      </c>
      <c r="V19" s="69" t="s">
        <v>90</v>
      </c>
    </row>
    <row r="20" spans="1:22" ht="15" customHeight="1">
      <c r="A20" s="12">
        <v>16</v>
      </c>
      <c r="B20" s="70">
        <f>LIDER!C24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89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90</v>
      </c>
    </row>
    <row r="21" spans="1:22" ht="15" customHeight="1">
      <c r="A21" s="12">
        <v>17</v>
      </c>
      <c r="B21" s="70">
        <f>LIDER!C25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89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90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89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90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89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90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89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90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89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90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89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90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89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90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89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90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89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90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89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90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89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90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89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90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89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90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89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90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89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90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89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90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89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90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89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90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89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90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89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90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89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90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89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90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89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90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89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90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89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90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89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90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89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90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89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90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89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90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89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90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89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90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89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90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89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90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89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90</v>
      </c>
    </row>
  </sheetData>
  <sheetProtection algorithmName="SHA-512" hashValue="7RZXV/SkyW6UGUi/wEleQR84m7Kzv+/4H39BgBu5/H6Ta471wmxZ2uaPUiipGAOAGVO5Su0SH24Apt2s3UwnWw==" saltValue="2i7LeFOzdr5tBkLDiY8ChQ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2026-10-14T19:46:01Z</dcterms:modified>
  <cp:category/>
  <cp:contentStatus/>
</cp:coreProperties>
</file>