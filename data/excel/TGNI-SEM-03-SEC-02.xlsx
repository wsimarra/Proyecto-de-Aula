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3/"/>
    </mc:Choice>
  </mc:AlternateContent>
  <xr:revisionPtr revIDLastSave="263" documentId="13_ncr:1_{1DAC1B09-5760-491B-A0BA-48BF2F0E275E}" xr6:coauthVersionLast="47" xr6:coauthVersionMax="47" xr10:uidLastSave="{355B44AF-FB13-4398-B40C-AB5ECA65E3CB}"/>
  <bookViews>
    <workbookView xWindow="-120" yWindow="-120" windowWidth="20730" windowHeight="11040" tabRatio="751" xr2:uid="{53EFF842-CF50-4897-B8D7-13D059DA06F8}"/>
  </bookViews>
  <sheets>
    <sheet name="DEFINITIVAS" sheetId="8" r:id="rId1"/>
    <sheet name="LIDER" sheetId="2" r:id="rId2"/>
    <sheet name="S-ASIG-01" sheetId="9" state="hidden" r:id="rId3"/>
    <sheet name="S-ASIG-02" sheetId="10" state="hidden" r:id="rId4"/>
    <sheet name="S-ASIG-04" sheetId="12" state="hidden" r:id="rId5"/>
    <sheet name="S-ASIG-03" sheetId="11" state="hidden" r:id="rId6"/>
    <sheet name="S-ASIG-05" sheetId="13" state="hidden" r:id="rId7"/>
    <sheet name="S-ASIG-06" sheetId="14" state="hidden" r:id="rId8"/>
    <sheet name="S-ASIG-07" sheetId="15" state="hidden" r:id="rId9"/>
    <sheet name="T-ASIG-02" sheetId="3" r:id="rId10"/>
    <sheet name="T-ASIG-01" sheetId="1" r:id="rId11"/>
    <sheet name="T-ASIG-03" sheetId="4" r:id="rId12"/>
    <sheet name="T-ASIG-04" sheetId="5" r:id="rId13"/>
    <sheet name="T-ASIG-05" sheetId="6" r:id="rId14"/>
    <sheet name="T-ASIG-06" sheetId="7" r:id="rId15"/>
    <sheet name="T-ASIG-07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6" i="3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D21" i="16" s="1"/>
  <c r="C22" i="16"/>
  <c r="D22" i="16" s="1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D36" i="16" s="1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D48" i="16" s="1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D60" i="16"/>
  <c r="B60" i="16"/>
  <c r="D59" i="16"/>
  <c r="B59" i="16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D28" i="16"/>
  <c r="B28" i="16"/>
  <c r="B27" i="16"/>
  <c r="D27" i="16" s="1"/>
  <c r="D25" i="16"/>
  <c r="B25" i="16"/>
  <c r="D24" i="16"/>
  <c r="B24" i="16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D21" i="7" s="1"/>
  <c r="C22" i="7"/>
  <c r="D22" i="7" s="1"/>
  <c r="C23" i="7"/>
  <c r="C24" i="7"/>
  <c r="C25" i="7"/>
  <c r="C26" i="7"/>
  <c r="C27" i="7"/>
  <c r="C28" i="7"/>
  <c r="C29" i="7"/>
  <c r="C30" i="7"/>
  <c r="C31" i="7"/>
  <c r="C32" i="7"/>
  <c r="C33" i="7"/>
  <c r="C34" i="7"/>
  <c r="D34" i="7" s="1"/>
  <c r="C35" i="7"/>
  <c r="C36" i="7"/>
  <c r="C37" i="7"/>
  <c r="C38" i="7"/>
  <c r="C39" i="7"/>
  <c r="C40" i="7"/>
  <c r="C41" i="7"/>
  <c r="C42" i="7"/>
  <c r="C43" i="7"/>
  <c r="D43" i="7" s="1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D53" i="7"/>
  <c r="B53" i="7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D42" i="7"/>
  <c r="B42" i="7"/>
  <c r="B41" i="7"/>
  <c r="D41" i="7" s="1"/>
  <c r="B39" i="7"/>
  <c r="D39" i="7" s="1"/>
  <c r="B38" i="7"/>
  <c r="B37" i="7"/>
  <c r="D37" i="7" s="1"/>
  <c r="D36" i="7"/>
  <c r="B36" i="7"/>
  <c r="D35" i="7"/>
  <c r="B35" i="7"/>
  <c r="B34" i="7"/>
  <c r="B32" i="7"/>
  <c r="D32" i="7" s="1"/>
  <c r="D31" i="7"/>
  <c r="B31" i="7"/>
  <c r="D30" i="7"/>
  <c r="B30" i="7"/>
  <c r="B29" i="7"/>
  <c r="D29" i="7" s="1"/>
  <c r="D28" i="7"/>
  <c r="B28" i="7"/>
  <c r="D27" i="7"/>
  <c r="B27" i="7"/>
  <c r="D25" i="7"/>
  <c r="B25" i="7"/>
  <c r="D24" i="7"/>
  <c r="B24" i="7"/>
  <c r="D23" i="7"/>
  <c r="B23" i="7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D37" i="6" s="1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D42" i="6"/>
  <c r="B42" i="6"/>
  <c r="B41" i="6"/>
  <c r="B39" i="6"/>
  <c r="D39" i="6" s="1"/>
  <c r="B38" i="6"/>
  <c r="B37" i="6"/>
  <c r="B36" i="6"/>
  <c r="B35" i="6"/>
  <c r="B34" i="6"/>
  <c r="D34" i="6" s="1"/>
  <c r="B32" i="6"/>
  <c r="D32" i="6" s="1"/>
  <c r="D31" i="6"/>
  <c r="B31" i="6"/>
  <c r="D30" i="6"/>
  <c r="B30" i="6"/>
  <c r="B29" i="6"/>
  <c r="D29" i="6" s="1"/>
  <c r="B28" i="6"/>
  <c r="D28" i="6" s="1"/>
  <c r="D27" i="6"/>
  <c r="B27" i="6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D21" i="5" s="1"/>
  <c r="C22" i="5"/>
  <c r="D22" i="5" s="1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D42" i="5" s="1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D34" i="5"/>
  <c r="B34" i="5"/>
  <c r="B32" i="5"/>
  <c r="D32" i="5" s="1"/>
  <c r="B31" i="5"/>
  <c r="D31" i="5" s="1"/>
  <c r="B30" i="5"/>
  <c r="D30" i="5" s="1"/>
  <c r="B29" i="5"/>
  <c r="D29" i="5" s="1"/>
  <c r="D28" i="5"/>
  <c r="B28" i="5"/>
  <c r="D27" i="5"/>
  <c r="B27" i="5"/>
  <c r="B25" i="5"/>
  <c r="D25" i="5" s="1"/>
  <c r="D24" i="5"/>
  <c r="B24" i="5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D22" i="4" s="1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D36" i="4" s="1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D49" i="4" s="1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D59" i="4"/>
  <c r="B59" i="4"/>
  <c r="B58" i="4"/>
  <c r="D58" i="4" s="1"/>
  <c r="B57" i="4"/>
  <c r="D57" i="4" s="1"/>
  <c r="B56" i="4"/>
  <c r="D56" i="4" s="1"/>
  <c r="D55" i="4"/>
  <c r="B55" i="4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D28" i="4"/>
  <c r="B28" i="4"/>
  <c r="D27" i="4"/>
  <c r="B27" i="4"/>
  <c r="D25" i="4"/>
  <c r="B25" i="4"/>
  <c r="D24" i="4"/>
  <c r="B24" i="4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B6" i="3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E51" i="15"/>
  <c r="B51" i="15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E29" i="15"/>
  <c r="B29" i="15"/>
  <c r="C28" i="15"/>
  <c r="C29" i="15" s="1"/>
  <c r="C30" i="15" s="1"/>
  <c r="C31" i="15" s="1"/>
  <c r="C32" i="15" s="1"/>
  <c r="B28" i="15"/>
  <c r="E28" i="15" s="1"/>
  <c r="E27" i="15"/>
  <c r="C27" i="15"/>
  <c r="B27" i="15"/>
  <c r="F26" i="15"/>
  <c r="E25" i="15"/>
  <c r="B25" i="15"/>
  <c r="B24" i="15"/>
  <c r="E24" i="15" s="1"/>
  <c r="E23" i="15"/>
  <c r="B23" i="15"/>
  <c r="C22" i="15"/>
  <c r="C23" i="15" s="1"/>
  <c r="C24" i="15" s="1"/>
  <c r="C25" i="15" s="1"/>
  <c r="B22" i="15"/>
  <c r="E22" i="15" s="1"/>
  <c r="E21" i="15"/>
  <c r="C21" i="15"/>
  <c r="B21" i="15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E62" i="14"/>
  <c r="C62" i="14"/>
  <c r="C63" i="14" s="1"/>
  <c r="C64" i="14" s="1"/>
  <c r="C65" i="14" s="1"/>
  <c r="C66" i="14" s="1"/>
  <c r="C67" i="14" s="1"/>
  <c r="B62" i="14"/>
  <c r="F61" i="14"/>
  <c r="B60" i="14"/>
  <c r="E60" i="14" s="1"/>
  <c r="E59" i="14"/>
  <c r="B59" i="14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E51" i="14"/>
  <c r="B51" i="14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E23" i="14"/>
  <c r="B23" i="14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E23" i="13"/>
  <c r="B23" i="13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E43" i="12"/>
  <c r="C43" i="12"/>
  <c r="B43" i="12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E60" i="11"/>
  <c r="B60" i="11"/>
  <c r="E59" i="11"/>
  <c r="B59" i="1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E43" i="11"/>
  <c r="B43" i="1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E35" i="11"/>
  <c r="B35" i="1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E29" i="11"/>
  <c r="B29" i="1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E24" i="11"/>
  <c r="B24" i="11"/>
  <c r="B23" i="11"/>
  <c r="E23" i="11" s="1"/>
  <c r="B22" i="11"/>
  <c r="E22" i="11" s="1"/>
  <c r="E21" i="11"/>
  <c r="B21" i="1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E53" i="10"/>
  <c r="B53" i="10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E27" i="10"/>
  <c r="C27" i="10"/>
  <c r="B27" i="10"/>
  <c r="F26" i="10"/>
  <c r="B25" i="10"/>
  <c r="E25" i="10" s="1"/>
  <c r="B24" i="10"/>
  <c r="E24" i="10" s="1"/>
  <c r="E23" i="10"/>
  <c r="B23" i="10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U3" i="8"/>
  <c r="H3" i="8"/>
  <c r="P3" i="8" s="1"/>
  <c r="I3" i="8"/>
  <c r="Q3" i="8" s="1"/>
  <c r="J3" i="8"/>
  <c r="R3" i="8" s="1"/>
  <c r="K3" i="8"/>
  <c r="S3" i="8" s="1"/>
  <c r="L3" i="8"/>
  <c r="T3" i="8" s="1"/>
  <c r="M3" i="8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9" i="3" l="1"/>
  <c r="D42" i="3"/>
  <c r="D22" i="3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<sst xmlns="http://schemas.openxmlformats.org/spreadsheetml/2006/main" count="641" uniqueCount="95">
  <si>
    <t>SEGUNDO CORTE</t>
  </si>
  <si>
    <t>TERCER CORTE</t>
  </si>
  <si>
    <t>LISTA DE ESTUDIANTES</t>
  </si>
  <si>
    <t>GP</t>
  </si>
  <si>
    <t>SEG-CORTE</t>
  </si>
  <si>
    <t>TER-CORTE</t>
  </si>
  <si>
    <t>P2</t>
  </si>
  <si>
    <t>P3</t>
  </si>
  <si>
    <t>S</t>
  </si>
  <si>
    <t>T</t>
  </si>
  <si>
    <t>TECNOLOGÍA EN GESTIÓN DE NEGOCIOS INTERN</t>
  </si>
  <si>
    <t>SEMESTRE:</t>
  </si>
  <si>
    <t>SEM-03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</si>
  <si>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</si>
  <si>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</si>
  <si>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</si>
  <si>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</si>
  <si>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</si>
  <si>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</si>
  <si>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</si>
  <si>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</si>
  <si>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MATEMÁTICAS FINANCIERAS</t>
  </si>
  <si>
    <t>TECNOLOGIA APLICADA</t>
  </si>
  <si>
    <t>INTERNACIONALIZACION</t>
  </si>
  <si>
    <t>LEGISLACION PARA EL COMERCIO</t>
  </si>
  <si>
    <t>MACROECONOMÍA</t>
  </si>
  <si>
    <t>JAVIER MARTINEZ PEREZ</t>
  </si>
  <si>
    <t>ARMANDO ACOSTA JULIO</t>
  </si>
  <si>
    <t>TATIANA MILENA ROJAS AROCA</t>
  </si>
  <si>
    <t>ANGELICA PAOLA DOMINGUEZ CASTELLAR</t>
  </si>
  <si>
    <t>GENIS PATRON ANTEQUERA</t>
  </si>
  <si>
    <t>SEGUNDA ENTREGA - CRITERIO DE EVALUACIÓN DOCUMENTO - SEGUNDO CORTE</t>
  </si>
  <si>
    <t>PONDERACIÓN</t>
  </si>
  <si>
    <t>ADMINISTRACIÓN DE EMPRESAS C.I</t>
  </si>
  <si>
    <t>SARA OYOLA MARTINEZ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</si>
  <si>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</si>
  <si>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</si>
  <si>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YINA MARCELA PÉREZ PINEDA</t>
  </si>
  <si>
    <t>ANTEPROYECTO: Portada, planteamiento del problema, justificacion del trabajo o proyecto de aula, objetivos, marco teorico, diseño metodologico.</t>
  </si>
  <si>
    <t>CONTADURÍA PÚBLICA</t>
  </si>
  <si>
    <t>JABES ELIAS ROSERO VILLA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</si>
  <si>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</si>
  <si>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</si>
  <si>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>ISAIAS FERNANDO SALCEDO CAICEDO</t>
  </si>
  <si>
    <t>BILIOGRAFIA: Las referencias bibliograficas: adoptan las normas APA. El documento es producto de un rastreo bibliografico que muestra analisis y sistensis.</t>
  </si>
  <si>
    <t>JORGE ALBERTO BATISTA TABORDA</t>
  </si>
  <si>
    <t>ASESORIAS: Anexó la hoja de tutoria firmada ( 3 fimas minmimo).</t>
  </si>
  <si>
    <t>TECNOLOGíA EN GESTION CONTABLE</t>
  </si>
  <si>
    <t>JEREMY MACOLL DIAZ PEREZ</t>
  </si>
  <si>
    <t>TECNOLOGÍA EN GESTIÓN DE MARKETING</t>
  </si>
  <si>
    <t>DARIANY PEÑARANDA LLACH</t>
  </si>
  <si>
    <t>TECNOLOGÍA EN GESTIÓN DEL TALENTO HUMANO</t>
  </si>
  <si>
    <t>MARIANGEL ROMERO VANEGAS</t>
  </si>
  <si>
    <t>TECNOLOGÍA EN GESTIÓN FINANCIERA</t>
  </si>
  <si>
    <t>TECNOLOGÍA EN GESTIÓN LOGISTICA Y PORTUARIA</t>
  </si>
  <si>
    <t>ENTREGA FINAL - CRITERIO DE EVALUACIÓN SUSTENTACIÓN - TERCER CORTE</t>
  </si>
  <si>
    <t>TECNOLOGÍA EN GESTIÓN TURISTICA Y HOTELERA</t>
  </si>
  <si>
    <t>Evaluación del Documento Final</t>
  </si>
  <si>
    <t>Sustentación de los Resultados: Se refleja un dominio del tema, la  información está delimitada y es clara. Hay una jerarquía y fluidez en las ideas que presenta.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</si>
  <si>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</si>
  <si>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</si>
  <si>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</si>
  <si>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</si>
  <si>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</si>
  <si>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GRUPO#1. Identificación de los aspectos legales, tributarios, administrativos, macroeconómicos, aduaneros, tecnológicos e internacionales que definen el perfil de Yara Colombia S.A. en los negocios internacionales</t>
  </si>
  <si>
    <t>GRUPO#2. Identificación de los aspectos legales, tributarios, administrativos, macroeconómicos, aduaneros, tecnológicos e internacionales que definen el perfil de Grupo Familia en los negocios internacionales con enfoque en la exportación hacia Estados Unidos.</t>
  </si>
  <si>
    <t>GRUPO#3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</si>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</sst>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1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164" fontId="29" fillId="0" borderId="26" xfId="0" applyNumberFormat="1" applyFont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6"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 activeCell="E12" sqref="E12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7" t="str">
        <f>LIDER!B2</f>
        <v>TECNOLOGÍA EN GESTIÓN DE NEGOCIOS INTERN</v>
      </c>
      <c r="H1" s="147"/>
      <c r="I1" s="147"/>
      <c r="J1" s="147"/>
      <c r="K1" s="147"/>
      <c r="L1" s="147"/>
      <c r="M1" s="147"/>
      <c r="N1" s="146" t="str">
        <f>LIDER!E2</f>
        <v>SEMESTRE:</v>
      </c>
      <c r="O1" s="146"/>
      <c r="P1" s="44" t="str">
        <f>LIDER!F2</f>
        <v>SEM-03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143" t="s">
        <v>0</v>
      </c>
      <c r="H2" s="144"/>
      <c r="I2" s="144"/>
      <c r="J2" s="144"/>
      <c r="K2" s="144"/>
      <c r="L2" s="144"/>
      <c r="M2" s="145"/>
      <c r="N2" s="2"/>
      <c r="O2" s="148" t="s">
        <v>1</v>
      </c>
      <c r="P2" s="149"/>
      <c r="Q2" s="149"/>
      <c r="R2" s="149"/>
      <c r="S2" s="149"/>
      <c r="T2" s="149"/>
      <c r="U2" s="150"/>
    </row>
    <row r="3" spans="1:22" ht="20.100000000000001" customHeight="1" thickBot="1">
      <c r="G3" s="48" t="str">
        <f>CONCATENATE("N° : ",LIDER!C6)</f>
        <v>N° : 1412</v>
      </c>
      <c r="H3" s="49" t="str">
        <f>CONCATENATE("N° : ",LIDER!D6)</f>
        <v>N° : 2388</v>
      </c>
      <c r="I3" s="49" t="str">
        <f>CONCATENATE("N° : ",LIDER!E6)</f>
        <v>N° : 2482</v>
      </c>
      <c r="J3" s="49" t="str">
        <f>CONCATENATE("N° : ",LIDER!F6)</f>
        <v>N° : 2490</v>
      </c>
      <c r="K3" s="49" t="str">
        <f>CONCATENATE("N° : ",LIDER!G6)</f>
        <v>N° : 1532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1412</v>
      </c>
      <c r="P3" s="49" t="str">
        <f t="shared" ref="P3:U3" si="0">H3</f>
        <v>N° : 2388</v>
      </c>
      <c r="Q3" s="49" t="str">
        <f t="shared" si="0"/>
        <v>N° : 2482</v>
      </c>
      <c r="R3" s="49" t="str">
        <f t="shared" si="0"/>
        <v>N° : 2490</v>
      </c>
      <c r="S3" s="49" t="str">
        <f t="shared" si="0"/>
        <v>N° : 1532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</v>
      </c>
      <c r="C4" s="53" t="s">
        <v>3</v>
      </c>
      <c r="D4" s="54" t="s">
        <v>4</v>
      </c>
      <c r="E4" s="55" t="s">
        <v>5</v>
      </c>
      <c r="G4" s="56" t="str">
        <f>MID(LIDER!C4,1,9)</f>
        <v>MATEMÁTIC</v>
      </c>
      <c r="H4" s="57" t="str">
        <f>MID(LIDER!D4,1,9)</f>
        <v>TECNOLOGI</v>
      </c>
      <c r="I4" s="57" t="str">
        <f>MID(LIDER!E4,1,9)</f>
        <v>INTERNACI</v>
      </c>
      <c r="J4" s="57" t="str">
        <f>MID(LIDER!F4,1,9)</f>
        <v>LEGISLACI</v>
      </c>
      <c r="K4" s="57" t="str">
        <f>MID(LIDER!G4,1,9)</f>
        <v>MACROECON</v>
      </c>
      <c r="L4" s="57" t="str">
        <f>MID(LIDER!H4,1,9)</f>
        <v/>
      </c>
      <c r="M4" s="58" t="str">
        <f>MID(LIDER!I4,1,9)</f>
        <v/>
      </c>
      <c r="N4" s="59" t="s">
        <v>6</v>
      </c>
      <c r="O4" s="60" t="str">
        <f t="shared" ref="O4:U4" si="1">G4</f>
        <v>MATEMÁTIC</v>
      </c>
      <c r="P4" s="61" t="str">
        <f t="shared" si="1"/>
        <v>TECNOLOGI</v>
      </c>
      <c r="Q4" s="61" t="str">
        <f t="shared" si="1"/>
        <v>INTERNACI</v>
      </c>
      <c r="R4" s="61" t="str">
        <f t="shared" si="1"/>
        <v>LEGISLACI</v>
      </c>
      <c r="S4" s="61" t="str">
        <f t="shared" si="1"/>
        <v>MACROECON</v>
      </c>
      <c r="T4" s="61" t="str">
        <f t="shared" si="1"/>
        <v/>
      </c>
      <c r="U4" s="62" t="str">
        <f t="shared" si="1"/>
        <v/>
      </c>
      <c r="V4" s="59" t="s">
        <v>7</v>
      </c>
    </row>
    <row r="5" spans="1:22" ht="15" customHeight="1">
      <c r="A5" s="12">
        <v>1</v>
      </c>
      <c r="B5" s="63" t="str">
        <f>LIDER!C9</f>
        <v>SARA OYOLA MARTINEZ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4.5080000000000009</v>
      </c>
      <c r="E5" s="66">
        <f>IF(B5=0,"",IFERROR(SUMIF(O5:U5,"&gt;0",O5:U5)/COUNTIF(O5:U5,"&gt;0"),0))</f>
        <v>4.6100000000000012</v>
      </c>
      <c r="F5" s="47"/>
      <c r="G5" s="67">
        <f>IF(B5=0,"",IFERROR(VLOOKUP(B5,'S-ASIG-01'!$B$5:$E$88,4,0),0))</f>
        <v>4.25</v>
      </c>
      <c r="H5" s="65">
        <f>IF(B5=0,"",IFERROR(VLOOKUP(B5,'S-ASIG-02'!$B$5:$E$88,4,0),0))</f>
        <v>4.5</v>
      </c>
      <c r="I5" s="65">
        <f>IF(B5=0,"",IFERROR(VLOOKUP(B5,'S-ASIG-03'!$B$5:$E$88,4,0),0))</f>
        <v>4.5</v>
      </c>
      <c r="J5" s="65">
        <f>IF(B5=0,"",IFERROR(VLOOKUP(B5,'S-ASIG-04'!$B$5:$E$88,4,0),0))</f>
        <v>4.74</v>
      </c>
      <c r="K5" s="65">
        <f>IF(B5=0,"",IFERROR(VLOOKUP(B5,'S-ASIG-05'!$B$5:$E$88,4,0),0))</f>
        <v>4.55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8</v>
      </c>
      <c r="O5" s="67">
        <f>IF(B5=0,"",IFERROR(VLOOKUP(B5,'T-ASIG-01'!$B$5:$D$88,3,0),0))</f>
        <v>4.6000000000000005</v>
      </c>
      <c r="P5" s="65">
        <f>IF(B5=0,"",IFERROR(VLOOKUP(B5,'T-ASIG-02'!$B$5:$D$88,3,0),0))</f>
        <v>4.6000000000000005</v>
      </c>
      <c r="Q5" s="65">
        <f>IF(B5=0,"",IFERROR(VLOOKUP(B5,'T-ASIG-03'!$B$5:$D$88,3,0),0))</f>
        <v>4.5</v>
      </c>
      <c r="R5" s="65">
        <f>IF(B5=0,"",IFERROR(VLOOKUP(B5,'T-ASIG-04'!$B$5:$D$88,3,0),0))</f>
        <v>4.7</v>
      </c>
      <c r="S5" s="65">
        <f>IF(B5=0,"",IFERROR(VLOOKUP(B5,'T-ASIG-05'!$B$5:$D$88,3,0),0))</f>
        <v>4.6500000000000004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9</v>
      </c>
    </row>
    <row r="6" spans="1:22" ht="15" customHeight="1">
      <c r="A6" s="12">
        <v>2</v>
      </c>
      <c r="B6" s="70" t="str">
        <f>LIDER!C10</f>
        <v>YINA MARCELA PÉREZ PINEDA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4.5080000000000009</v>
      </c>
      <c r="E6" s="66">
        <f t="shared" ref="E6:E54" si="3">IF(B6=0,"",IFERROR(SUMIF(O6:U6,"&gt;0",O6:U6)/COUNTIF(O6:U6,"&gt;0"),0))</f>
        <v>4.6100000000000012</v>
      </c>
      <c r="F6" s="47"/>
      <c r="G6" s="71">
        <f>IF(B6=0,"",IFERROR(VLOOKUP(B6,'S-ASIG-01'!$B$5:$E$88,4,0),0))</f>
        <v>4.25</v>
      </c>
      <c r="H6" s="72">
        <f>IF(B6=0,"",IFERROR(VLOOKUP(B6,'S-ASIG-02'!$B$5:$E$88,4,0),0))</f>
        <v>4.5</v>
      </c>
      <c r="I6" s="72">
        <f>IF(B6=0,"",IFERROR(VLOOKUP(B6,'S-ASIG-03'!$B$5:$E$88,4,0),0))</f>
        <v>4.5</v>
      </c>
      <c r="J6" s="72">
        <f>IF(B6=0,"",IFERROR(VLOOKUP(B6,'S-ASIG-04'!$B$5:$E$88,4,0),0))</f>
        <v>4.74</v>
      </c>
      <c r="K6" s="72">
        <f>IF(B6=0,"",IFERROR(VLOOKUP(B6,'S-ASIG-05'!$B$5:$E$88,4,0),0))</f>
        <v>4.55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8</v>
      </c>
      <c r="O6" s="71">
        <f>IF(B6=0,"",IFERROR(VLOOKUP(B6,'T-ASIG-01'!$B$5:$D$88,3,0),0))</f>
        <v>4.6000000000000005</v>
      </c>
      <c r="P6" s="72">
        <f>IF(B6=0,"",IFERROR(VLOOKUP(B6,'T-ASIG-02'!$B$5:$D$88,3,0),0))</f>
        <v>4.6000000000000005</v>
      </c>
      <c r="Q6" s="72">
        <f>IF(B6=0,"",IFERROR(VLOOKUP(B6,'T-ASIG-03'!$B$5:$D$88,3,0),0))</f>
        <v>4.5</v>
      </c>
      <c r="R6" s="72">
        <f>IF(B6=0,"",IFERROR(VLOOKUP(B6,'T-ASIG-04'!$B$5:$D$88,3,0),0))</f>
        <v>4.7</v>
      </c>
      <c r="S6" s="72">
        <f>IF(B6=0,"",IFERROR(VLOOKUP(B6,'T-ASIG-05'!$B$5:$D$88,3,0),0))</f>
        <v>4.6500000000000004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9</v>
      </c>
    </row>
    <row r="7" spans="1:22" ht="15" customHeight="1">
      <c r="A7" s="12">
        <v>3</v>
      </c>
      <c r="B7" s="70" t="str">
        <f>LIDER!C11</f>
        <v>JABES ELIAS ROSERO VILLA</v>
      </c>
      <c r="C7" s="64" t="str">
        <f>IF(B7=0,"",IFERROR(VLOOKUP(B7,'S-ASIG-01'!$B$5:$E$88,2,0),0))</f>
        <v>G01</v>
      </c>
      <c r="D7" s="65">
        <f t="shared" si="2"/>
        <v>4.5080000000000009</v>
      </c>
      <c r="E7" s="66">
        <f t="shared" si="3"/>
        <v>4.6100000000000012</v>
      </c>
      <c r="F7" s="47"/>
      <c r="G7" s="71">
        <f>IF(B7=0,"",IFERROR(VLOOKUP(B7,'S-ASIG-01'!$B$5:$E$88,4,0),0))</f>
        <v>4.25</v>
      </c>
      <c r="H7" s="72">
        <f>IF(B7=0,"",IFERROR(VLOOKUP(B7,'S-ASIG-02'!$B$5:$E$88,4,0),0))</f>
        <v>4.5</v>
      </c>
      <c r="I7" s="72">
        <f>IF(B7=0,"",IFERROR(VLOOKUP(B7,'S-ASIG-03'!$B$5:$E$88,4,0),0))</f>
        <v>4.5</v>
      </c>
      <c r="J7" s="72">
        <f>IF(B7=0,"",IFERROR(VLOOKUP(B7,'S-ASIG-04'!$B$5:$E$88,4,0),0))</f>
        <v>4.74</v>
      </c>
      <c r="K7" s="72">
        <f>IF(B7=0,"",IFERROR(VLOOKUP(B7,'S-ASIG-05'!$B$5:$E$88,4,0),0))</f>
        <v>4.55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8</v>
      </c>
      <c r="O7" s="71">
        <f>IF(B7=0,"",IFERROR(VLOOKUP(B7,'T-ASIG-01'!$B$5:$D$88,3,0),0))</f>
        <v>4.6000000000000005</v>
      </c>
      <c r="P7" s="72">
        <f>IF(B7=0,"",IFERROR(VLOOKUP(B7,'T-ASIG-02'!$B$5:$D$88,3,0),0))</f>
        <v>4.6000000000000005</v>
      </c>
      <c r="Q7" s="72">
        <f>IF(B7=0,"",IFERROR(VLOOKUP(B7,'T-ASIG-03'!$B$5:$D$88,3,0),0))</f>
        <v>4.5</v>
      </c>
      <c r="R7" s="72">
        <f>IF(B7=0,"",IFERROR(VLOOKUP(B7,'T-ASIG-04'!$B$5:$D$88,3,0),0))</f>
        <v>4.7</v>
      </c>
      <c r="S7" s="72">
        <f>IF(B7=0,"",IFERROR(VLOOKUP(B7,'T-ASIG-05'!$B$5:$D$88,3,0),0))</f>
        <v>4.6500000000000004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9</v>
      </c>
    </row>
    <row r="8" spans="1:22" ht="15" customHeight="1">
      <c r="A8" s="12">
        <v>4</v>
      </c>
      <c r="B8" s="70" t="str">
        <f>LIDER!C12</f>
        <v>ISAIAS FERNANDO SALCEDO CAICEDO</v>
      </c>
      <c r="C8" s="64" t="str">
        <f>IF(B8=0,"",IFERROR(VLOOKUP(B8,'S-ASIG-01'!$B$5:$E$88,2,0),0))</f>
        <v>G01</v>
      </c>
      <c r="D8" s="65">
        <f t="shared" si="2"/>
        <v>4.5080000000000009</v>
      </c>
      <c r="E8" s="66">
        <f t="shared" si="3"/>
        <v>4.6100000000000012</v>
      </c>
      <c r="F8" s="47"/>
      <c r="G8" s="71">
        <f>IF(B8=0,"",IFERROR(VLOOKUP(B8,'S-ASIG-01'!$B$5:$E$88,4,0),0))</f>
        <v>4.25</v>
      </c>
      <c r="H8" s="72">
        <f>IF(B8=0,"",IFERROR(VLOOKUP(B8,'S-ASIG-02'!$B$5:$E$88,4,0),0))</f>
        <v>4.5</v>
      </c>
      <c r="I8" s="72">
        <f>IF(B8=0,"",IFERROR(VLOOKUP(B8,'S-ASIG-03'!$B$5:$E$88,4,0),0))</f>
        <v>4.5</v>
      </c>
      <c r="J8" s="72">
        <f>IF(B8=0,"",IFERROR(VLOOKUP(B8,'S-ASIG-04'!$B$5:$E$88,4,0),0))</f>
        <v>4.74</v>
      </c>
      <c r="K8" s="72">
        <f>IF(B8=0,"",IFERROR(VLOOKUP(B8,'S-ASIG-05'!$B$5:$E$88,4,0),0))</f>
        <v>4.55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8</v>
      </c>
      <c r="O8" s="71">
        <f>IF(B8=0,"",IFERROR(VLOOKUP(B8,'T-ASIG-01'!$B$5:$D$88,3,0),0))</f>
        <v>4.6000000000000005</v>
      </c>
      <c r="P8" s="72">
        <f>IF(B8=0,"",IFERROR(VLOOKUP(B8,'T-ASIG-02'!$B$5:$D$88,3,0),0))</f>
        <v>4.6000000000000005</v>
      </c>
      <c r="Q8" s="72">
        <f>IF(B8=0,"",IFERROR(VLOOKUP(B8,'T-ASIG-03'!$B$5:$D$88,3,0),0))</f>
        <v>4.5</v>
      </c>
      <c r="R8" s="72">
        <f>IF(B8=0,"",IFERROR(VLOOKUP(B8,'T-ASIG-04'!$B$5:$D$88,3,0),0))</f>
        <v>4.7</v>
      </c>
      <c r="S8" s="72">
        <f>IF(B8=0,"",IFERROR(VLOOKUP(B8,'T-ASIG-05'!$B$5:$D$88,3,0),0))</f>
        <v>4.6500000000000004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9</v>
      </c>
    </row>
    <row r="9" spans="1:22" ht="15" customHeight="1">
      <c r="A9" s="12">
        <v>5</v>
      </c>
      <c r="B9" s="70" t="str">
        <f>LIDER!C13</f>
        <v>JORGE ALBERTO BATISTA TABORDA</v>
      </c>
      <c r="C9" s="64" t="str">
        <f>IF(B9=0,"",IFERROR(VLOOKUP(B9,'S-ASIG-01'!$B$5:$E$88,2,0),0))</f>
        <v>G02</v>
      </c>
      <c r="D9" s="65">
        <f t="shared" si="2"/>
        <v>3.9240000000000004</v>
      </c>
      <c r="E9" s="66">
        <f t="shared" si="3"/>
        <v>3.9299999999999997</v>
      </c>
      <c r="F9" s="47"/>
      <c r="G9" s="71">
        <f>IF(B9=0,"",IFERROR(VLOOKUP(B9,'S-ASIG-01'!$B$5:$E$88,4,0),0))</f>
        <v>3.8399999999999994</v>
      </c>
      <c r="H9" s="72">
        <f>IF(B9=0,"",IFERROR(VLOOKUP(B9,'S-ASIG-02'!$B$5:$E$88,4,0),0))</f>
        <v>3.9999999999999996</v>
      </c>
      <c r="I9" s="72">
        <f>IF(B9=0,"",IFERROR(VLOOKUP(B9,'S-ASIG-03'!$B$5:$E$88,4,0),0))</f>
        <v>4.2</v>
      </c>
      <c r="J9" s="72">
        <f>IF(B9=0,"",IFERROR(VLOOKUP(B9,'S-ASIG-04'!$B$5:$E$88,4,0),0))</f>
        <v>3.46</v>
      </c>
      <c r="K9" s="72">
        <f>IF(B9=0,"",IFERROR(VLOOKUP(B9,'S-ASIG-05'!$B$5:$E$88,4,0),0))</f>
        <v>4.12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8</v>
      </c>
      <c r="O9" s="71">
        <f>IF(B9=0,"",IFERROR(VLOOKUP(B9,'T-ASIG-01'!$B$5:$D$88,3,0),0))</f>
        <v>4.05</v>
      </c>
      <c r="P9" s="72">
        <f>IF(B9=0,"",IFERROR(VLOOKUP(B9,'T-ASIG-02'!$B$5:$D$88,3,0),0))</f>
        <v>3.75</v>
      </c>
      <c r="Q9" s="72">
        <f>IF(B9=0,"",IFERROR(VLOOKUP(B9,'T-ASIG-03'!$B$5:$D$88,3,0),0))</f>
        <v>4.0999999999999996</v>
      </c>
      <c r="R9" s="72">
        <f>IF(B9=0,"",IFERROR(VLOOKUP(B9,'T-ASIG-04'!$B$5:$D$88,3,0),0))</f>
        <v>3.5</v>
      </c>
      <c r="S9" s="72">
        <f>IF(B9=0,"",IFERROR(VLOOKUP(B9,'T-ASIG-05'!$B$5:$D$88,3,0),0))</f>
        <v>4.25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9</v>
      </c>
    </row>
    <row r="10" spans="1:22" ht="15" customHeight="1">
      <c r="A10" s="12">
        <v>6</v>
      </c>
      <c r="B10" s="70" t="str">
        <f>LIDER!C14</f>
        <v>JEREMY MACOLL DIAZ PEREZ</v>
      </c>
      <c r="C10" s="64" t="str">
        <f>IF(B10=0,"",IFERROR(VLOOKUP(B10,'S-ASIG-01'!$B$5:$E$88,2,0),0))</f>
        <v>G02</v>
      </c>
      <c r="D10" s="65">
        <f t="shared" si="2"/>
        <v>3.9240000000000004</v>
      </c>
      <c r="E10" s="66">
        <f t="shared" si="3"/>
        <v>3.9299999999999997</v>
      </c>
      <c r="F10" s="47"/>
      <c r="G10" s="71">
        <f>IF(B10=0,"",IFERROR(VLOOKUP(B10,'S-ASIG-01'!$B$5:$E$88,4,0),0))</f>
        <v>3.8399999999999994</v>
      </c>
      <c r="H10" s="72">
        <f>IF(B10=0,"",IFERROR(VLOOKUP(B10,'S-ASIG-02'!$B$5:$E$88,4,0),0))</f>
        <v>3.9999999999999996</v>
      </c>
      <c r="I10" s="72">
        <f>IF(B10=0,"",IFERROR(VLOOKUP(B10,'S-ASIG-03'!$B$5:$E$88,4,0),0))</f>
        <v>4.2</v>
      </c>
      <c r="J10" s="72">
        <f>IF(B10=0,"",IFERROR(VLOOKUP(B10,'S-ASIG-04'!$B$5:$E$88,4,0),0))</f>
        <v>3.46</v>
      </c>
      <c r="K10" s="72">
        <f>IF(B10=0,"",IFERROR(VLOOKUP(B10,'S-ASIG-05'!$B$5:$E$88,4,0),0))</f>
        <v>4.12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8</v>
      </c>
      <c r="O10" s="71">
        <f>IF(B10=0,"",IFERROR(VLOOKUP(B10,'T-ASIG-01'!$B$5:$D$88,3,0),0))</f>
        <v>4.05</v>
      </c>
      <c r="P10" s="72">
        <f>IF(B10=0,"",IFERROR(VLOOKUP(B10,'T-ASIG-02'!$B$5:$D$88,3,0),0))</f>
        <v>3.75</v>
      </c>
      <c r="Q10" s="72">
        <f>IF(B10=0,"",IFERROR(VLOOKUP(B10,'T-ASIG-03'!$B$5:$D$88,3,0),0))</f>
        <v>4.0999999999999996</v>
      </c>
      <c r="R10" s="72">
        <f>IF(B10=0,"",IFERROR(VLOOKUP(B10,'T-ASIG-04'!$B$5:$D$88,3,0),0))</f>
        <v>3.5</v>
      </c>
      <c r="S10" s="72">
        <f>IF(B10=0,"",IFERROR(VLOOKUP(B10,'T-ASIG-05'!$B$5:$D$88,3,0),0))</f>
        <v>4.25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9</v>
      </c>
    </row>
    <row r="11" spans="1:22" ht="15" customHeight="1">
      <c r="A11" s="12">
        <v>7</v>
      </c>
      <c r="B11" s="70" t="str">
        <f>LIDER!C15</f>
        <v>DARIANY PEÑARANDA LLACH</v>
      </c>
      <c r="C11" s="64" t="str">
        <f>IF(B11=0,"",IFERROR(VLOOKUP(B11,'S-ASIG-01'!$B$5:$E$88,2,0),0))</f>
        <v>G02</v>
      </c>
      <c r="D11" s="65">
        <f t="shared" si="2"/>
        <v>3.9240000000000004</v>
      </c>
      <c r="E11" s="66">
        <f t="shared" si="3"/>
        <v>3.9299999999999997</v>
      </c>
      <c r="F11" s="47"/>
      <c r="G11" s="71">
        <f>IF(B11=0,"",IFERROR(VLOOKUP(B11,'S-ASIG-01'!$B$5:$E$88,4,0),0))</f>
        <v>3.8399999999999994</v>
      </c>
      <c r="H11" s="72">
        <f>IF(B11=0,"",IFERROR(VLOOKUP(B11,'S-ASIG-02'!$B$5:$E$88,4,0),0))</f>
        <v>3.9999999999999996</v>
      </c>
      <c r="I11" s="72">
        <f>IF(B11=0,"",IFERROR(VLOOKUP(B11,'S-ASIG-03'!$B$5:$E$88,4,0),0))</f>
        <v>4.2</v>
      </c>
      <c r="J11" s="72">
        <f>IF(B11=0,"",IFERROR(VLOOKUP(B11,'S-ASIG-04'!$B$5:$E$88,4,0),0))</f>
        <v>3.46</v>
      </c>
      <c r="K11" s="72">
        <f>IF(B11=0,"",IFERROR(VLOOKUP(B11,'S-ASIG-05'!$B$5:$E$88,4,0),0))</f>
        <v>4.12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8</v>
      </c>
      <c r="O11" s="71">
        <f>IF(B11=0,"",IFERROR(VLOOKUP(B11,'T-ASIG-01'!$B$5:$D$88,3,0),0))</f>
        <v>4.05</v>
      </c>
      <c r="P11" s="72">
        <f>IF(B11=0,"",IFERROR(VLOOKUP(B11,'T-ASIG-02'!$B$5:$D$88,3,0),0))</f>
        <v>3.75</v>
      </c>
      <c r="Q11" s="72">
        <f>IF(B11=0,"",IFERROR(VLOOKUP(B11,'T-ASIG-03'!$B$5:$D$88,3,0),0))</f>
        <v>4.0999999999999996</v>
      </c>
      <c r="R11" s="72">
        <f>IF(B11=0,"",IFERROR(VLOOKUP(B11,'T-ASIG-04'!$B$5:$D$88,3,0),0))</f>
        <v>3.5</v>
      </c>
      <c r="S11" s="72">
        <f>IF(B11=0,"",IFERROR(VLOOKUP(B11,'T-ASIG-05'!$B$5:$D$88,3,0),0))</f>
        <v>4.25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9</v>
      </c>
    </row>
    <row r="12" spans="1:22" ht="15" customHeight="1">
      <c r="A12" s="12">
        <v>8</v>
      </c>
      <c r="B12" s="70" t="str">
        <f>LIDER!C16</f>
        <v>MARIANGEL ROMERO VANEGAS</v>
      </c>
      <c r="C12" s="64" t="str">
        <f>IF(B12=0,"",IFERROR(VLOOKUP(B12,'S-ASIG-01'!$B$5:$E$88,2,0),0))</f>
        <v>G02</v>
      </c>
      <c r="D12" s="65">
        <f t="shared" si="2"/>
        <v>3.9240000000000004</v>
      </c>
      <c r="E12" s="66">
        <f t="shared" si="3"/>
        <v>3.8499999999999996</v>
      </c>
      <c r="F12" s="47"/>
      <c r="G12" s="71">
        <f>IF(B12=0,"",IFERROR(VLOOKUP(B12,'S-ASIG-01'!$B$5:$E$88,4,0),0))</f>
        <v>3.8399999999999994</v>
      </c>
      <c r="H12" s="72">
        <f>IF(B12=0,"",IFERROR(VLOOKUP(B12,'S-ASIG-02'!$B$5:$E$88,4,0),0))</f>
        <v>3.9999999999999996</v>
      </c>
      <c r="I12" s="72">
        <f>IF(B12=0,"",IFERROR(VLOOKUP(B12,'S-ASIG-03'!$B$5:$E$88,4,0),0))</f>
        <v>4.2</v>
      </c>
      <c r="J12" s="72">
        <f>IF(B12=0,"",IFERROR(VLOOKUP(B12,'S-ASIG-04'!$B$5:$E$88,4,0),0))</f>
        <v>3.46</v>
      </c>
      <c r="K12" s="72">
        <f>IF(B12=0,"",IFERROR(VLOOKUP(B12,'S-ASIG-05'!$B$5:$E$88,4,0),0))</f>
        <v>4.12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8</v>
      </c>
      <c r="O12" s="71">
        <f>IF(B12=0,"",IFERROR(VLOOKUP(B12,'T-ASIG-01'!$B$5:$D$88,3,0),0))</f>
        <v>4.05</v>
      </c>
      <c r="P12" s="72">
        <f>IF(B12=0,"",IFERROR(VLOOKUP(B12,'T-ASIG-02'!$B$5:$D$88,3,0),0))</f>
        <v>3.75</v>
      </c>
      <c r="Q12" s="72">
        <f>IF(B12=0,"",IFERROR(VLOOKUP(B12,'T-ASIG-03'!$B$5:$D$88,3,0),0))</f>
        <v>4.0999999999999996</v>
      </c>
      <c r="R12" s="72">
        <f>IF(B12=0,"",IFERROR(VLOOKUP(B12,'T-ASIG-04'!$B$5:$D$88,3,0),0))</f>
        <v>3.5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9</v>
      </c>
    </row>
    <row r="13" spans="1:22" ht="15" customHeight="1">
      <c r="A13" s="12">
        <v>9</v>
      </c>
      <c r="B13" s="70">
        <f>LIDER!C17</f>
        <v>0</v>
      </c>
      <c r="C13" s="64" t="str">
        <f>IF(B13=0,"",IFERROR(VLOOKUP(B13,'S-ASIG-01'!$B$5:$E$88,2,0),0))</f>
        <v/>
      </c>
      <c r="D13" s="65" t="str">
        <f t="shared" si="2"/>
        <v/>
      </c>
      <c r="E13" s="66" t="str">
        <f t="shared" si="3"/>
        <v/>
      </c>
      <c r="F13" s="47"/>
      <c r="G13" s="71" t="str">
        <f>IF(B13=0,"",IFERROR(VLOOKUP(B13,'S-ASIG-01'!$B$5:$E$88,4,0),0))</f>
        <v/>
      </c>
      <c r="H13" s="72" t="str">
        <f>IF(B13=0,"",IFERROR(VLOOKUP(B13,'S-ASIG-02'!$B$5:$E$88,4,0),0))</f>
        <v/>
      </c>
      <c r="I13" s="72" t="str">
        <f>IF(B13=0,"",IFERROR(VLOOKUP(B13,'S-ASIG-03'!$B$5:$E$88,4,0),0))</f>
        <v/>
      </c>
      <c r="J13" s="72" t="str">
        <f>IF(B13=0,"",IFERROR(VLOOKUP(B13,'S-ASIG-04'!$B$5:$E$88,4,0),0))</f>
        <v/>
      </c>
      <c r="K13" s="72" t="str">
        <f>IF(B13=0,"",IFERROR(VLOOKUP(B13,'S-ASIG-05'!$B$5:$E$88,4,0),0))</f>
        <v/>
      </c>
      <c r="L13" s="72" t="str">
        <f>IF(B13=0,"",IFERROR(VLOOKUP(B13,'S-ASIG-06'!$B$5:$E$88,4,0),0))</f>
        <v/>
      </c>
      <c r="M13" s="73" t="str">
        <f>IF(B13=0,"",IFERROR(VLOOKUP(B13,'S-ASIG-07'!$B$5:$E$88,4,0),0))</f>
        <v/>
      </c>
      <c r="N13" s="68" t="s">
        <v>8</v>
      </c>
      <c r="O13" s="71" t="str">
        <f>IF(B13=0,"",IFERROR(VLOOKUP(B13,'T-ASIG-01'!$B$5:$D$88,3,0),0))</f>
        <v/>
      </c>
      <c r="P13" s="72" t="str">
        <f>IF(B13=0,"",IFERROR(VLOOKUP(B13,'T-ASIG-02'!$B$5:$D$88,3,0),0))</f>
        <v/>
      </c>
      <c r="Q13" s="72" t="str">
        <f>IF(B13=0,"",IFERROR(VLOOKUP(B13,'T-ASIG-03'!$B$5:$D$88,3,0),0))</f>
        <v/>
      </c>
      <c r="R13" s="72" t="str">
        <f>IF(B13=0,"",IFERROR(VLOOKUP(B13,'T-ASIG-04'!$B$5:$D$88,3,0),0))</f>
        <v/>
      </c>
      <c r="S13" s="72" t="str">
        <f>IF(B13=0,"",IFERROR(VLOOKUP(B13,'T-ASIG-05'!$B$5:$D$88,3,0),0))</f>
        <v/>
      </c>
      <c r="T13" s="72" t="str">
        <f>IF(B13=0,"",IFERROR(VLOOKUP(B13,'T-ASIG-06'!$B$5:$D$88,3,0),0))</f>
        <v/>
      </c>
      <c r="U13" s="73" t="str">
        <f>IF(B13=0,"",IFERROR(VLOOKUP(B13,'T-ASIG-07'!$B$5:$D$88,3,0),0))</f>
        <v/>
      </c>
      <c r="V13" s="69" t="s">
        <v>9</v>
      </c>
    </row>
    <row r="14" spans="1:22" ht="15" customHeight="1">
      <c r="A14" s="12">
        <v>10</v>
      </c>
      <c r="B14" s="70">
        <f>LIDER!C18</f>
        <v>0</v>
      </c>
      <c r="C14" s="64" t="str">
        <f>IF(B14=0,"",IFERROR(VLOOKUP(B14,'S-ASIG-01'!$B$5:$E$88,2,0),0))</f>
        <v/>
      </c>
      <c r="D14" s="65" t="str">
        <f t="shared" si="2"/>
        <v/>
      </c>
      <c r="E14" s="66" t="str">
        <f t="shared" si="3"/>
        <v/>
      </c>
      <c r="F14" s="47"/>
      <c r="G14" s="71" t="str">
        <f>IF(B14=0,"",IFERROR(VLOOKUP(B14,'S-ASIG-01'!$B$5:$E$88,4,0),0))</f>
        <v/>
      </c>
      <c r="H14" s="72" t="str">
        <f>IF(B14=0,"",IFERROR(VLOOKUP(B14,'S-ASIG-02'!$B$5:$E$88,4,0),0))</f>
        <v/>
      </c>
      <c r="I14" s="72" t="str">
        <f>IF(B14=0,"",IFERROR(VLOOKUP(B14,'S-ASIG-03'!$B$5:$E$88,4,0),0))</f>
        <v/>
      </c>
      <c r="J14" s="72" t="str">
        <f>IF(B14=0,"",IFERROR(VLOOKUP(B14,'S-ASIG-04'!$B$5:$E$88,4,0),0))</f>
        <v/>
      </c>
      <c r="K14" s="72" t="str">
        <f>IF(B14=0,"",IFERROR(VLOOKUP(B14,'S-ASIG-05'!$B$5:$E$88,4,0),0))</f>
        <v/>
      </c>
      <c r="L14" s="72" t="str">
        <f>IF(B14=0,"",IFERROR(VLOOKUP(B14,'S-ASIG-06'!$B$5:$E$88,4,0),0))</f>
        <v/>
      </c>
      <c r="M14" s="73" t="str">
        <f>IF(B14=0,"",IFERROR(VLOOKUP(B14,'S-ASIG-07'!$B$5:$E$88,4,0),0))</f>
        <v/>
      </c>
      <c r="N14" s="68" t="s">
        <v>8</v>
      </c>
      <c r="O14" s="71" t="str">
        <f>IF(B14=0,"",IFERROR(VLOOKUP(B14,'T-ASIG-01'!$B$5:$D$88,3,0),0))</f>
        <v/>
      </c>
      <c r="P14" s="72" t="str">
        <f>IF(B14=0,"",IFERROR(VLOOKUP(B14,'T-ASIG-02'!$B$5:$D$88,3,0),0))</f>
        <v/>
      </c>
      <c r="Q14" s="72" t="str">
        <f>IF(B14=0,"",IFERROR(VLOOKUP(B14,'T-ASIG-03'!$B$5:$D$88,3,0),0))</f>
        <v/>
      </c>
      <c r="R14" s="72" t="str">
        <f>IF(B14=0,"",IFERROR(VLOOKUP(B14,'T-ASIG-04'!$B$5:$D$88,3,0),0))</f>
        <v/>
      </c>
      <c r="S14" s="72" t="str">
        <f>IF(B14=0,"",IFERROR(VLOOKUP(B14,'T-ASIG-05'!$B$5:$D$88,3,0),0))</f>
        <v/>
      </c>
      <c r="T14" s="72" t="str">
        <f>IF(B14=0,"",IFERROR(VLOOKUP(B14,'T-ASIG-06'!$B$5:$D$88,3,0),0))</f>
        <v/>
      </c>
      <c r="U14" s="73" t="str">
        <f>IF(B14=0,"",IFERROR(VLOOKUP(B14,'T-ASIG-07'!$B$5:$D$88,3,0),0))</f>
        <v/>
      </c>
      <c r="V14" s="69" t="s">
        <v>9</v>
      </c>
    </row>
    <row r="15" spans="1:22" ht="15" customHeight="1">
      <c r="A15" s="12">
        <v>11</v>
      </c>
      <c r="B15" s="70">
        <f>LIDER!C19</f>
        <v>0</v>
      </c>
      <c r="C15" s="64" t="str">
        <f>IF(B15=0,"",IFERROR(VLOOKUP(B15,'S-ASIG-01'!$B$5:$E$88,2,0),0))</f>
        <v/>
      </c>
      <c r="D15" s="65" t="str">
        <f t="shared" si="2"/>
        <v/>
      </c>
      <c r="E15" s="66" t="str">
        <f t="shared" si="3"/>
        <v/>
      </c>
      <c r="F15" s="47"/>
      <c r="G15" s="71" t="str">
        <f>IF(B15=0,"",IFERROR(VLOOKUP(B15,'S-ASIG-01'!$B$5:$E$88,4,0),0))</f>
        <v/>
      </c>
      <c r="H15" s="72" t="str">
        <f>IF(B15=0,"",IFERROR(VLOOKUP(B15,'S-ASIG-02'!$B$5:$E$88,4,0),0))</f>
        <v/>
      </c>
      <c r="I15" s="72" t="str">
        <f>IF(B15=0,"",IFERROR(VLOOKUP(B15,'S-ASIG-03'!$B$5:$E$88,4,0),0))</f>
        <v/>
      </c>
      <c r="J15" s="72" t="str">
        <f>IF(B15=0,"",IFERROR(VLOOKUP(B15,'S-ASIG-04'!$B$5:$E$88,4,0),0))</f>
        <v/>
      </c>
      <c r="K15" s="72" t="str">
        <f>IF(B15=0,"",IFERROR(VLOOKUP(B15,'S-ASIG-05'!$B$5:$E$88,4,0),0))</f>
        <v/>
      </c>
      <c r="L15" s="72" t="str">
        <f>IF(B15=0,"",IFERROR(VLOOKUP(B15,'S-ASIG-06'!$B$5:$E$88,4,0),0))</f>
        <v/>
      </c>
      <c r="M15" s="73" t="str">
        <f>IF(B15=0,"",IFERROR(VLOOKUP(B15,'S-ASIG-07'!$B$5:$E$88,4,0),0))</f>
        <v/>
      </c>
      <c r="N15" s="68" t="s">
        <v>8</v>
      </c>
      <c r="O15" s="71" t="str">
        <f>IF(B15=0,"",IFERROR(VLOOKUP(B15,'T-ASIG-01'!$B$5:$D$88,3,0),0))</f>
        <v/>
      </c>
      <c r="P15" s="72" t="str">
        <f>IF(B15=0,"",IFERROR(VLOOKUP(B15,'T-ASIG-02'!$B$5:$D$88,3,0),0))</f>
        <v/>
      </c>
      <c r="Q15" s="72" t="str">
        <f>IF(B15=0,"",IFERROR(VLOOKUP(B15,'T-ASIG-03'!$B$5:$D$88,3,0),0))</f>
        <v/>
      </c>
      <c r="R15" s="72" t="str">
        <f>IF(B15=0,"",IFERROR(VLOOKUP(B15,'T-ASIG-04'!$B$5:$D$88,3,0),0))</f>
        <v/>
      </c>
      <c r="S15" s="72" t="str">
        <f>IF(B15=0,"",IFERROR(VLOOKUP(B15,'T-ASIG-05'!$B$5:$D$88,3,0),0))</f>
        <v/>
      </c>
      <c r="T15" s="72" t="str">
        <f>IF(B15=0,"",IFERROR(VLOOKUP(B15,'T-ASIG-06'!$B$5:$D$88,3,0),0))</f>
        <v/>
      </c>
      <c r="U15" s="73" t="str">
        <f>IF(B15=0,"",IFERROR(VLOOKUP(B15,'T-ASIG-07'!$B$5:$D$88,3,0),0))</f>
        <v/>
      </c>
      <c r="V15" s="69" t="s">
        <v>9</v>
      </c>
    </row>
    <row r="16" spans="1:22" ht="15" customHeight="1">
      <c r="A16" s="12">
        <v>12</v>
      </c>
      <c r="B16" s="70">
        <f>LIDER!C20</f>
        <v>0</v>
      </c>
      <c r="C16" s="64" t="str">
        <f>IF(B16=0,"",IFERROR(VLOOKUP(B16,'S-ASIG-01'!$B$5:$E$88,2,0),0))</f>
        <v/>
      </c>
      <c r="D16" s="65" t="str">
        <f t="shared" si="2"/>
        <v/>
      </c>
      <c r="E16" s="66" t="str">
        <f t="shared" si="3"/>
        <v/>
      </c>
      <c r="F16" s="47"/>
      <c r="G16" s="71" t="str">
        <f>IF(B16=0,"",IFERROR(VLOOKUP(B16,'S-ASIG-01'!$B$5:$E$88,4,0),0))</f>
        <v/>
      </c>
      <c r="H16" s="72" t="str">
        <f>IF(B16=0,"",IFERROR(VLOOKUP(B16,'S-ASIG-02'!$B$5:$E$88,4,0),0))</f>
        <v/>
      </c>
      <c r="I16" s="72" t="str">
        <f>IF(B16=0,"",IFERROR(VLOOKUP(B16,'S-ASIG-03'!$B$5:$E$88,4,0),0))</f>
        <v/>
      </c>
      <c r="J16" s="72" t="str">
        <f>IF(B16=0,"",IFERROR(VLOOKUP(B16,'S-ASIG-04'!$B$5:$E$88,4,0),0))</f>
        <v/>
      </c>
      <c r="K16" s="72" t="str">
        <f>IF(B16=0,"",IFERROR(VLOOKUP(B16,'S-ASIG-05'!$B$5:$E$88,4,0),0))</f>
        <v/>
      </c>
      <c r="L16" s="72" t="str">
        <f>IF(B16=0,"",IFERROR(VLOOKUP(B16,'S-ASIG-06'!$B$5:$E$88,4,0),0))</f>
        <v/>
      </c>
      <c r="M16" s="73" t="str">
        <f>IF(B16=0,"",IFERROR(VLOOKUP(B16,'S-ASIG-07'!$B$5:$E$88,4,0),0))</f>
        <v/>
      </c>
      <c r="N16" s="68" t="s">
        <v>8</v>
      </c>
      <c r="O16" s="71" t="str">
        <f>IF(B16=0,"",IFERROR(VLOOKUP(B16,'T-ASIG-01'!$B$5:$D$88,3,0),0))</f>
        <v/>
      </c>
      <c r="P16" s="72" t="str">
        <f>IF(B16=0,"",IFERROR(VLOOKUP(B16,'T-ASIG-02'!$B$5:$D$88,3,0),0))</f>
        <v/>
      </c>
      <c r="Q16" s="72" t="str">
        <f>IF(B16=0,"",IFERROR(VLOOKUP(B16,'T-ASIG-03'!$B$5:$D$88,3,0),0))</f>
        <v/>
      </c>
      <c r="R16" s="72" t="str">
        <f>IF(B16=0,"",IFERROR(VLOOKUP(B16,'T-ASIG-04'!$B$5:$D$88,3,0),0))</f>
        <v/>
      </c>
      <c r="S16" s="72" t="str">
        <f>IF(B16=0,"",IFERROR(VLOOKUP(B16,'T-ASIG-05'!$B$5:$D$88,3,0),0))</f>
        <v/>
      </c>
      <c r="T16" s="72" t="str">
        <f>IF(B16=0,"",IFERROR(VLOOKUP(B16,'T-ASIG-06'!$B$5:$D$88,3,0),0))</f>
        <v/>
      </c>
      <c r="U16" s="73" t="str">
        <f>IF(B16=0,"",IFERROR(VLOOKUP(B16,'T-ASIG-07'!$B$5:$D$88,3,0),0))</f>
        <v/>
      </c>
      <c r="V16" s="69" t="s">
        <v>9</v>
      </c>
    </row>
    <row r="17" spans="1:22" ht="15" customHeight="1">
      <c r="A17" s="12">
        <v>13</v>
      </c>
      <c r="B17" s="70">
        <f>LIDER!C21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8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9</v>
      </c>
    </row>
    <row r="18" spans="1:22" ht="15" customHeight="1">
      <c r="A18" s="12">
        <v>14</v>
      </c>
      <c r="B18" s="70">
        <f>LIDER!C22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8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9</v>
      </c>
    </row>
    <row r="19" spans="1:22" ht="15" customHeight="1">
      <c r="A19" s="12">
        <v>15</v>
      </c>
      <c r="B19" s="70">
        <f>LIDER!C23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8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9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8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9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8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9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8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9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8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9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8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9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8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9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8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9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8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9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8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9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8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9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8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9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8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9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8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9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8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9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8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9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8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9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8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9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8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9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8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9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8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9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8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9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8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9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8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9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8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9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8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9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8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9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8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9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8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9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8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9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8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9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8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9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8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9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8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9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8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9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8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9</v>
      </c>
    </row>
  </sheetData>
  <sheetProtection algorithmName="SHA-512" hashValue="TTLdVGjCMoDXjujTFjbuZ7gxzGSlgpf1u1w8l1qk5YwfcrUdZQHPzosbSRHkaCovRUGNFqEZssJek5FGFsgFBA==" saltValue="mbYEusvQMsigcZQgskLtn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215" priority="6">
      <formula>ISEVEN($A5)</formula>
    </cfRule>
  </conditionalFormatting>
  <conditionalFormatting sqref="B5:U54">
    <cfRule type="cellIs" dxfId="214" priority="3" operator="equal">
      <formula>0</formula>
    </cfRule>
  </conditionalFormatting>
  <conditionalFormatting sqref="D5:U54">
    <cfRule type="cellIs" dxfId="213" priority="1" operator="equal">
      <formula>5</formula>
    </cfRule>
    <cfRule type="cellIs" dxfId="212" priority="4" operator="between">
      <formula>0.1</formula>
      <formula>2.9999999999</formula>
    </cfRule>
    <cfRule type="cellIs" dxfId="211" priority="5" operator="between">
      <formula>4</formula>
      <formula>4.9999999999</formula>
    </cfRule>
  </conditionalFormatting>
  <conditionalFormatting sqref="G5:U54">
    <cfRule type="containsText" dxfId="21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91" zoomScaleNormal="91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87" t="s">
        <v>10</v>
      </c>
      <c r="C2" s="188"/>
      <c r="D2" s="189"/>
      <c r="E2" s="101" t="s">
        <v>11</v>
      </c>
      <c r="F2" s="102" t="s">
        <v>12</v>
      </c>
      <c r="G2" s="101" t="s">
        <v>13</v>
      </c>
      <c r="H2" s="41">
        <v>2</v>
      </c>
      <c r="I2" s="103"/>
    </row>
    <row r="3" spans="2:9" ht="20.100000000000001" customHeight="1" thickBot="1">
      <c r="C3" s="105" t="s">
        <v>14</v>
      </c>
      <c r="D3" s="106" t="s">
        <v>15</v>
      </c>
      <c r="E3" s="106" t="s">
        <v>16</v>
      </c>
      <c r="F3" s="106" t="s">
        <v>17</v>
      </c>
      <c r="G3" s="106" t="s">
        <v>18</v>
      </c>
      <c r="H3" s="107" t="s">
        <v>19</v>
      </c>
      <c r="I3" s="106" t="s">
        <v>20</v>
      </c>
    </row>
    <row r="4" spans="2:9" ht="24.95" customHeight="1">
      <c r="C4" s="130" t="s">
        <v>21</v>
      </c>
      <c r="D4" s="130" t="s">
        <v>22</v>
      </c>
      <c r="E4" s="130" t="s">
        <v>23</v>
      </c>
      <c r="F4" s="130" t="s">
        <v>24</v>
      </c>
      <c r="G4" s="130" t="s">
        <v>25</v>
      </c>
      <c r="H4" s="131"/>
      <c r="I4" s="131"/>
    </row>
    <row r="5" spans="2:9" ht="24.95" customHeight="1" thickBot="1">
      <c r="C5" s="132" t="s">
        <v>26</v>
      </c>
      <c r="D5" s="132" t="s">
        <v>27</v>
      </c>
      <c r="E5" s="132" t="s">
        <v>28</v>
      </c>
      <c r="F5" s="132" t="s">
        <v>29</v>
      </c>
      <c r="G5" s="132" t="s">
        <v>30</v>
      </c>
      <c r="H5" s="133"/>
      <c r="I5" s="133"/>
    </row>
    <row r="6" spans="2:9" ht="24.95" customHeight="1" thickBot="1">
      <c r="C6" s="134">
        <v>1412</v>
      </c>
      <c r="D6" s="134">
        <v>2388</v>
      </c>
      <c r="E6" s="134">
        <v>2482</v>
      </c>
      <c r="F6" s="134">
        <v>2490</v>
      </c>
      <c r="G6" s="134">
        <v>1532</v>
      </c>
      <c r="H6" s="134"/>
      <c r="I6" s="134"/>
    </row>
    <row r="7" spans="2:9" ht="13.5" thickBot="1"/>
    <row r="8" spans="2:9" ht="20.100000000000001" customHeight="1">
      <c r="B8" s="108"/>
      <c r="C8" s="109" t="s">
        <v>2</v>
      </c>
      <c r="E8" s="190" t="s">
        <v>31</v>
      </c>
      <c r="F8" s="191"/>
      <c r="G8" s="192"/>
      <c r="H8" s="110" t="s">
        <v>32</v>
      </c>
      <c r="I8" s="69" t="s">
        <v>33</v>
      </c>
    </row>
    <row r="9" spans="2:9" ht="15" customHeight="1">
      <c r="B9" s="108">
        <v>1</v>
      </c>
      <c r="C9" s="111" t="s">
        <v>34</v>
      </c>
      <c r="E9" s="193" t="s">
        <v>35</v>
      </c>
      <c r="F9" s="194"/>
      <c r="G9" s="195"/>
      <c r="H9" s="135">
        <v>0.2</v>
      </c>
      <c r="I9" s="69" t="s">
        <v>36</v>
      </c>
    </row>
    <row r="10" spans="2:9" ht="15" customHeight="1">
      <c r="B10" s="108">
        <v>2</v>
      </c>
      <c r="C10" s="111" t="s">
        <v>37</v>
      </c>
      <c r="E10" s="167" t="s">
        <v>38</v>
      </c>
      <c r="F10" s="168"/>
      <c r="G10" s="169"/>
      <c r="H10" s="136">
        <v>0.2</v>
      </c>
      <c r="I10" s="69" t="s">
        <v>39</v>
      </c>
    </row>
    <row r="11" spans="2:9" ht="15" customHeight="1">
      <c r="B11" s="108">
        <v>3</v>
      </c>
      <c r="C11" s="111" t="s">
        <v>40</v>
      </c>
      <c r="E11" s="193" t="s">
        <v>41</v>
      </c>
      <c r="F11" s="194"/>
      <c r="G11" s="195"/>
      <c r="H11" s="135">
        <v>0.3</v>
      </c>
      <c r="I11" s="69" t="s">
        <v>42</v>
      </c>
    </row>
    <row r="12" spans="2:9" ht="15" customHeight="1">
      <c r="B12" s="108">
        <v>4</v>
      </c>
      <c r="C12" s="111" t="s">
        <v>43</v>
      </c>
      <c r="E12" s="167" t="s">
        <v>44</v>
      </c>
      <c r="F12" s="168"/>
      <c r="G12" s="169"/>
      <c r="H12" s="136">
        <v>0.2</v>
      </c>
      <c r="I12" s="69" t="s">
        <v>10</v>
      </c>
    </row>
    <row r="13" spans="2:9" ht="15" customHeight="1">
      <c r="B13" s="108">
        <v>5</v>
      </c>
      <c r="C13" s="111" t="s">
        <v>45</v>
      </c>
      <c r="E13" s="170" t="s">
        <v>46</v>
      </c>
      <c r="F13" s="171"/>
      <c r="G13" s="172"/>
      <c r="H13" s="135">
        <v>0.1</v>
      </c>
      <c r="I13" s="69" t="s">
        <v>47</v>
      </c>
    </row>
    <row r="14" spans="2:9" ht="15" customHeight="1">
      <c r="B14" s="108">
        <v>6</v>
      </c>
      <c r="C14" s="111" t="s">
        <v>48</v>
      </c>
      <c r="E14" s="173"/>
      <c r="F14" s="165"/>
      <c r="G14" s="166"/>
      <c r="H14" s="136">
        <v>0</v>
      </c>
      <c r="I14" s="69" t="s">
        <v>49</v>
      </c>
    </row>
    <row r="15" spans="2:9" ht="15" customHeight="1" thickBot="1">
      <c r="B15" s="108">
        <v>7</v>
      </c>
      <c r="C15" s="111" t="s">
        <v>50</v>
      </c>
      <c r="E15" s="174"/>
      <c r="F15" s="175"/>
      <c r="G15" s="176"/>
      <c r="H15" s="135">
        <v>0</v>
      </c>
      <c r="I15" s="69" t="s">
        <v>51</v>
      </c>
    </row>
    <row r="16" spans="2:9" ht="15" customHeight="1" thickBot="1">
      <c r="B16" s="108">
        <v>8</v>
      </c>
      <c r="C16" s="111" t="s">
        <v>52</v>
      </c>
      <c r="E16" s="112"/>
      <c r="F16" s="112"/>
      <c r="G16" s="112"/>
      <c r="H16" s="137">
        <f>IF(SUM(H9:H15)&gt;1,"Más del 100%",SUM(H9:H15))</f>
        <v>0.99999999999999989</v>
      </c>
      <c r="I16" s="69" t="s">
        <v>53</v>
      </c>
    </row>
    <row r="17" spans="2:9" ht="15" customHeight="1" thickBot="1">
      <c r="B17" s="108">
        <v>9</v>
      </c>
      <c r="C17" s="111"/>
      <c r="E17" s="183"/>
      <c r="F17" s="183"/>
      <c r="G17" s="183"/>
      <c r="H17" s="183"/>
      <c r="I17" s="69" t="s">
        <v>54</v>
      </c>
    </row>
    <row r="18" spans="2:9" ht="15" customHeight="1" thickBot="1">
      <c r="B18" s="108">
        <v>10</v>
      </c>
      <c r="C18" s="111"/>
      <c r="E18" s="157" t="s">
        <v>55</v>
      </c>
      <c r="F18" s="158"/>
      <c r="G18" s="158"/>
      <c r="H18" s="113" t="s">
        <v>32</v>
      </c>
      <c r="I18" s="69" t="s">
        <v>56</v>
      </c>
    </row>
    <row r="19" spans="2:9" ht="15" customHeight="1">
      <c r="B19" s="108">
        <v>11</v>
      </c>
      <c r="C19" s="111"/>
      <c r="E19" s="180" t="s">
        <v>57</v>
      </c>
      <c r="F19" s="181"/>
      <c r="G19" s="182"/>
      <c r="H19" s="138">
        <v>0.5</v>
      </c>
    </row>
    <row r="20" spans="2:9" ht="15" customHeight="1">
      <c r="B20" s="108">
        <v>12</v>
      </c>
      <c r="C20" s="111"/>
      <c r="E20" s="159" t="s">
        <v>58</v>
      </c>
      <c r="F20" s="160"/>
      <c r="G20" s="161"/>
      <c r="H20" s="139">
        <v>0.2</v>
      </c>
    </row>
    <row r="21" spans="2:9" ht="15" customHeight="1">
      <c r="B21" s="108">
        <v>13</v>
      </c>
      <c r="C21" s="111"/>
      <c r="E21" s="162" t="s">
        <v>59</v>
      </c>
      <c r="F21" s="163"/>
      <c r="G21" s="164"/>
      <c r="H21" s="140">
        <v>0.1</v>
      </c>
    </row>
    <row r="22" spans="2:9" ht="15" customHeight="1">
      <c r="B22" s="108">
        <v>14</v>
      </c>
      <c r="C22" s="111"/>
      <c r="E22" s="159" t="s">
        <v>60</v>
      </c>
      <c r="F22" s="165"/>
      <c r="G22" s="166"/>
      <c r="H22" s="139">
        <v>0.05</v>
      </c>
    </row>
    <row r="23" spans="2:9" ht="15" customHeight="1">
      <c r="B23" s="108">
        <v>15</v>
      </c>
      <c r="C23" s="111"/>
      <c r="E23" s="162" t="s">
        <v>61</v>
      </c>
      <c r="F23" s="163"/>
      <c r="G23" s="164"/>
      <c r="H23" s="141">
        <v>0.05</v>
      </c>
    </row>
    <row r="24" spans="2:9" ht="15" customHeight="1">
      <c r="B24" s="108">
        <v>16</v>
      </c>
      <c r="C24" s="111"/>
      <c r="E24" s="159" t="s">
        <v>62</v>
      </c>
      <c r="F24" s="160"/>
      <c r="G24" s="161"/>
      <c r="H24" s="139">
        <v>0.1</v>
      </c>
    </row>
    <row r="25" spans="2:9" ht="15" customHeight="1" thickBot="1">
      <c r="B25" s="108">
        <v>17</v>
      </c>
      <c r="C25" s="111"/>
      <c r="E25" s="177"/>
      <c r="F25" s="178"/>
      <c r="G25" s="179"/>
      <c r="H25" s="140"/>
    </row>
    <row r="26" spans="2:9" ht="15" customHeight="1" thickBot="1">
      <c r="B26" s="108">
        <v>18</v>
      </c>
      <c r="C26" s="111"/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4" t="s">
        <v>63</v>
      </c>
      <c r="F28" s="185"/>
      <c r="G28" s="185"/>
      <c r="H28" s="186"/>
    </row>
    <row r="29" spans="2:9" ht="15" customHeight="1" thickBot="1">
      <c r="B29" s="108">
        <v>21</v>
      </c>
      <c r="C29" s="111"/>
      <c r="E29" s="154" t="s">
        <v>64</v>
      </c>
      <c r="F29" s="155"/>
      <c r="G29" s="155"/>
      <c r="H29" s="156"/>
    </row>
    <row r="30" spans="2:9" ht="15" customHeight="1" thickBot="1">
      <c r="B30" s="108">
        <v>22</v>
      </c>
      <c r="C30" s="111"/>
      <c r="E30" s="151" t="s">
        <v>65</v>
      </c>
      <c r="F30" s="152"/>
      <c r="G30" s="152"/>
      <c r="H30" s="153"/>
    </row>
    <row r="31" spans="2:9" ht="15" customHeight="1" thickBot="1">
      <c r="B31" s="108">
        <v>23</v>
      </c>
      <c r="C31" s="111"/>
      <c r="E31" s="154" t="s">
        <v>66</v>
      </c>
      <c r="F31" s="155"/>
      <c r="G31" s="155"/>
      <c r="H31" s="156"/>
    </row>
    <row r="32" spans="2:9" ht="15" customHeight="1" thickBot="1">
      <c r="B32" s="108">
        <v>24</v>
      </c>
      <c r="C32" s="111"/>
      <c r="E32" s="151" t="s">
        <v>67</v>
      </c>
      <c r="F32" s="152"/>
      <c r="G32" s="152"/>
      <c r="H32" s="153"/>
    </row>
    <row r="33" spans="2:8" ht="15" customHeight="1" thickBot="1">
      <c r="B33" s="108">
        <v>25</v>
      </c>
      <c r="C33" s="111"/>
      <c r="E33" s="154" t="s">
        <v>68</v>
      </c>
      <c r="F33" s="155"/>
      <c r="G33" s="155"/>
      <c r="H33" s="156"/>
    </row>
    <row r="34" spans="2:8" ht="15" customHeight="1" thickBot="1">
      <c r="B34" s="108">
        <v>26</v>
      </c>
      <c r="C34" s="111"/>
      <c r="E34" s="151" t="s">
        <v>69</v>
      </c>
      <c r="F34" s="152"/>
      <c r="G34" s="152"/>
      <c r="H34" s="153"/>
    </row>
    <row r="35" spans="2:8" ht="15" customHeight="1" thickBot="1">
      <c r="B35" s="108">
        <v>27</v>
      </c>
      <c r="C35" s="111"/>
      <c r="E35" s="154" t="s">
        <v>70</v>
      </c>
      <c r="F35" s="155"/>
      <c r="G35" s="155"/>
      <c r="H35" s="156"/>
    </row>
    <row r="36" spans="2:8" ht="15" customHeight="1" thickBot="1">
      <c r="B36" s="108">
        <v>28</v>
      </c>
      <c r="C36" s="111"/>
      <c r="E36" s="151" t="s">
        <v>71</v>
      </c>
      <c r="F36" s="152"/>
      <c r="G36" s="152"/>
      <c r="H36" s="153"/>
    </row>
    <row r="37" spans="2:8" ht="15" customHeight="1" thickBot="1">
      <c r="B37" s="108">
        <v>29</v>
      </c>
      <c r="C37" s="111"/>
      <c r="E37" s="154" t="s">
        <v>72</v>
      </c>
      <c r="F37" s="155"/>
      <c r="G37" s="155"/>
      <c r="H37" s="156"/>
    </row>
    <row r="38" spans="2:8" ht="15" customHeight="1" thickBot="1">
      <c r="B38" s="108">
        <v>30</v>
      </c>
      <c r="C38" s="111"/>
      <c r="E38" s="151" t="s">
        <v>73</v>
      </c>
      <c r="F38" s="152"/>
      <c r="G38" s="152"/>
      <c r="H38" s="153"/>
    </row>
    <row r="39" spans="2:8" ht="15" customHeight="1" thickBot="1">
      <c r="B39" s="108">
        <v>31</v>
      </c>
      <c r="C39" s="111"/>
      <c r="E39" s="154" t="s">
        <v>74</v>
      </c>
      <c r="F39" s="155"/>
      <c r="G39" s="155"/>
      <c r="H39" s="156"/>
    </row>
    <row r="40" spans="2:8" ht="15" customHeight="1" thickBot="1">
      <c r="B40" s="108">
        <v>32</v>
      </c>
      <c r="C40" s="111"/>
      <c r="E40" s="151" t="s">
        <v>75</v>
      </c>
      <c r="F40" s="152"/>
      <c r="G40" s="152"/>
      <c r="H40" s="153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GRUPO#1. Identificac</v>
      </c>
      <c r="F42" s="116" t="str">
        <f>MID(E30,1,20)</f>
        <v>GRUPO#2. Identificac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34</v>
      </c>
      <c r="F43" s="119" t="s">
        <v>45</v>
      </c>
      <c r="G43" s="119"/>
      <c r="H43" s="120"/>
    </row>
    <row r="44" spans="2:8" ht="15" customHeight="1">
      <c r="B44" s="108">
        <v>36</v>
      </c>
      <c r="C44" s="111"/>
      <c r="E44" s="121" t="s">
        <v>37</v>
      </c>
      <c r="F44" s="122" t="s">
        <v>48</v>
      </c>
      <c r="G44" s="122"/>
      <c r="H44" s="123"/>
    </row>
    <row r="45" spans="2:8" ht="15" customHeight="1">
      <c r="B45" s="108">
        <v>37</v>
      </c>
      <c r="C45" s="111"/>
      <c r="E45" s="124" t="s">
        <v>40</v>
      </c>
      <c r="F45" s="125" t="s">
        <v>50</v>
      </c>
      <c r="G45" s="125"/>
      <c r="H45" s="126"/>
    </row>
    <row r="46" spans="2:8" ht="15" customHeight="1">
      <c r="B46" s="108">
        <v>38</v>
      </c>
      <c r="C46" s="111"/>
      <c r="E46" s="121" t="s">
        <v>43</v>
      </c>
      <c r="F46" s="122" t="s">
        <v>52</v>
      </c>
      <c r="G46" s="122"/>
      <c r="H46" s="123"/>
    </row>
    <row r="47" spans="2:8" ht="15" customHeight="1">
      <c r="B47" s="108">
        <v>39</v>
      </c>
      <c r="C47" s="111"/>
      <c r="E47" s="124"/>
      <c r="F47" s="125"/>
      <c r="G47" s="125"/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9qNzxjbvBpgy1qbO3CihdH69iyW1ZCUcehBwh/ZUGGYZuYgngg6ztOh3DLWOQzcxc4m8YdpGTguz1TijfDhRrA==" saltValue="FspHgXkmf4Wmx0KDxcf68w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09" priority="1"/>
  </conditionalFormatting>
  <conditionalFormatting sqref="H16">
    <cfRule type="containsText" dxfId="208" priority="2" operator="containsText" text="Más del 100%">
      <formula>NOT(ISERROR(SEARCH("Más del 100%",H16)))</formula>
    </cfRule>
  </conditionalFormatting>
  <conditionalFormatting sqref="H26">
    <cfRule type="containsText" dxfId="207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MATEMÁTICAS FINANCIERAS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CONCATENATE(LIDER!C4," - ",LIDER!C6," - ",LIDER!C5)</f>
        <v>MATEMÁTICAS FINANCIERAS - 1412 - JAVIER MARTINEZ PEREZ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SARA OYOLA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4.25</v>
      </c>
      <c r="F6" s="199">
        <v>4.5</v>
      </c>
      <c r="G6" s="196">
        <v>4</v>
      </c>
      <c r="H6" s="197">
        <v>4.5</v>
      </c>
      <c r="I6" s="196">
        <v>4</v>
      </c>
      <c r="J6" s="197">
        <v>4</v>
      </c>
      <c r="K6" s="196"/>
      <c r="L6" s="197"/>
    </row>
    <row r="7" spans="1:12" s="2" customFormat="1" ht="15" customHeight="1">
      <c r="A7" s="12">
        <v>2</v>
      </c>
      <c r="B7" s="10" t="str">
        <f>LIDER!E44</f>
        <v>YINA MARCELA PÉREZ PINEDA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4.25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JABES ELIAS ROSERO VILLA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4.25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ISAIAS FERNANDO SALCEDO CAICEDO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4.25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JORGE ALBERTO BATISTA TABORDA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3.8399999999999994</v>
      </c>
      <c r="F13" s="199">
        <v>3.5</v>
      </c>
      <c r="G13" s="196">
        <v>4</v>
      </c>
      <c r="H13" s="197">
        <v>3.8</v>
      </c>
      <c r="I13" s="196">
        <v>4</v>
      </c>
      <c r="J13" s="197">
        <v>4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JEREMY MACOLL DIAZ PEREZ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3.8399999999999994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DARIANY PEÑARANDA LLACH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3.8399999999999994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MARIANGEL ROMERO VANEGAS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3.8399999999999994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66</v>
      </c>
      <c r="C19" s="88" t="s">
        <v>84</v>
      </c>
      <c r="D19" s="32" t="str">
        <f>D12</f>
        <v>LIST</v>
      </c>
      <c r="E19" s="89" t="s">
        <v>81</v>
      </c>
      <c r="F19" s="198" t="str">
        <f>LIDER!$E$31</f>
        <v>GRUPO#3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85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86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87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88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89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90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91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92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93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TECNOLOGIA APLICADA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CONCATENATE(LIDER!D4," - ",LIDER!D6," - ",LIDER!D5)</f>
        <v>TECNOLOGIA APLICADA - 2388 - ARMANDO ACOSTA JULIO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SARA OYOLA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199">
        <v>4.5</v>
      </c>
      <c r="G6" s="196">
        <v>4.5</v>
      </c>
      <c r="H6" s="197">
        <v>4.5</v>
      </c>
      <c r="I6" s="196">
        <v>4.5</v>
      </c>
      <c r="J6" s="197">
        <v>4.5</v>
      </c>
      <c r="K6" s="196"/>
      <c r="L6" s="197"/>
    </row>
    <row r="7" spans="1:12" s="2" customFormat="1" ht="15" customHeight="1">
      <c r="A7" s="12">
        <v>2</v>
      </c>
      <c r="B7" s="10" t="str">
        <f>LIDER!E44</f>
        <v>YINA MARCELA PÉREZ PINEDA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JABES ELIAS ROSERO VILLA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ISAIAS FERNANDO SALCEDO CAICEDO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JORGE ALBERTO BATISTA TABORDA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199">
        <v>4</v>
      </c>
      <c r="G13" s="196">
        <v>4</v>
      </c>
      <c r="H13" s="197">
        <v>4</v>
      </c>
      <c r="I13" s="196">
        <v>4</v>
      </c>
      <c r="J13" s="197">
        <v>4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JEREMY MACOLL DIAZ PEREZ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DARIANY PEÑARANDA LLACH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MARIANGEL ROMERO VANEGAS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66</v>
      </c>
      <c r="C19" s="88" t="s">
        <v>84</v>
      </c>
      <c r="D19" s="32" t="str">
        <f>D12</f>
        <v>LIST</v>
      </c>
      <c r="E19" s="89" t="s">
        <v>81</v>
      </c>
      <c r="F19" s="198" t="str">
        <f>LIDER!$E$31</f>
        <v>GRUPO#3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85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86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87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88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89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90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91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92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93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LEGISLACION PARA EL COMERCIO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CONCATENATE(LIDER!F4," - ",LIDER!F6," - ",LIDER!F5)</f>
        <v>LEGISLACION PARA EL COMERCIO - 2490 - ANGELICA PAOLA DOMINGUEZ CASTELLAR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SARA OYOLA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4.74</v>
      </c>
      <c r="F6" s="199">
        <v>4.5</v>
      </c>
      <c r="G6" s="196">
        <v>4.5</v>
      </c>
      <c r="H6" s="197">
        <v>4.8</v>
      </c>
      <c r="I6" s="196">
        <v>5</v>
      </c>
      <c r="J6" s="197">
        <v>5</v>
      </c>
      <c r="K6" s="196"/>
      <c r="L6" s="197"/>
    </row>
    <row r="7" spans="1:12" s="2" customFormat="1" ht="15" customHeight="1">
      <c r="A7" s="12">
        <v>2</v>
      </c>
      <c r="B7" s="10" t="str">
        <f>LIDER!E44</f>
        <v>YINA MARCELA PÉREZ PINEDA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4.74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JABES ELIAS ROSERO VILLA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4.74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ISAIAS FERNANDO SALCEDO CAICEDO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4.74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JORGE ALBERTO BATISTA TABORDA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3.46</v>
      </c>
      <c r="F13" s="199">
        <v>2.5</v>
      </c>
      <c r="G13" s="196">
        <v>2.8</v>
      </c>
      <c r="H13" s="197">
        <v>3</v>
      </c>
      <c r="I13" s="196">
        <v>5</v>
      </c>
      <c r="J13" s="197">
        <v>5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JEREMY MACOLL DIAZ PEREZ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3.46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DARIANY PEÑARANDA LLACH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3.46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MARIANGEL ROMERO VANEGAS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3.46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66</v>
      </c>
      <c r="C19" s="88" t="s">
        <v>84</v>
      </c>
      <c r="D19" s="32" t="str">
        <f>D12</f>
        <v>LIST</v>
      </c>
      <c r="E19" s="89" t="s">
        <v>81</v>
      </c>
      <c r="F19" s="198" t="str">
        <f>LIDER!$E$31</f>
        <v>GRUPO#3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85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86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87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88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89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90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91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92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93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INTERNACIONALIZACION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CONCATENATE(LIDER!E4," - ",LIDER!E6," - ",LIDER!E5)</f>
        <v>INTERNACIONALIZACION - 2482 - TATIANA MILENA ROJAS AROCA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SARA OYOLA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199">
        <v>4.5</v>
      </c>
      <c r="G6" s="196">
        <v>4.5</v>
      </c>
      <c r="H6" s="197">
        <v>4.5</v>
      </c>
      <c r="I6" s="196">
        <v>4.5</v>
      </c>
      <c r="J6" s="197">
        <v>4.5</v>
      </c>
      <c r="K6" s="196"/>
      <c r="L6" s="197"/>
    </row>
    <row r="7" spans="1:12" s="2" customFormat="1" ht="15" customHeight="1">
      <c r="A7" s="12">
        <v>2</v>
      </c>
      <c r="B7" s="10" t="str">
        <f>LIDER!E44</f>
        <v>YINA MARCELA PÉREZ PINEDA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JABES ELIAS ROSERO VILLA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ISAIAS FERNANDO SALCEDO CAICEDO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JORGE ALBERTO BATISTA TABORDA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</v>
      </c>
      <c r="F13" s="199">
        <v>4.2</v>
      </c>
      <c r="G13" s="196">
        <v>4.2</v>
      </c>
      <c r="H13" s="197">
        <v>4.2</v>
      </c>
      <c r="I13" s="196">
        <v>4.2</v>
      </c>
      <c r="J13" s="197">
        <v>4.2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JEREMY MACOLL DIAZ PEREZ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DARIANY PEÑARANDA LLACH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MARIANGEL ROMERO VANEGAS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66</v>
      </c>
      <c r="C19" s="88" t="s">
        <v>84</v>
      </c>
      <c r="D19" s="32" t="str">
        <f>D12</f>
        <v>LIST</v>
      </c>
      <c r="E19" s="89" t="s">
        <v>81</v>
      </c>
      <c r="F19" s="198" t="str">
        <f>LIDER!$E$31</f>
        <v>GRUPO#3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85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86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87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88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89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90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91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92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93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33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MACROECONOMÍA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CONCATENATE(LIDER!G4," - ",LIDER!G6," - ",LIDER!G5)</f>
        <v>MACROECONOMÍA - 1532 - GENIS PATRON ANTEQUERA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SARA OYOLA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4.55</v>
      </c>
      <c r="F6" s="199">
        <v>4.5</v>
      </c>
      <c r="G6" s="196">
        <v>4.5</v>
      </c>
      <c r="H6" s="197">
        <v>4.5</v>
      </c>
      <c r="I6" s="196">
        <v>4.5</v>
      </c>
      <c r="J6" s="197">
        <v>5</v>
      </c>
      <c r="K6" s="196"/>
      <c r="L6" s="197"/>
    </row>
    <row r="7" spans="1:12" s="2" customFormat="1" ht="15" customHeight="1">
      <c r="A7" s="12">
        <v>2</v>
      </c>
      <c r="B7" s="10" t="str">
        <f>LIDER!E44</f>
        <v>YINA MARCELA PÉREZ PINEDA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4.55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JABES ELIAS ROSERO VILLA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4.55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ISAIAS FERNANDO SALCEDO CAICEDO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4.55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JORGE ALBERTO BATISTA TABORDA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4.12</v>
      </c>
      <c r="F13" s="199">
        <v>4.2</v>
      </c>
      <c r="G13" s="196">
        <v>4.2</v>
      </c>
      <c r="H13" s="197">
        <v>4</v>
      </c>
      <c r="I13" s="196">
        <v>4.2</v>
      </c>
      <c r="J13" s="197">
        <v>4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JEREMY MACOLL DIAZ PEREZ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4.12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DARIANY PEÑARANDA LLACH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4.12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MARIANGEL ROMERO VANEGAS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4.12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66</v>
      </c>
      <c r="C19" s="88" t="s">
        <v>84</v>
      </c>
      <c r="D19" s="32" t="str">
        <f>D12</f>
        <v>LIST</v>
      </c>
      <c r="E19" s="89" t="s">
        <v>81</v>
      </c>
      <c r="F19" s="198" t="str">
        <f>LIDER!$E$31</f>
        <v>GRUPO#3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85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86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87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88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89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90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91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92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93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LIDER!H4</f>
        <v>0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CONCATENATE(LIDER!H4," - ",LIDER!H6," - ",LIDER!H5)</f>
        <v xml:space="preserve"> -  - 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SARA OYOLA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9"/>
      <c r="G6" s="196"/>
      <c r="H6" s="197"/>
      <c r="I6" s="196"/>
      <c r="J6" s="197"/>
      <c r="K6" s="196"/>
      <c r="L6" s="197"/>
    </row>
    <row r="7" spans="1:12" s="2" customFormat="1" ht="15" customHeight="1">
      <c r="A7" s="12">
        <v>2</v>
      </c>
      <c r="B7" s="10" t="str">
        <f>LIDER!E44</f>
        <v>YINA MARCELA PÉREZ PINEDA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JABES ELIAS ROSERO VILLA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ISAIAS FERNANDO SALCEDO CAICEDO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JORGE ALBERTO BATISTA TABORDA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9"/>
      <c r="G13" s="196"/>
      <c r="H13" s="197"/>
      <c r="I13" s="196"/>
      <c r="J13" s="197"/>
      <c r="K13" s="196"/>
      <c r="L13" s="197"/>
    </row>
    <row r="14" spans="1:12" s="2" customFormat="1" ht="15" customHeight="1">
      <c r="A14" s="12">
        <v>2</v>
      </c>
      <c r="B14" s="10" t="str">
        <f>LIDER!F44</f>
        <v>JEREMY MACOLL DIAZ PEREZ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DARIANY PEÑARANDA LLACH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MARIANGEL ROMERO VANEGAS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66</v>
      </c>
      <c r="C19" s="88" t="s">
        <v>84</v>
      </c>
      <c r="D19" s="32" t="str">
        <f>D12</f>
        <v>LIST</v>
      </c>
      <c r="E19" s="89" t="s">
        <v>81</v>
      </c>
      <c r="F19" s="198" t="str">
        <f>LIDER!$E$31</f>
        <v>GRUPO#3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85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86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87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88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89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90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91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92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93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CONCATENATE(LIDER!I4," - ",LIDER!I6," - ",LIDER!I5)</f>
        <v xml:space="preserve"> -  - 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SARA OYOLA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9"/>
      <c r="G6" s="196"/>
      <c r="H6" s="197"/>
      <c r="I6" s="196"/>
      <c r="J6" s="197"/>
      <c r="K6" s="196"/>
      <c r="L6" s="197"/>
    </row>
    <row r="7" spans="1:12" s="2" customFormat="1" ht="15" customHeight="1">
      <c r="A7" s="12">
        <v>2</v>
      </c>
      <c r="B7" s="10" t="str">
        <f>LIDER!E44</f>
        <v>YINA MARCELA PÉREZ PINEDA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JABES ELIAS ROSERO VILLA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ISAIAS FERNANDO SALCEDO CAICEDO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JORGE ALBERTO BATISTA TABORDA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9"/>
      <c r="G13" s="196"/>
      <c r="H13" s="197"/>
      <c r="I13" s="196"/>
      <c r="J13" s="197"/>
      <c r="K13" s="196"/>
      <c r="L13" s="197"/>
    </row>
    <row r="14" spans="1:12" s="2" customFormat="1" ht="15" customHeight="1">
      <c r="A14" s="12">
        <v>2</v>
      </c>
      <c r="B14" s="10" t="str">
        <f>LIDER!F44</f>
        <v>JEREMY MACOLL DIAZ PEREZ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DARIANY PEÑARANDA LLACH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MARIANGEL ROMERO VANEGAS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66</v>
      </c>
      <c r="C19" s="88" t="s">
        <v>84</v>
      </c>
      <c r="D19" s="32" t="str">
        <f>D12</f>
        <v>LIST</v>
      </c>
      <c r="E19" s="89" t="s">
        <v>81</v>
      </c>
      <c r="F19" s="198" t="str">
        <f>LIDER!$E$31</f>
        <v>GRUPO#3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85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86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87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88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89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90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91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92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93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2" priority="3">
      <formula>$D6="N"</formula>
    </cfRule>
    <cfRule type="expression" dxfId="181" priority="4">
      <formula>ISEVEN($A6)</formula>
    </cfRule>
  </conditionalFormatting>
  <conditionalFormatting sqref="B5:B88">
    <cfRule type="cellIs" dxfId="180" priority="1" operator="equal">
      <formula>0</formula>
    </cfRule>
  </conditionalFormatting>
  <conditionalFormatting sqref="E6:E88">
    <cfRule type="cellIs" dxfId="17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TECNOLOGIA APLICADA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CONCATENATE(LIDER!D4," - ",LIDER!D6," - ",LIDER!D5)</f>
        <v>TECNOLOGIA APLICADA - 2388 - ARMANDO ACOSTA JULIO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IF('S-ASIG-02'!D5="","",'S-ASIG-02'!D5)</f>
        <v>LIST</v>
      </c>
      <c r="D5" s="35" t="s">
        <v>81</v>
      </c>
      <c r="E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SARA OYOLA MARTINEZ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4.6000000000000005</v>
      </c>
      <c r="E6" s="196">
        <v>4.7</v>
      </c>
      <c r="F6" s="18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YINA MARCELA PÉREZ PINEDA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4.6000000000000005</v>
      </c>
      <c r="E7" s="196"/>
      <c r="F7" s="142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JABES ELIAS ROSERO VILLA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4.6000000000000005</v>
      </c>
      <c r="E8" s="196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ISAIAS FERNANDO SALCEDO CAICEDO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4.6000000000000005</v>
      </c>
      <c r="E9" s="196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IF('S-ASIG-02'!D12="","",'S-ASIG-02'!D12)</f>
        <v>LIST</v>
      </c>
      <c r="D12" s="35" t="s">
        <v>81</v>
      </c>
      <c r="E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JORGE ALBERTO BATISTA TABORDA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3.75</v>
      </c>
      <c r="E13" s="196">
        <v>3.5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JEREMY MACOLL DIAZ PEREZ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3.75</v>
      </c>
      <c r="E14" s="196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DARIANY PEÑARANDA LLACH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3.75</v>
      </c>
      <c r="E15" s="196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MARIANGEL ROMERO VANEGAS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3.75</v>
      </c>
      <c r="E16" s="196"/>
      <c r="F16" s="18">
        <v>4</v>
      </c>
      <c r="G16" s="18">
        <v>4</v>
      </c>
      <c r="H16" s="18">
        <v>4</v>
      </c>
      <c r="I16" s="18">
        <v>4</v>
      </c>
      <c r="J16" s="18">
        <v>4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IF('S-ASIG-02'!D19="","",'S-ASIG-02'!D19)</f>
        <v>LIST</v>
      </c>
      <c r="D19" s="35" t="s">
        <v>81</v>
      </c>
      <c r="E19" s="198" t="str">
        <f>LIDER!$E$31</f>
        <v>GRUPO#3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>
        <f>LIDER!G43</f>
        <v>0</v>
      </c>
      <c r="C20" s="33" t="str">
        <f>IF('S-ASIG-02'!D20="","",'S-ASIG-02'!D20)</f>
        <v/>
      </c>
      <c r="D20" s="30" t="str">
        <f>IF(B20=0,"",IF(C20="",$E$20*LIDER!$H$19+F20*LIDER!$H$20+G20*LIDER!$H$21+H20*LIDER!$H$22+I20*LIDER!$H$23+J20*LIDER!$H$24+K20*LIDER!$H$25,"N"))</f>
        <v/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IF('S-ASIG-02'!D21="","",'S-ASIG-02'!D21)</f>
        <v/>
      </c>
      <c r="D21" s="30" t="str">
        <f>IF(B21=0,"",IF(C21="",$E$20*LIDER!$H$19+F21*LIDER!$H$20+G21*LIDER!$H$21+H21*LIDER!$H$22+I21*LIDER!$H$23+J21*LIDER!$H$24+K21*LIDER!$H$25,"N"))</f>
        <v/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IF('S-ASIG-02'!D22="","",'S-ASIG-02'!D22)</f>
        <v/>
      </c>
      <c r="D22" s="30" t="str">
        <f>IF(B22=0,"",IF(C22="",$E$20*LIDER!$H$19+F22*LIDER!$H$20+G22*LIDER!$H$21+H22*LIDER!$H$22+I22*LIDER!$H$23+J22*LIDER!$H$24+K22*LIDER!$H$25,"N"))</f>
        <v/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IF('S-ASIG-02'!D26="","",'S-ASIG-02'!D26)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IF('S-ASIG-02'!D33="","",'S-ASIG-02'!D33)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IF('S-ASIG-02'!D40="","",'S-ASIG-02'!D40)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IF('S-ASIG-02'!D47="","",'S-ASIG-02'!D47)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IF('S-ASIG-02'!D54="","",'S-ASIG-02'!D54)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IF('S-ASIG-02'!D61="","",'S-ASIG-02'!D61)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IF('S-ASIG-02'!D68="","",'S-ASIG-02'!D68)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IF('S-ASIG-02'!D75="","",'S-ASIG-02'!D75)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IF('S-ASIG-02'!D82="","",'S-ASIG-02'!D82)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sRlRpnKoUdjBV5G/yUQhs8W355Vd0egJd7l5x5yx//a5yIpqiN27Pm98IwF2oOCmNuAEsrNoXa9U83XkVyXY7Q==" saltValue="ad4HaYi6HfYHt4n9XsMCNA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G7:K7 F8:K11 D6:D11">
    <cfRule type="expression" dxfId="178" priority="14">
      <formula>ISEVEN($A6)</formula>
    </cfRule>
  </conditionalFormatting>
  <conditionalFormatting sqref="A13:B18 D13:D18">
    <cfRule type="expression" dxfId="177" priority="13">
      <formula>ISEVEN($A13)</formula>
    </cfRule>
  </conditionalFormatting>
  <conditionalFormatting sqref="A20:B25 D20:D25">
    <cfRule type="expression" dxfId="176" priority="12">
      <formula>ISEVEN($A20)</formula>
    </cfRule>
  </conditionalFormatting>
  <conditionalFormatting sqref="A27:B32 D27:D32">
    <cfRule type="expression" dxfId="175" priority="11">
      <formula>ISEVEN($A27)</formula>
    </cfRule>
  </conditionalFormatting>
  <conditionalFormatting sqref="A34:B39 D34:D39">
    <cfRule type="expression" dxfId="174" priority="10">
      <formula>ISEVEN($A34)</formula>
    </cfRule>
  </conditionalFormatting>
  <conditionalFormatting sqref="A41:B46 D41:D46">
    <cfRule type="expression" dxfId="173" priority="9">
      <formula>ISEVEN($A41)</formula>
    </cfRule>
  </conditionalFormatting>
  <conditionalFormatting sqref="A48:B53 D48:D53">
    <cfRule type="expression" dxfId="172" priority="8">
      <formula>ISEVEN($A48)</formula>
    </cfRule>
  </conditionalFormatting>
  <conditionalFormatting sqref="A55:B60 D55:D60">
    <cfRule type="expression" dxfId="171" priority="7">
      <formula>ISEVEN($A55)</formula>
    </cfRule>
  </conditionalFormatting>
  <conditionalFormatting sqref="A62:B67 D62:D67">
    <cfRule type="expression" dxfId="170" priority="6">
      <formula>ISEVEN($A62)</formula>
    </cfRule>
  </conditionalFormatting>
  <conditionalFormatting sqref="A69:B74 D69:D74">
    <cfRule type="expression" dxfId="169" priority="5">
      <formula>ISEVEN($A69)</formula>
    </cfRule>
  </conditionalFormatting>
  <conditionalFormatting sqref="A76:B81 D76:D81">
    <cfRule type="expression" dxfId="168" priority="4">
      <formula>ISEVEN($A76)</formula>
    </cfRule>
  </conditionalFormatting>
  <conditionalFormatting sqref="A83:B88 D83:D88">
    <cfRule type="expression" dxfId="167" priority="3">
      <formula>ISEVEN($A83)</formula>
    </cfRule>
  </conditionalFormatting>
  <conditionalFormatting sqref="B6:B88">
    <cfRule type="cellIs" dxfId="166" priority="2" operator="equal">
      <formula>0</formula>
    </cfRule>
  </conditionalFormatting>
  <conditionalFormatting sqref="C5 B6:D88">
    <cfRule type="expression" dxfId="165" priority="1">
      <formula>$C5="N"</formula>
    </cfRule>
  </conditionalFormatting>
  <conditionalFormatting sqref="E6:K6 F7">
    <cfRule type="expression" dxfId="164" priority="30">
      <formula>ISEVEN($A6)</formula>
    </cfRule>
  </conditionalFormatting>
  <conditionalFormatting sqref="E13:K13 F14:K18">
    <cfRule type="expression" dxfId="163" priority="29">
      <formula>ISEVEN($A13)</formula>
    </cfRule>
  </conditionalFormatting>
  <conditionalFormatting sqref="E20:K20 F21:K25">
    <cfRule type="expression" dxfId="162" priority="28">
      <formula>ISEVEN($A20)</formula>
    </cfRule>
  </conditionalFormatting>
  <conditionalFormatting sqref="E27:K27 F28:K32">
    <cfRule type="expression" dxfId="161" priority="27">
      <formula>ISEVEN($A27)</formula>
    </cfRule>
  </conditionalFormatting>
  <conditionalFormatting sqref="E34:K34 F35:K39">
    <cfRule type="expression" dxfId="160" priority="26">
      <formula>ISEVEN($A34)</formula>
    </cfRule>
  </conditionalFormatting>
  <conditionalFormatting sqref="E41:K41 F42:K46">
    <cfRule type="expression" dxfId="159" priority="25">
      <formula>ISEVEN($A41)</formula>
    </cfRule>
  </conditionalFormatting>
  <conditionalFormatting sqref="E48:K48 F49:K53">
    <cfRule type="expression" dxfId="158" priority="24">
      <formula>ISEVEN($A48)</formula>
    </cfRule>
  </conditionalFormatting>
  <conditionalFormatting sqref="E55:K55 F56:K60">
    <cfRule type="expression" dxfId="157" priority="23">
      <formula>ISEVEN($A55)</formula>
    </cfRule>
  </conditionalFormatting>
  <conditionalFormatting sqref="E62:K62 F63:K67">
    <cfRule type="expression" dxfId="156" priority="22">
      <formula>ISEVEN($A62)</formula>
    </cfRule>
  </conditionalFormatting>
  <conditionalFormatting sqref="E69:K69 F70:K74">
    <cfRule type="expression" dxfId="155" priority="21">
      <formula>ISEVEN($A69)</formula>
    </cfRule>
  </conditionalFormatting>
  <conditionalFormatting sqref="E76:K76 F77:K81">
    <cfRule type="expression" dxfId="154" priority="20">
      <formula>ISEVEN($A76)</formula>
    </cfRule>
  </conditionalFormatting>
  <conditionalFormatting sqref="E83:K83 F84:K88">
    <cfRule type="expression" dxfId="153" priority="19">
      <formula>ISEVEN($A83)</formula>
    </cfRule>
  </conditionalFormatting>
  <conditionalFormatting sqref="F6:F7">
    <cfRule type="expression" dxfId="152" priority="32">
      <formula>ISEVEN($A7)</formula>
    </cfRule>
    <cfRule type="expression" dxfId="151" priority="34">
      <formula>$D7="N"</formula>
    </cfRule>
  </conditionalFormatting>
  <conditionalFormatting sqref="G6:K7 F8:K11 F13:K18 F20:K25 F27:K32 F34:K39 F41:K46 F48:K53 F55:K60 F62:K67 F69:K74 F76:K81 F83:K88">
    <cfRule type="expression" dxfId="150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F13" activePane="bottomRight" state="frozen"/>
      <selection pane="bottomRight" activeCell="F13" sqref="F13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MATEMÁTICAS FINANCIERAS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CONCATENATE(LIDER!C4," - ",LIDER!C6," - ",LIDER!C5)</f>
        <v>MATEMÁTICAS FINANCIERAS - 1412 - JAVIER MARTINEZ PEREZ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2" t="str">
        <f>IF('S-ASIG-01'!D5="","",'S-ASIG-01'!D5)</f>
        <v>LIST</v>
      </c>
      <c r="D5" s="35" t="s">
        <v>81</v>
      </c>
      <c r="E5" s="215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SARA OYOLA MARTINEZ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4.6000000000000005</v>
      </c>
      <c r="E6" s="210">
        <v>4.7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YINA MARCELA PÉREZ PINEDA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4.6000000000000005</v>
      </c>
      <c r="E7" s="210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JABES ELIAS ROSERO VILLA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4.6000000000000005</v>
      </c>
      <c r="E8" s="210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ISAIAS FERNANDO SALCEDO CAICEDO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4.6000000000000005</v>
      </c>
      <c r="E9" s="210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1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IF('S-ASIG-01'!D12="","",'S-ASIG-01'!D12)</f>
        <v>LIST</v>
      </c>
      <c r="D12" s="35" t="s">
        <v>81</v>
      </c>
      <c r="E12" s="215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JORGE ALBERTO BATISTA TABORDA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4.05</v>
      </c>
      <c r="E13" s="210">
        <v>3.9</v>
      </c>
      <c r="F13" s="24">
        <v>4.2</v>
      </c>
      <c r="G13" s="24">
        <v>4.2</v>
      </c>
      <c r="H13" s="24">
        <v>4.2</v>
      </c>
      <c r="I13" s="24">
        <v>4.2</v>
      </c>
      <c r="J13" s="24">
        <v>4.2</v>
      </c>
      <c r="K13" s="24"/>
    </row>
    <row r="14" spans="1:11" s="2" customFormat="1" ht="15" customHeight="1">
      <c r="A14" s="12">
        <v>2</v>
      </c>
      <c r="B14" s="28" t="str">
        <f>LIDER!F44</f>
        <v>JEREMY MACOLL DIAZ PEREZ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4.05</v>
      </c>
      <c r="E14" s="210"/>
      <c r="F14" s="18">
        <v>4.2</v>
      </c>
      <c r="G14" s="18">
        <v>4.2</v>
      </c>
      <c r="H14" s="18">
        <v>4.2</v>
      </c>
      <c r="I14" s="18">
        <v>4.2</v>
      </c>
      <c r="J14" s="18">
        <v>4.2</v>
      </c>
      <c r="K14" s="18"/>
    </row>
    <row r="15" spans="1:11" s="2" customFormat="1" ht="15" customHeight="1">
      <c r="A15" s="12">
        <v>3</v>
      </c>
      <c r="B15" s="28" t="str">
        <f>LIDER!F45</f>
        <v>DARIANY PEÑARANDA LLACH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4.05</v>
      </c>
      <c r="E15" s="210"/>
      <c r="F15" s="18">
        <v>4.2</v>
      </c>
      <c r="G15" s="18">
        <v>4.2</v>
      </c>
      <c r="H15" s="18">
        <v>4.2</v>
      </c>
      <c r="I15" s="18">
        <v>4.2</v>
      </c>
      <c r="J15" s="18">
        <v>4.2</v>
      </c>
      <c r="K15" s="18"/>
    </row>
    <row r="16" spans="1:11" s="2" customFormat="1" ht="15" customHeight="1">
      <c r="A16" s="12">
        <v>4</v>
      </c>
      <c r="B16" s="28" t="str">
        <f>LIDER!F46</f>
        <v>MARIANGEL ROMERO VANEGAS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4.05</v>
      </c>
      <c r="E16" s="210"/>
      <c r="F16" s="18">
        <v>4.2</v>
      </c>
      <c r="G16" s="18">
        <v>4.2</v>
      </c>
      <c r="H16" s="18">
        <v>4.2</v>
      </c>
      <c r="I16" s="18">
        <v>4.2</v>
      </c>
      <c r="J16" s="18">
        <v>4.2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1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IF('S-ASIG-01'!D19="","",'S-ASIG-01'!D19)</f>
        <v>LIST</v>
      </c>
      <c r="D19" s="35" t="s">
        <v>81</v>
      </c>
      <c r="E19" s="215" t="str">
        <f>LIDER!$E$31</f>
        <v>GRUPO#3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>
        <f>LIDER!G43</f>
        <v>0</v>
      </c>
      <c r="C20" s="33" t="str">
        <f>IF('S-ASIG-01'!D20="","",'S-ASIG-01'!D20)</f>
        <v/>
      </c>
      <c r="D20" s="30" t="str">
        <f>IF(B20=0,"",IF(C20="",$E$20*LIDER!$H$19+F20*LIDER!$H$20+G20*LIDER!$H$21+H20*LIDER!$H$22+I20*LIDER!$H$23+J20*LIDER!$H$24+K20*LIDER!$H$25,"N"))</f>
        <v/>
      </c>
      <c r="E20" s="21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IF('S-ASIG-01'!D21="","",'S-ASIG-01'!D21)</f>
        <v/>
      </c>
      <c r="D21" s="30" t="str">
        <f>IF(B21=0,"",IF(C21="",$E$20*LIDER!$H$19+F21*LIDER!$H$20+G21*LIDER!$H$21+H21*LIDER!$H$22+I21*LIDER!$H$23+J21*LIDER!$H$24+K21*LIDER!$H$25,"N"))</f>
        <v/>
      </c>
      <c r="E21" s="21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IF('S-ASIG-01'!D22="","",'S-ASIG-01'!D22)</f>
        <v/>
      </c>
      <c r="D22" s="30" t="str">
        <f>IF(B22=0,"",IF(C22="",$E$20*LIDER!$H$19+F22*LIDER!$H$20+G22*LIDER!$H$21+H22*LIDER!$H$22+I22*LIDER!$H$23+J22*LIDER!$H$24+K22*LIDER!$H$25,"N"))</f>
        <v/>
      </c>
      <c r="E22" s="21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1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1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IF('S-ASIG-01'!D26="","",'S-ASIG-01'!D26)</f>
        <v>LIST</v>
      </c>
      <c r="D26" s="35" t="s">
        <v>81</v>
      </c>
      <c r="E26" s="215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1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1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1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1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1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IF('S-ASIG-01'!D33="","",'S-ASIG-01'!D33)</f>
        <v>LIST</v>
      </c>
      <c r="D33" s="35" t="s">
        <v>81</v>
      </c>
      <c r="E33" s="215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1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1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1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1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IF('S-ASIG-01'!D40="","",'S-ASIG-01'!D40)</f>
        <v>LIST</v>
      </c>
      <c r="D40" s="35" t="s">
        <v>81</v>
      </c>
      <c r="E40" s="215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1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1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1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IF('S-ASIG-01'!D47="","",'S-ASIG-01'!D47)</f>
        <v>LIST</v>
      </c>
      <c r="D47" s="35" t="s">
        <v>81</v>
      </c>
      <c r="E47" s="215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IF('S-ASIG-01'!D54="","",'S-ASIG-01'!D54)</f>
        <v>LIST</v>
      </c>
      <c r="D54" s="35" t="s">
        <v>81</v>
      </c>
      <c r="E54" s="215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IF('S-ASIG-01'!D61="","",'S-ASIG-01'!D61)</f>
        <v>LIST</v>
      </c>
      <c r="D61" s="35" t="s">
        <v>81</v>
      </c>
      <c r="E61" s="215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IF('S-ASIG-01'!D68="","",'S-ASIG-01'!D68)</f>
        <v>LIST</v>
      </c>
      <c r="D68" s="35" t="s">
        <v>81</v>
      </c>
      <c r="E68" s="215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IF('S-ASIG-01'!D75="","",'S-ASIG-01'!D75)</f>
        <v>LIST</v>
      </c>
      <c r="D75" s="35" t="s">
        <v>81</v>
      </c>
      <c r="E75" s="215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IF('S-ASIG-01'!D82="","",'S-ASIG-01'!D82)</f>
        <v>LIST</v>
      </c>
      <c r="D82" s="35" t="s">
        <v>81</v>
      </c>
      <c r="E82" s="215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1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49" priority="16">
      <formula>ISEVEN($A6)</formula>
    </cfRule>
  </conditionalFormatting>
  <conditionalFormatting sqref="A13:B18 D13:K13 D14:D18 F14:K18">
    <cfRule type="expression" dxfId="148" priority="15">
      <formula>ISEVEN($A13)</formula>
    </cfRule>
  </conditionalFormatting>
  <conditionalFormatting sqref="A20:B25 D20:K20 D21:D25 F21:K25">
    <cfRule type="expression" dxfId="147" priority="14">
      <formula>ISEVEN($A20)</formula>
    </cfRule>
  </conditionalFormatting>
  <conditionalFormatting sqref="A27:B32 D27:K27 D28:D32 F28:K32">
    <cfRule type="expression" dxfId="146" priority="13">
      <formula>ISEVEN($A27)</formula>
    </cfRule>
  </conditionalFormatting>
  <conditionalFormatting sqref="A34:B39 D34:K34 D35:D39 F35:K39">
    <cfRule type="expression" dxfId="145" priority="12">
      <formula>ISEVEN($A34)</formula>
    </cfRule>
  </conditionalFormatting>
  <conditionalFormatting sqref="A41:B46 D41:K41 D42:D46 F42:K46">
    <cfRule type="expression" dxfId="144" priority="11">
      <formula>ISEVEN($A41)</formula>
    </cfRule>
  </conditionalFormatting>
  <conditionalFormatting sqref="A48:B53 D48:K48 D49:D53 F49:K53">
    <cfRule type="expression" dxfId="143" priority="10">
      <formula>ISEVEN($A48)</formula>
    </cfRule>
  </conditionalFormatting>
  <conditionalFormatting sqref="A55:B60 D55:K55 D56:D60 F56:K60">
    <cfRule type="expression" dxfId="142" priority="9">
      <formula>ISEVEN($A55)</formula>
    </cfRule>
  </conditionalFormatting>
  <conditionalFormatting sqref="A62:B67 D62:K62 D63:D67 F63:K67">
    <cfRule type="expression" dxfId="141" priority="8">
      <formula>ISEVEN($A62)</formula>
    </cfRule>
  </conditionalFormatting>
  <conditionalFormatting sqref="A69:B74 D69:K69 D70:D74 F70:K74">
    <cfRule type="expression" dxfId="140" priority="7">
      <formula>ISEVEN($A69)</formula>
    </cfRule>
  </conditionalFormatting>
  <conditionalFormatting sqref="A76:B81 D76:K76 D77:D81 F77:K81">
    <cfRule type="expression" dxfId="139" priority="6">
      <formula>ISEVEN($A76)</formula>
    </cfRule>
  </conditionalFormatting>
  <conditionalFormatting sqref="A83:B88 D83:K83 D84:D88 F84:K88">
    <cfRule type="expression" dxfId="138" priority="5">
      <formula>ISEVEN($A83)</formula>
    </cfRule>
  </conditionalFormatting>
  <conditionalFormatting sqref="B6:B88">
    <cfRule type="cellIs" dxfId="137" priority="3" operator="equal">
      <formula>0</formula>
    </cfRule>
  </conditionalFormatting>
  <conditionalFormatting sqref="C5 B6:D88">
    <cfRule type="expression" dxfId="136" priority="2">
      <formula>$C5="N"</formula>
    </cfRule>
  </conditionalFormatting>
  <conditionalFormatting sqref="F6:K11 F13:K18 F20:K25 F27:K32 F34:K39 F41:K46 F48:K53 F55:K60 F62:K67 F69:K74 F76:K81 F83:K88">
    <cfRule type="expression" dxfId="135" priority="1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I9" activePane="bottomRight" state="frozen"/>
      <selection pane="bottomRight" activeCell="F13" sqref="F13:J16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INTERNACIONALIZACION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CONCATENATE(LIDER!E4," - ",LIDER!E6," - ",LIDER!E5)</f>
        <v>INTERNACIONALIZACION - 2482 - TATIANA MILENA ROJAS AROCA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IF('S-ASIG-03'!D5="","",'S-ASIG-03'!D5)</f>
        <v>LIST</v>
      </c>
      <c r="D5" s="35" t="s">
        <v>81</v>
      </c>
      <c r="E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SARA OYOLA MARTINEZ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4.5</v>
      </c>
      <c r="E6" s="196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YINA MARCELA PÉREZ PINEDA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4.5</v>
      </c>
      <c r="E7" s="196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JABES ELIAS ROSERO VILLA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4.5</v>
      </c>
      <c r="E8" s="196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ISAIAS FERNANDO SALCEDO CAICEDO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4.5</v>
      </c>
      <c r="E9" s="196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IF('S-ASIG-03'!D12="","",'S-ASIG-03'!D12)</f>
        <v>LIST</v>
      </c>
      <c r="D12" s="35" t="s">
        <v>81</v>
      </c>
      <c r="E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JORGE ALBERTO BATISTA TABORDA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4.0999999999999996</v>
      </c>
      <c r="E13" s="196">
        <v>4</v>
      </c>
      <c r="F13" s="24">
        <v>4.2</v>
      </c>
      <c r="G13" s="24">
        <v>4.2</v>
      </c>
      <c r="H13" s="24">
        <v>4.2</v>
      </c>
      <c r="I13" s="24">
        <v>4.2</v>
      </c>
      <c r="J13" s="24">
        <v>4.2</v>
      </c>
      <c r="K13" s="24"/>
    </row>
    <row r="14" spans="1:11" s="2" customFormat="1" ht="15" customHeight="1">
      <c r="A14" s="12">
        <v>2</v>
      </c>
      <c r="B14" s="28" t="str">
        <f>LIDER!F44</f>
        <v>JEREMY MACOLL DIAZ PEREZ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4.0999999999999996</v>
      </c>
      <c r="E14" s="196"/>
      <c r="F14" s="18">
        <v>4.2</v>
      </c>
      <c r="G14" s="18">
        <v>4.2</v>
      </c>
      <c r="H14" s="18">
        <v>4.2</v>
      </c>
      <c r="I14" s="18">
        <v>4.2</v>
      </c>
      <c r="J14" s="18">
        <v>4.2</v>
      </c>
      <c r="K14" s="18"/>
    </row>
    <row r="15" spans="1:11" s="2" customFormat="1" ht="15" customHeight="1">
      <c r="A15" s="12">
        <v>3</v>
      </c>
      <c r="B15" s="28" t="str">
        <f>LIDER!F45</f>
        <v>DARIANY PEÑARANDA LLACH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4.0999999999999996</v>
      </c>
      <c r="E15" s="196"/>
      <c r="F15" s="18">
        <v>4.2</v>
      </c>
      <c r="G15" s="18">
        <v>4.2</v>
      </c>
      <c r="H15" s="18">
        <v>4.2</v>
      </c>
      <c r="I15" s="18">
        <v>4.2</v>
      </c>
      <c r="J15" s="18">
        <v>4.2</v>
      </c>
      <c r="K15" s="18"/>
    </row>
    <row r="16" spans="1:11" s="2" customFormat="1" ht="15" customHeight="1">
      <c r="A16" s="12">
        <v>4</v>
      </c>
      <c r="B16" s="28" t="str">
        <f>LIDER!F46</f>
        <v>MARIANGEL ROMERO VANEGAS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4.0999999999999996</v>
      </c>
      <c r="E16" s="196"/>
      <c r="F16" s="18">
        <v>4.2</v>
      </c>
      <c r="G16" s="18">
        <v>4.2</v>
      </c>
      <c r="H16" s="18">
        <v>4.2</v>
      </c>
      <c r="I16" s="18">
        <v>4.2</v>
      </c>
      <c r="J16" s="18">
        <v>4.2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IF('S-ASIG-03'!D19="","",'S-ASIG-03'!D19)</f>
        <v>LIST</v>
      </c>
      <c r="D19" s="35" t="s">
        <v>81</v>
      </c>
      <c r="E19" s="198" t="str">
        <f>LIDER!$E$31</f>
        <v>GRUPO#3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>
        <f>LIDER!G43</f>
        <v>0</v>
      </c>
      <c r="C20" s="33" t="str">
        <f>IF('S-ASIG-03'!D20="","",'S-ASIG-03'!D20)</f>
        <v/>
      </c>
      <c r="D20" s="30" t="str">
        <f>IF(B20=0,"",IF(C20="",$E$20*LIDER!$H$19+F20*LIDER!$H$20+G20*LIDER!$H$21+H20*LIDER!$H$22+I20*LIDER!$H$23+J20*LIDER!$H$24+K20*LIDER!$H$25,"N"))</f>
        <v/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IF('S-ASIG-03'!D21="","",'S-ASIG-03'!D21)</f>
        <v/>
      </c>
      <c r="D21" s="30" t="str">
        <f>IF(B21=0,"",IF(C21="",$E$20*LIDER!$H$19+F21*LIDER!$H$20+G21*LIDER!$H$21+H21*LIDER!$H$22+I21*LIDER!$H$23+J21*LIDER!$H$24+K21*LIDER!$H$25,"N"))</f>
        <v/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IF('S-ASIG-03'!D22="","",'S-ASIG-03'!D22)</f>
        <v/>
      </c>
      <c r="D22" s="30" t="str">
        <f>IF(B22=0,"",IF(C22="",$E$20*LIDER!$H$19+F22*LIDER!$H$20+G22*LIDER!$H$21+H22*LIDER!$H$22+I22*LIDER!$H$23+J22*LIDER!$H$24+K22*LIDER!$H$25,"N"))</f>
        <v/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IF('S-ASIG-03'!D26="","",'S-ASIG-03'!D26)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IF('S-ASIG-03'!D33="","",'S-ASIG-03'!D33)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IF('S-ASIG-03'!D40="","",'S-ASIG-03'!D40)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IF('S-ASIG-03'!D47="","",'S-ASIG-03'!D47)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IF('S-ASIG-03'!D54="","",'S-ASIG-03'!D54)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IF('S-ASIG-03'!D61="","",'S-ASIG-03'!D61)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IF('S-ASIG-03'!D68="","",'S-ASIG-03'!D68)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IF('S-ASIG-03'!D75="","",'S-ASIG-03'!D75)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IF('S-ASIG-03'!D82="","",'S-ASIG-03'!D82)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Rn+xE20HrV30eUh4pg39XdqJDeyTWHQmX2fSAuuMTM0+DW5b9nCOGjIFZaBBI6vwMAx/mhhHc42aGGIF0RqgeQ==" saltValue="g2qZsaobZiGPbiFpPv1Mt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34" priority="14">
      <formula>ISEVEN($A6)</formula>
    </cfRule>
  </conditionalFormatting>
  <conditionalFormatting sqref="A13:B18 D13:D18">
    <cfRule type="expression" dxfId="133" priority="13">
      <formula>ISEVEN($A13)</formula>
    </cfRule>
  </conditionalFormatting>
  <conditionalFormatting sqref="A20:B25 D20:D25">
    <cfRule type="expression" dxfId="132" priority="12">
      <formula>ISEVEN($A20)</formula>
    </cfRule>
  </conditionalFormatting>
  <conditionalFormatting sqref="A27:B32 D27:D32">
    <cfRule type="expression" dxfId="131" priority="11">
      <formula>ISEVEN($A27)</formula>
    </cfRule>
  </conditionalFormatting>
  <conditionalFormatting sqref="A34:B39 D34:D39">
    <cfRule type="expression" dxfId="130" priority="10">
      <formula>ISEVEN($A34)</formula>
    </cfRule>
  </conditionalFormatting>
  <conditionalFormatting sqref="A41:B46 D41:D46">
    <cfRule type="expression" dxfId="129" priority="9">
      <formula>ISEVEN($A41)</formula>
    </cfRule>
  </conditionalFormatting>
  <conditionalFormatting sqref="A48:B53 D48:D53">
    <cfRule type="expression" dxfId="128" priority="8">
      <formula>ISEVEN($A48)</formula>
    </cfRule>
  </conditionalFormatting>
  <conditionalFormatting sqref="A55:B60 D55:D60">
    <cfRule type="expression" dxfId="127" priority="7">
      <formula>ISEVEN($A55)</formula>
    </cfRule>
  </conditionalFormatting>
  <conditionalFormatting sqref="A62:B67 D62:D67">
    <cfRule type="expression" dxfId="126" priority="6">
      <formula>ISEVEN($A62)</formula>
    </cfRule>
  </conditionalFormatting>
  <conditionalFormatting sqref="A69:B74 D69:D74">
    <cfRule type="expression" dxfId="125" priority="5">
      <formula>ISEVEN($A69)</formula>
    </cfRule>
  </conditionalFormatting>
  <conditionalFormatting sqref="A76:B81 D76:D81">
    <cfRule type="expression" dxfId="124" priority="4">
      <formula>ISEVEN($A76)</formula>
    </cfRule>
  </conditionalFormatting>
  <conditionalFormatting sqref="A83:B88 D83:D88">
    <cfRule type="expression" dxfId="123" priority="3">
      <formula>ISEVEN($A83)</formula>
    </cfRule>
  </conditionalFormatting>
  <conditionalFormatting sqref="B6:B88">
    <cfRule type="cellIs" dxfId="122" priority="2" operator="equal">
      <formula>0</formula>
    </cfRule>
  </conditionalFormatting>
  <conditionalFormatting sqref="C5 B6:D88">
    <cfRule type="expression" dxfId="121" priority="1">
      <formula>$C5="N"</formula>
    </cfRule>
  </conditionalFormatting>
  <conditionalFormatting sqref="E6:K6 F7:K11">
    <cfRule type="expression" dxfId="120" priority="29">
      <formula>ISEVEN($A6)</formula>
    </cfRule>
  </conditionalFormatting>
  <conditionalFormatting sqref="E13:K13 F14:K18">
    <cfRule type="expression" dxfId="119" priority="28">
      <formula>ISEVEN($A13)</formula>
    </cfRule>
  </conditionalFormatting>
  <conditionalFormatting sqref="E20:K20 F21:K25">
    <cfRule type="expression" dxfId="118" priority="27">
      <formula>ISEVEN($A20)</formula>
    </cfRule>
  </conditionalFormatting>
  <conditionalFormatting sqref="E27:K27 F28:K32">
    <cfRule type="expression" dxfId="117" priority="26">
      <formula>ISEVEN($A27)</formula>
    </cfRule>
  </conditionalFormatting>
  <conditionalFormatting sqref="E34:K34 F35:K39">
    <cfRule type="expression" dxfId="116" priority="25">
      <formula>ISEVEN($A34)</formula>
    </cfRule>
  </conditionalFormatting>
  <conditionalFormatting sqref="E41:K41 F42:K46">
    <cfRule type="expression" dxfId="115" priority="24">
      <formula>ISEVEN($A41)</formula>
    </cfRule>
  </conditionalFormatting>
  <conditionalFormatting sqref="E48:K48 F49:K53">
    <cfRule type="expression" dxfId="114" priority="23">
      <formula>ISEVEN($A48)</formula>
    </cfRule>
  </conditionalFormatting>
  <conditionalFormatting sqref="E55:K55 F56:K60">
    <cfRule type="expression" dxfId="113" priority="22">
      <formula>ISEVEN($A55)</formula>
    </cfRule>
  </conditionalFormatting>
  <conditionalFormatting sqref="E62:K62 F63:K67">
    <cfRule type="expression" dxfId="112" priority="21">
      <formula>ISEVEN($A62)</formula>
    </cfRule>
  </conditionalFormatting>
  <conditionalFormatting sqref="E69:K69 F70:K74">
    <cfRule type="expression" dxfId="111" priority="20">
      <formula>ISEVEN($A69)</formula>
    </cfRule>
  </conditionalFormatting>
  <conditionalFormatting sqref="E76:K76 F77:K81">
    <cfRule type="expression" dxfId="110" priority="19">
      <formula>ISEVEN($A76)</formula>
    </cfRule>
  </conditionalFormatting>
  <conditionalFormatting sqref="E83:K83 F84:K88">
    <cfRule type="expression" dxfId="109" priority="18">
      <formula>ISEVEN($A83)</formula>
    </cfRule>
  </conditionalFormatting>
  <conditionalFormatting sqref="F6:K11 F13:K18 F20:K25 F27:K32 F34:K39 F41:K46 F48:K53 F55:K60 F62:K67 F69:K74 F76:K81 F83:K88">
    <cfRule type="expression" dxfId="108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F12" activePane="bottomRight" state="frozen"/>
      <selection pane="bottomRight" activeCell="J17" sqref="J17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LEGISLACION PARA EL COMERCIO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CONCATENATE(LIDER!F4," - ",LIDER!F6," - ",LIDER!F5)</f>
        <v>LEGISLACION PARA EL COMERCIO - 2490 - ANGELICA PAOLA DOMINGUEZ CASTELLAR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IF('S-ASIG-04'!D5="","",'S-ASIG-04'!D5)</f>
        <v>LIST</v>
      </c>
      <c r="D5" s="35" t="s">
        <v>81</v>
      </c>
      <c r="E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SARA OYOLA MARTINEZ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4.7</v>
      </c>
      <c r="E6" s="196">
        <v>4.7</v>
      </c>
      <c r="F6" s="24">
        <v>4.7</v>
      </c>
      <c r="G6" s="24">
        <v>4.7</v>
      </c>
      <c r="H6" s="24">
        <v>4.7</v>
      </c>
      <c r="I6" s="24">
        <v>4.7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YINA MARCELA PÉREZ PINEDA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4.7</v>
      </c>
      <c r="E7" s="196"/>
      <c r="F7" s="18">
        <v>4.7</v>
      </c>
      <c r="G7" s="18">
        <v>4.7</v>
      </c>
      <c r="H7" s="18">
        <v>4.7</v>
      </c>
      <c r="I7" s="18">
        <v>4.7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JABES ELIAS ROSERO VILLA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4.7</v>
      </c>
      <c r="E8" s="196"/>
      <c r="F8" s="18">
        <v>4.7</v>
      </c>
      <c r="G8" s="18">
        <v>4.7</v>
      </c>
      <c r="H8" s="18">
        <v>4.7</v>
      </c>
      <c r="I8" s="18">
        <v>4.7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ISAIAS FERNANDO SALCEDO CAICEDO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4.7</v>
      </c>
      <c r="E9" s="196"/>
      <c r="F9" s="18">
        <v>4.7</v>
      </c>
      <c r="G9" s="18">
        <v>4.7</v>
      </c>
      <c r="H9" s="18">
        <v>4.7</v>
      </c>
      <c r="I9" s="18">
        <v>4.7</v>
      </c>
      <c r="J9" s="18">
        <v>4.7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IF('S-ASIG-04'!D12="","",'S-ASIG-04'!D12)</f>
        <v>LIST</v>
      </c>
      <c r="D12" s="35" t="s">
        <v>81</v>
      </c>
      <c r="E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JORGE ALBERTO BATISTA TABORDA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3.5</v>
      </c>
      <c r="E13" s="196">
        <v>3.5</v>
      </c>
      <c r="F13" s="24">
        <v>3.5</v>
      </c>
      <c r="G13" s="24">
        <v>3.5</v>
      </c>
      <c r="H13" s="24">
        <v>3.5</v>
      </c>
      <c r="I13" s="24">
        <v>3.5</v>
      </c>
      <c r="J13" s="24">
        <v>3.5</v>
      </c>
      <c r="K13" s="24"/>
    </row>
    <row r="14" spans="1:11" s="2" customFormat="1" ht="15" customHeight="1">
      <c r="A14" s="12">
        <v>2</v>
      </c>
      <c r="B14" s="28" t="str">
        <f>LIDER!F44</f>
        <v>JEREMY MACOLL DIAZ PEREZ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3.5</v>
      </c>
      <c r="E14" s="196"/>
      <c r="F14" s="18">
        <v>3.5</v>
      </c>
      <c r="G14" s="18">
        <v>3.5</v>
      </c>
      <c r="H14" s="18">
        <v>3.5</v>
      </c>
      <c r="I14" s="18">
        <v>3.5</v>
      </c>
      <c r="J14" s="18">
        <v>3.5</v>
      </c>
      <c r="K14" s="18"/>
    </row>
    <row r="15" spans="1:11" s="2" customFormat="1" ht="15" customHeight="1">
      <c r="A15" s="12">
        <v>3</v>
      </c>
      <c r="B15" s="28" t="str">
        <f>LIDER!F45</f>
        <v>DARIANY PEÑARANDA LLACH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3.5</v>
      </c>
      <c r="E15" s="196"/>
      <c r="F15" s="18">
        <v>3.5</v>
      </c>
      <c r="G15" s="18">
        <v>3.5</v>
      </c>
      <c r="H15" s="18">
        <v>3.5</v>
      </c>
      <c r="I15" s="18">
        <v>3.5</v>
      </c>
      <c r="J15" s="18">
        <v>3.5</v>
      </c>
      <c r="K15" s="18"/>
    </row>
    <row r="16" spans="1:11" s="2" customFormat="1" ht="15" customHeight="1">
      <c r="A16" s="12">
        <v>4</v>
      </c>
      <c r="B16" s="28" t="str">
        <f>LIDER!F46</f>
        <v>MARIANGEL ROMERO VANEGAS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3.5</v>
      </c>
      <c r="E16" s="196"/>
      <c r="F16" s="18">
        <v>3.5</v>
      </c>
      <c r="G16" s="18">
        <v>3.5</v>
      </c>
      <c r="H16" s="18">
        <v>3.5</v>
      </c>
      <c r="I16" s="18">
        <v>3.5</v>
      </c>
      <c r="J16" s="18">
        <v>3.5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IF('S-ASIG-04'!D19="","",'S-ASIG-04'!D19)</f>
        <v>LIST</v>
      </c>
      <c r="D19" s="35" t="s">
        <v>81</v>
      </c>
      <c r="E19" s="198" t="str">
        <f>LIDER!$E$31</f>
        <v>GRUPO#3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>
        <f>LIDER!G43</f>
        <v>0</v>
      </c>
      <c r="C20" s="33" t="str">
        <f>IF('S-ASIG-04'!D20="","",'S-ASIG-04'!D20)</f>
        <v/>
      </c>
      <c r="D20" s="30" t="str">
        <f>IF(B20=0,"",IF(C20="",$E$20*LIDER!$H$19+F20*LIDER!$H$20+G20*LIDER!$H$21+H20*LIDER!$H$22+I20*LIDER!$H$23+J20*LIDER!$H$24+K20*LIDER!$H$25,"N"))</f>
        <v/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IF('S-ASIG-04'!D21="","",'S-ASIG-04'!D21)</f>
        <v/>
      </c>
      <c r="D21" s="30" t="str">
        <f>IF(B21=0,"",IF(C21="",$E$20*LIDER!$H$19+F21*LIDER!$H$20+G21*LIDER!$H$21+H21*LIDER!$H$22+I21*LIDER!$H$23+J21*LIDER!$H$24+K21*LIDER!$H$25,"N"))</f>
        <v/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IF('S-ASIG-04'!D22="","",'S-ASIG-04'!D22)</f>
        <v/>
      </c>
      <c r="D22" s="30" t="str">
        <f>IF(B22=0,"",IF(C22="",$E$20*LIDER!$H$19+F22*LIDER!$H$20+G22*LIDER!$H$21+H22*LIDER!$H$22+I22*LIDER!$H$23+J22*LIDER!$H$24+K22*LIDER!$H$25,"N"))</f>
        <v/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IF('S-ASIG-04'!D26="","",'S-ASIG-04'!D26)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IF('S-ASIG-04'!D33="","",'S-ASIG-04'!D33)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IF('S-ASIG-04'!D40="","",'S-ASIG-04'!D40)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IF('S-ASIG-04'!D47="","",'S-ASIG-04'!D47)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IF('S-ASIG-04'!D54="","",'S-ASIG-04'!D54)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IF('S-ASIG-04'!D61="","",'S-ASIG-04'!D61)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IF('S-ASIG-04'!D68="","",'S-ASIG-04'!D68)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IF('S-ASIG-04'!D75="","",'S-ASIG-04'!D75)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IF('S-ASIG-04'!D82="","",'S-ASIG-04'!D82)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07" priority="14">
      <formula>ISEVEN($A6)</formula>
    </cfRule>
  </conditionalFormatting>
  <conditionalFormatting sqref="A13:B18 D13:D18">
    <cfRule type="expression" dxfId="106" priority="13">
      <formula>ISEVEN($A13)</formula>
    </cfRule>
  </conditionalFormatting>
  <conditionalFormatting sqref="A20:B25 D20:D25">
    <cfRule type="expression" dxfId="105" priority="12">
      <formula>ISEVEN($A20)</formula>
    </cfRule>
  </conditionalFormatting>
  <conditionalFormatting sqref="A27:B32 D27:D32">
    <cfRule type="expression" dxfId="104" priority="11">
      <formula>ISEVEN($A27)</formula>
    </cfRule>
  </conditionalFormatting>
  <conditionalFormatting sqref="A34:B39 D34:D39">
    <cfRule type="expression" dxfId="103" priority="10">
      <formula>ISEVEN($A34)</formula>
    </cfRule>
  </conditionalFormatting>
  <conditionalFormatting sqref="A41:B46 D41:D46">
    <cfRule type="expression" dxfId="102" priority="9">
      <formula>ISEVEN($A41)</formula>
    </cfRule>
  </conditionalFormatting>
  <conditionalFormatting sqref="A48:B53 D48:D53">
    <cfRule type="expression" dxfId="101" priority="8">
      <formula>ISEVEN($A48)</formula>
    </cfRule>
  </conditionalFormatting>
  <conditionalFormatting sqref="A55:B60 D55:D60">
    <cfRule type="expression" dxfId="100" priority="7">
      <formula>ISEVEN($A55)</formula>
    </cfRule>
  </conditionalFormatting>
  <conditionalFormatting sqref="A62:B67 D62:D67">
    <cfRule type="expression" dxfId="99" priority="6">
      <formula>ISEVEN($A62)</formula>
    </cfRule>
  </conditionalFormatting>
  <conditionalFormatting sqref="A69:B74 D69:D74">
    <cfRule type="expression" dxfId="98" priority="5">
      <formula>ISEVEN($A69)</formula>
    </cfRule>
  </conditionalFormatting>
  <conditionalFormatting sqref="A76:B81 D76:D81">
    <cfRule type="expression" dxfId="97" priority="4">
      <formula>ISEVEN($A76)</formula>
    </cfRule>
  </conditionalFormatting>
  <conditionalFormatting sqref="A83:B88 D83:D88">
    <cfRule type="expression" dxfId="96" priority="3">
      <formula>ISEVEN($A83)</formula>
    </cfRule>
  </conditionalFormatting>
  <conditionalFormatting sqref="B6:B88">
    <cfRule type="cellIs" dxfId="95" priority="2" operator="equal">
      <formula>0</formula>
    </cfRule>
  </conditionalFormatting>
  <conditionalFormatting sqref="C5 B6:D88">
    <cfRule type="expression" dxfId="94" priority="1">
      <formula>$C5="N"</formula>
    </cfRule>
  </conditionalFormatting>
  <conditionalFormatting sqref="E6:K6 F7:K11">
    <cfRule type="expression" dxfId="93" priority="29">
      <formula>ISEVEN($A6)</formula>
    </cfRule>
  </conditionalFormatting>
  <conditionalFormatting sqref="E13:K13 F14:K18">
    <cfRule type="expression" dxfId="92" priority="28">
      <formula>ISEVEN($A13)</formula>
    </cfRule>
  </conditionalFormatting>
  <conditionalFormatting sqref="E20:K20 F21:K25">
    <cfRule type="expression" dxfId="91" priority="27">
      <formula>ISEVEN($A20)</formula>
    </cfRule>
  </conditionalFormatting>
  <conditionalFormatting sqref="E27:K27 F28:K32">
    <cfRule type="expression" dxfId="90" priority="26">
      <formula>ISEVEN($A27)</formula>
    </cfRule>
  </conditionalFormatting>
  <conditionalFormatting sqref="E34:K34 F35:K39">
    <cfRule type="expression" dxfId="89" priority="25">
      <formula>ISEVEN($A34)</formula>
    </cfRule>
  </conditionalFormatting>
  <conditionalFormatting sqref="E41:K41 F42:K46">
    <cfRule type="expression" dxfId="88" priority="24">
      <formula>ISEVEN($A41)</formula>
    </cfRule>
  </conditionalFormatting>
  <conditionalFormatting sqref="E48:K48 F49:K53">
    <cfRule type="expression" dxfId="87" priority="23">
      <formula>ISEVEN($A48)</formula>
    </cfRule>
  </conditionalFormatting>
  <conditionalFormatting sqref="E55:K55 F56:K60">
    <cfRule type="expression" dxfId="86" priority="22">
      <formula>ISEVEN($A55)</formula>
    </cfRule>
  </conditionalFormatting>
  <conditionalFormatting sqref="E62:K62 F63:K67">
    <cfRule type="expression" dxfId="85" priority="21">
      <formula>ISEVEN($A62)</formula>
    </cfRule>
  </conditionalFormatting>
  <conditionalFormatting sqref="E69:K69 F70:K74">
    <cfRule type="expression" dxfId="84" priority="20">
      <formula>ISEVEN($A69)</formula>
    </cfRule>
  </conditionalFormatting>
  <conditionalFormatting sqref="E76:K76 F77:K81">
    <cfRule type="expression" dxfId="83" priority="19">
      <formula>ISEVEN($A76)</formula>
    </cfRule>
  </conditionalFormatting>
  <conditionalFormatting sqref="E83:K83 F84:K88">
    <cfRule type="expression" dxfId="82" priority="18">
      <formula>ISEVEN($A83)</formula>
    </cfRule>
  </conditionalFormatting>
  <conditionalFormatting sqref="F6:K11 F13:K18 F20:K25 F27:K32 F34:K39 F41:K46 F48:K53 F55:K60 F62:K67 F69:K74 F76:K81 F83:K88">
    <cfRule type="expression" dxfId="81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15" activePane="bottomRight" state="frozen"/>
      <selection pane="bottomRight" activeCell="I17" sqref="I17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MACROECONOMÍA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CONCATENATE(LIDER!G4," - ",LIDER!G6," - ",LIDER!G5)</f>
        <v>MACROECONOMÍA - 1532 - GENIS PATRON ANTEQUERA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IF('S-ASIG-05'!D5="","",'S-ASIG-05'!D5)</f>
        <v>LIST</v>
      </c>
      <c r="D5" s="35" t="s">
        <v>81</v>
      </c>
      <c r="E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SARA OYOLA MARTINEZ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4.6500000000000004</v>
      </c>
      <c r="E6" s="196">
        <v>4.5</v>
      </c>
      <c r="F6" s="24">
        <v>4.8</v>
      </c>
      <c r="G6" s="24">
        <v>4.8</v>
      </c>
      <c r="H6" s="24">
        <v>4.8</v>
      </c>
      <c r="I6" s="24">
        <v>4.8</v>
      </c>
      <c r="J6" s="24">
        <v>4.8</v>
      </c>
      <c r="K6" s="24"/>
    </row>
    <row r="7" spans="1:11" s="2" customFormat="1" ht="15" customHeight="1">
      <c r="A7" s="12">
        <v>2</v>
      </c>
      <c r="B7" s="28" t="str">
        <f>LIDER!E44</f>
        <v>YINA MARCELA PÉREZ PINEDA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4.6500000000000004</v>
      </c>
      <c r="E7" s="196"/>
      <c r="F7" s="18">
        <v>4.8</v>
      </c>
      <c r="G7" s="18">
        <v>4.8</v>
      </c>
      <c r="H7" s="18">
        <v>4.8</v>
      </c>
      <c r="I7" s="18">
        <v>4.8</v>
      </c>
      <c r="J7" s="18">
        <v>4.8</v>
      </c>
      <c r="K7" s="18"/>
    </row>
    <row r="8" spans="1:11" s="2" customFormat="1" ht="15" customHeight="1">
      <c r="A8" s="12">
        <v>3</v>
      </c>
      <c r="B8" s="28" t="str">
        <f>LIDER!E45</f>
        <v>JABES ELIAS ROSERO VILLA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4.6500000000000004</v>
      </c>
      <c r="E8" s="196"/>
      <c r="F8" s="18">
        <v>4.8</v>
      </c>
      <c r="G8" s="18">
        <v>4.8</v>
      </c>
      <c r="H8" s="18">
        <v>4.8</v>
      </c>
      <c r="I8" s="18">
        <v>4.8</v>
      </c>
      <c r="J8" s="18">
        <v>4.8</v>
      </c>
      <c r="K8" s="18"/>
    </row>
    <row r="9" spans="1:11" s="2" customFormat="1" ht="15" customHeight="1">
      <c r="A9" s="12">
        <v>4</v>
      </c>
      <c r="B9" s="28" t="str">
        <f>LIDER!E46</f>
        <v>ISAIAS FERNANDO SALCEDO CAICEDO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4.6500000000000004</v>
      </c>
      <c r="E9" s="196"/>
      <c r="F9" s="18">
        <v>4.8</v>
      </c>
      <c r="G9" s="18">
        <v>4.8</v>
      </c>
      <c r="H9" s="18">
        <v>4.8</v>
      </c>
      <c r="I9" s="18">
        <v>4.8</v>
      </c>
      <c r="J9" s="18">
        <v>4.8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IF('S-ASIG-05'!D12="","",'S-ASIG-05'!D12)</f>
        <v>LIST</v>
      </c>
      <c r="D12" s="35" t="s">
        <v>81</v>
      </c>
      <c r="E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JORGE ALBERTO BATISTA TABORDA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4.25</v>
      </c>
      <c r="E13" s="196">
        <v>4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JEREMY MACOLL DIAZ PEREZ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4.25</v>
      </c>
      <c r="E14" s="196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DARIANY PEÑARANDA LLACH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4.25</v>
      </c>
      <c r="E15" s="196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MARIANGEL ROMERO VANEGAS</v>
      </c>
      <c r="C16" s="33" t="str">
        <f>IF('S-ASIG-05'!D16="","",'S-ASIG-05'!D16)</f>
        <v/>
      </c>
      <c r="D16" s="30" t="e">
        <f>IF(B16=0,"",IF(C16="",$E$13*LIDER!$H$19+F16*LIDER!$H$20+G16*LIDER!$H$21+H16*LIDER!$H$22+I16*LIDER!$H$23+J16*LIDER!$H$24+K16*LIDER!$H$25,"N"))</f>
        <v>#VALUE!</v>
      </c>
      <c r="E16" s="196"/>
      <c r="F16" s="18">
        <v>4.5</v>
      </c>
      <c r="G16" s="18" t="s">
        <v>94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IF('S-ASIG-05'!D19="","",'S-ASIG-05'!D19)</f>
        <v>LIST</v>
      </c>
      <c r="D19" s="35" t="s">
        <v>81</v>
      </c>
      <c r="E19" s="198" t="str">
        <f>LIDER!$E$31</f>
        <v>GRUPO#3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>
        <f>LIDER!G43</f>
        <v>0</v>
      </c>
      <c r="C20" s="33" t="str">
        <f>IF('S-ASIG-05'!D20="","",'S-ASIG-05'!D20)</f>
        <v/>
      </c>
      <c r="D20" s="30" t="str">
        <f>IF(B20=0,"",IF(C20="",$E$20*LIDER!$H$19+F20*LIDER!$H$20+G20*LIDER!$H$21+H20*LIDER!$H$22+I20*LIDER!$H$23+J20*LIDER!$H$24+K20*LIDER!$H$25,"N"))</f>
        <v/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IF('S-ASIG-05'!D21="","",'S-ASIG-05'!D21)</f>
        <v/>
      </c>
      <c r="D21" s="30" t="str">
        <f>IF(B21=0,"",IF(C21="",$E$20*LIDER!$H$19+F21*LIDER!$H$20+G21*LIDER!$H$21+H21*LIDER!$H$22+I21*LIDER!$H$23+J21*LIDER!$H$24+K21*LIDER!$H$25,"N"))</f>
        <v/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IF('S-ASIG-05'!D22="","",'S-ASIG-05'!D22)</f>
        <v/>
      </c>
      <c r="D22" s="30" t="str">
        <f>IF(B22=0,"",IF(C22="",$E$20*LIDER!$H$19+F22*LIDER!$H$20+G22*LIDER!$H$21+H22*LIDER!$H$22+I22*LIDER!$H$23+J22*LIDER!$H$24+K22*LIDER!$H$25,"N"))</f>
        <v/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IF('S-ASIG-05'!D26="","",'S-ASIG-05'!D26)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IF('S-ASIG-05'!D33="","",'S-ASIG-05'!D33)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IF('S-ASIG-05'!D40="","",'S-ASIG-05'!D40)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IF('S-ASIG-05'!D47="","",'S-ASIG-05'!D47)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IF('S-ASIG-05'!D54="","",'S-ASIG-05'!D54)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IF('S-ASIG-05'!D61="","",'S-ASIG-05'!D61)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IF('S-ASIG-05'!D68="","",'S-ASIG-05'!D68)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IF('S-ASIG-05'!D75="","",'S-ASIG-05'!D75)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IF('S-ASIG-05'!D82="","",'S-ASIG-05'!D82)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0" priority="14">
      <formula>ISEVEN($A6)</formula>
    </cfRule>
  </conditionalFormatting>
  <conditionalFormatting sqref="A13:B18 D13:D18">
    <cfRule type="expression" dxfId="79" priority="13">
      <formula>ISEVEN($A13)</formula>
    </cfRule>
  </conditionalFormatting>
  <conditionalFormatting sqref="A20:B25 D20:D25">
    <cfRule type="expression" dxfId="78" priority="12">
      <formula>ISEVEN($A20)</formula>
    </cfRule>
  </conditionalFormatting>
  <conditionalFormatting sqref="A27:B32 D27:D32">
    <cfRule type="expression" dxfId="77" priority="11">
      <formula>ISEVEN($A27)</formula>
    </cfRule>
  </conditionalFormatting>
  <conditionalFormatting sqref="A34:B39 D34:D39">
    <cfRule type="expression" dxfId="76" priority="10">
      <formula>ISEVEN($A34)</formula>
    </cfRule>
  </conditionalFormatting>
  <conditionalFormatting sqref="A41:B46 D41:D46">
    <cfRule type="expression" dxfId="75" priority="9">
      <formula>ISEVEN($A41)</formula>
    </cfRule>
  </conditionalFormatting>
  <conditionalFormatting sqref="A48:B53 D48:D53">
    <cfRule type="expression" dxfId="74" priority="8">
      <formula>ISEVEN($A48)</formula>
    </cfRule>
  </conditionalFormatting>
  <conditionalFormatting sqref="A55:B60 D55:D60">
    <cfRule type="expression" dxfId="73" priority="7">
      <formula>ISEVEN($A55)</formula>
    </cfRule>
  </conditionalFormatting>
  <conditionalFormatting sqref="A62:B67 D62:D67">
    <cfRule type="expression" dxfId="72" priority="6">
      <formula>ISEVEN($A62)</formula>
    </cfRule>
  </conditionalFormatting>
  <conditionalFormatting sqref="A69:B74 D69:D74">
    <cfRule type="expression" dxfId="71" priority="5">
      <formula>ISEVEN($A69)</formula>
    </cfRule>
  </conditionalFormatting>
  <conditionalFormatting sqref="A76:B81 D76:D81">
    <cfRule type="expression" dxfId="70" priority="4">
      <formula>ISEVEN($A76)</formula>
    </cfRule>
  </conditionalFormatting>
  <conditionalFormatting sqref="A83:B88 D83:D88">
    <cfRule type="expression" dxfId="69" priority="3">
      <formula>ISEVEN($A83)</formula>
    </cfRule>
  </conditionalFormatting>
  <conditionalFormatting sqref="B6:B88">
    <cfRule type="cellIs" dxfId="68" priority="2" operator="equal">
      <formula>0</formula>
    </cfRule>
  </conditionalFormatting>
  <conditionalFormatting sqref="C5 B6:D88">
    <cfRule type="expression" dxfId="67" priority="1">
      <formula>$C5="N"</formula>
    </cfRule>
  </conditionalFormatting>
  <conditionalFormatting sqref="E6:K6 F7:K11">
    <cfRule type="expression" dxfId="66" priority="29">
      <formula>ISEVEN($A6)</formula>
    </cfRule>
  </conditionalFormatting>
  <conditionalFormatting sqref="E13:K13 F14:K18">
    <cfRule type="expression" dxfId="65" priority="28">
      <formula>ISEVEN($A13)</formula>
    </cfRule>
  </conditionalFormatting>
  <conditionalFormatting sqref="E20:K20 F21:K25">
    <cfRule type="expression" dxfId="64" priority="27">
      <formula>ISEVEN($A20)</formula>
    </cfRule>
  </conditionalFormatting>
  <conditionalFormatting sqref="E27:K27 F28:K32">
    <cfRule type="expression" dxfId="63" priority="26">
      <formula>ISEVEN($A27)</formula>
    </cfRule>
  </conditionalFormatting>
  <conditionalFormatting sqref="E34:K34 F35:K39">
    <cfRule type="expression" dxfId="62" priority="25">
      <formula>ISEVEN($A34)</formula>
    </cfRule>
  </conditionalFormatting>
  <conditionalFormatting sqref="E41:K41 F42:K46">
    <cfRule type="expression" dxfId="61" priority="24">
      <formula>ISEVEN($A41)</formula>
    </cfRule>
  </conditionalFormatting>
  <conditionalFormatting sqref="E48:K48 F49:K53">
    <cfRule type="expression" dxfId="60" priority="23">
      <formula>ISEVEN($A48)</formula>
    </cfRule>
  </conditionalFormatting>
  <conditionalFormatting sqref="E55:K55 F56:K60">
    <cfRule type="expression" dxfId="59" priority="22">
      <formula>ISEVEN($A55)</formula>
    </cfRule>
  </conditionalFormatting>
  <conditionalFormatting sqref="E62:K62 F63:K67">
    <cfRule type="expression" dxfId="58" priority="21">
      <formula>ISEVEN($A62)</formula>
    </cfRule>
  </conditionalFormatting>
  <conditionalFormatting sqref="E69:K69 F70:K74">
    <cfRule type="expression" dxfId="57" priority="20">
      <formula>ISEVEN($A69)</formula>
    </cfRule>
  </conditionalFormatting>
  <conditionalFormatting sqref="E76:K76 F77:K81">
    <cfRule type="expression" dxfId="56" priority="19">
      <formula>ISEVEN($A76)</formula>
    </cfRule>
  </conditionalFormatting>
  <conditionalFormatting sqref="E83:K83 F84:K88">
    <cfRule type="expression" dxfId="55" priority="18">
      <formula>ISEVEN($A83)</formula>
    </cfRule>
  </conditionalFormatting>
  <conditionalFormatting sqref="F6:K11 F13:K18 F20:K25 F27:K32 F34:K39 F41:K46 F48:K53 F55:K60 F62:K67 F69:K74 F76:K81 F83:K88">
    <cfRule type="expression" dxfId="54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LIDER!H4</f>
        <v>0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CONCATENATE(LIDER!H4," - ",LIDER!H6," - ",LIDER!H5)</f>
        <v xml:space="preserve"> -  - 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IF('S-ASIG-06'!D5="","",'S-ASIG-06'!D5)</f>
        <v>LIST</v>
      </c>
      <c r="D5" s="35" t="s">
        <v>81</v>
      </c>
      <c r="E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SARA OYOLA MARTINEZ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YINA MARCELA PÉREZ PINEDA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JABES ELIAS ROSERO VILLA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ISAIAS FERNANDO SALCEDO CAICEDO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IF('S-ASIG-06'!D12="","",'S-ASIG-06'!D12)</f>
        <v>LIST</v>
      </c>
      <c r="D12" s="35" t="s">
        <v>81</v>
      </c>
      <c r="E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JORGE ALBERTO BATISTA TABORDA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JEREMY MACOLL DIAZ PEREZ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DARIANY PEÑARANDA LLACH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MARIANGEL ROMERO VANEGAS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IF('S-ASIG-06'!D19="","",'S-ASIG-06'!D19)</f>
        <v>LIST</v>
      </c>
      <c r="D19" s="35" t="s">
        <v>81</v>
      </c>
      <c r="E19" s="198" t="str">
        <f>LIDER!$E$31</f>
        <v>GRUPO#3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>
        <f>LIDER!G43</f>
        <v>0</v>
      </c>
      <c r="C20" s="33" t="str">
        <f>IF('S-ASIG-06'!D20="","",'S-ASIG-06'!D20)</f>
        <v/>
      </c>
      <c r="D20" s="30" t="str">
        <f>IF(B20=0,"",IF(C20="",$E$20*LIDER!$H$19+F20*LIDER!$H$20+G20*LIDER!$H$21+H20*LIDER!$H$22+I20*LIDER!$H$23+J20*LIDER!$H$24+K20*LIDER!$H$25,"N"))</f>
        <v/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IF('S-ASIG-06'!D21="","",'S-ASIG-06'!D21)</f>
        <v/>
      </c>
      <c r="D21" s="30" t="str">
        <f>IF(B21=0,"",IF(C21="",$E$20*LIDER!$H$19+F21*LIDER!$H$20+G21*LIDER!$H$21+H21*LIDER!$H$22+I21*LIDER!$H$23+J21*LIDER!$H$24+K21*LIDER!$H$25,"N"))</f>
        <v/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IF('S-ASIG-06'!D22="","",'S-ASIG-06'!D22)</f>
        <v/>
      </c>
      <c r="D22" s="30" t="str">
        <f>IF(B22=0,"",IF(C22="",$E$20*LIDER!$H$19+F22*LIDER!$H$20+G22*LIDER!$H$21+H22*LIDER!$H$22+I22*LIDER!$H$23+J22*LIDER!$H$24+K22*LIDER!$H$25,"N"))</f>
        <v/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IF('S-ASIG-06'!D26="","",'S-ASIG-06'!D26)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IF('S-ASIG-06'!D33="","",'S-ASIG-06'!D33)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IF('S-ASIG-06'!D40="","",'S-ASIG-06'!D40)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IF('S-ASIG-06'!D47="","",'S-ASIG-06'!D47)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IF('S-ASIG-06'!D54="","",'S-ASIG-06'!D54)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IF('S-ASIG-06'!D61="","",'S-ASIG-06'!D61)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IF('S-ASIG-06'!D68="","",'S-ASIG-06'!D68)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IF('S-ASIG-06'!D75="","",'S-ASIG-06'!D75)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IF('S-ASIG-06'!D82="","",'S-ASIG-06'!D82)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3" priority="14">
      <formula>ISEVEN($A6)</formula>
    </cfRule>
  </conditionalFormatting>
  <conditionalFormatting sqref="A13:B18 D13:D18">
    <cfRule type="expression" dxfId="52" priority="13">
      <formula>ISEVEN($A13)</formula>
    </cfRule>
  </conditionalFormatting>
  <conditionalFormatting sqref="A20:B25 D20:D25">
    <cfRule type="expression" dxfId="51" priority="12">
      <formula>ISEVEN($A20)</formula>
    </cfRule>
  </conditionalFormatting>
  <conditionalFormatting sqref="A27:B32 D27:D32">
    <cfRule type="expression" dxfId="50" priority="11">
      <formula>ISEVEN($A27)</formula>
    </cfRule>
  </conditionalFormatting>
  <conditionalFormatting sqref="A34:B39 D34:D39">
    <cfRule type="expression" dxfId="49" priority="10">
      <formula>ISEVEN($A34)</formula>
    </cfRule>
  </conditionalFormatting>
  <conditionalFormatting sqref="A41:B46 D41:D46">
    <cfRule type="expression" dxfId="48" priority="9">
      <formula>ISEVEN($A41)</formula>
    </cfRule>
  </conditionalFormatting>
  <conditionalFormatting sqref="A48:B53 D48:D53">
    <cfRule type="expression" dxfId="47" priority="8">
      <formula>ISEVEN($A48)</formula>
    </cfRule>
  </conditionalFormatting>
  <conditionalFormatting sqref="A55:B60 D55:D60">
    <cfRule type="expression" dxfId="46" priority="7">
      <formula>ISEVEN($A55)</formula>
    </cfRule>
  </conditionalFormatting>
  <conditionalFormatting sqref="A62:B67 D62:D67">
    <cfRule type="expression" dxfId="45" priority="6">
      <formula>ISEVEN($A62)</formula>
    </cfRule>
  </conditionalFormatting>
  <conditionalFormatting sqref="A69:B74 D69:D74">
    <cfRule type="expression" dxfId="44" priority="5">
      <formula>ISEVEN($A69)</formula>
    </cfRule>
  </conditionalFormatting>
  <conditionalFormatting sqref="A76:B81 D76:D81">
    <cfRule type="expression" dxfId="43" priority="4">
      <formula>ISEVEN($A76)</formula>
    </cfRule>
  </conditionalFormatting>
  <conditionalFormatting sqref="A83:B88 D83:D88">
    <cfRule type="expression" dxfId="42" priority="3">
      <formula>ISEVEN($A83)</formula>
    </cfRule>
  </conditionalFormatting>
  <conditionalFormatting sqref="B6:B88">
    <cfRule type="cellIs" dxfId="41" priority="2" operator="equal">
      <formula>0</formula>
    </cfRule>
  </conditionalFormatting>
  <conditionalFormatting sqref="C5 B6:D88">
    <cfRule type="expression" dxfId="40" priority="1">
      <formula>$C5="N"</formula>
    </cfRule>
  </conditionalFormatting>
  <conditionalFormatting sqref="E6:K6 F7:K11">
    <cfRule type="expression" dxfId="39" priority="29">
      <formula>ISEVEN($A6)</formula>
    </cfRule>
  </conditionalFormatting>
  <conditionalFormatting sqref="E13:K13 F14:K18">
    <cfRule type="expression" dxfId="38" priority="28">
      <formula>ISEVEN($A13)</formula>
    </cfRule>
  </conditionalFormatting>
  <conditionalFormatting sqref="E20:K20 F21:K25">
    <cfRule type="expression" dxfId="37" priority="27">
      <formula>ISEVEN($A20)</formula>
    </cfRule>
  </conditionalFormatting>
  <conditionalFormatting sqref="E27:K27 F28:K32">
    <cfRule type="expression" dxfId="36" priority="26">
      <formula>ISEVEN($A27)</formula>
    </cfRule>
  </conditionalFormatting>
  <conditionalFormatting sqref="E34:K34 F35:K39">
    <cfRule type="expression" dxfId="35" priority="25">
      <formula>ISEVEN($A34)</formula>
    </cfRule>
  </conditionalFormatting>
  <conditionalFormatting sqref="E41:K41 F42:K46">
    <cfRule type="expression" dxfId="34" priority="24">
      <formula>ISEVEN($A41)</formula>
    </cfRule>
  </conditionalFormatting>
  <conditionalFormatting sqref="E48:K48 F49:K53">
    <cfRule type="expression" dxfId="33" priority="23">
      <formula>ISEVEN($A48)</formula>
    </cfRule>
  </conditionalFormatting>
  <conditionalFormatting sqref="E55:K55 F56:K60">
    <cfRule type="expression" dxfId="32" priority="22">
      <formula>ISEVEN($A55)</formula>
    </cfRule>
  </conditionalFormatting>
  <conditionalFormatting sqref="E62:K62 F63:K67">
    <cfRule type="expression" dxfId="31" priority="21">
      <formula>ISEVEN($A62)</formula>
    </cfRule>
  </conditionalFormatting>
  <conditionalFormatting sqref="E69:K69 F70:K74">
    <cfRule type="expression" dxfId="30" priority="20">
      <formula>ISEVEN($A69)</formula>
    </cfRule>
  </conditionalFormatting>
  <conditionalFormatting sqref="E76:K76 F77:K81">
    <cfRule type="expression" dxfId="29" priority="19">
      <formula>ISEVEN($A76)</formula>
    </cfRule>
  </conditionalFormatting>
  <conditionalFormatting sqref="E83:K83 F84:K88">
    <cfRule type="expression" dxfId="28" priority="18">
      <formula>ISEVEN($A83)</formula>
    </cfRule>
  </conditionalFormatting>
  <conditionalFormatting sqref="F6:K11 F13:K18 F20:K25 F27:K32 F34:K39 F41:K46 F48:K53 F55:K60 F62:K67 F69:K74 F76:K81 F83:K88">
    <cfRule type="expression" dxfId="27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E13" sqref="E13:E1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CONCATENATE(LIDER!I4," - ",LIDER!I6," - ",LIDER!I5)</f>
        <v xml:space="preserve"> -  - 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IF('S-ASIG-07'!D5="","",'S-ASIG-07'!D5)</f>
        <v>LIST</v>
      </c>
      <c r="D5" s="35" t="s">
        <v>81</v>
      </c>
      <c r="E5" s="198" t="str">
        <f>LIDER!$E$29</f>
        <v>GRUPO#1. Identificación de los aspectos legales, tributarios, administrativos, macroeconómicos, aduaneros, tecnológicos e internacionales que definen el perfil de Yara Colombia S.A. en los negocios internacionales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SARA OYOLA MARTINEZ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YINA MARCELA PÉREZ PINEDA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JABES ELIAS ROSERO VILLA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ISAIAS FERNANDO SALCEDO CAICEDO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IF('S-ASIG-07'!D12="","",'S-ASIG-07'!D12)</f>
        <v>LIST</v>
      </c>
      <c r="D12" s="35" t="s">
        <v>81</v>
      </c>
      <c r="E12" s="198" t="str">
        <f>LIDER!$E$30</f>
        <v>GRUPO#2. Identificación de los aspectos legales, tributarios, administrativos, macroeconómicos, aduaneros, tecnológicos e internacionales que definen el perfil de Grupo Familia en los negocios internacionales con enfoque en la exportación hacia Estados Unidos.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JORGE ALBERTO BATISTA TABORDA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JEREMY MACOLL DIAZ PEREZ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DARIANY PEÑARANDA LLACH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MARIANGEL ROMERO VANEGAS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IF('S-ASIG-07'!D19="","",'S-ASIG-07'!D19)</f>
        <v>LIST</v>
      </c>
      <c r="D19" s="35" t="s">
        <v>81</v>
      </c>
      <c r="E19" s="198" t="str">
        <f>LIDER!$E$31</f>
        <v>GRUPO#3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>
        <f>LIDER!G43</f>
        <v>0</v>
      </c>
      <c r="C20" s="33" t="str">
        <f>IF('S-ASIG-07'!D20="","",'S-ASIG-07'!D20)</f>
        <v/>
      </c>
      <c r="D20" s="30" t="str">
        <f>IF(B20=0,"",IF(C20="",$E$20*LIDER!$H$19+F20*LIDER!$H$20+G20*LIDER!$H$21+H20*LIDER!$H$22+I20*LIDER!$H$23+J20*LIDER!$H$24+K20*LIDER!$H$25,"N"))</f>
        <v/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IF('S-ASIG-07'!D21="","",'S-ASIG-07'!D21)</f>
        <v/>
      </c>
      <c r="D21" s="30" t="str">
        <f>IF(B21=0,"",IF(C21="",$E$20*LIDER!$H$19+F21*LIDER!$H$20+G21*LIDER!$H$21+H21*LIDER!$H$22+I21*LIDER!$H$23+J21*LIDER!$H$24+K21*LIDER!$H$25,"N"))</f>
        <v/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IF('S-ASIG-07'!D22="","",'S-ASIG-07'!D22)</f>
        <v/>
      </c>
      <c r="D22" s="30" t="str">
        <f>IF(B22=0,"",IF(C22="",$E$20*LIDER!$H$19+F22*LIDER!$H$20+G22*LIDER!$H$21+H22*LIDER!$H$22+I22*LIDER!$H$23+J22*LIDER!$H$24+K22*LIDER!$H$25,"N"))</f>
        <v/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IF('S-ASIG-07'!D26="","",'S-ASIG-07'!D26)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IF('S-ASIG-07'!D33="","",'S-ASIG-07'!D33)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IF('S-ASIG-07'!D40="","",'S-ASIG-07'!D40)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IF('S-ASIG-07'!D47="","",'S-ASIG-07'!D47)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IF('S-ASIG-07'!D54="","",'S-ASIG-07'!D54)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IF('S-ASIG-07'!D61="","",'S-ASIG-07'!D61)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IF('S-ASIG-07'!D68="","",'S-ASIG-07'!D68)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IF('S-ASIG-07'!D75="","",'S-ASIG-07'!D75)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IF('S-ASIG-07'!D82="","",'S-ASIG-07'!D82)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26" priority="14">
      <formula>ISEVEN($A6)</formula>
    </cfRule>
  </conditionalFormatting>
  <conditionalFormatting sqref="A13:B18 D13:D18">
    <cfRule type="expression" dxfId="25" priority="13">
      <formula>ISEVEN($A13)</formula>
    </cfRule>
  </conditionalFormatting>
  <conditionalFormatting sqref="A20:B25 D20:D25">
    <cfRule type="expression" dxfId="24" priority="12">
      <formula>ISEVEN($A20)</formula>
    </cfRule>
  </conditionalFormatting>
  <conditionalFormatting sqref="A27:B32 D27:D32">
    <cfRule type="expression" dxfId="23" priority="11">
      <formula>ISEVEN($A27)</formula>
    </cfRule>
  </conditionalFormatting>
  <conditionalFormatting sqref="A34:B39 D34:D39">
    <cfRule type="expression" dxfId="22" priority="10">
      <formula>ISEVEN($A34)</formula>
    </cfRule>
  </conditionalFormatting>
  <conditionalFormatting sqref="A41:B46 D41:D46">
    <cfRule type="expression" dxfId="21" priority="9">
      <formula>ISEVEN($A41)</formula>
    </cfRule>
  </conditionalFormatting>
  <conditionalFormatting sqref="A48:B53 D48:D53">
    <cfRule type="expression" dxfId="20" priority="8">
      <formula>ISEVEN($A48)</formula>
    </cfRule>
  </conditionalFormatting>
  <conditionalFormatting sqref="A55:B60 D55:D60">
    <cfRule type="expression" dxfId="19" priority="7">
      <formula>ISEVEN($A55)</formula>
    </cfRule>
  </conditionalFormatting>
  <conditionalFormatting sqref="A62:B67 D62:D67">
    <cfRule type="expression" dxfId="18" priority="6">
      <formula>ISEVEN($A62)</formula>
    </cfRule>
  </conditionalFormatting>
  <conditionalFormatting sqref="A69:B74 D69:D74">
    <cfRule type="expression" dxfId="17" priority="5">
      <formula>ISEVEN($A69)</formula>
    </cfRule>
  </conditionalFormatting>
  <conditionalFormatting sqref="A76:B81 D76:D81">
    <cfRule type="expression" dxfId="16" priority="4">
      <formula>ISEVEN($A76)</formula>
    </cfRule>
  </conditionalFormatting>
  <conditionalFormatting sqref="A83:B88 D83:D88">
    <cfRule type="expression" dxfId="15" priority="3">
      <formula>ISEVEN($A83)</formula>
    </cfRule>
  </conditionalFormatting>
  <conditionalFormatting sqref="B6:B88">
    <cfRule type="cellIs" dxfId="14" priority="2" operator="equal">
      <formula>0</formula>
    </cfRule>
  </conditionalFormatting>
  <conditionalFormatting sqref="C5 B6:D88">
    <cfRule type="expression" dxfId="13" priority="1">
      <formula>$C5="N"</formula>
    </cfRule>
  </conditionalFormatting>
  <conditionalFormatting sqref="E6:K6 F7:K11">
    <cfRule type="expression" dxfId="12" priority="29">
      <formula>ISEVEN($A6)</formula>
    </cfRule>
  </conditionalFormatting>
  <conditionalFormatting sqref="E13:K13 F14:K18">
    <cfRule type="expression" dxfId="11" priority="28">
      <formula>ISEVEN($A13)</formula>
    </cfRule>
  </conditionalFormatting>
  <conditionalFormatting sqref="E20:K20 F21:K25">
    <cfRule type="expression" dxfId="10" priority="27">
      <formula>ISEVEN($A20)</formula>
    </cfRule>
  </conditionalFormatting>
  <conditionalFormatting sqref="E27:K27 F28:K32">
    <cfRule type="expression" dxfId="9" priority="26">
      <formula>ISEVEN($A27)</formula>
    </cfRule>
  </conditionalFormatting>
  <conditionalFormatting sqref="E34:K34 F35:K39">
    <cfRule type="expression" dxfId="8" priority="25">
      <formula>ISEVEN($A34)</formula>
    </cfRule>
  </conditionalFormatting>
  <conditionalFormatting sqref="E41:K41 F42:K46">
    <cfRule type="expression" dxfId="7" priority="24">
      <formula>ISEVEN($A41)</formula>
    </cfRule>
  </conditionalFormatting>
  <conditionalFormatting sqref="E48:K48 F49:K53">
    <cfRule type="expression" dxfId="6" priority="23">
      <formula>ISEVEN($A48)</formula>
    </cfRule>
  </conditionalFormatting>
  <conditionalFormatting sqref="E55:K55 F56:K60">
    <cfRule type="expression" dxfId="5" priority="22">
      <formula>ISEVEN($A55)</formula>
    </cfRule>
  </conditionalFormatting>
  <conditionalFormatting sqref="E62:K62 F63:K67">
    <cfRule type="expression" dxfId="4" priority="21">
      <formula>ISEVEN($A62)</formula>
    </cfRule>
  </conditionalFormatting>
  <conditionalFormatting sqref="E69:K69 F70:K74">
    <cfRule type="expression" dxfId="3" priority="20">
      <formula>ISEVEN($A69)</formula>
    </cfRule>
  </conditionalFormatting>
  <conditionalFormatting sqref="E76:K76 F77:K81">
    <cfRule type="expression" dxfId="2" priority="19">
      <formula>ISEVEN($A76)</formula>
    </cfRule>
  </conditionalFormatting>
  <conditionalFormatting sqref="E83:K83 F84:K88">
    <cfRule type="expression" dxfId="1" priority="18">
      <formula>ISEVEN($A83)</formula>
    </cfRule>
  </conditionalFormatting>
  <conditionalFormatting sqref="F6:K11 F13:K18 F20:K25 F27:K32 F34:K39 F41:K46 F48:K53 F55:K60 F62:K67 F69:K74 F76:K81 F83:K88">
    <cfRule type="expression" dxfId="0" priority="15">
      <formula>$D6="N"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ANGELICA PAOLA DOMINGUEZ CASTELLAR</cp:lastModifiedBy>
  <cp:revision/>
  <dcterms:created xsi:type="dcterms:W3CDTF">2025-09-29T20:45:44Z</dcterms:created>
  <dcterms:modified xsi:type="dcterms:W3CDTF">2026-05-22T21:27:35Z</dcterms:modified>
  <cp:category/>
  <cp:contentStatus/>
</cp:coreProperties>
</file>