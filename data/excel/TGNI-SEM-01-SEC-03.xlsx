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proyecto_aula_tecnocomfenalco_edu_co/Documents/2026-1-Rubricas-PA/TEC-GEST-Negocios Internacionales/SEMESTRE-1/"/>
    </mc:Choice>
  </mc:AlternateContent>
  <xr:revisionPtr revIDLastSave="1691" documentId="13_ncr:1_{F7DB80CE-99B5-4F85-B6C8-B78B72844716}" xr6:coauthVersionLast="47" xr6:coauthVersionMax="47" xr10:uidLastSave="{B10429FC-7D6B-4B3F-A2EB-A5D941063AC3}"/>
  <bookViews>
    <workbookView xWindow="-120" yWindow="-120" windowWidth="20730" windowHeight="11040" tabRatio="812" firstSheet="15" activeTab="15" xr2:uid="{53EFF842-CF50-4897-B8D7-13D059DA06F8}"/>
  </bookViews>
  <sheets>
    <sheet name="LIDER" sheetId="2" r:id="rId1"/>
    <sheet name="S-ASIG-01" sheetId="9" state="hidden" r:id="rId2"/>
    <sheet name="S-ASIG-02" sheetId="10" state="hidden" r:id="rId3"/>
    <sheet name="S-ASIG-03" sheetId="11" state="hidden" r:id="rId4"/>
    <sheet name="S-ASIG-04" sheetId="12" state="hidden" r:id="rId5"/>
    <sheet name="S-ASIG-05" sheetId="13" state="hidden" r:id="rId6"/>
    <sheet name="S-ASIG-06" sheetId="14" state="hidden" r:id="rId7"/>
    <sheet name="S-ASIG-07" sheetId="15" state="hidden" r:id="rId8"/>
    <sheet name="T-ASIG-01" sheetId="1" r:id="rId9"/>
    <sheet name="T-ASIG-02" sheetId="3" r:id="rId10"/>
    <sheet name="T-ASIG-03" sheetId="4" r:id="rId11"/>
    <sheet name="T-ASIG-04" sheetId="5" r:id="rId12"/>
    <sheet name="T-ASIG-05" sheetId="6" r:id="rId13"/>
    <sheet name="T-ASIG-06" sheetId="7" r:id="rId14"/>
    <sheet name="T-ASIG-07" sheetId="16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8" l="1"/>
  <c r="C50" i="8"/>
  <c r="C51" i="8"/>
  <c r="C52" i="8"/>
  <c r="C53" i="8"/>
  <c r="C54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9" i="7" l="1"/>
  <c r="D48" i="4"/>
  <c r="D22" i="3"/>
  <c r="D22" i="5"/>
  <c r="D22" i="7"/>
  <c r="D21" i="16"/>
  <c r="D20" i="5"/>
  <c r="D10" i="4"/>
  <c r="E6" i="9"/>
  <c r="C5" i="8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F5" i="9"/>
  <c r="B2" i="9"/>
  <c r="A1" i="9"/>
  <c r="P4" i="8"/>
  <c r="Q4" i="8"/>
  <c r="R4" i="8"/>
  <c r="S4" i="8"/>
  <c r="T4" i="8"/>
  <c r="O4" i="8"/>
  <c r="H6" i="8"/>
  <c r="H7" i="8"/>
  <c r="I9" i="8"/>
  <c r="I14" i="8"/>
  <c r="H5" i="8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E67" i="9" l="1"/>
  <c r="C48" i="8"/>
  <c r="E7" i="9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I6" i="8"/>
  <c r="H50" i="8"/>
  <c r="M50" i="8"/>
  <c r="L50" i="8"/>
  <c r="D50" i="8"/>
  <c r="I50" i="8"/>
  <c r="K50" i="8"/>
  <c r="J50" i="8"/>
  <c r="O50" i="8"/>
  <c r="P50" i="8"/>
  <c r="Q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P46" i="8"/>
  <c r="Q46" i="8"/>
  <c r="R46" i="8"/>
  <c r="S46" i="8"/>
  <c r="T46" i="8"/>
  <c r="U46" i="8"/>
  <c r="H46" i="8"/>
  <c r="M46" i="8"/>
  <c r="I46" i="8"/>
  <c r="D46" i="8" s="1"/>
  <c r="K45" i="8"/>
  <c r="J45" i="8"/>
  <c r="P45" i="8"/>
  <c r="Q45" i="8"/>
  <c r="R45" i="8"/>
  <c r="S45" i="8"/>
  <c r="T45" i="8"/>
  <c r="U45" i="8"/>
  <c r="H45" i="8"/>
  <c r="M45" i="8"/>
  <c r="I45" i="8"/>
  <c r="L45" i="8"/>
  <c r="G45" i="8"/>
  <c r="D45" i="8" s="1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R44" i="8"/>
  <c r="S44" i="8"/>
  <c r="T44" i="8"/>
  <c r="U44" i="8"/>
  <c r="H44" i="8"/>
  <c r="M44" i="8"/>
  <c r="I44" i="8"/>
  <c r="L44" i="8"/>
  <c r="G44" i="8"/>
  <c r="D44" i="8" s="1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M43" i="8"/>
  <c r="I43" i="8"/>
  <c r="L43" i="8"/>
  <c r="G43" i="8"/>
  <c r="K43" i="8"/>
  <c r="O43" i="8"/>
  <c r="Q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S42" i="8"/>
  <c r="T42" i="8"/>
  <c r="U42" i="8"/>
  <c r="H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O47" i="8"/>
  <c r="P47" i="8"/>
  <c r="Q47" i="8"/>
  <c r="R47" i="8"/>
  <c r="S47" i="8"/>
  <c r="T47" i="8"/>
  <c r="U47" i="8"/>
  <c r="H47" i="8"/>
  <c r="M47" i="8"/>
  <c r="D47" i="8" s="1"/>
  <c r="M48" i="8"/>
  <c r="L48" i="8"/>
  <c r="G48" i="8"/>
  <c r="K48" i="8"/>
  <c r="I48" i="8"/>
  <c r="J48" i="8"/>
  <c r="O48" i="8"/>
  <c r="P48" i="8"/>
  <c r="Q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O39" i="8"/>
  <c r="G39" i="8"/>
  <c r="P39" i="8"/>
  <c r="Q39" i="8"/>
  <c r="R39" i="8"/>
  <c r="S39" i="8"/>
  <c r="U39" i="8"/>
  <c r="T39" i="8"/>
  <c r="R35" i="8"/>
  <c r="S35" i="8"/>
  <c r="G35" i="8"/>
  <c r="T35" i="8"/>
  <c r="U35" i="8"/>
  <c r="Q35" i="8"/>
  <c r="P35" i="8"/>
  <c r="O35" i="8"/>
  <c r="R27" i="8"/>
  <c r="S27" i="8"/>
  <c r="T27" i="8"/>
  <c r="G27" i="8"/>
  <c r="U27" i="8"/>
  <c r="Q27" i="8"/>
  <c r="O27" i="8"/>
  <c r="P27" i="8"/>
  <c r="R19" i="8"/>
  <c r="S19" i="8"/>
  <c r="G19" i="8"/>
  <c r="T19" i="8"/>
  <c r="U19" i="8"/>
  <c r="O19" i="8"/>
  <c r="Q19" i="8"/>
  <c r="P19" i="8"/>
  <c r="R11" i="8"/>
  <c r="G11" i="8"/>
  <c r="S11" i="8"/>
  <c r="T11" i="8"/>
  <c r="U11" i="8"/>
  <c r="Q11" i="8"/>
  <c r="O11" i="8"/>
  <c r="P11" i="8"/>
  <c r="S26" i="8"/>
  <c r="T26" i="8"/>
  <c r="U26" i="8"/>
  <c r="O26" i="8"/>
  <c r="G26" i="8"/>
  <c r="R26" i="8"/>
  <c r="P26" i="8"/>
  <c r="Q26" i="8"/>
  <c r="S10" i="8"/>
  <c r="T10" i="8"/>
  <c r="U10" i="8"/>
  <c r="O10" i="8"/>
  <c r="G10" i="8"/>
  <c r="R10" i="8"/>
  <c r="P10" i="8"/>
  <c r="Q10" i="8"/>
  <c r="T33" i="8"/>
  <c r="U33" i="8"/>
  <c r="O33" i="8"/>
  <c r="G33" i="8"/>
  <c r="P33" i="8"/>
  <c r="S33" i="8"/>
  <c r="Q33" i="8"/>
  <c r="R33" i="8"/>
  <c r="T25" i="8"/>
  <c r="U25" i="8"/>
  <c r="O25" i="8"/>
  <c r="G25" i="8"/>
  <c r="P25" i="8"/>
  <c r="Q25" i="8"/>
  <c r="S25" i="8"/>
  <c r="R25" i="8"/>
  <c r="T17" i="8"/>
  <c r="U17" i="8"/>
  <c r="O17" i="8"/>
  <c r="G17" i="8"/>
  <c r="P17" i="8"/>
  <c r="S17" i="8"/>
  <c r="Q17" i="8"/>
  <c r="R17" i="8"/>
  <c r="T9" i="8"/>
  <c r="U9" i="8"/>
  <c r="O9" i="8"/>
  <c r="G9" i="8"/>
  <c r="P9" i="8"/>
  <c r="Q9" i="8"/>
  <c r="S9" i="8"/>
  <c r="R9" i="8"/>
  <c r="U32" i="8"/>
  <c r="O32" i="8"/>
  <c r="G32" i="8"/>
  <c r="P32" i="8"/>
  <c r="Q32" i="8"/>
  <c r="R32" i="8"/>
  <c r="T32" i="8"/>
  <c r="S32" i="8"/>
  <c r="U24" i="8"/>
  <c r="O24" i="8"/>
  <c r="G24" i="8"/>
  <c r="P24" i="8"/>
  <c r="Q24" i="8"/>
  <c r="T24" i="8"/>
  <c r="R24" i="8"/>
  <c r="S24" i="8"/>
  <c r="U16" i="8"/>
  <c r="O16" i="8"/>
  <c r="G16" i="8"/>
  <c r="P16" i="8"/>
  <c r="Q16" i="8"/>
  <c r="R16" i="8"/>
  <c r="T16" i="8"/>
  <c r="S16" i="8"/>
  <c r="U8" i="8"/>
  <c r="O8" i="8"/>
  <c r="G8" i="8"/>
  <c r="P8" i="8"/>
  <c r="Q8" i="8"/>
  <c r="R8" i="8"/>
  <c r="T8" i="8"/>
  <c r="S8" i="8"/>
  <c r="O23" i="8"/>
  <c r="G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T15" i="8"/>
  <c r="O38" i="8"/>
  <c r="G38" i="8"/>
  <c r="P38" i="8"/>
  <c r="Q38" i="8"/>
  <c r="R38" i="8"/>
  <c r="S38" i="8"/>
  <c r="T38" i="8"/>
  <c r="U38" i="8"/>
  <c r="O30" i="8"/>
  <c r="G30" i="8"/>
  <c r="P30" i="8"/>
  <c r="Q30" i="8"/>
  <c r="R30" i="8"/>
  <c r="S30" i="8"/>
  <c r="T30" i="8"/>
  <c r="U30" i="8"/>
  <c r="O22" i="8"/>
  <c r="G22" i="8"/>
  <c r="P22" i="8"/>
  <c r="Q22" i="8"/>
  <c r="R22" i="8"/>
  <c r="S22" i="8"/>
  <c r="T22" i="8"/>
  <c r="U22" i="8"/>
  <c r="O14" i="8"/>
  <c r="G14" i="8"/>
  <c r="P14" i="8"/>
  <c r="Q14" i="8"/>
  <c r="R14" i="8"/>
  <c r="S14" i="8"/>
  <c r="T14" i="8"/>
  <c r="U14" i="8"/>
  <c r="S34" i="8"/>
  <c r="T34" i="8"/>
  <c r="U34" i="8"/>
  <c r="O34" i="8"/>
  <c r="G34" i="8"/>
  <c r="P34" i="8"/>
  <c r="R34" i="8"/>
  <c r="Q34" i="8"/>
  <c r="O31" i="8"/>
  <c r="G31" i="8"/>
  <c r="P31" i="8"/>
  <c r="Q31" i="8"/>
  <c r="R31" i="8"/>
  <c r="S31" i="8"/>
  <c r="U31" i="8"/>
  <c r="T31" i="8"/>
  <c r="P37" i="8"/>
  <c r="Q37" i="8"/>
  <c r="R37" i="8"/>
  <c r="U37" i="8"/>
  <c r="S37" i="8"/>
  <c r="T37" i="8"/>
  <c r="O37" i="8"/>
  <c r="G37" i="8"/>
  <c r="P29" i="8"/>
  <c r="Q29" i="8"/>
  <c r="R29" i="8"/>
  <c r="S29" i="8"/>
  <c r="T29" i="8"/>
  <c r="O29" i="8"/>
  <c r="G29" i="8"/>
  <c r="U29" i="8"/>
  <c r="P21" i="8"/>
  <c r="U21" i="8"/>
  <c r="Q21" i="8"/>
  <c r="R21" i="8"/>
  <c r="S21" i="8"/>
  <c r="T21" i="8"/>
  <c r="O21" i="8"/>
  <c r="G21" i="8"/>
  <c r="P13" i="8"/>
  <c r="Q13" i="8"/>
  <c r="R13" i="8"/>
  <c r="S13" i="8"/>
  <c r="T13" i="8"/>
  <c r="U13" i="8"/>
  <c r="O13" i="8"/>
  <c r="G13" i="8"/>
  <c r="Q36" i="8"/>
  <c r="R36" i="8"/>
  <c r="S36" i="8"/>
  <c r="T36" i="8"/>
  <c r="U36" i="8"/>
  <c r="P36" i="8"/>
  <c r="G36" i="8"/>
  <c r="O36" i="8"/>
  <c r="Q28" i="8"/>
  <c r="R28" i="8"/>
  <c r="S28" i="8"/>
  <c r="T28" i="8"/>
  <c r="U28" i="8"/>
  <c r="P28" i="8"/>
  <c r="G28" i="8"/>
  <c r="O28" i="8"/>
  <c r="Q20" i="8"/>
  <c r="R20" i="8"/>
  <c r="S20" i="8"/>
  <c r="T20" i="8"/>
  <c r="U20" i="8"/>
  <c r="P20" i="8"/>
  <c r="G20" i="8"/>
  <c r="O20" i="8"/>
  <c r="Q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E48" i="8" l="1"/>
  <c r="E44" i="8"/>
  <c r="E47" i="8"/>
  <c r="E46" i="8"/>
  <c r="E45" i="8"/>
  <c r="E42" i="8"/>
  <c r="E43" i="8"/>
  <c r="D43" i="8"/>
  <c r="D42" i="8"/>
  <c r="E41" i="8"/>
  <c r="D41" i="8"/>
  <c r="E40" i="8"/>
  <c r="D40" i="8"/>
  <c r="D22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<sst xmlns="http://schemas.openxmlformats.org/spreadsheetml/2006/main" count="727" uniqueCount="142">
  <si>
    <t>TECNOLOGÍA EN GESTIÓN DE NEGOCIOS INTERN</t>
  </si>
  <si>
    <t>SEMESTRE:</t>
  </si>
  <si>
    <t>SEM-01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</si>
  <si>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</si>
  <si>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</si>
  <si>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</si>
  <si>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</si>
  <si>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</si>
  <si>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</si>
  <si>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</si>
  <si>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</si>
  <si>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COMUNICACION ORAL Y ESCRITA</t>
  </si>
  <si>
    <t>FUNDAMENTOS ADMINISTRACIÓN</t>
  </si>
  <si>
    <t>MATEMATICA</t>
  </si>
  <si>
    <t>CULTURA Y DEPORTE</t>
  </si>
  <si>
    <t>PROYECTO DE VIDA</t>
  </si>
  <si>
    <t>CONTABILIDAD GENERAL</t>
  </si>
  <si>
    <t>FUNDAMENTOS DE DERECHO</t>
  </si>
  <si>
    <t>YASMIN GOMEZ MORENO</t>
  </si>
  <si>
    <t>JENNIFER GIRALDO GUZMAN</t>
  </si>
  <si>
    <t>CECILIA PAILLIER GONZALEZ</t>
  </si>
  <si>
    <t>CRHIS MAURO LOPEZ GUZMAN</t>
  </si>
  <si>
    <t>NATALI ÁLVAREZ ATEHORTUA</t>
  </si>
  <si>
    <t>GABRIEL MIRANDA SIERRA</t>
  </si>
  <si>
    <t>GABRIEL JOSE CARRASQUILLA MARRUGO</t>
  </si>
  <si>
    <t>LISTA DE ESTUDIANTES</t>
  </si>
  <si>
    <t>SEGUNDA ENTREGA - CRITERIOS DE EVALUACIÓN DOCUMENTO - SEGUNDO CORTE</t>
  </si>
  <si>
    <t>PONDERACIÓN</t>
  </si>
  <si>
    <t>ADMINISTRACIÓN DE EMPRESAS C.I</t>
  </si>
  <si>
    <t>DYLAN ANDRES CANCHGILA SANCHEZ</t>
  </si>
  <si>
    <t>Calidad de la información recopilada (20%): Se evaluará la calidad de la información recopilada a través del rastreo bibliográfico por medio de fichas bibliográficas para la redacción del resumen.</t>
  </si>
  <si>
    <t>ADMINTRACIÓN EN SEGURIDAD Y SALUD EN EL TRABAJO</t>
  </si>
  <si>
    <t>JUAN DAVID OLMOS CONTRERAS</t>
  </si>
  <si>
    <t>Estructura del Documento (30%):  El documento debe incluir los siguientes aspectos: Portada, Introducción, cuerpo del resumen, Bibliografía y Anexos.</t>
  </si>
  <si>
    <t>CONTADURÍA PÚBLICA</t>
  </si>
  <si>
    <t>BRIGNY VALESKA PALOMINO BOSSIO</t>
  </si>
  <si>
    <t>Claridad de la información recopilada (20%): Se evaluará la claridad de la información recopilada a través del rastreo bibliográfico por medio de fichas bibliográficas para la redacción del resumen.</t>
  </si>
  <si>
    <t>NEGOCIOS INTERNACIONALES PROFESIONAL</t>
  </si>
  <si>
    <t>SARA SOFIA ROZO MORA</t>
  </si>
  <si>
    <t>Coherencia de la información recopilada (20%): Se evaluará la coherencia de la información recopilada a través del rastreo de fichas de revisión bibliográfica para la redacción del resumen.</t>
  </si>
  <si>
    <t>TOMAS ANDRÉS SIMANCAS ROMERO</t>
  </si>
  <si>
    <t>Asesorias individuales (10%): Anexo de la hoja de tutoria firmada por docentes del colectivo (3 fimas minimo).</t>
  </si>
  <si>
    <t>TECNOLOGíA EN GESTION CONTABLE</t>
  </si>
  <si>
    <t>MARÍA ISABEL VARGAS AYAZO</t>
  </si>
  <si>
    <t>TECNOLOGÍA EN GESTIÓN DE MARKETING</t>
  </si>
  <si>
    <t>SANTIAGO ALEJANDRO CASRO ELLES</t>
  </si>
  <si>
    <t>TECNOLOGÍA EN GESTIÓN DEL TALENTO HUMANO</t>
  </si>
  <si>
    <t>SEBASTIAN CERMEÑO MARRUGO2</t>
  </si>
  <si>
    <t>TECNOLOGÍA EN GESTIÓN FINANCIERA</t>
  </si>
  <si>
    <t>YUDI DAYANA DUQUE JIMENEZ</t>
  </si>
  <si>
    <t>TECNOLOGÍA EN GESTIÓN LOGISTICA Y PORTUARIA</t>
  </si>
  <si>
    <t>DEIMER JOSE ORTEGA PALENCIA</t>
  </si>
  <si>
    <t>ENTREGA FINAL - CRITERIO DE EVALUACIÓN SUSTENTACIÓN - TERCER CORTE</t>
  </si>
  <si>
    <t>TECNOLOGÍA EN GESTIÓN TURISTICA Y HOTELERA</t>
  </si>
  <si>
    <t>JULYANA SOFIA PORTO VALENCIA</t>
  </si>
  <si>
    <t>Evaluación del Documento Final</t>
  </si>
  <si>
    <t>ESNAIDER ARRIETA AVILA</t>
  </si>
  <si>
    <t>Sustentación de los Resultados: Se refleja un dominio del tema, la  información está delimitada y es clara. Hay una jerarquía y fluidez en las ideas que presenta.</t>
  </si>
  <si>
    <t>ISABEL SOPHIA CONEO BARRAZA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</si>
  <si>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</si>
  <si>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MARIAM TORRES HERNANDEZ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</si>
  <si>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</si>
  <si>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ISABEL SOFIA TORRES MOLINA</t>
  </si>
  <si>
    <t>Tiempo: El uso del tiempo fue apropiado, se ajusta al previsto.
Ofrece una conclusión donde condensa las ideas principales del objetivo general y los específicos.</t>
  </si>
  <si>
    <t>SANTIAGO EMILIO VEGA BRU</t>
  </si>
  <si>
    <t>Uso de Recursos Audiovisuales Tecnológicos: La sustentación se acompaña de recursos visuales pertinentes, atractivos y de gran calidad</t>
  </si>
  <si>
    <t>GREYSI HERNANDEZ NIETO</t>
  </si>
  <si>
    <t>ESTEFANY NORIEGA DUNCAN</t>
  </si>
  <si>
    <t>SHIRLY RECUERO ROMERO</t>
  </si>
  <si>
    <t>BETZABÉ SALCEDO MERCADO</t>
  </si>
  <si>
    <t>TITULOS DE LOS PROYECTOS DE AULA</t>
  </si>
  <si>
    <t>JUAN SEBASTIAN SMITH SILVA</t>
  </si>
  <si>
    <t>GRUPO#1 FUNDAMENTACIÓN TEÓRICA DE KLAS DISCIPLINAS Y SU APORTE AL PERFIL PROFESIONAL</t>
  </si>
  <si>
    <t>THAIS GABRIELA BLANCO TORRES</t>
  </si>
  <si>
    <t>GRUPO#2  FUNDAMENTACIÓN TEÓRICA DE LAS DISCIPLINAS Y SU APORTE AL PERFIL PROFESIONAL</t>
  </si>
  <si>
    <t>MARIA JOSE CASANOVA PACHECO</t>
  </si>
  <si>
    <t>GRUPO#3 FUNDAMENTACIÓN TEÓRICA DE LAS DISCIPLINAS Y SU APORTE AL PERFIL PROFESIONAL</t>
  </si>
  <si>
    <t>ISELA ALEJANDRA DE HORTA  IBAÑEZ</t>
  </si>
  <si>
    <t>GRUPO#4 FUNDAMENTACIÓN TE´PORICA DE LAAS DISCIPLINAS Y SU APORTE AL PERFIL PROFESIONAL</t>
  </si>
  <si>
    <t>SARAY CAROLINA OTERO THYME</t>
  </si>
  <si>
    <t>GRUPO#5 FUNDAMENTACIÓN TEÓRICA DE LAS DISCIPLINAS Y SU APORTE AL  PERFIL PROFESIONAL</t>
  </si>
  <si>
    <t>VICTOR JAVIER ORTEGA ESPINOSA</t>
  </si>
  <si>
    <t>GRUPO#6 FUNDAMENTACIÓN TEÓRICA DE LAS DISCIPLINAS Y SU APORTE AL PERFIL PROFESIONAL</t>
  </si>
  <si>
    <t>DIEGO BUSTAMANTE CARABALLO</t>
  </si>
  <si>
    <t>GRUPO#7 FUNDAMENTACIÓN TEÓRICA DE LAS DISCIPLINAS Y SU APORTE AL PERFIL PROFESIONAL</t>
  </si>
  <si>
    <t>YULIZA PAHOLA CIPRIAN MONTALVO</t>
  </si>
  <si>
    <t>GRUPO#8 FUNDAMENTACIÓN TEÓRICA DE LAS DISCIPLINAS Y SU APORTE AL PERFIL PROFESIONAL</t>
  </si>
  <si>
    <t>JESUS ALBERTO LARA ANGULO</t>
  </si>
  <si>
    <t>GRUPO#9 FUNDAMENTACIÓN TEÓRICA DE LAS DISCIPLINAS Y SU APORTE AL PERFIL PROFESIONAL</t>
  </si>
  <si>
    <t>MILAGRO CECILIA PEREZ MARTINEZ</t>
  </si>
  <si>
    <t>GRUPO#10</t>
  </si>
  <si>
    <t>MARIA FERNANDA QUIROZ PEREZ</t>
  </si>
  <si>
    <t>GRUPO#11</t>
  </si>
  <si>
    <t>JUAN STIVEN TIRIA COLORADO</t>
  </si>
  <si>
    <t>GRUPO#12</t>
  </si>
  <si>
    <t>GABRIELA AGUDELO VALENCIA</t>
  </si>
  <si>
    <t>OSCAR ANDRES BORRE VÁSQUEZ</t>
  </si>
  <si>
    <t>JANYLOR CAROLINA  CASTRO SARAVIA</t>
  </si>
  <si>
    <t>YUSARI LIÑAN CUADRO</t>
  </si>
  <si>
    <t>DANNA ISABEL MESTRE MARIMÓN</t>
  </si>
  <si>
    <t>ISAAC DAVID NIETO JIMÉNEZ</t>
  </si>
  <si>
    <t>EDGAR DAVID GÓMEZ BARRIOS</t>
  </si>
  <si>
    <t>LUIS MIGUEL GUTIERREZ JARABA</t>
  </si>
  <si>
    <t>SEBASTIAN ELOY HERNÁNDEZ PEÑA</t>
  </si>
  <si>
    <t>VICTOR MANUEL ORTEGA MANOSALVA</t>
  </si>
  <si>
    <t>SANTIAGO PADILLA AYOLA</t>
  </si>
  <si>
    <t>LEINER GARCIA PAEZ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</si>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</sst>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0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3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3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4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0" zoomScaleNormal="80" workbookViewId="0"/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1" customFormat="1" ht="30" customHeight="1" thickBot="1">
      <c r="B2" s="147" t="s">
        <v>0</v>
      </c>
      <c r="C2" s="148"/>
      <c r="D2" s="149"/>
      <c r="E2" s="98" t="s">
        <v>1</v>
      </c>
      <c r="F2" s="99" t="s">
        <v>2</v>
      </c>
      <c r="G2" s="98" t="s">
        <v>3</v>
      </c>
      <c r="H2" s="41">
        <v>3</v>
      </c>
      <c r="I2" s="100"/>
    </row>
    <row r="3" spans="2:9" ht="20.100000000000001" customHeight="1" thickBot="1">
      <c r="C3" s="102" t="s">
        <v>4</v>
      </c>
      <c r="D3" s="103" t="s">
        <v>5</v>
      </c>
      <c r="E3" s="103" t="s">
        <v>6</v>
      </c>
      <c r="F3" s="103" t="s">
        <v>7</v>
      </c>
      <c r="G3" s="103" t="s">
        <v>8</v>
      </c>
      <c r="H3" s="104" t="s">
        <v>9</v>
      </c>
      <c r="I3" s="103" t="s">
        <v>10</v>
      </c>
    </row>
    <row r="4" spans="2:9" ht="24.95" customHeight="1">
      <c r="C4" s="134" t="s">
        <v>11</v>
      </c>
      <c r="D4" s="134" t="s">
        <v>12</v>
      </c>
      <c r="E4" s="134" t="s">
        <v>13</v>
      </c>
      <c r="F4" s="134" t="s">
        <v>14</v>
      </c>
      <c r="G4" s="134" t="s">
        <v>15</v>
      </c>
      <c r="H4" s="135" t="s">
        <v>16</v>
      </c>
      <c r="I4" s="135" t="s">
        <v>17</v>
      </c>
    </row>
    <row r="5" spans="2:9" ht="24.95" customHeight="1" thickBot="1">
      <c r="C5" s="136" t="s">
        <v>18</v>
      </c>
      <c r="D5" s="136" t="s">
        <v>19</v>
      </c>
      <c r="E5" s="136" t="s">
        <v>20</v>
      </c>
      <c r="F5" s="136" t="s">
        <v>21</v>
      </c>
      <c r="G5" s="136" t="s">
        <v>22</v>
      </c>
      <c r="H5" s="137" t="s">
        <v>23</v>
      </c>
      <c r="I5" s="137" t="s">
        <v>24</v>
      </c>
    </row>
    <row r="6" spans="2:9" ht="24.95" customHeight="1" thickBot="1">
      <c r="C6" s="138">
        <v>2342</v>
      </c>
      <c r="D6" s="138">
        <v>1371</v>
      </c>
      <c r="E6" s="138">
        <v>2295</v>
      </c>
      <c r="F6" s="138">
        <v>2316</v>
      </c>
      <c r="G6" s="138">
        <v>1137</v>
      </c>
      <c r="H6" s="138">
        <v>1455</v>
      </c>
      <c r="I6" s="138">
        <v>3376</v>
      </c>
    </row>
    <row r="7" spans="2:9" ht="13.5" thickBot="1"/>
    <row r="8" spans="2:9" ht="20.100000000000001" customHeight="1">
      <c r="B8" s="105"/>
      <c r="C8" s="106" t="s">
        <v>25</v>
      </c>
      <c r="E8" s="150" t="s">
        <v>26</v>
      </c>
      <c r="F8" s="151"/>
      <c r="G8" s="152"/>
      <c r="H8" s="107" t="s">
        <v>27</v>
      </c>
      <c r="I8" s="69" t="s">
        <v>28</v>
      </c>
    </row>
    <row r="9" spans="2:9" ht="15" customHeight="1">
      <c r="B9" s="105">
        <v>1</v>
      </c>
      <c r="C9" s="108" t="s">
        <v>29</v>
      </c>
      <c r="E9" s="153" t="s">
        <v>30</v>
      </c>
      <c r="F9" s="154"/>
      <c r="G9" s="155"/>
      <c r="H9" s="127">
        <v>0.2</v>
      </c>
      <c r="I9" s="69" t="s">
        <v>31</v>
      </c>
    </row>
    <row r="10" spans="2:9" ht="15" customHeight="1">
      <c r="B10" s="105">
        <v>2</v>
      </c>
      <c r="C10" s="108" t="s">
        <v>32</v>
      </c>
      <c r="E10" s="156" t="s">
        <v>33</v>
      </c>
      <c r="F10" s="157"/>
      <c r="G10" s="158"/>
      <c r="H10" s="128">
        <v>0.3</v>
      </c>
      <c r="I10" s="69" t="s">
        <v>34</v>
      </c>
    </row>
    <row r="11" spans="2:9" ht="15" customHeight="1">
      <c r="B11" s="105">
        <v>3</v>
      </c>
      <c r="C11" s="108" t="s">
        <v>35</v>
      </c>
      <c r="E11" s="153" t="s">
        <v>36</v>
      </c>
      <c r="F11" s="154"/>
      <c r="G11" s="155"/>
      <c r="H11" s="127">
        <v>0.2</v>
      </c>
      <c r="I11" s="69" t="s">
        <v>37</v>
      </c>
    </row>
    <row r="12" spans="2:9" ht="15" customHeight="1">
      <c r="B12" s="105">
        <v>4</v>
      </c>
      <c r="C12" s="108" t="s">
        <v>38</v>
      </c>
      <c r="E12" s="156" t="s">
        <v>39</v>
      </c>
      <c r="F12" s="157"/>
      <c r="G12" s="158"/>
      <c r="H12" s="128">
        <v>0.2</v>
      </c>
      <c r="I12" s="69" t="s">
        <v>0</v>
      </c>
    </row>
    <row r="13" spans="2:9" ht="15" customHeight="1">
      <c r="B13" s="105">
        <v>5</v>
      </c>
      <c r="C13" s="108" t="s">
        <v>40</v>
      </c>
      <c r="E13" s="159" t="s">
        <v>41</v>
      </c>
      <c r="F13" s="160"/>
      <c r="G13" s="161"/>
      <c r="H13" s="127">
        <v>0.1</v>
      </c>
      <c r="I13" s="69" t="s">
        <v>42</v>
      </c>
    </row>
    <row r="14" spans="2:9" ht="15" customHeight="1">
      <c r="B14" s="105">
        <v>6</v>
      </c>
      <c r="C14" s="108" t="s">
        <v>43</v>
      </c>
      <c r="E14" s="162"/>
      <c r="F14" s="163"/>
      <c r="G14" s="164"/>
      <c r="H14" s="128">
        <v>0</v>
      </c>
      <c r="I14" s="69" t="s">
        <v>44</v>
      </c>
    </row>
    <row r="15" spans="2:9" ht="15" customHeight="1" thickBot="1">
      <c r="B15" s="105">
        <v>7</v>
      </c>
      <c r="C15" s="108" t="s">
        <v>45</v>
      </c>
      <c r="E15" s="168"/>
      <c r="F15" s="169"/>
      <c r="G15" s="170"/>
      <c r="H15" s="127">
        <v>0</v>
      </c>
      <c r="I15" s="69" t="s">
        <v>46</v>
      </c>
    </row>
    <row r="16" spans="2:9" ht="15" customHeight="1" thickBot="1">
      <c r="B16" s="105">
        <v>8</v>
      </c>
      <c r="C16" s="108" t="s">
        <v>47</v>
      </c>
      <c r="E16" s="109"/>
      <c r="F16" s="109"/>
      <c r="G16" s="109"/>
      <c r="H16" s="129">
        <f>IF(SUM(H9:H15)&gt;1,"Más del 100%",SUM(H9:H15))</f>
        <v>0.99999999999999989</v>
      </c>
      <c r="I16" s="69" t="s">
        <v>48</v>
      </c>
    </row>
    <row r="17" spans="2:9" ht="15" customHeight="1" thickBot="1">
      <c r="B17" s="105">
        <v>9</v>
      </c>
      <c r="C17" s="108" t="s">
        <v>49</v>
      </c>
      <c r="E17" s="177"/>
      <c r="F17" s="177"/>
      <c r="G17" s="177"/>
      <c r="H17" s="177"/>
      <c r="I17" s="69" t="s">
        <v>50</v>
      </c>
    </row>
    <row r="18" spans="2:9" ht="15" customHeight="1" thickBot="1">
      <c r="B18" s="105">
        <v>10</v>
      </c>
      <c r="C18" s="108" t="s">
        <v>51</v>
      </c>
      <c r="E18" s="184" t="s">
        <v>52</v>
      </c>
      <c r="F18" s="185"/>
      <c r="G18" s="185"/>
      <c r="H18" s="110" t="s">
        <v>27</v>
      </c>
      <c r="I18" s="69" t="s">
        <v>53</v>
      </c>
    </row>
    <row r="19" spans="2:9" ht="15" customHeight="1">
      <c r="B19" s="105">
        <v>11</v>
      </c>
      <c r="C19" s="108" t="s">
        <v>54</v>
      </c>
      <c r="E19" s="174" t="s">
        <v>55</v>
      </c>
      <c r="F19" s="175"/>
      <c r="G19" s="176"/>
      <c r="H19" s="130">
        <v>0.5</v>
      </c>
    </row>
    <row r="20" spans="2:9" ht="15" customHeight="1">
      <c r="B20" s="105">
        <v>12</v>
      </c>
      <c r="C20" s="108" t="s">
        <v>56</v>
      </c>
      <c r="E20" s="178" t="s">
        <v>57</v>
      </c>
      <c r="F20" s="179"/>
      <c r="G20" s="180"/>
      <c r="H20" s="131">
        <v>0.2</v>
      </c>
    </row>
    <row r="21" spans="2:9" ht="15" customHeight="1">
      <c r="B21" s="105">
        <v>13</v>
      </c>
      <c r="C21" s="108" t="s">
        <v>58</v>
      </c>
      <c r="E21" s="186" t="s">
        <v>59</v>
      </c>
      <c r="F21" s="187"/>
      <c r="G21" s="188"/>
      <c r="H21" s="132">
        <v>0.1</v>
      </c>
    </row>
    <row r="22" spans="2:9" ht="15" customHeight="1">
      <c r="B22" s="105">
        <v>14</v>
      </c>
      <c r="C22" s="108" t="s">
        <v>60</v>
      </c>
      <c r="E22" s="178" t="s">
        <v>61</v>
      </c>
      <c r="F22" s="163"/>
      <c r="G22" s="164"/>
      <c r="H22" s="131">
        <v>0.05</v>
      </c>
    </row>
    <row r="23" spans="2:9" ht="15" customHeight="1">
      <c r="B23" s="105">
        <v>15</v>
      </c>
      <c r="C23" s="108" t="s">
        <v>62</v>
      </c>
      <c r="E23" s="186" t="s">
        <v>63</v>
      </c>
      <c r="F23" s="187"/>
      <c r="G23" s="188"/>
      <c r="H23" s="133">
        <v>0.05</v>
      </c>
    </row>
    <row r="24" spans="2:9" ht="15" customHeight="1">
      <c r="B24" s="105">
        <v>16</v>
      </c>
      <c r="C24" s="108" t="s">
        <v>64</v>
      </c>
      <c r="E24" s="178" t="s">
        <v>65</v>
      </c>
      <c r="F24" s="179"/>
      <c r="G24" s="180"/>
      <c r="H24" s="131">
        <v>0.1</v>
      </c>
    </row>
    <row r="25" spans="2:9" ht="15" customHeight="1" thickBot="1">
      <c r="B25" s="105">
        <v>17</v>
      </c>
      <c r="C25" s="108" t="s">
        <v>66</v>
      </c>
      <c r="E25" s="171"/>
      <c r="F25" s="172"/>
      <c r="G25" s="173"/>
      <c r="H25" s="132"/>
    </row>
    <row r="26" spans="2:9" ht="15" customHeight="1" thickBot="1">
      <c r="B26" s="105">
        <v>18</v>
      </c>
      <c r="C26" s="108" t="s">
        <v>67</v>
      </c>
      <c r="E26" s="111"/>
      <c r="F26" s="111"/>
      <c r="G26" s="111"/>
      <c r="H26" s="129">
        <f>IF(SUM(H19:H25)&gt;1,"Más del 100%",SUM(H19:H25))</f>
        <v>1</v>
      </c>
    </row>
    <row r="27" spans="2:9" ht="15" customHeight="1" thickBot="1">
      <c r="B27" s="105">
        <v>19</v>
      </c>
      <c r="C27" s="108" t="s">
        <v>68</v>
      </c>
      <c r="E27" s="111"/>
      <c r="F27" s="111"/>
      <c r="G27" s="111"/>
      <c r="H27" s="111"/>
    </row>
    <row r="28" spans="2:9" ht="15" customHeight="1" thickBot="1">
      <c r="B28" s="105">
        <v>20</v>
      </c>
      <c r="C28" s="108" t="s">
        <v>69</v>
      </c>
      <c r="E28" s="181" t="s">
        <v>70</v>
      </c>
      <c r="F28" s="182"/>
      <c r="G28" s="182"/>
      <c r="H28" s="183"/>
    </row>
    <row r="29" spans="2:9" ht="15" customHeight="1" thickBot="1">
      <c r="B29" s="105">
        <v>21</v>
      </c>
      <c r="C29" s="108" t="s">
        <v>71</v>
      </c>
      <c r="E29" s="165" t="s">
        <v>72</v>
      </c>
      <c r="F29" s="166"/>
      <c r="G29" s="166"/>
      <c r="H29" s="167"/>
    </row>
    <row r="30" spans="2:9" ht="15" customHeight="1" thickBot="1">
      <c r="B30" s="105">
        <v>22</v>
      </c>
      <c r="C30" s="108" t="s">
        <v>73</v>
      </c>
      <c r="E30" s="165" t="s">
        <v>74</v>
      </c>
      <c r="F30" s="166"/>
      <c r="G30" s="166"/>
      <c r="H30" s="167"/>
    </row>
    <row r="31" spans="2:9" ht="15" customHeight="1" thickBot="1">
      <c r="B31" s="105">
        <v>23</v>
      </c>
      <c r="C31" s="108" t="s">
        <v>75</v>
      </c>
      <c r="E31" s="165" t="s">
        <v>76</v>
      </c>
      <c r="F31" s="166"/>
      <c r="G31" s="166"/>
      <c r="H31" s="167"/>
    </row>
    <row r="32" spans="2:9" ht="15" customHeight="1" thickBot="1">
      <c r="B32" s="105">
        <v>24</v>
      </c>
      <c r="C32" s="108" t="s">
        <v>77</v>
      </c>
      <c r="E32" s="165" t="s">
        <v>78</v>
      </c>
      <c r="F32" s="166"/>
      <c r="G32" s="166"/>
      <c r="H32" s="167"/>
    </row>
    <row r="33" spans="2:8" ht="15" customHeight="1" thickBot="1">
      <c r="B33" s="105">
        <v>25</v>
      </c>
      <c r="C33" s="108" t="s">
        <v>79</v>
      </c>
      <c r="E33" s="165" t="s">
        <v>80</v>
      </c>
      <c r="F33" s="166"/>
      <c r="G33" s="166"/>
      <c r="H33" s="167"/>
    </row>
    <row r="34" spans="2:8" ht="15" customHeight="1" thickBot="1">
      <c r="B34" s="105">
        <v>26</v>
      </c>
      <c r="C34" s="108" t="s">
        <v>81</v>
      </c>
      <c r="E34" s="165" t="s">
        <v>82</v>
      </c>
      <c r="F34" s="166"/>
      <c r="G34" s="166"/>
      <c r="H34" s="167"/>
    </row>
    <row r="35" spans="2:8" ht="15" customHeight="1" thickBot="1">
      <c r="B35" s="105">
        <v>27</v>
      </c>
      <c r="C35" s="108" t="s">
        <v>83</v>
      </c>
      <c r="E35" s="165" t="s">
        <v>84</v>
      </c>
      <c r="F35" s="166"/>
      <c r="G35" s="166"/>
      <c r="H35" s="167"/>
    </row>
    <row r="36" spans="2:8" ht="15" customHeight="1" thickBot="1">
      <c r="B36" s="105">
        <v>28</v>
      </c>
      <c r="C36" s="108" t="s">
        <v>85</v>
      </c>
      <c r="E36" s="165" t="s">
        <v>86</v>
      </c>
      <c r="F36" s="166"/>
      <c r="G36" s="166"/>
      <c r="H36" s="167"/>
    </row>
    <row r="37" spans="2:8" ht="15" customHeight="1" thickBot="1">
      <c r="B37" s="105">
        <v>29</v>
      </c>
      <c r="C37" s="108" t="s">
        <v>87</v>
      </c>
      <c r="E37" s="165" t="s">
        <v>88</v>
      </c>
      <c r="F37" s="166"/>
      <c r="G37" s="166"/>
      <c r="H37" s="167"/>
    </row>
    <row r="38" spans="2:8" ht="15" customHeight="1" thickBot="1">
      <c r="B38" s="105">
        <v>30</v>
      </c>
      <c r="C38" s="108" t="s">
        <v>89</v>
      </c>
      <c r="E38" s="165" t="s">
        <v>90</v>
      </c>
      <c r="F38" s="166"/>
      <c r="G38" s="166"/>
      <c r="H38" s="167"/>
    </row>
    <row r="39" spans="2:8" ht="15" customHeight="1" thickBot="1">
      <c r="B39" s="105">
        <v>31</v>
      </c>
      <c r="C39" s="108" t="s">
        <v>91</v>
      </c>
      <c r="E39" s="165" t="s">
        <v>92</v>
      </c>
      <c r="F39" s="166"/>
      <c r="G39" s="166"/>
      <c r="H39" s="167"/>
    </row>
    <row r="40" spans="2:8" ht="15" customHeight="1" thickBot="1">
      <c r="B40" s="105">
        <v>32</v>
      </c>
      <c r="C40" s="108" t="s">
        <v>93</v>
      </c>
      <c r="E40" s="165" t="s">
        <v>94</v>
      </c>
      <c r="F40" s="166"/>
      <c r="G40" s="166"/>
      <c r="H40" s="167"/>
    </row>
    <row r="41" spans="2:8" ht="15" customHeight="1" thickBot="1">
      <c r="B41" s="105">
        <v>33</v>
      </c>
      <c r="C41" s="108" t="s">
        <v>95</v>
      </c>
      <c r="E41" s="111"/>
      <c r="F41" s="111"/>
      <c r="G41" s="111"/>
      <c r="H41" s="111"/>
    </row>
    <row r="42" spans="2:8" ht="15" customHeight="1" thickBot="1">
      <c r="B42" s="105">
        <v>34</v>
      </c>
      <c r="C42" s="108" t="s">
        <v>96</v>
      </c>
      <c r="E42" s="112" t="str">
        <f>MID(E29,1,20)</f>
        <v>GRUPO#1 FUNDAMENTACI</v>
      </c>
      <c r="F42" s="113" t="str">
        <f>MID(E30,1,20)</f>
        <v>GRUPO#2  FUNDAMENTAC</v>
      </c>
      <c r="G42" s="113" t="str">
        <f>MID(E31,1,20)</f>
        <v>GRUPO#3 FUNDAMENTACI</v>
      </c>
      <c r="H42" s="114" t="str">
        <f>MID(E32,1,20)</f>
        <v>GRUPO#4 FUNDAMENTACI</v>
      </c>
    </row>
    <row r="43" spans="2:8" ht="15" customHeight="1">
      <c r="B43" s="105">
        <v>35</v>
      </c>
      <c r="C43" s="108" t="s">
        <v>97</v>
      </c>
      <c r="E43" s="115" t="s">
        <v>29</v>
      </c>
      <c r="F43" s="116" t="s">
        <v>45</v>
      </c>
      <c r="G43" s="116" t="s">
        <v>56</v>
      </c>
      <c r="H43" s="117" t="s">
        <v>66</v>
      </c>
    </row>
    <row r="44" spans="2:8" ht="15" customHeight="1">
      <c r="B44" s="105">
        <v>36</v>
      </c>
      <c r="C44" s="108" t="s">
        <v>98</v>
      </c>
      <c r="E44" s="118" t="s">
        <v>32</v>
      </c>
      <c r="F44" s="119" t="s">
        <v>49</v>
      </c>
      <c r="G44" s="119" t="s">
        <v>58</v>
      </c>
      <c r="H44" s="120" t="s">
        <v>69</v>
      </c>
    </row>
    <row r="45" spans="2:8" ht="15" customHeight="1">
      <c r="B45" s="105">
        <v>37</v>
      </c>
      <c r="C45" s="108" t="s">
        <v>99</v>
      </c>
      <c r="E45" s="121" t="s">
        <v>35</v>
      </c>
      <c r="F45" s="122" t="s">
        <v>51</v>
      </c>
      <c r="G45" s="122" t="s">
        <v>60</v>
      </c>
      <c r="H45" s="123" t="s">
        <v>71</v>
      </c>
    </row>
    <row r="46" spans="2:8" ht="15" customHeight="1">
      <c r="B46" s="105">
        <v>38</v>
      </c>
      <c r="C46" s="108" t="s">
        <v>100</v>
      </c>
      <c r="E46" s="118" t="s">
        <v>38</v>
      </c>
      <c r="F46" s="119" t="s">
        <v>54</v>
      </c>
      <c r="G46" s="119" t="s">
        <v>62</v>
      </c>
      <c r="H46" s="120" t="s">
        <v>67</v>
      </c>
    </row>
    <row r="47" spans="2:8" ht="15" customHeight="1">
      <c r="B47" s="105">
        <v>39</v>
      </c>
      <c r="C47" s="108" t="s">
        <v>101</v>
      </c>
      <c r="E47" s="121" t="s">
        <v>40</v>
      </c>
      <c r="F47" s="122" t="s">
        <v>47</v>
      </c>
      <c r="G47" s="122" t="s">
        <v>64</v>
      </c>
      <c r="H47" s="123" t="s">
        <v>68</v>
      </c>
    </row>
    <row r="48" spans="2:8" ht="15" customHeight="1" thickBot="1">
      <c r="B48" s="105">
        <v>40</v>
      </c>
      <c r="C48" s="108" t="s">
        <v>102</v>
      </c>
      <c r="E48" s="124" t="s">
        <v>43</v>
      </c>
      <c r="F48" s="125"/>
      <c r="G48" s="125"/>
      <c r="H48" s="126"/>
    </row>
    <row r="49" spans="2:8" ht="15" customHeight="1" thickBot="1">
      <c r="B49" s="105">
        <v>41</v>
      </c>
      <c r="C49" s="108" t="s">
        <v>103</v>
      </c>
      <c r="E49" s="111"/>
      <c r="F49" s="111"/>
      <c r="G49" s="111"/>
      <c r="H49" s="111"/>
    </row>
    <row r="50" spans="2:8" ht="15" customHeight="1" thickBot="1">
      <c r="B50" s="105">
        <v>42</v>
      </c>
      <c r="C50" s="108" t="s">
        <v>104</v>
      </c>
      <c r="E50" s="112" t="str">
        <f>MID(E33,1,20)</f>
        <v>GRUPO#5 FUNDAMENTACI</v>
      </c>
      <c r="F50" s="113" t="str">
        <f>MID(E34,1,20)</f>
        <v>GRUPO#6 FUNDAMENTACI</v>
      </c>
      <c r="G50" s="113" t="str">
        <f>MID(E35,1,20)</f>
        <v>GRUPO#7 FUNDAMENTACI</v>
      </c>
      <c r="H50" s="114" t="str">
        <f>MID(E36,1,20)</f>
        <v>GRUPO#8 FUNDAMENTACI</v>
      </c>
    </row>
    <row r="51" spans="2:8" ht="15" customHeight="1">
      <c r="B51" s="105">
        <v>43</v>
      </c>
      <c r="C51" s="108" t="s">
        <v>105</v>
      </c>
      <c r="E51" s="115" t="s">
        <v>73</v>
      </c>
      <c r="F51" s="116" t="s">
        <v>81</v>
      </c>
      <c r="G51" s="116" t="s">
        <v>83</v>
      </c>
      <c r="H51" s="117" t="s">
        <v>95</v>
      </c>
    </row>
    <row r="52" spans="2:8" ht="15" customHeight="1">
      <c r="B52" s="105">
        <v>44</v>
      </c>
      <c r="C52" s="108" t="s">
        <v>106</v>
      </c>
      <c r="E52" s="118" t="s">
        <v>75</v>
      </c>
      <c r="F52" s="119"/>
      <c r="G52" s="119" t="s">
        <v>85</v>
      </c>
      <c r="H52" s="120" t="s">
        <v>98</v>
      </c>
    </row>
    <row r="53" spans="2:8" ht="15" customHeight="1">
      <c r="B53" s="105">
        <v>45</v>
      </c>
      <c r="C53" s="108">
        <v>0</v>
      </c>
      <c r="E53" s="121" t="s">
        <v>77</v>
      </c>
      <c r="F53" s="122"/>
      <c r="G53" s="122" t="s">
        <v>87</v>
      </c>
      <c r="H53" s="123" t="s">
        <v>96</v>
      </c>
    </row>
    <row r="54" spans="2:8" ht="15" customHeight="1">
      <c r="B54" s="105">
        <v>46</v>
      </c>
      <c r="C54" s="108">
        <v>0</v>
      </c>
      <c r="E54" s="118" t="s">
        <v>79</v>
      </c>
      <c r="F54" s="119"/>
      <c r="G54" s="119" t="s">
        <v>89</v>
      </c>
      <c r="H54" s="120" t="s">
        <v>97</v>
      </c>
    </row>
    <row r="55" spans="2:8" ht="15" customHeight="1">
      <c r="B55" s="105">
        <v>47</v>
      </c>
      <c r="C55" s="108">
        <v>0</v>
      </c>
      <c r="E55" s="121"/>
      <c r="F55" s="122"/>
      <c r="G55" s="122" t="s">
        <v>91</v>
      </c>
      <c r="H55" s="123" t="s">
        <v>99</v>
      </c>
    </row>
    <row r="56" spans="2:8" ht="15" customHeight="1" thickBot="1">
      <c r="B56" s="105">
        <v>48</v>
      </c>
      <c r="C56" s="108">
        <v>0</v>
      </c>
      <c r="E56" s="124"/>
      <c r="F56" s="125"/>
      <c r="G56" s="125" t="s">
        <v>93</v>
      </c>
      <c r="H56" s="126" t="s">
        <v>100</v>
      </c>
    </row>
    <row r="57" spans="2:8" ht="15" customHeight="1" thickBot="1">
      <c r="B57" s="105">
        <v>49</v>
      </c>
      <c r="C57" s="108">
        <v>0</v>
      </c>
      <c r="E57" s="111"/>
      <c r="F57" s="111"/>
      <c r="G57" s="111"/>
      <c r="H57" s="111"/>
    </row>
    <row r="58" spans="2:8" ht="15" customHeight="1" thickBot="1">
      <c r="B58" s="105">
        <v>50</v>
      </c>
      <c r="C58" s="108">
        <v>0</v>
      </c>
      <c r="E58" s="112" t="str">
        <f>MID(E37,1,20)</f>
        <v>GRUPO#9 FUNDAMENTACI</v>
      </c>
      <c r="F58" s="113" t="str">
        <f>MID(E38,1,20)</f>
        <v>GRUPO#10</v>
      </c>
      <c r="G58" s="113" t="str">
        <f>MID(E39,1,20)</f>
        <v>GRUPO#11</v>
      </c>
      <c r="H58" s="114" t="str">
        <f>MID(E40,1,20)</f>
        <v>GRUPO#12</v>
      </c>
    </row>
    <row r="59" spans="2:8" ht="15" customHeight="1">
      <c r="E59" s="115" t="s">
        <v>101</v>
      </c>
      <c r="F59" s="116"/>
      <c r="G59" s="116"/>
      <c r="H59" s="117"/>
    </row>
    <row r="60" spans="2:8" ht="15" customHeight="1">
      <c r="E60" s="118" t="s">
        <v>102</v>
      </c>
      <c r="F60" s="119"/>
      <c r="G60" s="119"/>
      <c r="H60" s="120"/>
    </row>
    <row r="61" spans="2:8" ht="15" customHeight="1">
      <c r="E61" s="121" t="s">
        <v>103</v>
      </c>
      <c r="F61" s="122"/>
      <c r="G61" s="122"/>
      <c r="H61" s="123"/>
    </row>
    <row r="62" spans="2:8" ht="15" customHeight="1">
      <c r="E62" s="118" t="s">
        <v>104</v>
      </c>
      <c r="F62" s="119"/>
      <c r="G62" s="119"/>
      <c r="H62" s="120"/>
    </row>
    <row r="63" spans="2:8" ht="15" customHeight="1">
      <c r="E63" s="121" t="s">
        <v>105</v>
      </c>
      <c r="F63" s="122"/>
      <c r="G63" s="122"/>
      <c r="H63" s="123"/>
    </row>
    <row r="64" spans="2:8" ht="15" customHeight="1" thickBot="1">
      <c r="E64" s="124" t="s">
        <v>106</v>
      </c>
      <c r="F64" s="125"/>
      <c r="G64" s="125"/>
      <c r="H64" s="126"/>
    </row>
    <row r="65" ht="15" customHeight="1"/>
    <row r="66" ht="15" customHeight="1"/>
    <row r="67" ht="15" customHeight="1"/>
    <row r="68" ht="15" customHeight="1"/>
  </sheetData>
  <sheetProtection algorithmName="SHA-512" hashValue="G/ITD8TMtmutibYBoOV6Ew/VGBTMsVrRBP38fI/S/qwc8gZ6gD2jOxXgWIGu12F3XMabyZ2MK+tiZcRp2MUlkQ==" saltValue="OttUnTOp3145nhgKRBasMA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topLeftCell="A29" zoomScale="87" zoomScaleNormal="87" workbookViewId="0">
      <selection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LIDER!C4</f>
        <v>COMUNICACION ORAL Y ESCRITA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CONCATENATE(LIDER!C4," - ",LIDER!C6," - ",LIDER!C5)</f>
        <v>COMUNICACION ORAL Y ESCRITA - 2342 - YASMIN GOMEZ MORENO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4</v>
      </c>
      <c r="F6" s="194">
        <v>4</v>
      </c>
      <c r="G6" s="191">
        <v>4</v>
      </c>
      <c r="H6" s="189">
        <v>4</v>
      </c>
      <c r="I6" s="191">
        <v>3.5</v>
      </c>
      <c r="J6" s="189">
        <v>5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4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4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4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4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4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3.5000000000000004</v>
      </c>
      <c r="F13" s="194">
        <v>3.5</v>
      </c>
      <c r="G13" s="191">
        <v>3</v>
      </c>
      <c r="H13" s="189">
        <v>3.5</v>
      </c>
      <c r="I13" s="191">
        <v>3.5</v>
      </c>
      <c r="J13" s="189">
        <v>5</v>
      </c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3.5000000000000004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3.5000000000000004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3.5000000000000004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3.5000000000000004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3.8500000000000005</v>
      </c>
      <c r="F20" s="194">
        <v>4</v>
      </c>
      <c r="G20" s="191">
        <v>3.5</v>
      </c>
      <c r="H20" s="189">
        <v>3.5</v>
      </c>
      <c r="I20" s="191">
        <v>4</v>
      </c>
      <c r="J20" s="189">
        <v>5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3.8500000000000005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3.8500000000000005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3.8500000000000005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3.8500000000000005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3.9400000000000004</v>
      </c>
      <c r="F27" s="194">
        <v>4</v>
      </c>
      <c r="G27" s="191">
        <v>3.8</v>
      </c>
      <c r="H27" s="189">
        <v>4</v>
      </c>
      <c r="I27" s="191">
        <v>3.5</v>
      </c>
      <c r="J27" s="189">
        <v>5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3.9400000000000004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3.9400000000000004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3.9400000000000004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3.9400000000000004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4</v>
      </c>
      <c r="F34" s="194">
        <v>4</v>
      </c>
      <c r="G34" s="191">
        <v>4</v>
      </c>
      <c r="H34" s="189">
        <v>4</v>
      </c>
      <c r="I34" s="191">
        <v>3.5</v>
      </c>
      <c r="J34" s="189">
        <v>5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4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4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4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/>
      <c r="G41" s="191"/>
      <c r="H41" s="189"/>
      <c r="I41" s="191"/>
      <c r="J41" s="189"/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3.5500000000000003</v>
      </c>
      <c r="F48" s="194">
        <v>3.5</v>
      </c>
      <c r="G48" s="191">
        <v>3.5</v>
      </c>
      <c r="H48" s="189">
        <v>3.5</v>
      </c>
      <c r="I48" s="191">
        <v>3</v>
      </c>
      <c r="J48" s="189">
        <v>5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3.5500000000000003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3.5500000000000003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3.5500000000000003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3.5500000000000003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3.5500000000000003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3.7100000000000004</v>
      </c>
      <c r="F55" s="194">
        <v>3.8</v>
      </c>
      <c r="G55" s="191">
        <v>3.5</v>
      </c>
      <c r="H55" s="189">
        <v>4</v>
      </c>
      <c r="I55" s="191">
        <v>3</v>
      </c>
      <c r="J55" s="189">
        <v>5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3.7100000000000004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3.7100000000000004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3.7100000000000004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3.7100000000000004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3.7100000000000004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3.1</v>
      </c>
      <c r="F62" s="194">
        <v>3</v>
      </c>
      <c r="G62" s="191">
        <v>3</v>
      </c>
      <c r="H62" s="189">
        <v>3</v>
      </c>
      <c r="I62" s="191">
        <v>3</v>
      </c>
      <c r="J62" s="189">
        <v>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3.1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3.1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3.1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3.1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3.1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LIDER!D4</f>
        <v>FUNDAMENTOS ADMINISTRACIÓN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CONCATENATE(LIDER!D4," - ",LIDER!D6," - ",LIDER!D5)</f>
        <v>FUNDAMENTOS ADMINISTRACIÓN - 1371 - JENNIFER GIRALDO GUZMAN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3.8000000000000003</v>
      </c>
      <c r="F6" s="194">
        <v>3.5</v>
      </c>
      <c r="G6" s="191">
        <v>4</v>
      </c>
      <c r="H6" s="189">
        <v>3.5</v>
      </c>
      <c r="I6" s="191">
        <v>3.5</v>
      </c>
      <c r="J6" s="189">
        <v>5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3.8000000000000003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3.8000000000000003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3.8000000000000003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3.8000000000000003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3.8000000000000003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3.9000000000000004</v>
      </c>
      <c r="F13" s="194">
        <v>3</v>
      </c>
      <c r="G13" s="191">
        <v>4</v>
      </c>
      <c r="H13" s="189">
        <v>4</v>
      </c>
      <c r="I13" s="191">
        <v>4</v>
      </c>
      <c r="J13" s="189">
        <v>5</v>
      </c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3.9000000000000004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3.9000000000000004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3.9000000000000004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3.9000000000000004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3.8499999999999996</v>
      </c>
      <c r="F20" s="194">
        <v>3.5</v>
      </c>
      <c r="G20" s="191">
        <v>3.5</v>
      </c>
      <c r="H20" s="189">
        <v>4</v>
      </c>
      <c r="I20" s="191">
        <v>4</v>
      </c>
      <c r="J20" s="189">
        <v>5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3.8499999999999996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3.8499999999999996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3.8499999999999996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3.8499999999999996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3.87</v>
      </c>
      <c r="F27" s="194">
        <v>4</v>
      </c>
      <c r="G27" s="191">
        <v>3.5</v>
      </c>
      <c r="H27" s="189">
        <v>3.8</v>
      </c>
      <c r="I27" s="191">
        <v>3.8</v>
      </c>
      <c r="J27" s="189">
        <v>5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3.87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3.87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3.87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3.87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4.0599999999999996</v>
      </c>
      <c r="F34" s="194">
        <v>3.8</v>
      </c>
      <c r="G34" s="191">
        <v>4</v>
      </c>
      <c r="H34" s="189">
        <v>4</v>
      </c>
      <c r="I34" s="191">
        <v>4</v>
      </c>
      <c r="J34" s="189">
        <v>5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4.0599999999999996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4.0599999999999996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4.0599999999999996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/>
      <c r="G41" s="191"/>
      <c r="H41" s="189"/>
      <c r="I41" s="191"/>
      <c r="J41" s="189"/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3.6100000000000003</v>
      </c>
      <c r="F48" s="194">
        <v>3.5</v>
      </c>
      <c r="G48" s="191">
        <v>3.7</v>
      </c>
      <c r="H48" s="189">
        <v>3.5</v>
      </c>
      <c r="I48" s="191">
        <v>3</v>
      </c>
      <c r="J48" s="189">
        <v>5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3.6100000000000003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3.6100000000000003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3.6100000000000003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3.6100000000000003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3.6100000000000003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3.6100000000000003</v>
      </c>
      <c r="F55" s="194">
        <v>3.8</v>
      </c>
      <c r="G55" s="191">
        <v>3.5</v>
      </c>
      <c r="H55" s="189">
        <v>3.5</v>
      </c>
      <c r="I55" s="191">
        <v>3</v>
      </c>
      <c r="J55" s="189">
        <v>5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3.6100000000000003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3.6100000000000003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3.6100000000000003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3.6100000000000003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3.6100000000000003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3.1</v>
      </c>
      <c r="F62" s="194">
        <v>3</v>
      </c>
      <c r="G62" s="191">
        <v>3</v>
      </c>
      <c r="H62" s="189">
        <v>3</v>
      </c>
      <c r="I62" s="191">
        <v>3</v>
      </c>
      <c r="J62" s="189">
        <v>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3.1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3.1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3.1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3.1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3.1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LIDER!E4</f>
        <v>MATEMATICA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CONCATENATE(LIDER!E4," - ",LIDER!E6," - ",LIDER!E5)</f>
        <v>MATEMATICA - 2295 - CECILIA PAILLIER GONZALEZ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0</v>
      </c>
      <c r="F6" s="194"/>
      <c r="G6" s="191"/>
      <c r="H6" s="189"/>
      <c r="I6" s="191"/>
      <c r="J6" s="189"/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0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0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0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0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0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0</v>
      </c>
      <c r="F13" s="194"/>
      <c r="G13" s="191"/>
      <c r="H13" s="189"/>
      <c r="I13" s="191"/>
      <c r="J13" s="189"/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0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0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0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0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0</v>
      </c>
      <c r="F20" s="194"/>
      <c r="G20" s="191"/>
      <c r="H20" s="189"/>
      <c r="I20" s="191"/>
      <c r="J20" s="189"/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0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0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0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0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0</v>
      </c>
      <c r="F27" s="194"/>
      <c r="G27" s="191"/>
      <c r="H27" s="189"/>
      <c r="I27" s="191"/>
      <c r="J27" s="189"/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0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0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0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0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0</v>
      </c>
      <c r="F34" s="194"/>
      <c r="G34" s="191"/>
      <c r="H34" s="189"/>
      <c r="I34" s="191"/>
      <c r="J34" s="189"/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0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0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0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/>
      <c r="G41" s="191"/>
      <c r="H41" s="189"/>
      <c r="I41" s="191"/>
      <c r="J41" s="189"/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0</v>
      </c>
      <c r="F48" s="194"/>
      <c r="G48" s="191"/>
      <c r="H48" s="189"/>
      <c r="I48" s="191"/>
      <c r="J48" s="189"/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0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0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0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0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0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0</v>
      </c>
      <c r="F55" s="194"/>
      <c r="G55" s="191"/>
      <c r="H55" s="189"/>
      <c r="I55" s="191"/>
      <c r="J55" s="189"/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0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0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0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0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0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0</v>
      </c>
      <c r="F62" s="194"/>
      <c r="G62" s="191"/>
      <c r="H62" s="189"/>
      <c r="I62" s="191"/>
      <c r="J62" s="189"/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0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0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0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0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0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31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LIDER!F4</f>
        <v>CULTURA Y DEPORTE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CONCATENATE(LIDER!F4," - ",LIDER!F6," - ",LIDER!F5)</f>
        <v>CULTURA Y DEPORTE - 2316 - CRHIS MAURO LOPEZ GUZMAN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4.82</v>
      </c>
      <c r="F6" s="194">
        <v>4.8</v>
      </c>
      <c r="G6" s="191">
        <v>4.8</v>
      </c>
      <c r="H6" s="189">
        <v>4.9000000000000004</v>
      </c>
      <c r="I6" s="191">
        <v>4.8</v>
      </c>
      <c r="J6" s="189">
        <v>4.8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4.82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4.82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4.82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4.82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4.82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3.9999999999999996</v>
      </c>
      <c r="F13" s="194">
        <v>4</v>
      </c>
      <c r="G13" s="191">
        <v>4</v>
      </c>
      <c r="H13" s="189">
        <v>4</v>
      </c>
      <c r="I13" s="191">
        <v>4</v>
      </c>
      <c r="J13" s="189">
        <v>4</v>
      </c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3.9999999999999996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3.9999999999999996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3.9999999999999996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3.9999999999999996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4.5999999999999996</v>
      </c>
      <c r="F20" s="194">
        <v>4.5999999999999996</v>
      </c>
      <c r="G20" s="191">
        <v>4.5999999999999996</v>
      </c>
      <c r="H20" s="189">
        <v>4.5999999999999996</v>
      </c>
      <c r="I20" s="191">
        <v>4.5999999999999996</v>
      </c>
      <c r="J20" s="189">
        <v>4.5999999999999996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4.5999999999999996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4.5999999999999996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4.5999999999999996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4.5999999999999996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4.54</v>
      </c>
      <c r="F27" s="194">
        <v>4.5999999999999996</v>
      </c>
      <c r="G27" s="191">
        <v>4.5</v>
      </c>
      <c r="H27" s="189">
        <v>4.4000000000000004</v>
      </c>
      <c r="I27" s="191">
        <v>4.7</v>
      </c>
      <c r="J27" s="189">
        <v>4.5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4.54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4.54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4.54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4.54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4.3</v>
      </c>
      <c r="F34" s="194">
        <v>4.3</v>
      </c>
      <c r="G34" s="191">
        <v>4.3</v>
      </c>
      <c r="H34" s="189">
        <v>4.3</v>
      </c>
      <c r="I34" s="191">
        <v>4.3</v>
      </c>
      <c r="J34" s="189">
        <v>4.3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4.3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4.3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4.3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3.4400000000000004</v>
      </c>
      <c r="F41" s="194">
        <v>3.5</v>
      </c>
      <c r="G41" s="191">
        <v>3.5</v>
      </c>
      <c r="H41" s="189">
        <v>3.5</v>
      </c>
      <c r="I41" s="191">
        <v>3.5</v>
      </c>
      <c r="J41" s="189">
        <v>2.9</v>
      </c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4.41</v>
      </c>
      <c r="F48" s="194">
        <v>4.5</v>
      </c>
      <c r="G48" s="191">
        <v>4.4000000000000004</v>
      </c>
      <c r="H48" s="189">
        <v>4.2</v>
      </c>
      <c r="I48" s="191">
        <v>4.5</v>
      </c>
      <c r="J48" s="189">
        <v>4.5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4.41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4.41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4.41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4.41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4.41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4.5</v>
      </c>
      <c r="F55" s="194">
        <v>4.5</v>
      </c>
      <c r="G55" s="191">
        <v>4.5</v>
      </c>
      <c r="H55" s="189">
        <v>4.5</v>
      </c>
      <c r="I55" s="191">
        <v>4.5</v>
      </c>
      <c r="J55" s="189">
        <v>4.5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4.5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 t="s">
        <v>132</v>
      </c>
      <c r="E57" s="11" t="str">
        <f>IF(B57=0,0,IF(D57="",$F$55*LIDER!$H$9+$G$55*LIDER!$H$10+$H$55*LIDER!$H$11+$I$55*LIDER!$H$12+$J$55*LIDER!$H$13+$K$55*LIDER!$H$14+$L$55*LIDER!$H$15,"N"))</f>
        <v>N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4.5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4.5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4.5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4.4000000000000004</v>
      </c>
      <c r="F62" s="194">
        <v>4.4000000000000004</v>
      </c>
      <c r="G62" s="191">
        <v>4.4000000000000004</v>
      </c>
      <c r="H62" s="189">
        <v>4.4000000000000004</v>
      </c>
      <c r="I62" s="191">
        <v>4.4000000000000004</v>
      </c>
      <c r="J62" s="189">
        <v>4.4000000000000004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4.4000000000000004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4.4000000000000004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4.4000000000000004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4.4000000000000004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4.4000000000000004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12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LIDER!G4</f>
        <v>PROYECTO DE VIDA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CONCATENATE(LIDER!G4," - ",LIDER!G6," - ",LIDER!G5)</f>
        <v>PROYECTO DE VIDA - 1137 - NATALI ÁLVAREZ ATEHORTUA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3.1</v>
      </c>
      <c r="F6" s="194">
        <v>3</v>
      </c>
      <c r="G6" s="191">
        <v>3</v>
      </c>
      <c r="H6" s="189">
        <v>3</v>
      </c>
      <c r="I6" s="191">
        <v>3</v>
      </c>
      <c r="J6" s="189">
        <v>4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3.1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3.1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3.1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3.1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3.1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0</v>
      </c>
      <c r="F13" s="194">
        <v>0</v>
      </c>
      <c r="G13" s="191">
        <v>0</v>
      </c>
      <c r="H13" s="189">
        <v>0</v>
      </c>
      <c r="I13" s="191">
        <v>0</v>
      </c>
      <c r="J13" s="189">
        <v>0</v>
      </c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0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0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0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0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3.7</v>
      </c>
      <c r="F20" s="194">
        <v>3.5</v>
      </c>
      <c r="G20" s="191">
        <v>4</v>
      </c>
      <c r="H20" s="189">
        <v>3.5</v>
      </c>
      <c r="I20" s="191">
        <v>3.5</v>
      </c>
      <c r="J20" s="189">
        <v>4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3.7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3.7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3.7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3.7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4.5</v>
      </c>
      <c r="F27" s="194">
        <v>4.5</v>
      </c>
      <c r="G27" s="191">
        <v>4.5</v>
      </c>
      <c r="H27" s="189">
        <v>4.5</v>
      </c>
      <c r="I27" s="191">
        <v>4.5</v>
      </c>
      <c r="J27" s="189">
        <v>4.5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4.5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4.5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4.5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4.5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3.9999999999999996</v>
      </c>
      <c r="F34" s="194">
        <v>4</v>
      </c>
      <c r="G34" s="191">
        <v>4</v>
      </c>
      <c r="H34" s="189">
        <v>4</v>
      </c>
      <c r="I34" s="191">
        <v>4</v>
      </c>
      <c r="J34" s="189">
        <v>4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3.9999999999999996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3.9999999999999996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3.9999999999999996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>
        <v>0</v>
      </c>
      <c r="G41" s="191">
        <v>0</v>
      </c>
      <c r="H41" s="189">
        <v>0</v>
      </c>
      <c r="I41" s="191">
        <v>0</v>
      </c>
      <c r="J41" s="189">
        <v>0</v>
      </c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4.5</v>
      </c>
      <c r="F48" s="194">
        <v>4.5</v>
      </c>
      <c r="G48" s="191">
        <v>4.5</v>
      </c>
      <c r="H48" s="189">
        <v>4.5</v>
      </c>
      <c r="I48" s="191">
        <v>4.5</v>
      </c>
      <c r="J48" s="189">
        <v>4.5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4.5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4.5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4.5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4.5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4.5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3.5500000000000003</v>
      </c>
      <c r="F55" s="194">
        <v>3.5</v>
      </c>
      <c r="G55" s="191">
        <v>3.5</v>
      </c>
      <c r="H55" s="189">
        <v>3.5</v>
      </c>
      <c r="I55" s="191">
        <v>3.5</v>
      </c>
      <c r="J55" s="189">
        <v>4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3.5500000000000003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3.5500000000000003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3.5500000000000003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3.5500000000000003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3.5500000000000003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3.5500000000000003</v>
      </c>
      <c r="F62" s="194">
        <v>3.5</v>
      </c>
      <c r="G62" s="191">
        <v>3.5</v>
      </c>
      <c r="H62" s="189">
        <v>3.5</v>
      </c>
      <c r="I62" s="191">
        <v>3.5</v>
      </c>
      <c r="J62" s="189">
        <v>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3.5500000000000003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3.5500000000000003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3.5500000000000003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3.5500000000000003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3.5500000000000003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LIDER!H4</f>
        <v>CONTABILIDAD GENERAL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CONCATENATE(LIDER!H4," - ",LIDER!H6," - ",LIDER!H5)</f>
        <v>CONTABILIDAD GENERAL - 1455 - GABRIEL MIRANDA SIERRA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3.63</v>
      </c>
      <c r="F6" s="194">
        <v>3.5</v>
      </c>
      <c r="G6" s="191">
        <v>3.5</v>
      </c>
      <c r="H6" s="189">
        <v>3.8</v>
      </c>
      <c r="I6" s="191">
        <v>3.5</v>
      </c>
      <c r="J6" s="189">
        <v>4.2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3.63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3.63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3.63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3.63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3.63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0</v>
      </c>
      <c r="F13" s="194"/>
      <c r="G13" s="191"/>
      <c r="H13" s="189"/>
      <c r="I13" s="191"/>
      <c r="J13" s="189"/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0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0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0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0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4.0999999999999996</v>
      </c>
      <c r="F20" s="194">
        <v>4</v>
      </c>
      <c r="G20" s="191">
        <v>4</v>
      </c>
      <c r="H20" s="189">
        <v>4</v>
      </c>
      <c r="I20" s="191">
        <v>4</v>
      </c>
      <c r="J20" s="189">
        <v>5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4.0999999999999996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4.0999999999999996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4.0999999999999996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4.0999999999999996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4.22</v>
      </c>
      <c r="F27" s="194">
        <v>4.5</v>
      </c>
      <c r="G27" s="191">
        <v>4</v>
      </c>
      <c r="H27" s="189">
        <v>4.3</v>
      </c>
      <c r="I27" s="191">
        <v>4.3</v>
      </c>
      <c r="J27" s="189">
        <v>4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4.22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4.22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4.22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4.22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4.0999999999999996</v>
      </c>
      <c r="F34" s="194">
        <v>4</v>
      </c>
      <c r="G34" s="191">
        <v>4</v>
      </c>
      <c r="H34" s="189">
        <v>4</v>
      </c>
      <c r="I34" s="191">
        <v>4</v>
      </c>
      <c r="J34" s="189">
        <v>5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4.0999999999999996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4.0999999999999996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4.0999999999999996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/>
      <c r="G41" s="191"/>
      <c r="H41" s="189"/>
      <c r="I41" s="191"/>
      <c r="J41" s="189"/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3.8699999999999997</v>
      </c>
      <c r="F48" s="194">
        <v>4</v>
      </c>
      <c r="G48" s="191">
        <v>3.7</v>
      </c>
      <c r="H48" s="189">
        <v>4</v>
      </c>
      <c r="I48" s="191">
        <v>3.8</v>
      </c>
      <c r="J48" s="189">
        <v>4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3.8699999999999997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3.8699999999999997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3.8699999999999997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3.8699999999999997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3.8699999999999997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3.8799999999999994</v>
      </c>
      <c r="F55" s="194">
        <v>3.8</v>
      </c>
      <c r="G55" s="191">
        <v>4</v>
      </c>
      <c r="H55" s="189">
        <v>3.8</v>
      </c>
      <c r="I55" s="191">
        <v>3.8</v>
      </c>
      <c r="J55" s="189">
        <v>4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3.8799999999999994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3.8799999999999994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3.8799999999999994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3.8799999999999994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3.8799999999999994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3.6400000000000006</v>
      </c>
      <c r="F62" s="194">
        <v>3.6</v>
      </c>
      <c r="G62" s="191">
        <v>3.6</v>
      </c>
      <c r="H62" s="189">
        <v>3.6</v>
      </c>
      <c r="I62" s="191">
        <v>3.6</v>
      </c>
      <c r="J62" s="189">
        <v>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3.6400000000000006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3.6400000000000006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3.6400000000000006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3.6400000000000006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3.6400000000000006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9" activePane="bottomRight" state="frozen"/>
      <selection pane="bottomRight" sqref="A1:H1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7"/>
      <c r="H1" s="198"/>
      <c r="I1" s="21" t="str">
        <f>LIDER!E2</f>
        <v>SEMESTRE:</v>
      </c>
      <c r="J1" s="20" t="str">
        <f>LIDER!F2</f>
        <v>SEM-01</v>
      </c>
      <c r="K1" s="21" t="str">
        <f>LIDER!G2</f>
        <v>SECCIÓN:</v>
      </c>
      <c r="L1" s="20">
        <f>LIDER!H2</f>
        <v>3</v>
      </c>
    </row>
    <row r="2" spans="1:12" s="2" customFormat="1" ht="20.100000000000001" customHeight="1" thickBot="1">
      <c r="B2" s="78" t="str">
        <f>LIDER!I4</f>
        <v>FUNDAMENTOS DE DERECHO</v>
      </c>
      <c r="C2" s="79"/>
      <c r="D2" s="3"/>
      <c r="F2" s="199" t="s">
        <v>107</v>
      </c>
      <c r="G2" s="200"/>
      <c r="H2" s="200"/>
      <c r="I2" s="200"/>
      <c r="J2" s="200"/>
      <c r="K2" s="200"/>
      <c r="L2" s="201"/>
    </row>
    <row r="3" spans="1:12" s="2" customFormat="1" ht="145.5" customHeight="1">
      <c r="B3" s="80" t="s">
        <v>108</v>
      </c>
      <c r="C3" s="81"/>
      <c r="D3" s="5"/>
      <c r="E3" s="5"/>
      <c r="F3" s="82" t="str">
        <f>LIDER!E9</f>
        <v>Calidad de la información recopilada (20%): Se evaluará la calidad de la información recopilada a través del rastreo bibliográfico por medio de fichas bibliográficas para la redacción del resumen.</v>
      </c>
      <c r="G3" s="83" t="str">
        <f>LIDER!E10</f>
        <v>Estructura del Documento (30%):  El documento debe incluir los siguientes aspectos: Portada, Introducción, cuerpo del resumen, Bibliografía y Anexos.</v>
      </c>
      <c r="H3" s="82" t="str">
        <f>LIDER!E11</f>
        <v>Claridad de la información recopilada (20%): Se evaluará la claridad de la información recopilada a través del rastreo bibliográfico por medio de fichas bibliográficas para la redacción del resumen.</v>
      </c>
      <c r="I3" s="83" t="str">
        <f>LIDER!E12</f>
        <v>Coherencia de la información recopilada (20%): Se evaluará la coherencia de la información recopilada a través del rastreo de fichas de revisión bibliográfica para la redacción del resumen.</v>
      </c>
      <c r="J3" s="82" t="str">
        <f>LIDER!E13</f>
        <v>Asesorias individuales (10%): Anexo de la hoja de tutoria firmada por docentes del colectivo (3 fimas minimo).</v>
      </c>
      <c r="K3" s="83">
        <f>LIDER!E14</f>
        <v>0</v>
      </c>
      <c r="L3" s="82">
        <f>LIDER!E15</f>
        <v>0</v>
      </c>
    </row>
    <row r="4" spans="1:12" s="2" customFormat="1" ht="24.95" customHeight="1" thickBot="1">
      <c r="A4" s="7"/>
      <c r="B4" s="84"/>
      <c r="C4" s="84"/>
      <c r="D4" s="84"/>
      <c r="E4" s="84"/>
      <c r="F4" s="202" t="str">
        <f>CONCATENATE(LIDER!I4," - ",LIDER!I6," - ",LIDER!I5)</f>
        <v>FUNDAMENTOS DE DERECHO - 3376 - GABRIEL JOSE CARRASQUILLA MARRUGO</v>
      </c>
      <c r="G4" s="202"/>
      <c r="H4" s="202"/>
      <c r="I4" s="202"/>
      <c r="J4" s="202"/>
      <c r="K4" s="202"/>
      <c r="L4" s="202"/>
    </row>
    <row r="5" spans="1:12" s="2" customFormat="1" ht="15.75" customHeight="1" thickBot="1">
      <c r="A5" s="8"/>
      <c r="B5" s="25" t="s">
        <v>109</v>
      </c>
      <c r="C5" s="85" t="s">
        <v>110</v>
      </c>
      <c r="D5" s="32" t="s">
        <v>111</v>
      </c>
      <c r="E5" s="86" t="s">
        <v>112</v>
      </c>
      <c r="F5" s="193" t="str">
        <f>LIDER!$E$29</f>
        <v>GRUPO#1 FUNDAMENTACIÓN TEÓRICA DE KLAS DISCIPLINAS Y SU APORTE AL PERFIL PROFESIONAL</v>
      </c>
      <c r="G5" s="193"/>
      <c r="H5" s="193"/>
      <c r="I5" s="193"/>
      <c r="J5" s="193"/>
      <c r="K5" s="193"/>
      <c r="L5" s="193"/>
    </row>
    <row r="6" spans="1:12" s="2" customFormat="1" ht="12.75">
      <c r="A6" s="9">
        <v>1</v>
      </c>
      <c r="B6" s="10" t="str">
        <f>LIDER!E43</f>
        <v>DYLAN ANDRES CANCHGILA SANCHEZ</v>
      </c>
      <c r="C6" s="87" t="str">
        <f>C5</f>
        <v>G01</v>
      </c>
      <c r="D6" s="92"/>
      <c r="E6" s="11">
        <f>IF(B6=0,0,IF(D6="",$F$6*LIDER!$H$9+$G$6*LIDER!$H$10+$H$6*LIDER!$H$11+$I$6*LIDER!$H$12+$J$6*LIDER!$H$13+$K$6*LIDER!$H$14+$L$6*LIDER!$H$15,"N"))</f>
        <v>3.9999999999999996</v>
      </c>
      <c r="F6" s="194">
        <v>4</v>
      </c>
      <c r="G6" s="191">
        <v>4</v>
      </c>
      <c r="H6" s="189">
        <v>4</v>
      </c>
      <c r="I6" s="191">
        <v>4</v>
      </c>
      <c r="J6" s="189">
        <v>4</v>
      </c>
      <c r="K6" s="191"/>
      <c r="L6" s="189"/>
    </row>
    <row r="7" spans="1:12" s="2" customFormat="1" ht="15" customHeight="1">
      <c r="A7" s="12">
        <v>2</v>
      </c>
      <c r="B7" s="10" t="str">
        <f>LIDER!E44</f>
        <v>JUAN DAVID OLMOS CONTRERAS</v>
      </c>
      <c r="C7" s="87" t="str">
        <f t="shared" ref="C7:C11" si="0">C6</f>
        <v>G01</v>
      </c>
      <c r="D7" s="93"/>
      <c r="E7" s="11">
        <f>IF(B7=0,0,IF(D7="",$F$6*LIDER!$H$9+$G$6*LIDER!$H$10+$H$6*LIDER!$H$11+$I$6*LIDER!$H$12+$J$6*LIDER!$H$13+$K$6*LIDER!$H$14+$L$6*LIDER!$H$15,"N"))</f>
        <v>3.9999999999999996</v>
      </c>
      <c r="F7" s="194"/>
      <c r="G7" s="191"/>
      <c r="H7" s="189"/>
      <c r="I7" s="191"/>
      <c r="J7" s="189"/>
      <c r="K7" s="191"/>
      <c r="L7" s="189"/>
    </row>
    <row r="8" spans="1:12" s="2" customFormat="1" ht="15" customHeight="1">
      <c r="A8" s="12">
        <v>3</v>
      </c>
      <c r="B8" s="10" t="str">
        <f>LIDER!E45</f>
        <v>BRIGNY VALESKA PALOMINO BOSSIO</v>
      </c>
      <c r="C8" s="87" t="str">
        <f t="shared" si="0"/>
        <v>G01</v>
      </c>
      <c r="D8" s="93"/>
      <c r="E8" s="11">
        <f>IF(B8=0,0,IF(D8="",$F$6*LIDER!$H$9+$G$6*LIDER!$H$10+$H$6*LIDER!$H$11+$I$6*LIDER!$H$12+$J$6*LIDER!$H$13+$K$6*LIDER!$H$14+$L$6*LIDER!$H$15,"N"))</f>
        <v>3.9999999999999996</v>
      </c>
      <c r="F8" s="194"/>
      <c r="G8" s="191"/>
      <c r="H8" s="189"/>
      <c r="I8" s="191"/>
      <c r="J8" s="189"/>
      <c r="K8" s="191"/>
      <c r="L8" s="189"/>
    </row>
    <row r="9" spans="1:12" s="2" customFormat="1" ht="15" customHeight="1">
      <c r="A9" s="12">
        <v>4</v>
      </c>
      <c r="B9" s="10" t="str">
        <f>LIDER!E46</f>
        <v>SARA SOFIA ROZO MORA</v>
      </c>
      <c r="C9" s="87" t="str">
        <f t="shared" si="0"/>
        <v>G01</v>
      </c>
      <c r="D9" s="93"/>
      <c r="E9" s="11">
        <f>IF(B9=0,0,IF(D9="",$F$6*LIDER!$H$9+$G$6*LIDER!$H$10+$H$6*LIDER!$H$11+$I$6*LIDER!$H$12+$J$6*LIDER!$H$13+$K$6*LIDER!$H$14+$L$6*LIDER!$H$15,"N"))</f>
        <v>3.9999999999999996</v>
      </c>
      <c r="F9" s="194"/>
      <c r="G9" s="191"/>
      <c r="H9" s="189"/>
      <c r="I9" s="191"/>
      <c r="J9" s="189"/>
      <c r="K9" s="191"/>
      <c r="L9" s="189"/>
    </row>
    <row r="10" spans="1:12" s="2" customFormat="1" ht="15" customHeight="1">
      <c r="A10" s="12">
        <v>5</v>
      </c>
      <c r="B10" s="10" t="str">
        <f>LIDER!E47</f>
        <v>TOMAS ANDRÉS SIMANCAS ROMERO</v>
      </c>
      <c r="C10" s="87" t="str">
        <f t="shared" si="0"/>
        <v>G01</v>
      </c>
      <c r="D10" s="93"/>
      <c r="E10" s="11">
        <f>IF(B10=0,0,IF(D10="",$F$6*LIDER!$H$9+$G$6*LIDER!$H$10+$H$6*LIDER!$H$11+$I$6*LIDER!$H$12+$J$6*LIDER!$H$13+$K$6*LIDER!$H$14+$L$6*LIDER!$H$15,"N"))</f>
        <v>3.9999999999999996</v>
      </c>
      <c r="F10" s="194"/>
      <c r="G10" s="191"/>
      <c r="H10" s="189"/>
      <c r="I10" s="191"/>
      <c r="J10" s="189"/>
      <c r="K10" s="191"/>
      <c r="L10" s="189"/>
    </row>
    <row r="11" spans="1:12" s="2" customFormat="1" ht="15.75" customHeight="1" thickBot="1">
      <c r="A11" s="13">
        <v>6</v>
      </c>
      <c r="B11" s="88" t="str">
        <f>LIDER!E48</f>
        <v>MARÍA ISABEL VARGAS AYAZO</v>
      </c>
      <c r="C11" s="89" t="str">
        <f t="shared" si="0"/>
        <v>G01</v>
      </c>
      <c r="D11" s="94"/>
      <c r="E11" s="90">
        <f>IF(B11=0,0,IF(D11="",$F$6*LIDER!$H$9+$G$6*LIDER!$H$10+$H$6*LIDER!$H$11+$I$6*LIDER!$H$12+$J$6*LIDER!$H$13+$K$6*LIDER!$H$14+$L$6*LIDER!$H$15,"N"))</f>
        <v>3.9999999999999996</v>
      </c>
      <c r="F11" s="194"/>
      <c r="G11" s="191"/>
      <c r="H11" s="189"/>
      <c r="I11" s="191"/>
      <c r="J11" s="189"/>
      <c r="K11" s="191"/>
      <c r="L11" s="189"/>
    </row>
    <row r="12" spans="1:12" s="2" customFormat="1" ht="15.75" customHeight="1" thickBot="1">
      <c r="A12" s="8"/>
      <c r="B12" s="25" t="s">
        <v>113</v>
      </c>
      <c r="C12" s="85" t="s">
        <v>114</v>
      </c>
      <c r="D12" s="32" t="str">
        <f>D5</f>
        <v>LIST</v>
      </c>
      <c r="E12" s="86" t="s">
        <v>112</v>
      </c>
      <c r="F12" s="193" t="str">
        <f>LIDER!$E$30</f>
        <v>GRUPO#2  FUNDAMENTACIÓN TEÓRICA DE LAS DISCIPLINAS Y SU APORTE AL PERFIL PROFESIONAL</v>
      </c>
      <c r="G12" s="193"/>
      <c r="H12" s="193"/>
      <c r="I12" s="193"/>
      <c r="J12" s="193"/>
      <c r="K12" s="193"/>
      <c r="L12" s="193"/>
    </row>
    <row r="13" spans="1:12" s="2" customFormat="1" ht="12.75">
      <c r="A13" s="9">
        <v>1</v>
      </c>
      <c r="B13" s="10" t="str">
        <f>LIDER!F43</f>
        <v>SANTIAGO ALEJANDRO CASRO ELLES</v>
      </c>
      <c r="C13" s="87" t="str">
        <f>C12</f>
        <v>G02</v>
      </c>
      <c r="D13" s="92"/>
      <c r="E13" s="11">
        <f>IF(B13=0,0,IF(D13="",$F$13*LIDER!$H$9+$G$13*LIDER!$H$10+$H$13*LIDER!$H$11+$I$13*LIDER!$H$12+$J$13*LIDER!$H$13+$K$13*LIDER!$H$14+$L$13*LIDER!$H$15,"N"))</f>
        <v>3.7499999999999996</v>
      </c>
      <c r="F13" s="194">
        <v>3.5</v>
      </c>
      <c r="G13" s="191">
        <v>3.5</v>
      </c>
      <c r="H13" s="189">
        <v>4</v>
      </c>
      <c r="I13" s="191">
        <v>4</v>
      </c>
      <c r="J13" s="189">
        <v>4</v>
      </c>
      <c r="K13" s="191"/>
      <c r="L13" s="189"/>
    </row>
    <row r="14" spans="1:12" s="2" customFormat="1" ht="15" customHeight="1">
      <c r="A14" s="12">
        <v>2</v>
      </c>
      <c r="B14" s="10" t="str">
        <f>LIDER!F44</f>
        <v>YUDI DAYANA DUQUE JIMENEZ</v>
      </c>
      <c r="C14" s="87" t="str">
        <f t="shared" ref="C14:C18" si="1">C13</f>
        <v>G02</v>
      </c>
      <c r="D14" s="93"/>
      <c r="E14" s="11">
        <f>IF(B14=0,0,IF(D14="",$F$13*LIDER!$H$9+$G$13*LIDER!$H$10+$H$13*LIDER!$H$11+$I$13*LIDER!$H$12+$J$13*LIDER!$H$13+$K$13*LIDER!$H$14+$L$13*LIDER!$H$15,"N"))</f>
        <v>3.7499999999999996</v>
      </c>
      <c r="F14" s="194"/>
      <c r="G14" s="191"/>
      <c r="H14" s="189"/>
      <c r="I14" s="191"/>
      <c r="J14" s="189"/>
      <c r="K14" s="191"/>
      <c r="L14" s="189"/>
    </row>
    <row r="15" spans="1:12" s="2" customFormat="1" ht="15" customHeight="1">
      <c r="A15" s="12">
        <v>3</v>
      </c>
      <c r="B15" s="10" t="str">
        <f>LIDER!F45</f>
        <v>DEIMER JOSE ORTEGA PALENCIA</v>
      </c>
      <c r="C15" s="87" t="str">
        <f t="shared" si="1"/>
        <v>G02</v>
      </c>
      <c r="D15" s="93"/>
      <c r="E15" s="11">
        <f>IF(B15=0,0,IF(D15="",$F$13*LIDER!$H$9+$G$13*LIDER!$H$10+$H$13*LIDER!$H$11+$I$13*LIDER!$H$12+$J$13*LIDER!$H$13+$K$13*LIDER!$H$14+$L$13*LIDER!$H$15,"N"))</f>
        <v>3.7499999999999996</v>
      </c>
      <c r="F15" s="194"/>
      <c r="G15" s="191"/>
      <c r="H15" s="189"/>
      <c r="I15" s="191"/>
      <c r="J15" s="189"/>
      <c r="K15" s="191"/>
      <c r="L15" s="189"/>
    </row>
    <row r="16" spans="1:12" s="2" customFormat="1" ht="15" customHeight="1">
      <c r="A16" s="12">
        <v>4</v>
      </c>
      <c r="B16" s="10" t="str">
        <f>LIDER!F46</f>
        <v>JULYANA SOFIA PORTO VALENCIA</v>
      </c>
      <c r="C16" s="87" t="str">
        <f t="shared" si="1"/>
        <v>G02</v>
      </c>
      <c r="D16" s="93"/>
      <c r="E16" s="11">
        <f>IF(B16=0,0,IF(D16="",$F$13*LIDER!$H$9+$G$13*LIDER!$H$10+$H$13*LIDER!$H$11+$I$13*LIDER!$H$12+$J$13*LIDER!$H$13+$K$13*LIDER!$H$14+$L$13*LIDER!$H$15,"N"))</f>
        <v>3.7499999999999996</v>
      </c>
      <c r="F16" s="194"/>
      <c r="G16" s="191"/>
      <c r="H16" s="189"/>
      <c r="I16" s="191"/>
      <c r="J16" s="189"/>
      <c r="K16" s="191"/>
      <c r="L16" s="189"/>
    </row>
    <row r="17" spans="1:12" s="2" customFormat="1" ht="15" customHeight="1">
      <c r="A17" s="12">
        <v>5</v>
      </c>
      <c r="B17" s="10" t="str">
        <f>LIDER!F47</f>
        <v>SEBASTIAN CERMEÑO MARRUGO2</v>
      </c>
      <c r="C17" s="87" t="str">
        <f t="shared" si="1"/>
        <v>G02</v>
      </c>
      <c r="D17" s="93"/>
      <c r="E17" s="11">
        <f>IF(B17=0,0,IF(D17="",$F$13*LIDER!$H$9+$G$13*LIDER!$H$10+$H$13*LIDER!$H$11+$I$13*LIDER!$H$12+$J$13*LIDER!$H$13+$K$13*LIDER!$H$14+$L$13*LIDER!$H$15,"N"))</f>
        <v>3.7499999999999996</v>
      </c>
      <c r="F17" s="194"/>
      <c r="G17" s="191"/>
      <c r="H17" s="189"/>
      <c r="I17" s="191"/>
      <c r="J17" s="189"/>
      <c r="K17" s="191"/>
      <c r="L17" s="189"/>
    </row>
    <row r="18" spans="1:12" s="2" customFormat="1" ht="15.75" customHeight="1">
      <c r="A18" s="13">
        <v>6</v>
      </c>
      <c r="B18" s="88">
        <f>LIDER!F48</f>
        <v>0</v>
      </c>
      <c r="C18" s="89" t="str">
        <f t="shared" si="1"/>
        <v>G02</v>
      </c>
      <c r="D18" s="94"/>
      <c r="E18" s="90">
        <f>IF(B18=0,0,IF(D18="",$F$13*LIDER!$H$9+$G$13*LIDER!$H$10+$H$13*LIDER!$H$11+$I$13*LIDER!$H$12+$J$13*LIDER!$H$13+$K$13*LIDER!$H$14+$L$13*LIDER!$H$15,"N"))</f>
        <v>0</v>
      </c>
      <c r="F18" s="194"/>
      <c r="G18" s="191"/>
      <c r="H18" s="189"/>
      <c r="I18" s="191"/>
      <c r="J18" s="189"/>
      <c r="K18" s="191"/>
      <c r="L18" s="189"/>
    </row>
    <row r="19" spans="1:12" s="2" customFormat="1" ht="15.75" customHeight="1">
      <c r="A19" s="14"/>
      <c r="B19" s="25" t="s">
        <v>115</v>
      </c>
      <c r="C19" s="85" t="s">
        <v>116</v>
      </c>
      <c r="D19" s="32" t="str">
        <f>D12</f>
        <v>LIST</v>
      </c>
      <c r="E19" s="86" t="s">
        <v>112</v>
      </c>
      <c r="F19" s="193" t="str">
        <f>LIDER!$E$31</f>
        <v>GRUPO#3 FUNDAMENTACIÓN TEÓRICA DE LAS DISCIPLINAS Y SU APORTE AL PERFIL PROFESIONAL</v>
      </c>
      <c r="G19" s="193"/>
      <c r="H19" s="193"/>
      <c r="I19" s="193"/>
      <c r="J19" s="193"/>
      <c r="K19" s="193"/>
      <c r="L19" s="193"/>
    </row>
    <row r="20" spans="1:12" s="2" customFormat="1" ht="12.75">
      <c r="A20" s="9">
        <v>1</v>
      </c>
      <c r="B20" s="10" t="str">
        <f>LIDER!G43</f>
        <v>ESNAIDER ARRIETA AVILA</v>
      </c>
      <c r="C20" s="87" t="str">
        <f>C19</f>
        <v>G03</v>
      </c>
      <c r="D20" s="92"/>
      <c r="E20" s="11">
        <f>IF(B20=0,0,IF(D20="",$F$20*LIDER!$H$9+$G$20*LIDER!$H$10+$H$20*LIDER!$H$11+$I$20*LIDER!$H$12+$J$20*LIDER!$H$13+$K$20*LIDER!$H$14+$L$20*LIDER!$H$15,"N"))</f>
        <v>3.9</v>
      </c>
      <c r="F20" s="194">
        <v>4</v>
      </c>
      <c r="G20" s="191">
        <v>4</v>
      </c>
      <c r="H20" s="189">
        <v>4</v>
      </c>
      <c r="I20" s="191">
        <v>3.5</v>
      </c>
      <c r="J20" s="189">
        <v>4</v>
      </c>
      <c r="K20" s="191"/>
      <c r="L20" s="189"/>
    </row>
    <row r="21" spans="1:12" s="2" customFormat="1" ht="15" customHeight="1">
      <c r="A21" s="12">
        <v>2</v>
      </c>
      <c r="B21" s="10" t="str">
        <f>LIDER!G44</f>
        <v>ISABEL SOPHIA CONEO BARRAZA</v>
      </c>
      <c r="C21" s="87" t="str">
        <f t="shared" ref="C21:C25" si="2">C20</f>
        <v>G03</v>
      </c>
      <c r="D21" s="93"/>
      <c r="E21" s="11">
        <f>IF(B21=0,0,IF(D21="",$F$20*LIDER!$H$9+$G$20*LIDER!$H$10+$H$20*LIDER!$H$11+$I$20*LIDER!$H$12+$J$20*LIDER!$H$13+$K$20*LIDER!$H$14+$L$20*LIDER!$H$15,"N"))</f>
        <v>3.9</v>
      </c>
      <c r="F21" s="194"/>
      <c r="G21" s="191"/>
      <c r="H21" s="189"/>
      <c r="I21" s="191"/>
      <c r="J21" s="189"/>
      <c r="K21" s="191"/>
      <c r="L21" s="189"/>
    </row>
    <row r="22" spans="1:12" s="2" customFormat="1" ht="15" customHeight="1">
      <c r="A22" s="12">
        <v>3</v>
      </c>
      <c r="B22" s="10" t="str">
        <f>LIDER!G45</f>
        <v>MARIAM TORRES HERNANDEZ</v>
      </c>
      <c r="C22" s="87" t="str">
        <f t="shared" si="2"/>
        <v>G03</v>
      </c>
      <c r="D22" s="93"/>
      <c r="E22" s="11">
        <f>IF(B22=0,0,IF(D22="",$F$20*LIDER!$H$9+$G$20*LIDER!$H$10+$H$20*LIDER!$H$11+$I$20*LIDER!$H$12+$J$20*LIDER!$H$13+$K$20*LIDER!$H$14+$L$20*LIDER!$H$15,"N"))</f>
        <v>3.9</v>
      </c>
      <c r="F22" s="194"/>
      <c r="G22" s="191"/>
      <c r="H22" s="189"/>
      <c r="I22" s="191"/>
      <c r="J22" s="189"/>
      <c r="K22" s="191"/>
      <c r="L22" s="189"/>
    </row>
    <row r="23" spans="1:12" s="2" customFormat="1" ht="15" customHeight="1">
      <c r="A23" s="12">
        <v>4</v>
      </c>
      <c r="B23" s="10" t="str">
        <f>LIDER!G46</f>
        <v>ISABEL SOFIA TORRES MOLINA</v>
      </c>
      <c r="C23" s="87" t="str">
        <f t="shared" si="2"/>
        <v>G03</v>
      </c>
      <c r="D23" s="93"/>
      <c r="E23" s="11">
        <f>IF(B23=0,0,IF(D23="",$F$20*LIDER!$H$9+$G$20*LIDER!$H$10+$H$20*LIDER!$H$11+$I$20*LIDER!$H$12+$J$20*LIDER!$H$13+$K$20*LIDER!$H$14+$L$20*LIDER!$H$15,"N"))</f>
        <v>3.9</v>
      </c>
      <c r="F23" s="194"/>
      <c r="G23" s="191"/>
      <c r="H23" s="189"/>
      <c r="I23" s="191"/>
      <c r="J23" s="189"/>
      <c r="K23" s="191"/>
      <c r="L23" s="189"/>
    </row>
    <row r="24" spans="1:12" s="2" customFormat="1" ht="15" customHeight="1">
      <c r="A24" s="12">
        <v>5</v>
      </c>
      <c r="B24" s="10" t="str">
        <f>LIDER!G47</f>
        <v>SANTIAGO EMILIO VEGA BRU</v>
      </c>
      <c r="C24" s="87" t="str">
        <f t="shared" si="2"/>
        <v>G03</v>
      </c>
      <c r="D24" s="93"/>
      <c r="E24" s="11">
        <f>IF(B24=0,0,IF(D24="",$F$20*LIDER!$H$9+$G$20*LIDER!$H$10+$H$20*LIDER!$H$11+$I$20*LIDER!$H$12+$J$20*LIDER!$H$13+$K$20*LIDER!$H$14+$L$20*LIDER!$H$15,"N"))</f>
        <v>3.9</v>
      </c>
      <c r="F24" s="194"/>
      <c r="G24" s="191"/>
      <c r="H24" s="189"/>
      <c r="I24" s="191"/>
      <c r="J24" s="189"/>
      <c r="K24" s="191"/>
      <c r="L24" s="189"/>
    </row>
    <row r="25" spans="1:12" s="2" customFormat="1" ht="15.75" customHeight="1">
      <c r="A25" s="13">
        <v>6</v>
      </c>
      <c r="B25" s="88">
        <f>LIDER!G48</f>
        <v>0</v>
      </c>
      <c r="C25" s="89" t="str">
        <f t="shared" si="2"/>
        <v>G03</v>
      </c>
      <c r="D25" s="94"/>
      <c r="E25" s="90">
        <f>IF(B25=0,0,IF(D25="",$F$20*LIDER!$H$9+$G$20*LIDER!$H$10+$H$20*LIDER!$H$11+$I$20*LIDER!$H$12+$J$20*LIDER!$H$13+$K$20*LIDER!$H$14+$L$20*LIDER!$H$15,"N"))</f>
        <v>0</v>
      </c>
      <c r="F25" s="194"/>
      <c r="G25" s="191"/>
      <c r="H25" s="189"/>
      <c r="I25" s="191"/>
      <c r="J25" s="189"/>
      <c r="K25" s="191"/>
      <c r="L25" s="189"/>
    </row>
    <row r="26" spans="1:12" s="2" customFormat="1" ht="15.75" customHeight="1">
      <c r="A26" s="14"/>
      <c r="B26" s="25" t="s">
        <v>117</v>
      </c>
      <c r="C26" s="85" t="s">
        <v>118</v>
      </c>
      <c r="D26" s="32" t="str">
        <f>D19</f>
        <v>LIST</v>
      </c>
      <c r="E26" s="86" t="s">
        <v>112</v>
      </c>
      <c r="F26" s="193" t="str">
        <f>LIDER!$E$32</f>
        <v>GRUPO#4 FUNDAMENTACIÓN TE´PORICA DE LAAS DISCIPLINAS Y SU APORTE AL PERFIL PROFESIONAL</v>
      </c>
      <c r="G26" s="193"/>
      <c r="H26" s="193"/>
      <c r="I26" s="193"/>
      <c r="J26" s="193"/>
      <c r="K26" s="193"/>
      <c r="L26" s="193"/>
    </row>
    <row r="27" spans="1:12" s="2" customFormat="1" ht="12.75">
      <c r="A27" s="9">
        <v>1</v>
      </c>
      <c r="B27" s="10" t="str">
        <f>LIDER!H43</f>
        <v>GREYSI HERNANDEZ NIETO</v>
      </c>
      <c r="C27" s="87" t="str">
        <f>C26</f>
        <v>G04</v>
      </c>
      <c r="D27" s="92"/>
      <c r="E27" s="11">
        <f>IF(B27=0,0,IF(D27="",$F$27*LIDER!$H$9+$G$27*LIDER!$H$10+$H$27*LIDER!$H$11+$I$27*LIDER!$H$12+$J$27*LIDER!$H$13+$K$27*LIDER!$H$14+$L$27*LIDER!$H$15,"N"))</f>
        <v>4.3499999999999996</v>
      </c>
      <c r="F27" s="194">
        <v>4</v>
      </c>
      <c r="G27" s="191">
        <v>4.5</v>
      </c>
      <c r="H27" s="189">
        <v>4.5</v>
      </c>
      <c r="I27" s="191">
        <v>4.5</v>
      </c>
      <c r="J27" s="189">
        <v>4</v>
      </c>
      <c r="K27" s="191"/>
      <c r="L27" s="189"/>
    </row>
    <row r="28" spans="1:12" s="2" customFormat="1" ht="15" customHeight="1">
      <c r="A28" s="12">
        <v>2</v>
      </c>
      <c r="B28" s="10" t="str">
        <f>LIDER!H44</f>
        <v>BETZABÉ SALCEDO MERCADO</v>
      </c>
      <c r="C28" s="87" t="str">
        <f t="shared" ref="C28:C32" si="3">C27</f>
        <v>G04</v>
      </c>
      <c r="D28" s="93"/>
      <c r="E28" s="11">
        <f>IF(B28=0,0,IF(D28="",$F$27*LIDER!$H$9+$G$27*LIDER!$H$10+$H$27*LIDER!$H$11+$I$27*LIDER!$H$12+$J$27*LIDER!$H$13+$K$27*LIDER!$H$14+$L$27*LIDER!$H$15,"N"))</f>
        <v>4.3499999999999996</v>
      </c>
      <c r="F28" s="194"/>
      <c r="G28" s="191"/>
      <c r="H28" s="189"/>
      <c r="I28" s="191"/>
      <c r="J28" s="189"/>
      <c r="K28" s="191"/>
      <c r="L28" s="189"/>
    </row>
    <row r="29" spans="1:12" s="2" customFormat="1" ht="15" customHeight="1">
      <c r="A29" s="12">
        <v>3</v>
      </c>
      <c r="B29" s="10" t="str">
        <f>LIDER!H45</f>
        <v>JUAN SEBASTIAN SMITH SILVA</v>
      </c>
      <c r="C29" s="87" t="str">
        <f t="shared" si="3"/>
        <v>G04</v>
      </c>
      <c r="D29" s="93"/>
      <c r="E29" s="11">
        <f>IF(B29=0,0,IF(D29="",$F$27*LIDER!$H$9+$G$27*LIDER!$H$10+$H$27*LIDER!$H$11+$I$27*LIDER!$H$12+$J$27*LIDER!$H$13+$K$27*LIDER!$H$14+$L$27*LIDER!$H$15,"N"))</f>
        <v>4.3499999999999996</v>
      </c>
      <c r="F29" s="194"/>
      <c r="G29" s="191"/>
      <c r="H29" s="189"/>
      <c r="I29" s="191"/>
      <c r="J29" s="189"/>
      <c r="K29" s="191"/>
      <c r="L29" s="189"/>
    </row>
    <row r="30" spans="1:12" s="2" customFormat="1" ht="15" customHeight="1">
      <c r="A30" s="12">
        <v>4</v>
      </c>
      <c r="B30" s="10" t="str">
        <f>LIDER!H46</f>
        <v>ESTEFANY NORIEGA DUNCAN</v>
      </c>
      <c r="C30" s="87" t="str">
        <f t="shared" si="3"/>
        <v>G04</v>
      </c>
      <c r="D30" s="93"/>
      <c r="E30" s="11">
        <f>IF(B30=0,0,IF(D30="",$F$27*LIDER!$H$9+$G$27*LIDER!$H$10+$H$27*LIDER!$H$11+$I$27*LIDER!$H$12+$J$27*LIDER!$H$13+$K$27*LIDER!$H$14+$L$27*LIDER!$H$15,"N"))</f>
        <v>4.3499999999999996</v>
      </c>
      <c r="F30" s="194"/>
      <c r="G30" s="191"/>
      <c r="H30" s="189"/>
      <c r="I30" s="191"/>
      <c r="J30" s="189"/>
      <c r="K30" s="191"/>
      <c r="L30" s="189"/>
    </row>
    <row r="31" spans="1:12" s="2" customFormat="1" ht="15" customHeight="1">
      <c r="A31" s="12">
        <v>5</v>
      </c>
      <c r="B31" s="10" t="str">
        <f>LIDER!H47</f>
        <v>SHIRLY RECUERO ROMERO</v>
      </c>
      <c r="C31" s="87" t="str">
        <f t="shared" si="3"/>
        <v>G04</v>
      </c>
      <c r="D31" s="93"/>
      <c r="E31" s="11">
        <f>IF(B31=0,0,IF(D31="",$F$27*LIDER!$H$9+$G$27*LIDER!$H$10+$H$27*LIDER!$H$11+$I$27*LIDER!$H$12+$J$27*LIDER!$H$13+$K$27*LIDER!$H$14+$L$27*LIDER!$H$15,"N"))</f>
        <v>4.3499999999999996</v>
      </c>
      <c r="F31" s="194"/>
      <c r="G31" s="191"/>
      <c r="H31" s="189"/>
      <c r="I31" s="191"/>
      <c r="J31" s="189"/>
      <c r="K31" s="191"/>
      <c r="L31" s="189"/>
    </row>
    <row r="32" spans="1:12" s="2" customFormat="1" ht="15.75" customHeight="1">
      <c r="A32" s="13">
        <v>6</v>
      </c>
      <c r="B32" s="88">
        <f>LIDER!H48</f>
        <v>0</v>
      </c>
      <c r="C32" s="89" t="str">
        <f t="shared" si="3"/>
        <v>G04</v>
      </c>
      <c r="D32" s="94"/>
      <c r="E32" s="90">
        <f>IF(B32=0,0,IF(D32="",$F$27*LIDER!$H$9+$G$27*LIDER!$H$10+$H$27*LIDER!$H$11+$I$27*LIDER!$H$12+$J$27*LIDER!$H$13+$K$27*LIDER!$H$14+$L$27*LIDER!$H$15,"N"))</f>
        <v>0</v>
      </c>
      <c r="F32" s="194"/>
      <c r="G32" s="191"/>
      <c r="H32" s="189"/>
      <c r="I32" s="191"/>
      <c r="J32" s="189"/>
      <c r="K32" s="191"/>
      <c r="L32" s="189"/>
    </row>
    <row r="33" spans="1:12" s="2" customFormat="1" ht="15.75" customHeight="1">
      <c r="A33" s="14"/>
      <c r="B33" s="25" t="s">
        <v>119</v>
      </c>
      <c r="C33" s="85" t="s">
        <v>120</v>
      </c>
      <c r="D33" s="32" t="str">
        <f>D26</f>
        <v>LIST</v>
      </c>
      <c r="E33" s="86" t="s">
        <v>112</v>
      </c>
      <c r="F33" s="193" t="str">
        <f>LIDER!$E$33</f>
        <v>GRUPO#5 FUNDAMENTACIÓN TEÓRICA DE LAS DISCIPLINAS Y SU APORTE AL  PERFIL PROFESIONAL</v>
      </c>
      <c r="G33" s="193"/>
      <c r="H33" s="193"/>
      <c r="I33" s="193"/>
      <c r="J33" s="193"/>
      <c r="K33" s="193"/>
      <c r="L33" s="193"/>
    </row>
    <row r="34" spans="1:12" s="2" customFormat="1" ht="12.75">
      <c r="A34" s="9">
        <v>1</v>
      </c>
      <c r="B34" s="10" t="str">
        <f>LIDER!E51</f>
        <v>THAIS GABRIELA BLANCO TORRES</v>
      </c>
      <c r="C34" s="87" t="str">
        <f>C33</f>
        <v>G05</v>
      </c>
      <c r="D34" s="92"/>
      <c r="E34" s="11">
        <f>IF(B34=0,0,IF(D34="",$F$34*LIDER!$H$9+$G$34*LIDER!$H$10+$H$34*LIDER!$H$11+$I$34*LIDER!$H$12+$J$34*LIDER!$H$13+$K$34*LIDER!$H$14+$L$34*LIDER!$H$15,"N"))</f>
        <v>4.4499999999999993</v>
      </c>
      <c r="F34" s="194">
        <v>4.5</v>
      </c>
      <c r="G34" s="191">
        <v>4.5</v>
      </c>
      <c r="H34" s="189">
        <v>4</v>
      </c>
      <c r="I34" s="191">
        <v>4.5</v>
      </c>
      <c r="J34" s="189">
        <v>5</v>
      </c>
      <c r="K34" s="191"/>
      <c r="L34" s="189"/>
    </row>
    <row r="35" spans="1:12" s="2" customFormat="1" ht="15" customHeight="1">
      <c r="A35" s="12">
        <v>2</v>
      </c>
      <c r="B35" s="10" t="str">
        <f>LIDER!E52</f>
        <v>MARIA JOSE CASANOVA PACHECO</v>
      </c>
      <c r="C35" s="87" t="str">
        <f t="shared" ref="C35:C39" si="4">C34</f>
        <v>G05</v>
      </c>
      <c r="D35" s="93"/>
      <c r="E35" s="11">
        <f>IF(B35=0,0,IF(D35="",$F$34*LIDER!$H$9+$G$34*LIDER!$H$10+$H$34*LIDER!$H$11+$I$34*LIDER!$H$12+$J$34*LIDER!$H$13+$K$34*LIDER!$H$14+$L$34*LIDER!$H$15,"N"))</f>
        <v>4.4499999999999993</v>
      </c>
      <c r="F35" s="194"/>
      <c r="G35" s="191"/>
      <c r="H35" s="189"/>
      <c r="I35" s="191"/>
      <c r="J35" s="189"/>
      <c r="K35" s="191"/>
      <c r="L35" s="189"/>
    </row>
    <row r="36" spans="1:12" s="2" customFormat="1" ht="15" customHeight="1">
      <c r="A36" s="12">
        <v>3</v>
      </c>
      <c r="B36" s="10" t="str">
        <f>LIDER!E53</f>
        <v>ISELA ALEJANDRA DE HORTA  IBAÑEZ</v>
      </c>
      <c r="C36" s="87" t="str">
        <f t="shared" si="4"/>
        <v>G05</v>
      </c>
      <c r="D36" s="93"/>
      <c r="E36" s="11">
        <f>IF(B36=0,0,IF(D36="",$F$34*LIDER!$H$9+$G$34*LIDER!$H$10+$H$34*LIDER!$H$11+$I$34*LIDER!$H$12+$J$34*LIDER!$H$13+$K$34*LIDER!$H$14+$L$34*LIDER!$H$15,"N"))</f>
        <v>4.4499999999999993</v>
      </c>
      <c r="F36" s="194"/>
      <c r="G36" s="191"/>
      <c r="H36" s="189"/>
      <c r="I36" s="191"/>
      <c r="J36" s="189"/>
      <c r="K36" s="191"/>
      <c r="L36" s="189"/>
    </row>
    <row r="37" spans="1:12" s="2" customFormat="1" ht="15" customHeight="1">
      <c r="A37" s="12">
        <v>4</v>
      </c>
      <c r="B37" s="10" t="str">
        <f>LIDER!E54</f>
        <v>SARAY CAROLINA OTERO THYME</v>
      </c>
      <c r="C37" s="87" t="str">
        <f t="shared" si="4"/>
        <v>G05</v>
      </c>
      <c r="D37" s="93"/>
      <c r="E37" s="11">
        <f>IF(B37=0,0,IF(D37="",$F$34*LIDER!$H$9+$G$34*LIDER!$H$10+$H$34*LIDER!$H$11+$I$34*LIDER!$H$12+$J$34*LIDER!$H$13+$K$34*LIDER!$H$14+$L$34*LIDER!$H$15,"N"))</f>
        <v>4.4499999999999993</v>
      </c>
      <c r="F37" s="194"/>
      <c r="G37" s="191"/>
      <c r="H37" s="189"/>
      <c r="I37" s="191"/>
      <c r="J37" s="189"/>
      <c r="K37" s="191"/>
      <c r="L37" s="189"/>
    </row>
    <row r="38" spans="1:12" s="2" customFormat="1" ht="15" customHeight="1">
      <c r="A38" s="12">
        <v>5</v>
      </c>
      <c r="B38" s="10">
        <f>LIDER!E55</f>
        <v>0</v>
      </c>
      <c r="C38" s="87" t="str">
        <f t="shared" si="4"/>
        <v>G05</v>
      </c>
      <c r="D38" s="93"/>
      <c r="E38" s="11">
        <f>IF(B38=0,0,IF(D38="",$F$34*LIDER!$H$9+$G$34*LIDER!$H$10+$H$34*LIDER!$H$11+$I$34*LIDER!$H$12+$J$34*LIDER!$H$13+$K$34*LIDER!$H$14+$L$34*LIDER!$H$15,"N"))</f>
        <v>0</v>
      </c>
      <c r="F38" s="194"/>
      <c r="G38" s="191"/>
      <c r="H38" s="189"/>
      <c r="I38" s="191"/>
      <c r="J38" s="189"/>
      <c r="K38" s="191"/>
      <c r="L38" s="189"/>
    </row>
    <row r="39" spans="1:12" s="2" customFormat="1" ht="15.75" customHeight="1">
      <c r="A39" s="13">
        <v>6</v>
      </c>
      <c r="B39" s="88">
        <f>LIDER!E56</f>
        <v>0</v>
      </c>
      <c r="C39" s="89" t="str">
        <f t="shared" si="4"/>
        <v>G05</v>
      </c>
      <c r="D39" s="94"/>
      <c r="E39" s="90">
        <f>IF(B39=0,0,IF(D39="",$F$34*LIDER!$H$9+$G$34*LIDER!$H$10+$H$34*LIDER!$H$11+$I$34*LIDER!$H$12+$J$34*LIDER!$H$13+$K$34*LIDER!$H$14+$L$34*LIDER!$H$15,"N"))</f>
        <v>0</v>
      </c>
      <c r="F39" s="194"/>
      <c r="G39" s="191"/>
      <c r="H39" s="189"/>
      <c r="I39" s="191"/>
      <c r="J39" s="189"/>
      <c r="K39" s="191"/>
      <c r="L39" s="189"/>
    </row>
    <row r="40" spans="1:12" s="2" customFormat="1" ht="15.75" customHeight="1">
      <c r="A40" s="14"/>
      <c r="B40" s="25" t="s">
        <v>121</v>
      </c>
      <c r="C40" s="85" t="s">
        <v>122</v>
      </c>
      <c r="D40" s="32" t="str">
        <f>D33</f>
        <v>LIST</v>
      </c>
      <c r="E40" s="86" t="s">
        <v>112</v>
      </c>
      <c r="F40" s="193" t="str">
        <f>LIDER!$E$34</f>
        <v>GRUPO#6 FUNDAMENTACIÓN TEÓRICA DE LAS DISCIPLINAS Y SU APORTE AL PERFIL PROFESIONAL</v>
      </c>
      <c r="G40" s="193"/>
      <c r="H40" s="193"/>
      <c r="I40" s="193"/>
      <c r="J40" s="193"/>
      <c r="K40" s="193"/>
      <c r="L40" s="193"/>
    </row>
    <row r="41" spans="1:12" s="2" customFormat="1" ht="12.75">
      <c r="A41" s="9">
        <v>1</v>
      </c>
      <c r="B41" s="10" t="str">
        <f>LIDER!F51</f>
        <v>VICTOR JAVIER ORTEGA ESPINOSA</v>
      </c>
      <c r="C41" s="87" t="str">
        <f>C40</f>
        <v>G06</v>
      </c>
      <c r="D41" s="92"/>
      <c r="E41" s="11">
        <f>IF(B41=0,0,IF(D41="",$F$41*LIDER!$H$9+$G$41*LIDER!$H$10+$H$41*LIDER!$H$11+$I$41*LIDER!$H$12+$J$41*LIDER!$H$13+$K$41*LIDER!$H$14+$L$41*LIDER!$H$15,"N"))</f>
        <v>0</v>
      </c>
      <c r="F41" s="194">
        <v>0</v>
      </c>
      <c r="G41" s="191">
        <v>0</v>
      </c>
      <c r="H41" s="189">
        <v>0</v>
      </c>
      <c r="I41" s="191">
        <v>0</v>
      </c>
      <c r="J41" s="189">
        <v>0</v>
      </c>
      <c r="K41" s="191"/>
      <c r="L41" s="189"/>
    </row>
    <row r="42" spans="1:12" s="2" customFormat="1" ht="15" customHeight="1">
      <c r="A42" s="12">
        <v>2</v>
      </c>
      <c r="B42" s="10">
        <f>LIDER!F52</f>
        <v>0</v>
      </c>
      <c r="C42" s="87" t="str">
        <f t="shared" ref="C42:C46" si="5">C41</f>
        <v>G06</v>
      </c>
      <c r="D42" s="93"/>
      <c r="E42" s="11">
        <f>IF(B42=0,0,IF(D42="",$F$41*LIDER!$H$9+$G$41*LIDER!$H$10+$H$41*LIDER!$H$11+$I$41*LIDER!$H$12+$J$41*LIDER!$H$13+$K$41*LIDER!$H$14+$L$41*LIDER!$H$15,"N"))</f>
        <v>0</v>
      </c>
      <c r="F42" s="194"/>
      <c r="G42" s="191"/>
      <c r="H42" s="189"/>
      <c r="I42" s="191"/>
      <c r="J42" s="189"/>
      <c r="K42" s="191"/>
      <c r="L42" s="189"/>
    </row>
    <row r="43" spans="1:12" s="2" customFormat="1" ht="15" customHeight="1">
      <c r="A43" s="12">
        <v>3</v>
      </c>
      <c r="B43" s="10">
        <f>LIDER!F53</f>
        <v>0</v>
      </c>
      <c r="C43" s="87" t="str">
        <f t="shared" si="5"/>
        <v>G06</v>
      </c>
      <c r="D43" s="93"/>
      <c r="E43" s="11">
        <f>IF(B43=0,0,IF(D43="",$F$41*LIDER!$H$9+$G$41*LIDER!$H$10+$H$41*LIDER!$H$11+$I$41*LIDER!$H$12+$J$41*LIDER!$H$13+$K$41*LIDER!$H$14+$L$41*LIDER!$H$15,"N"))</f>
        <v>0</v>
      </c>
      <c r="F43" s="194"/>
      <c r="G43" s="191"/>
      <c r="H43" s="189"/>
      <c r="I43" s="191"/>
      <c r="J43" s="189"/>
      <c r="K43" s="191"/>
      <c r="L43" s="189"/>
    </row>
    <row r="44" spans="1:12" s="2" customFormat="1" ht="15" customHeight="1">
      <c r="A44" s="12">
        <v>4</v>
      </c>
      <c r="B44" s="10">
        <f>LIDER!F54</f>
        <v>0</v>
      </c>
      <c r="C44" s="87" t="str">
        <f t="shared" si="5"/>
        <v>G06</v>
      </c>
      <c r="D44" s="93"/>
      <c r="E44" s="11">
        <f>IF(B44=0,0,IF(D44="",$F$41*LIDER!$H$9+$G$41*LIDER!$H$10+$H$41*LIDER!$H$11+$I$41*LIDER!$H$12+$J$41*LIDER!$H$13+$K$41*LIDER!$H$14+$L$41*LIDER!$H$15,"N"))</f>
        <v>0</v>
      </c>
      <c r="F44" s="194"/>
      <c r="G44" s="191"/>
      <c r="H44" s="189"/>
      <c r="I44" s="191"/>
      <c r="J44" s="189"/>
      <c r="K44" s="191"/>
      <c r="L44" s="189"/>
    </row>
    <row r="45" spans="1:12" s="2" customFormat="1" ht="15" customHeight="1">
      <c r="A45" s="12">
        <v>5</v>
      </c>
      <c r="B45" s="10">
        <f>LIDER!F55</f>
        <v>0</v>
      </c>
      <c r="C45" s="87" t="str">
        <f t="shared" si="5"/>
        <v>G06</v>
      </c>
      <c r="D45" s="93"/>
      <c r="E45" s="11">
        <f>IF(B45=0,0,IF(D45="",$F$41*LIDER!$H$9+$G$41*LIDER!$H$10+$H$41*LIDER!$H$11+$I$41*LIDER!$H$12+$J$41*LIDER!$H$13+$K$41*LIDER!$H$14+$L$41*LIDER!$H$15,"N"))</f>
        <v>0</v>
      </c>
      <c r="F45" s="194"/>
      <c r="G45" s="191"/>
      <c r="H45" s="189"/>
      <c r="I45" s="191"/>
      <c r="J45" s="189"/>
      <c r="K45" s="191"/>
      <c r="L45" s="189"/>
    </row>
    <row r="46" spans="1:12" s="2" customFormat="1" ht="15.75" customHeight="1">
      <c r="A46" s="13">
        <v>6</v>
      </c>
      <c r="B46" s="88">
        <f>LIDER!F56</f>
        <v>0</v>
      </c>
      <c r="C46" s="89" t="str">
        <f t="shared" si="5"/>
        <v>G06</v>
      </c>
      <c r="D46" s="94"/>
      <c r="E46" s="90">
        <f>IF(B46=0,0,IF(D46="",$F$41*LIDER!$H$9+$G$41*LIDER!$H$10+$H$41*LIDER!$H$11+$I$41*LIDER!$H$12+$J$41*LIDER!$H$13+$K$41*LIDER!$H$14+$L$41*LIDER!$H$15,"N"))</f>
        <v>0</v>
      </c>
      <c r="F46" s="194"/>
      <c r="G46" s="191"/>
      <c r="H46" s="189"/>
      <c r="I46" s="191"/>
      <c r="J46" s="189"/>
      <c r="K46" s="191"/>
      <c r="L46" s="189"/>
    </row>
    <row r="47" spans="1:12" s="2" customFormat="1" ht="15.75" customHeight="1">
      <c r="A47" s="14"/>
      <c r="B47" s="25" t="s">
        <v>123</v>
      </c>
      <c r="C47" s="85" t="s">
        <v>124</v>
      </c>
      <c r="D47" s="32" t="str">
        <f>D40</f>
        <v>LIST</v>
      </c>
      <c r="E47" s="86" t="s">
        <v>112</v>
      </c>
      <c r="F47" s="193" t="str">
        <f>LIDER!$E$35</f>
        <v>GRUPO#7 FUNDAMENTACIÓN TEÓRICA DE LAS DISCIPLINAS Y SU APORTE AL PERFIL PROFESIONAL</v>
      </c>
      <c r="G47" s="193"/>
      <c r="H47" s="193"/>
      <c r="I47" s="193"/>
      <c r="J47" s="193"/>
      <c r="K47" s="193"/>
      <c r="L47" s="193"/>
    </row>
    <row r="48" spans="1:12" s="2" customFormat="1" ht="12.75">
      <c r="A48" s="9">
        <v>1</v>
      </c>
      <c r="B48" s="10" t="str">
        <f>LIDER!G51</f>
        <v>DIEGO BUSTAMANTE CARABALLO</v>
      </c>
      <c r="C48" s="87" t="str">
        <f>C47</f>
        <v>G07</v>
      </c>
      <c r="D48" s="92"/>
      <c r="E48" s="11">
        <f>IF(B48=0,0,IF(D48="",$F$48*LIDER!$H$9+$G$48*LIDER!$H$10+$H$48*LIDER!$H$11+$I$48*LIDER!$H$12+$J$48*LIDER!$H$13+$K$48*LIDER!$H$14+$L$48*LIDER!$H$15,"N"))</f>
        <v>3.9999999999999996</v>
      </c>
      <c r="F48" s="194">
        <v>4</v>
      </c>
      <c r="G48" s="191">
        <v>4</v>
      </c>
      <c r="H48" s="189">
        <v>4</v>
      </c>
      <c r="I48" s="191">
        <v>4</v>
      </c>
      <c r="J48" s="189">
        <v>4</v>
      </c>
      <c r="K48" s="191"/>
      <c r="L48" s="189"/>
    </row>
    <row r="49" spans="1:12" s="2" customFormat="1" ht="15" customHeight="1">
      <c r="A49" s="12">
        <v>2</v>
      </c>
      <c r="B49" s="10" t="str">
        <f>LIDER!G52</f>
        <v>YULIZA PAHOLA CIPRIAN MONTALVO</v>
      </c>
      <c r="C49" s="87" t="str">
        <f t="shared" ref="C49:C53" si="6">C48</f>
        <v>G07</v>
      </c>
      <c r="D49" s="93"/>
      <c r="E49" s="11">
        <f>IF(B49=0,0,IF(D49="",$F$48*LIDER!$H$9+$G$48*LIDER!$H$10+$H$48*LIDER!$H$11+$I$48*LIDER!$H$12+$J$48*LIDER!$H$13+$K$48*LIDER!$H$14+$L$48*LIDER!$H$15,"N"))</f>
        <v>3.9999999999999996</v>
      </c>
      <c r="F49" s="194"/>
      <c r="G49" s="191"/>
      <c r="H49" s="189"/>
      <c r="I49" s="191"/>
      <c r="J49" s="189"/>
      <c r="K49" s="191"/>
      <c r="L49" s="189"/>
    </row>
    <row r="50" spans="1:12" s="2" customFormat="1" ht="15" customHeight="1">
      <c r="A50" s="12">
        <v>3</v>
      </c>
      <c r="B50" s="10" t="str">
        <f>LIDER!G53</f>
        <v>JESUS ALBERTO LARA ANGULO</v>
      </c>
      <c r="C50" s="87" t="str">
        <f t="shared" si="6"/>
        <v>G07</v>
      </c>
      <c r="D50" s="93"/>
      <c r="E50" s="11">
        <f>IF(B50=0,0,IF(D50="",$F$48*LIDER!$H$9+$G$48*LIDER!$H$10+$H$48*LIDER!$H$11+$I$48*LIDER!$H$12+$J$48*LIDER!$H$13+$K$48*LIDER!$H$14+$L$48*LIDER!$H$15,"N"))</f>
        <v>3.9999999999999996</v>
      </c>
      <c r="F50" s="194"/>
      <c r="G50" s="191"/>
      <c r="H50" s="189"/>
      <c r="I50" s="191"/>
      <c r="J50" s="189"/>
      <c r="K50" s="191"/>
      <c r="L50" s="189"/>
    </row>
    <row r="51" spans="1:12" s="2" customFormat="1" ht="15" customHeight="1">
      <c r="A51" s="12">
        <v>4</v>
      </c>
      <c r="B51" s="10" t="str">
        <f>LIDER!G54</f>
        <v>MILAGRO CECILIA PEREZ MARTINEZ</v>
      </c>
      <c r="C51" s="87" t="str">
        <f t="shared" si="6"/>
        <v>G07</v>
      </c>
      <c r="D51" s="93"/>
      <c r="E51" s="11">
        <f>IF(B51=0,0,IF(D51="",$F$48*LIDER!$H$9+$G$48*LIDER!$H$10+$H$48*LIDER!$H$11+$I$48*LIDER!$H$12+$J$48*LIDER!$H$13+$K$48*LIDER!$H$14+$L$48*LIDER!$H$15,"N"))</f>
        <v>3.9999999999999996</v>
      </c>
      <c r="F51" s="194"/>
      <c r="G51" s="191"/>
      <c r="H51" s="189"/>
      <c r="I51" s="191"/>
      <c r="J51" s="189"/>
      <c r="K51" s="191"/>
      <c r="L51" s="189"/>
    </row>
    <row r="52" spans="1:12" s="2" customFormat="1" ht="15" customHeight="1">
      <c r="A52" s="12">
        <v>5</v>
      </c>
      <c r="B52" s="10" t="str">
        <f>LIDER!G55</f>
        <v>MARIA FERNANDA QUIROZ PEREZ</v>
      </c>
      <c r="C52" s="87" t="str">
        <f t="shared" si="6"/>
        <v>G07</v>
      </c>
      <c r="D52" s="93"/>
      <c r="E52" s="11">
        <f>IF(B52=0,0,IF(D52="",$F$48*LIDER!$H$9+$G$48*LIDER!$H$10+$H$48*LIDER!$H$11+$I$48*LIDER!$H$12+$J$48*LIDER!$H$13+$K$48*LIDER!$H$14+$L$48*LIDER!$H$15,"N"))</f>
        <v>3.9999999999999996</v>
      </c>
      <c r="F52" s="194"/>
      <c r="G52" s="191"/>
      <c r="H52" s="189"/>
      <c r="I52" s="191"/>
      <c r="J52" s="189"/>
      <c r="K52" s="191"/>
      <c r="L52" s="189"/>
    </row>
    <row r="53" spans="1:12" s="2" customFormat="1" ht="15.75" customHeight="1">
      <c r="A53" s="13">
        <v>6</v>
      </c>
      <c r="B53" s="88" t="str">
        <f>LIDER!G56</f>
        <v>JUAN STIVEN TIRIA COLORADO</v>
      </c>
      <c r="C53" s="89" t="str">
        <f t="shared" si="6"/>
        <v>G07</v>
      </c>
      <c r="D53" s="94"/>
      <c r="E53" s="90">
        <f>IF(B53=0,0,IF(D53="",$F$48*LIDER!$H$9+$G$48*LIDER!$H$10+$H$48*LIDER!$H$11+$I$48*LIDER!$H$12+$J$48*LIDER!$H$13+$K$48*LIDER!$H$14+$L$48*LIDER!$H$15,"N"))</f>
        <v>3.9999999999999996</v>
      </c>
      <c r="F53" s="194"/>
      <c r="G53" s="191"/>
      <c r="H53" s="189"/>
      <c r="I53" s="191"/>
      <c r="J53" s="189"/>
      <c r="K53" s="191"/>
      <c r="L53" s="189"/>
    </row>
    <row r="54" spans="1:12" s="2" customFormat="1" ht="15.75" customHeight="1">
      <c r="A54" s="14"/>
      <c r="B54" s="25" t="s">
        <v>125</v>
      </c>
      <c r="C54" s="85" t="s">
        <v>126</v>
      </c>
      <c r="D54" s="32" t="str">
        <f>D47</f>
        <v>LIST</v>
      </c>
      <c r="E54" s="86" t="s">
        <v>112</v>
      </c>
      <c r="F54" s="193" t="str">
        <f>LIDER!$E$36</f>
        <v>GRUPO#8 FUNDAMENTACIÓN TEÓRICA DE LAS DISCIPLINAS Y SU APORTE AL PERFIL PROFESIONAL</v>
      </c>
      <c r="G54" s="193"/>
      <c r="H54" s="193"/>
      <c r="I54" s="193"/>
      <c r="J54" s="193"/>
      <c r="K54" s="193"/>
      <c r="L54" s="193"/>
    </row>
    <row r="55" spans="1:12" s="2" customFormat="1" ht="12.75">
      <c r="A55" s="9">
        <v>1</v>
      </c>
      <c r="B55" s="10" t="str">
        <f>LIDER!H51</f>
        <v>GABRIELA AGUDELO VALENCIA</v>
      </c>
      <c r="C55" s="87" t="str">
        <f>C54</f>
        <v>G08</v>
      </c>
      <c r="D55" s="92"/>
      <c r="E55" s="11">
        <f>IF(B55=0,0,IF(D55="",$F$55*LIDER!$H$9+$G$55*LIDER!$H$10+$H$55*LIDER!$H$11+$I$55*LIDER!$H$12+$J$55*LIDER!$H$13+$K$55*LIDER!$H$14+$L$55*LIDER!$H$15,"N"))</f>
        <v>4</v>
      </c>
      <c r="F55" s="194">
        <v>4</v>
      </c>
      <c r="G55" s="191">
        <v>4</v>
      </c>
      <c r="H55" s="189">
        <v>3.5</v>
      </c>
      <c r="I55" s="191">
        <v>4</v>
      </c>
      <c r="J55" s="189">
        <v>5</v>
      </c>
      <c r="K55" s="191"/>
      <c r="L55" s="189"/>
    </row>
    <row r="56" spans="1:12" s="2" customFormat="1" ht="15" customHeight="1">
      <c r="A56" s="12">
        <v>2</v>
      </c>
      <c r="B56" s="10" t="str">
        <f>LIDER!H52</f>
        <v>YUSARI LIÑAN CUADRO</v>
      </c>
      <c r="C56" s="87" t="str">
        <f t="shared" ref="C56:C60" si="7">C55</f>
        <v>G08</v>
      </c>
      <c r="D56" s="93"/>
      <c r="E56" s="11">
        <f>IF(B56=0,0,IF(D56="",$F$55*LIDER!$H$9+$G$55*LIDER!$H$10+$H$55*LIDER!$H$11+$I$55*LIDER!$H$12+$J$55*LIDER!$H$13+$K$55*LIDER!$H$14+$L$55*LIDER!$H$15,"N"))</f>
        <v>4</v>
      </c>
      <c r="F56" s="194"/>
      <c r="G56" s="191"/>
      <c r="H56" s="189"/>
      <c r="I56" s="191"/>
      <c r="J56" s="189"/>
      <c r="K56" s="191"/>
      <c r="L56" s="189"/>
    </row>
    <row r="57" spans="1:12" s="2" customFormat="1" ht="15" customHeight="1">
      <c r="A57" s="12">
        <v>3</v>
      </c>
      <c r="B57" s="10" t="str">
        <f>LIDER!H53</f>
        <v>OSCAR ANDRES BORRE VÁSQUEZ</v>
      </c>
      <c r="C57" s="87" t="str">
        <f t="shared" si="7"/>
        <v>G08</v>
      </c>
      <c r="D57" s="93"/>
      <c r="E57" s="11">
        <f>IF(B57=0,0,IF(D57="",$F$55*LIDER!$H$9+$G$55*LIDER!$H$10+$H$55*LIDER!$H$11+$I$55*LIDER!$H$12+$J$55*LIDER!$H$13+$K$55*LIDER!$H$14+$L$55*LIDER!$H$15,"N"))</f>
        <v>4</v>
      </c>
      <c r="F57" s="194"/>
      <c r="G57" s="191"/>
      <c r="H57" s="189"/>
      <c r="I57" s="191"/>
      <c r="J57" s="189"/>
      <c r="K57" s="191"/>
      <c r="L57" s="189"/>
    </row>
    <row r="58" spans="1:12" s="2" customFormat="1" ht="15" customHeight="1">
      <c r="A58" s="12">
        <v>4</v>
      </c>
      <c r="B58" s="10" t="str">
        <f>LIDER!H54</f>
        <v>JANYLOR CAROLINA  CASTRO SARAVIA</v>
      </c>
      <c r="C58" s="87" t="str">
        <f t="shared" si="7"/>
        <v>G08</v>
      </c>
      <c r="D58" s="93"/>
      <c r="E58" s="11">
        <f>IF(B58=0,0,IF(D58="",$F$55*LIDER!$H$9+$G$55*LIDER!$H$10+$H$55*LIDER!$H$11+$I$55*LIDER!$H$12+$J$55*LIDER!$H$13+$K$55*LIDER!$H$14+$L$55*LIDER!$H$15,"N"))</f>
        <v>4</v>
      </c>
      <c r="F58" s="194"/>
      <c r="G58" s="191"/>
      <c r="H58" s="189"/>
      <c r="I58" s="191"/>
      <c r="J58" s="189"/>
      <c r="K58" s="191"/>
      <c r="L58" s="189"/>
    </row>
    <row r="59" spans="1:12" s="2" customFormat="1" ht="15" customHeight="1">
      <c r="A59" s="12">
        <v>5</v>
      </c>
      <c r="B59" s="10" t="str">
        <f>LIDER!H55</f>
        <v>DANNA ISABEL MESTRE MARIMÓN</v>
      </c>
      <c r="C59" s="87" t="str">
        <f t="shared" si="7"/>
        <v>G08</v>
      </c>
      <c r="D59" s="93"/>
      <c r="E59" s="11">
        <f>IF(B59=0,0,IF(D59="",$F$55*LIDER!$H$9+$G$55*LIDER!$H$10+$H$55*LIDER!$H$11+$I$55*LIDER!$H$12+$J$55*LIDER!$H$13+$K$55*LIDER!$H$14+$L$55*LIDER!$H$15,"N"))</f>
        <v>4</v>
      </c>
      <c r="F59" s="194"/>
      <c r="G59" s="191"/>
      <c r="H59" s="189"/>
      <c r="I59" s="191"/>
      <c r="J59" s="189"/>
      <c r="K59" s="191"/>
      <c r="L59" s="189"/>
    </row>
    <row r="60" spans="1:12" s="2" customFormat="1" ht="15.75" customHeight="1">
      <c r="A60" s="13">
        <v>6</v>
      </c>
      <c r="B60" s="88" t="str">
        <f>LIDER!H56</f>
        <v>ISAAC DAVID NIETO JIMÉNEZ</v>
      </c>
      <c r="C60" s="89" t="str">
        <f t="shared" si="7"/>
        <v>G08</v>
      </c>
      <c r="D60" s="94"/>
      <c r="E60" s="90">
        <f>IF(B60=0,0,IF(D60="",$F$55*LIDER!$H$9+$G$55*LIDER!$H$10+$H$55*LIDER!$H$11+$I$55*LIDER!$H$12+$J$55*LIDER!$H$13+$K$55*LIDER!$H$14+$L$55*LIDER!$H$15,"N"))</f>
        <v>4</v>
      </c>
      <c r="F60" s="194"/>
      <c r="G60" s="191"/>
      <c r="H60" s="189"/>
      <c r="I60" s="191"/>
      <c r="J60" s="189"/>
      <c r="K60" s="191"/>
      <c r="L60" s="189"/>
    </row>
    <row r="61" spans="1:12" s="2" customFormat="1" ht="15.75" customHeight="1">
      <c r="A61" s="14"/>
      <c r="B61" s="25" t="s">
        <v>127</v>
      </c>
      <c r="C61" s="85" t="s">
        <v>128</v>
      </c>
      <c r="D61" s="32" t="str">
        <f>D54</f>
        <v>LIST</v>
      </c>
      <c r="E61" s="86" t="s">
        <v>112</v>
      </c>
      <c r="F61" s="193" t="str">
        <f>LIDER!$E$37</f>
        <v>GRUPO#9 FUNDAMENTACIÓN TEÓRICA DE LAS DISCIPLINAS Y SU APORTE AL PERFIL PROFESIONAL</v>
      </c>
      <c r="G61" s="193"/>
      <c r="H61" s="193"/>
      <c r="I61" s="193"/>
      <c r="J61" s="193"/>
      <c r="K61" s="193"/>
      <c r="L61" s="193"/>
    </row>
    <row r="62" spans="1:12" s="2" customFormat="1" ht="12.75">
      <c r="A62" s="9">
        <v>1</v>
      </c>
      <c r="B62" s="10" t="str">
        <f>LIDER!E59</f>
        <v>EDGAR DAVID GÓMEZ BARRIOS</v>
      </c>
      <c r="C62" s="87" t="str">
        <f>C61</f>
        <v>G09</v>
      </c>
      <c r="D62" s="92"/>
      <c r="E62" s="11">
        <f>IF(B62=0,0,IF(D62="",$F$62*LIDER!$H$9+$G$62*LIDER!$H$10+$H$62*LIDER!$H$11+$I$62*LIDER!$H$12+$J$62*LIDER!$H$13+$K$62*LIDER!$H$14+$L$62*LIDER!$H$15,"N"))</f>
        <v>3.7499999999999996</v>
      </c>
      <c r="F62" s="194">
        <v>3.5</v>
      </c>
      <c r="G62" s="191">
        <v>3.5</v>
      </c>
      <c r="H62" s="189">
        <v>4</v>
      </c>
      <c r="I62" s="191">
        <v>4</v>
      </c>
      <c r="J62" s="189">
        <v>4</v>
      </c>
      <c r="K62" s="191"/>
      <c r="L62" s="189"/>
    </row>
    <row r="63" spans="1:12" s="2" customFormat="1" ht="15" customHeight="1">
      <c r="A63" s="12">
        <v>2</v>
      </c>
      <c r="B63" s="10" t="str">
        <f>LIDER!E60</f>
        <v>LUIS MIGUEL GUTIERREZ JARABA</v>
      </c>
      <c r="C63" s="87" t="str">
        <f t="shared" ref="C63:C67" si="8">C62</f>
        <v>G09</v>
      </c>
      <c r="D63" s="93"/>
      <c r="E63" s="11">
        <f>IF(B63=0,0,IF(D63="",$F$62*LIDER!$H$9+$G$62*LIDER!$H$10+$H$62*LIDER!$H$11+$I$62*LIDER!$H$12+$J$62*LIDER!$H$13+$K$62*LIDER!$H$14+$L$62*LIDER!$H$15,"N"))</f>
        <v>3.7499999999999996</v>
      </c>
      <c r="F63" s="194"/>
      <c r="G63" s="191"/>
      <c r="H63" s="189"/>
      <c r="I63" s="191"/>
      <c r="J63" s="189"/>
      <c r="K63" s="191"/>
      <c r="L63" s="189"/>
    </row>
    <row r="64" spans="1:12" s="2" customFormat="1" ht="15" customHeight="1">
      <c r="A64" s="12">
        <v>3</v>
      </c>
      <c r="B64" s="10" t="str">
        <f>LIDER!E61</f>
        <v>SEBASTIAN ELOY HERNÁNDEZ PEÑA</v>
      </c>
      <c r="C64" s="87" t="str">
        <f t="shared" si="8"/>
        <v>G09</v>
      </c>
      <c r="D64" s="93"/>
      <c r="E64" s="11">
        <f>IF(B64=0,0,IF(D64="",$F$62*LIDER!$H$9+$G$62*LIDER!$H$10+$H$62*LIDER!$H$11+$I$62*LIDER!$H$12+$J$62*LIDER!$H$13+$K$62*LIDER!$H$14+$L$62*LIDER!$H$15,"N"))</f>
        <v>3.7499999999999996</v>
      </c>
      <c r="F64" s="194"/>
      <c r="G64" s="191"/>
      <c r="H64" s="189"/>
      <c r="I64" s="191"/>
      <c r="J64" s="189"/>
      <c r="K64" s="191"/>
      <c r="L64" s="189"/>
    </row>
    <row r="65" spans="1:12" s="2" customFormat="1" ht="15" customHeight="1">
      <c r="A65" s="12">
        <v>4</v>
      </c>
      <c r="B65" s="10" t="str">
        <f>LIDER!E62</f>
        <v>VICTOR MANUEL ORTEGA MANOSALVA</v>
      </c>
      <c r="C65" s="87" t="str">
        <f t="shared" si="8"/>
        <v>G09</v>
      </c>
      <c r="D65" s="93"/>
      <c r="E65" s="11">
        <f>IF(B65=0,0,IF(D65="",$F$62*LIDER!$H$9+$G$62*LIDER!$H$10+$H$62*LIDER!$H$11+$I$62*LIDER!$H$12+$J$62*LIDER!$H$13+$K$62*LIDER!$H$14+$L$62*LIDER!$H$15,"N"))</f>
        <v>3.7499999999999996</v>
      </c>
      <c r="F65" s="194"/>
      <c r="G65" s="191"/>
      <c r="H65" s="189"/>
      <c r="I65" s="191"/>
      <c r="J65" s="189"/>
      <c r="K65" s="191"/>
      <c r="L65" s="189"/>
    </row>
    <row r="66" spans="1:12" s="2" customFormat="1" ht="15" customHeight="1">
      <c r="A66" s="12">
        <v>5</v>
      </c>
      <c r="B66" s="10" t="str">
        <f>LIDER!E63</f>
        <v>SANTIAGO PADILLA AYOLA</v>
      </c>
      <c r="C66" s="87" t="str">
        <f t="shared" si="8"/>
        <v>G09</v>
      </c>
      <c r="D66" s="93"/>
      <c r="E66" s="11">
        <f>IF(B66=0,0,IF(D66="",$F$62*LIDER!$H$9+$G$62*LIDER!$H$10+$H$62*LIDER!$H$11+$I$62*LIDER!$H$12+$J$62*LIDER!$H$13+$K$62*LIDER!$H$14+$L$62*LIDER!$H$15,"N"))</f>
        <v>3.7499999999999996</v>
      </c>
      <c r="F66" s="194"/>
      <c r="G66" s="191"/>
      <c r="H66" s="189"/>
      <c r="I66" s="191"/>
      <c r="J66" s="189"/>
      <c r="K66" s="191"/>
      <c r="L66" s="189"/>
    </row>
    <row r="67" spans="1:12" s="2" customFormat="1" ht="15.75" customHeight="1">
      <c r="A67" s="13">
        <v>6</v>
      </c>
      <c r="B67" s="88" t="str">
        <f>LIDER!E64</f>
        <v>LEINER GARCIA PAEZ</v>
      </c>
      <c r="C67" s="89" t="str">
        <f t="shared" si="8"/>
        <v>G09</v>
      </c>
      <c r="D67" s="94"/>
      <c r="E67" s="90">
        <f>IF(B67=0,0,IF(D67="",$F$62*LIDER!$H$9+$G$62*LIDER!$H$10+$H$62*LIDER!$H$11+$I$62*LIDER!$H$12+$J$62*LIDER!$H$13+$K$62*LIDER!$H$14+$L$62*LIDER!$H$15,"N"))</f>
        <v>3.7499999999999996</v>
      </c>
      <c r="F67" s="194"/>
      <c r="G67" s="191"/>
      <c r="H67" s="189"/>
      <c r="I67" s="191"/>
      <c r="J67" s="189"/>
      <c r="K67" s="191"/>
      <c r="L67" s="189"/>
    </row>
    <row r="68" spans="1:12" s="2" customFormat="1" ht="15.75" customHeight="1">
      <c r="A68" s="14"/>
      <c r="B68" s="25" t="s">
        <v>90</v>
      </c>
      <c r="C68" s="85" t="s">
        <v>129</v>
      </c>
      <c r="D68" s="32" t="str">
        <f>D61</f>
        <v>LIST</v>
      </c>
      <c r="E68" s="86" t="s">
        <v>112</v>
      </c>
      <c r="F68" s="193" t="str">
        <f>LIDER!$E$38</f>
        <v>GRUPO#10</v>
      </c>
      <c r="G68" s="193"/>
      <c r="H68" s="193"/>
      <c r="I68" s="193"/>
      <c r="J68" s="193"/>
      <c r="K68" s="193"/>
      <c r="L68" s="193"/>
    </row>
    <row r="69" spans="1:12" s="2" customFormat="1" ht="12.75">
      <c r="A69" s="9">
        <v>1</v>
      </c>
      <c r="B69" s="10">
        <f>LIDER!F59</f>
        <v>0</v>
      </c>
      <c r="C69" s="87" t="str">
        <f>C68</f>
        <v>G10</v>
      </c>
      <c r="D69" s="92"/>
      <c r="E69" s="11">
        <f>IF(B69=0,0,IF(D69="",$F$69*LIDER!$H$9+$G$69*LIDER!$H$10+$H$69*LIDER!$H$11+$I$69*LIDER!$H$12+$J$69*LIDER!$H$13+$K$69*LIDER!$H$14+$L$69*LIDER!$H$15,"N"))</f>
        <v>0</v>
      </c>
      <c r="F69" s="194"/>
      <c r="G69" s="191"/>
      <c r="H69" s="189"/>
      <c r="I69" s="191"/>
      <c r="J69" s="189"/>
      <c r="K69" s="191"/>
      <c r="L69" s="189"/>
    </row>
    <row r="70" spans="1:12" s="2" customFormat="1" ht="15" customHeight="1">
      <c r="A70" s="12">
        <v>2</v>
      </c>
      <c r="B70" s="10">
        <f>LIDER!F60</f>
        <v>0</v>
      </c>
      <c r="C70" s="87" t="str">
        <f t="shared" ref="C70:C74" si="9">C69</f>
        <v>G10</v>
      </c>
      <c r="D70" s="93"/>
      <c r="E70" s="11">
        <f>IF(B70=0,0,IF(D70="",$F$69*LIDER!$H$9+$G$69*LIDER!$H$10+$H$69*LIDER!$H$11+$I$69*LIDER!$H$12+$J$69*LIDER!$H$13+$K$69*LIDER!$H$14+$L$69*LIDER!$H$15,"N"))</f>
        <v>0</v>
      </c>
      <c r="F70" s="194"/>
      <c r="G70" s="191"/>
      <c r="H70" s="189"/>
      <c r="I70" s="191"/>
      <c r="J70" s="189"/>
      <c r="K70" s="191"/>
      <c r="L70" s="189"/>
    </row>
    <row r="71" spans="1:12" s="2" customFormat="1" ht="15" customHeight="1">
      <c r="A71" s="12">
        <v>3</v>
      </c>
      <c r="B71" s="10">
        <f>LIDER!F61</f>
        <v>0</v>
      </c>
      <c r="C71" s="87" t="str">
        <f t="shared" si="9"/>
        <v>G10</v>
      </c>
      <c r="D71" s="93"/>
      <c r="E71" s="11">
        <f>IF(B71=0,0,IF(D71="",$F$69*LIDER!$H$9+$G$69*LIDER!$H$10+$H$69*LIDER!$H$11+$I$69*LIDER!$H$12+$J$69*LIDER!$H$13+$K$69*LIDER!$H$14+$L$69*LIDER!$H$15,"N"))</f>
        <v>0</v>
      </c>
      <c r="F71" s="194"/>
      <c r="G71" s="191"/>
      <c r="H71" s="189"/>
      <c r="I71" s="191"/>
      <c r="J71" s="189"/>
      <c r="K71" s="191"/>
      <c r="L71" s="189"/>
    </row>
    <row r="72" spans="1:12" s="2" customFormat="1" ht="15" customHeight="1">
      <c r="A72" s="12">
        <v>4</v>
      </c>
      <c r="B72" s="10">
        <f>LIDER!F62</f>
        <v>0</v>
      </c>
      <c r="C72" s="87" t="str">
        <f t="shared" si="9"/>
        <v>G10</v>
      </c>
      <c r="D72" s="93"/>
      <c r="E72" s="11">
        <f>IF(B72=0,0,IF(D72="",$F$69*LIDER!$H$9+$G$69*LIDER!$H$10+$H$69*LIDER!$H$11+$I$69*LIDER!$H$12+$J$69*LIDER!$H$13+$K$69*LIDER!$H$14+$L$69*LIDER!$H$15,"N"))</f>
        <v>0</v>
      </c>
      <c r="F72" s="194"/>
      <c r="G72" s="191"/>
      <c r="H72" s="189"/>
      <c r="I72" s="191"/>
      <c r="J72" s="189"/>
      <c r="K72" s="191"/>
      <c r="L72" s="189"/>
    </row>
    <row r="73" spans="1:12" s="2" customFormat="1" ht="15" customHeight="1">
      <c r="A73" s="12">
        <v>5</v>
      </c>
      <c r="B73" s="10">
        <f>LIDER!F63</f>
        <v>0</v>
      </c>
      <c r="C73" s="87" t="str">
        <f t="shared" si="9"/>
        <v>G10</v>
      </c>
      <c r="D73" s="93"/>
      <c r="E73" s="11">
        <f>IF(B73=0,0,IF(D73="",$F$69*LIDER!$H$9+$G$69*LIDER!$H$10+$H$69*LIDER!$H$11+$I$69*LIDER!$H$12+$J$69*LIDER!$H$13+$K$69*LIDER!$H$14+$L$69*LIDER!$H$15,"N"))</f>
        <v>0</v>
      </c>
      <c r="F73" s="194"/>
      <c r="G73" s="191"/>
      <c r="H73" s="189"/>
      <c r="I73" s="191"/>
      <c r="J73" s="189"/>
      <c r="K73" s="191"/>
      <c r="L73" s="189"/>
    </row>
    <row r="74" spans="1:12" s="2" customFormat="1" ht="15.75" customHeight="1">
      <c r="A74" s="13">
        <v>6</v>
      </c>
      <c r="B74" s="88">
        <f>LIDER!F64</f>
        <v>0</v>
      </c>
      <c r="C74" s="89" t="str">
        <f t="shared" si="9"/>
        <v>G10</v>
      </c>
      <c r="D74" s="94"/>
      <c r="E74" s="90">
        <f>IF(B74=0,0,IF(D74="",$F$69*LIDER!$H$9+$G$69*LIDER!$H$10+$H$69*LIDER!$H$11+$I$69*LIDER!$H$12+$J$69*LIDER!$H$13+$K$69*LIDER!$H$14+$L$69*LIDER!$H$15,"N"))</f>
        <v>0</v>
      </c>
      <c r="F74" s="194"/>
      <c r="G74" s="191"/>
      <c r="H74" s="189"/>
      <c r="I74" s="191"/>
      <c r="J74" s="189"/>
      <c r="K74" s="191"/>
      <c r="L74" s="189"/>
    </row>
    <row r="75" spans="1:12" s="2" customFormat="1" ht="15.75" customHeight="1">
      <c r="A75" s="14"/>
      <c r="B75" s="25" t="s">
        <v>92</v>
      </c>
      <c r="C75" s="85" t="s">
        <v>130</v>
      </c>
      <c r="D75" s="32" t="str">
        <f>D68</f>
        <v>LIST</v>
      </c>
      <c r="E75" s="86" t="s">
        <v>112</v>
      </c>
      <c r="F75" s="193" t="str">
        <f>LIDER!$E$39</f>
        <v>GRUPO#11</v>
      </c>
      <c r="G75" s="193"/>
      <c r="H75" s="193"/>
      <c r="I75" s="193"/>
      <c r="J75" s="193"/>
      <c r="K75" s="193"/>
      <c r="L75" s="193"/>
    </row>
    <row r="76" spans="1:12" s="2" customFormat="1" ht="12.75">
      <c r="A76" s="9">
        <v>1</v>
      </c>
      <c r="B76" s="10">
        <f>LIDER!G59</f>
        <v>0</v>
      </c>
      <c r="C76" s="87" t="str">
        <f>C75</f>
        <v>G11</v>
      </c>
      <c r="D76" s="92"/>
      <c r="E76" s="11">
        <f>IF(B76=0,0,IF(D76="",$F$76*LIDER!$H$9+$G$76*LIDER!$H$10+$H$76*LIDER!$H$11+$I$76*LIDER!$H$12+$J$76*LIDER!$H$13+$K$76*LIDER!$H$14+$L$76*LIDER!$H$15,"N"))</f>
        <v>0</v>
      </c>
      <c r="F76" s="194"/>
      <c r="G76" s="191"/>
      <c r="H76" s="189"/>
      <c r="I76" s="191"/>
      <c r="J76" s="189"/>
      <c r="K76" s="191"/>
      <c r="L76" s="189"/>
    </row>
    <row r="77" spans="1:12" s="2" customFormat="1" ht="15" customHeight="1">
      <c r="A77" s="12">
        <v>2</v>
      </c>
      <c r="B77" s="10">
        <f>LIDER!G60</f>
        <v>0</v>
      </c>
      <c r="C77" s="87" t="str">
        <f t="shared" ref="C77:C81" si="10">C76</f>
        <v>G11</v>
      </c>
      <c r="D77" s="93"/>
      <c r="E77" s="11">
        <f>IF(B77=0,0,IF(D77="",$F$76*LIDER!$H$9+$G$76*LIDER!$H$10+$H$76*LIDER!$H$11+$I$76*LIDER!$H$12+$J$76*LIDER!$H$13+$K$76*LIDER!$H$14+$L$76*LIDER!$H$15,"N"))</f>
        <v>0</v>
      </c>
      <c r="F77" s="194"/>
      <c r="G77" s="191"/>
      <c r="H77" s="189"/>
      <c r="I77" s="191"/>
      <c r="J77" s="189"/>
      <c r="K77" s="191"/>
      <c r="L77" s="189"/>
    </row>
    <row r="78" spans="1:12" s="2" customFormat="1" ht="15" customHeight="1">
      <c r="A78" s="12">
        <v>3</v>
      </c>
      <c r="B78" s="10">
        <f>LIDER!G61</f>
        <v>0</v>
      </c>
      <c r="C78" s="87" t="str">
        <f t="shared" si="10"/>
        <v>G11</v>
      </c>
      <c r="D78" s="93"/>
      <c r="E78" s="11">
        <f>IF(B78=0,0,IF(D78="",$F$76*LIDER!$H$9+$G$76*LIDER!$H$10+$H$76*LIDER!$H$11+$I$76*LIDER!$H$12+$J$76*LIDER!$H$13+$K$76*LIDER!$H$14+$L$76*LIDER!$H$15,"N"))</f>
        <v>0</v>
      </c>
      <c r="F78" s="194"/>
      <c r="G78" s="191"/>
      <c r="H78" s="189"/>
      <c r="I78" s="191"/>
      <c r="J78" s="189"/>
      <c r="K78" s="191"/>
      <c r="L78" s="189"/>
    </row>
    <row r="79" spans="1:12" s="2" customFormat="1" ht="15" customHeight="1">
      <c r="A79" s="12">
        <v>4</v>
      </c>
      <c r="B79" s="10">
        <f>LIDER!G62</f>
        <v>0</v>
      </c>
      <c r="C79" s="87" t="str">
        <f t="shared" si="10"/>
        <v>G11</v>
      </c>
      <c r="D79" s="93"/>
      <c r="E79" s="11">
        <f>IF(B79=0,0,IF(D79="",$F$76*LIDER!$H$9+$G$76*LIDER!$H$10+$H$76*LIDER!$H$11+$I$76*LIDER!$H$12+$J$76*LIDER!$H$13+$K$76*LIDER!$H$14+$L$76*LIDER!$H$15,"N"))</f>
        <v>0</v>
      </c>
      <c r="F79" s="194"/>
      <c r="G79" s="191"/>
      <c r="H79" s="189"/>
      <c r="I79" s="191"/>
      <c r="J79" s="189"/>
      <c r="K79" s="191"/>
      <c r="L79" s="189"/>
    </row>
    <row r="80" spans="1:12" s="2" customFormat="1" ht="15" customHeight="1">
      <c r="A80" s="12">
        <v>5</v>
      </c>
      <c r="B80" s="10">
        <f>LIDER!G63</f>
        <v>0</v>
      </c>
      <c r="C80" s="87" t="str">
        <f t="shared" si="10"/>
        <v>G11</v>
      </c>
      <c r="D80" s="93"/>
      <c r="E80" s="11">
        <f>IF(B80=0,0,IF(D80="",$F$76*LIDER!$H$9+$G$76*LIDER!$H$10+$H$76*LIDER!$H$11+$I$76*LIDER!$H$12+$J$76*LIDER!$H$13+$K$76*LIDER!$H$14+$L$76*LIDER!$H$15,"N"))</f>
        <v>0</v>
      </c>
      <c r="F80" s="194"/>
      <c r="G80" s="191"/>
      <c r="H80" s="189"/>
      <c r="I80" s="191"/>
      <c r="J80" s="189"/>
      <c r="K80" s="191"/>
      <c r="L80" s="189"/>
    </row>
    <row r="81" spans="1:12" s="2" customFormat="1" ht="15.75" customHeight="1">
      <c r="A81" s="13">
        <v>6</v>
      </c>
      <c r="B81" s="88">
        <f>LIDER!G64</f>
        <v>0</v>
      </c>
      <c r="C81" s="89" t="str">
        <f t="shared" si="10"/>
        <v>G11</v>
      </c>
      <c r="D81" s="94"/>
      <c r="E81" s="90">
        <f>IF(B81=0,0,IF(D81="",$F$76*LIDER!$H$9+$G$76*LIDER!$H$10+$H$76*LIDER!$H$11+$I$76*LIDER!$H$12+$J$76*LIDER!$H$13+$K$76*LIDER!$H$14+$L$76*LIDER!$H$15,"N"))</f>
        <v>0</v>
      </c>
      <c r="F81" s="194"/>
      <c r="G81" s="191"/>
      <c r="H81" s="189"/>
      <c r="I81" s="191"/>
      <c r="J81" s="189"/>
      <c r="K81" s="191"/>
      <c r="L81" s="189"/>
    </row>
    <row r="82" spans="1:12" s="2" customFormat="1" ht="15.75" customHeight="1">
      <c r="A82" s="14"/>
      <c r="B82" s="25" t="s">
        <v>94</v>
      </c>
      <c r="C82" s="85" t="s">
        <v>131</v>
      </c>
      <c r="D82" s="32" t="str">
        <f>D75</f>
        <v>LIST</v>
      </c>
      <c r="E82" s="86" t="s">
        <v>112</v>
      </c>
      <c r="F82" s="193" t="str">
        <f>LIDER!$E$40</f>
        <v>GRUPO#12</v>
      </c>
      <c r="G82" s="193"/>
      <c r="H82" s="193"/>
      <c r="I82" s="193"/>
      <c r="J82" s="193"/>
      <c r="K82" s="193"/>
      <c r="L82" s="193"/>
    </row>
    <row r="83" spans="1:12" s="2" customFormat="1" ht="12.75">
      <c r="A83" s="9">
        <v>1</v>
      </c>
      <c r="B83" s="10">
        <f>LIDER!H59</f>
        <v>0</v>
      </c>
      <c r="C83" s="87" t="str">
        <f>C82</f>
        <v>G12</v>
      </c>
      <c r="D83" s="95"/>
      <c r="E83" s="66">
        <f>IF(B83=0,0,IF(D83="",$F$83*LIDER!$H$9+$G$83*LIDER!$H$10+$H$83*LIDER!$H$11+$I$83*LIDER!$H$12+$J$83*LIDER!$H$13+$K$83*LIDER!$H$14+$L$83*LIDER!$H$15,"N"))</f>
        <v>0</v>
      </c>
      <c r="F83" s="194"/>
      <c r="G83" s="191"/>
      <c r="H83" s="189"/>
      <c r="I83" s="191"/>
      <c r="J83" s="189"/>
      <c r="K83" s="191"/>
      <c r="L83" s="189"/>
    </row>
    <row r="84" spans="1:12" s="2" customFormat="1" ht="15" customHeight="1">
      <c r="A84" s="12">
        <v>2</v>
      </c>
      <c r="B84" s="10">
        <f>LIDER!H60</f>
        <v>0</v>
      </c>
      <c r="C84" s="87" t="str">
        <f t="shared" ref="C84:C88" si="11">C83</f>
        <v>G12</v>
      </c>
      <c r="D84" s="96"/>
      <c r="E84" s="72">
        <f>IF(B84=0,0,IF(D84="",$F$83*LIDER!$H$9+$G$83*LIDER!$H$10+$H$83*LIDER!$H$11+$I$83*LIDER!$H$12+$J$83*LIDER!$H$13+$K$83*LIDER!$H$14+$L$83*LIDER!$H$15,"N"))</f>
        <v>0</v>
      </c>
      <c r="F84" s="194"/>
      <c r="G84" s="191"/>
      <c r="H84" s="189"/>
      <c r="I84" s="191"/>
      <c r="J84" s="189"/>
      <c r="K84" s="191"/>
      <c r="L84" s="189"/>
    </row>
    <row r="85" spans="1:12" s="2" customFormat="1" ht="15" customHeight="1">
      <c r="A85" s="12">
        <v>3</v>
      </c>
      <c r="B85" s="10">
        <f>LIDER!H61</f>
        <v>0</v>
      </c>
      <c r="C85" s="87" t="str">
        <f t="shared" si="11"/>
        <v>G12</v>
      </c>
      <c r="D85" s="96"/>
      <c r="E85" s="72">
        <f>IF(B85=0,0,IF(D85="",$F$83*LIDER!$H$9+$G$83*LIDER!$H$10+$H$83*LIDER!$H$11+$I$83*LIDER!$H$12+$J$83*LIDER!$H$13+$K$83*LIDER!$H$14+$L$83*LIDER!$H$15,"N"))</f>
        <v>0</v>
      </c>
      <c r="F85" s="194"/>
      <c r="G85" s="191"/>
      <c r="H85" s="189"/>
      <c r="I85" s="191"/>
      <c r="J85" s="189"/>
      <c r="K85" s="191"/>
      <c r="L85" s="189"/>
    </row>
    <row r="86" spans="1:12" s="2" customFormat="1" ht="15" customHeight="1">
      <c r="A86" s="12">
        <v>4</v>
      </c>
      <c r="B86" s="10">
        <f>LIDER!H62</f>
        <v>0</v>
      </c>
      <c r="C86" s="87" t="str">
        <f t="shared" si="11"/>
        <v>G12</v>
      </c>
      <c r="D86" s="96"/>
      <c r="E86" s="72">
        <f>IF(B86=0,0,IF(D86="",$F$83*LIDER!$H$9+$G$83*LIDER!$H$10+$H$83*LIDER!$H$11+$I$83*LIDER!$H$12+$J$83*LIDER!$H$13+$K$83*LIDER!$H$14+$L$83*LIDER!$H$15,"N"))</f>
        <v>0</v>
      </c>
      <c r="F86" s="194"/>
      <c r="G86" s="191"/>
      <c r="H86" s="189"/>
      <c r="I86" s="191"/>
      <c r="J86" s="189"/>
      <c r="K86" s="191"/>
      <c r="L86" s="189"/>
    </row>
    <row r="87" spans="1:12" s="2" customFormat="1" ht="15" customHeight="1">
      <c r="A87" s="12">
        <v>5</v>
      </c>
      <c r="B87" s="10">
        <f>LIDER!H63</f>
        <v>0</v>
      </c>
      <c r="C87" s="87" t="str">
        <f t="shared" si="11"/>
        <v>G12</v>
      </c>
      <c r="D87" s="96"/>
      <c r="E87" s="72">
        <f>IF(B87=0,0,IF(D87="",$F$83*LIDER!$H$9+$G$83*LIDER!$H$10+$H$83*LIDER!$H$11+$I$83*LIDER!$H$12+$J$83*LIDER!$H$13+$K$83*LIDER!$H$14+$L$83*LIDER!$H$15,"N"))</f>
        <v>0</v>
      </c>
      <c r="F87" s="194"/>
      <c r="G87" s="191"/>
      <c r="H87" s="189"/>
      <c r="I87" s="191"/>
      <c r="J87" s="189"/>
      <c r="K87" s="191"/>
      <c r="L87" s="189"/>
    </row>
    <row r="88" spans="1:12" s="2" customFormat="1" ht="15.75" customHeight="1" thickBot="1">
      <c r="A88" s="15">
        <v>6</v>
      </c>
      <c r="B88" s="16">
        <f>LIDER!H64</f>
        <v>0</v>
      </c>
      <c r="C88" s="91" t="str">
        <f t="shared" si="11"/>
        <v>G12</v>
      </c>
      <c r="D88" s="97"/>
      <c r="E88" s="77">
        <f>IF(B88=0,0,IF(D88="",$F$83*LIDER!$H$9+$G$83*LIDER!$H$10+$H$83*LIDER!$H$11+$I$83*LIDER!$H$12+$J$83*LIDER!$H$13+$K$83*LIDER!$H$14+$L$83*LIDER!$H$15,"N"))</f>
        <v>0</v>
      </c>
      <c r="F88" s="195"/>
      <c r="G88" s="192"/>
      <c r="H88" s="190"/>
      <c r="I88" s="192"/>
      <c r="J88" s="190"/>
      <c r="K88" s="192"/>
      <c r="L88" s="190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14" activePane="bottomRight" state="frozen"/>
      <selection pane="bottomRight" activeCell="I6" sqref="I6:I11"/>
      <selection pane="bottomLeft" activeCell="I6" sqref="I6:I11"/>
      <selection pane="topRight" activeCell="I6" sqref="I6:I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LIDER!C4</f>
        <v>COMUNICACION ORAL Y ESCRITA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CONCATENATE(LIDER!C4," - ",LIDER!C6," - ",LIDER!C5)</f>
        <v>COMUNICACION ORAL Y ESCRITA - 2342 - YASMIN GOMEZ MORENO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2" t="str">
        <f>IF('S-ASIG-01'!D5="","",'S-ASIG-01'!D5)</f>
        <v>LIST</v>
      </c>
      <c r="D5" s="35" t="s">
        <v>112</v>
      </c>
      <c r="E5" s="207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4.5</v>
      </c>
      <c r="E6" s="203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4.5</v>
      </c>
      <c r="E7" s="203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4.5</v>
      </c>
      <c r="E8" s="203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4.5</v>
      </c>
      <c r="E9" s="203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4.5</v>
      </c>
      <c r="E10" s="203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IF('S-ASIG-01'!D11="","",'S-ASIG-01'!D11)</f>
        <v/>
      </c>
      <c r="D11" s="30">
        <f>IF(B11=0,"",IF(C11="",$E$6*LIDER!$H$19+F11*LIDER!$H$20+G11*LIDER!$H$21+H11*LIDER!$H$22+I11*LIDER!$H$23+J11*LIDER!$H$24+K11*LIDER!$H$25,"N"))</f>
        <v>4.5</v>
      </c>
      <c r="E11" s="203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IF('S-ASIG-01'!D12="","",'S-ASIG-01'!D12)</f>
        <v>LIST</v>
      </c>
      <c r="D12" s="35" t="s">
        <v>112</v>
      </c>
      <c r="E12" s="207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2.4</v>
      </c>
      <c r="E13" s="203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2.4</v>
      </c>
      <c r="E14" s="203"/>
      <c r="F14" s="18">
        <v>2.5</v>
      </c>
      <c r="G14" s="18">
        <v>2.5</v>
      </c>
      <c r="H14" s="18">
        <v>2.5</v>
      </c>
      <c r="I14" s="18">
        <v>2.5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2.8</v>
      </c>
      <c r="E15" s="203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2.92</v>
      </c>
      <c r="E16" s="203"/>
      <c r="F16" s="18">
        <v>3.8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2.92</v>
      </c>
      <c r="E17" s="203"/>
      <c r="F17" s="18">
        <v>3.8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3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IF('S-ASIG-01'!D19="","",'S-ASIG-01'!D19)</f>
        <v>LIST</v>
      </c>
      <c r="D19" s="35" t="s">
        <v>112</v>
      </c>
      <c r="E19" s="207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203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203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203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203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203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3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IF('S-ASIG-01'!D26="","",'S-ASIG-01'!D26)</f>
        <v>LIST</v>
      </c>
      <c r="D26" s="35" t="s">
        <v>112</v>
      </c>
      <c r="E26" s="207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2.25</v>
      </c>
      <c r="E27" s="203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4.5</v>
      </c>
      <c r="E28" s="203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4.5</v>
      </c>
      <c r="E29" s="203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4.5</v>
      </c>
      <c r="E30" s="203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4.5</v>
      </c>
      <c r="E31" s="203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3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IF('S-ASIG-01'!D33="","",'S-ASIG-01'!D33)</f>
        <v>LIST</v>
      </c>
      <c r="D33" s="35" t="s">
        <v>112</v>
      </c>
      <c r="E33" s="207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4.25</v>
      </c>
      <c r="E34" s="203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4.25</v>
      </c>
      <c r="E35" s="203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4.25</v>
      </c>
      <c r="E36" s="203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4.25</v>
      </c>
      <c r="E37" s="203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3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3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IF('S-ASIG-01'!D40="","",'S-ASIG-01'!D40)</f>
        <v>LIST</v>
      </c>
      <c r="D40" s="35" t="s">
        <v>112</v>
      </c>
      <c r="E40" s="207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3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3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3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3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3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3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IF('S-ASIG-01'!D47="","",'S-ASIG-01'!D47)</f>
        <v>LIST</v>
      </c>
      <c r="D47" s="35" t="s">
        <v>112</v>
      </c>
      <c r="E47" s="207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4.4000000000000004</v>
      </c>
      <c r="E48" s="203">
        <v>4</v>
      </c>
      <c r="F48" s="24">
        <v>4.5</v>
      </c>
      <c r="G48" s="24">
        <v>5</v>
      </c>
      <c r="H48" s="24">
        <v>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4.1500000000000004</v>
      </c>
      <c r="E49" s="203"/>
      <c r="F49" s="18">
        <v>4</v>
      </c>
      <c r="G49" s="18">
        <v>4</v>
      </c>
      <c r="H49" s="18">
        <v>4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4.1500000000000004</v>
      </c>
      <c r="E50" s="203"/>
      <c r="F50" s="18">
        <v>4</v>
      </c>
      <c r="G50" s="18">
        <v>4</v>
      </c>
      <c r="H50" s="18">
        <v>4</v>
      </c>
      <c r="I50" s="18">
        <v>5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IF('S-ASIG-01'!D51="","",'S-ASIG-01'!D51)</f>
        <v/>
      </c>
      <c r="D51" s="30">
        <f>IF(B51=0,"",IF(C51="",$E$48*LIDER!$H$19+F51*LIDER!$H$20+G51*LIDER!$H$21+H51*LIDER!$H$22+I51*LIDER!$H$23+J51*LIDER!$H$24+K51*LIDER!$H$25,"N"))</f>
        <v>4.1500000000000004</v>
      </c>
      <c r="E51" s="203"/>
      <c r="F51" s="18">
        <v>4</v>
      </c>
      <c r="G51" s="18">
        <v>4</v>
      </c>
      <c r="H51" s="18">
        <v>4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IF('S-ASIG-01'!D52="","",'S-ASIG-01'!D52)</f>
        <v/>
      </c>
      <c r="D52" s="30">
        <f>IF(B52=0,"",IF(C52="",$E$48*LIDER!$H$19+F52*LIDER!$H$20+G52*LIDER!$H$21+H52*LIDER!$H$22+I52*LIDER!$H$23+J52*LIDER!$H$24+K52*LIDER!$H$25,"N"))</f>
        <v>4.4000000000000004</v>
      </c>
      <c r="E52" s="203"/>
      <c r="F52" s="18">
        <v>4.5</v>
      </c>
      <c r="G52" s="18">
        <v>5</v>
      </c>
      <c r="H52" s="18">
        <v>5</v>
      </c>
      <c r="I52" s="18">
        <v>5</v>
      </c>
      <c r="J52" s="18">
        <v>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IF('S-ASIG-01'!D53="","",'S-ASIG-01'!D53)</f>
        <v/>
      </c>
      <c r="D53" s="30">
        <f>IF(B53=0,"",IF(C53="",$E$48*LIDER!$H$19+F53*LIDER!$H$20+G53*LIDER!$H$21+H53*LIDER!$H$22+I53*LIDER!$H$23+J53*LIDER!$H$24+K53*LIDER!$H$25,"N"))</f>
        <v>4.1500000000000004</v>
      </c>
      <c r="E53" s="203"/>
      <c r="F53" s="26">
        <v>4</v>
      </c>
      <c r="G53" s="26">
        <v>4</v>
      </c>
      <c r="H53" s="26">
        <v>4</v>
      </c>
      <c r="I53" s="26">
        <v>5</v>
      </c>
      <c r="J53" s="26">
        <v>5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IF('S-ASIG-01'!D54="","",'S-ASIG-01'!D54)</f>
        <v>LIST</v>
      </c>
      <c r="D54" s="35" t="s">
        <v>112</v>
      </c>
      <c r="E54" s="207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203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203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2.1</v>
      </c>
      <c r="E57" s="203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203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203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IF('S-ASIG-01'!D60="","",'S-ASIG-01'!D60)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203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IF('S-ASIG-01'!D61="","",'S-ASIG-01'!D61)</f>
        <v>LIST</v>
      </c>
      <c r="D61" s="35" t="s">
        <v>112</v>
      </c>
      <c r="E61" s="207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IF('S-ASIG-01'!D62="","",'S-ASIG-01'!D62)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203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IF('S-ASIG-01'!D63="","",'S-ASIG-01'!D63)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203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IF('S-ASIG-01'!D64="","",'S-ASIG-01'!D64)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203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IF('S-ASIG-01'!D65="","",'S-ASIG-01'!D65)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203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IF('S-ASIG-01'!D66="","",'S-ASIG-01'!D66)</f>
        <v/>
      </c>
      <c r="D66" s="30">
        <f>IF(B66=0,"",IF(C66="",$E$62*LIDER!$H$19+F66*LIDER!$H$20+G66*LIDER!$H$21+H66*LIDER!$H$22+I66*LIDER!$H$23+J66*LIDER!$H$24+K66*LIDER!$H$25,"N"))</f>
        <v>2.25</v>
      </c>
      <c r="E66" s="203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IF('S-ASIG-01'!D67="","",'S-ASIG-01'!D67)</f>
        <v/>
      </c>
      <c r="D67" s="30">
        <f>IF(B67=0,"",IF(C67="",$E$62*LIDER!$H$19+F67*LIDER!$H$20+G67*LIDER!$H$21+H67*LIDER!$H$22+I67*LIDER!$H$23+J67*LIDER!$H$24+K67*LIDER!$H$25,"N"))</f>
        <v>2.25</v>
      </c>
      <c r="E67" s="203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IF('S-ASIG-01'!D68="","",'S-ASIG-01'!D68)</f>
        <v>LIST</v>
      </c>
      <c r="D68" s="35" t="s">
        <v>112</v>
      </c>
      <c r="E68" s="207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3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3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3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3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3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3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IF('S-ASIG-01'!D75="","",'S-ASIG-01'!D75)</f>
        <v>LIST</v>
      </c>
      <c r="D75" s="35" t="s">
        <v>112</v>
      </c>
      <c r="E75" s="207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3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3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3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3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3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3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IF('S-ASIG-01'!D82="","",'S-ASIG-01'!D82)</f>
        <v>LIST</v>
      </c>
      <c r="D82" s="35" t="s">
        <v>112</v>
      </c>
      <c r="E82" s="207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3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3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3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3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3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8"/>
      <c r="F88" s="19"/>
      <c r="G88" s="19"/>
      <c r="H88" s="19"/>
      <c r="I88" s="19"/>
      <c r="J88" s="19"/>
      <c r="K88" s="19"/>
    </row>
  </sheetData>
  <sheetProtection algorithmName="SHA-512" hashValue="sUkS9dfIKnF2Qh6XtcKldxBXOSJIuuk8lccV6owogtigLkcnWyF/FBkMsi9Uo4esdeS3v3npUJwO/SS77Z4OIA==" saltValue="7r+3IE/jmjn2y/F3IJ7wjA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4" activePane="bottomRight" state="frozen"/>
      <selection pane="bottomRight" activeCell="F57" sqref="F57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LIDER!D4</f>
        <v>FUNDAMENTOS ADMINISTRACIÓN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CONCATENATE(LIDER!D4," - ",LIDER!D6," - ",LIDER!D5)</f>
        <v>FUNDAMENTOS ADMINISTRACIÓN - 1371 - JENNIFER GIRALDO GUZMAN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IF('S-ASIG-02'!D5="","",'S-ASIG-02'!D5)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4.5</v>
      </c>
      <c r="E6" s="191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4.5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4.5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4.5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4.5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IF('S-ASIG-02'!D11="","",'S-ASIG-02'!D11)</f>
        <v/>
      </c>
      <c r="D11" s="30">
        <f>IF(B11=0,"",IF(C11="",$E$6*LIDER!$H$19+F11*LIDER!$H$20+G11*LIDER!$H$21+H11*LIDER!$H$22+I11*LIDER!$H$23+J11*LIDER!$H$24+K11*LIDER!$H$25,"N"))</f>
        <v>4.5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IF('S-ASIG-02'!D12="","",'S-ASIG-02'!D12)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2.25</v>
      </c>
      <c r="E13" s="191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2.5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2.25</v>
      </c>
      <c r="E14" s="191"/>
      <c r="F14" s="18">
        <v>2.5</v>
      </c>
      <c r="G14" s="18">
        <v>2.5</v>
      </c>
      <c r="H14" s="18">
        <v>2.5</v>
      </c>
      <c r="I14" s="18">
        <v>2.5</v>
      </c>
      <c r="J14" s="18">
        <v>2.5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2.5</v>
      </c>
      <c r="E15" s="191"/>
      <c r="F15" s="18">
        <v>3</v>
      </c>
      <c r="G15" s="18">
        <v>3</v>
      </c>
      <c r="H15" s="18">
        <v>3</v>
      </c>
      <c r="I15" s="18">
        <v>3</v>
      </c>
      <c r="J15" s="18">
        <v>3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2.9</v>
      </c>
      <c r="E16" s="191"/>
      <c r="F16" s="18">
        <v>3.8</v>
      </c>
      <c r="G16" s="18">
        <v>3.8</v>
      </c>
      <c r="H16" s="18">
        <v>3.8</v>
      </c>
      <c r="I16" s="18">
        <v>3.8</v>
      </c>
      <c r="J16" s="18">
        <v>3.8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2.9</v>
      </c>
      <c r="E17" s="191"/>
      <c r="F17" s="18">
        <v>3.8</v>
      </c>
      <c r="G17" s="18">
        <v>3.8</v>
      </c>
      <c r="H17" s="18">
        <v>3.8</v>
      </c>
      <c r="I17" s="18">
        <v>3.8</v>
      </c>
      <c r="J17" s="18">
        <v>3.8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IF('S-ASIG-02'!D19="","",'S-ASIG-02'!D19)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91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91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91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91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91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IF('S-ASIG-02'!D26="","",'S-ASIG-02'!D26)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2.25</v>
      </c>
      <c r="E27" s="191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4.5</v>
      </c>
      <c r="E31" s="191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IF('S-ASIG-02'!D33="","",'S-ASIG-02'!D33)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IF('S-ASIG-02'!D40="","",'S-ASIG-02'!D40)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IF('S-ASIG-02'!D47="","",'S-ASIG-02'!D47)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4.3250000000000002</v>
      </c>
      <c r="E48" s="191">
        <v>4</v>
      </c>
      <c r="F48" s="24">
        <v>4.5</v>
      </c>
      <c r="G48" s="24">
        <v>4.5</v>
      </c>
      <c r="H48" s="24">
        <v>4.5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4.1500000000000004</v>
      </c>
      <c r="E49" s="191"/>
      <c r="F49" s="18">
        <v>4</v>
      </c>
      <c r="G49" s="18">
        <v>4</v>
      </c>
      <c r="H49" s="18">
        <v>4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4.1500000000000004</v>
      </c>
      <c r="E50" s="191"/>
      <c r="F50" s="18">
        <v>4</v>
      </c>
      <c r="G50" s="18">
        <v>4</v>
      </c>
      <c r="H50" s="18">
        <v>4</v>
      </c>
      <c r="I50" s="18">
        <v>5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IF('S-ASIG-02'!D51="","",'S-ASIG-02'!D51)</f>
        <v/>
      </c>
      <c r="D51" s="30">
        <f>IF(B51=0,"",IF(C51="",$E$48*LIDER!$H$19+F51*LIDER!$H$20+G51*LIDER!$H$21+H51*LIDER!$H$22+I51*LIDER!$H$23+J51*LIDER!$H$24+K51*LIDER!$H$25,"N"))</f>
        <v>4.1500000000000004</v>
      </c>
      <c r="E51" s="191"/>
      <c r="F51" s="18">
        <v>4</v>
      </c>
      <c r="G51" s="18">
        <v>4</v>
      </c>
      <c r="H51" s="18">
        <v>4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IF('S-ASIG-02'!D52="","",'S-ASIG-02'!D52)</f>
        <v/>
      </c>
      <c r="D52" s="30">
        <f>IF(B52=0,"",IF(C52="",$E$48*LIDER!$H$19+F52*LIDER!$H$20+G52*LIDER!$H$21+H52*LIDER!$H$22+I52*LIDER!$H$23+J52*LIDER!$H$24+K52*LIDER!$H$25,"N"))</f>
        <v>4.3250000000000002</v>
      </c>
      <c r="E52" s="191"/>
      <c r="F52" s="18">
        <v>4.5</v>
      </c>
      <c r="G52" s="18">
        <v>4.5</v>
      </c>
      <c r="H52" s="18">
        <v>4.5</v>
      </c>
      <c r="I52" s="18">
        <v>5</v>
      </c>
      <c r="J52" s="18">
        <v>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IF('S-ASIG-02'!D53="","",'S-ASIG-02'!D53)</f>
        <v/>
      </c>
      <c r="D53" s="30">
        <f>IF(B53=0,"",IF(C53="",$E$48*LIDER!$H$19+F53*LIDER!$H$20+G53*LIDER!$H$21+H53*LIDER!$H$22+I53*LIDER!$H$23+J53*LIDER!$H$24+K53*LIDER!$H$25,"N"))</f>
        <v>4.1500000000000004</v>
      </c>
      <c r="E53" s="191"/>
      <c r="F53" s="26">
        <v>4</v>
      </c>
      <c r="G53" s="26">
        <v>4</v>
      </c>
      <c r="H53" s="26">
        <v>4</v>
      </c>
      <c r="I53" s="26">
        <v>5</v>
      </c>
      <c r="J53" s="26">
        <v>5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IF('S-ASIG-02'!D54="","",'S-ASIG-02'!D54)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2.1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IF('S-ASIG-02'!D60="","",'S-ASIG-02'!D60)</f>
        <v/>
      </c>
      <c r="D60" s="30">
        <f>IF(B60=0,"",IF(C60="",$E$55*LIDER!$H$19+F60*LIDER!$H$20+G60*LIDER!$H$21+H60*LIDER!$H$22+I60*LIDER!$H$23+J60*LIDER!$H$24+K60*LIDER!$H$25,"N"))</f>
        <v>2.1</v>
      </c>
      <c r="E60" s="19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127</v>
      </c>
      <c r="C61" s="32" t="str">
        <f>IF('S-ASIG-02'!D61="","",'S-ASIG-02'!D61)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IF('S-ASIG-02'!D62="","",'S-ASIG-02'!D62)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IF('S-ASIG-02'!D63="","",'S-ASIG-02'!D63)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IF('S-ASIG-02'!D64="","",'S-ASIG-02'!D64)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IF('S-ASIG-02'!D65="","",'S-ASIG-02'!D65)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IF('S-ASIG-02'!D66="","",'S-ASIG-02'!D66)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IF('S-ASIG-02'!D67="","",'S-ASIG-02'!D67)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IF('S-ASIG-02'!D68="","",'S-ASIG-02'!D68)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IF('S-ASIG-02'!D75="","",'S-ASIG-02'!D75)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IF('S-ASIG-02'!D82="","",'S-ASIG-02'!D82)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GhTWuEJWbLIV72kTCF6OEiFAHnU5+sDoJXVqGLU51dRgbGRjPri478W9CM2UKPEY1hsV7EC1Cn+pii6ginJIoA==" saltValue="rmCjsOPCDNqmcdIntJlHn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59" activePane="bottomRight" state="frozen"/>
      <selection pane="bottomRight" activeCell="I9" sqref="I9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LIDER!E4</f>
        <v>MATEMATICA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CONCATENATE(LIDER!E4," - ",LIDER!E6," - ",LIDER!E5)</f>
        <v>MATEMATICA - 2295 - CECILIA PAILLIER GONZALEZ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IF('S-ASIG-03'!D5="","",'S-ASIG-03'!D5)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4.5</v>
      </c>
      <c r="E6" s="191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4.5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4.5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4.5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4.5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IF('S-ASIG-03'!D11="","",'S-ASIG-03'!D11)</f>
        <v/>
      </c>
      <c r="D11" s="30">
        <f>IF(B11=0,"",IF(C11="",$E$6*LIDER!$H$19+F11*LIDER!$H$20+G11*LIDER!$H$21+H11*LIDER!$H$22+I11*LIDER!$H$23+J11*LIDER!$H$24+K11*LIDER!$H$25,"N"))</f>
        <v>4.5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IF('S-ASIG-03'!D12="","",'S-ASIG-03'!D12)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2.4</v>
      </c>
      <c r="E13" s="191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2.4</v>
      </c>
      <c r="E14" s="191"/>
      <c r="F14" s="18">
        <v>2.5</v>
      </c>
      <c r="G14" s="18">
        <v>2.5</v>
      </c>
      <c r="H14" s="18">
        <v>2.5</v>
      </c>
      <c r="I14" s="18">
        <v>2.5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2.8</v>
      </c>
      <c r="E15" s="191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2.92</v>
      </c>
      <c r="E16" s="191"/>
      <c r="F16" s="18">
        <v>3.8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2.92</v>
      </c>
      <c r="E17" s="191"/>
      <c r="F17" s="18">
        <v>3.8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IF('S-ASIG-03'!D19="","",'S-ASIG-03'!D19)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91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91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91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91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91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IF('S-ASIG-03'!D26="","",'S-ASIG-03'!D26)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2.25</v>
      </c>
      <c r="E27" s="191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4.5</v>
      </c>
      <c r="E31" s="191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IF('S-ASIG-03'!D33="","",'S-ASIG-03'!D33)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IF('S-ASIG-03'!D40="","",'S-ASIG-03'!D40)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IF('S-ASIG-03'!D47="","",'S-ASIG-03'!D47)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4</v>
      </c>
      <c r="E48" s="191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4</v>
      </c>
      <c r="E49" s="191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4</v>
      </c>
      <c r="E50" s="191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IF('S-ASIG-03'!D51="","",'S-ASIG-03'!D51)</f>
        <v/>
      </c>
      <c r="D51" s="30">
        <f>IF(B51=0,"",IF(C51="",$E$48*LIDER!$H$19+F51*LIDER!$H$20+G51*LIDER!$H$21+H51*LIDER!$H$22+I51*LIDER!$H$23+J51*LIDER!$H$24+K51*LIDER!$H$25,"N"))</f>
        <v>4</v>
      </c>
      <c r="E51" s="191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IF('S-ASIG-03'!D52="","",'S-ASIG-03'!D52)</f>
        <v/>
      </c>
      <c r="D52" s="30">
        <f>IF(B52=0,"",IF(C52="",$E$48*LIDER!$H$19+F52*LIDER!$H$20+G52*LIDER!$H$21+H52*LIDER!$H$22+I52*LIDER!$H$23+J52*LIDER!$H$24+K52*LIDER!$H$25,"N"))</f>
        <v>4.25</v>
      </c>
      <c r="E52" s="191"/>
      <c r="F52" s="18">
        <v>4.5</v>
      </c>
      <c r="G52" s="18">
        <v>4.5</v>
      </c>
      <c r="H52" s="18">
        <v>4.5</v>
      </c>
      <c r="I52" s="18">
        <v>4.5</v>
      </c>
      <c r="J52" s="18">
        <v>4.5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IF('S-ASIG-03'!D53="","",'S-ASIG-03'!D53)</f>
        <v/>
      </c>
      <c r="D53" s="30">
        <f>IF(B53=0,"",IF(C53="",$E$48*LIDER!$H$19+F53*LIDER!$H$20+G53*LIDER!$H$21+H53*LIDER!$H$22+I53*LIDER!$H$23+J53*LIDER!$H$24+K53*LIDER!$H$25,"N"))</f>
        <v>4</v>
      </c>
      <c r="E53" s="191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IF('S-ASIG-03'!D54="","",'S-ASIG-03'!D54)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2.1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IF('S-ASIG-03'!D60="","",'S-ASIG-03'!D60)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191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IF('S-ASIG-03'!D61="","",'S-ASIG-03'!D61)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IF('S-ASIG-03'!D62="","",'S-ASIG-03'!D62)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IF('S-ASIG-03'!D63="","",'S-ASIG-03'!D63)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IF('S-ASIG-03'!D64="","",'S-ASIG-03'!D64)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IF('S-ASIG-03'!D65="","",'S-ASIG-03'!D65)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IF('S-ASIG-03'!D66="","",'S-ASIG-03'!D66)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IF('S-ASIG-03'!D67="","",'S-ASIG-03'!D67)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IF('S-ASIG-03'!D68="","",'S-ASIG-03'!D68)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IF('S-ASIG-03'!D75="","",'S-ASIG-03'!D75)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IF('S-ASIG-03'!D82="","",'S-ASIG-03'!D82)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84" zoomScaleNormal="84" workbookViewId="0">
      <pane xSplit="4" ySplit="3" topLeftCell="E80" activePane="bottomRight" state="frozen"/>
      <selection pane="bottomRight" activeCell="F62" sqref="F62:J67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LIDER!F4</f>
        <v>CULTURA Y DEPORTE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CONCATENATE(LIDER!F4," - ",LIDER!F6," - ",LIDER!F5)</f>
        <v>CULTURA Y DEPORTE - 2316 - CRHIS MAURO LOPEZ GUZMAN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IF('S-ASIG-04'!D5="","",'S-ASIG-04'!D5)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4.5</v>
      </c>
      <c r="E6" s="191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4.5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4.5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4.5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4.5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IF('S-ASIG-04'!D11="","",'S-ASIG-04'!D11)</f>
        <v/>
      </c>
      <c r="D11" s="30">
        <f>IF(B11=0,"",IF(C11="",$E$6*LIDER!$H$19+F11*LIDER!$H$20+G11*LIDER!$H$21+H11*LIDER!$H$22+I11*LIDER!$H$23+J11*LIDER!$H$24+K11*LIDER!$H$25,"N"))</f>
        <v>4.5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IF('S-ASIG-04'!D12="","",'S-ASIG-04'!D12)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2.4</v>
      </c>
      <c r="E13" s="191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2.4</v>
      </c>
      <c r="E14" s="191"/>
      <c r="F14" s="18">
        <v>2.5</v>
      </c>
      <c r="G14" s="18">
        <v>2.5</v>
      </c>
      <c r="H14" s="18">
        <v>2.5</v>
      </c>
      <c r="I14" s="18">
        <v>2.5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2.8</v>
      </c>
      <c r="E15" s="191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2.92</v>
      </c>
      <c r="E16" s="191"/>
      <c r="F16" s="18">
        <v>3.8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2.92</v>
      </c>
      <c r="E17" s="191"/>
      <c r="F17" s="18">
        <v>3.8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IF('S-ASIG-04'!D19="","",'S-ASIG-04'!D19)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91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91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91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91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91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IF('S-ASIG-04'!D26="","",'S-ASIG-04'!D26)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IF('S-ASIG-04'!D27="","",'S-ASIG-04'!D27)</f>
        <v/>
      </c>
      <c r="D27" s="30" t="e">
        <f>IF(B27=0,"",IF(C27="",$E$27*LIDER!$H$19+F27*LIDER!$H$20+G27*LIDER!$H$21+H27*LIDER!$H$22+I27*LIDER!$H$23+J27*LIDER!$H$24+K27*LIDER!$H$25,"N"))</f>
        <v>#VALUE!</v>
      </c>
      <c r="E27" s="191">
        <v>4.5</v>
      </c>
      <c r="F27" s="24" t="s">
        <v>132</v>
      </c>
      <c r="G27" s="24" t="s">
        <v>132</v>
      </c>
      <c r="H27" s="24" t="s">
        <v>132</v>
      </c>
      <c r="I27" s="24" t="s">
        <v>132</v>
      </c>
      <c r="J27" s="24" t="s">
        <v>132</v>
      </c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4.5</v>
      </c>
      <c r="E31" s="191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IF('S-ASIG-04'!D33="","",'S-ASIG-04'!D33)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IF('S-ASIG-04'!D40="","",'S-ASIG-04'!D40)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IF('S-ASIG-04'!D47="","",'S-ASIG-04'!D47)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4</v>
      </c>
      <c r="E48" s="191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4</v>
      </c>
      <c r="E49" s="191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4</v>
      </c>
      <c r="E50" s="191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IF('S-ASIG-04'!D51="","",'S-ASIG-04'!D51)</f>
        <v/>
      </c>
      <c r="D51" s="30">
        <f>IF(B51=0,"",IF(C51="",$E$48*LIDER!$H$19+F51*LIDER!$H$20+G51*LIDER!$H$21+H51*LIDER!$H$22+I51*LIDER!$H$23+J51*LIDER!$H$24+K51*LIDER!$H$25,"N"))</f>
        <v>4</v>
      </c>
      <c r="E51" s="191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IF('S-ASIG-04'!D52="","",'S-ASIG-04'!D52)</f>
        <v/>
      </c>
      <c r="D52" s="30">
        <f>IF(B52=0,"",IF(C52="",$E$48*LIDER!$H$19+F52*LIDER!$H$20+G52*LIDER!$H$21+H52*LIDER!$H$22+I52*LIDER!$H$23+J52*LIDER!$H$24+K52*LIDER!$H$25,"N"))</f>
        <v>4.25</v>
      </c>
      <c r="E52" s="191"/>
      <c r="F52" s="18">
        <v>4.5</v>
      </c>
      <c r="G52" s="18">
        <v>4.5</v>
      </c>
      <c r="H52" s="18">
        <v>4.5</v>
      </c>
      <c r="I52" s="18">
        <v>4.5</v>
      </c>
      <c r="J52" s="18">
        <v>4.5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IF('S-ASIG-04'!D53="","",'S-ASIG-04'!D53)</f>
        <v/>
      </c>
      <c r="D53" s="30">
        <f>IF(B53=0,"",IF(C53="",$E$48*LIDER!$H$19+F53*LIDER!$H$20+G53*LIDER!$H$21+H53*LIDER!$H$22+I53*LIDER!$H$23+J53*LIDER!$H$24+K53*LIDER!$H$25,"N"))</f>
        <v>4</v>
      </c>
      <c r="E53" s="191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IF('S-ASIG-04'!D54="","",'S-ASIG-04'!D54)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IF('S-ASIG-04'!D57="","",'S-ASIG-04'!D57)</f>
        <v>N</v>
      </c>
      <c r="D57" s="30" t="str">
        <f>IF(B57=0,"",IF(C57="",$E$55*LIDER!$H$19+F57*LIDER!$H$20+G57*LIDER!$H$21+H57*LIDER!$H$22+I57*LIDER!$H$23+J57*LIDER!$H$24+K57*LIDER!$H$25,"N"))</f>
        <v>N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IF('S-ASIG-04'!D60="","",'S-ASIG-04'!D60)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191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IF('S-ASIG-04'!D61="","",'S-ASIG-04'!D61)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IF('S-ASIG-04'!D62="","",'S-ASIG-04'!D62)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IF('S-ASIG-04'!D63="","",'S-ASIG-04'!D63)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IF('S-ASIG-04'!D64="","",'S-ASIG-04'!D64)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IF('S-ASIG-04'!D65="","",'S-ASIG-04'!D65)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IF('S-ASIG-04'!D66="","",'S-ASIG-04'!D66)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IF('S-ASIG-04'!D67="","",'S-ASIG-04'!D67)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IF('S-ASIG-04'!D68="","",'S-ASIG-04'!D68)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IF('S-ASIG-04'!D75="","",'S-ASIG-04'!D75)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IF('S-ASIG-04'!D82="","",'S-ASIG-04'!D82)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86" activePane="bottomRight" state="frozen"/>
      <selection pane="bottomRight" activeCell="F62" sqref="F62:J67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LIDER!G4</f>
        <v>PROYECTO DE VIDA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CONCATENATE(LIDER!G4," - ",LIDER!G6," - ",LIDER!G5)</f>
        <v>PROYECTO DE VIDA - 1137 - NATALI ÁLVAREZ ATEHORTUA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IF('S-ASIG-05'!D5="","",'S-ASIG-05'!D5)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4.5</v>
      </c>
      <c r="E6" s="191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4.5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4.5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4.5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4.5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IF('S-ASIG-05'!D11="","",'S-ASIG-05'!D11)</f>
        <v/>
      </c>
      <c r="D11" s="30">
        <f>IF(B11=0,"",IF(C11="",$E$6*LIDER!$H$19+F11*LIDER!$H$20+G11*LIDER!$H$21+H11*LIDER!$H$22+I11*LIDER!$H$23+J11*LIDER!$H$24+K11*LIDER!$H$25,"N"))</f>
        <v>4.5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IF('S-ASIG-05'!D12="","",'S-ASIG-05'!D12)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2.4</v>
      </c>
      <c r="E13" s="191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2.4</v>
      </c>
      <c r="E14" s="191"/>
      <c r="F14" s="18">
        <v>2.5</v>
      </c>
      <c r="G14" s="18">
        <v>2.5</v>
      </c>
      <c r="H14" s="18">
        <v>2.5</v>
      </c>
      <c r="I14" s="18">
        <v>2.5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2.8</v>
      </c>
      <c r="E15" s="191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2.92</v>
      </c>
      <c r="E16" s="191"/>
      <c r="F16" s="18">
        <v>3.8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2.92</v>
      </c>
      <c r="E17" s="191"/>
      <c r="F17" s="18">
        <v>3.8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IF('S-ASIG-05'!D19="","",'S-ASIG-05'!D19)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91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91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91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91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91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IF('S-ASIG-05'!D26="","",'S-ASIG-05'!D26)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IF('S-ASIG-05'!D27="","",'S-ASIG-05'!D27)</f>
        <v/>
      </c>
      <c r="D27" s="30" t="e">
        <f>IF(B27=0,"",IF(C27="",$E$27*LIDER!$H$19+F27*LIDER!$H$20+G27*LIDER!$H$21+H27*LIDER!$H$22+I27*LIDER!$H$23+J27*LIDER!$H$24+K27*LIDER!$H$25,"N"))</f>
        <v>#VALUE!</v>
      </c>
      <c r="E27" s="191">
        <v>4.5</v>
      </c>
      <c r="F27" s="24" t="s">
        <v>132</v>
      </c>
      <c r="G27" s="24" t="s">
        <v>132</v>
      </c>
      <c r="H27" s="24" t="s">
        <v>132</v>
      </c>
      <c r="I27" s="24" t="s">
        <v>132</v>
      </c>
      <c r="J27" s="24" t="s">
        <v>132</v>
      </c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2.25</v>
      </c>
      <c r="E31" s="19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IF('S-ASIG-05'!D33="","",'S-ASIG-05'!D33)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IF('S-ASIG-05'!D40="","",'S-ASIG-05'!D40)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IF('S-ASIG-05'!D47="","",'S-ASIG-05'!D47)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4</v>
      </c>
      <c r="E48" s="191">
        <v>4</v>
      </c>
      <c r="F48" s="24">
        <v>4</v>
      </c>
      <c r="G48" s="24">
        <v>4</v>
      </c>
      <c r="H48" s="24">
        <v>4</v>
      </c>
      <c r="I48" s="24">
        <v>4</v>
      </c>
      <c r="J48" s="24">
        <v>4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4</v>
      </c>
      <c r="E49" s="191"/>
      <c r="F49" s="18">
        <v>4</v>
      </c>
      <c r="G49" s="18">
        <v>4</v>
      </c>
      <c r="H49" s="18">
        <v>4</v>
      </c>
      <c r="I49" s="18">
        <v>4</v>
      </c>
      <c r="J49" s="18">
        <v>4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4</v>
      </c>
      <c r="E50" s="191"/>
      <c r="F50" s="18">
        <v>4</v>
      </c>
      <c r="G50" s="18">
        <v>4</v>
      </c>
      <c r="H50" s="18">
        <v>4</v>
      </c>
      <c r="I50" s="18">
        <v>4</v>
      </c>
      <c r="J50" s="18">
        <v>4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IF('S-ASIG-05'!D51="","",'S-ASIG-05'!D51)</f>
        <v/>
      </c>
      <c r="D51" s="30">
        <f>IF(B51=0,"",IF(C51="",$E$48*LIDER!$H$19+F51*LIDER!$H$20+G51*LIDER!$H$21+H51*LIDER!$H$22+I51*LIDER!$H$23+J51*LIDER!$H$24+K51*LIDER!$H$25,"N"))</f>
        <v>4</v>
      </c>
      <c r="E51" s="191"/>
      <c r="F51" s="18">
        <v>4</v>
      </c>
      <c r="G51" s="18">
        <v>4</v>
      </c>
      <c r="H51" s="18">
        <v>4</v>
      </c>
      <c r="I51" s="18">
        <v>4</v>
      </c>
      <c r="J51" s="18">
        <v>4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IF('S-ASIG-05'!D52="","",'S-ASIG-05'!D52)</f>
        <v/>
      </c>
      <c r="D52" s="30">
        <f>IF(B52=0,"",IF(C52="",$E$48*LIDER!$H$19+F52*LIDER!$H$20+G52*LIDER!$H$21+H52*LIDER!$H$22+I52*LIDER!$H$23+J52*LIDER!$H$24+K52*LIDER!$H$25,"N"))</f>
        <v>4.25</v>
      </c>
      <c r="E52" s="191"/>
      <c r="F52" s="18">
        <v>4.5</v>
      </c>
      <c r="G52" s="18">
        <v>4.5</v>
      </c>
      <c r="H52" s="18">
        <v>4.5</v>
      </c>
      <c r="I52" s="18">
        <v>4.5</v>
      </c>
      <c r="J52" s="18">
        <v>4.5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IF('S-ASIG-05'!D53="","",'S-ASIG-05'!D53)</f>
        <v/>
      </c>
      <c r="D53" s="30">
        <f>IF(B53=0,"",IF(C53="",$E$48*LIDER!$H$19+F53*LIDER!$H$20+G53*LIDER!$H$21+H53*LIDER!$H$22+I53*LIDER!$H$23+J53*LIDER!$H$24+K53*LIDER!$H$25,"N"))</f>
        <v>4</v>
      </c>
      <c r="E53" s="191"/>
      <c r="F53" s="26">
        <v>4</v>
      </c>
      <c r="G53" s="26">
        <v>4</v>
      </c>
      <c r="H53" s="26">
        <v>4</v>
      </c>
      <c r="I53" s="26">
        <v>4</v>
      </c>
      <c r="J53" s="26">
        <v>4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IF('S-ASIG-05'!D54="","",'S-ASIG-05'!D54)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2.1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IF('S-ASIG-05'!D60="","",'S-ASIG-05'!D60)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191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IF('S-ASIG-05'!D61="","",'S-ASIG-05'!D61)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IF('S-ASIG-05'!D62="","",'S-ASIG-05'!D62)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IF('S-ASIG-05'!D63="","",'S-ASIG-05'!D63)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IF('S-ASIG-05'!D64="","",'S-ASIG-05'!D64)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IF('S-ASIG-05'!D65="","",'S-ASIG-05'!D65)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IF('S-ASIG-05'!D66="","",'S-ASIG-05'!D66)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IF('S-ASIG-05'!D67="","",'S-ASIG-05'!D67)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IF('S-ASIG-05'!D68="","",'S-ASIG-05'!D68)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IF('S-ASIG-05'!D75="","",'S-ASIG-05'!D75)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IF('S-ASIG-05'!D82="","",'S-ASIG-05'!D82)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48" activePane="bottomRight" state="frozen"/>
      <selection pane="bottomRight" activeCell="F53" sqref="F53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LIDER!H4</f>
        <v>CONTABILIDAD GENERAL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CONCATENATE(LIDER!H4," - ",LIDER!H6," - ",LIDER!H5)</f>
        <v>CONTABILIDAD GENERAL - 1455 - GABRIEL MIRANDA SIERRA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IF('S-ASIG-06'!D5="","",'S-ASIG-06'!D5)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4.25</v>
      </c>
      <c r="E6" s="191">
        <v>4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4.25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4.25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4.25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4.25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IF('S-ASIG-06'!D11="","",'S-ASIG-06'!D11)</f>
        <v/>
      </c>
      <c r="D11" s="30">
        <f>IF(B11=0,"",IF(C11="",$E$6*LIDER!$H$19+F11*LIDER!$H$20+G11*LIDER!$H$21+H11*LIDER!$H$22+I11*LIDER!$H$23+J11*LIDER!$H$24+K11*LIDER!$H$25,"N"))</f>
        <v>4.25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IF('S-ASIG-06'!D12="","",'S-ASIG-06'!D12)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2.6799999999999997</v>
      </c>
      <c r="E13" s="191">
        <v>2.2999999999999998</v>
      </c>
      <c r="F13" s="24">
        <v>2.8</v>
      </c>
      <c r="G13" s="24">
        <v>2.8</v>
      </c>
      <c r="H13" s="24">
        <v>2.8</v>
      </c>
      <c r="I13" s="24">
        <v>3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2.6799999999999997</v>
      </c>
      <c r="E14" s="191"/>
      <c r="F14" s="18">
        <v>2.8</v>
      </c>
      <c r="G14" s="18">
        <v>2.8</v>
      </c>
      <c r="H14" s="18">
        <v>2.8</v>
      </c>
      <c r="I14" s="18">
        <v>3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2.9499999999999997</v>
      </c>
      <c r="E15" s="191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2.9499999999999997</v>
      </c>
      <c r="E16" s="191"/>
      <c r="F16" s="18">
        <v>3.5</v>
      </c>
      <c r="G16" s="18">
        <v>3.5</v>
      </c>
      <c r="H16" s="18">
        <v>3.5</v>
      </c>
      <c r="I16" s="18">
        <v>3.5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2.9499999999999997</v>
      </c>
      <c r="E17" s="191"/>
      <c r="F17" s="18">
        <v>3.5</v>
      </c>
      <c r="G17" s="18">
        <v>3.5</v>
      </c>
      <c r="H17" s="18">
        <v>3.5</v>
      </c>
      <c r="I17" s="18">
        <v>3.5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IF('S-ASIG-06'!D19="","",'S-ASIG-06'!D19)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4.5</v>
      </c>
      <c r="E20" s="191">
        <v>4.5</v>
      </c>
      <c r="F20" s="24">
        <v>4.5</v>
      </c>
      <c r="G20" s="24">
        <v>4.5</v>
      </c>
      <c r="H20" s="24">
        <v>4.5</v>
      </c>
      <c r="I20" s="24">
        <v>4.5</v>
      </c>
      <c r="J20" s="24">
        <v>4.5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4.5</v>
      </c>
      <c r="E21" s="191"/>
      <c r="F21" s="18">
        <v>4.5</v>
      </c>
      <c r="G21" s="18">
        <v>4.5</v>
      </c>
      <c r="H21" s="18">
        <v>4.5</v>
      </c>
      <c r="I21" s="18">
        <v>4.5</v>
      </c>
      <c r="J21" s="18">
        <v>4.5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4.5</v>
      </c>
      <c r="E22" s="191"/>
      <c r="F22" s="18">
        <v>4.5</v>
      </c>
      <c r="G22" s="18">
        <v>4.5</v>
      </c>
      <c r="H22" s="18">
        <v>4.5</v>
      </c>
      <c r="I22" s="18">
        <v>4.5</v>
      </c>
      <c r="J22" s="18">
        <v>4.5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4.5</v>
      </c>
      <c r="E23" s="191"/>
      <c r="F23" s="18">
        <v>4.5</v>
      </c>
      <c r="G23" s="18">
        <v>4.5</v>
      </c>
      <c r="H23" s="18">
        <v>4.5</v>
      </c>
      <c r="I23" s="18">
        <v>4.5</v>
      </c>
      <c r="J23" s="18">
        <v>4.5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4.5</v>
      </c>
      <c r="E24" s="191"/>
      <c r="F24" s="18">
        <v>4.5</v>
      </c>
      <c r="G24" s="18">
        <v>4.5</v>
      </c>
      <c r="H24" s="18">
        <v>4.5</v>
      </c>
      <c r="I24" s="18">
        <v>4.5</v>
      </c>
      <c r="J24" s="18">
        <v>4.5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IF('S-ASIG-06'!D26="","",'S-ASIG-06'!D26)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2.25</v>
      </c>
      <c r="E27" s="191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4.5</v>
      </c>
      <c r="E31" s="191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IF('S-ASIG-06'!D33="","",'S-ASIG-06'!D33)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>
        <v>4</v>
      </c>
      <c r="G38" s="18">
        <v>4</v>
      </c>
      <c r="H38" s="18">
        <v>4</v>
      </c>
      <c r="I38" s="18">
        <v>4</v>
      </c>
      <c r="J38" s="18">
        <v>4</v>
      </c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IF('S-ASIG-06'!D40="","",'S-ASIG-06'!D40)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IF('S-ASIG-06'!D47="","",'S-ASIG-06'!D47)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4.0999999999999996</v>
      </c>
      <c r="E48" s="191">
        <v>4</v>
      </c>
      <c r="F48" s="24">
        <v>4</v>
      </c>
      <c r="G48" s="24">
        <v>4</v>
      </c>
      <c r="H48" s="24">
        <v>4</v>
      </c>
      <c r="I48" s="24">
        <v>4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4.0999999999999996</v>
      </c>
      <c r="E49" s="191"/>
      <c r="F49" s="18">
        <v>4</v>
      </c>
      <c r="G49" s="18">
        <v>4</v>
      </c>
      <c r="H49" s="18">
        <v>4</v>
      </c>
      <c r="I49" s="18">
        <v>4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4.0999999999999996</v>
      </c>
      <c r="E50" s="191"/>
      <c r="F50" s="18">
        <v>4</v>
      </c>
      <c r="G50" s="18">
        <v>4</v>
      </c>
      <c r="H50" s="18">
        <v>4</v>
      </c>
      <c r="I50" s="18">
        <v>4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IF('S-ASIG-06'!D51="","",'S-ASIG-06'!D51)</f>
        <v/>
      </c>
      <c r="D51" s="30">
        <f>IF(B51=0,"",IF(C51="",$E$48*LIDER!$H$19+F51*LIDER!$H$20+G51*LIDER!$H$21+H51*LIDER!$H$22+I51*LIDER!$H$23+J51*LIDER!$H$24+K51*LIDER!$H$25,"N"))</f>
        <v>4.3000000000000007</v>
      </c>
      <c r="E51" s="191"/>
      <c r="F51" s="18">
        <v>4.5</v>
      </c>
      <c r="G51" s="18">
        <v>4.5</v>
      </c>
      <c r="H51" s="18">
        <v>4.5</v>
      </c>
      <c r="I51" s="18">
        <v>4.5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IF('S-ASIG-06'!D52="","",'S-ASIG-06'!D52)</f>
        <v/>
      </c>
      <c r="D52" s="30">
        <f>IF(B52=0,"",IF(C52="",$E$48*LIDER!$H$19+F52*LIDER!$H$20+G52*LIDER!$H$21+H52*LIDER!$H$22+I52*LIDER!$H$23+J52*LIDER!$H$24+K52*LIDER!$H$25,"N"))</f>
        <v>4.0999999999999996</v>
      </c>
      <c r="E52" s="191"/>
      <c r="F52" s="18">
        <v>4</v>
      </c>
      <c r="G52" s="18">
        <v>4</v>
      </c>
      <c r="H52" s="18">
        <v>4</v>
      </c>
      <c r="I52" s="18">
        <v>4</v>
      </c>
      <c r="J52" s="18">
        <v>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IF('S-ASIG-06'!D53="","",'S-ASIG-06'!D53)</f>
        <v/>
      </c>
      <c r="D53" s="30">
        <f>IF(B53=0,"",IF(C53="",$E$48*LIDER!$H$19+F53*LIDER!$H$20+G53*LIDER!$H$21+H53*LIDER!$H$22+I53*LIDER!$H$23+J53*LIDER!$H$24+K53*LIDER!$H$25,"N"))</f>
        <v>4.0199999999999996</v>
      </c>
      <c r="E53" s="191"/>
      <c r="F53" s="26">
        <v>3.8</v>
      </c>
      <c r="G53" s="26">
        <v>3.8</v>
      </c>
      <c r="H53" s="26">
        <v>3.8</v>
      </c>
      <c r="I53" s="26">
        <v>3.8</v>
      </c>
      <c r="J53" s="26">
        <v>5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IF('S-ASIG-06'!D54="","",'S-ASIG-06'!D54)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2.1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IF('S-ASIG-06'!D60="","",'S-ASIG-06'!D60)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191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IF('S-ASIG-06'!D61="","",'S-ASIG-06'!D61)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IF('S-ASIG-06'!D62="","",'S-ASIG-06'!D62)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IF('S-ASIG-06'!D63="","",'S-ASIG-06'!D63)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IF('S-ASIG-06'!D64="","",'S-ASIG-06'!D64)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IF('S-ASIG-06'!D65="","",'S-ASIG-06'!D65)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IF('S-ASIG-06'!D66="","",'S-ASIG-06'!D66)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IF('S-ASIG-06'!D67="","",'S-ASIG-06'!D67)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IF('S-ASIG-06'!D68="","",'S-ASIG-06'!D68)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IF('S-ASIG-06'!D75="","",'S-ASIG-06'!D75)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IF('S-ASIG-06'!D82="","",'S-ASIG-06'!D82)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5" activePane="bottomRight" state="frozen"/>
      <selection pane="bottomRight" activeCell="E6" sqref="E6:I11"/>
      <selection pane="bottomLeft" activeCell="I9" sqref="I9"/>
      <selection pane="topRight" activeCell="I9" sqref="I9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6" t="str">
        <f>LIDER!B2</f>
        <v>TECNOLOGÍA EN GESTIÓN DE NEGOCIOS INTERN</v>
      </c>
      <c r="B1" s="197"/>
      <c r="C1" s="197"/>
      <c r="D1" s="197"/>
      <c r="E1" s="197"/>
      <c r="F1" s="197"/>
      <c r="G1" s="198"/>
      <c r="H1" s="21" t="str">
        <f>LIDER!E2</f>
        <v>SEMESTRE:</v>
      </c>
      <c r="I1" s="20" t="str">
        <f>LIDER!F2</f>
        <v>SEM-01</v>
      </c>
      <c r="J1" s="21" t="str">
        <f>LIDER!G2</f>
        <v>SECCIÓN:</v>
      </c>
      <c r="K1" s="20">
        <f>LIDER!H2</f>
        <v>3</v>
      </c>
    </row>
    <row r="2" spans="1:11" s="2" customFormat="1" ht="20.100000000000001" customHeight="1" thickBot="1">
      <c r="B2" s="22" t="str">
        <f>LIDER!I4</f>
        <v>FUNDAMENTOS DE DERECHO</v>
      </c>
      <c r="C2" s="3"/>
      <c r="E2" s="204" t="s">
        <v>107</v>
      </c>
      <c r="F2" s="205"/>
      <c r="G2" s="205"/>
      <c r="H2" s="205"/>
      <c r="I2" s="205"/>
      <c r="J2" s="205"/>
      <c r="K2" s="206"/>
    </row>
    <row r="3" spans="1:11" s="2" customFormat="1" ht="145.5" customHeight="1" thickBot="1">
      <c r="B3" s="4" t="s">
        <v>108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9" t="str">
        <f>CONCATENATE(LIDER!I4," - ",LIDER!I6," - ",LIDER!I5)</f>
        <v>FUNDAMENTOS DE DERECHO - 3376 - GABRIEL JOSE CARRASQUILLA MARRUGO</v>
      </c>
      <c r="F4" s="210"/>
      <c r="G4" s="210"/>
      <c r="H4" s="210"/>
      <c r="I4" s="210"/>
      <c r="J4" s="210"/>
      <c r="K4" s="211"/>
    </row>
    <row r="5" spans="1:11" s="2" customFormat="1" ht="15.75" customHeight="1" thickBot="1">
      <c r="A5" s="8"/>
      <c r="B5" s="27" t="s">
        <v>109</v>
      </c>
      <c r="C5" s="34" t="str">
        <f>IF('S-ASIG-07'!D5="","",'S-ASIG-07'!D5)</f>
        <v>LIST</v>
      </c>
      <c r="D5" s="35" t="s">
        <v>112</v>
      </c>
      <c r="E5" s="193" t="str">
        <f>LIDER!$E$29</f>
        <v>GRUPO#1 FUNDAMENTACIÓN TEÓRICA DE KLAS DISCIPLINAS Y SU APORTE AL PERFIL PROFESIONAL</v>
      </c>
      <c r="F5" s="193"/>
      <c r="G5" s="193"/>
      <c r="H5" s="193"/>
      <c r="I5" s="193"/>
      <c r="J5" s="193"/>
      <c r="K5" s="193"/>
    </row>
    <row r="6" spans="1:11" s="2" customFormat="1" ht="12.75">
      <c r="A6" s="9">
        <v>1</v>
      </c>
      <c r="B6" s="28" t="str">
        <f>LIDER!E43</f>
        <v>DYLAN ANDRES CANCHGILA SANCHEZ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4.5</v>
      </c>
      <c r="E6" s="191">
        <v>4.5</v>
      </c>
      <c r="F6" s="24">
        <v>4.5</v>
      </c>
      <c r="G6" s="24">
        <v>4.5</v>
      </c>
      <c r="H6" s="24">
        <v>4.5</v>
      </c>
      <c r="I6" s="24">
        <v>4.5</v>
      </c>
      <c r="J6" s="24">
        <v>4.5</v>
      </c>
      <c r="K6" s="24"/>
    </row>
    <row r="7" spans="1:11" s="2" customFormat="1" ht="15" customHeight="1">
      <c r="A7" s="12">
        <v>2</v>
      </c>
      <c r="B7" s="28" t="str">
        <f>LIDER!E44</f>
        <v>JUAN DAVID OLMOS CONTRERAS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4.5</v>
      </c>
      <c r="E7" s="191"/>
      <c r="F7" s="18">
        <v>4.5</v>
      </c>
      <c r="G7" s="18">
        <v>4.5</v>
      </c>
      <c r="H7" s="18">
        <v>4.5</v>
      </c>
      <c r="I7" s="18">
        <v>4.5</v>
      </c>
      <c r="J7" s="18">
        <v>4.5</v>
      </c>
      <c r="K7" s="18"/>
    </row>
    <row r="8" spans="1:11" s="2" customFormat="1" ht="15" customHeight="1">
      <c r="A8" s="12">
        <v>3</v>
      </c>
      <c r="B8" s="28" t="str">
        <f>LIDER!E45</f>
        <v>BRIGNY VALESKA PALOMINO BOSSIO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4.5</v>
      </c>
      <c r="E8" s="191"/>
      <c r="F8" s="18">
        <v>4.5</v>
      </c>
      <c r="G8" s="18">
        <v>4.5</v>
      </c>
      <c r="H8" s="18">
        <v>4.5</v>
      </c>
      <c r="I8" s="18">
        <v>4.5</v>
      </c>
      <c r="J8" s="18">
        <v>4.5</v>
      </c>
      <c r="K8" s="18"/>
    </row>
    <row r="9" spans="1:11" s="2" customFormat="1" ht="15" customHeight="1">
      <c r="A9" s="12">
        <v>4</v>
      </c>
      <c r="B9" s="28" t="str">
        <f>LIDER!E46</f>
        <v>SARA SOFIA ROZO MORA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4.5</v>
      </c>
      <c r="E9" s="191"/>
      <c r="F9" s="18">
        <v>4.5</v>
      </c>
      <c r="G9" s="18">
        <v>4.5</v>
      </c>
      <c r="H9" s="18">
        <v>4.5</v>
      </c>
      <c r="I9" s="18">
        <v>4.5</v>
      </c>
      <c r="J9" s="18">
        <v>4.5</v>
      </c>
      <c r="K9" s="18"/>
    </row>
    <row r="10" spans="1:11" s="2" customFormat="1" ht="15" customHeight="1">
      <c r="A10" s="12">
        <v>5</v>
      </c>
      <c r="B10" s="28" t="str">
        <f>LIDER!E47</f>
        <v>TOMAS ANDRÉS SIMANCAS ROMERO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4.5</v>
      </c>
      <c r="E10" s="191"/>
      <c r="F10" s="18">
        <v>4.5</v>
      </c>
      <c r="G10" s="18">
        <v>4.5</v>
      </c>
      <c r="H10" s="18">
        <v>4.5</v>
      </c>
      <c r="I10" s="18">
        <v>4.5</v>
      </c>
      <c r="J10" s="18">
        <v>4.5</v>
      </c>
      <c r="K10" s="18"/>
    </row>
    <row r="11" spans="1:11" s="2" customFormat="1" ht="15.75" customHeight="1" thickBot="1">
      <c r="A11" s="13">
        <v>6</v>
      </c>
      <c r="B11" s="28" t="str">
        <f>LIDER!E48</f>
        <v>MARÍA ISABEL VARGAS AYAZO</v>
      </c>
      <c r="C11" s="33" t="str">
        <f>IF('S-ASIG-07'!D11="","",'S-ASIG-07'!D11)</f>
        <v/>
      </c>
      <c r="D11" s="30">
        <f>IF(B11=0,"",IF(C11="",$E$6*LIDER!$H$19+F11*LIDER!$H$20+G11*LIDER!$H$21+H11*LIDER!$H$22+I11*LIDER!$H$23+J11*LIDER!$H$24+K11*LIDER!$H$25,"N"))</f>
        <v>4.5</v>
      </c>
      <c r="E11" s="191"/>
      <c r="F11" s="26">
        <v>4.5</v>
      </c>
      <c r="G11" s="26">
        <v>4.5</v>
      </c>
      <c r="H11" s="26">
        <v>4.5</v>
      </c>
      <c r="I11" s="26">
        <v>4.5</v>
      </c>
      <c r="J11" s="26">
        <v>4.5</v>
      </c>
      <c r="K11" s="26"/>
    </row>
    <row r="12" spans="1:11" s="2" customFormat="1" ht="15.75" customHeight="1" thickBot="1">
      <c r="A12" s="8"/>
      <c r="B12" s="27" t="s">
        <v>113</v>
      </c>
      <c r="C12" s="32" t="str">
        <f>IF('S-ASIG-07'!D12="","",'S-ASIG-07'!D12)</f>
        <v>LIST</v>
      </c>
      <c r="D12" s="35" t="s">
        <v>112</v>
      </c>
      <c r="E12" s="193" t="str">
        <f>LIDER!$E$30</f>
        <v>GRUPO#2  FUNDAMENTACIÓN TEÓRICA DE LAS DISCIPLINAS Y SU APORTE AL PERFIL PROFESIONAL</v>
      </c>
      <c r="F12" s="193"/>
      <c r="G12" s="193"/>
      <c r="H12" s="193"/>
      <c r="I12" s="193"/>
      <c r="J12" s="193"/>
      <c r="K12" s="193"/>
    </row>
    <row r="13" spans="1:11" s="2" customFormat="1" ht="12.75">
      <c r="A13" s="9">
        <v>1</v>
      </c>
      <c r="B13" s="28" t="str">
        <f>LIDER!F43</f>
        <v>SANTIAGO ALEJANDRO CASRO ELLES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2.4</v>
      </c>
      <c r="E13" s="191">
        <v>2</v>
      </c>
      <c r="F13" s="24">
        <v>2.5</v>
      </c>
      <c r="G13" s="24">
        <v>2.5</v>
      </c>
      <c r="H13" s="24">
        <v>2.5</v>
      </c>
      <c r="I13" s="24">
        <v>2.5</v>
      </c>
      <c r="J13" s="24">
        <v>4</v>
      </c>
      <c r="K13" s="24"/>
    </row>
    <row r="14" spans="1:11" s="2" customFormat="1" ht="15" customHeight="1">
      <c r="A14" s="12">
        <v>2</v>
      </c>
      <c r="B14" s="28" t="str">
        <f>LIDER!F44</f>
        <v>YUDI DAYANA DUQUE JIMENEZ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2.4</v>
      </c>
      <c r="E14" s="191"/>
      <c r="F14" s="18">
        <v>2.5</v>
      </c>
      <c r="G14" s="18">
        <v>2.5</v>
      </c>
      <c r="H14" s="18">
        <v>2.5</v>
      </c>
      <c r="I14" s="18">
        <v>2.5</v>
      </c>
      <c r="J14" s="18">
        <v>4</v>
      </c>
      <c r="K14" s="18"/>
    </row>
    <row r="15" spans="1:11" s="2" customFormat="1" ht="15" customHeight="1">
      <c r="A15" s="12">
        <v>3</v>
      </c>
      <c r="B15" s="28" t="str">
        <f>LIDER!F45</f>
        <v>DEIMER JOSE ORTEGA PALENCIA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2.8</v>
      </c>
      <c r="E15" s="191"/>
      <c r="F15" s="18">
        <v>3.5</v>
      </c>
      <c r="G15" s="18">
        <v>3.5</v>
      </c>
      <c r="H15" s="18">
        <v>3.5</v>
      </c>
      <c r="I15" s="18">
        <v>3.5</v>
      </c>
      <c r="J15" s="18">
        <v>4</v>
      </c>
      <c r="K15" s="18"/>
    </row>
    <row r="16" spans="1:11" s="2" customFormat="1" ht="15" customHeight="1">
      <c r="A16" s="12">
        <v>4</v>
      </c>
      <c r="B16" s="28" t="str">
        <f>LIDER!F46</f>
        <v>JULYANA SOFIA PORTO VALENCIA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2.92</v>
      </c>
      <c r="E16" s="191"/>
      <c r="F16" s="18">
        <v>3.8</v>
      </c>
      <c r="G16" s="18">
        <v>3.8</v>
      </c>
      <c r="H16" s="18">
        <v>3.8</v>
      </c>
      <c r="I16" s="18">
        <v>3.8</v>
      </c>
      <c r="J16" s="18">
        <v>4</v>
      </c>
      <c r="K16" s="18"/>
    </row>
    <row r="17" spans="1:11" s="2" customFormat="1" ht="15" customHeight="1">
      <c r="A17" s="12">
        <v>5</v>
      </c>
      <c r="B17" s="28" t="str">
        <f>LIDER!F47</f>
        <v>SEBASTIAN CERMEÑO MARRUGO2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2.92</v>
      </c>
      <c r="E17" s="191"/>
      <c r="F17" s="18">
        <v>3.8</v>
      </c>
      <c r="G17" s="18">
        <v>3.8</v>
      </c>
      <c r="H17" s="18">
        <v>3.8</v>
      </c>
      <c r="I17" s="18">
        <v>3.8</v>
      </c>
      <c r="J17" s="18">
        <v>4</v>
      </c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115</v>
      </c>
      <c r="C19" s="32" t="str">
        <f>IF('S-ASIG-07'!D19="","",'S-ASIG-07'!D19)</f>
        <v>LIST</v>
      </c>
      <c r="D19" s="35" t="s">
        <v>112</v>
      </c>
      <c r="E19" s="193" t="str">
        <f>LIDER!$E$31</f>
        <v>GRUPO#3 FUNDAMENTACIÓN TEÓRICA DE LAS DISCIPLINAS Y SU APORTE AL PERFIL PROFESIONAL</v>
      </c>
      <c r="F19" s="193"/>
      <c r="G19" s="193"/>
      <c r="H19" s="193"/>
      <c r="I19" s="193"/>
      <c r="J19" s="193"/>
      <c r="K19" s="193"/>
    </row>
    <row r="20" spans="1:11" s="2" customFormat="1" ht="12.75">
      <c r="A20" s="9">
        <v>1</v>
      </c>
      <c r="B20" s="28" t="str">
        <f>LIDER!G43</f>
        <v>ESNAIDER ARRIETA AVILA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4.8000000000000007</v>
      </c>
      <c r="E20" s="191">
        <v>4.8</v>
      </c>
      <c r="F20" s="24">
        <v>4.8</v>
      </c>
      <c r="G20" s="24">
        <v>4.8</v>
      </c>
      <c r="H20" s="24">
        <v>4.8</v>
      </c>
      <c r="I20" s="24">
        <v>4.8</v>
      </c>
      <c r="J20" s="24">
        <v>4.8</v>
      </c>
      <c r="K20" s="24"/>
    </row>
    <row r="21" spans="1:11" s="2" customFormat="1" ht="15" customHeight="1">
      <c r="A21" s="12">
        <v>2</v>
      </c>
      <c r="B21" s="28" t="str">
        <f>LIDER!G44</f>
        <v>ISABEL SOPHIA CONEO BARRAZA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4.8000000000000007</v>
      </c>
      <c r="E21" s="191"/>
      <c r="F21" s="18">
        <v>4.8</v>
      </c>
      <c r="G21" s="18">
        <v>4.8</v>
      </c>
      <c r="H21" s="18">
        <v>4.8</v>
      </c>
      <c r="I21" s="18">
        <v>4.8</v>
      </c>
      <c r="J21" s="18">
        <v>4.8</v>
      </c>
      <c r="K21" s="18"/>
    </row>
    <row r="22" spans="1:11" s="2" customFormat="1" ht="15" customHeight="1">
      <c r="A22" s="12">
        <v>3</v>
      </c>
      <c r="B22" s="28" t="str">
        <f>LIDER!G45</f>
        <v>MARIAM TORRES HERNANDEZ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4.8000000000000007</v>
      </c>
      <c r="E22" s="191"/>
      <c r="F22" s="18">
        <v>4.8</v>
      </c>
      <c r="G22" s="18">
        <v>4.8</v>
      </c>
      <c r="H22" s="18">
        <v>4.8</v>
      </c>
      <c r="I22" s="18">
        <v>4.8</v>
      </c>
      <c r="J22" s="18">
        <v>4.8</v>
      </c>
      <c r="K22" s="18"/>
    </row>
    <row r="23" spans="1:11" s="2" customFormat="1" ht="15" customHeight="1">
      <c r="A23" s="12">
        <v>4</v>
      </c>
      <c r="B23" s="28" t="str">
        <f>LIDER!G46</f>
        <v>ISABEL SOFIA TORRES MOLINA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4.8000000000000007</v>
      </c>
      <c r="E23" s="191"/>
      <c r="F23" s="18">
        <v>4.8</v>
      </c>
      <c r="G23" s="18">
        <v>4.8</v>
      </c>
      <c r="H23" s="18">
        <v>4.8</v>
      </c>
      <c r="I23" s="18">
        <v>4.8</v>
      </c>
      <c r="J23" s="18">
        <v>4.8</v>
      </c>
      <c r="K23" s="18"/>
    </row>
    <row r="24" spans="1:11" s="2" customFormat="1" ht="15" customHeight="1">
      <c r="A24" s="12">
        <v>5</v>
      </c>
      <c r="B24" s="28" t="str">
        <f>LIDER!G47</f>
        <v>SANTIAGO EMILIO VEGA BRU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4.8000000000000007</v>
      </c>
      <c r="E24" s="191"/>
      <c r="F24" s="18">
        <v>4.8</v>
      </c>
      <c r="G24" s="18">
        <v>4.8</v>
      </c>
      <c r="H24" s="18">
        <v>4.8</v>
      </c>
      <c r="I24" s="18">
        <v>4.8</v>
      </c>
      <c r="J24" s="18">
        <v>4.8</v>
      </c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117</v>
      </c>
      <c r="C26" s="32" t="str">
        <f>IF('S-ASIG-07'!D26="","",'S-ASIG-07'!D26)</f>
        <v>LIST</v>
      </c>
      <c r="D26" s="35" t="s">
        <v>112</v>
      </c>
      <c r="E26" s="193" t="str">
        <f>LIDER!$E$32</f>
        <v>GRUPO#4 FUNDAMENTACIÓN TE´PORICA DE LAAS DISCIPLINAS Y SU APORTE AL PERFIL PROFESIONAL</v>
      </c>
      <c r="F26" s="193"/>
      <c r="G26" s="193"/>
      <c r="H26" s="193"/>
      <c r="I26" s="193"/>
      <c r="J26" s="193"/>
      <c r="K26" s="193"/>
    </row>
    <row r="27" spans="1:11" s="2" customFormat="1" ht="12.75">
      <c r="A27" s="9">
        <v>1</v>
      </c>
      <c r="B27" s="28" t="str">
        <f>LIDER!H43</f>
        <v>GREYSI HERNANDEZ NIETO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2.25</v>
      </c>
      <c r="E27" s="191">
        <v>4.5</v>
      </c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BETZABÉ SALCEDO MERCADO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4.5</v>
      </c>
      <c r="E28" s="191"/>
      <c r="F28" s="18">
        <v>4.5</v>
      </c>
      <c r="G28" s="18">
        <v>4.5</v>
      </c>
      <c r="H28" s="18">
        <v>4.5</v>
      </c>
      <c r="I28" s="18">
        <v>4.5</v>
      </c>
      <c r="J28" s="18">
        <v>4.5</v>
      </c>
      <c r="K28" s="18"/>
    </row>
    <row r="29" spans="1:11" s="2" customFormat="1" ht="15" customHeight="1">
      <c r="A29" s="12">
        <v>3</v>
      </c>
      <c r="B29" s="28" t="str">
        <f>LIDER!H45</f>
        <v>JUAN SEBASTIAN SMITH SILVA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4.5</v>
      </c>
      <c r="E29" s="191"/>
      <c r="F29" s="18">
        <v>4.5</v>
      </c>
      <c r="G29" s="18">
        <v>4.5</v>
      </c>
      <c r="H29" s="18">
        <v>4.5</v>
      </c>
      <c r="I29" s="18">
        <v>4.5</v>
      </c>
      <c r="J29" s="18">
        <v>4.5</v>
      </c>
      <c r="K29" s="18"/>
    </row>
    <row r="30" spans="1:11" s="2" customFormat="1" ht="15" customHeight="1">
      <c r="A30" s="12">
        <v>4</v>
      </c>
      <c r="B30" s="28" t="str">
        <f>LIDER!H46</f>
        <v>ESTEFANY NORIEGA DUNCAN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4.5</v>
      </c>
      <c r="E30" s="191"/>
      <c r="F30" s="18">
        <v>4.5</v>
      </c>
      <c r="G30" s="18">
        <v>4.5</v>
      </c>
      <c r="H30" s="18">
        <v>4.5</v>
      </c>
      <c r="I30" s="18">
        <v>4.5</v>
      </c>
      <c r="J30" s="18">
        <v>4.5</v>
      </c>
      <c r="K30" s="18"/>
    </row>
    <row r="31" spans="1:11" s="2" customFormat="1" ht="15" customHeight="1">
      <c r="A31" s="12">
        <v>5</v>
      </c>
      <c r="B31" s="28" t="str">
        <f>LIDER!H47</f>
        <v>SHIRLY RECUERO ROMERO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4.5</v>
      </c>
      <c r="E31" s="191"/>
      <c r="F31" s="18">
        <v>4.5</v>
      </c>
      <c r="G31" s="18">
        <v>4.5</v>
      </c>
      <c r="H31" s="18">
        <v>4.5</v>
      </c>
      <c r="I31" s="18">
        <v>4.5</v>
      </c>
      <c r="J31" s="18">
        <v>4.5</v>
      </c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119</v>
      </c>
      <c r="C33" s="32" t="str">
        <f>IF('S-ASIG-07'!D33="","",'S-ASIG-07'!D33)</f>
        <v>LIST</v>
      </c>
      <c r="D33" s="35" t="s">
        <v>112</v>
      </c>
      <c r="E33" s="193" t="str">
        <f>LIDER!$E$33</f>
        <v>GRUPO#5 FUNDAMENTACIÓN TEÓRICA DE LAS DISCIPLINAS Y SU APORTE AL  PERFIL PROFESIONAL</v>
      </c>
      <c r="F33" s="193"/>
      <c r="G33" s="193"/>
      <c r="H33" s="193"/>
      <c r="I33" s="193"/>
      <c r="J33" s="193"/>
      <c r="K33" s="193"/>
    </row>
    <row r="34" spans="1:11" s="2" customFormat="1" ht="12.75">
      <c r="A34" s="9">
        <v>1</v>
      </c>
      <c r="B34" s="28" t="str">
        <f>LIDER!E51</f>
        <v>THAIS GABRIELA BLANCO TORRES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4.25</v>
      </c>
      <c r="E34" s="191">
        <v>4.5</v>
      </c>
      <c r="F34" s="24">
        <v>4</v>
      </c>
      <c r="G34" s="24">
        <v>4</v>
      </c>
      <c r="H34" s="24">
        <v>4</v>
      </c>
      <c r="I34" s="24">
        <v>4</v>
      </c>
      <c r="J34" s="24">
        <v>4</v>
      </c>
      <c r="K34" s="24"/>
    </row>
    <row r="35" spans="1:11" s="2" customFormat="1" ht="15" customHeight="1">
      <c r="A35" s="12">
        <v>2</v>
      </c>
      <c r="B35" s="28" t="str">
        <f>LIDER!E52</f>
        <v>MARIA JOSE CASANOVA PACHECO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4.25</v>
      </c>
      <c r="E35" s="191"/>
      <c r="F35" s="18">
        <v>4</v>
      </c>
      <c r="G35" s="18">
        <v>4</v>
      </c>
      <c r="H35" s="18">
        <v>4</v>
      </c>
      <c r="I35" s="18">
        <v>4</v>
      </c>
      <c r="J35" s="18">
        <v>4</v>
      </c>
      <c r="K35" s="18"/>
    </row>
    <row r="36" spans="1:11" s="2" customFormat="1" ht="15" customHeight="1">
      <c r="A36" s="12">
        <v>3</v>
      </c>
      <c r="B36" s="28" t="str">
        <f>LIDER!E53</f>
        <v>ISELA ALEJANDRA DE HORTA  IBAÑEZ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4.25</v>
      </c>
      <c r="E36" s="191"/>
      <c r="F36" s="18">
        <v>4</v>
      </c>
      <c r="G36" s="18">
        <v>4</v>
      </c>
      <c r="H36" s="18">
        <v>4</v>
      </c>
      <c r="I36" s="18">
        <v>4</v>
      </c>
      <c r="J36" s="18">
        <v>4</v>
      </c>
      <c r="K36" s="18"/>
    </row>
    <row r="37" spans="1:11" s="2" customFormat="1" ht="15" customHeight="1">
      <c r="A37" s="12">
        <v>4</v>
      </c>
      <c r="B37" s="28" t="str">
        <f>LIDER!E54</f>
        <v>SARAY CAROLINA OTERO THYME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4.25</v>
      </c>
      <c r="E37" s="191"/>
      <c r="F37" s="18">
        <v>4</v>
      </c>
      <c r="G37" s="18">
        <v>4</v>
      </c>
      <c r="H37" s="18">
        <v>4</v>
      </c>
      <c r="I37" s="18">
        <v>4</v>
      </c>
      <c r="J37" s="18">
        <v>4</v>
      </c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91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121</v>
      </c>
      <c r="C40" s="32" t="str">
        <f>IF('S-ASIG-07'!D40="","",'S-ASIG-07'!D40)</f>
        <v>LIST</v>
      </c>
      <c r="D40" s="35" t="s">
        <v>112</v>
      </c>
      <c r="E40" s="193" t="str">
        <f>LIDER!$E$34</f>
        <v>GRUPO#6 FUNDAMENTACIÓN TEÓRICA DE LAS DISCIPLINAS Y SU APORTE AL PERFIL PROFESIONAL</v>
      </c>
      <c r="F40" s="193"/>
      <c r="G40" s="193"/>
      <c r="H40" s="193"/>
      <c r="I40" s="193"/>
      <c r="J40" s="193"/>
      <c r="K40" s="193"/>
    </row>
    <row r="41" spans="1:11" s="2" customFormat="1" ht="12.75">
      <c r="A41" s="9">
        <v>1</v>
      </c>
      <c r="B41" s="28" t="str">
        <f>LIDER!F51</f>
        <v>VICTOR JAVIER ORTEGA ESPINOSA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9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9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9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123</v>
      </c>
      <c r="C47" s="32" t="str">
        <f>IF('S-ASIG-07'!D47="","",'S-ASIG-07'!D47)</f>
        <v>LIST</v>
      </c>
      <c r="D47" s="35" t="s">
        <v>112</v>
      </c>
      <c r="E47" s="193" t="str">
        <f>LIDER!$E$35</f>
        <v>GRUPO#7 FUNDAMENTACIÓN TEÓRICA DE LAS DISCIPLINAS Y SU APORTE AL PERFIL PROFESIONAL</v>
      </c>
      <c r="F47" s="193"/>
      <c r="G47" s="193"/>
      <c r="H47" s="193"/>
      <c r="I47" s="193"/>
      <c r="J47" s="193"/>
      <c r="K47" s="193"/>
    </row>
    <row r="48" spans="1:11" s="2" customFormat="1" ht="12.75">
      <c r="A48" s="9">
        <v>1</v>
      </c>
      <c r="B48" s="28" t="str">
        <f>LIDER!G51</f>
        <v>DIEGO BUSTAMANTE CARABALLO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4.3250000000000002</v>
      </c>
      <c r="E48" s="191">
        <v>4</v>
      </c>
      <c r="F48" s="24">
        <v>4.5</v>
      </c>
      <c r="G48" s="24">
        <v>4.5</v>
      </c>
      <c r="H48" s="24">
        <v>4.5</v>
      </c>
      <c r="I48" s="24">
        <v>5</v>
      </c>
      <c r="J48" s="24">
        <v>5</v>
      </c>
      <c r="K48" s="24"/>
    </row>
    <row r="49" spans="1:11" s="2" customFormat="1" ht="15" customHeight="1">
      <c r="A49" s="12">
        <v>2</v>
      </c>
      <c r="B49" s="28" t="str">
        <f>LIDER!G52</f>
        <v>YULIZA PAHOLA CIPRIAN MONTALVO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4.1500000000000004</v>
      </c>
      <c r="E49" s="191"/>
      <c r="F49" s="18">
        <v>4</v>
      </c>
      <c r="G49" s="18">
        <v>4</v>
      </c>
      <c r="H49" s="18">
        <v>4</v>
      </c>
      <c r="I49" s="18">
        <v>5</v>
      </c>
      <c r="J49" s="18">
        <v>5</v>
      </c>
      <c r="K49" s="18"/>
    </row>
    <row r="50" spans="1:11" s="2" customFormat="1" ht="15" customHeight="1">
      <c r="A50" s="12">
        <v>3</v>
      </c>
      <c r="B50" s="28" t="str">
        <f>LIDER!G53</f>
        <v>JESUS ALBERTO LARA ANGULO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4.1500000000000004</v>
      </c>
      <c r="E50" s="191"/>
      <c r="F50" s="18">
        <v>4</v>
      </c>
      <c r="G50" s="18">
        <v>4</v>
      </c>
      <c r="H50" s="18">
        <v>4</v>
      </c>
      <c r="I50" s="18">
        <v>5</v>
      </c>
      <c r="J50" s="18">
        <v>5</v>
      </c>
      <c r="K50" s="18"/>
    </row>
    <row r="51" spans="1:11" s="2" customFormat="1" ht="15" customHeight="1">
      <c r="A51" s="12">
        <v>4</v>
      </c>
      <c r="B51" s="28" t="str">
        <f>LIDER!G54</f>
        <v>MILAGRO CECILIA PEREZ MARTINEZ</v>
      </c>
      <c r="C51" s="33" t="str">
        <f>IF('S-ASIG-07'!D51="","",'S-ASIG-07'!D51)</f>
        <v/>
      </c>
      <c r="D51" s="30">
        <f>IF(B51=0,"",IF(C51="",$E$48*LIDER!$H$19+F51*LIDER!$H$20+G51*LIDER!$H$21+H51*LIDER!$H$22+I51*LIDER!$H$23+J51*LIDER!$H$24+K51*LIDER!$H$25,"N"))</f>
        <v>4.1500000000000004</v>
      </c>
      <c r="E51" s="191"/>
      <c r="F51" s="18">
        <v>4</v>
      </c>
      <c r="G51" s="18">
        <v>4</v>
      </c>
      <c r="H51" s="18">
        <v>4</v>
      </c>
      <c r="I51" s="18">
        <v>5</v>
      </c>
      <c r="J51" s="18">
        <v>5</v>
      </c>
      <c r="K51" s="18"/>
    </row>
    <row r="52" spans="1:11" s="2" customFormat="1" ht="15" customHeight="1">
      <c r="A52" s="12">
        <v>5</v>
      </c>
      <c r="B52" s="28" t="str">
        <f>LIDER!G55</f>
        <v>MARIA FERNANDA QUIROZ PEREZ</v>
      </c>
      <c r="C52" s="33" t="str">
        <f>IF('S-ASIG-07'!D52="","",'S-ASIG-07'!D52)</f>
        <v/>
      </c>
      <c r="D52" s="30">
        <f>IF(B52=0,"",IF(C52="",$E$48*LIDER!$H$19+F52*LIDER!$H$20+G52*LIDER!$H$21+H52*LIDER!$H$22+I52*LIDER!$H$23+J52*LIDER!$H$24+K52*LIDER!$H$25,"N"))</f>
        <v>4.3250000000000002</v>
      </c>
      <c r="E52" s="191"/>
      <c r="F52" s="18">
        <v>4.5</v>
      </c>
      <c r="G52" s="18">
        <v>4.5</v>
      </c>
      <c r="H52" s="18">
        <v>4.5</v>
      </c>
      <c r="I52" s="18">
        <v>5</v>
      </c>
      <c r="J52" s="18">
        <v>5</v>
      </c>
      <c r="K52" s="18"/>
    </row>
    <row r="53" spans="1:11" s="2" customFormat="1" ht="15.75" customHeight="1" thickBot="1">
      <c r="A53" s="13">
        <v>6</v>
      </c>
      <c r="B53" s="28" t="str">
        <f>LIDER!G56</f>
        <v>JUAN STIVEN TIRIA COLORADO</v>
      </c>
      <c r="C53" s="33" t="str">
        <f>IF('S-ASIG-07'!D53="","",'S-ASIG-07'!D53)</f>
        <v/>
      </c>
      <c r="D53" s="30">
        <f>IF(B53=0,"",IF(C53="",$E$48*LIDER!$H$19+F53*LIDER!$H$20+G53*LIDER!$H$21+H53*LIDER!$H$22+I53*LIDER!$H$23+J53*LIDER!$H$24+K53*LIDER!$H$25,"N"))</f>
        <v>4.1500000000000004</v>
      </c>
      <c r="E53" s="191"/>
      <c r="F53" s="26">
        <v>4</v>
      </c>
      <c r="G53" s="26">
        <v>4</v>
      </c>
      <c r="H53" s="26">
        <v>4</v>
      </c>
      <c r="I53" s="26">
        <v>5</v>
      </c>
      <c r="J53" s="26">
        <v>5</v>
      </c>
      <c r="K53" s="26"/>
    </row>
    <row r="54" spans="1:11" s="2" customFormat="1" ht="15.75" customHeight="1" thickBot="1">
      <c r="A54" s="14"/>
      <c r="B54" s="27" t="s">
        <v>125</v>
      </c>
      <c r="C54" s="32" t="str">
        <f>IF('S-ASIG-07'!D54="","",'S-ASIG-07'!D54)</f>
        <v>LIST</v>
      </c>
      <c r="D54" s="35" t="s">
        <v>112</v>
      </c>
      <c r="E54" s="193" t="str">
        <f>LIDER!$E$36</f>
        <v>GRUPO#8 FUNDAMENTACIÓN TEÓRICA DE LAS DISCIPLINAS Y SU APORTE AL PERFIL PROFESIONAL</v>
      </c>
      <c r="F54" s="193"/>
      <c r="G54" s="193"/>
      <c r="H54" s="193"/>
      <c r="I54" s="193"/>
      <c r="J54" s="193"/>
      <c r="K54" s="193"/>
    </row>
    <row r="55" spans="1:11" s="2" customFormat="1" ht="12.75">
      <c r="A55" s="9">
        <v>1</v>
      </c>
      <c r="B55" s="28" t="str">
        <f>LIDER!H51</f>
        <v>GABRIELA AGUDELO VALENCIA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4.1000000000000005</v>
      </c>
      <c r="E55" s="191">
        <v>4.2</v>
      </c>
      <c r="F55" s="24">
        <v>4</v>
      </c>
      <c r="G55" s="24">
        <v>4</v>
      </c>
      <c r="H55" s="24">
        <v>4</v>
      </c>
      <c r="I55" s="24">
        <v>4</v>
      </c>
      <c r="J55" s="24">
        <v>4</v>
      </c>
      <c r="K55" s="24"/>
    </row>
    <row r="56" spans="1:11" s="2" customFormat="1" ht="15" customHeight="1">
      <c r="A56" s="12">
        <v>2</v>
      </c>
      <c r="B56" s="28" t="str">
        <f>LIDER!H52</f>
        <v>YUSARI LIÑAN CUADRO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4.1000000000000005</v>
      </c>
      <c r="E56" s="191"/>
      <c r="F56" s="18">
        <v>4</v>
      </c>
      <c r="G56" s="18">
        <v>4</v>
      </c>
      <c r="H56" s="18">
        <v>4</v>
      </c>
      <c r="I56" s="18">
        <v>4</v>
      </c>
      <c r="J56" s="18">
        <v>4</v>
      </c>
      <c r="K56" s="18"/>
    </row>
    <row r="57" spans="1:11" s="2" customFormat="1" ht="15" customHeight="1">
      <c r="A57" s="12">
        <v>3</v>
      </c>
      <c r="B57" s="28" t="str">
        <f>LIDER!H53</f>
        <v>OSCAR ANDRES BORRE VÁSQUEZ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2.1</v>
      </c>
      <c r="E57" s="19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JANYLOR CAROLINA  CASTRO SARAVIA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4.1000000000000005</v>
      </c>
      <c r="E58" s="191"/>
      <c r="F58" s="18">
        <v>4</v>
      </c>
      <c r="G58" s="18">
        <v>4</v>
      </c>
      <c r="H58" s="18">
        <v>4</v>
      </c>
      <c r="I58" s="18">
        <v>4</v>
      </c>
      <c r="J58" s="18">
        <v>4</v>
      </c>
      <c r="K58" s="18"/>
    </row>
    <row r="59" spans="1:11" s="2" customFormat="1" ht="15" customHeight="1">
      <c r="A59" s="12">
        <v>5</v>
      </c>
      <c r="B59" s="28" t="str">
        <f>LIDER!H55</f>
        <v>DANNA ISABEL MESTRE MARIMÓN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4.1000000000000005</v>
      </c>
      <c r="E59" s="191"/>
      <c r="F59" s="18">
        <v>4</v>
      </c>
      <c r="G59" s="18">
        <v>4</v>
      </c>
      <c r="H59" s="18">
        <v>4</v>
      </c>
      <c r="I59" s="18">
        <v>4</v>
      </c>
      <c r="J59" s="18">
        <v>4</v>
      </c>
      <c r="K59" s="18"/>
    </row>
    <row r="60" spans="1:11" s="2" customFormat="1" ht="15.75" customHeight="1" thickBot="1">
      <c r="A60" s="13">
        <v>6</v>
      </c>
      <c r="B60" s="28" t="str">
        <f>LIDER!H56</f>
        <v>ISAAC DAVID NIETO JIMÉNEZ</v>
      </c>
      <c r="C60" s="33" t="str">
        <f>IF('S-ASIG-07'!D60="","",'S-ASIG-07'!D60)</f>
        <v/>
      </c>
      <c r="D60" s="30">
        <f>IF(B60=0,"",IF(C60="",$E$55*LIDER!$H$19+F60*LIDER!$H$20+G60*LIDER!$H$21+H60*LIDER!$H$22+I60*LIDER!$H$23+J60*LIDER!$H$24+K60*LIDER!$H$25,"N"))</f>
        <v>4.1000000000000005</v>
      </c>
      <c r="E60" s="191"/>
      <c r="F60" s="26">
        <v>4</v>
      </c>
      <c r="G60" s="26">
        <v>4</v>
      </c>
      <c r="H60" s="26">
        <v>4</v>
      </c>
      <c r="I60" s="26">
        <v>4</v>
      </c>
      <c r="J60" s="26">
        <v>4</v>
      </c>
      <c r="K60" s="26"/>
    </row>
    <row r="61" spans="1:11" s="2" customFormat="1" ht="15.75" customHeight="1" thickBot="1">
      <c r="A61" s="14"/>
      <c r="B61" s="27" t="s">
        <v>127</v>
      </c>
      <c r="C61" s="32" t="str">
        <f>IF('S-ASIG-07'!D61="","",'S-ASIG-07'!D61)</f>
        <v>LIST</v>
      </c>
      <c r="D61" s="35" t="s">
        <v>112</v>
      </c>
      <c r="E61" s="193" t="str">
        <f>LIDER!$E$37</f>
        <v>GRUPO#9 FUNDAMENTACIÓN TEÓRICA DE LAS DISCIPLINAS Y SU APORTE AL PERFIL PROFESIONAL</v>
      </c>
      <c r="F61" s="193"/>
      <c r="G61" s="193"/>
      <c r="H61" s="193"/>
      <c r="I61" s="193"/>
      <c r="J61" s="193"/>
      <c r="K61" s="193"/>
    </row>
    <row r="62" spans="1:11" s="2" customFormat="1" ht="12.75">
      <c r="A62" s="9">
        <v>1</v>
      </c>
      <c r="B62" s="28" t="str">
        <f>LIDER!E59</f>
        <v>EDGAR DAVID GÓMEZ BARRIOS</v>
      </c>
      <c r="C62" s="33" t="str">
        <f>IF('S-ASIG-07'!D62="","",'S-ASIG-07'!D62)</f>
        <v/>
      </c>
      <c r="D62" s="30">
        <f>IF(B62=0,"",IF(C62="",$E$62*LIDER!$H$19+F62*LIDER!$H$20+G62*LIDER!$H$21+H62*LIDER!$H$22+I62*LIDER!$H$23+J62*LIDER!$H$24+K62*LIDER!$H$25,"N"))</f>
        <v>3.2500000000000004</v>
      </c>
      <c r="E62" s="191">
        <v>2</v>
      </c>
      <c r="F62" s="24">
        <v>4.5</v>
      </c>
      <c r="G62" s="24">
        <v>4.5</v>
      </c>
      <c r="H62" s="24">
        <v>4.5</v>
      </c>
      <c r="I62" s="24">
        <v>4.5</v>
      </c>
      <c r="J62" s="24">
        <v>4.5</v>
      </c>
      <c r="K62" s="24"/>
    </row>
    <row r="63" spans="1:11" s="2" customFormat="1" ht="15" customHeight="1">
      <c r="A63" s="12">
        <v>2</v>
      </c>
      <c r="B63" s="28" t="str">
        <f>LIDER!E60</f>
        <v>LUIS MIGUEL GUTIERREZ JARABA</v>
      </c>
      <c r="C63" s="33" t="str">
        <f>IF('S-ASIG-07'!D63="","",'S-ASIG-07'!D63)</f>
        <v/>
      </c>
      <c r="D63" s="30">
        <f>IF(B63=0,"",IF(C63="",$E$62*LIDER!$H$19+F63*LIDER!$H$20+G63*LIDER!$H$21+H63*LIDER!$H$22+I63*LIDER!$H$23+J63*LIDER!$H$24+K63*LIDER!$H$25,"N"))</f>
        <v>3.0000000000000004</v>
      </c>
      <c r="E63" s="191"/>
      <c r="F63" s="18">
        <v>4</v>
      </c>
      <c r="G63" s="18">
        <v>4</v>
      </c>
      <c r="H63" s="18">
        <v>4</v>
      </c>
      <c r="I63" s="18">
        <v>4</v>
      </c>
      <c r="J63" s="18">
        <v>4</v>
      </c>
      <c r="K63" s="18"/>
    </row>
    <row r="64" spans="1:11" s="2" customFormat="1" ht="15" customHeight="1">
      <c r="A64" s="12">
        <v>3</v>
      </c>
      <c r="B64" s="28" t="str">
        <f>LIDER!E61</f>
        <v>SEBASTIAN ELOY HERNÁNDEZ PEÑA</v>
      </c>
      <c r="C64" s="33" t="str">
        <f>IF('S-ASIG-07'!D64="","",'S-ASIG-07'!D64)</f>
        <v/>
      </c>
      <c r="D64" s="30">
        <f>IF(B64=0,"",IF(C64="",$E$62*LIDER!$H$19+F64*LIDER!$H$20+G64*LIDER!$H$21+H64*LIDER!$H$22+I64*LIDER!$H$23+J64*LIDER!$H$24+K64*LIDER!$H$25,"N"))</f>
        <v>3.2500000000000004</v>
      </c>
      <c r="E64" s="191"/>
      <c r="F64" s="18">
        <v>4.5</v>
      </c>
      <c r="G64" s="18">
        <v>4.5</v>
      </c>
      <c r="H64" s="18">
        <v>4.5</v>
      </c>
      <c r="I64" s="18">
        <v>4.5</v>
      </c>
      <c r="J64" s="18">
        <v>4.5</v>
      </c>
      <c r="K64" s="18"/>
    </row>
    <row r="65" spans="1:11" s="2" customFormat="1" ht="15" customHeight="1">
      <c r="A65" s="12">
        <v>4</v>
      </c>
      <c r="B65" s="28" t="str">
        <f>LIDER!E62</f>
        <v>VICTOR MANUEL ORTEGA MANOSALVA</v>
      </c>
      <c r="C65" s="33" t="str">
        <f>IF('S-ASIG-07'!D65="","",'S-ASIG-07'!D65)</f>
        <v/>
      </c>
      <c r="D65" s="30">
        <f>IF(B65=0,"",IF(C65="",$E$62*LIDER!$H$19+F65*LIDER!$H$20+G65*LIDER!$H$21+H65*LIDER!$H$22+I65*LIDER!$H$23+J65*LIDER!$H$24+K65*LIDER!$H$25,"N"))</f>
        <v>3.0000000000000004</v>
      </c>
      <c r="E65" s="191"/>
      <c r="F65" s="18">
        <v>4</v>
      </c>
      <c r="G65" s="18">
        <v>4</v>
      </c>
      <c r="H65" s="18">
        <v>4</v>
      </c>
      <c r="I65" s="18">
        <v>4</v>
      </c>
      <c r="J65" s="18">
        <v>4</v>
      </c>
      <c r="K65" s="18"/>
    </row>
    <row r="66" spans="1:11" s="2" customFormat="1" ht="15" customHeight="1">
      <c r="A66" s="12">
        <v>5</v>
      </c>
      <c r="B66" s="28" t="str">
        <f>LIDER!E63</f>
        <v>SANTIAGO PADILLA AYOLA</v>
      </c>
      <c r="C66" s="33" t="str">
        <f>IF('S-ASIG-07'!D66="","",'S-ASIG-07'!D66)</f>
        <v/>
      </c>
      <c r="D66" s="30">
        <f>IF(B66=0,"",IF(C66="",$E$62*LIDER!$H$19+F66*LIDER!$H$20+G66*LIDER!$H$21+H66*LIDER!$H$22+I66*LIDER!$H$23+J66*LIDER!$H$24+K66*LIDER!$H$25,"N"))</f>
        <v>2.25</v>
      </c>
      <c r="E66" s="191"/>
      <c r="F66" s="18">
        <v>2.5</v>
      </c>
      <c r="G66" s="18">
        <v>2.5</v>
      </c>
      <c r="H66" s="18">
        <v>2.5</v>
      </c>
      <c r="I66" s="18">
        <v>2.5</v>
      </c>
      <c r="J66" s="18">
        <v>2.5</v>
      </c>
      <c r="K66" s="18"/>
    </row>
    <row r="67" spans="1:11" s="2" customFormat="1" ht="15.75" customHeight="1" thickBot="1">
      <c r="A67" s="13">
        <v>6</v>
      </c>
      <c r="B67" s="28" t="str">
        <f>LIDER!E64</f>
        <v>LEINER GARCIA PAEZ</v>
      </c>
      <c r="C67" s="33" t="str">
        <f>IF('S-ASIG-07'!D67="","",'S-ASIG-07'!D67)</f>
        <v/>
      </c>
      <c r="D67" s="30">
        <f>IF(B67=0,"",IF(C67="",$E$62*LIDER!$H$19+F67*LIDER!$H$20+G67*LIDER!$H$21+H67*LIDER!$H$22+I67*LIDER!$H$23+J67*LIDER!$H$24+K67*LIDER!$H$25,"N"))</f>
        <v>2.25</v>
      </c>
      <c r="E67" s="191"/>
      <c r="F67" s="26">
        <v>2.5</v>
      </c>
      <c r="G67" s="26">
        <v>2.5</v>
      </c>
      <c r="H67" s="26">
        <v>2.5</v>
      </c>
      <c r="I67" s="26">
        <v>2.5</v>
      </c>
      <c r="J67" s="26">
        <v>2.5</v>
      </c>
      <c r="K67" s="26"/>
    </row>
    <row r="68" spans="1:11" s="2" customFormat="1" ht="15.75" customHeight="1" thickBot="1">
      <c r="A68" s="14"/>
      <c r="B68" s="27" t="s">
        <v>90</v>
      </c>
      <c r="C68" s="32" t="str">
        <f>IF('S-ASIG-07'!D68="","",'S-ASIG-07'!D68)</f>
        <v>LIST</v>
      </c>
      <c r="D68" s="35" t="s">
        <v>112</v>
      </c>
      <c r="E68" s="193" t="str">
        <f>LIDER!$E$38</f>
        <v>GRUPO#10</v>
      </c>
      <c r="F68" s="193"/>
      <c r="G68" s="193"/>
      <c r="H68" s="193"/>
      <c r="I68" s="193"/>
      <c r="J68" s="193"/>
      <c r="K68" s="193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92</v>
      </c>
      <c r="C75" s="32" t="str">
        <f>IF('S-ASIG-07'!D75="","",'S-ASIG-07'!D75)</f>
        <v>LIST</v>
      </c>
      <c r="D75" s="35" t="s">
        <v>112</v>
      </c>
      <c r="E75" s="193" t="str">
        <f>LIDER!$E$39</f>
        <v>GRUPO#11</v>
      </c>
      <c r="F75" s="193"/>
      <c r="G75" s="193"/>
      <c r="H75" s="193"/>
      <c r="I75" s="193"/>
      <c r="J75" s="193"/>
      <c r="K75" s="193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94</v>
      </c>
      <c r="C82" s="32" t="str">
        <f>IF('S-ASIG-07'!D82="","",'S-ASIG-07'!D82)</f>
        <v>LIST</v>
      </c>
      <c r="D82" s="35" t="s">
        <v>112</v>
      </c>
      <c r="E82" s="193" t="str">
        <f>LIDER!$E$40</f>
        <v>GRUPO#12</v>
      </c>
      <c r="F82" s="193"/>
      <c r="G82" s="193"/>
      <c r="H82" s="193"/>
      <c r="I82" s="193"/>
      <c r="J82" s="193"/>
      <c r="K82" s="193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2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J12" activePane="bottomRight" state="frozen"/>
      <selection pane="bottomRight" activeCell="C4" sqref="C4:C48"/>
      <selection pane="bottomLeft" activeCell="I9" sqref="I9"/>
      <selection pane="topRight" activeCell="I9" sqref="I9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3.425781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3" t="str">
        <f>LIDER!B2</f>
        <v>TECNOLOGÍA EN GESTIÓN DE NEGOCIOS INTERN</v>
      </c>
      <c r="H1" s="143"/>
      <c r="I1" s="143"/>
      <c r="J1" s="143"/>
      <c r="K1" s="143"/>
      <c r="L1" s="143"/>
      <c r="M1" s="143"/>
      <c r="N1" s="142" t="str">
        <f>LIDER!E2</f>
        <v>SEMESTRE:</v>
      </c>
      <c r="O1" s="142"/>
      <c r="P1" s="44" t="str">
        <f>LIDER!F2</f>
        <v>SEM-01</v>
      </c>
      <c r="Q1" s="43" t="str">
        <f>LIDER!G2</f>
        <v>SECCIÓN:</v>
      </c>
      <c r="R1" s="44">
        <f>LIDER!H2</f>
        <v>3</v>
      </c>
      <c r="S1" s="42"/>
      <c r="T1" s="42"/>
      <c r="U1" s="45"/>
    </row>
    <row r="2" spans="1:22" ht="20.100000000000001" customHeight="1" thickBot="1">
      <c r="G2" s="139" t="s">
        <v>133</v>
      </c>
      <c r="H2" s="140"/>
      <c r="I2" s="140"/>
      <c r="J2" s="140"/>
      <c r="K2" s="140"/>
      <c r="L2" s="140"/>
      <c r="M2" s="141"/>
      <c r="N2" s="2"/>
      <c r="O2" s="144" t="s">
        <v>134</v>
      </c>
      <c r="P2" s="145"/>
      <c r="Q2" s="145"/>
      <c r="R2" s="145"/>
      <c r="S2" s="145"/>
      <c r="T2" s="145"/>
      <c r="U2" s="146"/>
    </row>
    <row r="3" spans="1:22" ht="20.100000000000001" customHeight="1" thickBot="1">
      <c r="G3" s="48" t="str">
        <f>CONCATENATE("N° : ",LIDER!C6)</f>
        <v>N° : 2342</v>
      </c>
      <c r="H3" s="49" t="str">
        <f>CONCATENATE("N° : ",LIDER!D6)</f>
        <v>N° : 1371</v>
      </c>
      <c r="I3" s="49" t="str">
        <f>CONCATENATE("N° : ",LIDER!E6)</f>
        <v>N° : 2295</v>
      </c>
      <c r="J3" s="49" t="str">
        <f>CONCATENATE("N° : ",LIDER!F6)</f>
        <v>N° : 2316</v>
      </c>
      <c r="K3" s="49" t="str">
        <f>CONCATENATE("N° : ",LIDER!G6)</f>
        <v>N° : 1137</v>
      </c>
      <c r="L3" s="49" t="str">
        <f>CONCATENATE("N° : ",LIDER!H6)</f>
        <v>N° : 1455</v>
      </c>
      <c r="M3" s="50" t="str">
        <f>CONCATENATE("N° : ",LIDER!I6)</f>
        <v>N° : 3376</v>
      </c>
      <c r="O3" s="48" t="str">
        <f>G3</f>
        <v>N° : 2342</v>
      </c>
      <c r="P3" s="49" t="str">
        <f t="shared" ref="P3:U3" si="0">H3</f>
        <v>N° : 1371</v>
      </c>
      <c r="Q3" s="49" t="str">
        <f t="shared" si="0"/>
        <v>N° : 2295</v>
      </c>
      <c r="R3" s="49" t="str">
        <f t="shared" si="0"/>
        <v>N° : 2316</v>
      </c>
      <c r="S3" s="49" t="str">
        <f t="shared" si="0"/>
        <v>N° : 1137</v>
      </c>
      <c r="T3" s="49" t="str">
        <f t="shared" si="0"/>
        <v>N° : 1455</v>
      </c>
      <c r="U3" s="50" t="str">
        <f t="shared" si="0"/>
        <v>N° : 3376</v>
      </c>
    </row>
    <row r="4" spans="1:22" ht="30" customHeight="1" thickBot="1">
      <c r="A4" s="51"/>
      <c r="B4" s="52" t="s">
        <v>25</v>
      </c>
      <c r="C4" s="53" t="s">
        <v>135</v>
      </c>
      <c r="D4" s="54" t="s">
        <v>136</v>
      </c>
      <c r="E4" s="55" t="s">
        <v>137</v>
      </c>
      <c r="G4" s="56" t="str">
        <f>MID(LIDER!C4,1,9)</f>
        <v>COMUNICAC</v>
      </c>
      <c r="H4" s="57" t="str">
        <f>MID(LIDER!D4,1,9)</f>
        <v>FUNDAMENT</v>
      </c>
      <c r="I4" s="57" t="str">
        <f>MID(LIDER!E4,1,9)</f>
        <v>MATEMATIC</v>
      </c>
      <c r="J4" s="57" t="str">
        <f>MID(LIDER!F4,1,9)</f>
        <v>CULTURA Y</v>
      </c>
      <c r="K4" s="57" t="str">
        <f>MID(LIDER!G4,1,9)</f>
        <v xml:space="preserve">PROYECTO </v>
      </c>
      <c r="L4" s="57" t="str">
        <f>MID(LIDER!H4,1,9)</f>
        <v>CONTABILI</v>
      </c>
      <c r="M4" s="58" t="str">
        <f>MID(LIDER!I4,1,9)</f>
        <v>FUNDAMENT</v>
      </c>
      <c r="N4" s="59" t="s">
        <v>138</v>
      </c>
      <c r="O4" s="60" t="str">
        <f t="shared" ref="O4:U4" si="1">G4</f>
        <v>COMUNICAC</v>
      </c>
      <c r="P4" s="61" t="str">
        <f t="shared" si="1"/>
        <v>FUNDAMENT</v>
      </c>
      <c r="Q4" s="61" t="str">
        <f t="shared" si="1"/>
        <v>MATEMATIC</v>
      </c>
      <c r="R4" s="61" t="str">
        <f t="shared" si="1"/>
        <v>CULTURA Y</v>
      </c>
      <c r="S4" s="61" t="str">
        <f t="shared" si="1"/>
        <v xml:space="preserve">PROYECTO </v>
      </c>
      <c r="T4" s="61" t="str">
        <f t="shared" si="1"/>
        <v>CONTABILI</v>
      </c>
      <c r="U4" s="62" t="str">
        <f t="shared" si="1"/>
        <v>FUNDAMENT</v>
      </c>
      <c r="V4" s="59" t="s">
        <v>139</v>
      </c>
    </row>
    <row r="5" spans="1:22" ht="15" customHeight="1">
      <c r="A5" s="12">
        <v>1</v>
      </c>
      <c r="B5" s="63" t="str">
        <f>LIDER!C9</f>
        <v>DYLAN ANDRES CANCHGILA SANCHEZ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3.8916666666666671</v>
      </c>
      <c r="E5" s="66">
        <f>IF(B5=0,"",IFERROR(SUMIF(O5:U5,"&gt;0",O5:U5)/COUNTIF(O5:U5,"&gt;0"),0))</f>
        <v>4.4642857142857144</v>
      </c>
      <c r="F5" s="47"/>
      <c r="G5" s="67">
        <f>IF(B5=0,"",IFERROR(VLOOKUP(B5,'S-ASIG-01'!$B$5:$E$88,4,0),0))</f>
        <v>4</v>
      </c>
      <c r="H5" s="65">
        <f>IF(B5=0,"",IFERROR(VLOOKUP(B5,'S-ASIG-02'!$B$5:$E$88,4,0),0))</f>
        <v>3.8000000000000003</v>
      </c>
      <c r="I5" s="65">
        <f>IF(B5=0,"",IFERROR(VLOOKUP(B5,'S-ASIG-03'!$B$5:$E$88,4,0),0))</f>
        <v>0</v>
      </c>
      <c r="J5" s="65">
        <f>IF(B5=0,"",IFERROR(VLOOKUP(B5,'S-ASIG-04'!$B$5:$E$88,4,0),0))</f>
        <v>4.82</v>
      </c>
      <c r="K5" s="65">
        <f>IF(B5=0,"",IFERROR(VLOOKUP(B5,'S-ASIG-05'!$B$5:$E$88,4,0),0))</f>
        <v>3.1</v>
      </c>
      <c r="L5" s="65">
        <f>IF(B5=0,"",IFERROR(VLOOKUP(B5,'S-ASIG-06'!$B$5:$E$88,4,0),0))</f>
        <v>3.63</v>
      </c>
      <c r="M5" s="66">
        <f>IF(B5=0,"",IFERROR(VLOOKUP(B5,'S-ASIG-07'!$B$5:$E$88,4,0),0))</f>
        <v>3.9999999999999996</v>
      </c>
      <c r="N5" s="68" t="s">
        <v>140</v>
      </c>
      <c r="O5" s="67">
        <f>IF(B5=0,"",IFERROR(VLOOKUP(B5,'T-ASIG-01'!$B$5:$D$88,3,0),0))</f>
        <v>4.5</v>
      </c>
      <c r="P5" s="65">
        <f>IF(B5=0,"",IFERROR(VLOOKUP(B5,'T-ASIG-02'!$B$5:$D$88,3,0),0))</f>
        <v>4.5</v>
      </c>
      <c r="Q5" s="65">
        <f>IF(B5=0,"",IFERROR(VLOOKUP(B5,'T-ASIG-03'!$B$5:$D$88,3,0),0))</f>
        <v>4.5</v>
      </c>
      <c r="R5" s="65">
        <f>IF(B5=0,"",IFERROR(VLOOKUP(B5,'T-ASIG-04'!$B$5:$D$88,3,0),0))</f>
        <v>4.5</v>
      </c>
      <c r="S5" s="65">
        <f>IF(B5=0,"",IFERROR(VLOOKUP(B5,'T-ASIG-05'!$B$5:$D$88,3,0),0))</f>
        <v>4.5</v>
      </c>
      <c r="T5" s="65">
        <f>IF(B5=0,"",IFERROR(VLOOKUP(B5,'T-ASIG-06'!$B$5:$D$88,3,0),0))</f>
        <v>4.25</v>
      </c>
      <c r="U5" s="66">
        <f>IF(B5=0,"",IFERROR(VLOOKUP(B5,'T-ASIG-07'!$B$5:$D$88,3,0),0))</f>
        <v>4.5</v>
      </c>
      <c r="V5" s="69" t="s">
        <v>141</v>
      </c>
    </row>
    <row r="6" spans="1:22" ht="15" customHeight="1">
      <c r="A6" s="12">
        <v>2</v>
      </c>
      <c r="B6" s="63" t="str">
        <f>LIDER!C10</f>
        <v>JUAN DAVID OLMOS CONTRERAS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3.8916666666666671</v>
      </c>
      <c r="E6" s="66">
        <f t="shared" ref="E6:E54" si="3">IF(B6=0,"",IFERROR(SUMIF(O6:U6,"&gt;0",O6:U6)/COUNTIF(O6:U6,"&gt;0"),0))</f>
        <v>4.4642857142857144</v>
      </c>
      <c r="F6" s="47"/>
      <c r="G6" s="70">
        <f>IF(B6=0,"",IFERROR(VLOOKUP(B6,'S-ASIG-01'!$B$5:$E$88,4,0),0))</f>
        <v>4</v>
      </c>
      <c r="H6" s="71">
        <f>IF(B6=0,"",IFERROR(VLOOKUP(B6,'S-ASIG-02'!$B$5:$E$88,4,0),0))</f>
        <v>3.8000000000000003</v>
      </c>
      <c r="I6" s="71">
        <f>IF(B6=0,"",IFERROR(VLOOKUP(B6,'S-ASIG-03'!$B$5:$E$88,4,0),0))</f>
        <v>0</v>
      </c>
      <c r="J6" s="71">
        <f>IF(B6=0,"",IFERROR(VLOOKUP(B6,'S-ASIG-04'!$B$5:$E$88,4,0),0))</f>
        <v>4.82</v>
      </c>
      <c r="K6" s="71">
        <f>IF(B6=0,"",IFERROR(VLOOKUP(B6,'S-ASIG-05'!$B$5:$E$88,4,0),0))</f>
        <v>3.1</v>
      </c>
      <c r="L6" s="71">
        <f>IF(B6=0,"",IFERROR(VLOOKUP(B6,'S-ASIG-06'!$B$5:$E$88,4,0),0))</f>
        <v>3.63</v>
      </c>
      <c r="M6" s="72">
        <f>IF(B6=0,"",IFERROR(VLOOKUP(B6,'S-ASIG-07'!$B$5:$E$88,4,0),0))</f>
        <v>3.9999999999999996</v>
      </c>
      <c r="N6" s="68" t="s">
        <v>140</v>
      </c>
      <c r="O6" s="70">
        <f>IF(B6=0,"",IFERROR(VLOOKUP(B6,'T-ASIG-01'!$B$5:$D$88,3,0),0))</f>
        <v>4.5</v>
      </c>
      <c r="P6" s="71">
        <f>IF(B6=0,"",IFERROR(VLOOKUP(B6,'T-ASIG-02'!$B$5:$D$88,3,0),0))</f>
        <v>4.5</v>
      </c>
      <c r="Q6" s="71">
        <f>IF(B6=0,"",IFERROR(VLOOKUP(B6,'T-ASIG-03'!$B$5:$D$88,3,0),0))</f>
        <v>4.5</v>
      </c>
      <c r="R6" s="71">
        <f>IF(B6=0,"",IFERROR(VLOOKUP(B6,'T-ASIG-04'!$B$5:$D$88,3,0),0))</f>
        <v>4.5</v>
      </c>
      <c r="S6" s="71">
        <f>IF(B6=0,"",IFERROR(VLOOKUP(B6,'T-ASIG-05'!$B$5:$D$88,3,0),0))</f>
        <v>4.5</v>
      </c>
      <c r="T6" s="71">
        <f>IF(B6=0,"",IFERROR(VLOOKUP(B6,'T-ASIG-06'!$B$5:$D$88,3,0),0))</f>
        <v>4.25</v>
      </c>
      <c r="U6" s="72">
        <f>IF(B6=0,"",IFERROR(VLOOKUP(B6,'T-ASIG-07'!$B$5:$D$88,3,0),0))</f>
        <v>4.5</v>
      </c>
      <c r="V6" s="69" t="s">
        <v>141</v>
      </c>
    </row>
    <row r="7" spans="1:22" ht="15" customHeight="1">
      <c r="A7" s="12">
        <v>3</v>
      </c>
      <c r="B7" s="63" t="str">
        <f>LIDER!C11</f>
        <v>BRIGNY VALESKA PALOMINO BOSSIO</v>
      </c>
      <c r="C7" s="64" t="str">
        <f>IF(B7=0,"",IFERROR(VLOOKUP(B7,'S-ASIG-01'!$B$5:$E$88,2,0),0))</f>
        <v>G01</v>
      </c>
      <c r="D7" s="65">
        <f t="shared" si="2"/>
        <v>3.8916666666666671</v>
      </c>
      <c r="E7" s="66">
        <f t="shared" si="3"/>
        <v>4.4642857142857144</v>
      </c>
      <c r="F7" s="47"/>
      <c r="G7" s="70">
        <f>IF(B7=0,"",IFERROR(VLOOKUP(B7,'S-ASIG-01'!$B$5:$E$88,4,0),0))</f>
        <v>4</v>
      </c>
      <c r="H7" s="71">
        <f>IF(B7=0,"",IFERROR(VLOOKUP(B7,'S-ASIG-02'!$B$5:$E$88,4,0),0))</f>
        <v>3.8000000000000003</v>
      </c>
      <c r="I7" s="71">
        <f>IF(B7=0,"",IFERROR(VLOOKUP(B7,'S-ASIG-03'!$B$5:$E$88,4,0),0))</f>
        <v>0</v>
      </c>
      <c r="J7" s="71">
        <f>IF(B7=0,"",IFERROR(VLOOKUP(B7,'S-ASIG-04'!$B$5:$E$88,4,0),0))</f>
        <v>4.82</v>
      </c>
      <c r="K7" s="71">
        <f>IF(B7=0,"",IFERROR(VLOOKUP(B7,'S-ASIG-05'!$B$5:$E$88,4,0),0))</f>
        <v>3.1</v>
      </c>
      <c r="L7" s="71">
        <f>IF(B7=0,"",IFERROR(VLOOKUP(B7,'S-ASIG-06'!$B$5:$E$88,4,0),0))</f>
        <v>3.63</v>
      </c>
      <c r="M7" s="72">
        <f>IF(B7=0,"",IFERROR(VLOOKUP(B7,'S-ASIG-07'!$B$5:$E$88,4,0),0))</f>
        <v>3.9999999999999996</v>
      </c>
      <c r="N7" s="68" t="s">
        <v>140</v>
      </c>
      <c r="O7" s="70">
        <f>IF(B7=0,"",IFERROR(VLOOKUP(B7,'T-ASIG-01'!$B$5:$D$88,3,0),0))</f>
        <v>4.5</v>
      </c>
      <c r="P7" s="71">
        <f>IF(B7=0,"",IFERROR(VLOOKUP(B7,'T-ASIG-02'!$B$5:$D$88,3,0),0))</f>
        <v>4.5</v>
      </c>
      <c r="Q7" s="71">
        <f>IF(B7=0,"",IFERROR(VLOOKUP(B7,'T-ASIG-03'!$B$5:$D$88,3,0),0))</f>
        <v>4.5</v>
      </c>
      <c r="R7" s="71">
        <f>IF(B7=0,"",IFERROR(VLOOKUP(B7,'T-ASIG-04'!$B$5:$D$88,3,0),0))</f>
        <v>4.5</v>
      </c>
      <c r="S7" s="71">
        <f>IF(B7=0,"",IFERROR(VLOOKUP(B7,'T-ASIG-05'!$B$5:$D$88,3,0),0))</f>
        <v>4.5</v>
      </c>
      <c r="T7" s="71">
        <f>IF(B7=0,"",IFERROR(VLOOKUP(B7,'T-ASIG-06'!$B$5:$D$88,3,0),0))</f>
        <v>4.25</v>
      </c>
      <c r="U7" s="72">
        <f>IF(B7=0,"",IFERROR(VLOOKUP(B7,'T-ASIG-07'!$B$5:$D$88,3,0),0))</f>
        <v>4.5</v>
      </c>
      <c r="V7" s="69" t="s">
        <v>141</v>
      </c>
    </row>
    <row r="8" spans="1:22" ht="15" customHeight="1">
      <c r="A8" s="12">
        <v>4</v>
      </c>
      <c r="B8" s="63" t="str">
        <f>LIDER!C12</f>
        <v>SARA SOFIA ROZO MORA</v>
      </c>
      <c r="C8" s="64" t="str">
        <f>IF(B8=0,"",IFERROR(VLOOKUP(B8,'S-ASIG-01'!$B$5:$E$88,2,0),0))</f>
        <v>G01</v>
      </c>
      <c r="D8" s="65">
        <f t="shared" si="2"/>
        <v>3.8916666666666671</v>
      </c>
      <c r="E8" s="66">
        <f t="shared" si="3"/>
        <v>4.4642857142857144</v>
      </c>
      <c r="F8" s="47"/>
      <c r="G8" s="70">
        <f>IF(B8=0,"",IFERROR(VLOOKUP(B8,'S-ASIG-01'!$B$5:$E$88,4,0),0))</f>
        <v>4</v>
      </c>
      <c r="H8" s="71">
        <f>IF(B8=0,"",IFERROR(VLOOKUP(B8,'S-ASIG-02'!$B$5:$E$88,4,0),0))</f>
        <v>3.8000000000000003</v>
      </c>
      <c r="I8" s="71">
        <f>IF(B8=0,"",IFERROR(VLOOKUP(B8,'S-ASIG-03'!$B$5:$E$88,4,0),0))</f>
        <v>0</v>
      </c>
      <c r="J8" s="71">
        <f>IF(B8=0,"",IFERROR(VLOOKUP(B8,'S-ASIG-04'!$B$5:$E$88,4,0),0))</f>
        <v>4.82</v>
      </c>
      <c r="K8" s="71">
        <f>IF(B8=0,"",IFERROR(VLOOKUP(B8,'S-ASIG-05'!$B$5:$E$88,4,0),0))</f>
        <v>3.1</v>
      </c>
      <c r="L8" s="71">
        <f>IF(B8=0,"",IFERROR(VLOOKUP(B8,'S-ASIG-06'!$B$5:$E$88,4,0),0))</f>
        <v>3.63</v>
      </c>
      <c r="M8" s="72">
        <f>IF(B8=0,"",IFERROR(VLOOKUP(B8,'S-ASIG-07'!$B$5:$E$88,4,0),0))</f>
        <v>3.9999999999999996</v>
      </c>
      <c r="N8" s="68" t="s">
        <v>140</v>
      </c>
      <c r="O8" s="70">
        <f>IF(B8=0,"",IFERROR(VLOOKUP(B8,'T-ASIG-01'!$B$5:$D$88,3,0),0))</f>
        <v>4.5</v>
      </c>
      <c r="P8" s="71">
        <f>IF(B8=0,"",IFERROR(VLOOKUP(B8,'T-ASIG-02'!$B$5:$D$88,3,0),0))</f>
        <v>4.5</v>
      </c>
      <c r="Q8" s="71">
        <f>IF(B8=0,"",IFERROR(VLOOKUP(B8,'T-ASIG-03'!$B$5:$D$88,3,0),0))</f>
        <v>4.5</v>
      </c>
      <c r="R8" s="71">
        <f>IF(B8=0,"",IFERROR(VLOOKUP(B8,'T-ASIG-04'!$B$5:$D$88,3,0),0))</f>
        <v>4.5</v>
      </c>
      <c r="S8" s="71">
        <f>IF(B8=0,"",IFERROR(VLOOKUP(B8,'T-ASIG-05'!$B$5:$D$88,3,0),0))</f>
        <v>4.5</v>
      </c>
      <c r="T8" s="71">
        <f>IF(B8=0,"",IFERROR(VLOOKUP(B8,'T-ASIG-06'!$B$5:$D$88,3,0),0))</f>
        <v>4.25</v>
      </c>
      <c r="U8" s="72">
        <f>IF(B8=0,"",IFERROR(VLOOKUP(B8,'T-ASIG-07'!$B$5:$D$88,3,0),0))</f>
        <v>4.5</v>
      </c>
      <c r="V8" s="69" t="s">
        <v>141</v>
      </c>
    </row>
    <row r="9" spans="1:22" ht="15" customHeight="1">
      <c r="A9" s="12">
        <v>5</v>
      </c>
      <c r="B9" s="63" t="str">
        <f>LIDER!C13</f>
        <v>TOMAS ANDRÉS SIMANCAS ROMERO</v>
      </c>
      <c r="C9" s="64" t="str">
        <f>IF(B9=0,"",IFERROR(VLOOKUP(B9,'S-ASIG-01'!$B$5:$E$88,2,0),0))</f>
        <v>G01</v>
      </c>
      <c r="D9" s="65">
        <f t="shared" si="2"/>
        <v>3.8916666666666671</v>
      </c>
      <c r="E9" s="66">
        <f t="shared" si="3"/>
        <v>4.4642857142857144</v>
      </c>
      <c r="F9" s="47"/>
      <c r="G9" s="70">
        <f>IF(B9=0,"",IFERROR(VLOOKUP(B9,'S-ASIG-01'!$B$5:$E$88,4,0),0))</f>
        <v>4</v>
      </c>
      <c r="H9" s="71">
        <f>IF(B9=0,"",IFERROR(VLOOKUP(B9,'S-ASIG-02'!$B$5:$E$88,4,0),0))</f>
        <v>3.8000000000000003</v>
      </c>
      <c r="I9" s="71">
        <f>IF(B9=0,"",IFERROR(VLOOKUP(B9,'S-ASIG-03'!$B$5:$E$88,4,0),0))</f>
        <v>0</v>
      </c>
      <c r="J9" s="71">
        <f>IF(B9=0,"",IFERROR(VLOOKUP(B9,'S-ASIG-04'!$B$5:$E$88,4,0),0))</f>
        <v>4.82</v>
      </c>
      <c r="K9" s="71">
        <f>IF(B9=0,"",IFERROR(VLOOKUP(B9,'S-ASIG-05'!$B$5:$E$88,4,0),0))</f>
        <v>3.1</v>
      </c>
      <c r="L9" s="71">
        <f>IF(B9=0,"",IFERROR(VLOOKUP(B9,'S-ASIG-06'!$B$5:$E$88,4,0),0))</f>
        <v>3.63</v>
      </c>
      <c r="M9" s="72">
        <f>IF(B9=0,"",IFERROR(VLOOKUP(B9,'S-ASIG-07'!$B$5:$E$88,4,0),0))</f>
        <v>3.9999999999999996</v>
      </c>
      <c r="N9" s="68" t="s">
        <v>140</v>
      </c>
      <c r="O9" s="70">
        <f>IF(B9=0,"",IFERROR(VLOOKUP(B9,'T-ASIG-01'!$B$5:$D$88,3,0),0))</f>
        <v>4.5</v>
      </c>
      <c r="P9" s="71">
        <f>IF(B9=0,"",IFERROR(VLOOKUP(B9,'T-ASIG-02'!$B$5:$D$88,3,0),0))</f>
        <v>4.5</v>
      </c>
      <c r="Q9" s="71">
        <f>IF(B9=0,"",IFERROR(VLOOKUP(B9,'T-ASIG-03'!$B$5:$D$88,3,0),0))</f>
        <v>4.5</v>
      </c>
      <c r="R9" s="71">
        <f>IF(B9=0,"",IFERROR(VLOOKUP(B9,'T-ASIG-04'!$B$5:$D$88,3,0),0))</f>
        <v>4.5</v>
      </c>
      <c r="S9" s="71">
        <f>IF(B9=0,"",IFERROR(VLOOKUP(B9,'T-ASIG-05'!$B$5:$D$88,3,0),0))</f>
        <v>4.5</v>
      </c>
      <c r="T9" s="71">
        <f>IF(B9=0,"",IFERROR(VLOOKUP(B9,'T-ASIG-06'!$B$5:$D$88,3,0),0))</f>
        <v>4.25</v>
      </c>
      <c r="U9" s="72">
        <f>IF(B9=0,"",IFERROR(VLOOKUP(B9,'T-ASIG-07'!$B$5:$D$88,3,0),0))</f>
        <v>4.5</v>
      </c>
      <c r="V9" s="69" t="s">
        <v>141</v>
      </c>
    </row>
    <row r="10" spans="1:22" ht="15" customHeight="1">
      <c r="A10" s="12">
        <v>6</v>
      </c>
      <c r="B10" s="63" t="str">
        <f>LIDER!C14</f>
        <v>MARÍA ISABEL VARGAS AYAZO</v>
      </c>
      <c r="C10" s="64" t="str">
        <f>IF(B10=0,"",IFERROR(VLOOKUP(B10,'S-ASIG-01'!$B$5:$E$88,2,0),0))</f>
        <v>G01</v>
      </c>
      <c r="D10" s="65">
        <f t="shared" si="2"/>
        <v>3.8916666666666671</v>
      </c>
      <c r="E10" s="66">
        <f t="shared" si="3"/>
        <v>4.4642857142857144</v>
      </c>
      <c r="F10" s="47"/>
      <c r="G10" s="70">
        <f>IF(B10=0,"",IFERROR(VLOOKUP(B10,'S-ASIG-01'!$B$5:$E$88,4,0),0))</f>
        <v>4</v>
      </c>
      <c r="H10" s="71">
        <f>IF(B10=0,"",IFERROR(VLOOKUP(B10,'S-ASIG-02'!$B$5:$E$88,4,0),0))</f>
        <v>3.8000000000000003</v>
      </c>
      <c r="I10" s="71">
        <f>IF(B10=0,"",IFERROR(VLOOKUP(B10,'S-ASIG-03'!$B$5:$E$88,4,0),0))</f>
        <v>0</v>
      </c>
      <c r="J10" s="71">
        <f>IF(B10=0,"",IFERROR(VLOOKUP(B10,'S-ASIG-04'!$B$5:$E$88,4,0),0))</f>
        <v>4.82</v>
      </c>
      <c r="K10" s="71">
        <f>IF(B10=0,"",IFERROR(VLOOKUP(B10,'S-ASIG-05'!$B$5:$E$88,4,0),0))</f>
        <v>3.1</v>
      </c>
      <c r="L10" s="71">
        <f>IF(B10=0,"",IFERROR(VLOOKUP(B10,'S-ASIG-06'!$B$5:$E$88,4,0),0))</f>
        <v>3.63</v>
      </c>
      <c r="M10" s="72">
        <f>IF(B10=0,"",IFERROR(VLOOKUP(B10,'S-ASIG-07'!$B$5:$E$88,4,0),0))</f>
        <v>3.9999999999999996</v>
      </c>
      <c r="N10" s="68" t="s">
        <v>140</v>
      </c>
      <c r="O10" s="70">
        <f>IF(B10=0,"",IFERROR(VLOOKUP(B10,'T-ASIG-01'!$B$5:$D$88,3,0),0))</f>
        <v>4.5</v>
      </c>
      <c r="P10" s="71">
        <f>IF(B10=0,"",IFERROR(VLOOKUP(B10,'T-ASIG-02'!$B$5:$D$88,3,0),0))</f>
        <v>4.5</v>
      </c>
      <c r="Q10" s="71">
        <f>IF(B10=0,"",IFERROR(VLOOKUP(B10,'T-ASIG-03'!$B$5:$D$88,3,0),0))</f>
        <v>4.5</v>
      </c>
      <c r="R10" s="71">
        <f>IF(B10=0,"",IFERROR(VLOOKUP(B10,'T-ASIG-04'!$B$5:$D$88,3,0),0))</f>
        <v>4.5</v>
      </c>
      <c r="S10" s="71">
        <f>IF(B10=0,"",IFERROR(VLOOKUP(B10,'T-ASIG-05'!$B$5:$D$88,3,0),0))</f>
        <v>4.5</v>
      </c>
      <c r="T10" s="71">
        <f>IF(B10=0,"",IFERROR(VLOOKUP(B10,'T-ASIG-06'!$B$5:$D$88,3,0),0))</f>
        <v>4.25</v>
      </c>
      <c r="U10" s="72">
        <f>IF(B10=0,"",IFERROR(VLOOKUP(B10,'T-ASIG-07'!$B$5:$D$88,3,0),0))</f>
        <v>4.5</v>
      </c>
      <c r="V10" s="69" t="s">
        <v>141</v>
      </c>
    </row>
    <row r="11" spans="1:22" ht="15" customHeight="1">
      <c r="A11" s="12">
        <v>7</v>
      </c>
      <c r="B11" s="63" t="str">
        <f>LIDER!C15</f>
        <v>SANTIAGO ALEJANDRO CASRO ELLES</v>
      </c>
      <c r="C11" s="64" t="str">
        <f>IF(B11=0,"",IFERROR(VLOOKUP(B11,'S-ASIG-01'!$B$5:$E$88,2,0),0))</f>
        <v>G02</v>
      </c>
      <c r="D11" s="65">
        <f t="shared" si="2"/>
        <v>3.7875000000000001</v>
      </c>
      <c r="E11" s="66">
        <f t="shared" si="3"/>
        <v>2.4185714285714286</v>
      </c>
      <c r="F11" s="47"/>
      <c r="G11" s="70">
        <f>IF(B11=0,"",IFERROR(VLOOKUP(B11,'S-ASIG-01'!$B$5:$E$88,4,0),0))</f>
        <v>3.5000000000000004</v>
      </c>
      <c r="H11" s="71">
        <f>IF(B11=0,"",IFERROR(VLOOKUP(B11,'S-ASIG-02'!$B$5:$E$88,4,0),0))</f>
        <v>3.9000000000000004</v>
      </c>
      <c r="I11" s="71">
        <f>IF(B11=0,"",IFERROR(VLOOKUP(B11,'S-ASIG-03'!$B$5:$E$88,4,0),0))</f>
        <v>0</v>
      </c>
      <c r="J11" s="71">
        <f>IF(B11=0,"",IFERROR(VLOOKUP(B11,'S-ASIG-04'!$B$5:$E$88,4,0),0))</f>
        <v>3.9999999999999996</v>
      </c>
      <c r="K11" s="71">
        <f>IF(B11=0,"",IFERROR(VLOOKUP(B11,'S-ASIG-05'!$B$5:$E$88,4,0),0))</f>
        <v>0</v>
      </c>
      <c r="L11" s="71">
        <f>IF(B11=0,"",IFERROR(VLOOKUP(B11,'S-ASIG-06'!$B$5:$E$88,4,0),0))</f>
        <v>0</v>
      </c>
      <c r="M11" s="72">
        <f>IF(B11=0,"",IFERROR(VLOOKUP(B11,'S-ASIG-07'!$B$5:$E$88,4,0),0))</f>
        <v>3.7499999999999996</v>
      </c>
      <c r="N11" s="68" t="s">
        <v>140</v>
      </c>
      <c r="O11" s="70">
        <f>IF(B11=0,"",IFERROR(VLOOKUP(B11,'T-ASIG-01'!$B$5:$D$88,3,0),0))</f>
        <v>2.4</v>
      </c>
      <c r="P11" s="71">
        <f>IF(B11=0,"",IFERROR(VLOOKUP(B11,'T-ASIG-02'!$B$5:$D$88,3,0),0))</f>
        <v>2.25</v>
      </c>
      <c r="Q11" s="71">
        <f>IF(B11=0,"",IFERROR(VLOOKUP(B11,'T-ASIG-03'!$B$5:$D$88,3,0),0))</f>
        <v>2.4</v>
      </c>
      <c r="R11" s="71">
        <f>IF(B11=0,"",IFERROR(VLOOKUP(B11,'T-ASIG-04'!$B$5:$D$88,3,0),0))</f>
        <v>2.4</v>
      </c>
      <c r="S11" s="71">
        <f>IF(B11=0,"",IFERROR(VLOOKUP(B11,'T-ASIG-05'!$B$5:$D$88,3,0),0))</f>
        <v>2.4</v>
      </c>
      <c r="T11" s="71">
        <f>IF(B11=0,"",IFERROR(VLOOKUP(B11,'T-ASIG-06'!$B$5:$D$88,3,0),0))</f>
        <v>2.6799999999999997</v>
      </c>
      <c r="U11" s="72">
        <f>IF(B11=0,"",IFERROR(VLOOKUP(B11,'T-ASIG-07'!$B$5:$D$88,3,0),0))</f>
        <v>2.4</v>
      </c>
      <c r="V11" s="69" t="s">
        <v>141</v>
      </c>
    </row>
    <row r="12" spans="1:22" ht="15" customHeight="1">
      <c r="A12" s="12">
        <v>8</v>
      </c>
      <c r="B12" s="63" t="str">
        <f>LIDER!C16</f>
        <v>SEBASTIAN CERMEÑO MARRUGO2</v>
      </c>
      <c r="C12" s="64" t="str">
        <f>IF(B12=0,"",IFERROR(VLOOKUP(B12,'S-ASIG-01'!$B$5:$E$88,2,0),0))</f>
        <v>G02</v>
      </c>
      <c r="D12" s="65">
        <f t="shared" si="2"/>
        <v>3.7875000000000001</v>
      </c>
      <c r="E12" s="66">
        <f t="shared" si="3"/>
        <v>2.9214285714285717</v>
      </c>
      <c r="F12" s="47"/>
      <c r="G12" s="70">
        <f>IF(B12=0,"",IFERROR(VLOOKUP(B12,'S-ASIG-01'!$B$5:$E$88,4,0),0))</f>
        <v>3.5000000000000004</v>
      </c>
      <c r="H12" s="71">
        <f>IF(B12=0,"",IFERROR(VLOOKUP(B12,'S-ASIG-02'!$B$5:$E$88,4,0),0))</f>
        <v>3.9000000000000004</v>
      </c>
      <c r="I12" s="71">
        <f>IF(B12=0,"",IFERROR(VLOOKUP(B12,'S-ASIG-03'!$B$5:$E$88,4,0),0))</f>
        <v>0</v>
      </c>
      <c r="J12" s="71">
        <f>IF(B12=0,"",IFERROR(VLOOKUP(B12,'S-ASIG-04'!$B$5:$E$88,4,0),0))</f>
        <v>3.9999999999999996</v>
      </c>
      <c r="K12" s="71">
        <f>IF(B12=0,"",IFERROR(VLOOKUP(B12,'S-ASIG-05'!$B$5:$E$88,4,0),0))</f>
        <v>0</v>
      </c>
      <c r="L12" s="71">
        <f>IF(B12=0,"",IFERROR(VLOOKUP(B12,'S-ASIG-06'!$B$5:$E$88,4,0),0))</f>
        <v>0</v>
      </c>
      <c r="M12" s="72">
        <f>IF(B12=0,"",IFERROR(VLOOKUP(B12,'S-ASIG-07'!$B$5:$E$88,4,0),0))</f>
        <v>3.7499999999999996</v>
      </c>
      <c r="N12" s="68" t="s">
        <v>140</v>
      </c>
      <c r="O12" s="70">
        <f>IF(B12=0,"",IFERROR(VLOOKUP(B12,'T-ASIG-01'!$B$5:$D$88,3,0),0))</f>
        <v>2.92</v>
      </c>
      <c r="P12" s="71">
        <f>IF(B12=0,"",IFERROR(VLOOKUP(B12,'T-ASIG-02'!$B$5:$D$88,3,0),0))</f>
        <v>2.9</v>
      </c>
      <c r="Q12" s="71">
        <f>IF(B12=0,"",IFERROR(VLOOKUP(B12,'T-ASIG-03'!$B$5:$D$88,3,0),0))</f>
        <v>2.92</v>
      </c>
      <c r="R12" s="71">
        <f>IF(B12=0,"",IFERROR(VLOOKUP(B12,'T-ASIG-04'!$B$5:$D$88,3,0),0))</f>
        <v>2.92</v>
      </c>
      <c r="S12" s="71">
        <f>IF(B12=0,"",IFERROR(VLOOKUP(B12,'T-ASIG-05'!$B$5:$D$88,3,0),0))</f>
        <v>2.92</v>
      </c>
      <c r="T12" s="71">
        <f>IF(B12=0,"",IFERROR(VLOOKUP(B12,'T-ASIG-06'!$B$5:$D$88,3,0),0))</f>
        <v>2.9499999999999997</v>
      </c>
      <c r="U12" s="72">
        <f>IF(B12=0,"",IFERROR(VLOOKUP(B12,'T-ASIG-07'!$B$5:$D$88,3,0),0))</f>
        <v>2.92</v>
      </c>
      <c r="V12" s="69" t="s">
        <v>141</v>
      </c>
    </row>
    <row r="13" spans="1:22" ht="15" customHeight="1">
      <c r="A13" s="12">
        <v>9</v>
      </c>
      <c r="B13" s="63" t="str">
        <f>LIDER!C17</f>
        <v>YUDI DAYANA DUQUE JIMENEZ</v>
      </c>
      <c r="C13" s="64" t="str">
        <f>IF(B13=0,"",IFERROR(VLOOKUP(B13,'S-ASIG-01'!$B$5:$E$88,2,0),0))</f>
        <v>G02</v>
      </c>
      <c r="D13" s="65">
        <f t="shared" si="2"/>
        <v>3.7875000000000001</v>
      </c>
      <c r="E13" s="66">
        <f t="shared" si="3"/>
        <v>2.4185714285714286</v>
      </c>
      <c r="F13" s="47"/>
      <c r="G13" s="70">
        <f>IF(B13=0,"",IFERROR(VLOOKUP(B13,'S-ASIG-01'!$B$5:$E$88,4,0),0))</f>
        <v>3.5000000000000004</v>
      </c>
      <c r="H13" s="71">
        <f>IF(B13=0,"",IFERROR(VLOOKUP(B13,'S-ASIG-02'!$B$5:$E$88,4,0),0))</f>
        <v>3.9000000000000004</v>
      </c>
      <c r="I13" s="71">
        <f>IF(B13=0,"",IFERROR(VLOOKUP(B13,'S-ASIG-03'!$B$5:$E$88,4,0),0))</f>
        <v>0</v>
      </c>
      <c r="J13" s="71">
        <f>IF(B13=0,"",IFERROR(VLOOKUP(B13,'S-ASIG-04'!$B$5:$E$88,4,0),0))</f>
        <v>3.9999999999999996</v>
      </c>
      <c r="K13" s="71">
        <f>IF(B13=0,"",IFERROR(VLOOKUP(B13,'S-ASIG-05'!$B$5:$E$88,4,0),0))</f>
        <v>0</v>
      </c>
      <c r="L13" s="71">
        <f>IF(B13=0,"",IFERROR(VLOOKUP(B13,'S-ASIG-06'!$B$5:$E$88,4,0),0))</f>
        <v>0</v>
      </c>
      <c r="M13" s="72">
        <f>IF(B13=0,"",IFERROR(VLOOKUP(B13,'S-ASIG-07'!$B$5:$E$88,4,0),0))</f>
        <v>3.7499999999999996</v>
      </c>
      <c r="N13" s="68" t="s">
        <v>140</v>
      </c>
      <c r="O13" s="70">
        <f>IF(B13=0,"",IFERROR(VLOOKUP(B13,'T-ASIG-01'!$B$5:$D$88,3,0),0))</f>
        <v>2.4</v>
      </c>
      <c r="P13" s="71">
        <f>IF(B13=0,"",IFERROR(VLOOKUP(B13,'T-ASIG-02'!$B$5:$D$88,3,0),0))</f>
        <v>2.25</v>
      </c>
      <c r="Q13" s="71">
        <f>IF(B13=0,"",IFERROR(VLOOKUP(B13,'T-ASIG-03'!$B$5:$D$88,3,0),0))</f>
        <v>2.4</v>
      </c>
      <c r="R13" s="71">
        <f>IF(B13=0,"",IFERROR(VLOOKUP(B13,'T-ASIG-04'!$B$5:$D$88,3,0),0))</f>
        <v>2.4</v>
      </c>
      <c r="S13" s="71">
        <f>IF(B13=0,"",IFERROR(VLOOKUP(B13,'T-ASIG-05'!$B$5:$D$88,3,0),0))</f>
        <v>2.4</v>
      </c>
      <c r="T13" s="71">
        <f>IF(B13=0,"",IFERROR(VLOOKUP(B13,'T-ASIG-06'!$B$5:$D$88,3,0),0))</f>
        <v>2.6799999999999997</v>
      </c>
      <c r="U13" s="72">
        <f>IF(B13=0,"",IFERROR(VLOOKUP(B13,'T-ASIG-07'!$B$5:$D$88,3,0),0))</f>
        <v>2.4</v>
      </c>
      <c r="V13" s="69" t="s">
        <v>141</v>
      </c>
    </row>
    <row r="14" spans="1:22" ht="15" customHeight="1">
      <c r="A14" s="12">
        <v>10</v>
      </c>
      <c r="B14" s="63" t="str">
        <f>LIDER!C18</f>
        <v>DEIMER JOSE ORTEGA PALENCIA</v>
      </c>
      <c r="C14" s="64" t="str">
        <f>IF(B14=0,"",IFERROR(VLOOKUP(B14,'S-ASIG-01'!$B$5:$E$88,2,0),0))</f>
        <v>G02</v>
      </c>
      <c r="D14" s="65">
        <f t="shared" si="2"/>
        <v>3.7875000000000001</v>
      </c>
      <c r="E14" s="66">
        <f t="shared" si="3"/>
        <v>2.7785714285714285</v>
      </c>
      <c r="F14" s="47"/>
      <c r="G14" s="70">
        <f>IF(B14=0,"",IFERROR(VLOOKUP(B14,'S-ASIG-01'!$B$5:$E$88,4,0),0))</f>
        <v>3.5000000000000004</v>
      </c>
      <c r="H14" s="71">
        <f>IF(B14=0,"",IFERROR(VLOOKUP(B14,'S-ASIG-02'!$B$5:$E$88,4,0),0))</f>
        <v>3.9000000000000004</v>
      </c>
      <c r="I14" s="71">
        <f>IF(B14=0,"",IFERROR(VLOOKUP(B14,'S-ASIG-03'!$B$5:$E$88,4,0),0))</f>
        <v>0</v>
      </c>
      <c r="J14" s="71">
        <f>IF(B14=0,"",IFERROR(VLOOKUP(B14,'S-ASIG-04'!$B$5:$E$88,4,0),0))</f>
        <v>3.9999999999999996</v>
      </c>
      <c r="K14" s="71">
        <f>IF(B14=0,"",IFERROR(VLOOKUP(B14,'S-ASIG-05'!$B$5:$E$88,4,0),0))</f>
        <v>0</v>
      </c>
      <c r="L14" s="71">
        <f>IF(B14=0,"",IFERROR(VLOOKUP(B14,'S-ASIG-06'!$B$5:$E$88,4,0),0))</f>
        <v>0</v>
      </c>
      <c r="M14" s="72">
        <f>IF(B14=0,"",IFERROR(VLOOKUP(B14,'S-ASIG-07'!$B$5:$E$88,4,0),0))</f>
        <v>3.7499999999999996</v>
      </c>
      <c r="N14" s="68" t="s">
        <v>140</v>
      </c>
      <c r="O14" s="70">
        <f>IF(B14=0,"",IFERROR(VLOOKUP(B14,'T-ASIG-01'!$B$5:$D$88,3,0),0))</f>
        <v>2.8</v>
      </c>
      <c r="P14" s="71">
        <f>IF(B14=0,"",IFERROR(VLOOKUP(B14,'T-ASIG-02'!$B$5:$D$88,3,0),0))</f>
        <v>2.5</v>
      </c>
      <c r="Q14" s="71">
        <f>IF(B14=0,"",IFERROR(VLOOKUP(B14,'T-ASIG-03'!$B$5:$D$88,3,0),0))</f>
        <v>2.8</v>
      </c>
      <c r="R14" s="71">
        <f>IF(B14=0,"",IFERROR(VLOOKUP(B14,'T-ASIG-04'!$B$5:$D$88,3,0),0))</f>
        <v>2.8</v>
      </c>
      <c r="S14" s="71">
        <f>IF(B14=0,"",IFERROR(VLOOKUP(B14,'T-ASIG-05'!$B$5:$D$88,3,0),0))</f>
        <v>2.8</v>
      </c>
      <c r="T14" s="71">
        <f>IF(B14=0,"",IFERROR(VLOOKUP(B14,'T-ASIG-06'!$B$5:$D$88,3,0),0))</f>
        <v>2.9499999999999997</v>
      </c>
      <c r="U14" s="72">
        <f>IF(B14=0,"",IFERROR(VLOOKUP(B14,'T-ASIG-07'!$B$5:$D$88,3,0),0))</f>
        <v>2.8</v>
      </c>
      <c r="V14" s="69" t="s">
        <v>141</v>
      </c>
    </row>
    <row r="15" spans="1:22" ht="15" customHeight="1">
      <c r="A15" s="12">
        <v>11</v>
      </c>
      <c r="B15" s="63" t="str">
        <f>LIDER!C19</f>
        <v>JULYANA SOFIA PORTO VALENCIA</v>
      </c>
      <c r="C15" s="64" t="str">
        <f>IF(B15=0,"",IFERROR(VLOOKUP(B15,'S-ASIG-01'!$B$5:$E$88,2,0),0))</f>
        <v>G02</v>
      </c>
      <c r="D15" s="65">
        <f t="shared" si="2"/>
        <v>3.7875000000000001</v>
      </c>
      <c r="E15" s="66">
        <f t="shared" si="3"/>
        <v>2.9214285714285717</v>
      </c>
      <c r="F15" s="47"/>
      <c r="G15" s="70">
        <f>IF(B15=0,"",IFERROR(VLOOKUP(B15,'S-ASIG-01'!$B$5:$E$88,4,0),0))</f>
        <v>3.5000000000000004</v>
      </c>
      <c r="H15" s="71">
        <f>IF(B15=0,"",IFERROR(VLOOKUP(B15,'S-ASIG-02'!$B$5:$E$88,4,0),0))</f>
        <v>3.9000000000000004</v>
      </c>
      <c r="I15" s="71">
        <f>IF(B15=0,"",IFERROR(VLOOKUP(B15,'S-ASIG-03'!$B$5:$E$88,4,0),0))</f>
        <v>0</v>
      </c>
      <c r="J15" s="71">
        <f>IF(B15=0,"",IFERROR(VLOOKUP(B15,'S-ASIG-04'!$B$5:$E$88,4,0),0))</f>
        <v>3.9999999999999996</v>
      </c>
      <c r="K15" s="71">
        <f>IF(B15=0,"",IFERROR(VLOOKUP(B15,'S-ASIG-05'!$B$5:$E$88,4,0),0))</f>
        <v>0</v>
      </c>
      <c r="L15" s="71">
        <f>IF(B15=0,"",IFERROR(VLOOKUP(B15,'S-ASIG-06'!$B$5:$E$88,4,0),0))</f>
        <v>0</v>
      </c>
      <c r="M15" s="72">
        <f>IF(B15=0,"",IFERROR(VLOOKUP(B15,'S-ASIG-07'!$B$5:$E$88,4,0),0))</f>
        <v>3.7499999999999996</v>
      </c>
      <c r="N15" s="68" t="s">
        <v>140</v>
      </c>
      <c r="O15" s="70">
        <f>IF(B15=0,"",IFERROR(VLOOKUP(B15,'T-ASIG-01'!$B$5:$D$88,3,0),0))</f>
        <v>2.92</v>
      </c>
      <c r="P15" s="71">
        <f>IF(B15=0,"",IFERROR(VLOOKUP(B15,'T-ASIG-02'!$B$5:$D$88,3,0),0))</f>
        <v>2.9</v>
      </c>
      <c r="Q15" s="71">
        <f>IF(B15=0,"",IFERROR(VLOOKUP(B15,'T-ASIG-03'!$B$5:$D$88,3,0),0))</f>
        <v>2.92</v>
      </c>
      <c r="R15" s="71">
        <f>IF(B15=0,"",IFERROR(VLOOKUP(B15,'T-ASIG-04'!$B$5:$D$88,3,0),0))</f>
        <v>2.92</v>
      </c>
      <c r="S15" s="71">
        <f>IF(B15=0,"",IFERROR(VLOOKUP(B15,'T-ASIG-05'!$B$5:$D$88,3,0),0))</f>
        <v>2.92</v>
      </c>
      <c r="T15" s="71">
        <f>IF(B15=0,"",IFERROR(VLOOKUP(B15,'T-ASIG-06'!$B$5:$D$88,3,0),0))</f>
        <v>2.9499999999999997</v>
      </c>
      <c r="U15" s="72">
        <f>IF(B15=0,"",IFERROR(VLOOKUP(B15,'T-ASIG-07'!$B$5:$D$88,3,0),0))</f>
        <v>2.92</v>
      </c>
      <c r="V15" s="69" t="s">
        <v>141</v>
      </c>
    </row>
    <row r="16" spans="1:22" ht="15" customHeight="1">
      <c r="A16" s="12">
        <v>12</v>
      </c>
      <c r="B16" s="63" t="str">
        <f>LIDER!C20</f>
        <v>ESNAIDER ARRIETA AVILA</v>
      </c>
      <c r="C16" s="64" t="str">
        <f>IF(B16=0,"",IFERROR(VLOOKUP(B16,'S-ASIG-01'!$B$5:$E$88,2,0),0))</f>
        <v>G03</v>
      </c>
      <c r="D16" s="65">
        <f t="shared" si="2"/>
        <v>4</v>
      </c>
      <c r="E16" s="66">
        <f t="shared" si="3"/>
        <v>4.757142857142858</v>
      </c>
      <c r="F16" s="47"/>
      <c r="G16" s="70">
        <f>IF(B16=0,"",IFERROR(VLOOKUP(B16,'S-ASIG-01'!$B$5:$E$88,4,0),0))</f>
        <v>3.8500000000000005</v>
      </c>
      <c r="H16" s="71">
        <f>IF(B16=0,"",IFERROR(VLOOKUP(B16,'S-ASIG-02'!$B$5:$E$88,4,0),0))</f>
        <v>3.8499999999999996</v>
      </c>
      <c r="I16" s="71">
        <f>IF(B16=0,"",IFERROR(VLOOKUP(B16,'S-ASIG-03'!$B$5:$E$88,4,0),0))</f>
        <v>0</v>
      </c>
      <c r="J16" s="71">
        <f>IF(B16=0,"",IFERROR(VLOOKUP(B16,'S-ASIG-04'!$B$5:$E$88,4,0),0))</f>
        <v>4.5999999999999996</v>
      </c>
      <c r="K16" s="71">
        <f>IF(B16=0,"",IFERROR(VLOOKUP(B16,'S-ASIG-05'!$B$5:$E$88,4,0),0))</f>
        <v>3.7</v>
      </c>
      <c r="L16" s="71">
        <f>IF(B16=0,"",IFERROR(VLOOKUP(B16,'S-ASIG-06'!$B$5:$E$88,4,0),0))</f>
        <v>4.0999999999999996</v>
      </c>
      <c r="M16" s="72">
        <f>IF(B16=0,"",IFERROR(VLOOKUP(B16,'S-ASIG-07'!$B$5:$E$88,4,0),0))</f>
        <v>3.9</v>
      </c>
      <c r="N16" s="68" t="s">
        <v>140</v>
      </c>
      <c r="O16" s="70">
        <f>IF(B16=0,"",IFERROR(VLOOKUP(B16,'T-ASIG-01'!$B$5:$D$88,3,0),0))</f>
        <v>4.8000000000000007</v>
      </c>
      <c r="P16" s="71">
        <f>IF(B16=0,"",IFERROR(VLOOKUP(B16,'T-ASIG-02'!$B$5:$D$88,3,0),0))</f>
        <v>4.8000000000000007</v>
      </c>
      <c r="Q16" s="71">
        <f>IF(B16=0,"",IFERROR(VLOOKUP(B16,'T-ASIG-03'!$B$5:$D$88,3,0),0))</f>
        <v>4.8000000000000007</v>
      </c>
      <c r="R16" s="71">
        <f>IF(B16=0,"",IFERROR(VLOOKUP(B16,'T-ASIG-04'!$B$5:$D$88,3,0),0))</f>
        <v>4.8000000000000007</v>
      </c>
      <c r="S16" s="71">
        <f>IF(B16=0,"",IFERROR(VLOOKUP(B16,'T-ASIG-05'!$B$5:$D$88,3,0),0))</f>
        <v>4.8000000000000007</v>
      </c>
      <c r="T16" s="71">
        <f>IF(B16=0,"",IFERROR(VLOOKUP(B16,'T-ASIG-06'!$B$5:$D$88,3,0),0))</f>
        <v>4.5</v>
      </c>
      <c r="U16" s="72">
        <f>IF(B16=0,"",IFERROR(VLOOKUP(B16,'T-ASIG-07'!$B$5:$D$88,3,0),0))</f>
        <v>4.8000000000000007</v>
      </c>
      <c r="V16" s="69" t="s">
        <v>141</v>
      </c>
    </row>
    <row r="17" spans="1:22" ht="15" customHeight="1">
      <c r="A17" s="12">
        <v>13</v>
      </c>
      <c r="B17" s="63" t="str">
        <f>LIDER!C21</f>
        <v>ISABEL SOPHIA CONEO BARRAZA</v>
      </c>
      <c r="C17" s="64" t="str">
        <f>IF(B17=0,"",IFERROR(VLOOKUP(B17,'S-ASIG-01'!$B$5:$E$88,2,0),0))</f>
        <v>G03</v>
      </c>
      <c r="D17" s="65">
        <f t="shared" si="2"/>
        <v>4</v>
      </c>
      <c r="E17" s="66">
        <f t="shared" si="3"/>
        <v>4.757142857142858</v>
      </c>
      <c r="F17" s="47"/>
      <c r="G17" s="70">
        <f>IF(B17=0,"",IFERROR(VLOOKUP(B17,'S-ASIG-01'!$B$5:$E$88,4,0),0))</f>
        <v>3.8500000000000005</v>
      </c>
      <c r="H17" s="71">
        <f>IF(B17=0,"",IFERROR(VLOOKUP(B17,'S-ASIG-02'!$B$5:$E$88,4,0),0))</f>
        <v>3.8499999999999996</v>
      </c>
      <c r="I17" s="71">
        <f>IF(B17=0,"",IFERROR(VLOOKUP(B17,'S-ASIG-03'!$B$5:$E$88,4,0),0))</f>
        <v>0</v>
      </c>
      <c r="J17" s="71">
        <f>IF(B17=0,"",IFERROR(VLOOKUP(B17,'S-ASIG-04'!$B$5:$E$88,4,0),0))</f>
        <v>4.5999999999999996</v>
      </c>
      <c r="K17" s="71">
        <f>IF(B17=0,"",IFERROR(VLOOKUP(B17,'S-ASIG-05'!$B$5:$E$88,4,0),0))</f>
        <v>3.7</v>
      </c>
      <c r="L17" s="71">
        <f>IF(B17=0,"",IFERROR(VLOOKUP(B17,'S-ASIG-06'!$B$5:$E$88,4,0),0))</f>
        <v>4.0999999999999996</v>
      </c>
      <c r="M17" s="72">
        <f>IF(B17=0,"",IFERROR(VLOOKUP(B17,'S-ASIG-07'!$B$5:$E$88,4,0),0))</f>
        <v>3.9</v>
      </c>
      <c r="N17" s="68" t="s">
        <v>140</v>
      </c>
      <c r="O17" s="70">
        <f>IF(B17=0,"",IFERROR(VLOOKUP(B17,'T-ASIG-01'!$B$5:$D$88,3,0),0))</f>
        <v>4.8000000000000007</v>
      </c>
      <c r="P17" s="71">
        <f>IF(B17=0,"",IFERROR(VLOOKUP(B17,'T-ASIG-02'!$B$5:$D$88,3,0),0))</f>
        <v>4.8000000000000007</v>
      </c>
      <c r="Q17" s="71">
        <f>IF(B17=0,"",IFERROR(VLOOKUP(B17,'T-ASIG-03'!$B$5:$D$88,3,0),0))</f>
        <v>4.8000000000000007</v>
      </c>
      <c r="R17" s="71">
        <f>IF(B17=0,"",IFERROR(VLOOKUP(B17,'T-ASIG-04'!$B$5:$D$88,3,0),0))</f>
        <v>4.8000000000000007</v>
      </c>
      <c r="S17" s="71">
        <f>IF(B17=0,"",IFERROR(VLOOKUP(B17,'T-ASIG-05'!$B$5:$D$88,3,0),0))</f>
        <v>4.8000000000000007</v>
      </c>
      <c r="T17" s="71">
        <f>IF(B17=0,"",IFERROR(VLOOKUP(B17,'T-ASIG-06'!$B$5:$D$88,3,0),0))</f>
        <v>4.5</v>
      </c>
      <c r="U17" s="72">
        <f>IF(B17=0,"",IFERROR(VLOOKUP(B17,'T-ASIG-07'!$B$5:$D$88,3,0),0))</f>
        <v>4.8000000000000007</v>
      </c>
      <c r="V17" s="69" t="s">
        <v>141</v>
      </c>
    </row>
    <row r="18" spans="1:22" ht="15" customHeight="1">
      <c r="A18" s="12">
        <v>14</v>
      </c>
      <c r="B18" s="63" t="str">
        <f>LIDER!C22</f>
        <v>MARIAM TORRES HERNANDEZ</v>
      </c>
      <c r="C18" s="64" t="str">
        <f>IF(B18=0,"",IFERROR(VLOOKUP(B18,'S-ASIG-01'!$B$5:$E$88,2,0),0))</f>
        <v>G03</v>
      </c>
      <c r="D18" s="65">
        <f t="shared" si="2"/>
        <v>4</v>
      </c>
      <c r="E18" s="66">
        <f t="shared" si="3"/>
        <v>4.757142857142858</v>
      </c>
      <c r="F18" s="47"/>
      <c r="G18" s="70">
        <f>IF(B18=0,"",IFERROR(VLOOKUP(B18,'S-ASIG-01'!$B$5:$E$88,4,0),0))</f>
        <v>3.8500000000000005</v>
      </c>
      <c r="H18" s="71">
        <f>IF(B18=0,"",IFERROR(VLOOKUP(B18,'S-ASIG-02'!$B$5:$E$88,4,0),0))</f>
        <v>3.8499999999999996</v>
      </c>
      <c r="I18" s="71">
        <f>IF(B18=0,"",IFERROR(VLOOKUP(B18,'S-ASIG-03'!$B$5:$E$88,4,0),0))</f>
        <v>0</v>
      </c>
      <c r="J18" s="71">
        <f>IF(B18=0,"",IFERROR(VLOOKUP(B18,'S-ASIG-04'!$B$5:$E$88,4,0),0))</f>
        <v>4.5999999999999996</v>
      </c>
      <c r="K18" s="71">
        <f>IF(B18=0,"",IFERROR(VLOOKUP(B18,'S-ASIG-05'!$B$5:$E$88,4,0),0))</f>
        <v>3.7</v>
      </c>
      <c r="L18" s="71">
        <f>IF(B18=0,"",IFERROR(VLOOKUP(B18,'S-ASIG-06'!$B$5:$E$88,4,0),0))</f>
        <v>4.0999999999999996</v>
      </c>
      <c r="M18" s="72">
        <f>IF(B18=0,"",IFERROR(VLOOKUP(B18,'S-ASIG-07'!$B$5:$E$88,4,0),0))</f>
        <v>3.9</v>
      </c>
      <c r="N18" s="68" t="s">
        <v>140</v>
      </c>
      <c r="O18" s="70">
        <f>IF(B18=0,"",IFERROR(VLOOKUP(B18,'T-ASIG-01'!$B$5:$D$88,3,0),0))</f>
        <v>4.8000000000000007</v>
      </c>
      <c r="P18" s="71">
        <f>IF(B18=0,"",IFERROR(VLOOKUP(B18,'T-ASIG-02'!$B$5:$D$88,3,0),0))</f>
        <v>4.8000000000000007</v>
      </c>
      <c r="Q18" s="71">
        <f>IF(B18=0,"",IFERROR(VLOOKUP(B18,'T-ASIG-03'!$B$5:$D$88,3,0),0))</f>
        <v>4.8000000000000007</v>
      </c>
      <c r="R18" s="71">
        <f>IF(B18=0,"",IFERROR(VLOOKUP(B18,'T-ASIG-04'!$B$5:$D$88,3,0),0))</f>
        <v>4.8000000000000007</v>
      </c>
      <c r="S18" s="71">
        <f>IF(B18=0,"",IFERROR(VLOOKUP(B18,'T-ASIG-05'!$B$5:$D$88,3,0),0))</f>
        <v>4.8000000000000007</v>
      </c>
      <c r="T18" s="71">
        <f>IF(B18=0,"",IFERROR(VLOOKUP(B18,'T-ASIG-06'!$B$5:$D$88,3,0),0))</f>
        <v>4.5</v>
      </c>
      <c r="U18" s="72">
        <f>IF(B18=0,"",IFERROR(VLOOKUP(B18,'T-ASIG-07'!$B$5:$D$88,3,0),0))</f>
        <v>4.8000000000000007</v>
      </c>
      <c r="V18" s="69" t="s">
        <v>141</v>
      </c>
    </row>
    <row r="19" spans="1:22" ht="15" customHeight="1">
      <c r="A19" s="12">
        <v>15</v>
      </c>
      <c r="B19" s="63" t="str">
        <f>LIDER!C23</f>
        <v>ISABEL SOFIA TORRES MOLINA</v>
      </c>
      <c r="C19" s="64" t="str">
        <f>IF(B19=0,"",IFERROR(VLOOKUP(B19,'S-ASIG-01'!$B$5:$E$88,2,0),0))</f>
        <v>G03</v>
      </c>
      <c r="D19" s="65">
        <f t="shared" si="2"/>
        <v>4</v>
      </c>
      <c r="E19" s="66">
        <f t="shared" si="3"/>
        <v>4.757142857142858</v>
      </c>
      <c r="F19" s="47"/>
      <c r="G19" s="70">
        <f>IF(B19=0,"",IFERROR(VLOOKUP(B19,'S-ASIG-01'!$B$5:$E$88,4,0),0))</f>
        <v>3.8500000000000005</v>
      </c>
      <c r="H19" s="71">
        <f>IF(B19=0,"",IFERROR(VLOOKUP(B19,'S-ASIG-02'!$B$5:$E$88,4,0),0))</f>
        <v>3.8499999999999996</v>
      </c>
      <c r="I19" s="71">
        <f>IF(B19=0,"",IFERROR(VLOOKUP(B19,'S-ASIG-03'!$B$5:$E$88,4,0),0))</f>
        <v>0</v>
      </c>
      <c r="J19" s="71">
        <f>IF(B19=0,"",IFERROR(VLOOKUP(B19,'S-ASIG-04'!$B$5:$E$88,4,0),0))</f>
        <v>4.5999999999999996</v>
      </c>
      <c r="K19" s="71">
        <f>IF(B19=0,"",IFERROR(VLOOKUP(B19,'S-ASIG-05'!$B$5:$E$88,4,0),0))</f>
        <v>3.7</v>
      </c>
      <c r="L19" s="71">
        <f>IF(B19=0,"",IFERROR(VLOOKUP(B19,'S-ASIG-06'!$B$5:$E$88,4,0),0))</f>
        <v>4.0999999999999996</v>
      </c>
      <c r="M19" s="72">
        <f>IF(B19=0,"",IFERROR(VLOOKUP(B19,'S-ASIG-07'!$B$5:$E$88,4,0),0))</f>
        <v>3.9</v>
      </c>
      <c r="N19" s="68" t="s">
        <v>140</v>
      </c>
      <c r="O19" s="70">
        <f>IF(B19=0,"",IFERROR(VLOOKUP(B19,'T-ASIG-01'!$B$5:$D$88,3,0),0))</f>
        <v>4.8000000000000007</v>
      </c>
      <c r="P19" s="71">
        <f>IF(B19=0,"",IFERROR(VLOOKUP(B19,'T-ASIG-02'!$B$5:$D$88,3,0),0))</f>
        <v>4.8000000000000007</v>
      </c>
      <c r="Q19" s="71">
        <f>IF(B19=0,"",IFERROR(VLOOKUP(B19,'T-ASIG-03'!$B$5:$D$88,3,0),0))</f>
        <v>4.8000000000000007</v>
      </c>
      <c r="R19" s="71">
        <f>IF(B19=0,"",IFERROR(VLOOKUP(B19,'T-ASIG-04'!$B$5:$D$88,3,0),0))</f>
        <v>4.8000000000000007</v>
      </c>
      <c r="S19" s="71">
        <f>IF(B19=0,"",IFERROR(VLOOKUP(B19,'T-ASIG-05'!$B$5:$D$88,3,0),0))</f>
        <v>4.8000000000000007</v>
      </c>
      <c r="T19" s="71">
        <f>IF(B19=0,"",IFERROR(VLOOKUP(B19,'T-ASIG-06'!$B$5:$D$88,3,0),0))</f>
        <v>4.5</v>
      </c>
      <c r="U19" s="72">
        <f>IF(B19=0,"",IFERROR(VLOOKUP(B19,'T-ASIG-07'!$B$5:$D$88,3,0),0))</f>
        <v>4.8000000000000007</v>
      </c>
      <c r="V19" s="69" t="s">
        <v>141</v>
      </c>
    </row>
    <row r="20" spans="1:22" ht="15" customHeight="1">
      <c r="A20" s="12">
        <v>16</v>
      </c>
      <c r="B20" s="63" t="str">
        <f>LIDER!C24</f>
        <v>SANTIAGO EMILIO VEGA BRU</v>
      </c>
      <c r="C20" s="64" t="str">
        <f>IF(B20=0,"",IFERROR(VLOOKUP(B20,'S-ASIG-01'!$B$5:$E$88,2,0),0))</f>
        <v>G03</v>
      </c>
      <c r="D20" s="65">
        <f t="shared" si="2"/>
        <v>4</v>
      </c>
      <c r="E20" s="66">
        <f t="shared" si="3"/>
        <v>4.757142857142858</v>
      </c>
      <c r="F20" s="47"/>
      <c r="G20" s="70">
        <f>IF(B20=0,"",IFERROR(VLOOKUP(B20,'S-ASIG-01'!$B$5:$E$88,4,0),0))</f>
        <v>3.8500000000000005</v>
      </c>
      <c r="H20" s="71">
        <f>IF(B20=0,"",IFERROR(VLOOKUP(B20,'S-ASIG-02'!$B$5:$E$88,4,0),0))</f>
        <v>3.8499999999999996</v>
      </c>
      <c r="I20" s="71">
        <f>IF(B20=0,"",IFERROR(VLOOKUP(B20,'S-ASIG-03'!$B$5:$E$88,4,0),0))</f>
        <v>0</v>
      </c>
      <c r="J20" s="71">
        <f>IF(B20=0,"",IFERROR(VLOOKUP(B20,'S-ASIG-04'!$B$5:$E$88,4,0),0))</f>
        <v>4.5999999999999996</v>
      </c>
      <c r="K20" s="71">
        <f>IF(B20=0,"",IFERROR(VLOOKUP(B20,'S-ASIG-05'!$B$5:$E$88,4,0),0))</f>
        <v>3.7</v>
      </c>
      <c r="L20" s="71">
        <f>IF(B20=0,"",IFERROR(VLOOKUP(B20,'S-ASIG-06'!$B$5:$E$88,4,0),0))</f>
        <v>4.0999999999999996</v>
      </c>
      <c r="M20" s="72">
        <f>IF(B20=0,"",IFERROR(VLOOKUP(B20,'S-ASIG-07'!$B$5:$E$88,4,0),0))</f>
        <v>3.9</v>
      </c>
      <c r="N20" s="68" t="s">
        <v>140</v>
      </c>
      <c r="O20" s="70">
        <f>IF(B20=0,"",IFERROR(VLOOKUP(B20,'T-ASIG-01'!$B$5:$D$88,3,0),0))</f>
        <v>4.8000000000000007</v>
      </c>
      <c r="P20" s="71">
        <f>IF(B20=0,"",IFERROR(VLOOKUP(B20,'T-ASIG-02'!$B$5:$D$88,3,0),0))</f>
        <v>4.8000000000000007</v>
      </c>
      <c r="Q20" s="71">
        <f>IF(B20=0,"",IFERROR(VLOOKUP(B20,'T-ASIG-03'!$B$5:$D$88,3,0),0))</f>
        <v>4.8000000000000007</v>
      </c>
      <c r="R20" s="71">
        <f>IF(B20=0,"",IFERROR(VLOOKUP(B20,'T-ASIG-04'!$B$5:$D$88,3,0),0))</f>
        <v>4.8000000000000007</v>
      </c>
      <c r="S20" s="71">
        <f>IF(B20=0,"",IFERROR(VLOOKUP(B20,'T-ASIG-05'!$B$5:$D$88,3,0),0))</f>
        <v>4.8000000000000007</v>
      </c>
      <c r="T20" s="71">
        <f>IF(B20=0,"",IFERROR(VLOOKUP(B20,'T-ASIG-06'!$B$5:$D$88,3,0),0))</f>
        <v>4.5</v>
      </c>
      <c r="U20" s="72">
        <f>IF(B20=0,"",IFERROR(VLOOKUP(B20,'T-ASIG-07'!$B$5:$D$88,3,0),0))</f>
        <v>4.8000000000000007</v>
      </c>
      <c r="V20" s="69" t="s">
        <v>141</v>
      </c>
    </row>
    <row r="21" spans="1:22" ht="15" customHeight="1">
      <c r="A21" s="12">
        <v>17</v>
      </c>
      <c r="B21" s="63" t="str">
        <f>LIDER!C25</f>
        <v>GREYSI HERNANDEZ NIETO</v>
      </c>
      <c r="C21" s="64" t="str">
        <f>IF(B21=0,"",IFERROR(VLOOKUP(B21,'S-ASIG-01'!$B$5:$E$88,2,0),0))</f>
        <v>G04</v>
      </c>
      <c r="D21" s="65">
        <f t="shared" si="2"/>
        <v>4.2366666666666672</v>
      </c>
      <c r="E21" s="66">
        <f t="shared" si="3"/>
        <v>2.25</v>
      </c>
      <c r="F21" s="47"/>
      <c r="G21" s="70">
        <f>IF(B21=0,"",IFERROR(VLOOKUP(B21,'S-ASIG-01'!$B$5:$E$88,4,0),0))</f>
        <v>3.9400000000000004</v>
      </c>
      <c r="H21" s="71">
        <f>IF(B21=0,"",IFERROR(VLOOKUP(B21,'S-ASIG-02'!$B$5:$E$88,4,0),0))</f>
        <v>3.87</v>
      </c>
      <c r="I21" s="71">
        <f>IF(B21=0,"",IFERROR(VLOOKUP(B21,'S-ASIG-03'!$B$5:$E$88,4,0),0))</f>
        <v>0</v>
      </c>
      <c r="J21" s="71">
        <f>IF(B21=0,"",IFERROR(VLOOKUP(B21,'S-ASIG-04'!$B$5:$E$88,4,0),0))</f>
        <v>4.54</v>
      </c>
      <c r="K21" s="71">
        <f>IF(B21=0,"",IFERROR(VLOOKUP(B21,'S-ASIG-05'!$B$5:$E$88,4,0),0))</f>
        <v>4.5</v>
      </c>
      <c r="L21" s="71">
        <f>IF(B21=0,"",IFERROR(VLOOKUP(B21,'S-ASIG-06'!$B$5:$E$88,4,0),0))</f>
        <v>4.22</v>
      </c>
      <c r="M21" s="72">
        <f>IF(B21=0,"",IFERROR(VLOOKUP(B21,'S-ASIG-07'!$B$5:$E$88,4,0),0))</f>
        <v>4.3499999999999996</v>
      </c>
      <c r="N21" s="68" t="s">
        <v>140</v>
      </c>
      <c r="O21" s="70">
        <f>IF(B21=0,"",IFERROR(VLOOKUP(B21,'T-ASIG-01'!$B$5:$D$88,3,0),0))</f>
        <v>2.25</v>
      </c>
      <c r="P21" s="71">
        <f>IF(B21=0,"",IFERROR(VLOOKUP(B21,'T-ASIG-02'!$B$5:$D$88,3,0),0))</f>
        <v>2.25</v>
      </c>
      <c r="Q21" s="71">
        <f>IF(B21=0,"",IFERROR(VLOOKUP(B21,'T-ASIG-03'!$B$5:$D$88,3,0),0))</f>
        <v>2.25</v>
      </c>
      <c r="R21" s="71">
        <f>IF(B21=0,"",IFERROR(VLOOKUP(B21,'T-ASIG-04'!$B$5:$D$88,3,0),0))</f>
        <v>0</v>
      </c>
      <c r="S21" s="71">
        <f>IF(B21=0,"",IFERROR(VLOOKUP(B21,'T-ASIG-05'!$B$5:$D$88,3,0),0))</f>
        <v>0</v>
      </c>
      <c r="T21" s="71">
        <f>IF(B21=0,"",IFERROR(VLOOKUP(B21,'T-ASIG-06'!$B$5:$D$88,3,0),0))</f>
        <v>2.25</v>
      </c>
      <c r="U21" s="72">
        <f>IF(B21=0,"",IFERROR(VLOOKUP(B21,'T-ASIG-07'!$B$5:$D$88,3,0),0))</f>
        <v>2.25</v>
      </c>
      <c r="V21" s="69" t="s">
        <v>141</v>
      </c>
    </row>
    <row r="22" spans="1:22" ht="15" customHeight="1">
      <c r="A22" s="12">
        <v>18</v>
      </c>
      <c r="B22" s="63" t="str">
        <f>LIDER!C26</f>
        <v>ESTEFANY NORIEGA DUNCAN</v>
      </c>
      <c r="C22" s="64" t="str">
        <f>IF(B22=0,"",IFERROR(VLOOKUP(B22,'S-ASIG-01'!$B$5:$E$88,2,0),0))</f>
        <v>G04</v>
      </c>
      <c r="D22" s="65">
        <f t="shared" si="2"/>
        <v>4.2366666666666672</v>
      </c>
      <c r="E22" s="66">
        <f t="shared" si="3"/>
        <v>4.5</v>
      </c>
      <c r="F22" s="47"/>
      <c r="G22" s="70">
        <f>IF(B22=0,"",IFERROR(VLOOKUP(B22,'S-ASIG-01'!$B$5:$E$88,4,0),0))</f>
        <v>3.9400000000000004</v>
      </c>
      <c r="H22" s="71">
        <f>IF(B22=0,"",IFERROR(VLOOKUP(B22,'S-ASIG-02'!$B$5:$E$88,4,0),0))</f>
        <v>3.87</v>
      </c>
      <c r="I22" s="71">
        <f>IF(B22=0,"",IFERROR(VLOOKUP(B22,'S-ASIG-03'!$B$5:$E$88,4,0),0))</f>
        <v>0</v>
      </c>
      <c r="J22" s="71">
        <f>IF(B22=0,"",IFERROR(VLOOKUP(B22,'S-ASIG-04'!$B$5:$E$88,4,0),0))</f>
        <v>4.54</v>
      </c>
      <c r="K22" s="71">
        <f>IF(B22=0,"",IFERROR(VLOOKUP(B22,'S-ASIG-05'!$B$5:$E$88,4,0),0))</f>
        <v>4.5</v>
      </c>
      <c r="L22" s="71">
        <f>IF(B22=0,"",IFERROR(VLOOKUP(B22,'S-ASIG-06'!$B$5:$E$88,4,0),0))</f>
        <v>4.22</v>
      </c>
      <c r="M22" s="72">
        <f>IF(B22=0,"",IFERROR(VLOOKUP(B22,'S-ASIG-07'!$B$5:$E$88,4,0),0))</f>
        <v>4.3499999999999996</v>
      </c>
      <c r="N22" s="68" t="s">
        <v>140</v>
      </c>
      <c r="O22" s="70">
        <f>IF(B22=0,"",IFERROR(VLOOKUP(B22,'T-ASIG-01'!$B$5:$D$88,3,0),0))</f>
        <v>4.5</v>
      </c>
      <c r="P22" s="71">
        <f>IF(B22=0,"",IFERROR(VLOOKUP(B22,'T-ASIG-02'!$B$5:$D$88,3,0),0))</f>
        <v>4.5</v>
      </c>
      <c r="Q22" s="71">
        <f>IF(B22=0,"",IFERROR(VLOOKUP(B22,'T-ASIG-03'!$B$5:$D$88,3,0),0))</f>
        <v>4.5</v>
      </c>
      <c r="R22" s="71">
        <f>IF(B22=0,"",IFERROR(VLOOKUP(B22,'T-ASIG-04'!$B$5:$D$88,3,0),0))</f>
        <v>4.5</v>
      </c>
      <c r="S22" s="71">
        <f>IF(B22=0,"",IFERROR(VLOOKUP(B22,'T-ASIG-05'!$B$5:$D$88,3,0),0))</f>
        <v>4.5</v>
      </c>
      <c r="T22" s="71">
        <f>IF(B22=0,"",IFERROR(VLOOKUP(B22,'T-ASIG-06'!$B$5:$D$88,3,0),0))</f>
        <v>4.5</v>
      </c>
      <c r="U22" s="72">
        <f>IF(B22=0,"",IFERROR(VLOOKUP(B22,'T-ASIG-07'!$B$5:$D$88,3,0),0))</f>
        <v>4.5</v>
      </c>
      <c r="V22" s="69" t="s">
        <v>141</v>
      </c>
    </row>
    <row r="23" spans="1:22" ht="15" customHeight="1">
      <c r="A23" s="12">
        <v>19</v>
      </c>
      <c r="B23" s="63" t="str">
        <f>LIDER!C27</f>
        <v>SHIRLY RECUERO ROMERO</v>
      </c>
      <c r="C23" s="64" t="str">
        <f>IF(B23=0,"",IFERROR(VLOOKUP(B23,'S-ASIG-01'!$B$5:$E$88,2,0),0))</f>
        <v>G04</v>
      </c>
      <c r="D23" s="65">
        <f t="shared" si="2"/>
        <v>4.2366666666666672</v>
      </c>
      <c r="E23" s="66">
        <f t="shared" si="3"/>
        <v>4.1785714285714288</v>
      </c>
      <c r="F23" s="47"/>
      <c r="G23" s="70">
        <f>IF(B23=0,"",IFERROR(VLOOKUP(B23,'S-ASIG-01'!$B$5:$E$88,4,0),0))</f>
        <v>3.9400000000000004</v>
      </c>
      <c r="H23" s="71">
        <f>IF(B23=0,"",IFERROR(VLOOKUP(B23,'S-ASIG-02'!$B$5:$E$88,4,0),0))</f>
        <v>3.87</v>
      </c>
      <c r="I23" s="71">
        <f>IF(B23=0,"",IFERROR(VLOOKUP(B23,'S-ASIG-03'!$B$5:$E$88,4,0),0))</f>
        <v>0</v>
      </c>
      <c r="J23" s="71">
        <f>IF(B23=0,"",IFERROR(VLOOKUP(B23,'S-ASIG-04'!$B$5:$E$88,4,0),0))</f>
        <v>4.54</v>
      </c>
      <c r="K23" s="71">
        <f>IF(B23=0,"",IFERROR(VLOOKUP(B23,'S-ASIG-05'!$B$5:$E$88,4,0),0))</f>
        <v>4.5</v>
      </c>
      <c r="L23" s="71">
        <f>IF(B23=0,"",IFERROR(VLOOKUP(B23,'S-ASIG-06'!$B$5:$E$88,4,0),0))</f>
        <v>4.22</v>
      </c>
      <c r="M23" s="72">
        <f>IF(B23=0,"",IFERROR(VLOOKUP(B23,'S-ASIG-07'!$B$5:$E$88,4,0),0))</f>
        <v>4.3499999999999996</v>
      </c>
      <c r="N23" s="68" t="s">
        <v>140</v>
      </c>
      <c r="O23" s="70">
        <f>IF(B23=0,"",IFERROR(VLOOKUP(B23,'T-ASIG-01'!$B$5:$D$88,3,0),0))</f>
        <v>4.5</v>
      </c>
      <c r="P23" s="71">
        <f>IF(B23=0,"",IFERROR(VLOOKUP(B23,'T-ASIG-02'!$B$5:$D$88,3,0),0))</f>
        <v>4.5</v>
      </c>
      <c r="Q23" s="71">
        <f>IF(B23=0,"",IFERROR(VLOOKUP(B23,'T-ASIG-03'!$B$5:$D$88,3,0),0))</f>
        <v>4.5</v>
      </c>
      <c r="R23" s="71">
        <f>IF(B23=0,"",IFERROR(VLOOKUP(B23,'T-ASIG-04'!$B$5:$D$88,3,0),0))</f>
        <v>4.5</v>
      </c>
      <c r="S23" s="71">
        <f>IF(B23=0,"",IFERROR(VLOOKUP(B23,'T-ASIG-05'!$B$5:$D$88,3,0),0))</f>
        <v>2.25</v>
      </c>
      <c r="T23" s="71">
        <f>IF(B23=0,"",IFERROR(VLOOKUP(B23,'T-ASIG-06'!$B$5:$D$88,3,0),0))</f>
        <v>4.5</v>
      </c>
      <c r="U23" s="72">
        <f>IF(B23=0,"",IFERROR(VLOOKUP(B23,'T-ASIG-07'!$B$5:$D$88,3,0),0))</f>
        <v>4.5</v>
      </c>
      <c r="V23" s="69" t="s">
        <v>141</v>
      </c>
    </row>
    <row r="24" spans="1:22" ht="15" customHeight="1">
      <c r="A24" s="12">
        <v>20</v>
      </c>
      <c r="B24" s="63" t="str">
        <f>LIDER!C28</f>
        <v>BETZABÉ SALCEDO MERCADO</v>
      </c>
      <c r="C24" s="64" t="str">
        <f>IF(B24=0,"",IFERROR(VLOOKUP(B24,'S-ASIG-01'!$B$5:$E$88,2,0),0))</f>
        <v>G04</v>
      </c>
      <c r="D24" s="65">
        <f t="shared" si="2"/>
        <v>4.2366666666666672</v>
      </c>
      <c r="E24" s="66">
        <f t="shared" si="3"/>
        <v>4.5</v>
      </c>
      <c r="F24" s="47"/>
      <c r="G24" s="70">
        <f>IF(B24=0,"",IFERROR(VLOOKUP(B24,'S-ASIG-01'!$B$5:$E$88,4,0),0))</f>
        <v>3.9400000000000004</v>
      </c>
      <c r="H24" s="71">
        <f>IF(B24=0,"",IFERROR(VLOOKUP(B24,'S-ASIG-02'!$B$5:$E$88,4,0),0))</f>
        <v>3.87</v>
      </c>
      <c r="I24" s="71">
        <f>IF(B24=0,"",IFERROR(VLOOKUP(B24,'S-ASIG-03'!$B$5:$E$88,4,0),0))</f>
        <v>0</v>
      </c>
      <c r="J24" s="71">
        <f>IF(B24=0,"",IFERROR(VLOOKUP(B24,'S-ASIG-04'!$B$5:$E$88,4,0),0))</f>
        <v>4.54</v>
      </c>
      <c r="K24" s="71">
        <f>IF(B24=0,"",IFERROR(VLOOKUP(B24,'S-ASIG-05'!$B$5:$E$88,4,0),0))</f>
        <v>4.5</v>
      </c>
      <c r="L24" s="71">
        <f>IF(B24=0,"",IFERROR(VLOOKUP(B24,'S-ASIG-06'!$B$5:$E$88,4,0),0))</f>
        <v>4.22</v>
      </c>
      <c r="M24" s="72">
        <f>IF(B24=0,"",IFERROR(VLOOKUP(B24,'S-ASIG-07'!$B$5:$E$88,4,0),0))</f>
        <v>4.3499999999999996</v>
      </c>
      <c r="N24" s="68" t="s">
        <v>140</v>
      </c>
      <c r="O24" s="70">
        <f>IF(B24=0,"",IFERROR(VLOOKUP(B24,'T-ASIG-01'!$B$5:$D$88,3,0),0))</f>
        <v>4.5</v>
      </c>
      <c r="P24" s="71">
        <f>IF(B24=0,"",IFERROR(VLOOKUP(B24,'T-ASIG-02'!$B$5:$D$88,3,0),0))</f>
        <v>4.5</v>
      </c>
      <c r="Q24" s="71">
        <f>IF(B24=0,"",IFERROR(VLOOKUP(B24,'T-ASIG-03'!$B$5:$D$88,3,0),0))</f>
        <v>4.5</v>
      </c>
      <c r="R24" s="71">
        <f>IF(B24=0,"",IFERROR(VLOOKUP(B24,'T-ASIG-04'!$B$5:$D$88,3,0),0))</f>
        <v>4.5</v>
      </c>
      <c r="S24" s="71">
        <f>IF(B24=0,"",IFERROR(VLOOKUP(B24,'T-ASIG-05'!$B$5:$D$88,3,0),0))</f>
        <v>4.5</v>
      </c>
      <c r="T24" s="71">
        <f>IF(B24=0,"",IFERROR(VLOOKUP(B24,'T-ASIG-06'!$B$5:$D$88,3,0),0))</f>
        <v>4.5</v>
      </c>
      <c r="U24" s="72">
        <f>IF(B24=0,"",IFERROR(VLOOKUP(B24,'T-ASIG-07'!$B$5:$D$88,3,0),0))</f>
        <v>4.5</v>
      </c>
      <c r="V24" s="69" t="s">
        <v>141</v>
      </c>
    </row>
    <row r="25" spans="1:22" ht="15" customHeight="1">
      <c r="A25" s="12">
        <v>21</v>
      </c>
      <c r="B25" s="63" t="str">
        <f>LIDER!C29</f>
        <v>JUAN SEBASTIAN SMITH SILVA</v>
      </c>
      <c r="C25" s="64" t="str">
        <f>IF(B25=0,"",IFERROR(VLOOKUP(B25,'S-ASIG-01'!$B$5:$E$88,2,0),0))</f>
        <v>G04</v>
      </c>
      <c r="D25" s="65">
        <f t="shared" si="2"/>
        <v>4.2366666666666672</v>
      </c>
      <c r="E25" s="66">
        <f t="shared" si="3"/>
        <v>4.5</v>
      </c>
      <c r="F25" s="47"/>
      <c r="G25" s="70">
        <f>IF(B25=0,"",IFERROR(VLOOKUP(B25,'S-ASIG-01'!$B$5:$E$88,4,0),0))</f>
        <v>3.9400000000000004</v>
      </c>
      <c r="H25" s="71">
        <f>IF(B25=0,"",IFERROR(VLOOKUP(B25,'S-ASIG-02'!$B$5:$E$88,4,0),0))</f>
        <v>3.87</v>
      </c>
      <c r="I25" s="71">
        <f>IF(B25=0,"",IFERROR(VLOOKUP(B25,'S-ASIG-03'!$B$5:$E$88,4,0),0))</f>
        <v>0</v>
      </c>
      <c r="J25" s="71">
        <f>IF(B25=0,"",IFERROR(VLOOKUP(B25,'S-ASIG-04'!$B$5:$E$88,4,0),0))</f>
        <v>4.54</v>
      </c>
      <c r="K25" s="71">
        <f>IF(B25=0,"",IFERROR(VLOOKUP(B25,'S-ASIG-05'!$B$5:$E$88,4,0),0))</f>
        <v>4.5</v>
      </c>
      <c r="L25" s="71">
        <f>IF(B25=0,"",IFERROR(VLOOKUP(B25,'S-ASIG-06'!$B$5:$E$88,4,0),0))</f>
        <v>4.22</v>
      </c>
      <c r="M25" s="72">
        <f>IF(B25=0,"",IFERROR(VLOOKUP(B25,'S-ASIG-07'!$B$5:$E$88,4,0),0))</f>
        <v>4.3499999999999996</v>
      </c>
      <c r="N25" s="68" t="s">
        <v>140</v>
      </c>
      <c r="O25" s="70">
        <f>IF(B25=0,"",IFERROR(VLOOKUP(B25,'T-ASIG-01'!$B$5:$D$88,3,0),0))</f>
        <v>4.5</v>
      </c>
      <c r="P25" s="71">
        <f>IF(B25=0,"",IFERROR(VLOOKUP(B25,'T-ASIG-02'!$B$5:$D$88,3,0),0))</f>
        <v>4.5</v>
      </c>
      <c r="Q25" s="71">
        <f>IF(B25=0,"",IFERROR(VLOOKUP(B25,'T-ASIG-03'!$B$5:$D$88,3,0),0))</f>
        <v>4.5</v>
      </c>
      <c r="R25" s="71">
        <f>IF(B25=0,"",IFERROR(VLOOKUP(B25,'T-ASIG-04'!$B$5:$D$88,3,0),0))</f>
        <v>4.5</v>
      </c>
      <c r="S25" s="71">
        <f>IF(B25=0,"",IFERROR(VLOOKUP(B25,'T-ASIG-05'!$B$5:$D$88,3,0),0))</f>
        <v>4.5</v>
      </c>
      <c r="T25" s="71">
        <f>IF(B25=0,"",IFERROR(VLOOKUP(B25,'T-ASIG-06'!$B$5:$D$88,3,0),0))</f>
        <v>4.5</v>
      </c>
      <c r="U25" s="72">
        <f>IF(B25=0,"",IFERROR(VLOOKUP(B25,'T-ASIG-07'!$B$5:$D$88,3,0),0))</f>
        <v>4.5</v>
      </c>
      <c r="V25" s="69" t="s">
        <v>141</v>
      </c>
    </row>
    <row r="26" spans="1:22" ht="15" customHeight="1">
      <c r="A26" s="12">
        <v>22</v>
      </c>
      <c r="B26" s="63" t="str">
        <f>LIDER!C30</f>
        <v>THAIS GABRIELA BLANCO TORRES</v>
      </c>
      <c r="C26" s="64" t="str">
        <f>IF(B26=0,"",IFERROR(VLOOKUP(B26,'S-ASIG-01'!$B$5:$E$88,2,0),0))</f>
        <v>G05</v>
      </c>
      <c r="D26" s="65">
        <f t="shared" si="2"/>
        <v>4.1516666666666664</v>
      </c>
      <c r="E26" s="66">
        <f t="shared" si="3"/>
        <v>4.25</v>
      </c>
      <c r="F26" s="47"/>
      <c r="G26" s="70">
        <f>IF(B26=0,"",IFERROR(VLOOKUP(B26,'S-ASIG-01'!$B$5:$E$88,4,0),0))</f>
        <v>4</v>
      </c>
      <c r="H26" s="71">
        <f>IF(B26=0,"",IFERROR(VLOOKUP(B26,'S-ASIG-02'!$B$5:$E$88,4,0),0))</f>
        <v>4.0599999999999996</v>
      </c>
      <c r="I26" s="71">
        <f>IF(B26=0,"",IFERROR(VLOOKUP(B26,'S-ASIG-03'!$B$5:$E$88,4,0),0))</f>
        <v>0</v>
      </c>
      <c r="J26" s="71">
        <f>IF(B26=0,"",IFERROR(VLOOKUP(B26,'S-ASIG-04'!$B$5:$E$88,4,0),0))</f>
        <v>4.3</v>
      </c>
      <c r="K26" s="71">
        <f>IF(B26=0,"",IFERROR(VLOOKUP(B26,'S-ASIG-05'!$B$5:$E$88,4,0),0))</f>
        <v>3.9999999999999996</v>
      </c>
      <c r="L26" s="71">
        <f>IF(B26=0,"",IFERROR(VLOOKUP(B26,'S-ASIG-06'!$B$5:$E$88,4,0),0))</f>
        <v>4.0999999999999996</v>
      </c>
      <c r="M26" s="72">
        <f>IF(B26=0,"",IFERROR(VLOOKUP(B26,'S-ASIG-07'!$B$5:$E$88,4,0),0))</f>
        <v>4.4499999999999993</v>
      </c>
      <c r="N26" s="68" t="s">
        <v>140</v>
      </c>
      <c r="O26" s="70">
        <f>IF(B26=0,"",IFERROR(VLOOKUP(B26,'T-ASIG-01'!$B$5:$D$88,3,0),0))</f>
        <v>4.25</v>
      </c>
      <c r="P26" s="71">
        <f>IF(B26=0,"",IFERROR(VLOOKUP(B26,'T-ASIG-02'!$B$5:$D$88,3,0),0))</f>
        <v>4.25</v>
      </c>
      <c r="Q26" s="71">
        <f>IF(B26=0,"",IFERROR(VLOOKUP(B26,'T-ASIG-03'!$B$5:$D$88,3,0),0))</f>
        <v>4.25</v>
      </c>
      <c r="R26" s="71">
        <f>IF(B26=0,"",IFERROR(VLOOKUP(B26,'T-ASIG-04'!$B$5:$D$88,3,0),0))</f>
        <v>4.25</v>
      </c>
      <c r="S26" s="71">
        <f>IF(B26=0,"",IFERROR(VLOOKUP(B26,'T-ASIG-05'!$B$5:$D$88,3,0),0))</f>
        <v>4.25</v>
      </c>
      <c r="T26" s="71">
        <f>IF(B26=0,"",IFERROR(VLOOKUP(B26,'T-ASIG-06'!$B$5:$D$88,3,0),0))</f>
        <v>4.25</v>
      </c>
      <c r="U26" s="72">
        <f>IF(B26=0,"",IFERROR(VLOOKUP(B26,'T-ASIG-07'!$B$5:$D$88,3,0),0))</f>
        <v>4.25</v>
      </c>
      <c r="V26" s="69" t="s">
        <v>141</v>
      </c>
    </row>
    <row r="27" spans="1:22" ht="15" customHeight="1">
      <c r="A27" s="12">
        <v>23</v>
      </c>
      <c r="B27" s="63" t="str">
        <f>LIDER!C31</f>
        <v>MARIA JOSE CASANOVA PACHECO</v>
      </c>
      <c r="C27" s="64" t="str">
        <f>IF(B27=0,"",IFERROR(VLOOKUP(B27,'S-ASIG-01'!$B$5:$E$88,2,0),0))</f>
        <v>G05</v>
      </c>
      <c r="D27" s="65">
        <f t="shared" si="2"/>
        <v>4.1516666666666664</v>
      </c>
      <c r="E27" s="66">
        <f t="shared" si="3"/>
        <v>4.25</v>
      </c>
      <c r="F27" s="47"/>
      <c r="G27" s="70">
        <f>IF(B27=0,"",IFERROR(VLOOKUP(B27,'S-ASIG-01'!$B$5:$E$88,4,0),0))</f>
        <v>4</v>
      </c>
      <c r="H27" s="71">
        <f>IF(B27=0,"",IFERROR(VLOOKUP(B27,'S-ASIG-02'!$B$5:$E$88,4,0),0))</f>
        <v>4.0599999999999996</v>
      </c>
      <c r="I27" s="71">
        <f>IF(B27=0,"",IFERROR(VLOOKUP(B27,'S-ASIG-03'!$B$5:$E$88,4,0),0))</f>
        <v>0</v>
      </c>
      <c r="J27" s="71">
        <f>IF(B27=0,"",IFERROR(VLOOKUP(B27,'S-ASIG-04'!$B$5:$E$88,4,0),0))</f>
        <v>4.3</v>
      </c>
      <c r="K27" s="71">
        <f>IF(B27=0,"",IFERROR(VLOOKUP(B27,'S-ASIG-05'!$B$5:$E$88,4,0),0))</f>
        <v>3.9999999999999996</v>
      </c>
      <c r="L27" s="71">
        <f>IF(B27=0,"",IFERROR(VLOOKUP(B27,'S-ASIG-06'!$B$5:$E$88,4,0),0))</f>
        <v>4.0999999999999996</v>
      </c>
      <c r="M27" s="72">
        <f>IF(B27=0,"",IFERROR(VLOOKUP(B27,'S-ASIG-07'!$B$5:$E$88,4,0),0))</f>
        <v>4.4499999999999993</v>
      </c>
      <c r="N27" s="68" t="s">
        <v>140</v>
      </c>
      <c r="O27" s="70">
        <f>IF(B27=0,"",IFERROR(VLOOKUP(B27,'T-ASIG-01'!$B$5:$D$88,3,0),0))</f>
        <v>4.25</v>
      </c>
      <c r="P27" s="71">
        <f>IF(B27=0,"",IFERROR(VLOOKUP(B27,'T-ASIG-02'!$B$5:$D$88,3,0),0))</f>
        <v>4.25</v>
      </c>
      <c r="Q27" s="71">
        <f>IF(B27=0,"",IFERROR(VLOOKUP(B27,'T-ASIG-03'!$B$5:$D$88,3,0),0))</f>
        <v>4.25</v>
      </c>
      <c r="R27" s="71">
        <f>IF(B27=0,"",IFERROR(VLOOKUP(B27,'T-ASIG-04'!$B$5:$D$88,3,0),0))</f>
        <v>4.25</v>
      </c>
      <c r="S27" s="71">
        <f>IF(B27=0,"",IFERROR(VLOOKUP(B27,'T-ASIG-05'!$B$5:$D$88,3,0),0))</f>
        <v>4.25</v>
      </c>
      <c r="T27" s="71">
        <f>IF(B27=0,"",IFERROR(VLOOKUP(B27,'T-ASIG-06'!$B$5:$D$88,3,0),0))</f>
        <v>4.25</v>
      </c>
      <c r="U27" s="72">
        <f>IF(B27=0,"",IFERROR(VLOOKUP(B27,'T-ASIG-07'!$B$5:$D$88,3,0),0))</f>
        <v>4.25</v>
      </c>
      <c r="V27" s="69" t="s">
        <v>141</v>
      </c>
    </row>
    <row r="28" spans="1:22" ht="15" customHeight="1">
      <c r="A28" s="12">
        <v>24</v>
      </c>
      <c r="B28" s="63" t="str">
        <f>LIDER!C32</f>
        <v>ISELA ALEJANDRA DE HORTA  IBAÑEZ</v>
      </c>
      <c r="C28" s="64" t="str">
        <f>IF(B28=0,"",IFERROR(VLOOKUP(B28,'S-ASIG-01'!$B$5:$E$88,2,0),0))</f>
        <v>G05</v>
      </c>
      <c r="D28" s="65">
        <f t="shared" si="2"/>
        <v>4.1516666666666664</v>
      </c>
      <c r="E28" s="66">
        <f t="shared" si="3"/>
        <v>4.25</v>
      </c>
      <c r="F28" s="47"/>
      <c r="G28" s="70">
        <f>IF(B28=0,"",IFERROR(VLOOKUP(B28,'S-ASIG-01'!$B$5:$E$88,4,0),0))</f>
        <v>4</v>
      </c>
      <c r="H28" s="71">
        <f>IF(B28=0,"",IFERROR(VLOOKUP(B28,'S-ASIG-02'!$B$5:$E$88,4,0),0))</f>
        <v>4.0599999999999996</v>
      </c>
      <c r="I28" s="71">
        <f>IF(B28=0,"",IFERROR(VLOOKUP(B28,'S-ASIG-03'!$B$5:$E$88,4,0),0))</f>
        <v>0</v>
      </c>
      <c r="J28" s="71">
        <f>IF(B28=0,"",IFERROR(VLOOKUP(B28,'S-ASIG-04'!$B$5:$E$88,4,0),0))</f>
        <v>4.3</v>
      </c>
      <c r="K28" s="71">
        <f>IF(B28=0,"",IFERROR(VLOOKUP(B28,'S-ASIG-05'!$B$5:$E$88,4,0),0))</f>
        <v>3.9999999999999996</v>
      </c>
      <c r="L28" s="71">
        <f>IF(B28=0,"",IFERROR(VLOOKUP(B28,'S-ASIG-06'!$B$5:$E$88,4,0),0))</f>
        <v>4.0999999999999996</v>
      </c>
      <c r="M28" s="72">
        <f>IF(B28=0,"",IFERROR(VLOOKUP(B28,'S-ASIG-07'!$B$5:$E$88,4,0),0))</f>
        <v>4.4499999999999993</v>
      </c>
      <c r="N28" s="68" t="s">
        <v>140</v>
      </c>
      <c r="O28" s="70">
        <f>IF(B28=0,"",IFERROR(VLOOKUP(B28,'T-ASIG-01'!$B$5:$D$88,3,0),0))</f>
        <v>4.25</v>
      </c>
      <c r="P28" s="71">
        <f>IF(B28=0,"",IFERROR(VLOOKUP(B28,'T-ASIG-02'!$B$5:$D$88,3,0),0))</f>
        <v>4.25</v>
      </c>
      <c r="Q28" s="71">
        <f>IF(B28=0,"",IFERROR(VLOOKUP(B28,'T-ASIG-03'!$B$5:$D$88,3,0),0))</f>
        <v>4.25</v>
      </c>
      <c r="R28" s="71">
        <f>IF(B28=0,"",IFERROR(VLOOKUP(B28,'T-ASIG-04'!$B$5:$D$88,3,0),0))</f>
        <v>4.25</v>
      </c>
      <c r="S28" s="71">
        <f>IF(B28=0,"",IFERROR(VLOOKUP(B28,'T-ASIG-05'!$B$5:$D$88,3,0),0))</f>
        <v>4.25</v>
      </c>
      <c r="T28" s="71">
        <f>IF(B28=0,"",IFERROR(VLOOKUP(B28,'T-ASIG-06'!$B$5:$D$88,3,0),0))</f>
        <v>4.25</v>
      </c>
      <c r="U28" s="72">
        <f>IF(B28=0,"",IFERROR(VLOOKUP(B28,'T-ASIG-07'!$B$5:$D$88,3,0),0))</f>
        <v>4.25</v>
      </c>
      <c r="V28" s="69" t="s">
        <v>141</v>
      </c>
    </row>
    <row r="29" spans="1:22" ht="15" customHeight="1">
      <c r="A29" s="12">
        <v>25</v>
      </c>
      <c r="B29" s="63" t="str">
        <f>LIDER!C33</f>
        <v>SARAY CAROLINA OTERO THYME</v>
      </c>
      <c r="C29" s="64" t="str">
        <f>IF(B29=0,"",IFERROR(VLOOKUP(B29,'S-ASIG-01'!$B$5:$E$88,2,0),0))</f>
        <v>G05</v>
      </c>
      <c r="D29" s="65">
        <f t="shared" si="2"/>
        <v>4.1516666666666664</v>
      </c>
      <c r="E29" s="66">
        <f t="shared" si="3"/>
        <v>4.25</v>
      </c>
      <c r="F29" s="47"/>
      <c r="G29" s="70">
        <f>IF(B29=0,"",IFERROR(VLOOKUP(B29,'S-ASIG-01'!$B$5:$E$88,4,0),0))</f>
        <v>4</v>
      </c>
      <c r="H29" s="71">
        <f>IF(B29=0,"",IFERROR(VLOOKUP(B29,'S-ASIG-02'!$B$5:$E$88,4,0),0))</f>
        <v>4.0599999999999996</v>
      </c>
      <c r="I29" s="71">
        <f>IF(B29=0,"",IFERROR(VLOOKUP(B29,'S-ASIG-03'!$B$5:$E$88,4,0),0))</f>
        <v>0</v>
      </c>
      <c r="J29" s="71">
        <f>IF(B29=0,"",IFERROR(VLOOKUP(B29,'S-ASIG-04'!$B$5:$E$88,4,0),0))</f>
        <v>4.3</v>
      </c>
      <c r="K29" s="71">
        <f>IF(B29=0,"",IFERROR(VLOOKUP(B29,'S-ASIG-05'!$B$5:$E$88,4,0),0))</f>
        <v>3.9999999999999996</v>
      </c>
      <c r="L29" s="71">
        <f>IF(B29=0,"",IFERROR(VLOOKUP(B29,'S-ASIG-06'!$B$5:$E$88,4,0),0))</f>
        <v>4.0999999999999996</v>
      </c>
      <c r="M29" s="72">
        <f>IF(B29=0,"",IFERROR(VLOOKUP(B29,'S-ASIG-07'!$B$5:$E$88,4,0),0))</f>
        <v>4.4499999999999993</v>
      </c>
      <c r="N29" s="68" t="s">
        <v>140</v>
      </c>
      <c r="O29" s="70">
        <f>IF(B29=0,"",IFERROR(VLOOKUP(B29,'T-ASIG-01'!$B$5:$D$88,3,0),0))</f>
        <v>4.25</v>
      </c>
      <c r="P29" s="71">
        <f>IF(B29=0,"",IFERROR(VLOOKUP(B29,'T-ASIG-02'!$B$5:$D$88,3,0),0))</f>
        <v>4.25</v>
      </c>
      <c r="Q29" s="71">
        <f>IF(B29=0,"",IFERROR(VLOOKUP(B29,'T-ASIG-03'!$B$5:$D$88,3,0),0))</f>
        <v>4.25</v>
      </c>
      <c r="R29" s="71">
        <f>IF(B29=0,"",IFERROR(VLOOKUP(B29,'T-ASIG-04'!$B$5:$D$88,3,0),0))</f>
        <v>4.25</v>
      </c>
      <c r="S29" s="71">
        <f>IF(B29=0,"",IFERROR(VLOOKUP(B29,'T-ASIG-05'!$B$5:$D$88,3,0),0))</f>
        <v>4.25</v>
      </c>
      <c r="T29" s="71">
        <f>IF(B29=0,"",IFERROR(VLOOKUP(B29,'T-ASIG-06'!$B$5:$D$88,3,0),0))</f>
        <v>4.25</v>
      </c>
      <c r="U29" s="72">
        <f>IF(B29=0,"",IFERROR(VLOOKUP(B29,'T-ASIG-07'!$B$5:$D$88,3,0),0))</f>
        <v>4.25</v>
      </c>
      <c r="V29" s="69" t="s">
        <v>141</v>
      </c>
    </row>
    <row r="30" spans="1:22" ht="15" customHeight="1">
      <c r="A30" s="12">
        <v>26</v>
      </c>
      <c r="B30" s="63" t="str">
        <f>LIDER!C34</f>
        <v>VICTOR JAVIER ORTEGA ESPINOSA</v>
      </c>
      <c r="C30" s="64" t="str">
        <f>IF(B30=0,"",IFERROR(VLOOKUP(B30,'S-ASIG-01'!$B$5:$E$88,2,0),0))</f>
        <v>G06</v>
      </c>
      <c r="D30" s="65">
        <f t="shared" si="2"/>
        <v>3.4400000000000004</v>
      </c>
      <c r="E30" s="66">
        <f t="shared" si="3"/>
        <v>0</v>
      </c>
      <c r="F30" s="47"/>
      <c r="G30" s="70">
        <f>IF(B30=0,"",IFERROR(VLOOKUP(B30,'S-ASIG-01'!$B$5:$E$88,4,0),0))</f>
        <v>0</v>
      </c>
      <c r="H30" s="71">
        <f>IF(B30=0,"",IFERROR(VLOOKUP(B30,'S-ASIG-02'!$B$5:$E$88,4,0),0))</f>
        <v>0</v>
      </c>
      <c r="I30" s="71">
        <f>IF(B30=0,"",IFERROR(VLOOKUP(B30,'S-ASIG-03'!$B$5:$E$88,4,0),0))</f>
        <v>0</v>
      </c>
      <c r="J30" s="71">
        <f>IF(B30=0,"",IFERROR(VLOOKUP(B30,'S-ASIG-04'!$B$5:$E$88,4,0),0))</f>
        <v>3.4400000000000004</v>
      </c>
      <c r="K30" s="71">
        <f>IF(B30=0,"",IFERROR(VLOOKUP(B30,'S-ASIG-05'!$B$5:$E$88,4,0),0))</f>
        <v>0</v>
      </c>
      <c r="L30" s="71">
        <f>IF(B30=0,"",IFERROR(VLOOKUP(B30,'S-ASIG-06'!$B$5:$E$88,4,0),0))</f>
        <v>0</v>
      </c>
      <c r="M30" s="72">
        <f>IF(B30=0,"",IFERROR(VLOOKUP(B30,'S-ASIG-07'!$B$5:$E$88,4,0),0))</f>
        <v>0</v>
      </c>
      <c r="N30" s="68" t="s">
        <v>140</v>
      </c>
      <c r="O30" s="70">
        <f>IF(B30=0,"",IFERROR(VLOOKUP(B30,'T-ASIG-01'!$B$5:$D$88,3,0),0))</f>
        <v>0</v>
      </c>
      <c r="P30" s="71">
        <f>IF(B30=0,"",IFERROR(VLOOKUP(B30,'T-ASIG-02'!$B$5:$D$88,3,0),0))</f>
        <v>0</v>
      </c>
      <c r="Q30" s="71">
        <f>IF(B30=0,"",IFERROR(VLOOKUP(B30,'T-ASIG-03'!$B$5:$D$88,3,0),0))</f>
        <v>0</v>
      </c>
      <c r="R30" s="71">
        <f>IF(B30=0,"",IFERROR(VLOOKUP(B30,'T-ASIG-04'!$B$5:$D$88,3,0),0))</f>
        <v>0</v>
      </c>
      <c r="S30" s="71">
        <f>IF(B30=0,"",IFERROR(VLOOKUP(B30,'T-ASIG-05'!$B$5:$D$88,3,0),0))</f>
        <v>0</v>
      </c>
      <c r="T30" s="71">
        <f>IF(B30=0,"",IFERROR(VLOOKUP(B30,'T-ASIG-06'!$B$5:$D$88,3,0),0))</f>
        <v>0</v>
      </c>
      <c r="U30" s="72">
        <f>IF(B30=0,"",IFERROR(VLOOKUP(B30,'T-ASIG-07'!$B$5:$D$88,3,0),0))</f>
        <v>0</v>
      </c>
      <c r="V30" s="69" t="s">
        <v>141</v>
      </c>
    </row>
    <row r="31" spans="1:22" ht="15" customHeight="1">
      <c r="A31" s="12">
        <v>27</v>
      </c>
      <c r="B31" s="63" t="str">
        <f>LIDER!C35</f>
        <v>DIEGO BUSTAMANTE CARABALLO</v>
      </c>
      <c r="C31" s="64" t="str">
        <f>IF(B31=0,"",IFERROR(VLOOKUP(B31,'S-ASIG-01'!$B$5:$E$88,2,0),0))</f>
        <v>G07</v>
      </c>
      <c r="D31" s="65">
        <f t="shared" si="2"/>
        <v>3.99</v>
      </c>
      <c r="E31" s="66">
        <f t="shared" si="3"/>
        <v>4.1642857142857146</v>
      </c>
      <c r="F31" s="47"/>
      <c r="G31" s="70">
        <f>IF(B31=0,"",IFERROR(VLOOKUP(B31,'S-ASIG-01'!$B$5:$E$88,4,0),0))</f>
        <v>3.5500000000000003</v>
      </c>
      <c r="H31" s="71">
        <f>IF(B31=0,"",IFERROR(VLOOKUP(B31,'S-ASIG-02'!$B$5:$E$88,4,0),0))</f>
        <v>3.6100000000000003</v>
      </c>
      <c r="I31" s="71">
        <f>IF(B31=0,"",IFERROR(VLOOKUP(B31,'S-ASIG-03'!$B$5:$E$88,4,0),0))</f>
        <v>0</v>
      </c>
      <c r="J31" s="71">
        <f>IF(B31=0,"",IFERROR(VLOOKUP(B31,'S-ASIG-04'!$B$5:$E$88,4,0),0))</f>
        <v>4.41</v>
      </c>
      <c r="K31" s="71">
        <f>IF(B31=0,"",IFERROR(VLOOKUP(B31,'S-ASIG-05'!$B$5:$E$88,4,0),0))</f>
        <v>4.5</v>
      </c>
      <c r="L31" s="71">
        <f>IF(B31=0,"",IFERROR(VLOOKUP(B31,'S-ASIG-06'!$B$5:$E$88,4,0),0))</f>
        <v>3.8699999999999997</v>
      </c>
      <c r="M31" s="72">
        <f>IF(B31=0,"",IFERROR(VLOOKUP(B31,'S-ASIG-07'!$B$5:$E$88,4,0),0))</f>
        <v>3.9999999999999996</v>
      </c>
      <c r="N31" s="68" t="s">
        <v>140</v>
      </c>
      <c r="O31" s="70">
        <f>IF(B31=0,"",IFERROR(VLOOKUP(B31,'T-ASIG-01'!$B$5:$D$88,3,0),0))</f>
        <v>4.4000000000000004</v>
      </c>
      <c r="P31" s="71">
        <f>IF(B31=0,"",IFERROR(VLOOKUP(B31,'T-ASIG-02'!$B$5:$D$88,3,0),0))</f>
        <v>4.3250000000000002</v>
      </c>
      <c r="Q31" s="71">
        <f>IF(B31=0,"",IFERROR(VLOOKUP(B31,'T-ASIG-03'!$B$5:$D$88,3,0),0))</f>
        <v>4</v>
      </c>
      <c r="R31" s="71">
        <f>IF(B31=0,"",IFERROR(VLOOKUP(B31,'T-ASIG-04'!$B$5:$D$88,3,0),0))</f>
        <v>4</v>
      </c>
      <c r="S31" s="71">
        <f>IF(B31=0,"",IFERROR(VLOOKUP(B31,'T-ASIG-05'!$B$5:$D$88,3,0),0))</f>
        <v>4</v>
      </c>
      <c r="T31" s="71">
        <f>IF(B31=0,"",IFERROR(VLOOKUP(B31,'T-ASIG-06'!$B$5:$D$88,3,0),0))</f>
        <v>4.0999999999999996</v>
      </c>
      <c r="U31" s="72">
        <f>IF(B31=0,"",IFERROR(VLOOKUP(B31,'T-ASIG-07'!$B$5:$D$88,3,0),0))</f>
        <v>4.3250000000000002</v>
      </c>
      <c r="V31" s="69" t="s">
        <v>141</v>
      </c>
    </row>
    <row r="32" spans="1:22" ht="15" customHeight="1">
      <c r="A32" s="12">
        <v>28</v>
      </c>
      <c r="B32" s="63" t="str">
        <f>LIDER!C36</f>
        <v>YULIZA PAHOLA CIPRIAN MONTALVO</v>
      </c>
      <c r="C32" s="64" t="str">
        <f>IF(B32=0,"",IFERROR(VLOOKUP(B32,'S-ASIG-01'!$B$5:$E$88,2,0),0))</f>
        <v>G07</v>
      </c>
      <c r="D32" s="65">
        <f t="shared" si="2"/>
        <v>3.99</v>
      </c>
      <c r="E32" s="66">
        <f t="shared" si="3"/>
        <v>4.0785714285714283</v>
      </c>
      <c r="F32" s="47"/>
      <c r="G32" s="70">
        <f>IF(B32=0,"",IFERROR(VLOOKUP(B32,'S-ASIG-01'!$B$5:$E$88,4,0),0))</f>
        <v>3.5500000000000003</v>
      </c>
      <c r="H32" s="71">
        <f>IF(B32=0,"",IFERROR(VLOOKUP(B32,'S-ASIG-02'!$B$5:$E$88,4,0),0))</f>
        <v>3.6100000000000003</v>
      </c>
      <c r="I32" s="71">
        <f>IF(B32=0,"",IFERROR(VLOOKUP(B32,'S-ASIG-03'!$B$5:$E$88,4,0),0))</f>
        <v>0</v>
      </c>
      <c r="J32" s="71">
        <f>IF(B32=0,"",IFERROR(VLOOKUP(B32,'S-ASIG-04'!$B$5:$E$88,4,0),0))</f>
        <v>4.41</v>
      </c>
      <c r="K32" s="71">
        <f>IF(B32=0,"",IFERROR(VLOOKUP(B32,'S-ASIG-05'!$B$5:$E$88,4,0),0))</f>
        <v>4.5</v>
      </c>
      <c r="L32" s="71">
        <f>IF(B32=0,"",IFERROR(VLOOKUP(B32,'S-ASIG-06'!$B$5:$E$88,4,0),0))</f>
        <v>3.8699999999999997</v>
      </c>
      <c r="M32" s="72">
        <f>IF(B32=0,"",IFERROR(VLOOKUP(B32,'S-ASIG-07'!$B$5:$E$88,4,0),0))</f>
        <v>3.9999999999999996</v>
      </c>
      <c r="N32" s="68" t="s">
        <v>140</v>
      </c>
      <c r="O32" s="70">
        <f>IF(B32=0,"",IFERROR(VLOOKUP(B32,'T-ASIG-01'!$B$5:$D$88,3,0),0))</f>
        <v>4.1500000000000004</v>
      </c>
      <c r="P32" s="71">
        <f>IF(B32=0,"",IFERROR(VLOOKUP(B32,'T-ASIG-02'!$B$5:$D$88,3,0),0))</f>
        <v>4.1500000000000004</v>
      </c>
      <c r="Q32" s="71">
        <f>IF(B32=0,"",IFERROR(VLOOKUP(B32,'T-ASIG-03'!$B$5:$D$88,3,0),0))</f>
        <v>4</v>
      </c>
      <c r="R32" s="71">
        <f>IF(B32=0,"",IFERROR(VLOOKUP(B32,'T-ASIG-04'!$B$5:$D$88,3,0),0))</f>
        <v>4</v>
      </c>
      <c r="S32" s="71">
        <f>IF(B32=0,"",IFERROR(VLOOKUP(B32,'T-ASIG-05'!$B$5:$D$88,3,0),0))</f>
        <v>4</v>
      </c>
      <c r="T32" s="71">
        <f>IF(B32=0,"",IFERROR(VLOOKUP(B32,'T-ASIG-06'!$B$5:$D$88,3,0),0))</f>
        <v>4.0999999999999996</v>
      </c>
      <c r="U32" s="72">
        <f>IF(B32=0,"",IFERROR(VLOOKUP(B32,'T-ASIG-07'!$B$5:$D$88,3,0),0))</f>
        <v>4.1500000000000004</v>
      </c>
      <c r="V32" s="69" t="s">
        <v>141</v>
      </c>
    </row>
    <row r="33" spans="1:22" ht="15" customHeight="1">
      <c r="A33" s="12">
        <v>29</v>
      </c>
      <c r="B33" s="63" t="str">
        <f>LIDER!C37</f>
        <v>JESUS ALBERTO LARA ANGULO</v>
      </c>
      <c r="C33" s="64" t="str">
        <f>IF(B33=0,"",IFERROR(VLOOKUP(B33,'S-ASIG-01'!$B$5:$E$88,2,0),0))</f>
        <v>G07</v>
      </c>
      <c r="D33" s="65">
        <f t="shared" si="2"/>
        <v>3.99</v>
      </c>
      <c r="E33" s="66">
        <f t="shared" si="3"/>
        <v>4.0785714285714283</v>
      </c>
      <c r="F33" s="47"/>
      <c r="G33" s="70">
        <f>IF(B33=0,"",IFERROR(VLOOKUP(B33,'S-ASIG-01'!$B$5:$E$88,4,0),0))</f>
        <v>3.5500000000000003</v>
      </c>
      <c r="H33" s="71">
        <f>IF(B33=0,"",IFERROR(VLOOKUP(B33,'S-ASIG-02'!$B$5:$E$88,4,0),0))</f>
        <v>3.6100000000000003</v>
      </c>
      <c r="I33" s="71">
        <f>IF(B33=0,"",IFERROR(VLOOKUP(B33,'S-ASIG-03'!$B$5:$E$88,4,0),0))</f>
        <v>0</v>
      </c>
      <c r="J33" s="71">
        <f>IF(B33=0,"",IFERROR(VLOOKUP(B33,'S-ASIG-04'!$B$5:$E$88,4,0),0))</f>
        <v>4.41</v>
      </c>
      <c r="K33" s="71">
        <f>IF(B33=0,"",IFERROR(VLOOKUP(B33,'S-ASIG-05'!$B$5:$E$88,4,0),0))</f>
        <v>4.5</v>
      </c>
      <c r="L33" s="71">
        <f>IF(B33=0,"",IFERROR(VLOOKUP(B33,'S-ASIG-06'!$B$5:$E$88,4,0),0))</f>
        <v>3.8699999999999997</v>
      </c>
      <c r="M33" s="72">
        <f>IF(B33=0,"",IFERROR(VLOOKUP(B33,'S-ASIG-07'!$B$5:$E$88,4,0),0))</f>
        <v>3.9999999999999996</v>
      </c>
      <c r="N33" s="68" t="s">
        <v>140</v>
      </c>
      <c r="O33" s="70">
        <f>IF(B33=0,"",IFERROR(VLOOKUP(B33,'T-ASIG-01'!$B$5:$D$88,3,0),0))</f>
        <v>4.1500000000000004</v>
      </c>
      <c r="P33" s="71">
        <f>IF(B33=0,"",IFERROR(VLOOKUP(B33,'T-ASIG-02'!$B$5:$D$88,3,0),0))</f>
        <v>4.1500000000000004</v>
      </c>
      <c r="Q33" s="71">
        <f>IF(B33=0,"",IFERROR(VLOOKUP(B33,'T-ASIG-03'!$B$5:$D$88,3,0),0))</f>
        <v>4</v>
      </c>
      <c r="R33" s="71">
        <f>IF(B33=0,"",IFERROR(VLOOKUP(B33,'T-ASIG-04'!$B$5:$D$88,3,0),0))</f>
        <v>4</v>
      </c>
      <c r="S33" s="71">
        <f>IF(B33=0,"",IFERROR(VLOOKUP(B33,'T-ASIG-05'!$B$5:$D$88,3,0),0))</f>
        <v>4</v>
      </c>
      <c r="T33" s="71">
        <f>IF(B33=0,"",IFERROR(VLOOKUP(B33,'T-ASIG-06'!$B$5:$D$88,3,0),0))</f>
        <v>4.0999999999999996</v>
      </c>
      <c r="U33" s="72">
        <f>IF(B33=0,"",IFERROR(VLOOKUP(B33,'T-ASIG-07'!$B$5:$D$88,3,0),0))</f>
        <v>4.1500000000000004</v>
      </c>
      <c r="V33" s="69" t="s">
        <v>141</v>
      </c>
    </row>
    <row r="34" spans="1:22" ht="15" customHeight="1">
      <c r="A34" s="12">
        <v>30</v>
      </c>
      <c r="B34" s="63" t="str">
        <f>LIDER!C38</f>
        <v>MILAGRO CECILIA PEREZ MARTINEZ</v>
      </c>
      <c r="C34" s="64" t="str">
        <f>IF(B34=0,"",IFERROR(VLOOKUP(B34,'S-ASIG-01'!$B$5:$E$88,2,0),0))</f>
        <v>G07</v>
      </c>
      <c r="D34" s="65">
        <f t="shared" si="2"/>
        <v>3.99</v>
      </c>
      <c r="E34" s="66">
        <f t="shared" si="3"/>
        <v>4.1071428571428568</v>
      </c>
      <c r="F34" s="47"/>
      <c r="G34" s="70">
        <f>IF(B34=0,"",IFERROR(VLOOKUP(B34,'S-ASIG-01'!$B$5:$E$88,4,0),0))</f>
        <v>3.5500000000000003</v>
      </c>
      <c r="H34" s="71">
        <f>IF(B34=0,"",IFERROR(VLOOKUP(B34,'S-ASIG-02'!$B$5:$E$88,4,0),0))</f>
        <v>3.6100000000000003</v>
      </c>
      <c r="I34" s="71">
        <f>IF(B34=0,"",IFERROR(VLOOKUP(B34,'S-ASIG-03'!$B$5:$E$88,4,0),0))</f>
        <v>0</v>
      </c>
      <c r="J34" s="71">
        <f>IF(B34=0,"",IFERROR(VLOOKUP(B34,'S-ASIG-04'!$B$5:$E$88,4,0),0))</f>
        <v>4.41</v>
      </c>
      <c r="K34" s="71">
        <f>IF(B34=0,"",IFERROR(VLOOKUP(B34,'S-ASIG-05'!$B$5:$E$88,4,0),0))</f>
        <v>4.5</v>
      </c>
      <c r="L34" s="71">
        <f>IF(B34=0,"",IFERROR(VLOOKUP(B34,'S-ASIG-06'!$B$5:$E$88,4,0),0))</f>
        <v>3.8699999999999997</v>
      </c>
      <c r="M34" s="72">
        <f>IF(B34=0,"",IFERROR(VLOOKUP(B34,'S-ASIG-07'!$B$5:$E$88,4,0),0))</f>
        <v>3.9999999999999996</v>
      </c>
      <c r="N34" s="68" t="s">
        <v>140</v>
      </c>
      <c r="O34" s="70">
        <f>IF(B34=0,"",IFERROR(VLOOKUP(B34,'T-ASIG-01'!$B$5:$D$88,3,0),0))</f>
        <v>4.1500000000000004</v>
      </c>
      <c r="P34" s="71">
        <f>IF(B34=0,"",IFERROR(VLOOKUP(B34,'T-ASIG-02'!$B$5:$D$88,3,0),0))</f>
        <v>4.1500000000000004</v>
      </c>
      <c r="Q34" s="71">
        <f>IF(B34=0,"",IFERROR(VLOOKUP(B34,'T-ASIG-03'!$B$5:$D$88,3,0),0))</f>
        <v>4</v>
      </c>
      <c r="R34" s="71">
        <f>IF(B34=0,"",IFERROR(VLOOKUP(B34,'T-ASIG-04'!$B$5:$D$88,3,0),0))</f>
        <v>4</v>
      </c>
      <c r="S34" s="71">
        <f>IF(B34=0,"",IFERROR(VLOOKUP(B34,'T-ASIG-05'!$B$5:$D$88,3,0),0))</f>
        <v>4</v>
      </c>
      <c r="T34" s="71">
        <f>IF(B34=0,"",IFERROR(VLOOKUP(B34,'T-ASIG-06'!$B$5:$D$88,3,0),0))</f>
        <v>4.3000000000000007</v>
      </c>
      <c r="U34" s="72">
        <f>IF(B34=0,"",IFERROR(VLOOKUP(B34,'T-ASIG-07'!$B$5:$D$88,3,0),0))</f>
        <v>4.1500000000000004</v>
      </c>
      <c r="V34" s="69" t="s">
        <v>141</v>
      </c>
    </row>
    <row r="35" spans="1:22" ht="15" customHeight="1">
      <c r="A35" s="12">
        <v>31</v>
      </c>
      <c r="B35" s="63" t="str">
        <f>LIDER!C39</f>
        <v>MARIA FERNANDA QUIROZ PEREZ</v>
      </c>
      <c r="C35" s="64" t="str">
        <f>IF(B35=0,"",IFERROR(VLOOKUP(B35,'S-ASIG-01'!$B$5:$E$88,2,0),0))</f>
        <v>G07</v>
      </c>
      <c r="D35" s="65">
        <f t="shared" si="2"/>
        <v>3.99</v>
      </c>
      <c r="E35" s="66">
        <f t="shared" si="3"/>
        <v>4.2714285714285714</v>
      </c>
      <c r="F35" s="47"/>
      <c r="G35" s="70">
        <f>IF(B35=0,"",IFERROR(VLOOKUP(B35,'S-ASIG-01'!$B$5:$E$88,4,0),0))</f>
        <v>3.5500000000000003</v>
      </c>
      <c r="H35" s="71">
        <f>IF(B35=0,"",IFERROR(VLOOKUP(B35,'S-ASIG-02'!$B$5:$E$88,4,0),0))</f>
        <v>3.6100000000000003</v>
      </c>
      <c r="I35" s="71">
        <f>IF(B35=0,"",IFERROR(VLOOKUP(B35,'S-ASIG-03'!$B$5:$E$88,4,0),0))</f>
        <v>0</v>
      </c>
      <c r="J35" s="71">
        <f>IF(B35=0,"",IFERROR(VLOOKUP(B35,'S-ASIG-04'!$B$5:$E$88,4,0),0))</f>
        <v>4.41</v>
      </c>
      <c r="K35" s="71">
        <f>IF(B35=0,"",IFERROR(VLOOKUP(B35,'S-ASIG-05'!$B$5:$E$88,4,0),0))</f>
        <v>4.5</v>
      </c>
      <c r="L35" s="71">
        <f>IF(B35=0,"",IFERROR(VLOOKUP(B35,'S-ASIG-06'!$B$5:$E$88,4,0),0))</f>
        <v>3.8699999999999997</v>
      </c>
      <c r="M35" s="72">
        <f>IF(B35=0,"",IFERROR(VLOOKUP(B35,'S-ASIG-07'!$B$5:$E$88,4,0),0))</f>
        <v>3.9999999999999996</v>
      </c>
      <c r="N35" s="68" t="s">
        <v>140</v>
      </c>
      <c r="O35" s="70">
        <f>IF(B35=0,"",IFERROR(VLOOKUP(B35,'T-ASIG-01'!$B$5:$D$88,3,0),0))</f>
        <v>4.4000000000000004</v>
      </c>
      <c r="P35" s="71">
        <f>IF(B35=0,"",IFERROR(VLOOKUP(B35,'T-ASIG-02'!$B$5:$D$88,3,0),0))</f>
        <v>4.3250000000000002</v>
      </c>
      <c r="Q35" s="71">
        <f>IF(B35=0,"",IFERROR(VLOOKUP(B35,'T-ASIG-03'!$B$5:$D$88,3,0),0))</f>
        <v>4.25</v>
      </c>
      <c r="R35" s="71">
        <f>IF(B35=0,"",IFERROR(VLOOKUP(B35,'T-ASIG-04'!$B$5:$D$88,3,0),0))</f>
        <v>4.25</v>
      </c>
      <c r="S35" s="71">
        <f>IF(B35=0,"",IFERROR(VLOOKUP(B35,'T-ASIG-05'!$B$5:$D$88,3,0),0))</f>
        <v>4.25</v>
      </c>
      <c r="T35" s="71">
        <f>IF(B35=0,"",IFERROR(VLOOKUP(B35,'T-ASIG-06'!$B$5:$D$88,3,0),0))</f>
        <v>4.0999999999999996</v>
      </c>
      <c r="U35" s="72">
        <f>IF(B35=0,"",IFERROR(VLOOKUP(B35,'T-ASIG-07'!$B$5:$D$88,3,0),0))</f>
        <v>4.3250000000000002</v>
      </c>
      <c r="V35" s="69" t="s">
        <v>141</v>
      </c>
    </row>
    <row r="36" spans="1:22" ht="15" customHeight="1">
      <c r="A36" s="12">
        <v>32</v>
      </c>
      <c r="B36" s="63" t="str">
        <f>LIDER!C40</f>
        <v>JUAN STIVEN TIRIA COLORADO</v>
      </c>
      <c r="C36" s="64" t="str">
        <f>IF(B36=0,"",IFERROR(VLOOKUP(B36,'S-ASIG-01'!$B$5:$E$88,2,0),0))</f>
        <v>G07</v>
      </c>
      <c r="D36" s="65">
        <f t="shared" si="2"/>
        <v>3.99</v>
      </c>
      <c r="E36" s="66">
        <f t="shared" si="3"/>
        <v>4.0671428571428567</v>
      </c>
      <c r="F36" s="47"/>
      <c r="G36" s="70">
        <f>IF(B36=0,"",IFERROR(VLOOKUP(B36,'S-ASIG-01'!$B$5:$E$88,4,0),0))</f>
        <v>3.5500000000000003</v>
      </c>
      <c r="H36" s="71">
        <f>IF(B36=0,"",IFERROR(VLOOKUP(B36,'S-ASIG-02'!$B$5:$E$88,4,0),0))</f>
        <v>3.6100000000000003</v>
      </c>
      <c r="I36" s="71">
        <f>IF(B36=0,"",IFERROR(VLOOKUP(B36,'S-ASIG-03'!$B$5:$E$88,4,0),0))</f>
        <v>0</v>
      </c>
      <c r="J36" s="71">
        <f>IF(B36=0,"",IFERROR(VLOOKUP(B36,'S-ASIG-04'!$B$5:$E$88,4,0),0))</f>
        <v>4.41</v>
      </c>
      <c r="K36" s="71">
        <f>IF(B36=0,"",IFERROR(VLOOKUP(B36,'S-ASIG-05'!$B$5:$E$88,4,0),0))</f>
        <v>4.5</v>
      </c>
      <c r="L36" s="71">
        <f>IF(B36=0,"",IFERROR(VLOOKUP(B36,'S-ASIG-06'!$B$5:$E$88,4,0),0))</f>
        <v>3.8699999999999997</v>
      </c>
      <c r="M36" s="72">
        <f>IF(B36=0,"",IFERROR(VLOOKUP(B36,'S-ASIG-07'!$B$5:$E$88,4,0),0))</f>
        <v>3.9999999999999996</v>
      </c>
      <c r="N36" s="68" t="s">
        <v>140</v>
      </c>
      <c r="O36" s="70">
        <f>IF(B36=0,"",IFERROR(VLOOKUP(B36,'T-ASIG-01'!$B$5:$D$88,3,0),0))</f>
        <v>4.1500000000000004</v>
      </c>
      <c r="P36" s="71">
        <f>IF(B36=0,"",IFERROR(VLOOKUP(B36,'T-ASIG-02'!$B$5:$D$88,3,0),0))</f>
        <v>4.1500000000000004</v>
      </c>
      <c r="Q36" s="71">
        <f>IF(B36=0,"",IFERROR(VLOOKUP(B36,'T-ASIG-03'!$B$5:$D$88,3,0),0))</f>
        <v>4</v>
      </c>
      <c r="R36" s="71">
        <f>IF(B36=0,"",IFERROR(VLOOKUP(B36,'T-ASIG-04'!$B$5:$D$88,3,0),0))</f>
        <v>4</v>
      </c>
      <c r="S36" s="71">
        <f>IF(B36=0,"",IFERROR(VLOOKUP(B36,'T-ASIG-05'!$B$5:$D$88,3,0),0))</f>
        <v>4</v>
      </c>
      <c r="T36" s="71">
        <f>IF(B36=0,"",IFERROR(VLOOKUP(B36,'T-ASIG-06'!$B$5:$D$88,3,0),0))</f>
        <v>4.0199999999999996</v>
      </c>
      <c r="U36" s="72">
        <f>IF(B36=0,"",IFERROR(VLOOKUP(B36,'T-ASIG-07'!$B$5:$D$88,3,0),0))</f>
        <v>4.1500000000000004</v>
      </c>
      <c r="V36" s="69" t="s">
        <v>141</v>
      </c>
    </row>
    <row r="37" spans="1:22" ht="15" customHeight="1">
      <c r="A37" s="12">
        <v>33</v>
      </c>
      <c r="B37" s="63" t="str">
        <f>LIDER!C41</f>
        <v>GABRIELA AGUDELO VALENCIA</v>
      </c>
      <c r="C37" s="64" t="str">
        <f>IF(B37=0,"",IFERROR(VLOOKUP(B37,'S-ASIG-01'!$B$5:$E$88,2,0),0))</f>
        <v>G08</v>
      </c>
      <c r="D37" s="65">
        <f t="shared" si="2"/>
        <v>3.875</v>
      </c>
      <c r="E37" s="66">
        <f t="shared" si="3"/>
        <v>4.1000000000000005</v>
      </c>
      <c r="F37" s="47"/>
      <c r="G37" s="70">
        <f>IF(B37=0,"",IFERROR(VLOOKUP(B37,'S-ASIG-01'!$B$5:$E$88,4,0),0))</f>
        <v>3.7100000000000004</v>
      </c>
      <c r="H37" s="71">
        <f>IF(B37=0,"",IFERROR(VLOOKUP(B37,'S-ASIG-02'!$B$5:$E$88,4,0),0))</f>
        <v>3.6100000000000003</v>
      </c>
      <c r="I37" s="71">
        <f>IF(B37=0,"",IFERROR(VLOOKUP(B37,'S-ASIG-03'!$B$5:$E$88,4,0),0))</f>
        <v>0</v>
      </c>
      <c r="J37" s="71">
        <f>IF(B37=0,"",IFERROR(VLOOKUP(B37,'S-ASIG-04'!$B$5:$E$88,4,0),0))</f>
        <v>4.5</v>
      </c>
      <c r="K37" s="71">
        <f>IF(B37=0,"",IFERROR(VLOOKUP(B37,'S-ASIG-05'!$B$5:$E$88,4,0),0))</f>
        <v>3.5500000000000003</v>
      </c>
      <c r="L37" s="71">
        <f>IF(B37=0,"",IFERROR(VLOOKUP(B37,'S-ASIG-06'!$B$5:$E$88,4,0),0))</f>
        <v>3.8799999999999994</v>
      </c>
      <c r="M37" s="72">
        <f>IF(B37=0,"",IFERROR(VLOOKUP(B37,'S-ASIG-07'!$B$5:$E$88,4,0),0))</f>
        <v>4</v>
      </c>
      <c r="N37" s="68" t="s">
        <v>140</v>
      </c>
      <c r="O37" s="70">
        <f>IF(B37=0,"",IFERROR(VLOOKUP(B37,'T-ASIG-01'!$B$5:$D$88,3,0),0))</f>
        <v>4.1000000000000005</v>
      </c>
      <c r="P37" s="71">
        <f>IF(B37=0,"",IFERROR(VLOOKUP(B37,'T-ASIG-02'!$B$5:$D$88,3,0),0))</f>
        <v>4.1000000000000005</v>
      </c>
      <c r="Q37" s="71">
        <f>IF(B37=0,"",IFERROR(VLOOKUP(B37,'T-ASIG-03'!$B$5:$D$88,3,0),0))</f>
        <v>4.1000000000000005</v>
      </c>
      <c r="R37" s="71">
        <f>IF(B37=0,"",IFERROR(VLOOKUP(B37,'T-ASIG-04'!$B$5:$D$88,3,0),0))</f>
        <v>4.1000000000000005</v>
      </c>
      <c r="S37" s="71">
        <f>IF(B37=0,"",IFERROR(VLOOKUP(B37,'T-ASIG-05'!$B$5:$D$88,3,0),0))</f>
        <v>4.1000000000000005</v>
      </c>
      <c r="T37" s="71">
        <f>IF(B37=0,"",IFERROR(VLOOKUP(B37,'T-ASIG-06'!$B$5:$D$88,3,0),0))</f>
        <v>4.1000000000000005</v>
      </c>
      <c r="U37" s="72">
        <f>IF(B37=0,"",IFERROR(VLOOKUP(B37,'T-ASIG-07'!$B$5:$D$88,3,0),0))</f>
        <v>4.1000000000000005</v>
      </c>
      <c r="V37" s="69" t="s">
        <v>141</v>
      </c>
    </row>
    <row r="38" spans="1:22" ht="15" customHeight="1">
      <c r="A38" s="12">
        <v>34</v>
      </c>
      <c r="B38" s="63" t="str">
        <f>LIDER!C42</f>
        <v>OSCAR ANDRES BORRE VÁSQUEZ</v>
      </c>
      <c r="C38" s="64" t="str">
        <f>IF(B38=0,"",IFERROR(VLOOKUP(B38,'S-ASIG-01'!$B$5:$E$88,2,0),0))</f>
        <v>G08</v>
      </c>
      <c r="D38" s="65">
        <f t="shared" si="2"/>
        <v>3.75</v>
      </c>
      <c r="E38" s="66">
        <f t="shared" si="3"/>
        <v>2.1</v>
      </c>
      <c r="F38" s="47"/>
      <c r="G38" s="70">
        <f>IF(B38=0,"",IFERROR(VLOOKUP(B38,'S-ASIG-01'!$B$5:$E$88,4,0),0))</f>
        <v>3.7100000000000004</v>
      </c>
      <c r="H38" s="71">
        <f>IF(B38=0,"",IFERROR(VLOOKUP(B38,'S-ASIG-02'!$B$5:$E$88,4,0),0))</f>
        <v>3.6100000000000003</v>
      </c>
      <c r="I38" s="71">
        <f>IF(B38=0,"",IFERROR(VLOOKUP(B38,'S-ASIG-03'!$B$5:$E$88,4,0),0))</f>
        <v>0</v>
      </c>
      <c r="J38" s="71" t="str">
        <f>IF(B38=0,"",IFERROR(VLOOKUP(B38,'S-ASIG-04'!$B$5:$E$88,4,0),0))</f>
        <v>N</v>
      </c>
      <c r="K38" s="71">
        <f>IF(B38=0,"",IFERROR(VLOOKUP(B38,'S-ASIG-05'!$B$5:$E$88,4,0),0))</f>
        <v>3.5500000000000003</v>
      </c>
      <c r="L38" s="71">
        <f>IF(B38=0,"",IFERROR(VLOOKUP(B38,'S-ASIG-06'!$B$5:$E$88,4,0),0))</f>
        <v>3.8799999999999994</v>
      </c>
      <c r="M38" s="72">
        <f>IF(B38=0,"",IFERROR(VLOOKUP(B38,'S-ASIG-07'!$B$5:$E$88,4,0),0))</f>
        <v>4</v>
      </c>
      <c r="N38" s="68" t="s">
        <v>140</v>
      </c>
      <c r="O38" s="70">
        <f>IF(B38=0,"",IFERROR(VLOOKUP(B38,'T-ASIG-01'!$B$5:$D$88,3,0),0))</f>
        <v>2.1</v>
      </c>
      <c r="P38" s="71">
        <f>IF(B38=0,"",IFERROR(VLOOKUP(B38,'T-ASIG-02'!$B$5:$D$88,3,0),0))</f>
        <v>2.1</v>
      </c>
      <c r="Q38" s="71">
        <f>IF(B38=0,"",IFERROR(VLOOKUP(B38,'T-ASIG-03'!$B$5:$D$88,3,0),0))</f>
        <v>2.1</v>
      </c>
      <c r="R38" s="71" t="str">
        <f>IF(B38=0,"",IFERROR(VLOOKUP(B38,'T-ASIG-04'!$B$5:$D$88,3,0),0))</f>
        <v>N</v>
      </c>
      <c r="S38" s="71">
        <f>IF(B38=0,"",IFERROR(VLOOKUP(B38,'T-ASIG-05'!$B$5:$D$88,3,0),0))</f>
        <v>2.1</v>
      </c>
      <c r="T38" s="71">
        <f>IF(B38=0,"",IFERROR(VLOOKUP(B38,'T-ASIG-06'!$B$5:$D$88,3,0),0))</f>
        <v>2.1</v>
      </c>
      <c r="U38" s="72">
        <f>IF(B38=0,"",IFERROR(VLOOKUP(B38,'T-ASIG-07'!$B$5:$D$88,3,0),0))</f>
        <v>2.1</v>
      </c>
      <c r="V38" s="69" t="s">
        <v>141</v>
      </c>
    </row>
    <row r="39" spans="1:22" ht="15" customHeight="1">
      <c r="A39" s="12">
        <v>35</v>
      </c>
      <c r="B39" s="63" t="str">
        <f>LIDER!C43</f>
        <v>JANYLOR CAROLINA  CASTRO SARAVIA</v>
      </c>
      <c r="C39" s="64" t="str">
        <f>IF(B39=0,"",IFERROR(VLOOKUP(B39,'S-ASIG-01'!$B$5:$E$88,2,0),0))</f>
        <v>G08</v>
      </c>
      <c r="D39" s="65">
        <f t="shared" si="2"/>
        <v>3.875</v>
      </c>
      <c r="E39" s="66">
        <f t="shared" si="3"/>
        <v>4.1000000000000005</v>
      </c>
      <c r="F39" s="47"/>
      <c r="G39" s="70">
        <f>IF(B39=0,"",IFERROR(VLOOKUP(B39,'S-ASIG-01'!$B$5:$E$88,4,0),0))</f>
        <v>3.7100000000000004</v>
      </c>
      <c r="H39" s="71">
        <f>IF(B39=0,"",IFERROR(VLOOKUP(B39,'S-ASIG-02'!$B$5:$E$88,4,0),0))</f>
        <v>3.6100000000000003</v>
      </c>
      <c r="I39" s="71">
        <f>IF(B39=0,"",IFERROR(VLOOKUP(B39,'S-ASIG-03'!$B$5:$E$88,4,0),0))</f>
        <v>0</v>
      </c>
      <c r="J39" s="71">
        <f>IF(B39=0,"",IFERROR(VLOOKUP(B39,'S-ASIG-04'!$B$5:$E$88,4,0),0))</f>
        <v>4.5</v>
      </c>
      <c r="K39" s="71">
        <f>IF(B39=0,"",IFERROR(VLOOKUP(B39,'S-ASIG-05'!$B$5:$E$88,4,0),0))</f>
        <v>3.5500000000000003</v>
      </c>
      <c r="L39" s="71">
        <f>IF(B39=0,"",IFERROR(VLOOKUP(B39,'S-ASIG-06'!$B$5:$E$88,4,0),0))</f>
        <v>3.8799999999999994</v>
      </c>
      <c r="M39" s="72">
        <f>IF(B39=0,"",IFERROR(VLOOKUP(B39,'S-ASIG-07'!$B$5:$E$88,4,0),0))</f>
        <v>4</v>
      </c>
      <c r="N39" s="68" t="s">
        <v>140</v>
      </c>
      <c r="O39" s="70">
        <f>IF(B39=0,"",IFERROR(VLOOKUP(B39,'T-ASIG-01'!$B$5:$D$88,3,0),0))</f>
        <v>4.1000000000000005</v>
      </c>
      <c r="P39" s="71">
        <f>IF(B39=0,"",IFERROR(VLOOKUP(B39,'T-ASIG-02'!$B$5:$D$88,3,0),0))</f>
        <v>4.1000000000000005</v>
      </c>
      <c r="Q39" s="71">
        <f>IF(B39=0,"",IFERROR(VLOOKUP(B39,'T-ASIG-03'!$B$5:$D$88,3,0),0))</f>
        <v>4.1000000000000005</v>
      </c>
      <c r="R39" s="71">
        <f>IF(B39=0,"",IFERROR(VLOOKUP(B39,'T-ASIG-04'!$B$5:$D$88,3,0),0))</f>
        <v>4.1000000000000005</v>
      </c>
      <c r="S39" s="71">
        <f>IF(B39=0,"",IFERROR(VLOOKUP(B39,'T-ASIG-05'!$B$5:$D$88,3,0),0))</f>
        <v>4.1000000000000005</v>
      </c>
      <c r="T39" s="71">
        <f>IF(B39=0,"",IFERROR(VLOOKUP(B39,'T-ASIG-06'!$B$5:$D$88,3,0),0))</f>
        <v>4.1000000000000005</v>
      </c>
      <c r="U39" s="72">
        <f>IF(B39=0,"",IFERROR(VLOOKUP(B39,'T-ASIG-07'!$B$5:$D$88,3,0),0))</f>
        <v>4.1000000000000005</v>
      </c>
      <c r="V39" s="69" t="s">
        <v>141</v>
      </c>
    </row>
    <row r="40" spans="1:22" ht="15" customHeight="1">
      <c r="A40" s="12">
        <v>36</v>
      </c>
      <c r="B40" s="63" t="str">
        <f>LIDER!C44</f>
        <v>YUSARI LIÑAN CUADRO</v>
      </c>
      <c r="C40" s="64" t="str">
        <f>IF(B40=0,"",IFERROR(VLOOKUP(B40,'S-ASIG-01'!$B$5:$E$88,2,0),0))</f>
        <v>G08</v>
      </c>
      <c r="D40" s="65">
        <f t="shared" si="2"/>
        <v>3.875</v>
      </c>
      <c r="E40" s="66">
        <f t="shared" si="3"/>
        <v>4.1000000000000005</v>
      </c>
      <c r="F40" s="47"/>
      <c r="G40" s="70">
        <f>IF(B40=0,"",IFERROR(VLOOKUP(B40,'S-ASIG-01'!$B$5:$E$88,4,0),0))</f>
        <v>3.7100000000000004</v>
      </c>
      <c r="H40" s="71">
        <f>IF(B40=0,"",IFERROR(VLOOKUP(B40,'S-ASIG-02'!$B$5:$E$88,4,0),0))</f>
        <v>3.6100000000000003</v>
      </c>
      <c r="I40" s="71">
        <f>IF(B40=0,"",IFERROR(VLOOKUP(B40,'S-ASIG-03'!$B$5:$E$88,4,0),0))</f>
        <v>0</v>
      </c>
      <c r="J40" s="71">
        <f>IF(B40=0,"",IFERROR(VLOOKUP(B40,'S-ASIG-04'!$B$5:$E$88,4,0),0))</f>
        <v>4.5</v>
      </c>
      <c r="K40" s="71">
        <f>IF(B40=0,"",IFERROR(VLOOKUP(B40,'S-ASIG-05'!$B$5:$E$88,4,0),0))</f>
        <v>3.5500000000000003</v>
      </c>
      <c r="L40" s="71">
        <f>IF(B40=0,"",IFERROR(VLOOKUP(B40,'S-ASIG-06'!$B$5:$E$88,4,0),0))</f>
        <v>3.8799999999999994</v>
      </c>
      <c r="M40" s="72">
        <f>IF(B40=0,"",IFERROR(VLOOKUP(B40,'S-ASIG-07'!$B$5:$E$88,4,0),0))</f>
        <v>4</v>
      </c>
      <c r="N40" s="68" t="s">
        <v>140</v>
      </c>
      <c r="O40" s="70">
        <f>IF(B40=0,"",IFERROR(VLOOKUP(B40,'T-ASIG-01'!$B$5:$D$88,3,0),0))</f>
        <v>4.1000000000000005</v>
      </c>
      <c r="P40" s="71">
        <f>IF(B40=0,"",IFERROR(VLOOKUP(B40,'T-ASIG-02'!$B$5:$D$88,3,0),0))</f>
        <v>4.1000000000000005</v>
      </c>
      <c r="Q40" s="71">
        <f>IF(B40=0,"",IFERROR(VLOOKUP(B40,'T-ASIG-03'!$B$5:$D$88,3,0),0))</f>
        <v>4.1000000000000005</v>
      </c>
      <c r="R40" s="71">
        <f>IF(B40=0,"",IFERROR(VLOOKUP(B40,'T-ASIG-04'!$B$5:$D$88,3,0),0))</f>
        <v>4.1000000000000005</v>
      </c>
      <c r="S40" s="71">
        <f>IF(B40=0,"",IFERROR(VLOOKUP(B40,'T-ASIG-05'!$B$5:$D$88,3,0),0))</f>
        <v>4.1000000000000005</v>
      </c>
      <c r="T40" s="71">
        <f>IF(B40=0,"",IFERROR(VLOOKUP(B40,'T-ASIG-06'!$B$5:$D$88,3,0),0))</f>
        <v>4.1000000000000005</v>
      </c>
      <c r="U40" s="72">
        <f>IF(B40=0,"",IFERROR(VLOOKUP(B40,'T-ASIG-07'!$B$5:$D$88,3,0),0))</f>
        <v>4.1000000000000005</v>
      </c>
      <c r="V40" s="69" t="s">
        <v>141</v>
      </c>
    </row>
    <row r="41" spans="1:22" ht="15" customHeight="1">
      <c r="A41" s="12">
        <v>37</v>
      </c>
      <c r="B41" s="63" t="str">
        <f>LIDER!C45</f>
        <v>DANNA ISABEL MESTRE MARIMÓN</v>
      </c>
      <c r="C41" s="64" t="str">
        <f>IF(B41=0,"",IFERROR(VLOOKUP(B41,'S-ASIG-01'!$B$5:$E$88,2,0),0))</f>
        <v>G08</v>
      </c>
      <c r="D41" s="65">
        <f t="shared" si="2"/>
        <v>3.875</v>
      </c>
      <c r="E41" s="66">
        <f t="shared" si="3"/>
        <v>4.1000000000000005</v>
      </c>
      <c r="F41" s="47"/>
      <c r="G41" s="70">
        <f>IF(B41=0,"",IFERROR(VLOOKUP(B41,'S-ASIG-01'!$B$5:$E$88,4,0),0))</f>
        <v>3.7100000000000004</v>
      </c>
      <c r="H41" s="71">
        <f>IF(B41=0,"",IFERROR(VLOOKUP(B41,'S-ASIG-02'!$B$5:$E$88,4,0),0))</f>
        <v>3.6100000000000003</v>
      </c>
      <c r="I41" s="71">
        <f>IF(B41=0,"",IFERROR(VLOOKUP(B41,'S-ASIG-03'!$B$5:$E$88,4,0),0))</f>
        <v>0</v>
      </c>
      <c r="J41" s="71">
        <f>IF(B41=0,"",IFERROR(VLOOKUP(B41,'S-ASIG-04'!$B$5:$E$88,4,0),0))</f>
        <v>4.5</v>
      </c>
      <c r="K41" s="71">
        <f>IF(B41=0,"",IFERROR(VLOOKUP(B41,'S-ASIG-05'!$B$5:$E$88,4,0),0))</f>
        <v>3.5500000000000003</v>
      </c>
      <c r="L41" s="71">
        <f>IF(B41=0,"",IFERROR(VLOOKUP(B41,'S-ASIG-06'!$B$5:$E$88,4,0),0))</f>
        <v>3.8799999999999994</v>
      </c>
      <c r="M41" s="72">
        <f>IF(B41=0,"",IFERROR(VLOOKUP(B41,'S-ASIG-07'!$B$5:$E$88,4,0),0))</f>
        <v>4</v>
      </c>
      <c r="N41" s="68" t="s">
        <v>140</v>
      </c>
      <c r="O41" s="70">
        <f>IF(B41=0,"",IFERROR(VLOOKUP(B41,'T-ASIG-01'!$B$5:$D$88,3,0),0))</f>
        <v>4.1000000000000005</v>
      </c>
      <c r="P41" s="71">
        <f>IF(B41=0,"",IFERROR(VLOOKUP(B41,'T-ASIG-02'!$B$5:$D$88,3,0),0))</f>
        <v>4.1000000000000005</v>
      </c>
      <c r="Q41" s="71">
        <f>IF(B41=0,"",IFERROR(VLOOKUP(B41,'T-ASIG-03'!$B$5:$D$88,3,0),0))</f>
        <v>4.1000000000000005</v>
      </c>
      <c r="R41" s="71">
        <f>IF(B41=0,"",IFERROR(VLOOKUP(B41,'T-ASIG-04'!$B$5:$D$88,3,0),0))</f>
        <v>4.1000000000000005</v>
      </c>
      <c r="S41" s="71">
        <f>IF(B41=0,"",IFERROR(VLOOKUP(B41,'T-ASIG-05'!$B$5:$D$88,3,0),0))</f>
        <v>4.1000000000000005</v>
      </c>
      <c r="T41" s="71">
        <f>IF(B41=0,"",IFERROR(VLOOKUP(B41,'T-ASIG-06'!$B$5:$D$88,3,0),0))</f>
        <v>4.1000000000000005</v>
      </c>
      <c r="U41" s="72">
        <f>IF(B41=0,"",IFERROR(VLOOKUP(B41,'T-ASIG-07'!$B$5:$D$88,3,0),0))</f>
        <v>4.1000000000000005</v>
      </c>
      <c r="V41" s="69" t="s">
        <v>141</v>
      </c>
    </row>
    <row r="42" spans="1:22" ht="15" customHeight="1">
      <c r="A42" s="12">
        <v>38</v>
      </c>
      <c r="B42" s="63" t="str">
        <f>LIDER!C46</f>
        <v>ISAAC DAVID NIETO JIMÉNEZ</v>
      </c>
      <c r="C42" s="64" t="str">
        <f>IF(B42=0,"",IFERROR(VLOOKUP(B42,'S-ASIG-01'!$B$5:$E$88,2,0),0))</f>
        <v>G08</v>
      </c>
      <c r="D42" s="65">
        <f t="shared" si="2"/>
        <v>3.875</v>
      </c>
      <c r="E42" s="66">
        <f t="shared" si="3"/>
        <v>3.8142857142857154</v>
      </c>
      <c r="F42" s="47"/>
      <c r="G42" s="70">
        <f>IF(B42=0,"",IFERROR(VLOOKUP(B42,'S-ASIG-01'!$B$5:$E$88,4,0),0))</f>
        <v>3.7100000000000004</v>
      </c>
      <c r="H42" s="71">
        <f>IF(B42=0,"",IFERROR(VLOOKUP(B42,'S-ASIG-02'!$B$5:$E$88,4,0),0))</f>
        <v>3.6100000000000003</v>
      </c>
      <c r="I42" s="71">
        <f>IF(B42=0,"",IFERROR(VLOOKUP(B42,'S-ASIG-03'!$B$5:$E$88,4,0),0))</f>
        <v>0</v>
      </c>
      <c r="J42" s="71">
        <f>IF(B42=0,"",IFERROR(VLOOKUP(B42,'S-ASIG-04'!$B$5:$E$88,4,0),0))</f>
        <v>4.5</v>
      </c>
      <c r="K42" s="71">
        <f>IF(B42=0,"",IFERROR(VLOOKUP(B42,'S-ASIG-05'!$B$5:$E$88,4,0),0))</f>
        <v>3.5500000000000003</v>
      </c>
      <c r="L42" s="71">
        <f>IF(B42=0,"",IFERROR(VLOOKUP(B42,'S-ASIG-06'!$B$5:$E$88,4,0),0))</f>
        <v>3.8799999999999994</v>
      </c>
      <c r="M42" s="72">
        <f>IF(B42=0,"",IFERROR(VLOOKUP(B42,'S-ASIG-07'!$B$5:$E$88,4,0),0))</f>
        <v>4</v>
      </c>
      <c r="N42" s="68" t="s">
        <v>140</v>
      </c>
      <c r="O42" s="70">
        <f>IF(B42=0,"",IFERROR(VLOOKUP(B42,'T-ASIG-01'!$B$5:$D$88,3,0),0))</f>
        <v>4.1000000000000005</v>
      </c>
      <c r="P42" s="71">
        <f>IF(B42=0,"",IFERROR(VLOOKUP(B42,'T-ASIG-02'!$B$5:$D$88,3,0),0))</f>
        <v>2.1</v>
      </c>
      <c r="Q42" s="71">
        <f>IF(B42=0,"",IFERROR(VLOOKUP(B42,'T-ASIG-03'!$B$5:$D$88,3,0),0))</f>
        <v>4.1000000000000005</v>
      </c>
      <c r="R42" s="71">
        <f>IF(B42=0,"",IFERROR(VLOOKUP(B42,'T-ASIG-04'!$B$5:$D$88,3,0),0))</f>
        <v>4.1000000000000005</v>
      </c>
      <c r="S42" s="71">
        <f>IF(B42=0,"",IFERROR(VLOOKUP(B42,'T-ASIG-05'!$B$5:$D$88,3,0),0))</f>
        <v>4.1000000000000005</v>
      </c>
      <c r="T42" s="71">
        <f>IF(B42=0,"",IFERROR(VLOOKUP(B42,'T-ASIG-06'!$B$5:$D$88,3,0),0))</f>
        <v>4.1000000000000005</v>
      </c>
      <c r="U42" s="72">
        <f>IF(B42=0,"",IFERROR(VLOOKUP(B42,'T-ASIG-07'!$B$5:$D$88,3,0),0))</f>
        <v>4.1000000000000005</v>
      </c>
      <c r="V42" s="69" t="s">
        <v>141</v>
      </c>
    </row>
    <row r="43" spans="1:22" ht="15" customHeight="1">
      <c r="A43" s="12">
        <v>39</v>
      </c>
      <c r="B43" s="63" t="str">
        <f>LIDER!C47</f>
        <v>EDGAR DAVID GÓMEZ BARRIOS</v>
      </c>
      <c r="C43" s="64" t="str">
        <f>IF(B43=0,"",IFERROR(VLOOKUP(B43,'S-ASIG-01'!$B$5:$E$88,2,0),0))</f>
        <v>G09</v>
      </c>
      <c r="D43" s="65">
        <f t="shared" si="2"/>
        <v>3.5900000000000003</v>
      </c>
      <c r="E43" s="66">
        <f t="shared" si="3"/>
        <v>3.2500000000000004</v>
      </c>
      <c r="F43" s="47"/>
      <c r="G43" s="70">
        <f>IF(B43=0,"",IFERROR(VLOOKUP(B43,'S-ASIG-01'!$B$5:$E$88,4,0),0))</f>
        <v>3.1</v>
      </c>
      <c r="H43" s="71">
        <f>IF(B43=0,"",IFERROR(VLOOKUP(B43,'S-ASIG-02'!$B$5:$E$88,4,0),0))</f>
        <v>3.1</v>
      </c>
      <c r="I43" s="71">
        <f>IF(B43=0,"",IFERROR(VLOOKUP(B43,'S-ASIG-03'!$B$5:$E$88,4,0),0))</f>
        <v>0</v>
      </c>
      <c r="J43" s="71">
        <f>IF(B43=0,"",IFERROR(VLOOKUP(B43,'S-ASIG-04'!$B$5:$E$88,4,0),0))</f>
        <v>4.4000000000000004</v>
      </c>
      <c r="K43" s="71">
        <f>IF(B43=0,"",IFERROR(VLOOKUP(B43,'S-ASIG-05'!$B$5:$E$88,4,0),0))</f>
        <v>3.5500000000000003</v>
      </c>
      <c r="L43" s="71">
        <f>IF(B43=0,"",IFERROR(VLOOKUP(B43,'S-ASIG-06'!$B$5:$E$88,4,0),0))</f>
        <v>3.6400000000000006</v>
      </c>
      <c r="M43" s="72">
        <f>IF(B43=0,"",IFERROR(VLOOKUP(B43,'S-ASIG-07'!$B$5:$E$88,4,0),0))</f>
        <v>3.7499999999999996</v>
      </c>
      <c r="N43" s="68" t="s">
        <v>140</v>
      </c>
      <c r="O43" s="70">
        <f>IF(B43=0,"",IFERROR(VLOOKUP(B43,'T-ASIG-01'!$B$5:$D$88,3,0),0))</f>
        <v>3.2500000000000004</v>
      </c>
      <c r="P43" s="71">
        <f>IF(B43=0,"",IFERROR(VLOOKUP(B43,'T-ASIG-02'!$B$5:$D$88,3,0),0))</f>
        <v>3.2500000000000004</v>
      </c>
      <c r="Q43" s="71">
        <f>IF(B43=0,"",IFERROR(VLOOKUP(B43,'T-ASIG-03'!$B$5:$D$88,3,0),0))</f>
        <v>3.2500000000000004</v>
      </c>
      <c r="R43" s="71">
        <f>IF(B43=0,"",IFERROR(VLOOKUP(B43,'T-ASIG-04'!$B$5:$D$88,3,0),0))</f>
        <v>3.2500000000000004</v>
      </c>
      <c r="S43" s="71">
        <f>IF(B43=0,"",IFERROR(VLOOKUP(B43,'T-ASIG-05'!$B$5:$D$88,3,0),0))</f>
        <v>3.2500000000000004</v>
      </c>
      <c r="T43" s="71">
        <f>IF(B43=0,"",IFERROR(VLOOKUP(B43,'T-ASIG-06'!$B$5:$D$88,3,0),0))</f>
        <v>3.2500000000000004</v>
      </c>
      <c r="U43" s="72">
        <f>IF(B43=0,"",IFERROR(VLOOKUP(B43,'T-ASIG-07'!$B$5:$D$88,3,0),0))</f>
        <v>3.2500000000000004</v>
      </c>
      <c r="V43" s="69" t="s">
        <v>141</v>
      </c>
    </row>
    <row r="44" spans="1:22" ht="15" customHeight="1">
      <c r="A44" s="12">
        <v>40</v>
      </c>
      <c r="B44" s="63" t="str">
        <f>LIDER!C48</f>
        <v>LUIS MIGUEL GUTIERREZ JARABA</v>
      </c>
      <c r="C44" s="64" t="str">
        <f>IF(B44=0,"",IFERROR(VLOOKUP(B44,'S-ASIG-01'!$B$5:$E$88,2,0),0))</f>
        <v>G09</v>
      </c>
      <c r="D44" s="65">
        <f t="shared" si="2"/>
        <v>3.5900000000000003</v>
      </c>
      <c r="E44" s="66">
        <f t="shared" si="3"/>
        <v>3.0000000000000004</v>
      </c>
      <c r="F44" s="47"/>
      <c r="G44" s="70">
        <f>IF(B44=0,"",IFERROR(VLOOKUP(B44,'S-ASIG-01'!$B$5:$E$88,4,0),0))</f>
        <v>3.1</v>
      </c>
      <c r="H44" s="71">
        <f>IF(B44=0,"",IFERROR(VLOOKUP(B44,'S-ASIG-02'!$B$5:$E$88,4,0),0))</f>
        <v>3.1</v>
      </c>
      <c r="I44" s="71">
        <f>IF(B44=0,"",IFERROR(VLOOKUP(B44,'S-ASIG-03'!$B$5:$E$88,4,0),0))</f>
        <v>0</v>
      </c>
      <c r="J44" s="71">
        <f>IF(B44=0,"",IFERROR(VLOOKUP(B44,'S-ASIG-04'!$B$5:$E$88,4,0),0))</f>
        <v>4.4000000000000004</v>
      </c>
      <c r="K44" s="71">
        <f>IF(B44=0,"",IFERROR(VLOOKUP(B44,'S-ASIG-05'!$B$5:$E$88,4,0),0))</f>
        <v>3.5500000000000003</v>
      </c>
      <c r="L44" s="71">
        <f>IF(B44=0,"",IFERROR(VLOOKUP(B44,'S-ASIG-06'!$B$5:$E$88,4,0),0))</f>
        <v>3.6400000000000006</v>
      </c>
      <c r="M44" s="72">
        <f>IF(B44=0,"",IFERROR(VLOOKUP(B44,'S-ASIG-07'!$B$5:$E$88,4,0),0))</f>
        <v>3.7499999999999996</v>
      </c>
      <c r="N44" s="68" t="s">
        <v>140</v>
      </c>
      <c r="O44" s="70">
        <f>IF(B44=0,"",IFERROR(VLOOKUP(B44,'T-ASIG-01'!$B$5:$D$88,3,0),0))</f>
        <v>3.0000000000000004</v>
      </c>
      <c r="P44" s="71">
        <f>IF(B44=0,"",IFERROR(VLOOKUP(B44,'T-ASIG-02'!$B$5:$D$88,3,0),0))</f>
        <v>3.0000000000000004</v>
      </c>
      <c r="Q44" s="71">
        <f>IF(B44=0,"",IFERROR(VLOOKUP(B44,'T-ASIG-03'!$B$5:$D$88,3,0),0))</f>
        <v>3.0000000000000004</v>
      </c>
      <c r="R44" s="71">
        <f>IF(B44=0,"",IFERROR(VLOOKUP(B44,'T-ASIG-04'!$B$5:$D$88,3,0),0))</f>
        <v>3.0000000000000004</v>
      </c>
      <c r="S44" s="71">
        <f>IF(B44=0,"",IFERROR(VLOOKUP(B44,'T-ASIG-05'!$B$5:$D$88,3,0),0))</f>
        <v>3.0000000000000004</v>
      </c>
      <c r="T44" s="71">
        <f>IF(B44=0,"",IFERROR(VLOOKUP(B44,'T-ASIG-06'!$B$5:$D$88,3,0),0))</f>
        <v>3.0000000000000004</v>
      </c>
      <c r="U44" s="72">
        <f>IF(B44=0,"",IFERROR(VLOOKUP(B44,'T-ASIG-07'!$B$5:$D$88,3,0),0))</f>
        <v>3.0000000000000004</v>
      </c>
      <c r="V44" s="69" t="s">
        <v>141</v>
      </c>
    </row>
    <row r="45" spans="1:22" ht="15" customHeight="1">
      <c r="A45" s="12">
        <v>41</v>
      </c>
      <c r="B45" s="63" t="str">
        <f>LIDER!C49</f>
        <v>SEBASTIAN ELOY HERNÁNDEZ PEÑA</v>
      </c>
      <c r="C45" s="64" t="str">
        <f>IF(B45=0,"",IFERROR(VLOOKUP(B45,'S-ASIG-01'!$B$5:$E$88,2,0),0))</f>
        <v>G09</v>
      </c>
      <c r="D45" s="65">
        <f t="shared" si="2"/>
        <v>3.5900000000000003</v>
      </c>
      <c r="E45" s="66">
        <f t="shared" si="3"/>
        <v>3.2500000000000004</v>
      </c>
      <c r="F45" s="47"/>
      <c r="G45" s="70">
        <f>IF(B45=0,"",IFERROR(VLOOKUP(B45,'S-ASIG-01'!$B$5:$E$88,4,0),0))</f>
        <v>3.1</v>
      </c>
      <c r="H45" s="71">
        <f>IF(B45=0,"",IFERROR(VLOOKUP(B45,'S-ASIG-02'!$B$5:$E$88,4,0),0))</f>
        <v>3.1</v>
      </c>
      <c r="I45" s="71">
        <f>IF(B45=0,"",IFERROR(VLOOKUP(B45,'S-ASIG-03'!$B$5:$E$88,4,0),0))</f>
        <v>0</v>
      </c>
      <c r="J45" s="71">
        <f>IF(B45=0,"",IFERROR(VLOOKUP(B45,'S-ASIG-04'!$B$5:$E$88,4,0),0))</f>
        <v>4.4000000000000004</v>
      </c>
      <c r="K45" s="71">
        <f>IF(B45=0,"",IFERROR(VLOOKUP(B45,'S-ASIG-05'!$B$5:$E$88,4,0),0))</f>
        <v>3.5500000000000003</v>
      </c>
      <c r="L45" s="71">
        <f>IF(B45=0,"",IFERROR(VLOOKUP(B45,'S-ASIG-06'!$B$5:$E$88,4,0),0))</f>
        <v>3.6400000000000006</v>
      </c>
      <c r="M45" s="72">
        <f>IF(B45=0,"",IFERROR(VLOOKUP(B45,'S-ASIG-07'!$B$5:$E$88,4,0),0))</f>
        <v>3.7499999999999996</v>
      </c>
      <c r="N45" s="68" t="s">
        <v>140</v>
      </c>
      <c r="O45" s="70">
        <f>IF(B45=0,"",IFERROR(VLOOKUP(B45,'T-ASIG-01'!$B$5:$D$88,3,0),0))</f>
        <v>3.2500000000000004</v>
      </c>
      <c r="P45" s="71">
        <f>IF(B45=0,"",IFERROR(VLOOKUP(B45,'T-ASIG-02'!$B$5:$D$88,3,0),0))</f>
        <v>3.2500000000000004</v>
      </c>
      <c r="Q45" s="71">
        <f>IF(B45=0,"",IFERROR(VLOOKUP(B45,'T-ASIG-03'!$B$5:$D$88,3,0),0))</f>
        <v>3.2500000000000004</v>
      </c>
      <c r="R45" s="71">
        <f>IF(B45=0,"",IFERROR(VLOOKUP(B45,'T-ASIG-04'!$B$5:$D$88,3,0),0))</f>
        <v>3.2500000000000004</v>
      </c>
      <c r="S45" s="71">
        <f>IF(B45=0,"",IFERROR(VLOOKUP(B45,'T-ASIG-05'!$B$5:$D$88,3,0),0))</f>
        <v>3.2500000000000004</v>
      </c>
      <c r="T45" s="71">
        <f>IF(B45=0,"",IFERROR(VLOOKUP(B45,'T-ASIG-06'!$B$5:$D$88,3,0),0))</f>
        <v>3.2500000000000004</v>
      </c>
      <c r="U45" s="72">
        <f>IF(B45=0,"",IFERROR(VLOOKUP(B45,'T-ASIG-07'!$B$5:$D$88,3,0),0))</f>
        <v>3.2500000000000004</v>
      </c>
      <c r="V45" s="69" t="s">
        <v>141</v>
      </c>
    </row>
    <row r="46" spans="1:22" ht="15" customHeight="1">
      <c r="A46" s="12">
        <v>42</v>
      </c>
      <c r="B46" s="63" t="str">
        <f>LIDER!C50</f>
        <v>VICTOR MANUEL ORTEGA MANOSALVA</v>
      </c>
      <c r="C46" s="64" t="str">
        <f>IF(B46=0,"",IFERROR(VLOOKUP(B46,'S-ASIG-01'!$B$5:$E$88,2,0),0))</f>
        <v>G09</v>
      </c>
      <c r="D46" s="65">
        <f t="shared" si="2"/>
        <v>3.5900000000000003</v>
      </c>
      <c r="E46" s="66">
        <f t="shared" si="3"/>
        <v>3.0000000000000004</v>
      </c>
      <c r="F46" s="47"/>
      <c r="G46" s="70">
        <f>IF(B46=0,"",IFERROR(VLOOKUP(B46,'S-ASIG-01'!$B$5:$E$88,4,0),0))</f>
        <v>3.1</v>
      </c>
      <c r="H46" s="71">
        <f>IF(B46=0,"",IFERROR(VLOOKUP(B46,'S-ASIG-02'!$B$5:$E$88,4,0),0))</f>
        <v>3.1</v>
      </c>
      <c r="I46" s="71">
        <f>IF(B46=0,"",IFERROR(VLOOKUP(B46,'S-ASIG-03'!$B$5:$E$88,4,0),0))</f>
        <v>0</v>
      </c>
      <c r="J46" s="71">
        <f>IF(B46=0,"",IFERROR(VLOOKUP(B46,'S-ASIG-04'!$B$5:$E$88,4,0),0))</f>
        <v>4.4000000000000004</v>
      </c>
      <c r="K46" s="71">
        <f>IF(B46=0,"",IFERROR(VLOOKUP(B46,'S-ASIG-05'!$B$5:$E$88,4,0),0))</f>
        <v>3.5500000000000003</v>
      </c>
      <c r="L46" s="71">
        <f>IF(B46=0,"",IFERROR(VLOOKUP(B46,'S-ASIG-06'!$B$5:$E$88,4,0),0))</f>
        <v>3.6400000000000006</v>
      </c>
      <c r="M46" s="72">
        <f>IF(B46=0,"",IFERROR(VLOOKUP(B46,'S-ASIG-07'!$B$5:$E$88,4,0),0))</f>
        <v>3.7499999999999996</v>
      </c>
      <c r="N46" s="68" t="s">
        <v>140</v>
      </c>
      <c r="O46" s="70">
        <f>IF(B46=0,"",IFERROR(VLOOKUP(B46,'T-ASIG-01'!$B$5:$D$88,3,0),0))</f>
        <v>3.0000000000000004</v>
      </c>
      <c r="P46" s="71">
        <f>IF(B46=0,"",IFERROR(VLOOKUP(B46,'T-ASIG-02'!$B$5:$D$88,3,0),0))</f>
        <v>3.0000000000000004</v>
      </c>
      <c r="Q46" s="71">
        <f>IF(B46=0,"",IFERROR(VLOOKUP(B46,'T-ASIG-03'!$B$5:$D$88,3,0),0))</f>
        <v>3.0000000000000004</v>
      </c>
      <c r="R46" s="71">
        <f>IF(B46=0,"",IFERROR(VLOOKUP(B46,'T-ASIG-04'!$B$5:$D$88,3,0),0))</f>
        <v>3.0000000000000004</v>
      </c>
      <c r="S46" s="71">
        <f>IF(B46=0,"",IFERROR(VLOOKUP(B46,'T-ASIG-05'!$B$5:$D$88,3,0),0))</f>
        <v>3.0000000000000004</v>
      </c>
      <c r="T46" s="71">
        <f>IF(B46=0,"",IFERROR(VLOOKUP(B46,'T-ASIG-06'!$B$5:$D$88,3,0),0))</f>
        <v>3.0000000000000004</v>
      </c>
      <c r="U46" s="72">
        <f>IF(B46=0,"",IFERROR(VLOOKUP(B46,'T-ASIG-07'!$B$5:$D$88,3,0),0))</f>
        <v>3.0000000000000004</v>
      </c>
      <c r="V46" s="69" t="s">
        <v>141</v>
      </c>
    </row>
    <row r="47" spans="1:22" ht="15" customHeight="1">
      <c r="A47" s="12">
        <v>43</v>
      </c>
      <c r="B47" s="63" t="str">
        <f>LIDER!C51</f>
        <v>SANTIAGO PADILLA AYOLA</v>
      </c>
      <c r="C47" s="64" t="str">
        <f>IF(B47=0,"",IFERROR(VLOOKUP(B47,'S-ASIG-01'!$B$5:$E$88,2,0),0))</f>
        <v>G09</v>
      </c>
      <c r="D47" s="65">
        <f t="shared" si="2"/>
        <v>3.5900000000000003</v>
      </c>
      <c r="E47" s="66">
        <f t="shared" si="3"/>
        <v>2.25</v>
      </c>
      <c r="F47" s="47"/>
      <c r="G47" s="70">
        <f>IF(B47=0,"",IFERROR(VLOOKUP(B47,'S-ASIG-01'!$B$5:$E$88,4,0),0))</f>
        <v>3.1</v>
      </c>
      <c r="H47" s="71">
        <f>IF(B47=0,"",IFERROR(VLOOKUP(B47,'S-ASIG-02'!$B$5:$E$88,4,0),0))</f>
        <v>3.1</v>
      </c>
      <c r="I47" s="71">
        <f>IF(B47=0,"",IFERROR(VLOOKUP(B47,'S-ASIG-03'!$B$5:$E$88,4,0),0))</f>
        <v>0</v>
      </c>
      <c r="J47" s="71">
        <f>IF(B47=0,"",IFERROR(VLOOKUP(B47,'S-ASIG-04'!$B$5:$E$88,4,0),0))</f>
        <v>4.4000000000000004</v>
      </c>
      <c r="K47" s="71">
        <f>IF(B47=0,"",IFERROR(VLOOKUP(B47,'S-ASIG-05'!$B$5:$E$88,4,0),0))</f>
        <v>3.5500000000000003</v>
      </c>
      <c r="L47" s="71">
        <f>IF(B47=0,"",IFERROR(VLOOKUP(B47,'S-ASIG-06'!$B$5:$E$88,4,0),0))</f>
        <v>3.6400000000000006</v>
      </c>
      <c r="M47" s="72">
        <f>IF(B47=0,"",IFERROR(VLOOKUP(B47,'S-ASIG-07'!$B$5:$E$88,4,0),0))</f>
        <v>3.7499999999999996</v>
      </c>
      <c r="N47" s="68" t="s">
        <v>140</v>
      </c>
      <c r="O47" s="70">
        <f>IF(B47=0,"",IFERROR(VLOOKUP(B47,'T-ASIG-01'!$B$5:$D$88,3,0),0))</f>
        <v>2.25</v>
      </c>
      <c r="P47" s="71">
        <f>IF(B47=0,"",IFERROR(VLOOKUP(B47,'T-ASIG-02'!$B$5:$D$88,3,0),0))</f>
        <v>2.25</v>
      </c>
      <c r="Q47" s="71">
        <f>IF(B47=0,"",IFERROR(VLOOKUP(B47,'T-ASIG-03'!$B$5:$D$88,3,0),0))</f>
        <v>2.25</v>
      </c>
      <c r="R47" s="71">
        <f>IF(B47=0,"",IFERROR(VLOOKUP(B47,'T-ASIG-04'!$B$5:$D$88,3,0),0))</f>
        <v>2.25</v>
      </c>
      <c r="S47" s="71">
        <f>IF(B47=0,"",IFERROR(VLOOKUP(B47,'T-ASIG-05'!$B$5:$D$88,3,0),0))</f>
        <v>2.25</v>
      </c>
      <c r="T47" s="71">
        <f>IF(B47=0,"",IFERROR(VLOOKUP(B47,'T-ASIG-06'!$B$5:$D$88,3,0),0))</f>
        <v>2.25</v>
      </c>
      <c r="U47" s="72">
        <f>IF(B47=0,"",IFERROR(VLOOKUP(B47,'T-ASIG-07'!$B$5:$D$88,3,0),0))</f>
        <v>2.25</v>
      </c>
      <c r="V47" s="69" t="s">
        <v>141</v>
      </c>
    </row>
    <row r="48" spans="1:22" ht="15" customHeight="1">
      <c r="A48" s="12">
        <v>44</v>
      </c>
      <c r="B48" s="63" t="str">
        <f>LIDER!C52</f>
        <v>LEINER GARCIA PAEZ</v>
      </c>
      <c r="C48" s="64" t="str">
        <f>IF(B48=0,"",IFERROR(VLOOKUP(B48,'S-ASIG-01'!$B$5:$E$88,2,0),0))</f>
        <v>G09</v>
      </c>
      <c r="D48" s="65">
        <f t="shared" si="2"/>
        <v>3.5900000000000003</v>
      </c>
      <c r="E48" s="66">
        <f t="shared" si="3"/>
        <v>2.25</v>
      </c>
      <c r="F48" s="47"/>
      <c r="G48" s="70">
        <f>IF(B48=0,"",IFERROR(VLOOKUP(B48,'S-ASIG-01'!$B$5:$E$88,4,0),0))</f>
        <v>3.1</v>
      </c>
      <c r="H48" s="71">
        <f>IF(B48=0,"",IFERROR(VLOOKUP(B48,'S-ASIG-02'!$B$5:$E$88,4,0),0))</f>
        <v>3.1</v>
      </c>
      <c r="I48" s="71">
        <f>IF(B48=0,"",IFERROR(VLOOKUP(B48,'S-ASIG-03'!$B$5:$E$88,4,0),0))</f>
        <v>0</v>
      </c>
      <c r="J48" s="71">
        <f>IF(B48=0,"",IFERROR(VLOOKUP(B48,'S-ASIG-04'!$B$5:$E$88,4,0),0))</f>
        <v>4.4000000000000004</v>
      </c>
      <c r="K48" s="71">
        <f>IF(B48=0,"",IFERROR(VLOOKUP(B48,'S-ASIG-05'!$B$5:$E$88,4,0),0))</f>
        <v>3.5500000000000003</v>
      </c>
      <c r="L48" s="71">
        <f>IF(B48=0,"",IFERROR(VLOOKUP(B48,'S-ASIG-06'!$B$5:$E$88,4,0),0))</f>
        <v>3.6400000000000006</v>
      </c>
      <c r="M48" s="72">
        <f>IF(B48=0,"",IFERROR(VLOOKUP(B48,'S-ASIG-07'!$B$5:$E$88,4,0),0))</f>
        <v>3.7499999999999996</v>
      </c>
      <c r="N48" s="68" t="s">
        <v>140</v>
      </c>
      <c r="O48" s="70">
        <f>IF(B48=0,"",IFERROR(VLOOKUP(B48,'T-ASIG-01'!$B$5:$D$88,3,0),0))</f>
        <v>2.25</v>
      </c>
      <c r="P48" s="71">
        <f>IF(B48=0,"",IFERROR(VLOOKUP(B48,'T-ASIG-02'!$B$5:$D$88,3,0),0))</f>
        <v>2.25</v>
      </c>
      <c r="Q48" s="71">
        <f>IF(B48=0,"",IFERROR(VLOOKUP(B48,'T-ASIG-03'!$B$5:$D$88,3,0),0))</f>
        <v>2.25</v>
      </c>
      <c r="R48" s="71">
        <f>IF(B48=0,"",IFERROR(VLOOKUP(B48,'T-ASIG-04'!$B$5:$D$88,3,0),0))</f>
        <v>2.25</v>
      </c>
      <c r="S48" s="71">
        <f>IF(B48=0,"",IFERROR(VLOOKUP(B48,'T-ASIG-05'!$B$5:$D$88,3,0),0))</f>
        <v>2.25</v>
      </c>
      <c r="T48" s="71">
        <f>IF(B48=0,"",IFERROR(VLOOKUP(B48,'T-ASIG-06'!$B$5:$D$88,3,0),0))</f>
        <v>2.25</v>
      </c>
      <c r="U48" s="72">
        <f>IF(B48=0,"",IFERROR(VLOOKUP(B48,'T-ASIG-07'!$B$5:$D$88,3,0),0))</f>
        <v>2.25</v>
      </c>
      <c r="V48" s="69" t="s">
        <v>141</v>
      </c>
    </row>
    <row r="49" spans="1:22" ht="15" customHeight="1">
      <c r="A49" s="12">
        <v>45</v>
      </c>
      <c r="B49" s="63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0" t="str">
        <f>IF(B49=0,"",IFERROR(VLOOKUP(B49,'S-ASIG-01'!$B$5:$E$88,4,0),0))</f>
        <v/>
      </c>
      <c r="H49" s="71" t="str">
        <f>IF(B49=0,"",IFERROR(VLOOKUP(B49,'S-ASIG-02'!$B$5:$E$88,4,0),0))</f>
        <v/>
      </c>
      <c r="I49" s="71" t="str">
        <f>IF(B49=0,"",IFERROR(VLOOKUP(B49,'S-ASIG-03'!$B$5:$E$88,4,0),0))</f>
        <v/>
      </c>
      <c r="J49" s="71" t="str">
        <f>IF(B49=0,"",IFERROR(VLOOKUP(B49,'S-ASIG-04'!$B$5:$E$88,4,0),0))</f>
        <v/>
      </c>
      <c r="K49" s="71" t="str">
        <f>IF(B49=0,"",IFERROR(VLOOKUP(B49,'S-ASIG-05'!$B$5:$E$88,4,0),0))</f>
        <v/>
      </c>
      <c r="L49" s="71" t="str">
        <f>IF(B49=0,"",IFERROR(VLOOKUP(B49,'S-ASIG-06'!$B$5:$E$88,4,0),0))</f>
        <v/>
      </c>
      <c r="M49" s="72" t="str">
        <f>IF(B49=0,"",IFERROR(VLOOKUP(B49,'S-ASIG-07'!$B$5:$E$88,4,0),0))</f>
        <v/>
      </c>
      <c r="N49" s="68" t="s">
        <v>140</v>
      </c>
      <c r="O49" s="70" t="str">
        <f>IF(B49=0,"",IFERROR(VLOOKUP(B49,'T-ASIG-01'!$B$5:$D$88,3,0),0))</f>
        <v/>
      </c>
      <c r="P49" s="71" t="str">
        <f>IF(B49=0,"",IFERROR(VLOOKUP(B49,'T-ASIG-02'!$B$5:$D$88,3,0),0))</f>
        <v/>
      </c>
      <c r="Q49" s="71" t="str">
        <f>IF(B49=0,"",IFERROR(VLOOKUP(B49,'T-ASIG-03'!$B$5:$D$88,3,0),0))</f>
        <v/>
      </c>
      <c r="R49" s="71" t="str">
        <f>IF(B49=0,"",IFERROR(VLOOKUP(B49,'T-ASIG-04'!$B$5:$D$88,3,0),0))</f>
        <v/>
      </c>
      <c r="S49" s="71" t="str">
        <f>IF(B49=0,"",IFERROR(VLOOKUP(B49,'T-ASIG-05'!$B$5:$D$88,3,0),0))</f>
        <v/>
      </c>
      <c r="T49" s="71" t="str">
        <f>IF(B49=0,"",IFERROR(VLOOKUP(B49,'T-ASIG-06'!$B$5:$D$88,3,0),0))</f>
        <v/>
      </c>
      <c r="U49" s="72" t="str">
        <f>IF(B49=0,"",IFERROR(VLOOKUP(B49,'T-ASIG-07'!$B$5:$D$88,3,0),0))</f>
        <v/>
      </c>
      <c r="V49" s="69" t="s">
        <v>141</v>
      </c>
    </row>
    <row r="50" spans="1:22" ht="15" customHeight="1">
      <c r="A50" s="12">
        <v>46</v>
      </c>
      <c r="B50" s="63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0" t="str">
        <f>IF(B50=0,"",IFERROR(VLOOKUP(B50,'S-ASIG-01'!$B$5:$E$88,4,0),0))</f>
        <v/>
      </c>
      <c r="H50" s="71" t="str">
        <f>IF(B50=0,"",IFERROR(VLOOKUP(B50,'S-ASIG-02'!$B$5:$E$88,4,0),0))</f>
        <v/>
      </c>
      <c r="I50" s="71" t="str">
        <f>IF(B50=0,"",IFERROR(VLOOKUP(B50,'S-ASIG-03'!$B$5:$E$88,4,0),0))</f>
        <v/>
      </c>
      <c r="J50" s="71" t="str">
        <f>IF(B50=0,"",IFERROR(VLOOKUP(B50,'S-ASIG-04'!$B$5:$E$88,4,0),0))</f>
        <v/>
      </c>
      <c r="K50" s="71" t="str">
        <f>IF(B50=0,"",IFERROR(VLOOKUP(B50,'S-ASIG-05'!$B$5:$E$88,4,0),0))</f>
        <v/>
      </c>
      <c r="L50" s="71" t="str">
        <f>IF(B50=0,"",IFERROR(VLOOKUP(B50,'S-ASIG-06'!$B$5:$E$88,4,0),0))</f>
        <v/>
      </c>
      <c r="M50" s="72" t="str">
        <f>IF(B50=0,"",IFERROR(VLOOKUP(B50,'S-ASIG-07'!$B$5:$E$88,4,0),0))</f>
        <v/>
      </c>
      <c r="N50" s="68" t="s">
        <v>140</v>
      </c>
      <c r="O50" s="70" t="str">
        <f>IF(B50=0,"",IFERROR(VLOOKUP(B50,'T-ASIG-01'!$B$5:$D$88,3,0),0))</f>
        <v/>
      </c>
      <c r="P50" s="71" t="str">
        <f>IF(B50=0,"",IFERROR(VLOOKUP(B50,'T-ASIG-02'!$B$5:$D$88,3,0),0))</f>
        <v/>
      </c>
      <c r="Q50" s="71" t="str">
        <f>IF(B50=0,"",IFERROR(VLOOKUP(B50,'T-ASIG-03'!$B$5:$D$88,3,0),0))</f>
        <v/>
      </c>
      <c r="R50" s="71" t="str">
        <f>IF(B50=0,"",IFERROR(VLOOKUP(B50,'T-ASIG-04'!$B$5:$D$88,3,0),0))</f>
        <v/>
      </c>
      <c r="S50" s="71" t="str">
        <f>IF(B50=0,"",IFERROR(VLOOKUP(B50,'T-ASIG-05'!$B$5:$D$88,3,0),0))</f>
        <v/>
      </c>
      <c r="T50" s="71" t="str">
        <f>IF(B50=0,"",IFERROR(VLOOKUP(B50,'T-ASIG-06'!$B$5:$D$88,3,0),0))</f>
        <v/>
      </c>
      <c r="U50" s="72" t="str">
        <f>IF(B50=0,"",IFERROR(VLOOKUP(B50,'T-ASIG-07'!$B$5:$D$88,3,0),0))</f>
        <v/>
      </c>
      <c r="V50" s="69" t="s">
        <v>141</v>
      </c>
    </row>
    <row r="51" spans="1:22" ht="15" customHeight="1">
      <c r="A51" s="12">
        <v>47</v>
      </c>
      <c r="B51" s="63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0" t="str">
        <f>IF(B51=0,"",IFERROR(VLOOKUP(B51,'S-ASIG-01'!$B$5:$E$88,4,0),0))</f>
        <v/>
      </c>
      <c r="H51" s="71" t="str">
        <f>IF(B51=0,"",IFERROR(VLOOKUP(B51,'S-ASIG-02'!$B$5:$E$88,4,0),0))</f>
        <v/>
      </c>
      <c r="I51" s="71" t="str">
        <f>IF(B51=0,"",IFERROR(VLOOKUP(B51,'S-ASIG-03'!$B$5:$E$88,4,0),0))</f>
        <v/>
      </c>
      <c r="J51" s="71" t="str">
        <f>IF(B51=0,"",IFERROR(VLOOKUP(B51,'S-ASIG-04'!$B$5:$E$88,4,0),0))</f>
        <v/>
      </c>
      <c r="K51" s="71" t="str">
        <f>IF(B51=0,"",IFERROR(VLOOKUP(B51,'S-ASIG-05'!$B$5:$E$88,4,0),0))</f>
        <v/>
      </c>
      <c r="L51" s="71" t="str">
        <f>IF(B51=0,"",IFERROR(VLOOKUP(B51,'S-ASIG-06'!$B$5:$E$88,4,0),0))</f>
        <v/>
      </c>
      <c r="M51" s="72" t="str">
        <f>IF(B51=0,"",IFERROR(VLOOKUP(B51,'S-ASIG-07'!$B$5:$E$88,4,0),0))</f>
        <v/>
      </c>
      <c r="N51" s="68" t="s">
        <v>140</v>
      </c>
      <c r="O51" s="70" t="str">
        <f>IF(B51=0,"",IFERROR(VLOOKUP(B51,'T-ASIG-01'!$B$5:$D$88,3,0),0))</f>
        <v/>
      </c>
      <c r="P51" s="71" t="str">
        <f>IF(B51=0,"",IFERROR(VLOOKUP(B51,'T-ASIG-02'!$B$5:$D$88,3,0),0))</f>
        <v/>
      </c>
      <c r="Q51" s="71" t="str">
        <f>IF(B51=0,"",IFERROR(VLOOKUP(B51,'T-ASIG-03'!$B$5:$D$88,3,0),0))</f>
        <v/>
      </c>
      <c r="R51" s="71" t="str">
        <f>IF(B51=0,"",IFERROR(VLOOKUP(B51,'T-ASIG-04'!$B$5:$D$88,3,0),0))</f>
        <v/>
      </c>
      <c r="S51" s="71" t="str">
        <f>IF(B51=0,"",IFERROR(VLOOKUP(B51,'T-ASIG-05'!$B$5:$D$88,3,0),0))</f>
        <v/>
      </c>
      <c r="T51" s="71" t="str">
        <f>IF(B51=0,"",IFERROR(VLOOKUP(B51,'T-ASIG-06'!$B$5:$D$88,3,0),0))</f>
        <v/>
      </c>
      <c r="U51" s="72" t="str">
        <f>IF(B51=0,"",IFERROR(VLOOKUP(B51,'T-ASIG-07'!$B$5:$D$88,3,0),0))</f>
        <v/>
      </c>
      <c r="V51" s="69" t="s">
        <v>141</v>
      </c>
    </row>
    <row r="52" spans="1:22" ht="15" customHeight="1">
      <c r="A52" s="12">
        <v>48</v>
      </c>
      <c r="B52" s="63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0" t="str">
        <f>IF(B52=0,"",IFERROR(VLOOKUP(B52,'S-ASIG-01'!$B$5:$E$88,4,0),0))</f>
        <v/>
      </c>
      <c r="H52" s="71" t="str">
        <f>IF(B52=0,"",IFERROR(VLOOKUP(B52,'S-ASIG-02'!$B$5:$E$88,4,0),0))</f>
        <v/>
      </c>
      <c r="I52" s="71" t="str">
        <f>IF(B52=0,"",IFERROR(VLOOKUP(B52,'S-ASIG-03'!$B$5:$E$88,4,0),0))</f>
        <v/>
      </c>
      <c r="J52" s="71" t="str">
        <f>IF(B52=0,"",IFERROR(VLOOKUP(B52,'S-ASIG-04'!$B$5:$E$88,4,0),0))</f>
        <v/>
      </c>
      <c r="K52" s="71" t="str">
        <f>IF(B52=0,"",IFERROR(VLOOKUP(B52,'S-ASIG-05'!$B$5:$E$88,4,0),0))</f>
        <v/>
      </c>
      <c r="L52" s="71" t="str">
        <f>IF(B52=0,"",IFERROR(VLOOKUP(B52,'S-ASIG-06'!$B$5:$E$88,4,0),0))</f>
        <v/>
      </c>
      <c r="M52" s="72" t="str">
        <f>IF(B52=0,"",IFERROR(VLOOKUP(B52,'S-ASIG-07'!$B$5:$E$88,4,0),0))</f>
        <v/>
      </c>
      <c r="N52" s="68" t="s">
        <v>140</v>
      </c>
      <c r="O52" s="70" t="str">
        <f>IF(B52=0,"",IFERROR(VLOOKUP(B52,'T-ASIG-01'!$B$5:$D$88,3,0),0))</f>
        <v/>
      </c>
      <c r="P52" s="71" t="str">
        <f>IF(B52=0,"",IFERROR(VLOOKUP(B52,'T-ASIG-02'!$B$5:$D$88,3,0),0))</f>
        <v/>
      </c>
      <c r="Q52" s="71" t="str">
        <f>IF(B52=0,"",IFERROR(VLOOKUP(B52,'T-ASIG-03'!$B$5:$D$88,3,0),0))</f>
        <v/>
      </c>
      <c r="R52" s="71" t="str">
        <f>IF(B52=0,"",IFERROR(VLOOKUP(B52,'T-ASIG-04'!$B$5:$D$88,3,0),0))</f>
        <v/>
      </c>
      <c r="S52" s="71" t="str">
        <f>IF(B52=0,"",IFERROR(VLOOKUP(B52,'T-ASIG-05'!$B$5:$D$88,3,0),0))</f>
        <v/>
      </c>
      <c r="T52" s="71" t="str">
        <f>IF(B52=0,"",IFERROR(VLOOKUP(B52,'T-ASIG-06'!$B$5:$D$88,3,0),0))</f>
        <v/>
      </c>
      <c r="U52" s="72" t="str">
        <f>IF(B52=0,"",IFERROR(VLOOKUP(B52,'T-ASIG-07'!$B$5:$D$88,3,0),0))</f>
        <v/>
      </c>
      <c r="V52" s="69" t="s">
        <v>141</v>
      </c>
    </row>
    <row r="53" spans="1:22" ht="15" customHeight="1">
      <c r="A53" s="12">
        <v>49</v>
      </c>
      <c r="B53" s="63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0" t="str">
        <f>IF(B53=0,"",IFERROR(VLOOKUP(B53,'S-ASIG-01'!$B$5:$E$88,4,0),0))</f>
        <v/>
      </c>
      <c r="H53" s="71" t="str">
        <f>IF(B53=0,"",IFERROR(VLOOKUP(B53,'S-ASIG-02'!$B$5:$E$88,4,0),0))</f>
        <v/>
      </c>
      <c r="I53" s="71" t="str">
        <f>IF(B53=0,"",IFERROR(VLOOKUP(B53,'S-ASIG-03'!$B$5:$E$88,4,0),0))</f>
        <v/>
      </c>
      <c r="J53" s="71" t="str">
        <f>IF(B53=0,"",IFERROR(VLOOKUP(B53,'S-ASIG-04'!$B$5:$E$88,4,0),0))</f>
        <v/>
      </c>
      <c r="K53" s="71" t="str">
        <f>IF(B53=0,"",IFERROR(VLOOKUP(B53,'S-ASIG-05'!$B$5:$E$88,4,0),0))</f>
        <v/>
      </c>
      <c r="L53" s="71" t="str">
        <f>IF(B53=0,"",IFERROR(VLOOKUP(B53,'S-ASIG-06'!$B$5:$E$88,4,0),0))</f>
        <v/>
      </c>
      <c r="M53" s="72" t="str">
        <f>IF(B53=0,"",IFERROR(VLOOKUP(B53,'S-ASIG-07'!$B$5:$E$88,4,0),0))</f>
        <v/>
      </c>
      <c r="N53" s="68" t="s">
        <v>140</v>
      </c>
      <c r="O53" s="70" t="str">
        <f>IF(B53=0,"",IFERROR(VLOOKUP(B53,'T-ASIG-01'!$B$5:$D$88,3,0),0))</f>
        <v/>
      </c>
      <c r="P53" s="71" t="str">
        <f>IF(B53=0,"",IFERROR(VLOOKUP(B53,'T-ASIG-02'!$B$5:$D$88,3,0),0))</f>
        <v/>
      </c>
      <c r="Q53" s="71" t="str">
        <f>IF(B53=0,"",IFERROR(VLOOKUP(B53,'T-ASIG-03'!$B$5:$D$88,3,0),0))</f>
        <v/>
      </c>
      <c r="R53" s="71" t="str">
        <f>IF(B53=0,"",IFERROR(VLOOKUP(B53,'T-ASIG-04'!$B$5:$D$88,3,0),0))</f>
        <v/>
      </c>
      <c r="S53" s="71" t="str">
        <f>IF(B53=0,"",IFERROR(VLOOKUP(B53,'T-ASIG-05'!$B$5:$D$88,3,0),0))</f>
        <v/>
      </c>
      <c r="T53" s="71" t="str">
        <f>IF(B53=0,"",IFERROR(VLOOKUP(B53,'T-ASIG-06'!$B$5:$D$88,3,0),0))</f>
        <v/>
      </c>
      <c r="U53" s="72" t="str">
        <f>IF(B53=0,"",IFERROR(VLOOKUP(B53,'T-ASIG-07'!$B$5:$D$88,3,0),0))</f>
        <v/>
      </c>
      <c r="V53" s="69" t="s">
        <v>141</v>
      </c>
    </row>
    <row r="54" spans="1:22" ht="15" customHeight="1">
      <c r="A54" s="15">
        <v>50</v>
      </c>
      <c r="B54" s="63">
        <f>LIDER!C58</f>
        <v>0</v>
      </c>
      <c r="C54" s="64" t="str">
        <f>IF(B54=0,"",IFERROR(VLOOKUP(B54,'S-ASIG-01'!$B$5:$E$88,2,0),0))</f>
        <v/>
      </c>
      <c r="D54" s="73" t="str">
        <f t="shared" si="2"/>
        <v/>
      </c>
      <c r="E54" s="74" t="str">
        <f t="shared" si="3"/>
        <v/>
      </c>
      <c r="F54" s="47"/>
      <c r="G54" s="75" t="str">
        <f>IF(B54=0,"",IFERROR(VLOOKUP(B54,'S-ASIG-01'!$B$5:$E$88,4,0),0))</f>
        <v/>
      </c>
      <c r="H54" s="76" t="str">
        <f>IF(B54=0,"",IFERROR(VLOOKUP(B54,'S-ASIG-02'!$B$5:$E$88,4,0),0))</f>
        <v/>
      </c>
      <c r="I54" s="76" t="str">
        <f>IF(B54=0,"",IFERROR(VLOOKUP(B54,'S-ASIG-03'!$B$5:$E$88,4,0),0))</f>
        <v/>
      </c>
      <c r="J54" s="76" t="str">
        <f>IF(B54=0,"",IFERROR(VLOOKUP(B54,'S-ASIG-04'!$B$5:$E$88,4,0),0))</f>
        <v/>
      </c>
      <c r="K54" s="76" t="str">
        <f>IF(B54=0,"",IFERROR(VLOOKUP(B54,'S-ASIG-05'!$B$5:$E$88,4,0),0))</f>
        <v/>
      </c>
      <c r="L54" s="76" t="str">
        <f>IF(B54=0,"",IFERROR(VLOOKUP(B54,'S-ASIG-06'!$B$5:$E$88,4,0),0))</f>
        <v/>
      </c>
      <c r="M54" s="77" t="str">
        <f>IF(B54=0,"",IFERROR(VLOOKUP(B54,'S-ASIG-07'!$B$5:$E$88,4,0),0))</f>
        <v/>
      </c>
      <c r="N54" s="68" t="s">
        <v>140</v>
      </c>
      <c r="O54" s="75" t="str">
        <f>IF(B54=0,"",IFERROR(VLOOKUP(B54,'T-ASIG-01'!$B$5:$D$88,3,0),0))</f>
        <v/>
      </c>
      <c r="P54" s="76" t="str">
        <f>IF(B54=0,"",IFERROR(VLOOKUP(B54,'T-ASIG-02'!$B$5:$D$88,3,0),0))</f>
        <v/>
      </c>
      <c r="Q54" s="76" t="str">
        <f>IF(B54=0,"",IFERROR(VLOOKUP(B54,'T-ASIG-03'!$B$5:$D$88,3,0),0))</f>
        <v/>
      </c>
      <c r="R54" s="76" t="str">
        <f>IF(B54=0,"",IFERROR(VLOOKUP(B54,'T-ASIG-04'!$B$5:$D$88,3,0),0))</f>
        <v/>
      </c>
      <c r="S54" s="76" t="str">
        <f>IF(B54=0,"",IFERROR(VLOOKUP(B54,'T-ASIG-05'!$B$5:$D$88,3,0),0))</f>
        <v/>
      </c>
      <c r="T54" s="76" t="str">
        <f>IF(B54=0,"",IFERROR(VLOOKUP(B54,'T-ASIG-06'!$B$5:$D$88,3,0),0))</f>
        <v/>
      </c>
      <c r="U54" s="77" t="str">
        <f>IF(B54=0,"",IFERROR(VLOOKUP(B54,'T-ASIG-07'!$B$5:$D$88,3,0),0))</f>
        <v/>
      </c>
      <c r="V54" s="69" t="s">
        <v>141</v>
      </c>
    </row>
  </sheetData>
  <sheetProtection algorithmName="SHA-512" hashValue="vNRGOxFSnNN9w5+6josXU1cNZ7LqlDp2+MmQB7aCTPLRh4JuQgaCRjzV++PgmAQoUi9mGExDYX+vbAypRhFN4g==" saltValue="WeZJJz/3jTyNqJWiWwfPG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GABRIEL MIRANDA</cp:lastModifiedBy>
  <cp:revision/>
  <dcterms:created xsi:type="dcterms:W3CDTF">2025-09-29T20:45:44Z</dcterms:created>
  <dcterms:modified xsi:type="dcterms:W3CDTF">2026-05-30T00:05:17Z</dcterms:modified>
  <cp:category/>
  <cp:contentStatus/>
</cp:coreProperties>
</file>