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2/"/>
    </mc:Choice>
  </mc:AlternateContent>
  <xr:revisionPtr revIDLastSave="407" documentId="13_ncr:1_{3CA7DD6F-AFA3-462B-B41F-2F15B8CF08CC}" xr6:coauthVersionLast="47" xr6:coauthVersionMax="47" xr10:uidLastSave="{8F6EB13D-0EB4-4E35-84C9-5EBDFCB6C86F}"/>
  <bookViews>
    <workbookView xWindow="-120" yWindow="-120" windowWidth="20730" windowHeight="11040" tabRatio="720" firstSheet="15" activeTab="10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D28" i="16"/>
  <c r="B28" i="16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D30" i="6"/>
  <c r="B30" i="6"/>
  <c r="B29" i="6"/>
  <c r="D29" i="6" s="1"/>
  <c r="B28" i="6"/>
  <c r="D28" i="6" s="1"/>
  <c r="D27" i="6"/>
  <c r="B27" i="6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D31" i="4"/>
  <c r="B31" i="4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D30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D34" i="3"/>
  <c r="B34" i="3"/>
  <c r="B32" i="3"/>
  <c r="D32" i="3" s="1"/>
  <c r="B31" i="3"/>
  <c r="D31" i="3" s="1"/>
  <c r="B30" i="3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E34" i="14"/>
  <c r="C34" i="14"/>
  <c r="C35" i="14" s="1"/>
  <c r="C36" i="14" s="1"/>
  <c r="C37" i="14" s="1"/>
  <c r="C38" i="14" s="1"/>
  <c r="C39" i="14" s="1"/>
  <c r="B34" i="14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E27" i="14"/>
  <c r="C27" i="14"/>
  <c r="B27" i="14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E31" i="13"/>
  <c r="B31" i="13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E30" i="12"/>
  <c r="B30" i="12"/>
  <c r="B29" i="12"/>
  <c r="E29" i="12" s="1"/>
  <c r="C28" i="12"/>
  <c r="C29" i="12" s="1"/>
  <c r="C30" i="12" s="1"/>
  <c r="C31" i="12" s="1"/>
  <c r="C32" i="12" s="1"/>
  <c r="B28" i="12"/>
  <c r="E28" i="12" s="1"/>
  <c r="E27" i="12"/>
  <c r="C27" i="12"/>
  <c r="B27" i="12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E28" i="11"/>
  <c r="C28" i="11"/>
  <c r="C29" i="11" s="1"/>
  <c r="C30" i="11" s="1"/>
  <c r="C31" i="11" s="1"/>
  <c r="C32" i="11" s="1"/>
  <c r="B28" i="1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2" i="3" l="1"/>
  <c r="D22" i="5"/>
  <c r="D20" i="5"/>
  <c r="D22" i="7"/>
  <c r="D21" i="16"/>
  <c r="D10" i="4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D5" i="8" s="1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<sst xmlns="http://schemas.openxmlformats.org/spreadsheetml/2006/main" count="663" uniqueCount="108">
  <si>
    <t>TECNOLOGÍA EN GESTIÓN DE NEGOCIOS INTERN</t>
  </si>
  <si>
    <t>SEMESTRE:</t>
  </si>
  <si>
    <t>SEM-02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</si>
  <si>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</si>
  <si>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</si>
  <si>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</si>
  <si>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</si>
  <si>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</si>
  <si>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</si>
  <si>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</si>
  <si>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</si>
  <si>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</si>
  <si>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SEMINARIO INVESTIGATIVO</t>
  </si>
  <si>
    <t>COSTOS Y PRESUPUESTO</t>
  </si>
  <si>
    <t>LEGISLACION EMPRESARIAL</t>
  </si>
  <si>
    <t>ECONOMÍA GENERAL</t>
  </si>
  <si>
    <t>PROCESO ADMINISTRATIVO</t>
  </si>
  <si>
    <t>ABRAHAN RINALDI VILLALOBOS</t>
  </si>
  <si>
    <t>CAMILO JOSE MOLINA GUERRERO</t>
  </si>
  <si>
    <t>ARODIZ AGUILERA AURELA</t>
  </si>
  <si>
    <t>ELENA MELENDEZ TAPIA</t>
  </si>
  <si>
    <t>LUIS ROBERTO PAJARO ZABALA</t>
  </si>
  <si>
    <t>ELOISA INES PENA GARCIA</t>
  </si>
  <si>
    <t>LISTA DE ESTUDIANTES</t>
  </si>
  <si>
    <t>SEGUNDA ENTREGA - CRITERIOS DE EVALUACIÓN DOCUMENTO - SEGUNDO CORTE</t>
  </si>
  <si>
    <t>PONDERACIÓN</t>
  </si>
  <si>
    <t>ADMINISTRACIÓN DE EMPRESAS C.I</t>
  </si>
  <si>
    <t>ISABELLA PAOLA ESCUDERO GARROS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</si>
  <si>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</si>
  <si>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</si>
  <si>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EMILY SHANNAY LARA GODOY</t>
  </si>
  <si>
    <t>ANTEPROYECTO: Portada, planteamiento del problema, justificacion del trabajo o proyecto de aula, objetivos, marco teorico, diseño metodologico.</t>
  </si>
  <si>
    <t>CONTADURÍA PÚBLICA</t>
  </si>
  <si>
    <t>JESUS JAVIER MARTINEZ MESTRA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</si>
  <si>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</si>
  <si>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</si>
  <si>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CAMILO ANDRES RAMOS PERIÑAN</t>
  </si>
  <si>
    <t>BILIOGRAFIA: Las referencias bibliograficas: adoptan las normas APA. El documento es producto de un rastreo bibliografico que muestra analisis y sistensis.</t>
  </si>
  <si>
    <t>GABRIEL DAVID SANCHEZ PARRA</t>
  </si>
  <si>
    <t>ASESORIAS: Anexó la hoja de tutoria firmada ( 3 fimas minmimo).</t>
  </si>
  <si>
    <t>TECNOLOGíA EN GESTION CONTABLE</t>
  </si>
  <si>
    <t>SANTIAGO JOSE URIBE CRISTANCHO</t>
  </si>
  <si>
    <t>TECNOLOGÍA EN GESTIÓN DE MARKETING</t>
  </si>
  <si>
    <t>DILAN ANTONIO BOSSIO LEAL</t>
  </si>
  <si>
    <t>TECNOLOGÍA EN GESTIÓN DEL TALENTO HUMANO</t>
  </si>
  <si>
    <t>HELEN MARIA OCHOA RODRIGUEZ</t>
  </si>
  <si>
    <t>TECNOLOGÍA EN GESTIÓN FINANCIERA</t>
  </si>
  <si>
    <t>SANTIAGO PALOMINO CORDERO</t>
  </si>
  <si>
    <t>TECNOLOGÍA EN GESTIÓN LOGISTICA Y PORTUARIA</t>
  </si>
  <si>
    <t>TEDDY JAVIER RICO PEREZ</t>
  </si>
  <si>
    <t>ENTREGA FINAL - CRITERIO DE EVALUACIÓN SUSTENTACIÓN - TERCER CORTE</t>
  </si>
  <si>
    <t>TECNOLOGÍA EN GESTIÓN TURISTICA Y HOTELERA</t>
  </si>
  <si>
    <t>ENDRY YUREY ROSARIO SIERRA</t>
  </si>
  <si>
    <t>Evaluación del Documento Final</t>
  </si>
  <si>
    <t>EVA LUCIA RUIZ LARA</t>
  </si>
  <si>
    <t>Sustentación de los Resultados: Se refleja un dominio del tema, la  información está delimitada y es clara. Hay una jerarquía y fluidez en las ideas que presenta.</t>
  </si>
  <si>
    <t>JORGE HUMBERTO GARCES GOMEZ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</si>
  <si>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</si>
  <si>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VALENTINA GIRALDO BOLAÑO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</si>
  <si>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</si>
  <si>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YOANDY GOMEZ DIAZ</t>
  </si>
  <si>
    <t>Tiempo: El uso del tiempo fue apropiado, se ajusta al previsto.
Ofrece una conclusión donde condensa las ideas principales del objetivo general y los específicos.</t>
  </si>
  <si>
    <t>MICHELLE CAROLINA RODRIGUEZ SEVERICHE</t>
  </si>
  <si>
    <t>Uso de Recursos Audiovisuales Tecnológicos: La sustentación se acompaña de recursos visuales pertinentes, atractivos y de gran calidad</t>
  </si>
  <si>
    <t>DARWIN STIVEN TELLEZ ABRIL</t>
  </si>
  <si>
    <t>ERWIN JOSUE URIBE SANTOYA</t>
  </si>
  <si>
    <t>TITULOS DE LOS PROYECTOS DE AULA</t>
  </si>
  <si>
    <t>Caracterización de los aspectos administrativos, legales, económicos y de costos de dos empresas del mismo sector económico.</t>
  </si>
  <si>
    <t>Características de los aspectos administrativos, logísticos y económicos de las empresas Agencia de Aduanas Granandina Ltda Nivel 1, y Agencia de Aduanas Aviatur S.A.S Nivel 1, que pertenecen al mismo sector económico de agenciamiento aduanero.</t>
  </si>
  <si>
    <t>Características de los aspectos administrativos, legales y económicos de Ecopetrol y Frontera Energy como empresas del sector de hidrocarburos en Colombia.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</si>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</sst>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6" zoomScaleNormal="86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6" t="s">
        <v>0</v>
      </c>
      <c r="C2" s="187"/>
      <c r="D2" s="188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2473</v>
      </c>
      <c r="D6" s="141">
        <v>2047</v>
      </c>
      <c r="E6" s="141">
        <v>2356</v>
      </c>
      <c r="F6" s="141">
        <v>2368</v>
      </c>
      <c r="G6" s="141">
        <v>1468</v>
      </c>
      <c r="H6" s="141">
        <v>1385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89" t="s">
        <v>24</v>
      </c>
      <c r="F8" s="190"/>
      <c r="G8" s="19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2" t="s">
        <v>28</v>
      </c>
      <c r="F9" s="193"/>
      <c r="G9" s="194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6" t="s">
        <v>31</v>
      </c>
      <c r="F10" s="167"/>
      <c r="G10" s="168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2" t="s">
        <v>34</v>
      </c>
      <c r="F11" s="193"/>
      <c r="G11" s="194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6" t="s">
        <v>37</v>
      </c>
      <c r="F12" s="167"/>
      <c r="G12" s="168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9" t="s">
        <v>39</v>
      </c>
      <c r="F13" s="170"/>
      <c r="G13" s="171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2"/>
      <c r="F14" s="164"/>
      <c r="G14" s="165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3"/>
      <c r="F15" s="174"/>
      <c r="G15" s="175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2"/>
      <c r="F17" s="182"/>
      <c r="G17" s="182"/>
      <c r="H17" s="182"/>
      <c r="I17" s="69" t="s">
        <v>48</v>
      </c>
    </row>
    <row r="18" spans="2:9" ht="15" customHeight="1" thickBot="1">
      <c r="B18" s="108">
        <v>10</v>
      </c>
      <c r="C18" s="111" t="s">
        <v>49</v>
      </c>
      <c r="E18" s="156" t="s">
        <v>50</v>
      </c>
      <c r="F18" s="157"/>
      <c r="G18" s="15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79" t="s">
        <v>53</v>
      </c>
      <c r="F19" s="180"/>
      <c r="G19" s="181"/>
      <c r="H19" s="133">
        <v>0.5</v>
      </c>
    </row>
    <row r="20" spans="2:9" ht="15" customHeight="1">
      <c r="B20" s="108">
        <v>12</v>
      </c>
      <c r="C20" s="111" t="s">
        <v>54</v>
      </c>
      <c r="E20" s="158" t="s">
        <v>55</v>
      </c>
      <c r="F20" s="159"/>
      <c r="G20" s="160"/>
      <c r="H20" s="134">
        <v>0.2</v>
      </c>
    </row>
    <row r="21" spans="2:9" ht="15" customHeight="1">
      <c r="B21" s="108">
        <v>13</v>
      </c>
      <c r="C21" s="111" t="s">
        <v>56</v>
      </c>
      <c r="E21" s="161" t="s">
        <v>57</v>
      </c>
      <c r="F21" s="162"/>
      <c r="G21" s="163"/>
      <c r="H21" s="135">
        <v>0.1</v>
      </c>
    </row>
    <row r="22" spans="2:9" ht="15" customHeight="1">
      <c r="B22" s="108">
        <v>14</v>
      </c>
      <c r="C22" s="111" t="s">
        <v>58</v>
      </c>
      <c r="E22" s="158" t="s">
        <v>59</v>
      </c>
      <c r="F22" s="164"/>
      <c r="G22" s="165"/>
      <c r="H22" s="134">
        <v>0.05</v>
      </c>
    </row>
    <row r="23" spans="2:9" ht="15" customHeight="1">
      <c r="B23" s="108">
        <v>15</v>
      </c>
      <c r="C23" s="111" t="s">
        <v>60</v>
      </c>
      <c r="E23" s="161" t="s">
        <v>61</v>
      </c>
      <c r="F23" s="162"/>
      <c r="G23" s="163"/>
      <c r="H23" s="136">
        <v>0.05</v>
      </c>
    </row>
    <row r="24" spans="2:9" ht="15" customHeight="1">
      <c r="B24" s="108">
        <v>16</v>
      </c>
      <c r="C24" s="111" t="s">
        <v>62</v>
      </c>
      <c r="E24" s="158" t="s">
        <v>63</v>
      </c>
      <c r="F24" s="159"/>
      <c r="G24" s="160"/>
      <c r="H24" s="134">
        <v>0.1</v>
      </c>
    </row>
    <row r="25" spans="2:9" ht="15" customHeight="1" thickBot="1">
      <c r="B25" s="108">
        <v>17</v>
      </c>
      <c r="C25" s="111" t="s">
        <v>64</v>
      </c>
      <c r="E25" s="176"/>
      <c r="F25" s="177"/>
      <c r="G25" s="178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83" t="s">
        <v>66</v>
      </c>
      <c r="F28" s="184"/>
      <c r="G28" s="184"/>
      <c r="H28" s="185"/>
    </row>
    <row r="29" spans="2:9" ht="15" customHeight="1" thickBot="1">
      <c r="B29" s="108">
        <v>21</v>
      </c>
      <c r="C29" s="111"/>
      <c r="E29" s="153" t="s">
        <v>67</v>
      </c>
      <c r="F29" s="154"/>
      <c r="G29" s="154"/>
      <c r="H29" s="155"/>
    </row>
    <row r="30" spans="2:9" ht="15" customHeight="1" thickBot="1">
      <c r="B30" s="108">
        <v>22</v>
      </c>
      <c r="C30" s="111"/>
      <c r="E30" s="150" t="s">
        <v>68</v>
      </c>
      <c r="F30" s="151"/>
      <c r="G30" s="151"/>
      <c r="H30" s="152"/>
    </row>
    <row r="31" spans="2:9" ht="15" customHeight="1" thickBot="1">
      <c r="B31" s="108">
        <v>23</v>
      </c>
      <c r="C31" s="111"/>
      <c r="E31" s="153" t="s">
        <v>69</v>
      </c>
      <c r="F31" s="154"/>
      <c r="G31" s="154"/>
      <c r="H31" s="155"/>
    </row>
    <row r="32" spans="2:9" ht="15" customHeight="1" thickBot="1">
      <c r="B32" s="108">
        <v>24</v>
      </c>
      <c r="C32" s="111"/>
      <c r="E32" s="150" t="s">
        <v>70</v>
      </c>
      <c r="F32" s="151"/>
      <c r="G32" s="151"/>
      <c r="H32" s="152"/>
    </row>
    <row r="33" spans="2:8" ht="15" customHeight="1" thickBot="1">
      <c r="B33" s="108">
        <v>25</v>
      </c>
      <c r="C33" s="111"/>
      <c r="E33" s="153" t="s">
        <v>71</v>
      </c>
      <c r="F33" s="154"/>
      <c r="G33" s="154"/>
      <c r="H33" s="155"/>
    </row>
    <row r="34" spans="2:8" ht="15" customHeight="1" thickBot="1">
      <c r="B34" s="108">
        <v>26</v>
      </c>
      <c r="C34" s="111"/>
      <c r="E34" s="150" t="s">
        <v>72</v>
      </c>
      <c r="F34" s="151"/>
      <c r="G34" s="151"/>
      <c r="H34" s="152"/>
    </row>
    <row r="35" spans="2:8" ht="15" customHeight="1" thickBot="1">
      <c r="B35" s="108">
        <v>27</v>
      </c>
      <c r="C35" s="111"/>
      <c r="E35" s="153" t="s">
        <v>73</v>
      </c>
      <c r="F35" s="154"/>
      <c r="G35" s="154"/>
      <c r="H35" s="155"/>
    </row>
    <row r="36" spans="2:8" ht="15" customHeight="1" thickBot="1">
      <c r="B36" s="108">
        <v>28</v>
      </c>
      <c r="C36" s="111"/>
      <c r="E36" s="150" t="s">
        <v>74</v>
      </c>
      <c r="F36" s="151"/>
      <c r="G36" s="151"/>
      <c r="H36" s="152"/>
    </row>
    <row r="37" spans="2:8" ht="15" customHeight="1" thickBot="1">
      <c r="B37" s="108">
        <v>29</v>
      </c>
      <c r="C37" s="111"/>
      <c r="E37" s="153" t="s">
        <v>75</v>
      </c>
      <c r="F37" s="154"/>
      <c r="G37" s="154"/>
      <c r="H37" s="155"/>
    </row>
    <row r="38" spans="2:8" ht="15" customHeight="1" thickBot="1">
      <c r="B38" s="108">
        <v>30</v>
      </c>
      <c r="C38" s="111"/>
      <c r="E38" s="150" t="s">
        <v>76</v>
      </c>
      <c r="F38" s="151"/>
      <c r="G38" s="151"/>
      <c r="H38" s="152"/>
    </row>
    <row r="39" spans="2:8" ht="15" customHeight="1" thickBot="1">
      <c r="B39" s="108">
        <v>31</v>
      </c>
      <c r="C39" s="111"/>
      <c r="E39" s="153" t="s">
        <v>77</v>
      </c>
      <c r="F39" s="154"/>
      <c r="G39" s="154"/>
      <c r="H39" s="155"/>
    </row>
    <row r="40" spans="2:8" ht="15" customHeight="1" thickBot="1">
      <c r="B40" s="108">
        <v>32</v>
      </c>
      <c r="C40" s="111"/>
      <c r="E40" s="150" t="s">
        <v>78</v>
      </c>
      <c r="F40" s="151"/>
      <c r="G40" s="151"/>
      <c r="H40" s="15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>
      <c r="B42" s="108">
        <v>34</v>
      </c>
      <c r="C42" s="111"/>
      <c r="E42" s="115" t="str">
        <f>MID(E29,1,20)</f>
        <v>Caracterización de l</v>
      </c>
      <c r="F42" s="116" t="str">
        <f>MID(E30,1,20)</f>
        <v>Características de l</v>
      </c>
      <c r="G42" s="116" t="str">
        <f>MID(E31,1,20)</f>
        <v>Características de l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27</v>
      </c>
      <c r="F43" s="119" t="s">
        <v>43</v>
      </c>
      <c r="G43" s="119" t="s">
        <v>56</v>
      </c>
      <c r="H43" s="120"/>
    </row>
    <row r="44" spans="2:8" ht="15" customHeight="1">
      <c r="B44" s="108">
        <v>36</v>
      </c>
      <c r="C44" s="111"/>
      <c r="E44" s="121" t="s">
        <v>30</v>
      </c>
      <c r="F44" s="122" t="s">
        <v>45</v>
      </c>
      <c r="G44" s="122" t="s">
        <v>58</v>
      </c>
      <c r="H44" s="123"/>
    </row>
    <row r="45" spans="2:8" ht="15" customHeight="1">
      <c r="B45" s="108">
        <v>37</v>
      </c>
      <c r="C45" s="111"/>
      <c r="E45" s="124" t="s">
        <v>33</v>
      </c>
      <c r="F45" s="125" t="s">
        <v>47</v>
      </c>
      <c r="G45" s="125" t="s">
        <v>60</v>
      </c>
      <c r="H45" s="126"/>
    </row>
    <row r="46" spans="2:8" ht="15" customHeight="1">
      <c r="B46" s="108">
        <v>38</v>
      </c>
      <c r="C46" s="111"/>
      <c r="E46" s="121" t="s">
        <v>36</v>
      </c>
      <c r="F46" s="122" t="s">
        <v>49</v>
      </c>
      <c r="G46" s="122" t="s">
        <v>62</v>
      </c>
      <c r="H46" s="123"/>
    </row>
    <row r="47" spans="2:8" ht="15" customHeight="1">
      <c r="B47" s="108">
        <v>39</v>
      </c>
      <c r="C47" s="111"/>
      <c r="E47" s="124" t="s">
        <v>38</v>
      </c>
      <c r="F47" s="125" t="s">
        <v>52</v>
      </c>
      <c r="G47" s="125" t="s">
        <v>64</v>
      </c>
      <c r="H47" s="126"/>
    </row>
    <row r="48" spans="2:8" ht="15" customHeight="1">
      <c r="B48" s="108">
        <v>40</v>
      </c>
      <c r="C48" s="111"/>
      <c r="E48" s="127" t="s">
        <v>41</v>
      </c>
      <c r="F48" s="128" t="s">
        <v>54</v>
      </c>
      <c r="G48" s="128" t="s">
        <v>65</v>
      </c>
      <c r="H48" s="129"/>
    </row>
    <row r="49" spans="2:8" ht="15" customHeight="1">
      <c r="B49" s="108">
        <v>41</v>
      </c>
      <c r="C49" s="111"/>
      <c r="E49" s="114"/>
      <c r="F49" s="114"/>
      <c r="G49" s="114"/>
      <c r="H49" s="114"/>
    </row>
    <row r="50" spans="2:8" ht="15" customHeigh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NPPm6Ussdv9vqsD3mTVBvLeSiH6aPY224g4G2a2piua4Bq3cK1G5IsEkBRwl6M898b/D560F2Paeyt1/EsTNpg==" saltValue="36O79I8NZhdoweniRC0fsw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CONCATENATE(LIDER!C4," - ",LIDER!C6," - ",LIDER!C5)</f>
        <v>INTRODUCCIÓN A LOS NEGOCIOS IN - 2473 - ABRAHAN RINALDI VILLALOBOS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3.8</v>
      </c>
      <c r="F6" s="198">
        <v>4</v>
      </c>
      <c r="G6" s="195">
        <v>2.5</v>
      </c>
      <c r="H6" s="196">
        <v>4</v>
      </c>
      <c r="I6" s="195">
        <v>4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3.8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3.8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3.8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3.8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3.8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4.49</v>
      </c>
      <c r="F13" s="198">
        <v>4.3</v>
      </c>
      <c r="G13" s="195">
        <v>4.4000000000000004</v>
      </c>
      <c r="H13" s="196">
        <v>4.5</v>
      </c>
      <c r="I13" s="195">
        <v>4.5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4.49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4.49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4.49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4.49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4.49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3.9000000000000004</v>
      </c>
      <c r="F20" s="198">
        <v>4</v>
      </c>
      <c r="G20" s="195">
        <v>3</v>
      </c>
      <c r="H20" s="196">
        <v>4</v>
      </c>
      <c r="I20" s="195">
        <v>4</v>
      </c>
      <c r="J20" s="196">
        <v>5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3.9000000000000004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3.9000000000000004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3.9000000000000004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3.9000000000000004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3.9000000000000004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SEMINARIO INVESTIGATIVO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CONCATENATE(LIDER!D4," - ",LIDER!D6," - ",LIDER!D5)</f>
        <v>SEMINARIO INVESTIGATIVO - 2047 - CAMILO JOSE MOLINA GUERRERO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2.64</v>
      </c>
      <c r="F6" s="198">
        <v>3</v>
      </c>
      <c r="G6" s="195">
        <v>2.5</v>
      </c>
      <c r="H6" s="196">
        <v>2.8</v>
      </c>
      <c r="I6" s="195">
        <v>1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2.64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2.64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2.64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2.64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2.64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4.51</v>
      </c>
      <c r="F13" s="198">
        <v>4.5</v>
      </c>
      <c r="G13" s="195">
        <v>4.4000000000000004</v>
      </c>
      <c r="H13" s="196">
        <v>4.5</v>
      </c>
      <c r="I13" s="195">
        <v>4.4000000000000004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4.51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4.51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4.51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4.51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4.51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2.1300000000000003</v>
      </c>
      <c r="F20" s="198">
        <v>2</v>
      </c>
      <c r="G20" s="195">
        <v>2.8</v>
      </c>
      <c r="H20" s="196">
        <v>2.9</v>
      </c>
      <c r="I20" s="195">
        <v>1</v>
      </c>
      <c r="J20" s="196">
        <v>1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2.1300000000000003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2.1300000000000003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2.1300000000000003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2.1300000000000003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2.1300000000000003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COSTOS Y PRESUPUESTO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CONCATENATE(LIDER!E4," - ",LIDER!E6," - ",LIDER!E5)</f>
        <v>COSTOS Y PRESUPUESTO - 2356 - ARODIZ AGUILERA AURELA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3.41</v>
      </c>
      <c r="F6" s="198">
        <v>3.8</v>
      </c>
      <c r="G6" s="195">
        <v>3</v>
      </c>
      <c r="H6" s="196">
        <v>3.5</v>
      </c>
      <c r="I6" s="195">
        <v>3</v>
      </c>
      <c r="J6" s="196">
        <v>4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3.41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3.41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3.41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3.41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3.41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4.120000000000001</v>
      </c>
      <c r="F13" s="198">
        <v>4.4000000000000004</v>
      </c>
      <c r="G13" s="195">
        <v>4.4000000000000004</v>
      </c>
      <c r="H13" s="196">
        <v>4.2</v>
      </c>
      <c r="I13" s="195">
        <v>3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4.120000000000001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4.120000000000001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4.120000000000001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4.120000000000001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4.120000000000001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3.28</v>
      </c>
      <c r="F20" s="198">
        <v>4</v>
      </c>
      <c r="G20" s="195">
        <v>4.4000000000000004</v>
      </c>
      <c r="H20" s="196">
        <v>4</v>
      </c>
      <c r="I20" s="195">
        <v>2</v>
      </c>
      <c r="J20" s="196">
        <v>0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3.28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3.28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3.28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3.28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3.28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LEGISLACION EMPRESARIAL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CONCATENATE(LIDER!F4," - ",LIDER!F6," - ",LIDER!F5)</f>
        <v>LEGISLACION EMPRESARIAL - 2368 - ELENA MELENDEZ TAPIA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2.6</v>
      </c>
      <c r="F6" s="198">
        <v>3</v>
      </c>
      <c r="G6" s="195">
        <v>3</v>
      </c>
      <c r="H6" s="196">
        <v>3</v>
      </c>
      <c r="I6" s="195">
        <v>0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2.6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2.6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2.6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</v>
      </c>
      <c r="F13" s="198">
        <v>4.5</v>
      </c>
      <c r="G13" s="195">
        <v>4.5</v>
      </c>
      <c r="H13" s="196">
        <v>4.5</v>
      </c>
      <c r="I13" s="195">
        <v>4.5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4.55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4.55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4.0999999999999996</v>
      </c>
      <c r="F20" s="198">
        <v>4</v>
      </c>
      <c r="G20" s="195">
        <v>4</v>
      </c>
      <c r="H20" s="196">
        <v>4</v>
      </c>
      <c r="I20" s="195">
        <v>4</v>
      </c>
      <c r="J20" s="196">
        <v>5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4.0999999999999996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4.0999999999999996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4.0999999999999996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4.0999999999999996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4.0999999999999996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zoomScale="68" zoomScaleNormal="68" workbookViewId="0">
      <pane xSplit="5" ySplit="3" topLeftCell="F18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140625" style="17" hidden="1" customWidth="1"/>
    <col min="4" max="4" width="6.5703125" style="17" customWidth="1"/>
    <col min="5" max="5" width="6.570312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CONCATENATE(LIDER!G4," - ",LIDER!G6," - ",LIDER!G5)</f>
        <v>ECONOMÍA GENERAL - 1468 - LUIS ROBERTO PAJARO ZABALA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3.7499999999999996</v>
      </c>
      <c r="F6" s="198">
        <v>4</v>
      </c>
      <c r="G6" s="195">
        <v>2</v>
      </c>
      <c r="H6" s="196">
        <v>4.0999999999999996</v>
      </c>
      <c r="I6" s="195">
        <v>4.0999999999999996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3.7499999999999996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3.7499999999999996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3.7499999999999996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3.7499999999999996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3.7499999999999996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4.82</v>
      </c>
      <c r="F13" s="198">
        <v>4.8</v>
      </c>
      <c r="G13" s="195">
        <v>4.8</v>
      </c>
      <c r="H13" s="196">
        <v>4.8</v>
      </c>
      <c r="I13" s="195">
        <v>4.8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4.82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4.82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4.82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4.82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4.82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4.6399999999999997</v>
      </c>
      <c r="F20" s="198">
        <v>4.5999999999999996</v>
      </c>
      <c r="G20" s="195">
        <v>4.5999999999999996</v>
      </c>
      <c r="H20" s="196">
        <v>4.5999999999999996</v>
      </c>
      <c r="I20" s="195">
        <v>4.5999999999999996</v>
      </c>
      <c r="J20" s="196">
        <v>5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4.6399999999999997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4.6399999999999997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4.6399999999999997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4.6399999999999997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 t="s">
        <v>98</v>
      </c>
      <c r="E25" s="93" t="str">
        <f>IF(B25=0,0,IF(D25="",$F$20*LIDER!$H$9+$G$20*LIDER!$H$10+$H$20*LIDER!$H$11+$I$20*LIDER!$H$12+$J$20*LIDER!$H$13+$K$20*LIDER!$H$14+$L$20*LIDER!$H$15,"N"))</f>
        <v>N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CONCATENATE(LIDER!H4," - ",LIDER!H6," - ",LIDER!H5)</f>
        <v>PROCESO ADMINISTRATIVO - 1385 - ELOISA INES PENA GARCIA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3.7199999999999998</v>
      </c>
      <c r="F6" s="198">
        <v>4</v>
      </c>
      <c r="G6" s="195">
        <v>2.5</v>
      </c>
      <c r="H6" s="196">
        <v>3.9</v>
      </c>
      <c r="I6" s="195">
        <v>4</v>
      </c>
      <c r="J6" s="196">
        <v>4.5</v>
      </c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3.7199999999999998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3.7199999999999998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3.7199999999999998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3.7199999999999998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3.7199999999999998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4.46</v>
      </c>
      <c r="F13" s="198">
        <v>4.2</v>
      </c>
      <c r="G13" s="195">
        <v>4.5</v>
      </c>
      <c r="H13" s="196">
        <v>4.5</v>
      </c>
      <c r="I13" s="195">
        <v>4.5</v>
      </c>
      <c r="J13" s="196">
        <v>4.7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4.46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4.46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4.46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4.46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4.46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4.4800000000000004</v>
      </c>
      <c r="F20" s="198">
        <v>4.4000000000000004</v>
      </c>
      <c r="G20" s="195">
        <v>4.4000000000000004</v>
      </c>
      <c r="H20" s="196">
        <v>4.4000000000000004</v>
      </c>
      <c r="I20" s="195">
        <v>4.5</v>
      </c>
      <c r="J20" s="196">
        <v>5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4.4800000000000004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4.4800000000000004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4.4800000000000004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4.4800000000000004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4.4800000000000004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202" t="s">
        <v>79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80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CONCATENATE(LIDER!I4," - ",LIDER!I6," - ",LIDER!I5)</f>
        <v xml:space="preserve"> -  - 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81</v>
      </c>
      <c r="C5" s="88" t="s">
        <v>82</v>
      </c>
      <c r="D5" s="32" t="s">
        <v>83</v>
      </c>
      <c r="E5" s="89" t="s">
        <v>84</v>
      </c>
      <c r="F5" s="197" t="str">
        <f>LIDER!$E$29</f>
        <v>Caracterización de los aspectos administrativos, legales, económicos y de costos de dos empresas del mismo sector económico.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ISABELLA PAOLA ESCUDERO GARROS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8"/>
      <c r="G6" s="195"/>
      <c r="H6" s="196"/>
      <c r="I6" s="195"/>
      <c r="J6" s="196"/>
      <c r="K6" s="195"/>
      <c r="L6" s="196"/>
    </row>
    <row r="7" spans="1:12" s="2" customFormat="1" ht="15" customHeight="1">
      <c r="A7" s="12">
        <v>2</v>
      </c>
      <c r="B7" s="10" t="str">
        <f>LIDER!E44</f>
        <v>EMILY SHANNAY LARA GODOY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JESUS JAVIER MARTINEZ MESTRA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CAMILO ANDRES RAMOS PERIÑAN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GABRIEL DAVID SANCHEZ PARRA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 t="str">
        <f>LIDER!E48</f>
        <v>SANTIAGO JOSE URIBE CRISTANCHO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85</v>
      </c>
      <c r="C12" s="88" t="s">
        <v>86</v>
      </c>
      <c r="D12" s="32" t="str">
        <f>D5</f>
        <v>LIST</v>
      </c>
      <c r="E12" s="89" t="s">
        <v>84</v>
      </c>
      <c r="F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DILAN ANTONIO BOSSIO LEAL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8"/>
      <c r="G13" s="195"/>
      <c r="H13" s="196"/>
      <c r="I13" s="195"/>
      <c r="J13" s="196"/>
      <c r="K13" s="195"/>
      <c r="L13" s="196"/>
    </row>
    <row r="14" spans="1:12" s="2" customFormat="1" ht="15" customHeight="1">
      <c r="A14" s="12">
        <v>2</v>
      </c>
      <c r="B14" s="10" t="str">
        <f>LIDER!F44</f>
        <v>HELEN MARIA OCHOA RODRIGUEZ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SANTIAGO PALOMINO CORDERO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TEDDY JAVIER RICO PEREZ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ENDRY YUREY ROSARIO SIERRA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 t="str">
        <f>LIDER!F48</f>
        <v>EVA LUCIA RUIZ LARA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87</v>
      </c>
      <c r="C19" s="88" t="s">
        <v>88</v>
      </c>
      <c r="D19" s="32" t="str">
        <f>D12</f>
        <v>LIST</v>
      </c>
      <c r="E19" s="89" t="s">
        <v>84</v>
      </c>
      <c r="F19" s="197" t="str">
        <f>LIDER!$E$31</f>
        <v>Características de los aspectos administrativos, legales y económicos de Ecopetrol y Frontera Energy como empresas del sector de hidrocarburos en Colombia.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JORGE HUMBERTO GARCES GOMEZ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/>
      <c r="G20" s="195"/>
      <c r="H20" s="196"/>
      <c r="I20" s="195"/>
      <c r="J20" s="196"/>
      <c r="K20" s="195"/>
      <c r="L20" s="196"/>
    </row>
    <row r="21" spans="1:12" s="2" customFormat="1" ht="15" customHeight="1">
      <c r="A21" s="12">
        <v>2</v>
      </c>
      <c r="B21" s="10" t="str">
        <f>LIDER!G44</f>
        <v>VALENTINA GIRALDO BOLAÑO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YOANDY GOMEZ DIAZ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 t="str">
        <f>LIDER!G46</f>
        <v>MICHELLE CAROLINA RODRIGUEZ SEVERICHE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 t="str">
        <f>LIDER!G47</f>
        <v>DARWIN STIVEN TELLEZ ABRIL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 t="str">
        <f>LIDER!G48</f>
        <v>ERWIN JOSUE URIBE SANTOYA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70</v>
      </c>
      <c r="C26" s="88" t="s">
        <v>89</v>
      </c>
      <c r="D26" s="32" t="str">
        <f>D19</f>
        <v>LIST</v>
      </c>
      <c r="E26" s="89" t="s">
        <v>84</v>
      </c>
      <c r="F26" s="197" t="str">
        <f>LIDER!$E$32</f>
        <v>GRUPO#4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>
        <f>LIDER!H43</f>
        <v>0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>
        <f>LIDER!H44</f>
        <v>0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>
        <f>LIDER!H45</f>
        <v>0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>
        <f>LIDER!H46</f>
        <v>0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>
        <f>LIDER!H47</f>
        <v>0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71</v>
      </c>
      <c r="C33" s="88" t="s">
        <v>90</v>
      </c>
      <c r="D33" s="32" t="str">
        <f>D26</f>
        <v>LIST</v>
      </c>
      <c r="E33" s="89" t="s">
        <v>84</v>
      </c>
      <c r="F33" s="197" t="str">
        <f>LIDER!$E$33</f>
        <v>GRUPO#5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72</v>
      </c>
      <c r="C40" s="88" t="s">
        <v>91</v>
      </c>
      <c r="D40" s="32" t="str">
        <f>D33</f>
        <v>LIST</v>
      </c>
      <c r="E40" s="89" t="s">
        <v>84</v>
      </c>
      <c r="F40" s="197" t="str">
        <f>LIDER!$E$34</f>
        <v>GRUPO#6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73</v>
      </c>
      <c r="C47" s="88" t="s">
        <v>92</v>
      </c>
      <c r="D47" s="32" t="str">
        <f>D40</f>
        <v>LIST</v>
      </c>
      <c r="E47" s="89" t="s">
        <v>84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74</v>
      </c>
      <c r="C54" s="88" t="s">
        <v>93</v>
      </c>
      <c r="D54" s="32" t="str">
        <f>D47</f>
        <v>LIST</v>
      </c>
      <c r="E54" s="89" t="s">
        <v>84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75</v>
      </c>
      <c r="C61" s="88" t="s">
        <v>94</v>
      </c>
      <c r="D61" s="32" t="str">
        <f>D54</f>
        <v>LIST</v>
      </c>
      <c r="E61" s="89" t="s">
        <v>84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76</v>
      </c>
      <c r="C68" s="88" t="s">
        <v>95</v>
      </c>
      <c r="D68" s="32" t="str">
        <f>D61</f>
        <v>LIST</v>
      </c>
      <c r="E68" s="89" t="s">
        <v>84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77</v>
      </c>
      <c r="C75" s="88" t="s">
        <v>96</v>
      </c>
      <c r="D75" s="32" t="str">
        <f>D68</f>
        <v>LIST</v>
      </c>
      <c r="E75" s="89" t="s">
        <v>84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78</v>
      </c>
      <c r="C82" s="88" t="s">
        <v>97</v>
      </c>
      <c r="D82" s="32" t="str">
        <f>D75</f>
        <v>LIST</v>
      </c>
      <c r="E82" s="89" t="s">
        <v>84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15" activePane="bottomRight" state="frozen"/>
      <selection pane="bottomRight" activeCell="F23" sqref="F23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CONCATENATE(LIDER!C4," - ",LIDER!C6," - ",LIDER!C5)</f>
        <v>INTRODUCCIÓN A LOS NEGOCIOS IN - 2473 - ABRAHAN RINALDI VILLALOBOS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2" t="str">
        <f>IF('S-ASIG-01'!D5="","",'S-ASIG-01'!D5)</f>
        <v>LIST</v>
      </c>
      <c r="D5" s="35" t="s">
        <v>84</v>
      </c>
      <c r="E5" s="214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4.2750000000000004</v>
      </c>
      <c r="E6" s="209">
        <v>4</v>
      </c>
      <c r="F6" s="24">
        <v>4.4000000000000004</v>
      </c>
      <c r="G6" s="24">
        <v>4.5</v>
      </c>
      <c r="H6" s="24">
        <v>4.5</v>
      </c>
      <c r="I6" s="24">
        <v>5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4.2350000000000003</v>
      </c>
      <c r="E7" s="209"/>
      <c r="F7" s="18">
        <v>4.3</v>
      </c>
      <c r="G7" s="18">
        <v>4.3</v>
      </c>
      <c r="H7" s="18">
        <v>4.5</v>
      </c>
      <c r="I7" s="18">
        <v>5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4.2149999999999999</v>
      </c>
      <c r="E8" s="209"/>
      <c r="F8" s="18">
        <v>4.2</v>
      </c>
      <c r="G8" s="18">
        <v>4.3</v>
      </c>
      <c r="H8" s="18">
        <v>4.5</v>
      </c>
      <c r="I8" s="18">
        <v>5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4.165</v>
      </c>
      <c r="E9" s="209"/>
      <c r="F9" s="18">
        <v>4</v>
      </c>
      <c r="G9" s="18">
        <v>4.2</v>
      </c>
      <c r="H9" s="18">
        <v>4.5</v>
      </c>
      <c r="I9" s="18">
        <v>5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4.2050000000000001</v>
      </c>
      <c r="E10" s="209"/>
      <c r="F10" s="18">
        <v>4.2</v>
      </c>
      <c r="G10" s="18">
        <v>4.2</v>
      </c>
      <c r="H10" s="18">
        <v>4.5</v>
      </c>
      <c r="I10" s="18">
        <v>5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4.3150000000000004</v>
      </c>
      <c r="E11" s="209"/>
      <c r="F11" s="26">
        <v>4.5</v>
      </c>
      <c r="G11" s="26">
        <v>4.7</v>
      </c>
      <c r="H11" s="26">
        <v>4.5</v>
      </c>
      <c r="I11" s="26">
        <v>5</v>
      </c>
      <c r="J11" s="26">
        <v>4.7</v>
      </c>
      <c r="K11" s="26"/>
    </row>
    <row r="12" spans="1:11" s="2" customFormat="1" ht="15.75" customHeight="1" thickBot="1">
      <c r="A12" s="8"/>
      <c r="B12" s="27" t="s">
        <v>85</v>
      </c>
      <c r="C12" s="32" t="str">
        <f>IF('S-ASIG-01'!D12="","",'S-ASIG-01'!D12)</f>
        <v>LIST</v>
      </c>
      <c r="D12" s="35" t="s">
        <v>84</v>
      </c>
      <c r="E12" s="214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4.5</v>
      </c>
      <c r="E13" s="209">
        <v>4.4000000000000004</v>
      </c>
      <c r="F13" s="24">
        <v>4.5</v>
      </c>
      <c r="G13" s="24">
        <v>4.5999999999999996</v>
      </c>
      <c r="H13" s="24">
        <v>4.7</v>
      </c>
      <c r="I13" s="24">
        <v>4.7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4.49</v>
      </c>
      <c r="E14" s="209"/>
      <c r="F14" s="18">
        <v>4.5</v>
      </c>
      <c r="G14" s="18">
        <v>4.5</v>
      </c>
      <c r="H14" s="18">
        <v>4.7</v>
      </c>
      <c r="I14" s="18">
        <v>4.7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4.5549999999999997</v>
      </c>
      <c r="E15" s="209"/>
      <c r="F15" s="18">
        <v>4.7</v>
      </c>
      <c r="G15" s="18">
        <v>4.8</v>
      </c>
      <c r="H15" s="18">
        <v>4.5999999999999996</v>
      </c>
      <c r="I15" s="18">
        <v>4.7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4.58</v>
      </c>
      <c r="E16" s="209"/>
      <c r="F16" s="18">
        <v>4.8</v>
      </c>
      <c r="G16" s="18">
        <v>4.8</v>
      </c>
      <c r="H16" s="18">
        <v>4.7</v>
      </c>
      <c r="I16" s="18">
        <v>4.7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4.335</v>
      </c>
      <c r="E17" s="209"/>
      <c r="F17" s="18">
        <v>4</v>
      </c>
      <c r="G17" s="18">
        <v>4.2</v>
      </c>
      <c r="H17" s="18">
        <v>4.2</v>
      </c>
      <c r="I17" s="18">
        <v>4.7</v>
      </c>
      <c r="J17" s="18">
        <v>4.7</v>
      </c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IF('S-ASIG-01'!D18="","",'S-ASIG-01'!D18)</f>
        <v/>
      </c>
      <c r="D18" s="30">
        <f>IF(B18=0,"",IF(C18="",$E$13*LIDER!$H$19+F18*LIDER!$H$20+G18*LIDER!$H$21+H18*LIDER!$H$22+I18*LIDER!$H$23+J18*LIDER!$H$24+K18*LIDER!$H$25,"N"))</f>
        <v>4.4249999999999998</v>
      </c>
      <c r="E18" s="209"/>
      <c r="F18" s="26">
        <v>4.3</v>
      </c>
      <c r="G18" s="26">
        <v>4.4000000000000004</v>
      </c>
      <c r="H18" s="26">
        <v>4.4000000000000004</v>
      </c>
      <c r="I18" s="26">
        <v>4.7</v>
      </c>
      <c r="J18" s="26">
        <v>4.7</v>
      </c>
      <c r="K18" s="26"/>
    </row>
    <row r="19" spans="1:11" s="2" customFormat="1" ht="15.75" customHeight="1" thickBot="1">
      <c r="A19" s="14"/>
      <c r="B19" s="27" t="s">
        <v>87</v>
      </c>
      <c r="C19" s="32" t="str">
        <f>IF('S-ASIG-01'!D19="","",'S-ASIG-01'!D19)</f>
        <v>LIST</v>
      </c>
      <c r="D19" s="35" t="s">
        <v>84</v>
      </c>
      <c r="E19" s="214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3.855</v>
      </c>
      <c r="E20" s="209">
        <v>3.6</v>
      </c>
      <c r="F20" s="24">
        <v>3.8</v>
      </c>
      <c r="G20" s="24">
        <v>4.2</v>
      </c>
      <c r="H20" s="24">
        <v>4.2</v>
      </c>
      <c r="I20" s="24">
        <v>4.3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3.91</v>
      </c>
      <c r="E21" s="209"/>
      <c r="F21" s="18">
        <v>4</v>
      </c>
      <c r="G21" s="18">
        <v>4.2</v>
      </c>
      <c r="H21" s="18">
        <v>4.5</v>
      </c>
      <c r="I21" s="18">
        <v>4.3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3.8850000000000002</v>
      </c>
      <c r="E22" s="209"/>
      <c r="F22" s="18">
        <v>4</v>
      </c>
      <c r="G22" s="18">
        <v>4</v>
      </c>
      <c r="H22" s="18">
        <v>4.4000000000000004</v>
      </c>
      <c r="I22" s="18">
        <v>4.3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3.9400000000000004</v>
      </c>
      <c r="E23" s="209"/>
      <c r="F23" s="18">
        <v>4</v>
      </c>
      <c r="G23" s="18">
        <v>4.5</v>
      </c>
      <c r="H23" s="18">
        <v>4.5</v>
      </c>
      <c r="I23" s="18">
        <v>4.3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3.89</v>
      </c>
      <c r="E24" s="209"/>
      <c r="F24" s="18">
        <v>4</v>
      </c>
      <c r="G24" s="18">
        <v>4</v>
      </c>
      <c r="H24" s="18">
        <v>4.5</v>
      </c>
      <c r="I24" s="18">
        <v>4.3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3.97</v>
      </c>
      <c r="E25" s="209"/>
      <c r="F25" s="26">
        <v>4.3</v>
      </c>
      <c r="G25" s="26">
        <v>4.2</v>
      </c>
      <c r="H25" s="26">
        <v>4.5</v>
      </c>
      <c r="I25" s="26">
        <v>4.3</v>
      </c>
      <c r="J25" s="26">
        <v>4.5</v>
      </c>
      <c r="K25" s="26"/>
    </row>
    <row r="26" spans="1:11" s="2" customFormat="1" ht="15.75" customHeight="1" thickBot="1">
      <c r="A26" s="14"/>
      <c r="B26" s="27" t="s">
        <v>70</v>
      </c>
      <c r="C26" s="32" t="str">
        <f>IF('S-ASIG-01'!D26="","",'S-ASIG-01'!D26)</f>
        <v>LIST</v>
      </c>
      <c r="D26" s="35" t="s">
        <v>84</v>
      </c>
      <c r="E26" s="214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IF('S-ASIG-01'!D27="","",'S-ASIG-01'!D27)</f>
        <v/>
      </c>
      <c r="D27" s="30" t="str">
        <f>IF(B27=0,"",IF(C27="",$E$27*LIDER!$H$19+F27*LIDER!$H$20+G27*LIDER!$H$21+H27*LIDER!$H$22+I27*LIDER!$H$23+J27*LIDER!$H$24+K27*LIDER!$H$25,"N"))</f>
        <v/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IF('S-ASIG-01'!D28="","",'S-ASIG-01'!D28)</f>
        <v/>
      </c>
      <c r="D28" s="30" t="str">
        <f>IF(B28=0,"",IF(C28="",$E$27*LIDER!$H$19+F28*LIDER!$H$20+G28*LIDER!$H$21+H28*LIDER!$H$22+I28*LIDER!$H$23+J28*LIDER!$H$24+K28*LIDER!$H$25,"N"))</f>
        <v/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IF('S-ASIG-01'!D29="","",'S-ASIG-01'!D29)</f>
        <v/>
      </c>
      <c r="D29" s="30" t="str">
        <f>IF(B29=0,"",IF(C29="",$E$27*LIDER!$H$19+F29*LIDER!$H$20+G29*LIDER!$H$21+H29*LIDER!$H$22+I29*LIDER!$H$23+J29*LIDER!$H$24+K29*LIDER!$H$25,"N"))</f>
        <v/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IF('S-ASIG-01'!D30="","",'S-ASIG-01'!D30)</f>
        <v/>
      </c>
      <c r="D30" s="30" t="str">
        <f>IF(B30=0,"",IF(C30="",$E$27*LIDER!$H$19+F30*LIDER!$H$20+G30*LIDER!$H$21+H30*LIDER!$H$22+I30*LIDER!$H$23+J30*LIDER!$H$24+K30*LIDER!$H$25,"N"))</f>
        <v/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IF('S-ASIG-01'!D31="","",'S-ASIG-01'!D31)</f>
        <v/>
      </c>
      <c r="D31" s="30" t="str">
        <f>IF(B31=0,"",IF(C31="",$E$27*LIDER!$H$19+F31*LIDER!$H$20+G31*LIDER!$H$21+H31*LIDER!$H$22+I31*LIDER!$H$23+J31*LIDER!$H$24+K31*LIDER!$H$25,"N"))</f>
        <v/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IF('S-ASIG-01'!D33="","",'S-ASIG-01'!D33)</f>
        <v>LIST</v>
      </c>
      <c r="D33" s="35" t="s">
        <v>84</v>
      </c>
      <c r="E33" s="214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IF('S-ASIG-01'!D40="","",'S-ASIG-01'!D40)</f>
        <v>LIST</v>
      </c>
      <c r="D40" s="35" t="s">
        <v>84</v>
      </c>
      <c r="E40" s="214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IF('S-ASIG-01'!D47="","",'S-ASIG-01'!D47)</f>
        <v>LIST</v>
      </c>
      <c r="D47" s="35" t="s">
        <v>84</v>
      </c>
      <c r="E47" s="214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IF('S-ASIG-01'!D54="","",'S-ASIG-01'!D54)</f>
        <v>LIST</v>
      </c>
      <c r="D54" s="35" t="s">
        <v>84</v>
      </c>
      <c r="E54" s="214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IF('S-ASIG-01'!D61="","",'S-ASIG-01'!D61)</f>
        <v>LIST</v>
      </c>
      <c r="D61" s="35" t="s">
        <v>84</v>
      </c>
      <c r="E61" s="214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IF('S-ASIG-01'!D68="","",'S-ASIG-01'!D68)</f>
        <v>LIST</v>
      </c>
      <c r="D68" s="35" t="s">
        <v>84</v>
      </c>
      <c r="E68" s="214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IF('S-ASIG-01'!D75="","",'S-ASIG-01'!D75)</f>
        <v>LIST</v>
      </c>
      <c r="D75" s="35" t="s">
        <v>84</v>
      </c>
      <c r="E75" s="214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IF('S-ASIG-01'!D82="","",'S-ASIG-01'!D82)</f>
        <v>LIST</v>
      </c>
      <c r="D82" s="35" t="s">
        <v>84</v>
      </c>
      <c r="E82" s="214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0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20" activePane="bottomRight" state="frozen"/>
      <selection pane="bottomRight" activeCell="J22" sqref="J22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SEMINARIO INVESTIGATIVO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CONCATENATE(LIDER!D4," - ",LIDER!D6," - ",LIDER!D5)</f>
        <v>SEMINARIO INVESTIGATIVO - 2047 - CAMILO JOSE MOLINA GUERRERO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IF('S-ASIG-02'!D5="","",'S-ASIG-02'!D5)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4.2750000000000004</v>
      </c>
      <c r="E6" s="195">
        <v>4</v>
      </c>
      <c r="F6" s="24">
        <v>4.4000000000000004</v>
      </c>
      <c r="G6" s="24">
        <v>4.5</v>
      </c>
      <c r="H6" s="24">
        <v>4.5</v>
      </c>
      <c r="I6" s="24">
        <v>5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4.2350000000000003</v>
      </c>
      <c r="E7" s="195"/>
      <c r="F7" s="18">
        <v>4.3</v>
      </c>
      <c r="G7" s="18">
        <v>4.3</v>
      </c>
      <c r="H7" s="18">
        <v>4.5</v>
      </c>
      <c r="I7" s="18">
        <v>5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4.2149999999999999</v>
      </c>
      <c r="E8" s="195"/>
      <c r="F8" s="18">
        <v>4.2</v>
      </c>
      <c r="G8" s="18">
        <v>4.3</v>
      </c>
      <c r="H8" s="18">
        <v>4.5</v>
      </c>
      <c r="I8" s="18">
        <v>5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4.165</v>
      </c>
      <c r="E9" s="195"/>
      <c r="F9" s="18">
        <v>4</v>
      </c>
      <c r="G9" s="18">
        <v>4.2</v>
      </c>
      <c r="H9" s="18">
        <v>4.5</v>
      </c>
      <c r="I9" s="18">
        <v>5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4.2050000000000001</v>
      </c>
      <c r="E10" s="195"/>
      <c r="F10" s="18">
        <v>4.2</v>
      </c>
      <c r="G10" s="18">
        <v>4.2</v>
      </c>
      <c r="H10" s="18">
        <v>4.5</v>
      </c>
      <c r="I10" s="18">
        <v>5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4.3150000000000004</v>
      </c>
      <c r="E11" s="195"/>
      <c r="F11" s="26">
        <v>4.5</v>
      </c>
      <c r="G11" s="26">
        <v>4.7</v>
      </c>
      <c r="H11" s="26">
        <v>4.5</v>
      </c>
      <c r="I11" s="26">
        <v>5</v>
      </c>
      <c r="J11" s="26">
        <v>4.7</v>
      </c>
      <c r="K11" s="26"/>
    </row>
    <row r="12" spans="1:11" s="2" customFormat="1" ht="15.75" customHeight="1" thickBot="1">
      <c r="A12" s="8"/>
      <c r="B12" s="27" t="s">
        <v>85</v>
      </c>
      <c r="C12" s="32" t="str">
        <f>IF('S-ASIG-02'!D12="","",'S-ASIG-02'!D12)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4.4899999999999993</v>
      </c>
      <c r="E13" s="195">
        <v>4.4000000000000004</v>
      </c>
      <c r="F13" s="24">
        <v>4.5</v>
      </c>
      <c r="G13" s="24">
        <v>4.5999999999999996</v>
      </c>
      <c r="H13" s="24">
        <v>4.7</v>
      </c>
      <c r="I13" s="24">
        <v>4.5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4.4799999999999995</v>
      </c>
      <c r="E14" s="195"/>
      <c r="F14" s="18">
        <v>4.5</v>
      </c>
      <c r="G14" s="18">
        <v>4.5</v>
      </c>
      <c r="H14" s="18">
        <v>4.7</v>
      </c>
      <c r="I14" s="18">
        <v>4.5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4.5449999999999999</v>
      </c>
      <c r="E15" s="195"/>
      <c r="F15" s="18">
        <v>4.7</v>
      </c>
      <c r="G15" s="18">
        <v>4.8</v>
      </c>
      <c r="H15" s="18">
        <v>4.5999999999999996</v>
      </c>
      <c r="I15" s="18">
        <v>4.5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4.5699999999999994</v>
      </c>
      <c r="E16" s="195"/>
      <c r="F16" s="18">
        <v>4.8</v>
      </c>
      <c r="G16" s="18">
        <v>4.8</v>
      </c>
      <c r="H16" s="18">
        <v>4.7</v>
      </c>
      <c r="I16" s="18">
        <v>4.5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4.3250000000000002</v>
      </c>
      <c r="E17" s="195"/>
      <c r="F17" s="18">
        <v>4</v>
      </c>
      <c r="G17" s="18">
        <v>4.2</v>
      </c>
      <c r="H17" s="18">
        <v>4.2</v>
      </c>
      <c r="I17" s="18">
        <v>4.5</v>
      </c>
      <c r="J17" s="18">
        <v>4.7</v>
      </c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IF('S-ASIG-02'!D18="","",'S-ASIG-02'!D18)</f>
        <v/>
      </c>
      <c r="D18" s="30">
        <f>IF(B18=0,"",IF(C18="",$E$13*LIDER!$H$19+F18*LIDER!$H$20+G18*LIDER!$H$21+H18*LIDER!$H$22+I18*LIDER!$H$23+J18*LIDER!$H$24+K18*LIDER!$H$25,"N"))</f>
        <v>4.415</v>
      </c>
      <c r="E18" s="195"/>
      <c r="F18" s="26">
        <v>4.3</v>
      </c>
      <c r="G18" s="26">
        <v>4.4000000000000004</v>
      </c>
      <c r="H18" s="26">
        <v>4.4000000000000004</v>
      </c>
      <c r="I18" s="26">
        <v>4.5</v>
      </c>
      <c r="J18" s="26">
        <v>4.7</v>
      </c>
      <c r="K18" s="26"/>
    </row>
    <row r="19" spans="1:11" s="2" customFormat="1" ht="15.75" customHeight="1" thickBot="1">
      <c r="A19" s="14"/>
      <c r="B19" s="27" t="s">
        <v>87</v>
      </c>
      <c r="C19" s="32" t="str">
        <f>IF('S-ASIG-02'!D19="","",'S-ASIG-02'!D19)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3.83</v>
      </c>
      <c r="E20" s="195">
        <v>3.5</v>
      </c>
      <c r="F20" s="24">
        <v>3.8</v>
      </c>
      <c r="G20" s="24">
        <v>4.2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3.83</v>
      </c>
      <c r="E21" s="195"/>
      <c r="F21" s="18">
        <v>3.8</v>
      </c>
      <c r="G21" s="18">
        <v>4.2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3.87</v>
      </c>
      <c r="E22" s="195"/>
      <c r="F22" s="18">
        <v>4</v>
      </c>
      <c r="G22" s="18">
        <v>4.2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3.87</v>
      </c>
      <c r="E23" s="195"/>
      <c r="F23" s="18">
        <v>4</v>
      </c>
      <c r="G23" s="18">
        <v>4.2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3.83</v>
      </c>
      <c r="E24" s="195"/>
      <c r="F24" s="18">
        <v>3.8</v>
      </c>
      <c r="G24" s="18">
        <v>4.2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3.83</v>
      </c>
      <c r="E25" s="195"/>
      <c r="F25" s="26">
        <v>3.8</v>
      </c>
      <c r="G25" s="26">
        <v>4.2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70</v>
      </c>
      <c r="C26" s="32" t="str">
        <f>IF('S-ASIG-02'!D26="","",'S-ASIG-02'!D26)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IF('S-ASIG-02'!D27="","",'S-ASIG-02'!D27)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IF('S-ASIG-02'!D28="","",'S-ASIG-02'!D28)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IF('S-ASIG-02'!D29="","",'S-ASIG-02'!D29)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IF('S-ASIG-02'!D30="","",'S-ASIG-02'!D30)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IF('S-ASIG-02'!D31="","",'S-ASIG-02'!D31)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IF('S-ASIG-02'!D33="","",'S-ASIG-02'!D33)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IF('S-ASIG-02'!D40="","",'S-ASIG-02'!D40)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IF('S-ASIG-02'!D47="","",'S-ASIG-02'!D47)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IF('S-ASIG-02'!D54="","",'S-ASIG-02'!D54)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IF('S-ASIG-02'!D61="","",'S-ASIG-02'!D61)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IF('S-ASIG-02'!D68="","",'S-ASIG-02'!D68)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IF('S-ASIG-02'!D75="","",'S-ASIG-02'!D75)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IF('S-ASIG-02'!D82="","",'S-ASIG-02'!D82)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tabSelected="1" workbookViewId="0">
      <pane xSplit="4" ySplit="3" topLeftCell="E17" activePane="bottomRight" state="frozen"/>
      <selection pane="bottomRight" activeCell="F20" sqref="F20:J25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COSTOS Y PRESUPUESTO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CONCATENATE(LIDER!E4," - ",LIDER!E6," - ",LIDER!E5)</f>
        <v>COSTOS Y PRESUPUESTO - 2356 - ARODIZ AGUILERA AURELA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IF('S-ASIG-03'!D5="","",'S-ASIG-03'!D5)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4.2750000000000004</v>
      </c>
      <c r="E6" s="195">
        <v>4</v>
      </c>
      <c r="F6" s="24">
        <v>4.4000000000000004</v>
      </c>
      <c r="G6" s="24">
        <v>4.5</v>
      </c>
      <c r="H6" s="24">
        <v>4.5</v>
      </c>
      <c r="I6" s="24">
        <v>5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4.2350000000000003</v>
      </c>
      <c r="E7" s="195"/>
      <c r="F7" s="18">
        <v>4.3</v>
      </c>
      <c r="G7" s="18">
        <v>4.3</v>
      </c>
      <c r="H7" s="18">
        <v>4.5</v>
      </c>
      <c r="I7" s="18">
        <v>5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4.2149999999999999</v>
      </c>
      <c r="E8" s="195"/>
      <c r="F8" s="18">
        <v>4.2</v>
      </c>
      <c r="G8" s="18">
        <v>4.3</v>
      </c>
      <c r="H8" s="18">
        <v>4.5</v>
      </c>
      <c r="I8" s="18">
        <v>5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4.165</v>
      </c>
      <c r="E9" s="195"/>
      <c r="F9" s="18">
        <v>4</v>
      </c>
      <c r="G9" s="18">
        <v>4.2</v>
      </c>
      <c r="H9" s="18">
        <v>4.5</v>
      </c>
      <c r="I9" s="18">
        <v>5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4.2050000000000001</v>
      </c>
      <c r="E10" s="195"/>
      <c r="F10" s="18">
        <v>4.2</v>
      </c>
      <c r="G10" s="18">
        <v>4.2</v>
      </c>
      <c r="H10" s="18">
        <v>4.5</v>
      </c>
      <c r="I10" s="18">
        <v>5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4.3150000000000004</v>
      </c>
      <c r="E11" s="195"/>
      <c r="F11" s="26">
        <v>4.5</v>
      </c>
      <c r="G11" s="26">
        <v>4.7</v>
      </c>
      <c r="H11" s="26">
        <v>4.5</v>
      </c>
      <c r="I11" s="26">
        <v>5</v>
      </c>
      <c r="J11" s="26">
        <v>4.7</v>
      </c>
      <c r="K11" s="26"/>
    </row>
    <row r="12" spans="1:11" s="2" customFormat="1" ht="15.75" customHeight="1" thickBot="1">
      <c r="A12" s="8"/>
      <c r="B12" s="27" t="s">
        <v>85</v>
      </c>
      <c r="C12" s="32" t="str">
        <f>IF('S-ASIG-03'!D12="","",'S-ASIG-03'!D12)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4.5</v>
      </c>
      <c r="E13" s="195">
        <v>4.4000000000000004</v>
      </c>
      <c r="F13" s="24">
        <v>4.5</v>
      </c>
      <c r="G13" s="24">
        <v>4.5999999999999996</v>
      </c>
      <c r="H13" s="24">
        <v>4.7</v>
      </c>
      <c r="I13" s="24">
        <v>4.7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4.49</v>
      </c>
      <c r="E14" s="195"/>
      <c r="F14" s="18">
        <v>4.5</v>
      </c>
      <c r="G14" s="18">
        <v>4.5</v>
      </c>
      <c r="H14" s="18">
        <v>4.7</v>
      </c>
      <c r="I14" s="18">
        <v>4.7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4.5549999999999997</v>
      </c>
      <c r="E15" s="195"/>
      <c r="F15" s="18">
        <v>4.7</v>
      </c>
      <c r="G15" s="18">
        <v>4.8</v>
      </c>
      <c r="H15" s="18">
        <v>4.5999999999999996</v>
      </c>
      <c r="I15" s="18">
        <v>4.7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4.58</v>
      </c>
      <c r="E16" s="195"/>
      <c r="F16" s="18">
        <v>4.8</v>
      </c>
      <c r="G16" s="18">
        <v>4.8</v>
      </c>
      <c r="H16" s="18">
        <v>4.7</v>
      </c>
      <c r="I16" s="18">
        <v>4.7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4.335</v>
      </c>
      <c r="E17" s="195"/>
      <c r="F17" s="18">
        <v>4</v>
      </c>
      <c r="G17" s="18">
        <v>4.2</v>
      </c>
      <c r="H17" s="18">
        <v>4.2</v>
      </c>
      <c r="I17" s="18">
        <v>4.7</v>
      </c>
      <c r="J17" s="18">
        <v>4.7</v>
      </c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IF('S-ASIG-03'!D18="","",'S-ASIG-03'!D18)</f>
        <v/>
      </c>
      <c r="D18" s="30">
        <f>IF(B18=0,"",IF(C18="",$E$13*LIDER!$H$19+F18*LIDER!$H$20+G18*LIDER!$H$21+H18*LIDER!$H$22+I18*LIDER!$H$23+J18*LIDER!$H$24+K18*LIDER!$H$25,"N"))</f>
        <v>4.4249999999999998</v>
      </c>
      <c r="E18" s="195"/>
      <c r="F18" s="26">
        <v>4.3</v>
      </c>
      <c r="G18" s="26">
        <v>4.4000000000000004</v>
      </c>
      <c r="H18" s="26">
        <v>4.4000000000000004</v>
      </c>
      <c r="I18" s="26">
        <v>4.7</v>
      </c>
      <c r="J18" s="26">
        <v>4.7</v>
      </c>
      <c r="K18" s="26"/>
    </row>
    <row r="19" spans="1:11" s="2" customFormat="1" ht="15.75" customHeight="1" thickBot="1">
      <c r="A19" s="14"/>
      <c r="B19" s="27" t="s">
        <v>87</v>
      </c>
      <c r="C19" s="32" t="str">
        <f>IF('S-ASIG-03'!D19="","",'S-ASIG-03'!D19)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3.9800000000000004</v>
      </c>
      <c r="E20" s="195">
        <v>3.8</v>
      </c>
      <c r="F20" s="24">
        <v>3.8</v>
      </c>
      <c r="G20" s="24">
        <v>4.2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3.9800000000000004</v>
      </c>
      <c r="E21" s="195"/>
      <c r="F21" s="18">
        <v>3.8</v>
      </c>
      <c r="G21" s="18">
        <v>4.2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4.0200000000000005</v>
      </c>
      <c r="E22" s="195"/>
      <c r="F22" s="18">
        <v>4</v>
      </c>
      <c r="G22" s="18">
        <v>4.2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4.0200000000000005</v>
      </c>
      <c r="E23" s="195"/>
      <c r="F23" s="18">
        <v>4</v>
      </c>
      <c r="G23" s="18">
        <v>4.2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3.9800000000000004</v>
      </c>
      <c r="E24" s="195"/>
      <c r="F24" s="18">
        <v>3.8</v>
      </c>
      <c r="G24" s="18">
        <v>4.2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3.9800000000000004</v>
      </c>
      <c r="E25" s="195"/>
      <c r="F25" s="26">
        <v>3.8</v>
      </c>
      <c r="G25" s="26">
        <v>4.2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70</v>
      </c>
      <c r="C26" s="32" t="str">
        <f>IF('S-ASIG-03'!D26="","",'S-ASIG-03'!D26)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IF('S-ASIG-03'!D27="","",'S-ASIG-03'!D27)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IF('S-ASIG-03'!D28="","",'S-ASIG-03'!D28)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IF('S-ASIG-03'!D29="","",'S-ASIG-03'!D29)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IF('S-ASIG-03'!D30="","",'S-ASIG-03'!D30)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IF('S-ASIG-03'!D31="","",'S-ASIG-03'!D31)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IF('S-ASIG-03'!D33="","",'S-ASIG-03'!D33)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IF('S-ASIG-03'!D40="","",'S-ASIG-03'!D40)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IF('S-ASIG-03'!D47="","",'S-ASIG-03'!D47)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IF('S-ASIG-03'!D54="","",'S-ASIG-03'!D54)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IF('S-ASIG-03'!D61="","",'S-ASIG-03'!D61)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IF('S-ASIG-03'!D68="","",'S-ASIG-03'!D68)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IF('S-ASIG-03'!D75="","",'S-ASIG-03'!D75)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IF('S-ASIG-03'!D82="","",'S-ASIG-03'!D82)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4" activePane="bottomRight" state="frozen"/>
      <selection pane="bottomRight" activeCell="F7" sqref="F7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LEGISLACION EMPRESARIAL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CONCATENATE(LIDER!F4," - ",LIDER!F6," - ",LIDER!F5)</f>
        <v>LEGISLACION EMPRESARIAL - 2368 - ELENA MELENDEZ TAPIA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IF('S-ASIG-04'!D5="","",'S-ASIG-04'!D5)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85</v>
      </c>
      <c r="C12" s="32" t="str">
        <f>IF('S-ASIG-04'!D12="","",'S-ASIG-04'!D12)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IF('S-ASIG-04'!D18="","",'S-ASIG-04'!D18)</f>
        <v/>
      </c>
      <c r="D18" s="30">
        <f>IF(B18=0,"",IF(C18="",$E$13*LIDER!$H$19+F18*LIDER!$H$20+G18*LIDER!$H$21+H18*LIDER!$H$22+I18*LIDER!$H$23+J18*LIDER!$H$24+K18*LIDER!$H$25,"N"))</f>
        <v>0</v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87</v>
      </c>
      <c r="C19" s="32" t="str">
        <f>IF('S-ASIG-04'!D19="","",'S-ASIG-04'!D19)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IF('S-ASIG-04'!D26="","",'S-ASIG-04'!D26)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IF('S-ASIG-04'!D27="","",'S-ASIG-04'!D27)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IF('S-ASIG-04'!D28="","",'S-ASIG-04'!D28)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IF('S-ASIG-04'!D29="","",'S-ASIG-04'!D29)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IF('S-ASIG-04'!D30="","",'S-ASIG-04'!D30)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IF('S-ASIG-04'!D31="","",'S-ASIG-04'!D31)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IF('S-ASIG-04'!D33="","",'S-ASIG-04'!D33)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IF('S-ASIG-04'!D40="","",'S-ASIG-04'!D40)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IF('S-ASIG-04'!D47="","",'S-ASIG-04'!D47)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IF('S-ASIG-04'!D54="","",'S-ASIG-04'!D54)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IF('S-ASIG-04'!D61="","",'S-ASIG-04'!D61)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IF('S-ASIG-04'!D68="","",'S-ASIG-04'!D68)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IF('S-ASIG-04'!D75="","",'S-ASIG-04'!D75)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IF('S-ASIG-04'!D82="","",'S-ASIG-04'!D82)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4" activePane="bottomRight" state="frozen"/>
      <selection pane="bottomRight" activeCell="F8" sqref="F8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ECONOMÍA GENERAL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CONCATENATE(LIDER!G4," - ",LIDER!G6," - ",LIDER!G5)</f>
        <v>ECONOMÍA GENERAL - 1468 - LUIS ROBERTO PAJARO ZABALA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IF('S-ASIG-05'!D5="","",'S-ASIG-05'!D5)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4.6500000000000004</v>
      </c>
      <c r="E6" s="195">
        <v>4.3</v>
      </c>
      <c r="F6" s="24">
        <v>5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4.6500000000000004</v>
      </c>
      <c r="E7" s="195"/>
      <c r="F7" s="18">
        <v>5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4.6500000000000004</v>
      </c>
      <c r="E8" s="195"/>
      <c r="F8" s="18">
        <v>5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4.6500000000000004</v>
      </c>
      <c r="E9" s="195"/>
      <c r="F9" s="18">
        <v>5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4.6500000000000004</v>
      </c>
      <c r="E10" s="195"/>
      <c r="F10" s="18">
        <v>5</v>
      </c>
      <c r="G10" s="18">
        <v>5</v>
      </c>
      <c r="H10" s="18">
        <v>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4.6500000000000004</v>
      </c>
      <c r="E11" s="195"/>
      <c r="F11" s="26">
        <v>5</v>
      </c>
      <c r="G11" s="26">
        <v>5</v>
      </c>
      <c r="H11" s="26">
        <v>5</v>
      </c>
      <c r="I11" s="26">
        <v>5</v>
      </c>
      <c r="J11" s="26">
        <v>5</v>
      </c>
      <c r="K11" s="26"/>
    </row>
    <row r="12" spans="1:11" s="2" customFormat="1" ht="15.75" customHeight="1" thickBot="1">
      <c r="A12" s="8"/>
      <c r="B12" s="27" t="s">
        <v>85</v>
      </c>
      <c r="C12" s="32" t="str">
        <f>IF('S-ASIG-05'!D12="","",'S-ASIG-05'!D12)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4.7249999999999996</v>
      </c>
      <c r="E13" s="195">
        <v>4.5</v>
      </c>
      <c r="F13" s="24">
        <v>5</v>
      </c>
      <c r="G13" s="24">
        <v>5</v>
      </c>
      <c r="H13" s="24">
        <v>5</v>
      </c>
      <c r="I13" s="24">
        <v>4.5</v>
      </c>
      <c r="J13" s="24">
        <v>5</v>
      </c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4.7249999999999996</v>
      </c>
      <c r="E14" s="195"/>
      <c r="F14" s="18">
        <v>5</v>
      </c>
      <c r="G14" s="18">
        <v>5</v>
      </c>
      <c r="H14" s="18">
        <v>5</v>
      </c>
      <c r="I14" s="18">
        <v>4.5</v>
      </c>
      <c r="J14" s="18">
        <v>5</v>
      </c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4.7249999999999996</v>
      </c>
      <c r="E15" s="195"/>
      <c r="F15" s="18">
        <v>5</v>
      </c>
      <c r="G15" s="18">
        <v>5</v>
      </c>
      <c r="H15" s="18">
        <v>5</v>
      </c>
      <c r="I15" s="18">
        <v>4.5</v>
      </c>
      <c r="J15" s="18">
        <v>5</v>
      </c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4.7249999999999996</v>
      </c>
      <c r="E16" s="195"/>
      <c r="F16" s="18">
        <v>5</v>
      </c>
      <c r="G16" s="18">
        <v>5</v>
      </c>
      <c r="H16" s="18">
        <v>5</v>
      </c>
      <c r="I16" s="18">
        <v>4.5</v>
      </c>
      <c r="J16" s="18">
        <v>5</v>
      </c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4.7249999999999996</v>
      </c>
      <c r="E17" s="195"/>
      <c r="F17" s="18">
        <v>5</v>
      </c>
      <c r="G17" s="18">
        <v>5</v>
      </c>
      <c r="H17" s="18">
        <v>5</v>
      </c>
      <c r="I17" s="18">
        <v>4.5</v>
      </c>
      <c r="J17" s="18">
        <v>5</v>
      </c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IF('S-ASIG-05'!D18="","",'S-ASIG-05'!D18)</f>
        <v/>
      </c>
      <c r="D18" s="30">
        <f>IF(B18=0,"",IF(C18="",$E$13*LIDER!$H$19+F18*LIDER!$H$20+G18*LIDER!$H$21+H18*LIDER!$H$22+I18*LIDER!$H$23+J18*LIDER!$H$24+K18*LIDER!$H$25,"N"))</f>
        <v>4.7249999999999996</v>
      </c>
      <c r="E18" s="195"/>
      <c r="F18" s="26">
        <v>5</v>
      </c>
      <c r="G18" s="26">
        <v>5</v>
      </c>
      <c r="H18" s="26">
        <v>5</v>
      </c>
      <c r="I18" s="26">
        <v>4.5</v>
      </c>
      <c r="J18" s="26">
        <v>5</v>
      </c>
      <c r="K18" s="26"/>
    </row>
    <row r="19" spans="1:11" s="2" customFormat="1" ht="15.75" customHeight="1" thickBot="1">
      <c r="A19" s="14"/>
      <c r="B19" s="27" t="s">
        <v>87</v>
      </c>
      <c r="C19" s="32" t="str">
        <f>IF('S-ASIG-05'!D19="","",'S-ASIG-05'!D19)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4.18</v>
      </c>
      <c r="E20" s="195">
        <v>3.8</v>
      </c>
      <c r="F20" s="24">
        <v>4.5</v>
      </c>
      <c r="G20" s="24">
        <v>4.5</v>
      </c>
      <c r="H20" s="24">
        <v>4</v>
      </c>
      <c r="I20" s="24">
        <v>5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4.18</v>
      </c>
      <c r="E21" s="195"/>
      <c r="F21" s="18">
        <v>4.5</v>
      </c>
      <c r="G21" s="18">
        <v>4.5</v>
      </c>
      <c r="H21" s="18">
        <v>4</v>
      </c>
      <c r="I21" s="18">
        <v>5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4.18</v>
      </c>
      <c r="E22" s="195"/>
      <c r="F22" s="18">
        <v>4.5</v>
      </c>
      <c r="G22" s="18">
        <v>4.5</v>
      </c>
      <c r="H22" s="18">
        <v>4</v>
      </c>
      <c r="I22" s="18">
        <v>5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4.18</v>
      </c>
      <c r="E23" s="195"/>
      <c r="F23" s="18">
        <v>4.5</v>
      </c>
      <c r="G23" s="18">
        <v>4.5</v>
      </c>
      <c r="H23" s="18">
        <v>4</v>
      </c>
      <c r="I23" s="18">
        <v>5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4.18</v>
      </c>
      <c r="E24" s="195"/>
      <c r="F24" s="18">
        <v>4.5</v>
      </c>
      <c r="G24" s="18">
        <v>4.5</v>
      </c>
      <c r="H24" s="18">
        <v>4</v>
      </c>
      <c r="I24" s="18">
        <v>5</v>
      </c>
      <c r="J24" s="18">
        <v>4.8</v>
      </c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IF('S-ASIG-05'!D25="","",'S-ASIG-05'!D25)</f>
        <v>N</v>
      </c>
      <c r="D25" s="30" t="str">
        <f>IF(B25=0,"",IF(C25="",$E$20*LIDER!$H$19+F25*LIDER!$H$20+G25*LIDER!$H$21+H25*LIDER!$H$22+I25*LIDER!$H$23+J25*LIDER!$H$24+K25*LIDER!$H$25,"N"))</f>
        <v>N</v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IF('S-ASIG-05'!D26="","",'S-ASIG-05'!D26)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IF('S-ASIG-05'!D27="","",'S-ASIG-05'!D27)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IF('S-ASIG-05'!D28="","",'S-ASIG-05'!D28)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IF('S-ASIG-05'!D29="","",'S-ASIG-05'!D29)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IF('S-ASIG-05'!D30="","",'S-ASIG-05'!D30)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IF('S-ASIG-05'!D31="","",'S-ASIG-05'!D31)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IF('S-ASIG-05'!D33="","",'S-ASIG-05'!D33)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IF('S-ASIG-05'!D40="","",'S-ASIG-05'!D40)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IF('S-ASIG-05'!D47="","",'S-ASIG-05'!D47)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IF('S-ASIG-05'!D54="","",'S-ASIG-05'!D54)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IF('S-ASIG-05'!D61="","",'S-ASIG-05'!D61)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IF('S-ASIG-05'!D68="","",'S-ASIG-05'!D68)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IF('S-ASIG-05'!D75="","",'S-ASIG-05'!D75)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IF('S-ASIG-05'!D82="","",'S-ASIG-05'!D82)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17" activePane="bottomRight" state="frozen"/>
      <selection pane="bottomRight" activeCell="F20" sqref="F20:J25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CONCATENATE(LIDER!H4," - ",LIDER!H6," - ",LIDER!H5)</f>
        <v>PROCESO ADMINISTRATIVO - 1385 - ELOISA INES PENA GARCIA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IF('S-ASIG-06'!D5="","",'S-ASIG-06'!D5)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4.2750000000000004</v>
      </c>
      <c r="E6" s="195">
        <v>4</v>
      </c>
      <c r="F6" s="24">
        <v>4.4000000000000004</v>
      </c>
      <c r="G6" s="24">
        <v>4.5</v>
      </c>
      <c r="H6" s="24">
        <v>4.5</v>
      </c>
      <c r="I6" s="24">
        <v>5</v>
      </c>
      <c r="J6" s="24">
        <v>4.7</v>
      </c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4.2350000000000003</v>
      </c>
      <c r="E7" s="195"/>
      <c r="F7" s="18">
        <v>4.3</v>
      </c>
      <c r="G7" s="18">
        <v>4.3</v>
      </c>
      <c r="H7" s="18">
        <v>4.5</v>
      </c>
      <c r="I7" s="18">
        <v>5</v>
      </c>
      <c r="J7" s="18">
        <v>4.7</v>
      </c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4.2149999999999999</v>
      </c>
      <c r="E8" s="195"/>
      <c r="F8" s="18">
        <v>4.2</v>
      </c>
      <c r="G8" s="18">
        <v>4.3</v>
      </c>
      <c r="H8" s="18">
        <v>4.5</v>
      </c>
      <c r="I8" s="18">
        <v>5</v>
      </c>
      <c r="J8" s="18">
        <v>4.7</v>
      </c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4.165</v>
      </c>
      <c r="E9" s="195"/>
      <c r="F9" s="18">
        <v>4</v>
      </c>
      <c r="G9" s="18">
        <v>4.2</v>
      </c>
      <c r="H9" s="18">
        <v>4.5</v>
      </c>
      <c r="I9" s="18">
        <v>5</v>
      </c>
      <c r="J9" s="18">
        <v>4.7</v>
      </c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4.2050000000000001</v>
      </c>
      <c r="E10" s="195"/>
      <c r="F10" s="18">
        <v>4.2</v>
      </c>
      <c r="G10" s="18">
        <v>4.2</v>
      </c>
      <c r="H10" s="18">
        <v>4.5</v>
      </c>
      <c r="I10" s="18">
        <v>5</v>
      </c>
      <c r="J10" s="18">
        <v>4.7</v>
      </c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4.3150000000000004</v>
      </c>
      <c r="E11" s="195"/>
      <c r="F11" s="26">
        <v>4.5</v>
      </c>
      <c r="G11" s="26">
        <v>4.7</v>
      </c>
      <c r="H11" s="26">
        <v>4.5</v>
      </c>
      <c r="I11" s="26">
        <v>5</v>
      </c>
      <c r="J11" s="26">
        <v>4.7</v>
      </c>
      <c r="K11" s="26"/>
    </row>
    <row r="12" spans="1:11" s="2" customFormat="1" ht="15.75" customHeight="1" thickBot="1">
      <c r="A12" s="8"/>
      <c r="B12" s="27" t="s">
        <v>85</v>
      </c>
      <c r="C12" s="32" t="str">
        <f>IF('S-ASIG-06'!D12="","",'S-ASIG-06'!D12)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4.4899999999999993</v>
      </c>
      <c r="E13" s="195">
        <v>4.4000000000000004</v>
      </c>
      <c r="F13" s="24">
        <v>4.5</v>
      </c>
      <c r="G13" s="24">
        <v>4.5999999999999996</v>
      </c>
      <c r="H13" s="24">
        <v>4.7</v>
      </c>
      <c r="I13" s="24">
        <v>4.5</v>
      </c>
      <c r="J13" s="24">
        <v>4.7</v>
      </c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4.4799999999999995</v>
      </c>
      <c r="E14" s="195"/>
      <c r="F14" s="18">
        <v>4.5</v>
      </c>
      <c r="G14" s="18">
        <v>4.5</v>
      </c>
      <c r="H14" s="18">
        <v>4.7</v>
      </c>
      <c r="I14" s="18">
        <v>4.5</v>
      </c>
      <c r="J14" s="18">
        <v>4.7</v>
      </c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4.5449999999999999</v>
      </c>
      <c r="E15" s="195"/>
      <c r="F15" s="18">
        <v>4.7</v>
      </c>
      <c r="G15" s="18">
        <v>4.8</v>
      </c>
      <c r="H15" s="18">
        <v>4.5999999999999996</v>
      </c>
      <c r="I15" s="18">
        <v>4.5</v>
      </c>
      <c r="J15" s="18">
        <v>4.7</v>
      </c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4.5699999999999994</v>
      </c>
      <c r="E16" s="195"/>
      <c r="F16" s="18">
        <v>4.8</v>
      </c>
      <c r="G16" s="18">
        <v>4.8</v>
      </c>
      <c r="H16" s="18">
        <v>4.7</v>
      </c>
      <c r="I16" s="18">
        <v>4.5</v>
      </c>
      <c r="J16" s="18">
        <v>4.7</v>
      </c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4.3250000000000002</v>
      </c>
      <c r="E17" s="195"/>
      <c r="F17" s="18">
        <v>4</v>
      </c>
      <c r="G17" s="18">
        <v>4.2</v>
      </c>
      <c r="H17" s="18">
        <v>4.2</v>
      </c>
      <c r="I17" s="18">
        <v>4.5</v>
      </c>
      <c r="J17" s="18">
        <v>4.7</v>
      </c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IF('S-ASIG-06'!D18="","",'S-ASIG-06'!D18)</f>
        <v/>
      </c>
      <c r="D18" s="30">
        <f>IF(B18=0,"",IF(C18="",$E$13*LIDER!$H$19+F18*LIDER!$H$20+G18*LIDER!$H$21+H18*LIDER!$H$22+I18*LIDER!$H$23+J18*LIDER!$H$24+K18*LIDER!$H$25,"N"))</f>
        <v>4.415</v>
      </c>
      <c r="E18" s="195"/>
      <c r="F18" s="26">
        <v>4.3</v>
      </c>
      <c r="G18" s="26">
        <v>4.4000000000000004</v>
      </c>
      <c r="H18" s="26">
        <v>4.4000000000000004</v>
      </c>
      <c r="I18" s="26">
        <v>4.5</v>
      </c>
      <c r="J18" s="26">
        <v>4.7</v>
      </c>
      <c r="K18" s="26"/>
    </row>
    <row r="19" spans="1:11" s="2" customFormat="1" ht="15.75" customHeight="1" thickBot="1">
      <c r="A19" s="14"/>
      <c r="B19" s="27" t="s">
        <v>87</v>
      </c>
      <c r="C19" s="32" t="str">
        <f>IF('S-ASIG-06'!D19="","",'S-ASIG-06'!D19)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3.8800000000000003</v>
      </c>
      <c r="E20" s="195">
        <v>3.6</v>
      </c>
      <c r="F20" s="24">
        <v>3.8</v>
      </c>
      <c r="G20" s="24">
        <v>4.2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3.8800000000000003</v>
      </c>
      <c r="E21" s="195"/>
      <c r="F21" s="18">
        <v>3.8</v>
      </c>
      <c r="G21" s="18">
        <v>4.2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3.9200000000000004</v>
      </c>
      <c r="E22" s="195"/>
      <c r="F22" s="18">
        <v>4</v>
      </c>
      <c r="G22" s="18">
        <v>4.2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3.9200000000000004</v>
      </c>
      <c r="E23" s="195"/>
      <c r="F23" s="18">
        <v>4</v>
      </c>
      <c r="G23" s="18">
        <v>4.2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3.8800000000000003</v>
      </c>
      <c r="E24" s="195"/>
      <c r="F24" s="18">
        <v>3.8</v>
      </c>
      <c r="G24" s="18">
        <v>4.2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3.8800000000000003</v>
      </c>
      <c r="E25" s="195"/>
      <c r="F25" s="26">
        <v>3.8</v>
      </c>
      <c r="G25" s="26">
        <v>4.2</v>
      </c>
      <c r="H25" s="26">
        <v>4.5</v>
      </c>
      <c r="I25" s="26">
        <v>4.5</v>
      </c>
      <c r="J25" s="26">
        <v>4.5</v>
      </c>
      <c r="K25" s="26"/>
    </row>
    <row r="26" spans="1:11" s="2" customFormat="1" ht="15.75" customHeight="1" thickBot="1">
      <c r="A26" s="14"/>
      <c r="B26" s="27" t="s">
        <v>70</v>
      </c>
      <c r="C26" s="32" t="str">
        <f>IF('S-ASIG-06'!D26="","",'S-ASIG-06'!D26)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IF('S-ASIG-06'!D27="","",'S-ASIG-06'!D27)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IF('S-ASIG-06'!D28="","",'S-ASIG-06'!D28)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IF('S-ASIG-06'!D29="","",'S-ASIG-06'!D29)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IF('S-ASIG-06'!D30="","",'S-ASIG-06'!D30)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IF('S-ASIG-06'!D31="","",'S-ASIG-06'!D31)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IF('S-ASIG-06'!D33="","",'S-ASIG-06'!D33)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IF('S-ASIG-06'!D40="","",'S-ASIG-06'!D40)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IF('S-ASIG-06'!D47="","",'S-ASIG-06'!D47)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IF('S-ASIG-06'!D54="","",'S-ASIG-06'!D54)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IF('S-ASIG-06'!D61="","",'S-ASIG-06'!D61)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IF('S-ASIG-06'!D68="","",'S-ASIG-06'!D68)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IF('S-ASIG-06'!D75="","",'S-ASIG-06'!D75)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IF('S-ASIG-06'!D82="","",'S-ASIG-06'!D82)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F6" sqref="F6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15" t="s">
        <v>79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80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CONCATENATE(LIDER!I4," - ",LIDER!I6," - ",LIDER!I5)</f>
        <v xml:space="preserve"> -  - 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81</v>
      </c>
      <c r="C5" s="34" t="str">
        <f>IF('S-ASIG-07'!D5="","",'S-ASIG-07'!D5)</f>
        <v>LIST</v>
      </c>
      <c r="D5" s="35" t="s">
        <v>84</v>
      </c>
      <c r="E5" s="197" t="str">
        <f>LIDER!$E$29</f>
        <v>Caracterización de los aspectos administrativos, legales, económicos y de costos de dos empresas del mismo sector económico.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ISABELLA PAOLA ESCUDERO GARROS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EMILY SHANNAY LARA GODOY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JESUS JAVIER MARTINEZ MESTRA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CAMILO ANDRES RAMOS PERIÑAN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GABRIEL DAVID SANCHEZ PARRA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 t="str">
        <f>LIDER!E48</f>
        <v>SANTIAGO JOSE URIBE CRISTANCHO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0</v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85</v>
      </c>
      <c r="C12" s="32" t="str">
        <f>IF('S-ASIG-07'!D12="","",'S-ASIG-07'!D12)</f>
        <v>LIST</v>
      </c>
      <c r="D12" s="35" t="s">
        <v>84</v>
      </c>
      <c r="E12" s="197" t="str">
        <f>LIDER!$E$30</f>
        <v>Características de los aspectos administrativos, logísticos y económicos de las empresas Agencia de Aduanas Granandina Ltda Nivel 1, y Agencia de Aduanas Aviatur S.A.S Nivel 1, que pertenecen al mismo sector económico de agenciamiento aduanero.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DILAN ANTONIO BOSSIO LEAL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HELEN MARIA OCHOA RODRIGUEZ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SANTIAGO PALOMINO CORDERO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TEDDY JAVIER RICO PEREZ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ENDRY YUREY ROSARIO SIERRA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 t="str">
        <f>LIDER!F48</f>
        <v>EVA LUCIA RUIZ LARA</v>
      </c>
      <c r="C18" s="33" t="str">
        <f>IF('S-ASIG-07'!D18="","",'S-ASIG-07'!D18)</f>
        <v/>
      </c>
      <c r="D18" s="30">
        <f>IF(B18=0,"",IF(C18="",$E$13*LIDER!$H$19+F18*LIDER!$H$20+G18*LIDER!$H$21+H18*LIDER!$H$22+I18*LIDER!$H$23+J18*LIDER!$H$24+K18*LIDER!$H$25,"N"))</f>
        <v>0</v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87</v>
      </c>
      <c r="C19" s="32" t="str">
        <f>IF('S-ASIG-07'!D19="","",'S-ASIG-07'!D19)</f>
        <v>LIST</v>
      </c>
      <c r="D19" s="35" t="s">
        <v>84</v>
      </c>
      <c r="E19" s="197" t="str">
        <f>LIDER!$E$31</f>
        <v>Características de los aspectos administrativos, legales y económicos de Ecopetrol y Frontera Energy como empresas del sector de hidrocarburos en Colombia.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JORGE HUMBERTO GARCES GOMEZ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VALENTINA GIRALDO BOLAÑO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YOANDY GOMEZ DIAZ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MICHELLE CAROLINA RODRIGUEZ SEVERICHE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DARWIN STIVEN TELLEZ ABRIL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ERWIN JOSUE URIBE SANTOYA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IF('S-ASIG-07'!D26="","",'S-ASIG-07'!D26)</f>
        <v>LIST</v>
      </c>
      <c r="D26" s="35" t="s">
        <v>84</v>
      </c>
      <c r="E26" s="197" t="str">
        <f>LIDER!$E$32</f>
        <v>GRUPO#4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>
        <f>LIDER!H43</f>
        <v>0</v>
      </c>
      <c r="C27" s="33" t="str">
        <f>IF('S-ASIG-07'!D27="","",'S-ASIG-07'!D27)</f>
        <v/>
      </c>
      <c r="D27" s="30" t="str">
        <f>IF(B27=0,"",IF(C27="",$E$27*LIDER!$H$19+F27*LIDER!$H$20+G27*LIDER!$H$21+H27*LIDER!$H$22+I27*LIDER!$H$23+J27*LIDER!$H$24+K27*LIDER!$H$25,"N"))</f>
        <v/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>
        <f>LIDER!H44</f>
        <v>0</v>
      </c>
      <c r="C28" s="33" t="str">
        <f>IF('S-ASIG-07'!D28="","",'S-ASIG-07'!D28)</f>
        <v/>
      </c>
      <c r="D28" s="30" t="str">
        <f>IF(B28=0,"",IF(C28="",$E$27*LIDER!$H$19+F28*LIDER!$H$20+G28*LIDER!$H$21+H28*LIDER!$H$22+I28*LIDER!$H$23+J28*LIDER!$H$24+K28*LIDER!$H$25,"N"))</f>
        <v/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>
        <f>LIDER!H45</f>
        <v>0</v>
      </c>
      <c r="C29" s="33" t="str">
        <f>IF('S-ASIG-07'!D29="","",'S-ASIG-07'!D29)</f>
        <v/>
      </c>
      <c r="D29" s="30" t="str">
        <f>IF(B29=0,"",IF(C29="",$E$27*LIDER!$H$19+F29*LIDER!$H$20+G29*LIDER!$H$21+H29*LIDER!$H$22+I29*LIDER!$H$23+J29*LIDER!$H$24+K29*LIDER!$H$25,"N"))</f>
        <v/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>
        <f>LIDER!H46</f>
        <v>0</v>
      </c>
      <c r="C30" s="33" t="str">
        <f>IF('S-ASIG-07'!D30="","",'S-ASIG-07'!D30)</f>
        <v/>
      </c>
      <c r="D30" s="30" t="str">
        <f>IF(B30=0,"",IF(C30="",$E$27*LIDER!$H$19+F30*LIDER!$H$20+G30*LIDER!$H$21+H30*LIDER!$H$22+I30*LIDER!$H$23+J30*LIDER!$H$24+K30*LIDER!$H$25,"N"))</f>
        <v/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>
        <f>LIDER!H47</f>
        <v>0</v>
      </c>
      <c r="C31" s="33" t="str">
        <f>IF('S-ASIG-07'!D31="","",'S-ASIG-07'!D31)</f>
        <v/>
      </c>
      <c r="D31" s="30" t="str">
        <f>IF(B31=0,"",IF(C31="",$E$27*LIDER!$H$19+F31*LIDER!$H$20+G31*LIDER!$H$21+H31*LIDER!$H$22+I31*LIDER!$H$23+J31*LIDER!$H$24+K31*LIDER!$H$25,"N"))</f>
        <v/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IF('S-ASIG-07'!D33="","",'S-ASIG-07'!D33)</f>
        <v>LIST</v>
      </c>
      <c r="D33" s="35" t="s">
        <v>84</v>
      </c>
      <c r="E33" s="197" t="str">
        <f>LIDER!$E$33</f>
        <v>GRUPO#5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72</v>
      </c>
      <c r="C40" s="32" t="str">
        <f>IF('S-ASIG-07'!D40="","",'S-ASIG-07'!D40)</f>
        <v>LIST</v>
      </c>
      <c r="D40" s="35" t="s">
        <v>84</v>
      </c>
      <c r="E40" s="197" t="str">
        <f>LIDER!$E$34</f>
        <v>GRUPO#6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73</v>
      </c>
      <c r="C47" s="32" t="str">
        <f>IF('S-ASIG-07'!D47="","",'S-ASIG-07'!D47)</f>
        <v>LIST</v>
      </c>
      <c r="D47" s="35" t="s">
        <v>84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74</v>
      </c>
      <c r="C54" s="32" t="str">
        <f>IF('S-ASIG-07'!D54="","",'S-ASIG-07'!D54)</f>
        <v>LIST</v>
      </c>
      <c r="D54" s="35" t="s">
        <v>84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75</v>
      </c>
      <c r="C61" s="32" t="str">
        <f>IF('S-ASIG-07'!D61="","",'S-ASIG-07'!D61)</f>
        <v>LIST</v>
      </c>
      <c r="D61" s="35" t="s">
        <v>84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76</v>
      </c>
      <c r="C68" s="32" t="str">
        <f>IF('S-ASIG-07'!D68="","",'S-ASIG-07'!D68)</f>
        <v>LIST</v>
      </c>
      <c r="D68" s="35" t="s">
        <v>84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77</v>
      </c>
      <c r="C75" s="32" t="str">
        <f>IF('S-ASIG-07'!D75="","",'S-ASIG-07'!D75)</f>
        <v>LIST</v>
      </c>
      <c r="D75" s="35" t="s">
        <v>84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78</v>
      </c>
      <c r="C82" s="32" t="str">
        <f>IF('S-ASIG-07'!D82="","",'S-ASIG-07'!D82)</f>
        <v>LIST</v>
      </c>
      <c r="D82" s="35" t="s">
        <v>84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10" activePane="bottomRight" state="frozen"/>
      <selection pane="bottomRight" activeCell="I24" sqref="I24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142" t="s">
        <v>99</v>
      </c>
      <c r="H2" s="143"/>
      <c r="I2" s="143"/>
      <c r="J2" s="143"/>
      <c r="K2" s="143"/>
      <c r="L2" s="143"/>
      <c r="M2" s="144"/>
      <c r="N2" s="2"/>
      <c r="O2" s="147" t="s">
        <v>100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2473</v>
      </c>
      <c r="H3" s="49" t="str">
        <f>CONCATENATE("N° : ",LIDER!D6)</f>
        <v>N° : 2047</v>
      </c>
      <c r="I3" s="49" t="str">
        <f>CONCATENATE("N° : ",LIDER!E6)</f>
        <v>N° : 2356</v>
      </c>
      <c r="J3" s="49" t="str">
        <f>CONCATENATE("N° : ",LIDER!F6)</f>
        <v>N° : 2368</v>
      </c>
      <c r="K3" s="49" t="str">
        <f>CONCATENATE("N° : ",LIDER!G6)</f>
        <v>N° : 1468</v>
      </c>
      <c r="L3" s="49" t="str">
        <f>CONCATENATE("N° : ",LIDER!H6)</f>
        <v>N° : 1385</v>
      </c>
      <c r="M3" s="50" t="str">
        <f>CONCATENATE("N° : ",LIDER!I6)</f>
        <v xml:space="preserve">N° : </v>
      </c>
      <c r="O3" s="48" t="str">
        <f>G3</f>
        <v>N° : 2473</v>
      </c>
      <c r="P3" s="49" t="str">
        <f t="shared" ref="P3:U3" si="0">H3</f>
        <v>N° : 2047</v>
      </c>
      <c r="Q3" s="49" t="str">
        <f t="shared" si="0"/>
        <v>N° : 2356</v>
      </c>
      <c r="R3" s="49" t="str">
        <f t="shared" si="0"/>
        <v>N° : 2368</v>
      </c>
      <c r="S3" s="49" t="str">
        <f t="shared" si="0"/>
        <v>N° : 1468</v>
      </c>
      <c r="T3" s="49" t="str">
        <f t="shared" si="0"/>
        <v>N° : 1385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101</v>
      </c>
      <c r="D4" s="54" t="s">
        <v>102</v>
      </c>
      <c r="E4" s="55" t="s">
        <v>103</v>
      </c>
      <c r="G4" s="56" t="str">
        <f>MID(LIDER!C4,1,9)</f>
        <v>INTRODUCC</v>
      </c>
      <c r="H4" s="57" t="str">
        <f>MID(LIDER!D4,1,9)</f>
        <v>SEMINARIO</v>
      </c>
      <c r="I4" s="57" t="str">
        <f>MID(LIDER!E4,1,9)</f>
        <v xml:space="preserve">COSTOS Y </v>
      </c>
      <c r="J4" s="57" t="str">
        <f>MID(LIDER!F4,1,9)</f>
        <v>LEGISLACI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104</v>
      </c>
      <c r="O4" s="60" t="str">
        <f t="shared" ref="O4:U4" si="1">G4</f>
        <v>INTRODUCC</v>
      </c>
      <c r="P4" s="61" t="str">
        <f t="shared" si="1"/>
        <v>SEMINARIO</v>
      </c>
      <c r="Q4" s="61" t="str">
        <f t="shared" si="1"/>
        <v xml:space="preserve">COSTOS Y </v>
      </c>
      <c r="R4" s="61" t="str">
        <f t="shared" si="1"/>
        <v>LEGISLACI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105</v>
      </c>
    </row>
    <row r="5" spans="1:22" ht="15" customHeight="1">
      <c r="A5" s="12">
        <v>1</v>
      </c>
      <c r="B5" s="63" t="str">
        <f>LIDER!C9</f>
        <v>ISABELLA PAOLA ESCUDERO GARROS</v>
      </c>
      <c r="C5" s="64" t="str">
        <f>IF(B5=0,"",IFERROR(VLOOKUP(B5,'S-ASIG-01'!$B$5:$E$88,2,0),0))</f>
        <v>G01</v>
      </c>
      <c r="D5" s="65">
        <f t="shared" ref="D5:D54" si="2">IF(B5=0,"",IFERROR(SUMIF(G5:M5,"&gt;0",G5:M5)/COUNTIF(G5:M5,"&gt;0"),0))</f>
        <v>3.2339999999999995</v>
      </c>
      <c r="E5" s="66">
        <f>IF(B5=0,"",IFERROR(SUMIF(O5:U5,"&gt;0",O5:U5)/COUNTIF(O5:U5,"&gt;0"),0))</f>
        <v>4.3499999999999996</v>
      </c>
      <c r="F5" s="47"/>
      <c r="G5" s="67">
        <f>IF(B5=0,"",IFERROR(VLOOKUP(B5,'S-ASIG-01'!$B$5:$E$88,4,0),0))</f>
        <v>3.8</v>
      </c>
      <c r="H5" s="65">
        <f>IF(B5=0,"",IFERROR(VLOOKUP(B5,'S-ASIG-02'!$B$5:$E$88,4,0),0))</f>
        <v>2.64</v>
      </c>
      <c r="I5" s="65">
        <f>IF(B5=0,"",IFERROR(VLOOKUP(B5,'S-ASIG-03'!$B$5:$E$88,4,0),0))</f>
        <v>3.41</v>
      </c>
      <c r="J5" s="65">
        <f>IF(B5=0,"",IFERROR(VLOOKUP(B5,'S-ASIG-04'!$B$5:$E$88,4,0),0))</f>
        <v>2.6</v>
      </c>
      <c r="K5" s="65">
        <v>0</v>
      </c>
      <c r="L5" s="65">
        <f>IF(B5=0,"",IFERROR(VLOOKUP(B5,'S-ASIG-06'!$B$5:$E$88,4,0),0))</f>
        <v>3.7199999999999998</v>
      </c>
      <c r="M5" s="66">
        <f>IF(B5=0,"",IFERROR(VLOOKUP(B5,'S-ASIG-07'!$B$5:$E$88,4,0),0))</f>
        <v>0</v>
      </c>
      <c r="N5" s="68" t="s">
        <v>106</v>
      </c>
      <c r="O5" s="67">
        <f>IF(B5=0,"",IFERROR(VLOOKUP(B5,'T-ASIG-01'!$B$5:$D$88,3,0),0))</f>
        <v>4.2750000000000004</v>
      </c>
      <c r="P5" s="65">
        <f>IF(B5=0,"",IFERROR(VLOOKUP(B5,'T-ASIG-02'!$B$5:$D$88,3,0),0))</f>
        <v>4.2750000000000004</v>
      </c>
      <c r="Q5" s="65">
        <f>IF(B5=0,"",IFERROR(VLOOKUP(B5,'T-ASIG-03'!$B$5:$D$88,3,0),0))</f>
        <v>4.2750000000000004</v>
      </c>
      <c r="R5" s="65">
        <f>IF(B5=0,"",IFERROR(VLOOKUP(B5,'T-ASIG-04'!$B$5:$D$88,3,0),0))</f>
        <v>0</v>
      </c>
      <c r="S5" s="65">
        <f>IF(B5=0,"",IFERROR(VLOOKUP(B5,'T-ASIG-05'!$B$5:$D$88,3,0),0))</f>
        <v>4.6500000000000004</v>
      </c>
      <c r="T5" s="65">
        <f>IF(B5=0,"",IFERROR(VLOOKUP(B5,'T-ASIG-06'!$B$5:$D$88,3,0),0))</f>
        <v>4.2750000000000004</v>
      </c>
      <c r="U5" s="66">
        <f>IF(B5=0,"",IFERROR(VLOOKUP(B5,'T-ASIG-07'!$B$5:$D$88,3,0),0))</f>
        <v>0</v>
      </c>
      <c r="V5" s="69" t="s">
        <v>107</v>
      </c>
    </row>
    <row r="6" spans="1:22" ht="15" customHeight="1">
      <c r="A6" s="12">
        <v>2</v>
      </c>
      <c r="B6" s="70" t="str">
        <f>LIDER!C10</f>
        <v>EMILY SHANNAY LARA GODOY</v>
      </c>
      <c r="C6" s="64" t="str">
        <f>IF(B6=0,"",IFERROR(VLOOKUP(B6,'S-ASIG-01'!$B$5:$E$88,2,0),0))</f>
        <v>G01</v>
      </c>
      <c r="D6" s="65">
        <f t="shared" si="2"/>
        <v>3.32</v>
      </c>
      <c r="E6" s="66">
        <f t="shared" ref="E6:E54" si="3">IF(B6=0,"",IFERROR(SUMIF(O6:U6,"&gt;0",O6:U6)/COUNTIF(O6:U6,"&gt;0"),0))</f>
        <v>4.3180000000000005</v>
      </c>
      <c r="F6" s="47"/>
      <c r="G6" s="71">
        <f>IF(B6=0,"",IFERROR(VLOOKUP(B6,'S-ASIG-01'!$B$5:$E$88,4,0),0))</f>
        <v>3.8</v>
      </c>
      <c r="H6" s="72">
        <f>IF(B6=0,"",IFERROR(VLOOKUP(B6,'S-ASIG-02'!$B$5:$E$88,4,0),0))</f>
        <v>2.64</v>
      </c>
      <c r="I6" s="72">
        <f>IF(B6=0,"",IFERROR(VLOOKUP(B6,'S-ASIG-03'!$B$5:$E$88,4,0),0))</f>
        <v>3.41</v>
      </c>
      <c r="J6" s="72">
        <f>IF(B6=0,"",IFERROR(VLOOKUP(B6,'S-ASIG-04'!$B$5:$E$88,4,0),0))</f>
        <v>2.6</v>
      </c>
      <c r="K6" s="72">
        <f>IF(B6=0,"",IFERROR(VLOOKUP(B6,'S-ASIG-05'!$B$5:$E$88,4,0),0))</f>
        <v>3.7499999999999996</v>
      </c>
      <c r="L6" s="72">
        <f>IF(B6=0,"",IFERROR(VLOOKUP(B6,'S-ASIG-06'!$B$5:$E$88,4,0),0))</f>
        <v>3.7199999999999998</v>
      </c>
      <c r="M6" s="73">
        <f>IF(B6=0,"",IFERROR(VLOOKUP(B6,'S-ASIG-07'!$B$5:$E$88,4,0),0))</f>
        <v>0</v>
      </c>
      <c r="N6" s="68" t="s">
        <v>106</v>
      </c>
      <c r="O6" s="71">
        <f>IF(B6=0,"",IFERROR(VLOOKUP(B6,'T-ASIG-01'!$B$5:$D$88,3,0),0))</f>
        <v>4.2350000000000003</v>
      </c>
      <c r="P6" s="72">
        <f>IF(B6=0,"",IFERROR(VLOOKUP(B6,'T-ASIG-02'!$B$5:$D$88,3,0),0))</f>
        <v>4.2350000000000003</v>
      </c>
      <c r="Q6" s="72">
        <f>IF(B6=0,"",IFERROR(VLOOKUP(B6,'T-ASIG-03'!$B$5:$D$88,3,0),0))</f>
        <v>4.2350000000000003</v>
      </c>
      <c r="R6" s="72">
        <f>IF(B6=0,"",IFERROR(VLOOKUP(B6,'T-ASIG-04'!$B$5:$D$88,3,0),0))</f>
        <v>0</v>
      </c>
      <c r="S6" s="72">
        <f>IF(B6=0,"",IFERROR(VLOOKUP(B6,'T-ASIG-05'!$B$5:$D$88,3,0),0))</f>
        <v>4.6500000000000004</v>
      </c>
      <c r="T6" s="72">
        <f>IF(B6=0,"",IFERROR(VLOOKUP(B6,'T-ASIG-06'!$B$5:$D$88,3,0),0))</f>
        <v>4.2350000000000003</v>
      </c>
      <c r="U6" s="73">
        <f>IF(B6=0,"",IFERROR(VLOOKUP(B6,'T-ASIG-07'!$B$5:$D$88,3,0),0))</f>
        <v>0</v>
      </c>
      <c r="V6" s="69" t="s">
        <v>107</v>
      </c>
    </row>
    <row r="7" spans="1:22" ht="15" customHeight="1">
      <c r="A7" s="12">
        <v>3</v>
      </c>
      <c r="B7" s="70" t="str">
        <f>LIDER!C11</f>
        <v>JESUS JAVIER MARTINEZ MESTRA</v>
      </c>
      <c r="C7" s="64" t="str">
        <f>IF(B7=0,"",IFERROR(VLOOKUP(B7,'S-ASIG-01'!$B$5:$E$88,2,0),0))</f>
        <v>G01</v>
      </c>
      <c r="D7" s="65">
        <f t="shared" si="2"/>
        <v>3.32</v>
      </c>
      <c r="E7" s="66">
        <f t="shared" si="3"/>
        <v>4.3020000000000005</v>
      </c>
      <c r="F7" s="47"/>
      <c r="G7" s="71">
        <f>IF(B7=0,"",IFERROR(VLOOKUP(B7,'S-ASIG-01'!$B$5:$E$88,4,0),0))</f>
        <v>3.8</v>
      </c>
      <c r="H7" s="72">
        <f>IF(B7=0,"",IFERROR(VLOOKUP(B7,'S-ASIG-02'!$B$5:$E$88,4,0),0))</f>
        <v>2.64</v>
      </c>
      <c r="I7" s="72">
        <f>IF(B7=0,"",IFERROR(VLOOKUP(B7,'S-ASIG-03'!$B$5:$E$88,4,0),0))</f>
        <v>3.41</v>
      </c>
      <c r="J7" s="72">
        <f>IF(B7=0,"",IFERROR(VLOOKUP(B7,'S-ASIG-04'!$B$5:$E$88,4,0),0))</f>
        <v>2.6</v>
      </c>
      <c r="K7" s="72">
        <f>IF(B7=0,"",IFERROR(VLOOKUP(B7,'S-ASIG-05'!$B$5:$E$88,4,0),0))</f>
        <v>3.7499999999999996</v>
      </c>
      <c r="L7" s="72">
        <f>IF(B7=0,"",IFERROR(VLOOKUP(B7,'S-ASIG-06'!$B$5:$E$88,4,0),0))</f>
        <v>3.7199999999999998</v>
      </c>
      <c r="M7" s="73">
        <f>IF(B7=0,"",IFERROR(VLOOKUP(B7,'S-ASIG-07'!$B$5:$E$88,4,0),0))</f>
        <v>0</v>
      </c>
      <c r="N7" s="68" t="s">
        <v>106</v>
      </c>
      <c r="O7" s="71">
        <f>IF(B7=0,"",IFERROR(VLOOKUP(B7,'T-ASIG-01'!$B$5:$D$88,3,0),0))</f>
        <v>4.2149999999999999</v>
      </c>
      <c r="P7" s="72">
        <f>IF(B7=0,"",IFERROR(VLOOKUP(B7,'T-ASIG-02'!$B$5:$D$88,3,0),0))</f>
        <v>4.2149999999999999</v>
      </c>
      <c r="Q7" s="72">
        <f>IF(B7=0,"",IFERROR(VLOOKUP(B7,'T-ASIG-03'!$B$5:$D$88,3,0),0))</f>
        <v>4.2149999999999999</v>
      </c>
      <c r="R7" s="72">
        <f>IF(B7=0,"",IFERROR(VLOOKUP(B7,'T-ASIG-04'!$B$5:$D$88,3,0),0))</f>
        <v>0</v>
      </c>
      <c r="S7" s="72">
        <f>IF(B7=0,"",IFERROR(VLOOKUP(B7,'T-ASIG-05'!$B$5:$D$88,3,0),0))</f>
        <v>4.6500000000000004</v>
      </c>
      <c r="T7" s="72">
        <f>IF(B7=0,"",IFERROR(VLOOKUP(B7,'T-ASIG-06'!$B$5:$D$88,3,0),0))</f>
        <v>4.2149999999999999</v>
      </c>
      <c r="U7" s="73">
        <f>IF(B7=0,"",IFERROR(VLOOKUP(B7,'T-ASIG-07'!$B$5:$D$88,3,0),0))</f>
        <v>0</v>
      </c>
      <c r="V7" s="69" t="s">
        <v>107</v>
      </c>
    </row>
    <row r="8" spans="1:22" ht="15" customHeight="1">
      <c r="A8" s="12">
        <v>4</v>
      </c>
      <c r="B8" s="70" t="str">
        <f>LIDER!C12</f>
        <v>CAMILO ANDRES RAMOS PERIÑAN</v>
      </c>
      <c r="C8" s="64" t="str">
        <f>IF(B8=0,"",IFERROR(VLOOKUP(B8,'S-ASIG-01'!$B$5:$E$88,2,0),0))</f>
        <v>G01</v>
      </c>
      <c r="D8" s="65">
        <f t="shared" si="2"/>
        <v>3.32</v>
      </c>
      <c r="E8" s="66">
        <f t="shared" si="3"/>
        <v>4.2620000000000005</v>
      </c>
      <c r="F8" s="47"/>
      <c r="G8" s="71">
        <f>IF(B8=0,"",IFERROR(VLOOKUP(B8,'S-ASIG-01'!$B$5:$E$88,4,0),0))</f>
        <v>3.8</v>
      </c>
      <c r="H8" s="72">
        <f>IF(B8=0,"",IFERROR(VLOOKUP(B8,'S-ASIG-02'!$B$5:$E$88,4,0),0))</f>
        <v>2.64</v>
      </c>
      <c r="I8" s="72">
        <f>IF(B8=0,"",IFERROR(VLOOKUP(B8,'S-ASIG-03'!$B$5:$E$88,4,0),0))</f>
        <v>3.41</v>
      </c>
      <c r="J8" s="72">
        <f>IF(B8=0,"",IFERROR(VLOOKUP(B8,'S-ASIG-04'!$B$5:$E$88,4,0),0))</f>
        <v>2.6</v>
      </c>
      <c r="K8" s="72">
        <f>IF(B8=0,"",IFERROR(VLOOKUP(B8,'S-ASIG-05'!$B$5:$E$88,4,0),0))</f>
        <v>3.7499999999999996</v>
      </c>
      <c r="L8" s="72">
        <f>IF(B8=0,"",IFERROR(VLOOKUP(B8,'S-ASIG-06'!$B$5:$E$88,4,0),0))</f>
        <v>3.7199999999999998</v>
      </c>
      <c r="M8" s="73">
        <f>IF(B8=0,"",IFERROR(VLOOKUP(B8,'S-ASIG-07'!$B$5:$E$88,4,0),0))</f>
        <v>0</v>
      </c>
      <c r="N8" s="68" t="s">
        <v>106</v>
      </c>
      <c r="O8" s="71">
        <f>IF(B8=0,"",IFERROR(VLOOKUP(B8,'T-ASIG-01'!$B$5:$D$88,3,0),0))</f>
        <v>4.165</v>
      </c>
      <c r="P8" s="72">
        <f>IF(B8=0,"",IFERROR(VLOOKUP(B8,'T-ASIG-02'!$B$5:$D$88,3,0),0))</f>
        <v>4.165</v>
      </c>
      <c r="Q8" s="72">
        <f>IF(B8=0,"",IFERROR(VLOOKUP(B8,'T-ASIG-03'!$B$5:$D$88,3,0),0))</f>
        <v>4.165</v>
      </c>
      <c r="R8" s="72">
        <f>IF(B8=0,"",IFERROR(VLOOKUP(B8,'T-ASIG-04'!$B$5:$D$88,3,0),0))</f>
        <v>0</v>
      </c>
      <c r="S8" s="72">
        <f>IF(B8=0,"",IFERROR(VLOOKUP(B8,'T-ASIG-05'!$B$5:$D$88,3,0),0))</f>
        <v>4.6500000000000004</v>
      </c>
      <c r="T8" s="72">
        <f>IF(B8=0,"",IFERROR(VLOOKUP(B8,'T-ASIG-06'!$B$5:$D$88,3,0),0))</f>
        <v>4.165</v>
      </c>
      <c r="U8" s="73">
        <f>IF(B8=0,"",IFERROR(VLOOKUP(B8,'T-ASIG-07'!$B$5:$D$88,3,0),0))</f>
        <v>0</v>
      </c>
      <c r="V8" s="69" t="s">
        <v>107</v>
      </c>
    </row>
    <row r="9" spans="1:22" ht="15" customHeight="1">
      <c r="A9" s="12">
        <v>5</v>
      </c>
      <c r="B9" s="70" t="str">
        <f>LIDER!C13</f>
        <v>GABRIEL DAVID SANCHEZ PARRA</v>
      </c>
      <c r="C9" s="64" t="str">
        <f>IF(B9=0,"",IFERROR(VLOOKUP(B9,'S-ASIG-01'!$B$5:$E$88,2,0),0))</f>
        <v>G01</v>
      </c>
      <c r="D9" s="65">
        <f t="shared" si="2"/>
        <v>3.32</v>
      </c>
      <c r="E9" s="66">
        <f t="shared" si="3"/>
        <v>4.2939999999999996</v>
      </c>
      <c r="F9" s="47"/>
      <c r="G9" s="71">
        <f>IF(B9=0,"",IFERROR(VLOOKUP(B9,'S-ASIG-01'!$B$5:$E$88,4,0),0))</f>
        <v>3.8</v>
      </c>
      <c r="H9" s="72">
        <f>IF(B9=0,"",IFERROR(VLOOKUP(B9,'S-ASIG-02'!$B$5:$E$88,4,0),0))</f>
        <v>2.64</v>
      </c>
      <c r="I9" s="72">
        <f>IF(B9=0,"",IFERROR(VLOOKUP(B9,'S-ASIG-03'!$B$5:$E$88,4,0),0))</f>
        <v>3.41</v>
      </c>
      <c r="J9" s="72">
        <f>IF(B9=0,"",IFERROR(VLOOKUP(B9,'S-ASIG-04'!$B$5:$E$88,4,0),0))</f>
        <v>2.6</v>
      </c>
      <c r="K9" s="72">
        <f>IF(B9=0,"",IFERROR(VLOOKUP(B9,'S-ASIG-05'!$B$5:$E$88,4,0),0))</f>
        <v>3.7499999999999996</v>
      </c>
      <c r="L9" s="72">
        <f>IF(B9=0,"",IFERROR(VLOOKUP(B9,'S-ASIG-06'!$B$5:$E$88,4,0),0))</f>
        <v>3.7199999999999998</v>
      </c>
      <c r="M9" s="73">
        <f>IF(B9=0,"",IFERROR(VLOOKUP(B9,'S-ASIG-07'!$B$5:$E$88,4,0),0))</f>
        <v>0</v>
      </c>
      <c r="N9" s="68" t="s">
        <v>106</v>
      </c>
      <c r="O9" s="71">
        <f>IF(B9=0,"",IFERROR(VLOOKUP(B9,'T-ASIG-01'!$B$5:$D$88,3,0),0))</f>
        <v>4.2050000000000001</v>
      </c>
      <c r="P9" s="72">
        <f>IF(B9=0,"",IFERROR(VLOOKUP(B9,'T-ASIG-02'!$B$5:$D$88,3,0),0))</f>
        <v>4.2050000000000001</v>
      </c>
      <c r="Q9" s="72">
        <f>IF(B9=0,"",IFERROR(VLOOKUP(B9,'T-ASIG-03'!$B$5:$D$88,3,0),0))</f>
        <v>4.2050000000000001</v>
      </c>
      <c r="R9" s="72">
        <f>IF(B9=0,"",IFERROR(VLOOKUP(B9,'T-ASIG-04'!$B$5:$D$88,3,0),0))</f>
        <v>0</v>
      </c>
      <c r="S9" s="72">
        <f>IF(B9=0,"",IFERROR(VLOOKUP(B9,'T-ASIG-05'!$B$5:$D$88,3,0),0))</f>
        <v>4.6500000000000004</v>
      </c>
      <c r="T9" s="72">
        <f>IF(B9=0,"",IFERROR(VLOOKUP(B9,'T-ASIG-06'!$B$5:$D$88,3,0),0))</f>
        <v>4.2050000000000001</v>
      </c>
      <c r="U9" s="73">
        <f>IF(B9=0,"",IFERROR(VLOOKUP(B9,'T-ASIG-07'!$B$5:$D$88,3,0),0))</f>
        <v>0</v>
      </c>
      <c r="V9" s="69" t="s">
        <v>107</v>
      </c>
    </row>
    <row r="10" spans="1:22" ht="15" customHeight="1">
      <c r="A10" s="12">
        <v>6</v>
      </c>
      <c r="B10" s="70" t="str">
        <f>LIDER!C14</f>
        <v>SANTIAGO JOSE URIBE CRISTANCHO</v>
      </c>
      <c r="C10" s="64" t="str">
        <f>IF(B10=0,"",IFERROR(VLOOKUP(B10,'S-ASIG-01'!$B$5:$E$88,2,0),0))</f>
        <v>G01</v>
      </c>
      <c r="D10" s="65">
        <f t="shared" si="2"/>
        <v>3.32</v>
      </c>
      <c r="E10" s="66">
        <f t="shared" si="3"/>
        <v>4.3819999999999997</v>
      </c>
      <c r="F10" s="47"/>
      <c r="G10" s="71">
        <f>IF(B10=0,"",IFERROR(VLOOKUP(B10,'S-ASIG-01'!$B$5:$E$88,4,0),0))</f>
        <v>3.8</v>
      </c>
      <c r="H10" s="72">
        <f>IF(B10=0,"",IFERROR(VLOOKUP(B10,'S-ASIG-02'!$B$5:$E$88,4,0),0))</f>
        <v>2.64</v>
      </c>
      <c r="I10" s="72">
        <f>IF(B10=0,"",IFERROR(VLOOKUP(B10,'S-ASIG-03'!$B$5:$E$88,4,0),0))</f>
        <v>3.41</v>
      </c>
      <c r="J10" s="72">
        <f>IF(B10=0,"",IFERROR(VLOOKUP(B10,'S-ASIG-04'!$B$5:$E$88,4,0),0))</f>
        <v>2.6</v>
      </c>
      <c r="K10" s="72">
        <f>IF(B10=0,"",IFERROR(VLOOKUP(B10,'S-ASIG-05'!$B$5:$E$88,4,0),0))</f>
        <v>3.7499999999999996</v>
      </c>
      <c r="L10" s="72">
        <f>IF(B10=0,"",IFERROR(VLOOKUP(B10,'S-ASIG-06'!$B$5:$E$88,4,0),0))</f>
        <v>3.7199999999999998</v>
      </c>
      <c r="M10" s="73">
        <f>IF(B10=0,"",IFERROR(VLOOKUP(B10,'S-ASIG-07'!$B$5:$E$88,4,0),0))</f>
        <v>0</v>
      </c>
      <c r="N10" s="68" t="s">
        <v>106</v>
      </c>
      <c r="O10" s="71">
        <f>IF(B10=0,"",IFERROR(VLOOKUP(B10,'T-ASIG-01'!$B$5:$D$88,3,0),0))</f>
        <v>4.3150000000000004</v>
      </c>
      <c r="P10" s="72">
        <f>IF(B10=0,"",IFERROR(VLOOKUP(B10,'T-ASIG-02'!$B$5:$D$88,3,0),0))</f>
        <v>4.3150000000000004</v>
      </c>
      <c r="Q10" s="72">
        <f>IF(B10=0,"",IFERROR(VLOOKUP(B10,'T-ASIG-03'!$B$5:$D$88,3,0),0))</f>
        <v>4.3150000000000004</v>
      </c>
      <c r="R10" s="72">
        <f>IF(B10=0,"",IFERROR(VLOOKUP(B10,'T-ASIG-04'!$B$5:$D$88,3,0),0))</f>
        <v>0</v>
      </c>
      <c r="S10" s="72">
        <f>IF(B10=0,"",IFERROR(VLOOKUP(B10,'T-ASIG-05'!$B$5:$D$88,3,0),0))</f>
        <v>4.6500000000000004</v>
      </c>
      <c r="T10" s="72">
        <f>IF(B10=0,"",IFERROR(VLOOKUP(B10,'T-ASIG-06'!$B$5:$D$88,3,0),0))</f>
        <v>4.3150000000000004</v>
      </c>
      <c r="U10" s="73">
        <f>IF(B10=0,"",IFERROR(VLOOKUP(B10,'T-ASIG-07'!$B$5:$D$88,3,0),0))</f>
        <v>0</v>
      </c>
      <c r="V10" s="69" t="s">
        <v>107</v>
      </c>
    </row>
    <row r="11" spans="1:22" ht="15" customHeight="1">
      <c r="A11" s="12">
        <v>7</v>
      </c>
      <c r="B11" s="70" t="str">
        <f>LIDER!C15</f>
        <v>DILAN ANTONIO BOSSIO LEAL</v>
      </c>
      <c r="C11" s="64" t="str">
        <f>IF(B11=0,"",IFERROR(VLOOKUP(B11,'S-ASIG-01'!$B$5:$E$88,2,0),0))</f>
        <v>G02</v>
      </c>
      <c r="D11" s="65">
        <f t="shared" si="2"/>
        <v>4.4916666666666671</v>
      </c>
      <c r="E11" s="66">
        <f t="shared" si="3"/>
        <v>4.5409999999999986</v>
      </c>
      <c r="F11" s="47"/>
      <c r="G11" s="71">
        <f>IF(B11=0,"",IFERROR(VLOOKUP(B11,'S-ASIG-01'!$B$5:$E$88,4,0),0))</f>
        <v>4.49</v>
      </c>
      <c r="H11" s="72">
        <f>IF(B11=0,"",IFERROR(VLOOKUP(B11,'S-ASIG-02'!$B$5:$E$88,4,0),0))</f>
        <v>4.51</v>
      </c>
      <c r="I11" s="72">
        <f>IF(B11=0,"",IFERROR(VLOOKUP(B11,'S-ASIG-03'!$B$5:$E$88,4,0),0))</f>
        <v>4.120000000000001</v>
      </c>
      <c r="J11" s="72">
        <f>IF(B11=0,"",IFERROR(VLOOKUP(B11,'S-ASIG-04'!$B$5:$E$88,4,0),0))</f>
        <v>4.55</v>
      </c>
      <c r="K11" s="72">
        <f>IF(B11=0,"",IFERROR(VLOOKUP(B11,'S-ASIG-05'!$B$5:$E$88,4,0),0))</f>
        <v>4.82</v>
      </c>
      <c r="L11" s="72">
        <f>IF(B11=0,"",IFERROR(VLOOKUP(B11,'S-ASIG-06'!$B$5:$E$88,4,0),0))</f>
        <v>4.46</v>
      </c>
      <c r="M11" s="73">
        <f>IF(B11=0,"",IFERROR(VLOOKUP(B11,'S-ASIG-07'!$B$5:$E$88,4,0),0))</f>
        <v>0</v>
      </c>
      <c r="N11" s="68" t="s">
        <v>106</v>
      </c>
      <c r="O11" s="71">
        <f>IF(B11=0,"",IFERROR(VLOOKUP(B11,'T-ASIG-01'!$B$5:$D$88,3,0),0))</f>
        <v>4.5</v>
      </c>
      <c r="P11" s="72">
        <f>IF(B11=0,"",IFERROR(VLOOKUP(B11,'T-ASIG-02'!$B$5:$D$88,3,0),0))</f>
        <v>4.4899999999999993</v>
      </c>
      <c r="Q11" s="72">
        <f>IF(B11=0,"",IFERROR(VLOOKUP(B11,'T-ASIG-03'!$B$5:$D$88,3,0),0))</f>
        <v>4.5</v>
      </c>
      <c r="R11" s="72">
        <f>IF(B11=0,"",IFERROR(VLOOKUP(B11,'T-ASIG-04'!$B$5:$D$88,3,0),0))</f>
        <v>0</v>
      </c>
      <c r="S11" s="72">
        <f>IF(B11=0,"",IFERROR(VLOOKUP(B11,'T-ASIG-05'!$B$5:$D$88,3,0),0))</f>
        <v>4.7249999999999996</v>
      </c>
      <c r="T11" s="72">
        <f>IF(B11=0,"",IFERROR(VLOOKUP(B11,'T-ASIG-06'!$B$5:$D$88,3,0),0))</f>
        <v>4.4899999999999993</v>
      </c>
      <c r="U11" s="73">
        <f>IF(B11=0,"",IFERROR(VLOOKUP(B11,'T-ASIG-07'!$B$5:$D$88,3,0),0))</f>
        <v>0</v>
      </c>
      <c r="V11" s="69" t="s">
        <v>107</v>
      </c>
    </row>
    <row r="12" spans="1:22" ht="15" customHeight="1">
      <c r="A12" s="12">
        <v>8</v>
      </c>
      <c r="B12" s="70" t="str">
        <f>LIDER!C16</f>
        <v>HELEN MARIA OCHOA RODRIGUEZ</v>
      </c>
      <c r="C12" s="64" t="str">
        <f>IF(B12=0,"",IFERROR(VLOOKUP(B12,'S-ASIG-01'!$B$5:$E$88,2,0),0))</f>
        <v>G02</v>
      </c>
      <c r="D12" s="65">
        <f t="shared" si="2"/>
        <v>4.4916666666666671</v>
      </c>
      <c r="E12" s="66">
        <f t="shared" si="3"/>
        <v>4.5329999999999995</v>
      </c>
      <c r="F12" s="47"/>
      <c r="G12" s="71">
        <f>IF(B12=0,"",IFERROR(VLOOKUP(B12,'S-ASIG-01'!$B$5:$E$88,4,0),0))</f>
        <v>4.49</v>
      </c>
      <c r="H12" s="72">
        <f>IF(B12=0,"",IFERROR(VLOOKUP(B12,'S-ASIG-02'!$B$5:$E$88,4,0),0))</f>
        <v>4.51</v>
      </c>
      <c r="I12" s="72">
        <f>IF(B12=0,"",IFERROR(VLOOKUP(B12,'S-ASIG-03'!$B$5:$E$88,4,0),0))</f>
        <v>4.120000000000001</v>
      </c>
      <c r="J12" s="72">
        <f>IF(B12=0,"",IFERROR(VLOOKUP(B12,'S-ASIG-04'!$B$5:$E$88,4,0),0))</f>
        <v>4.55</v>
      </c>
      <c r="K12" s="72">
        <f>IF(B12=0,"",IFERROR(VLOOKUP(B12,'S-ASIG-05'!$B$5:$E$88,4,0),0))</f>
        <v>4.82</v>
      </c>
      <c r="L12" s="72">
        <f>IF(B12=0,"",IFERROR(VLOOKUP(B12,'S-ASIG-06'!$B$5:$E$88,4,0),0))</f>
        <v>4.46</v>
      </c>
      <c r="M12" s="73">
        <f>IF(B12=0,"",IFERROR(VLOOKUP(B12,'S-ASIG-07'!$B$5:$E$88,4,0),0))</f>
        <v>0</v>
      </c>
      <c r="N12" s="68" t="s">
        <v>106</v>
      </c>
      <c r="O12" s="71">
        <f>IF(B12=0,"",IFERROR(VLOOKUP(B12,'T-ASIG-01'!$B$5:$D$88,3,0),0))</f>
        <v>4.49</v>
      </c>
      <c r="P12" s="72">
        <f>IF(B12=0,"",IFERROR(VLOOKUP(B12,'T-ASIG-02'!$B$5:$D$88,3,0),0))</f>
        <v>4.4799999999999995</v>
      </c>
      <c r="Q12" s="72">
        <f>IF(B12=0,"",IFERROR(VLOOKUP(B12,'T-ASIG-03'!$B$5:$D$88,3,0),0))</f>
        <v>4.49</v>
      </c>
      <c r="R12" s="72">
        <f>IF(B12=0,"",IFERROR(VLOOKUP(B12,'T-ASIG-04'!$B$5:$D$88,3,0),0))</f>
        <v>0</v>
      </c>
      <c r="S12" s="72">
        <f>IF(B12=0,"",IFERROR(VLOOKUP(B12,'T-ASIG-05'!$B$5:$D$88,3,0),0))</f>
        <v>4.7249999999999996</v>
      </c>
      <c r="T12" s="72">
        <f>IF(B12=0,"",IFERROR(VLOOKUP(B12,'T-ASIG-06'!$B$5:$D$88,3,0),0))</f>
        <v>4.4799999999999995</v>
      </c>
      <c r="U12" s="73">
        <f>IF(B12=0,"",IFERROR(VLOOKUP(B12,'T-ASIG-07'!$B$5:$D$88,3,0),0))</f>
        <v>0</v>
      </c>
      <c r="V12" s="69" t="s">
        <v>107</v>
      </c>
    </row>
    <row r="13" spans="1:22" ht="15" customHeight="1">
      <c r="A13" s="12">
        <v>9</v>
      </c>
      <c r="B13" s="70" t="str">
        <f>LIDER!C17</f>
        <v>SANTIAGO PALOMINO CORDERO</v>
      </c>
      <c r="C13" s="64" t="str">
        <f>IF(B13=0,"",IFERROR(VLOOKUP(B13,'S-ASIG-01'!$B$5:$E$88,2,0),0))</f>
        <v>G02</v>
      </c>
      <c r="D13" s="65">
        <f t="shared" si="2"/>
        <v>4.4916666666666671</v>
      </c>
      <c r="E13" s="66">
        <f t="shared" si="3"/>
        <v>4.5849999999999991</v>
      </c>
      <c r="F13" s="47"/>
      <c r="G13" s="71">
        <f>IF(B13=0,"",IFERROR(VLOOKUP(B13,'S-ASIG-01'!$B$5:$E$88,4,0),0))</f>
        <v>4.49</v>
      </c>
      <c r="H13" s="72">
        <f>IF(B13=0,"",IFERROR(VLOOKUP(B13,'S-ASIG-02'!$B$5:$E$88,4,0),0))</f>
        <v>4.51</v>
      </c>
      <c r="I13" s="72">
        <f>IF(B13=0,"",IFERROR(VLOOKUP(B13,'S-ASIG-03'!$B$5:$E$88,4,0),0))</f>
        <v>4.120000000000001</v>
      </c>
      <c r="J13" s="72">
        <f>IF(B13=0,"",IFERROR(VLOOKUP(B13,'S-ASIG-04'!$B$5:$E$88,4,0),0))</f>
        <v>4.55</v>
      </c>
      <c r="K13" s="72">
        <f>IF(B13=0,"",IFERROR(VLOOKUP(B13,'S-ASIG-05'!$B$5:$E$88,4,0),0))</f>
        <v>4.82</v>
      </c>
      <c r="L13" s="72">
        <f>IF(B13=0,"",IFERROR(VLOOKUP(B13,'S-ASIG-06'!$B$5:$E$88,4,0),0))</f>
        <v>4.46</v>
      </c>
      <c r="M13" s="73">
        <f>IF(B13=0,"",IFERROR(VLOOKUP(B13,'S-ASIG-07'!$B$5:$E$88,4,0),0))</f>
        <v>0</v>
      </c>
      <c r="N13" s="68" t="s">
        <v>106</v>
      </c>
      <c r="O13" s="71">
        <f>IF(B13=0,"",IFERROR(VLOOKUP(B13,'T-ASIG-01'!$B$5:$D$88,3,0),0))</f>
        <v>4.5549999999999997</v>
      </c>
      <c r="P13" s="72">
        <f>IF(B13=0,"",IFERROR(VLOOKUP(B13,'T-ASIG-02'!$B$5:$D$88,3,0),0))</f>
        <v>4.5449999999999999</v>
      </c>
      <c r="Q13" s="72">
        <f>IF(B13=0,"",IFERROR(VLOOKUP(B13,'T-ASIG-03'!$B$5:$D$88,3,0),0))</f>
        <v>4.5549999999999997</v>
      </c>
      <c r="R13" s="72">
        <f>IF(B13=0,"",IFERROR(VLOOKUP(B13,'T-ASIG-04'!$B$5:$D$88,3,0),0))</f>
        <v>0</v>
      </c>
      <c r="S13" s="72">
        <f>IF(B13=0,"",IFERROR(VLOOKUP(B13,'T-ASIG-05'!$B$5:$D$88,3,0),0))</f>
        <v>4.7249999999999996</v>
      </c>
      <c r="T13" s="72">
        <f>IF(B13=0,"",IFERROR(VLOOKUP(B13,'T-ASIG-06'!$B$5:$D$88,3,0),0))</f>
        <v>4.5449999999999999</v>
      </c>
      <c r="U13" s="73">
        <f>IF(B13=0,"",IFERROR(VLOOKUP(B13,'T-ASIG-07'!$B$5:$D$88,3,0),0))</f>
        <v>0</v>
      </c>
      <c r="V13" s="69" t="s">
        <v>107</v>
      </c>
    </row>
    <row r="14" spans="1:22" ht="15" customHeight="1">
      <c r="A14" s="12">
        <v>10</v>
      </c>
      <c r="B14" s="70" t="str">
        <f>LIDER!C18</f>
        <v>TEDDY JAVIER RICO PEREZ</v>
      </c>
      <c r="C14" s="64" t="str">
        <f>IF(B14=0,"",IFERROR(VLOOKUP(B14,'S-ASIG-01'!$B$5:$E$88,2,0),0))</f>
        <v>G02</v>
      </c>
      <c r="D14" s="65">
        <f t="shared" si="2"/>
        <v>4.4916666666666671</v>
      </c>
      <c r="E14" s="66">
        <f t="shared" si="3"/>
        <v>4.6049999999999995</v>
      </c>
      <c r="F14" s="47"/>
      <c r="G14" s="71">
        <f>IF(B14=0,"",IFERROR(VLOOKUP(B14,'S-ASIG-01'!$B$5:$E$88,4,0),0))</f>
        <v>4.49</v>
      </c>
      <c r="H14" s="72">
        <f>IF(B14=0,"",IFERROR(VLOOKUP(B14,'S-ASIG-02'!$B$5:$E$88,4,0),0))</f>
        <v>4.51</v>
      </c>
      <c r="I14" s="72">
        <f>IF(B14=0,"",IFERROR(VLOOKUP(B14,'S-ASIG-03'!$B$5:$E$88,4,0),0))</f>
        <v>4.120000000000001</v>
      </c>
      <c r="J14" s="72">
        <f>IF(B14=0,"",IFERROR(VLOOKUP(B14,'S-ASIG-04'!$B$5:$E$88,4,0),0))</f>
        <v>4.55</v>
      </c>
      <c r="K14" s="72">
        <f>IF(B14=0,"",IFERROR(VLOOKUP(B14,'S-ASIG-05'!$B$5:$E$88,4,0),0))</f>
        <v>4.82</v>
      </c>
      <c r="L14" s="72">
        <f>IF(B14=0,"",IFERROR(VLOOKUP(B14,'S-ASIG-06'!$B$5:$E$88,4,0),0))</f>
        <v>4.46</v>
      </c>
      <c r="M14" s="73">
        <f>IF(B14=0,"",IFERROR(VLOOKUP(B14,'S-ASIG-07'!$B$5:$E$88,4,0),0))</f>
        <v>0</v>
      </c>
      <c r="N14" s="68" t="s">
        <v>106</v>
      </c>
      <c r="O14" s="71">
        <f>IF(B14=0,"",IFERROR(VLOOKUP(B14,'T-ASIG-01'!$B$5:$D$88,3,0),0))</f>
        <v>4.58</v>
      </c>
      <c r="P14" s="72">
        <f>IF(B14=0,"",IFERROR(VLOOKUP(B14,'T-ASIG-02'!$B$5:$D$88,3,0),0))</f>
        <v>4.5699999999999994</v>
      </c>
      <c r="Q14" s="72">
        <f>IF(B14=0,"",IFERROR(VLOOKUP(B14,'T-ASIG-03'!$B$5:$D$88,3,0),0))</f>
        <v>4.58</v>
      </c>
      <c r="R14" s="72">
        <f>IF(B14=0,"",IFERROR(VLOOKUP(B14,'T-ASIG-04'!$B$5:$D$88,3,0),0))</f>
        <v>0</v>
      </c>
      <c r="S14" s="72">
        <f>IF(B14=0,"",IFERROR(VLOOKUP(B14,'T-ASIG-05'!$B$5:$D$88,3,0),0))</f>
        <v>4.7249999999999996</v>
      </c>
      <c r="T14" s="72">
        <f>IF(B14=0,"",IFERROR(VLOOKUP(B14,'T-ASIG-06'!$B$5:$D$88,3,0),0))</f>
        <v>4.5699999999999994</v>
      </c>
      <c r="U14" s="73">
        <f>IF(B14=0,"",IFERROR(VLOOKUP(B14,'T-ASIG-07'!$B$5:$D$88,3,0),0))</f>
        <v>0</v>
      </c>
      <c r="V14" s="69" t="s">
        <v>107</v>
      </c>
    </row>
    <row r="15" spans="1:22" ht="15" customHeight="1">
      <c r="A15" s="12">
        <v>11</v>
      </c>
      <c r="B15" s="70" t="str">
        <f>LIDER!C19</f>
        <v>ENDRY YUREY ROSARIO SIERRA</v>
      </c>
      <c r="C15" s="64" t="str">
        <f>IF(B15=0,"",IFERROR(VLOOKUP(B15,'S-ASIG-01'!$B$5:$E$88,2,0),0))</f>
        <v>G02</v>
      </c>
      <c r="D15" s="65">
        <f t="shared" si="2"/>
        <v>4.4916666666666671</v>
      </c>
      <c r="E15" s="66">
        <f t="shared" si="3"/>
        <v>4.4089999999999998</v>
      </c>
      <c r="F15" s="47"/>
      <c r="G15" s="71">
        <f>IF(B15=0,"",IFERROR(VLOOKUP(B15,'S-ASIG-01'!$B$5:$E$88,4,0),0))</f>
        <v>4.49</v>
      </c>
      <c r="H15" s="72">
        <f>IF(B15=0,"",IFERROR(VLOOKUP(B15,'S-ASIG-02'!$B$5:$E$88,4,0),0))</f>
        <v>4.51</v>
      </c>
      <c r="I15" s="72">
        <f>IF(B15=0,"",IFERROR(VLOOKUP(B15,'S-ASIG-03'!$B$5:$E$88,4,0),0))</f>
        <v>4.120000000000001</v>
      </c>
      <c r="J15" s="72">
        <f>IF(B15=0,"",IFERROR(VLOOKUP(B15,'S-ASIG-04'!$B$5:$E$88,4,0),0))</f>
        <v>4.55</v>
      </c>
      <c r="K15" s="72">
        <f>IF(B15=0,"",IFERROR(VLOOKUP(B15,'S-ASIG-05'!$B$5:$E$88,4,0),0))</f>
        <v>4.82</v>
      </c>
      <c r="L15" s="72">
        <f>IF(B15=0,"",IFERROR(VLOOKUP(B15,'S-ASIG-06'!$B$5:$E$88,4,0),0))</f>
        <v>4.46</v>
      </c>
      <c r="M15" s="73">
        <f>IF(B15=0,"",IFERROR(VLOOKUP(B15,'S-ASIG-07'!$B$5:$E$88,4,0),0))</f>
        <v>0</v>
      </c>
      <c r="N15" s="68" t="s">
        <v>106</v>
      </c>
      <c r="O15" s="71">
        <f>IF(B15=0,"",IFERROR(VLOOKUP(B15,'T-ASIG-01'!$B$5:$D$88,3,0),0))</f>
        <v>4.335</v>
      </c>
      <c r="P15" s="72">
        <f>IF(B15=0,"",IFERROR(VLOOKUP(B15,'T-ASIG-02'!$B$5:$D$88,3,0),0))</f>
        <v>4.3250000000000002</v>
      </c>
      <c r="Q15" s="72">
        <f>IF(B15=0,"",IFERROR(VLOOKUP(B15,'T-ASIG-03'!$B$5:$D$88,3,0),0))</f>
        <v>4.335</v>
      </c>
      <c r="R15" s="72">
        <f>IF(B15=0,"",IFERROR(VLOOKUP(B15,'T-ASIG-04'!$B$5:$D$88,3,0),0))</f>
        <v>0</v>
      </c>
      <c r="S15" s="72">
        <f>IF(B15=0,"",IFERROR(VLOOKUP(B15,'T-ASIG-05'!$B$5:$D$88,3,0),0))</f>
        <v>4.7249999999999996</v>
      </c>
      <c r="T15" s="72">
        <f>IF(B15=0,"",IFERROR(VLOOKUP(B15,'T-ASIG-06'!$B$5:$D$88,3,0),0))</f>
        <v>4.3250000000000002</v>
      </c>
      <c r="U15" s="73">
        <f>IF(B15=0,"",IFERROR(VLOOKUP(B15,'T-ASIG-07'!$B$5:$D$88,3,0),0))</f>
        <v>0</v>
      </c>
      <c r="V15" s="69" t="s">
        <v>107</v>
      </c>
    </row>
    <row r="16" spans="1:22" ht="15" customHeight="1">
      <c r="A16" s="12">
        <v>12</v>
      </c>
      <c r="B16" s="70" t="str">
        <f>LIDER!C20</f>
        <v>EVA LUCIA RUIZ LARA</v>
      </c>
      <c r="C16" s="64" t="str">
        <f>IF(B16=0,"",IFERROR(VLOOKUP(B16,'S-ASIG-01'!$B$5:$E$88,2,0),0))</f>
        <v>G02</v>
      </c>
      <c r="D16" s="65">
        <f t="shared" si="2"/>
        <v>4.4916666666666671</v>
      </c>
      <c r="E16" s="66">
        <f t="shared" si="3"/>
        <v>4.4809999999999999</v>
      </c>
      <c r="F16" s="47"/>
      <c r="G16" s="71">
        <f>IF(B16=0,"",IFERROR(VLOOKUP(B16,'S-ASIG-01'!$B$5:$E$88,4,0),0))</f>
        <v>4.49</v>
      </c>
      <c r="H16" s="72">
        <f>IF(B16=0,"",IFERROR(VLOOKUP(B16,'S-ASIG-02'!$B$5:$E$88,4,0),0))</f>
        <v>4.51</v>
      </c>
      <c r="I16" s="72">
        <f>IF(B16=0,"",IFERROR(VLOOKUP(B16,'S-ASIG-03'!$B$5:$E$88,4,0),0))</f>
        <v>4.120000000000001</v>
      </c>
      <c r="J16" s="72">
        <f>IF(B16=0,"",IFERROR(VLOOKUP(B16,'S-ASIG-04'!$B$5:$E$88,4,0),0))</f>
        <v>4.55</v>
      </c>
      <c r="K16" s="72">
        <f>IF(B16=0,"",IFERROR(VLOOKUP(B16,'S-ASIG-05'!$B$5:$E$88,4,0),0))</f>
        <v>4.82</v>
      </c>
      <c r="L16" s="72">
        <f>IF(B16=0,"",IFERROR(VLOOKUP(B16,'S-ASIG-06'!$B$5:$E$88,4,0),0))</f>
        <v>4.46</v>
      </c>
      <c r="M16" s="73">
        <f>IF(B16=0,"",IFERROR(VLOOKUP(B16,'S-ASIG-07'!$B$5:$E$88,4,0),0))</f>
        <v>0</v>
      </c>
      <c r="N16" s="68" t="s">
        <v>106</v>
      </c>
      <c r="O16" s="71">
        <f>IF(B16=0,"",IFERROR(VLOOKUP(B16,'T-ASIG-01'!$B$5:$D$88,3,0),0))</f>
        <v>4.4249999999999998</v>
      </c>
      <c r="P16" s="72">
        <f>IF(B16=0,"",IFERROR(VLOOKUP(B16,'T-ASIG-02'!$B$5:$D$88,3,0),0))</f>
        <v>4.415</v>
      </c>
      <c r="Q16" s="72">
        <f>IF(B16=0,"",IFERROR(VLOOKUP(B16,'T-ASIG-03'!$B$5:$D$88,3,0),0))</f>
        <v>4.4249999999999998</v>
      </c>
      <c r="R16" s="72">
        <f>IF(B16=0,"",IFERROR(VLOOKUP(B16,'T-ASIG-04'!$B$5:$D$88,3,0),0))</f>
        <v>0</v>
      </c>
      <c r="S16" s="72">
        <f>IF(B16=0,"",IFERROR(VLOOKUP(B16,'T-ASIG-05'!$B$5:$D$88,3,0),0))</f>
        <v>4.7249999999999996</v>
      </c>
      <c r="T16" s="72">
        <f>IF(B16=0,"",IFERROR(VLOOKUP(B16,'T-ASIG-06'!$B$5:$D$88,3,0),0))</f>
        <v>4.415</v>
      </c>
      <c r="U16" s="73">
        <f>IF(B16=0,"",IFERROR(VLOOKUP(B16,'T-ASIG-07'!$B$5:$D$88,3,0),0))</f>
        <v>0</v>
      </c>
      <c r="V16" s="69" t="s">
        <v>107</v>
      </c>
    </row>
    <row r="17" spans="1:22" ht="15" customHeight="1">
      <c r="A17" s="12">
        <v>13</v>
      </c>
      <c r="B17" s="70" t="str">
        <f>LIDER!C21</f>
        <v>JORGE HUMBERTO GARCES GOMEZ</v>
      </c>
      <c r="C17" s="64" t="str">
        <f>IF(B17=0,"",IFERROR(VLOOKUP(B17,'S-ASIG-01'!$B$5:$E$88,2,0),0))</f>
        <v>G03</v>
      </c>
      <c r="D17" s="65">
        <f t="shared" si="2"/>
        <v>3.7550000000000003</v>
      </c>
      <c r="E17" s="66">
        <f t="shared" si="3"/>
        <v>3.9450000000000003</v>
      </c>
      <c r="F17" s="47"/>
      <c r="G17" s="71">
        <f>IF(B17=0,"",IFERROR(VLOOKUP(B17,'S-ASIG-01'!$B$5:$E$88,4,0),0))</f>
        <v>3.9000000000000004</v>
      </c>
      <c r="H17" s="72">
        <f>IF(B17=0,"",IFERROR(VLOOKUP(B17,'S-ASIG-02'!$B$5:$E$88,4,0),0))</f>
        <v>2.1300000000000003</v>
      </c>
      <c r="I17" s="72">
        <f>IF(B17=0,"",IFERROR(VLOOKUP(B17,'S-ASIG-03'!$B$5:$E$88,4,0),0))</f>
        <v>3.28</v>
      </c>
      <c r="J17" s="72">
        <f>IF(B17=0,"",IFERROR(VLOOKUP(B17,'S-ASIG-04'!$B$5:$E$88,4,0),0))</f>
        <v>4.0999999999999996</v>
      </c>
      <c r="K17" s="72">
        <f>IF(B17=0,"",IFERROR(VLOOKUP(B17,'S-ASIG-05'!$B$5:$E$88,4,0),0))</f>
        <v>4.6399999999999997</v>
      </c>
      <c r="L17" s="72">
        <f>IF(B17=0,"",IFERROR(VLOOKUP(B17,'S-ASIG-06'!$B$5:$E$88,4,0),0))</f>
        <v>4.4800000000000004</v>
      </c>
      <c r="M17" s="73">
        <f>IF(B17=0,"",IFERROR(VLOOKUP(B17,'S-ASIG-07'!$B$5:$E$88,4,0),0))</f>
        <v>0</v>
      </c>
      <c r="N17" s="68" t="s">
        <v>106</v>
      </c>
      <c r="O17" s="71">
        <f>IF(B17=0,"",IFERROR(VLOOKUP(B17,'T-ASIG-01'!$B$5:$D$88,3,0),0))</f>
        <v>3.855</v>
      </c>
      <c r="P17" s="72">
        <f>IF(B17=0,"",IFERROR(VLOOKUP(B17,'T-ASIG-02'!$B$5:$D$88,3,0),0))</f>
        <v>3.83</v>
      </c>
      <c r="Q17" s="72">
        <f>IF(B17=0,"",IFERROR(VLOOKUP(B17,'T-ASIG-03'!$B$5:$D$88,3,0),0))</f>
        <v>3.9800000000000004</v>
      </c>
      <c r="R17" s="72">
        <f>IF(B17=0,"",IFERROR(VLOOKUP(B17,'T-ASIG-04'!$B$5:$D$88,3,0),0))</f>
        <v>0</v>
      </c>
      <c r="S17" s="72">
        <f>IF(B17=0,"",IFERROR(VLOOKUP(B17,'T-ASIG-05'!$B$5:$D$88,3,0),0))</f>
        <v>4.18</v>
      </c>
      <c r="T17" s="72">
        <f>IF(B17=0,"",IFERROR(VLOOKUP(B17,'T-ASIG-06'!$B$5:$D$88,3,0),0))</f>
        <v>3.8800000000000003</v>
      </c>
      <c r="U17" s="73">
        <f>IF(B17=0,"",IFERROR(VLOOKUP(B17,'T-ASIG-07'!$B$5:$D$88,3,0),0))</f>
        <v>0</v>
      </c>
      <c r="V17" s="69" t="s">
        <v>107</v>
      </c>
    </row>
    <row r="18" spans="1:22" ht="15" customHeight="1">
      <c r="A18" s="12">
        <v>14</v>
      </c>
      <c r="B18" s="70" t="str">
        <f>LIDER!C22</f>
        <v>VALENTINA GIRALDO BOLAÑO</v>
      </c>
      <c r="C18" s="64" t="str">
        <f>IF(B18=0,"",IFERROR(VLOOKUP(B18,'S-ASIG-01'!$B$5:$E$88,2,0),0))</f>
        <v>G03</v>
      </c>
      <c r="D18" s="65">
        <f t="shared" si="2"/>
        <v>3.7550000000000003</v>
      </c>
      <c r="E18" s="66">
        <f t="shared" si="3"/>
        <v>3.9560000000000004</v>
      </c>
      <c r="F18" s="47"/>
      <c r="G18" s="71">
        <f>IF(B18=0,"",IFERROR(VLOOKUP(B18,'S-ASIG-01'!$B$5:$E$88,4,0),0))</f>
        <v>3.9000000000000004</v>
      </c>
      <c r="H18" s="72">
        <f>IF(B18=0,"",IFERROR(VLOOKUP(B18,'S-ASIG-02'!$B$5:$E$88,4,0),0))</f>
        <v>2.1300000000000003</v>
      </c>
      <c r="I18" s="72">
        <f>IF(B18=0,"",IFERROR(VLOOKUP(B18,'S-ASIG-03'!$B$5:$E$88,4,0),0))</f>
        <v>3.28</v>
      </c>
      <c r="J18" s="72">
        <f>IF(B18=0,"",IFERROR(VLOOKUP(B18,'S-ASIG-04'!$B$5:$E$88,4,0),0))</f>
        <v>4.0999999999999996</v>
      </c>
      <c r="K18" s="72">
        <f>IF(B18=0,"",IFERROR(VLOOKUP(B18,'S-ASIG-05'!$B$5:$E$88,4,0),0))</f>
        <v>4.6399999999999997</v>
      </c>
      <c r="L18" s="72">
        <f>IF(B18=0,"",IFERROR(VLOOKUP(B18,'S-ASIG-06'!$B$5:$E$88,4,0),0))</f>
        <v>4.4800000000000004</v>
      </c>
      <c r="M18" s="73">
        <f>IF(B18=0,"",IFERROR(VLOOKUP(B18,'S-ASIG-07'!$B$5:$E$88,4,0),0))</f>
        <v>0</v>
      </c>
      <c r="N18" s="68" t="s">
        <v>106</v>
      </c>
      <c r="O18" s="71">
        <f>IF(B18=0,"",IFERROR(VLOOKUP(B18,'T-ASIG-01'!$B$5:$D$88,3,0),0))</f>
        <v>3.91</v>
      </c>
      <c r="P18" s="72">
        <f>IF(B18=0,"",IFERROR(VLOOKUP(B18,'T-ASIG-02'!$B$5:$D$88,3,0),0))</f>
        <v>3.83</v>
      </c>
      <c r="Q18" s="72">
        <f>IF(B18=0,"",IFERROR(VLOOKUP(B18,'T-ASIG-03'!$B$5:$D$88,3,0),0))</f>
        <v>3.9800000000000004</v>
      </c>
      <c r="R18" s="72">
        <f>IF(B18=0,"",IFERROR(VLOOKUP(B18,'T-ASIG-04'!$B$5:$D$88,3,0),0))</f>
        <v>0</v>
      </c>
      <c r="S18" s="72">
        <f>IF(B18=0,"",IFERROR(VLOOKUP(B18,'T-ASIG-05'!$B$5:$D$88,3,0),0))</f>
        <v>4.18</v>
      </c>
      <c r="T18" s="72">
        <f>IF(B18=0,"",IFERROR(VLOOKUP(B18,'T-ASIG-06'!$B$5:$D$88,3,0),0))</f>
        <v>3.8800000000000003</v>
      </c>
      <c r="U18" s="73">
        <f>IF(B18=0,"",IFERROR(VLOOKUP(B18,'T-ASIG-07'!$B$5:$D$88,3,0),0))</f>
        <v>0</v>
      </c>
      <c r="V18" s="69" t="s">
        <v>107</v>
      </c>
    </row>
    <row r="19" spans="1:22" ht="15" customHeight="1">
      <c r="A19" s="12">
        <v>15</v>
      </c>
      <c r="B19" s="70" t="str">
        <f>LIDER!C23</f>
        <v>YOANDY GOMEZ DIAZ</v>
      </c>
      <c r="C19" s="64" t="str">
        <f>IF(B19=0,"",IFERROR(VLOOKUP(B19,'S-ASIG-01'!$B$5:$E$88,2,0),0))</f>
        <v>G03</v>
      </c>
      <c r="D19" s="65">
        <f t="shared" si="2"/>
        <v>3.7550000000000003</v>
      </c>
      <c r="E19" s="66">
        <f t="shared" si="3"/>
        <v>3.9750000000000005</v>
      </c>
      <c r="F19" s="47"/>
      <c r="G19" s="71">
        <f>IF(B19=0,"",IFERROR(VLOOKUP(B19,'S-ASIG-01'!$B$5:$E$88,4,0),0))</f>
        <v>3.9000000000000004</v>
      </c>
      <c r="H19" s="72">
        <f>IF(B19=0,"",IFERROR(VLOOKUP(B19,'S-ASIG-02'!$B$5:$E$88,4,0),0))</f>
        <v>2.1300000000000003</v>
      </c>
      <c r="I19" s="72">
        <f>IF(B19=0,"",IFERROR(VLOOKUP(B19,'S-ASIG-03'!$B$5:$E$88,4,0),0))</f>
        <v>3.28</v>
      </c>
      <c r="J19" s="72">
        <f>IF(B19=0,"",IFERROR(VLOOKUP(B19,'S-ASIG-04'!$B$5:$E$88,4,0),0))</f>
        <v>4.0999999999999996</v>
      </c>
      <c r="K19" s="72">
        <f>IF(B19=0,"",IFERROR(VLOOKUP(B19,'S-ASIG-05'!$B$5:$E$88,4,0),0))</f>
        <v>4.6399999999999997</v>
      </c>
      <c r="L19" s="72">
        <f>IF(B19=0,"",IFERROR(VLOOKUP(B19,'S-ASIG-06'!$B$5:$E$88,4,0),0))</f>
        <v>4.4800000000000004</v>
      </c>
      <c r="M19" s="73">
        <f>IF(B19=0,"",IFERROR(VLOOKUP(B19,'S-ASIG-07'!$B$5:$E$88,4,0),0))</f>
        <v>0</v>
      </c>
      <c r="N19" s="68" t="s">
        <v>106</v>
      </c>
      <c r="O19" s="71">
        <f>IF(B19=0,"",IFERROR(VLOOKUP(B19,'T-ASIG-01'!$B$5:$D$88,3,0),0))</f>
        <v>3.8850000000000002</v>
      </c>
      <c r="P19" s="72">
        <f>IF(B19=0,"",IFERROR(VLOOKUP(B19,'T-ASIG-02'!$B$5:$D$88,3,0),0))</f>
        <v>3.87</v>
      </c>
      <c r="Q19" s="72">
        <f>IF(B19=0,"",IFERROR(VLOOKUP(B19,'T-ASIG-03'!$B$5:$D$88,3,0),0))</f>
        <v>4.0200000000000005</v>
      </c>
      <c r="R19" s="72">
        <f>IF(B19=0,"",IFERROR(VLOOKUP(B19,'T-ASIG-04'!$B$5:$D$88,3,0),0))</f>
        <v>0</v>
      </c>
      <c r="S19" s="72">
        <f>IF(B19=0,"",IFERROR(VLOOKUP(B19,'T-ASIG-05'!$B$5:$D$88,3,0),0))</f>
        <v>4.18</v>
      </c>
      <c r="T19" s="72">
        <f>IF(B19=0,"",IFERROR(VLOOKUP(B19,'T-ASIG-06'!$B$5:$D$88,3,0),0))</f>
        <v>3.9200000000000004</v>
      </c>
      <c r="U19" s="73">
        <f>IF(B19=0,"",IFERROR(VLOOKUP(B19,'T-ASIG-07'!$B$5:$D$88,3,0),0))</f>
        <v>0</v>
      </c>
      <c r="V19" s="69" t="s">
        <v>107</v>
      </c>
    </row>
    <row r="20" spans="1:22" ht="15" customHeight="1">
      <c r="A20" s="12">
        <v>16</v>
      </c>
      <c r="B20" s="70" t="str">
        <f>LIDER!C24</f>
        <v>MICHELLE CAROLINA RODRIGUEZ SEVERICHE</v>
      </c>
      <c r="C20" s="64" t="str">
        <f>IF(B20=0,"",IFERROR(VLOOKUP(B20,'S-ASIG-01'!$B$5:$E$88,2,0),0))</f>
        <v>G03</v>
      </c>
      <c r="D20" s="65">
        <f t="shared" si="2"/>
        <v>3.7550000000000003</v>
      </c>
      <c r="E20" s="66">
        <f t="shared" si="3"/>
        <v>3.9860000000000007</v>
      </c>
      <c r="F20" s="47"/>
      <c r="G20" s="71">
        <f>IF(B20=0,"",IFERROR(VLOOKUP(B20,'S-ASIG-01'!$B$5:$E$88,4,0),0))</f>
        <v>3.9000000000000004</v>
      </c>
      <c r="H20" s="72">
        <f>IF(B20=0,"",IFERROR(VLOOKUP(B20,'S-ASIG-02'!$B$5:$E$88,4,0),0))</f>
        <v>2.1300000000000003</v>
      </c>
      <c r="I20" s="72">
        <f>IF(B20=0,"",IFERROR(VLOOKUP(B20,'S-ASIG-03'!$B$5:$E$88,4,0),0))</f>
        <v>3.28</v>
      </c>
      <c r="J20" s="72">
        <f>IF(B20=0,"",IFERROR(VLOOKUP(B20,'S-ASIG-04'!$B$5:$E$88,4,0),0))</f>
        <v>4.0999999999999996</v>
      </c>
      <c r="K20" s="72">
        <f>IF(B20=0,"",IFERROR(VLOOKUP(B20,'S-ASIG-05'!$B$5:$E$88,4,0),0))</f>
        <v>4.6399999999999997</v>
      </c>
      <c r="L20" s="72">
        <f>IF(B20=0,"",IFERROR(VLOOKUP(B20,'S-ASIG-06'!$B$5:$E$88,4,0),0))</f>
        <v>4.4800000000000004</v>
      </c>
      <c r="M20" s="73">
        <f>IF(B20=0,"",IFERROR(VLOOKUP(B20,'S-ASIG-07'!$B$5:$E$88,4,0),0))</f>
        <v>0</v>
      </c>
      <c r="N20" s="68" t="s">
        <v>106</v>
      </c>
      <c r="O20" s="71">
        <f>IF(B20=0,"",IFERROR(VLOOKUP(B20,'T-ASIG-01'!$B$5:$D$88,3,0),0))</f>
        <v>3.9400000000000004</v>
      </c>
      <c r="P20" s="72">
        <f>IF(B20=0,"",IFERROR(VLOOKUP(B20,'T-ASIG-02'!$B$5:$D$88,3,0),0))</f>
        <v>3.87</v>
      </c>
      <c r="Q20" s="72">
        <f>IF(B20=0,"",IFERROR(VLOOKUP(B20,'T-ASIG-03'!$B$5:$D$88,3,0),0))</f>
        <v>4.0200000000000005</v>
      </c>
      <c r="R20" s="72">
        <f>IF(B20=0,"",IFERROR(VLOOKUP(B20,'T-ASIG-04'!$B$5:$D$88,3,0),0))</f>
        <v>0</v>
      </c>
      <c r="S20" s="72">
        <f>IF(B20=0,"",IFERROR(VLOOKUP(B20,'T-ASIG-05'!$B$5:$D$88,3,0),0))</f>
        <v>4.18</v>
      </c>
      <c r="T20" s="72">
        <f>IF(B20=0,"",IFERROR(VLOOKUP(B20,'T-ASIG-06'!$B$5:$D$88,3,0),0))</f>
        <v>3.9200000000000004</v>
      </c>
      <c r="U20" s="73">
        <f>IF(B20=0,"",IFERROR(VLOOKUP(B20,'T-ASIG-07'!$B$5:$D$88,3,0),0))</f>
        <v>0</v>
      </c>
      <c r="V20" s="69" t="s">
        <v>107</v>
      </c>
    </row>
    <row r="21" spans="1:22" ht="15" customHeight="1">
      <c r="A21" s="12">
        <v>17</v>
      </c>
      <c r="B21" s="70" t="str">
        <f>LIDER!C25</f>
        <v>DARWIN STIVEN TELLEZ ABRIL</v>
      </c>
      <c r="C21" s="64" t="str">
        <f>IF(B21=0,"",IFERROR(VLOOKUP(B21,'S-ASIG-01'!$B$5:$E$88,2,0),0))</f>
        <v>G03</v>
      </c>
      <c r="D21" s="65">
        <f t="shared" si="2"/>
        <v>3.7550000000000003</v>
      </c>
      <c r="E21" s="66">
        <f t="shared" si="3"/>
        <v>3.9520000000000004</v>
      </c>
      <c r="F21" s="47"/>
      <c r="G21" s="71">
        <f>IF(B21=0,"",IFERROR(VLOOKUP(B21,'S-ASIG-01'!$B$5:$E$88,4,0),0))</f>
        <v>3.9000000000000004</v>
      </c>
      <c r="H21" s="72">
        <f>IF(B21=0,"",IFERROR(VLOOKUP(B21,'S-ASIG-02'!$B$5:$E$88,4,0),0))</f>
        <v>2.1300000000000003</v>
      </c>
      <c r="I21" s="72">
        <f>IF(B21=0,"",IFERROR(VLOOKUP(B21,'S-ASIG-03'!$B$5:$E$88,4,0),0))</f>
        <v>3.28</v>
      </c>
      <c r="J21" s="72">
        <f>IF(B21=0,"",IFERROR(VLOOKUP(B21,'S-ASIG-04'!$B$5:$E$88,4,0),0))</f>
        <v>4.0999999999999996</v>
      </c>
      <c r="K21" s="72">
        <f>IF(B21=0,"",IFERROR(VLOOKUP(B21,'S-ASIG-05'!$B$5:$E$88,4,0),0))</f>
        <v>4.6399999999999997</v>
      </c>
      <c r="L21" s="72">
        <f>IF(B21=0,"",IFERROR(VLOOKUP(B21,'S-ASIG-06'!$B$5:$E$88,4,0),0))</f>
        <v>4.4800000000000004</v>
      </c>
      <c r="M21" s="73">
        <f>IF(B21=0,"",IFERROR(VLOOKUP(B21,'S-ASIG-07'!$B$5:$E$88,4,0),0))</f>
        <v>0</v>
      </c>
      <c r="N21" s="68" t="s">
        <v>106</v>
      </c>
      <c r="O21" s="71">
        <f>IF(B21=0,"",IFERROR(VLOOKUP(B21,'T-ASIG-01'!$B$5:$D$88,3,0),0))</f>
        <v>3.89</v>
      </c>
      <c r="P21" s="72">
        <f>IF(B21=0,"",IFERROR(VLOOKUP(B21,'T-ASIG-02'!$B$5:$D$88,3,0),0))</f>
        <v>3.83</v>
      </c>
      <c r="Q21" s="72">
        <f>IF(B21=0,"",IFERROR(VLOOKUP(B21,'T-ASIG-03'!$B$5:$D$88,3,0),0))</f>
        <v>3.9800000000000004</v>
      </c>
      <c r="R21" s="72">
        <f>IF(B21=0,"",IFERROR(VLOOKUP(B21,'T-ASIG-04'!$B$5:$D$88,3,0),0))</f>
        <v>0</v>
      </c>
      <c r="S21" s="72">
        <f>IF(B21=0,"",IFERROR(VLOOKUP(B21,'T-ASIG-05'!$B$5:$D$88,3,0),0))</f>
        <v>4.18</v>
      </c>
      <c r="T21" s="72">
        <f>IF(B21=0,"",IFERROR(VLOOKUP(B21,'T-ASIG-06'!$B$5:$D$88,3,0),0))</f>
        <v>3.8800000000000003</v>
      </c>
      <c r="U21" s="73">
        <f>IF(B21=0,"",IFERROR(VLOOKUP(B21,'T-ASIG-07'!$B$5:$D$88,3,0),0))</f>
        <v>0</v>
      </c>
      <c r="V21" s="69" t="s">
        <v>107</v>
      </c>
    </row>
    <row r="22" spans="1:22" ht="15" customHeight="1">
      <c r="A22" s="12">
        <v>18</v>
      </c>
      <c r="B22" s="70" t="str">
        <f>LIDER!C26</f>
        <v>ERWIN JOSUE URIBE SANTOYA</v>
      </c>
      <c r="C22" s="64" t="str">
        <f>IF(B22=0,"",IFERROR(VLOOKUP(B22,'S-ASIG-01'!$B$5:$E$88,2,0),0))</f>
        <v>G03</v>
      </c>
      <c r="D22" s="65">
        <f t="shared" si="2"/>
        <v>3.5780000000000003</v>
      </c>
      <c r="E22" s="66">
        <f t="shared" si="3"/>
        <v>3.9150000000000005</v>
      </c>
      <c r="F22" s="47"/>
      <c r="G22" s="71">
        <f>IF(B22=0,"",IFERROR(VLOOKUP(B22,'S-ASIG-01'!$B$5:$E$88,4,0),0))</f>
        <v>3.9000000000000004</v>
      </c>
      <c r="H22" s="72">
        <f>IF(B22=0,"",IFERROR(VLOOKUP(B22,'S-ASIG-02'!$B$5:$E$88,4,0),0))</f>
        <v>2.1300000000000003</v>
      </c>
      <c r="I22" s="72">
        <f>IF(B22=0,"",IFERROR(VLOOKUP(B22,'S-ASIG-03'!$B$5:$E$88,4,0),0))</f>
        <v>3.28</v>
      </c>
      <c r="J22" s="72">
        <f>IF(B22=0,"",IFERROR(VLOOKUP(B22,'S-ASIG-04'!$B$5:$E$88,4,0),0))</f>
        <v>4.0999999999999996</v>
      </c>
      <c r="K22" s="72">
        <v>0</v>
      </c>
      <c r="L22" s="72">
        <f>IF(B22=0,"",IFERROR(VLOOKUP(B22,'S-ASIG-06'!$B$5:$E$88,4,0),0))</f>
        <v>4.4800000000000004</v>
      </c>
      <c r="M22" s="73">
        <f>IF(B22=0,"",IFERROR(VLOOKUP(B22,'S-ASIG-07'!$B$5:$E$88,4,0),0))</f>
        <v>0</v>
      </c>
      <c r="N22" s="68" t="s">
        <v>106</v>
      </c>
      <c r="O22" s="71">
        <f>IF(B22=0,"",IFERROR(VLOOKUP(B22,'T-ASIG-01'!$B$5:$D$88,3,0),0))</f>
        <v>3.97</v>
      </c>
      <c r="P22" s="72">
        <f>IF(B22=0,"",IFERROR(VLOOKUP(B22,'T-ASIG-02'!$B$5:$D$88,3,0),0))</f>
        <v>3.83</v>
      </c>
      <c r="Q22" s="72">
        <f>IF(B22=0,"",IFERROR(VLOOKUP(B22,'T-ASIG-03'!$B$5:$D$88,3,0),0))</f>
        <v>3.9800000000000004</v>
      </c>
      <c r="R22" s="72">
        <f>IF(B22=0,"",IFERROR(VLOOKUP(B22,'T-ASIG-04'!$B$5:$D$88,3,0),0))</f>
        <v>0</v>
      </c>
      <c r="S22" s="72" t="str">
        <f>IF(B22=0,"",IFERROR(VLOOKUP(B22,'T-ASIG-05'!$B$5:$D$88,3,0),0))</f>
        <v>N</v>
      </c>
      <c r="T22" s="72">
        <f>IF(B22=0,"",IFERROR(VLOOKUP(B22,'T-ASIG-06'!$B$5:$D$88,3,0),0))</f>
        <v>3.8800000000000003</v>
      </c>
      <c r="U22" s="73">
        <f>IF(B22=0,"",IFERROR(VLOOKUP(B22,'T-ASIG-07'!$B$5:$D$88,3,0),0))</f>
        <v>0</v>
      </c>
      <c r="V22" s="69" t="s">
        <v>107</v>
      </c>
    </row>
    <row r="23" spans="1:22" ht="15" customHeight="1">
      <c r="A23" s="12">
        <v>19</v>
      </c>
      <c r="B23" s="70">
        <f>LIDER!C27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106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107</v>
      </c>
    </row>
    <row r="24" spans="1:22" ht="15" customHeight="1">
      <c r="A24" s="12">
        <v>20</v>
      </c>
      <c r="B24" s="70">
        <f>LIDER!C28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106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107</v>
      </c>
    </row>
    <row r="25" spans="1:22" ht="15" customHeight="1">
      <c r="A25" s="12">
        <v>21</v>
      </c>
      <c r="B25" s="70">
        <f>LIDER!C29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106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107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106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107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106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107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106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107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106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107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106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107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106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107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106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107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106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107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106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107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106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107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106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107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106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107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106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107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106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107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106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107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106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107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106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107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106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107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106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107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106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107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106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107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106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107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106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107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106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107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106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107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106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107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106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107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106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107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106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107</v>
      </c>
    </row>
  </sheetData>
  <sheetProtection algorithmName="SHA-512" hashValue="98fvvn+wN13l9f6jqBhzcyhlLh7CkhvlXlN06cNwCEEqlQocDqNj2KJ2+Tnj4+jSV+pONtg1yhgkt09sixmqaA==" saltValue="3wpEX793ckqx0furR7nBOQ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ARODIZ AGUILERA</cp:lastModifiedBy>
  <cp:revision/>
  <dcterms:created xsi:type="dcterms:W3CDTF">2025-09-29T20:45:44Z</dcterms:created>
  <dcterms:modified xsi:type="dcterms:W3CDTF">2026-05-23T00:39:28Z</dcterms:modified>
  <cp:category/>
  <cp:contentStatus/>
</cp:coreProperties>
</file>