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3/"/>
    </mc:Choice>
  </mc:AlternateContent>
  <xr:revisionPtr revIDLastSave="208" documentId="13_ncr:1_{54AD7763-2412-4A12-A66A-4F199CC2568A}" xr6:coauthVersionLast="47" xr6:coauthVersionMax="47" xr10:uidLastSave="{EB90F7F4-7495-4D1D-9EF0-E21DDFF8FC42}"/>
  <bookViews>
    <workbookView xWindow="-120" yWindow="-120" windowWidth="20730" windowHeight="11040" tabRatio="815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D48" i="16" s="1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D60" i="16"/>
  <c r="B60" i="16"/>
  <c r="D59" i="16"/>
  <c r="B59" i="16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D16" i="16"/>
  <c r="B16" i="16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D43" i="7" s="1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D53" i="7"/>
  <c r="B53" i="7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D42" i="7"/>
  <c r="B42" i="7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D31" i="7"/>
  <c r="B31" i="7"/>
  <c r="D30" i="7"/>
  <c r="B30" i="7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D16" i="7"/>
  <c r="B16" i="7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D37" i="6" s="1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D42" i="6"/>
  <c r="B42" i="6"/>
  <c r="B41" i="6"/>
  <c r="B39" i="6"/>
  <c r="D39" i="6" s="1"/>
  <c r="B38" i="6"/>
  <c r="B37" i="6"/>
  <c r="B36" i="6"/>
  <c r="B35" i="6"/>
  <c r="B34" i="6"/>
  <c r="D34" i="6" s="1"/>
  <c r="B32" i="6"/>
  <c r="D32" i="6" s="1"/>
  <c r="D31" i="6"/>
  <c r="B31" i="6"/>
  <c r="D30" i="6"/>
  <c r="B30" i="6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D42" i="5" s="1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D16" i="5"/>
  <c r="B16" i="5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D49" i="4" s="1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D59" i="4"/>
  <c r="B59" i="4"/>
  <c r="B58" i="4"/>
  <c r="D58" i="4" s="1"/>
  <c r="B57" i="4"/>
  <c r="D57" i="4" s="1"/>
  <c r="B56" i="4"/>
  <c r="D56" i="4" s="1"/>
  <c r="D55" i="4"/>
  <c r="B55" i="4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D16" i="4"/>
  <c r="B16" i="4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D49" i="3" s="1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D30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D55" i="3"/>
  <c r="B55" i="3"/>
  <c r="D53" i="3"/>
  <c r="B53" i="3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D16" i="3"/>
  <c r="B16" i="3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E51" i="15"/>
  <c r="B51" i="15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E16" i="15"/>
  <c r="B16" i="15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E62" i="14"/>
  <c r="C62" i="14"/>
  <c r="C63" i="14" s="1"/>
  <c r="C64" i="14" s="1"/>
  <c r="C65" i="14" s="1"/>
  <c r="C66" i="14" s="1"/>
  <c r="C67" i="14" s="1"/>
  <c r="B62" i="14"/>
  <c r="F61" i="14"/>
  <c r="B60" i="14"/>
  <c r="E60" i="14" s="1"/>
  <c r="E59" i="14"/>
  <c r="B59" i="14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E51" i="14"/>
  <c r="B51" i="14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E17" i="14"/>
  <c r="B17" i="14"/>
  <c r="E16" i="14"/>
  <c r="B16" i="14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E16" i="13"/>
  <c r="B16" i="13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E43" i="12"/>
  <c r="C43" i="12"/>
  <c r="B43" i="12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E30" i="12"/>
  <c r="B30" i="12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E16" i="12"/>
  <c r="C16" i="12"/>
  <c r="C17" i="12" s="1"/>
  <c r="C18" i="12" s="1"/>
  <c r="B16" i="12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E60" i="11"/>
  <c r="B60" i="11"/>
  <c r="E59" i="11"/>
  <c r="B59" i="1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E43" i="11"/>
  <c r="B43" i="1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E53" i="10"/>
  <c r="B53" i="10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E16" i="10"/>
  <c r="B16" i="10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U3" i="8"/>
  <c r="H3" i="8"/>
  <c r="P3" i="8" s="1"/>
  <c r="I3" i="8"/>
  <c r="Q3" i="8" s="1"/>
  <c r="J3" i="8"/>
  <c r="R3" i="8" s="1"/>
  <c r="K3" i="8"/>
  <c r="S3" i="8" s="1"/>
  <c r="L3" i="8"/>
  <c r="T3" i="8" s="1"/>
  <c r="M3" i="8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37" i="16" l="1"/>
  <c r="D36" i="4"/>
  <c r="D36" i="6"/>
  <c r="D34" i="7"/>
  <c r="D36" i="16"/>
  <c r="D22" i="3"/>
  <c r="D22" i="4"/>
  <c r="D22" i="5"/>
  <c r="D21" i="5"/>
  <c r="D22" i="7"/>
  <c r="D21" i="7"/>
  <c r="D22" i="16"/>
  <c r="D21" i="16"/>
  <c r="D64" i="6"/>
  <c r="D48" i="6"/>
  <c r="D49" i="7"/>
  <c r="D48" i="7"/>
  <c r="D49" i="16"/>
  <c r="D48" i="3"/>
  <c r="D34" i="4"/>
  <c r="D34" i="16"/>
  <c r="D37" i="3"/>
  <c r="D36" i="5"/>
  <c r="D20" i="5"/>
  <c r="D21" i="4"/>
  <c r="D21" i="6"/>
  <c r="D10" i="4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<sst xmlns="http://schemas.openxmlformats.org/spreadsheetml/2006/main" count="660" uniqueCount="110">
  <si>
    <t>TECNOLOGÍA EN GESTIÓN DE NEGOCIOS INTERN</t>
  </si>
  <si>
    <t>SEMESTRE:</t>
  </si>
  <si>
    <t>SEM-03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</si>
  <si>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</si>
  <si>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</si>
  <si>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</si>
  <si>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</si>
  <si>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</si>
  <si>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</si>
  <si>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</si>
  <si>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</si>
  <si>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INTERNACIONALIZACION</t>
  </si>
  <si>
    <t>LEGISLACION PARA EL COMERCIO</t>
  </si>
  <si>
    <t>TECNOLOGIA APLICADA</t>
  </si>
  <si>
    <t>MACROECONOMÍA</t>
  </si>
  <si>
    <t>MATEMÁTICAS FINANCIERAS</t>
  </si>
  <si>
    <t>SANDRA MILENA CASTAÑO GIRALDO</t>
  </si>
  <si>
    <t>MELISSA LOPEZ ROMERO</t>
  </si>
  <si>
    <t>WILMER SIMARRA CAÑATE</t>
  </si>
  <si>
    <t>JORGE ELIECER PAREJA SHAIKH</t>
  </si>
  <si>
    <t>JAVIER MARTINEZ PEREZ</t>
  </si>
  <si>
    <t>LISTA DE ESTUDIANTES</t>
  </si>
  <si>
    <t>SEGUNDA ENTREGA - CRITERIO DE EVALUACIÓN DOCUMENTO - SEGUNDO CORTE</t>
  </si>
  <si>
    <t>PONDERACIÓN</t>
  </si>
  <si>
    <t>ADMINISTRACIÓN DE EMPRESAS C.I</t>
  </si>
  <si>
    <t>SANTIAGO PALOMINO CORDERO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</si>
  <si>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</si>
  <si>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</si>
  <si>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TEDDY JAVIER RICO PEREZ</t>
  </si>
  <si>
    <t>ANTEPROYECTO: Portada, planteamiento del problema, justificacion del trabajo o proyecto de aula, objetivos, marco teorico, diseño metodologico.</t>
  </si>
  <si>
    <t>CONTADURÍA PÚBLICA</t>
  </si>
  <si>
    <t>ENDRY YUREY ROSARIO SIERRA</t>
  </si>
  <si>
    <t>RESULTADOS:  Analiza, integra y aplica de manera coherente los aspectos legales-tributarios, administrativos y tecnológicos en el desarrollo de la propuesta investigativa, evidenciando capacidad para generar soluciones viables, pertinentes y sostenibles.</t>
  </si>
  <si>
    <t>NEGOCIOS INTERNACIONALES PROFESIONAL</t>
  </si>
  <si>
    <t>EVA LUCIA RUIZ LARA</t>
  </si>
  <si>
    <t>BILIOGRAFIA: Las referencias bibliograficas: adoptan las normas APA. El documento es producto de un rastreo bibliografico que muestra analisis y sistensis.</t>
  </si>
  <si>
    <t>YANOSKI RICARDO CARCAMO MONROY</t>
  </si>
  <si>
    <t>ASESORIAS: Anexó la hoja de tutoria firmada ( 3 fimas minmimo).</t>
  </si>
  <si>
    <t>TECNOLOGíA EN GESTION CONTABLE</t>
  </si>
  <si>
    <t>RAY DAVID MENDOZA DAZA</t>
  </si>
  <si>
    <t>TECNOLOGÍA EN GESTIÓN DE MARKETING</t>
  </si>
  <si>
    <t>SEBASTIAN OSORIO CORONADO</t>
  </si>
  <si>
    <t>TECNOLOGÍA EN GESTIÓN DEL TALENTO HUMANO</t>
  </si>
  <si>
    <t>JORGE HUMBERTO GARCES GOMEZ</t>
  </si>
  <si>
    <t>TECNOLOGÍA EN GESTIÓN FINANCIERA</t>
  </si>
  <si>
    <t>VALENTINA GIRALDO BOLAÑO</t>
  </si>
  <si>
    <t>TECNOLOGÍA EN GESTIÓN LOGISTICA Y PORTUARIA</t>
  </si>
  <si>
    <t>YOANDY GOMEZ DIAZ</t>
  </si>
  <si>
    <t>ENTREGA FINAL - CRITERIO DE EVALUACIÓN SUSTENTACIÓN - TERCER CORTE</t>
  </si>
  <si>
    <t>TECNOLOGÍA EN GESTIÓN TURISTICA Y HOTELERA</t>
  </si>
  <si>
    <t>DARWIN STIVEN TELLEZ ABRIL</t>
  </si>
  <si>
    <t>Evaluación del Documento Final</t>
  </si>
  <si>
    <t>JESUS JAVIER MARTINEZ MESTRA</t>
  </si>
  <si>
    <t>Sustentación de los Resultados: Se refleja un dominio del tema, la  información está delimitada y es clara. Hay una jerarquía y fluidez en las ideas que presenta.</t>
  </si>
  <si>
    <t>GABRIEL DAVID SANCHEZ PARRA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</si>
  <si>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</si>
  <si>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SANTIAGO JOSE URIBE CRISTANCHO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</si>
  <si>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</si>
  <si>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IAN YORACO BERRIO CASTILLO</t>
  </si>
  <si>
    <t>Tiempo: El uso del tiempo fue apropiado, se ajusta al previsto.
Ofrece una conclusión donde condensa las ideas principales del objetivo general y los específicos.</t>
  </si>
  <si>
    <t>BRAYAN DAVID JIMENEZ ECHENIQUE</t>
  </si>
  <si>
    <t>Uso de Recursos Audiovisuales Tecnológicos: La sustentación se acompaña de recursos visuales pertinentes, atractivos y de gran calidad</t>
  </si>
  <si>
    <t>CAMILO ANDRES RAMOS PERIÑAN</t>
  </si>
  <si>
    <t xml:space="preserve">DILAN ANTONIO  BOSSIO LEAL </t>
  </si>
  <si>
    <t xml:space="preserve">HELEN MARÍA  OCHOA RODRÍGUEZ </t>
  </si>
  <si>
    <t xml:space="preserve">MICHELLE CAROLINA RODRIGUEZ SEVERICHE </t>
  </si>
  <si>
    <t>TITULOS DE LOS PROYECTOS DE AULA</t>
  </si>
  <si>
    <t>EMILY SHANNAY LARA GODOY</t>
  </si>
  <si>
    <t xml:space="preserve"> Agencia De Aduanas Granandina Ltda.</t>
  </si>
  <si>
    <t>Maersk en los negocios internacionales</t>
  </si>
  <si>
    <t xml:space="preserve">Alpina Productos Alimentos </t>
  </si>
  <si>
    <t xml:space="preserve"> Print Creativos,</t>
  </si>
  <si>
    <t>HUBEMAR S.A.S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</si>
  <si>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</si>
  <si>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</si>
  <si>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</si>
  <si>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</si>
  <si>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</si>
  <si>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</si>
  <si>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</si>
  <si>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</si>
  <si>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</si>
  <si>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</si>
  <si>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</si>
  <si>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</si>
  <si>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</si>
  <si>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</si>
  <si>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</si>
  <si>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</si>
  <si>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</si>
  <si>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</si>
  <si>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</si>
  <si>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</si>
  <si>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</si>
  <si>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</si>
  <si>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GRUPO#10</t>
  </si>
  <si>
    <t>G10</t>
  </si>
  <si>
    <t>GRUPO#11</t>
  </si>
  <si>
    <t>G11</t>
  </si>
  <si>
    <t>GRUPO#12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</si>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</sst>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18" zoomScale="91" zoomScaleNormal="91" workbookViewId="0">
      <selection activeCell="C31" sqref="C31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42" t="s">
        <v>0</v>
      </c>
      <c r="C2" s="143"/>
      <c r="D2" s="144"/>
      <c r="E2" s="101" t="s">
        <v>1</v>
      </c>
      <c r="F2" s="102" t="s">
        <v>2</v>
      </c>
      <c r="G2" s="101" t="s">
        <v>3</v>
      </c>
      <c r="H2" s="41">
        <v>4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2346</v>
      </c>
      <c r="D6" s="134">
        <v>2351</v>
      </c>
      <c r="E6" s="134">
        <v>2247</v>
      </c>
      <c r="F6" s="134">
        <v>1495</v>
      </c>
      <c r="G6" s="134">
        <v>1363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45" t="s">
        <v>22</v>
      </c>
      <c r="F8" s="146"/>
      <c r="G8" s="147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48" t="s">
        <v>26</v>
      </c>
      <c r="F9" s="149"/>
      <c r="G9" s="150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51" t="s">
        <v>29</v>
      </c>
      <c r="F10" s="152"/>
      <c r="G10" s="153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48" t="s">
        <v>32</v>
      </c>
      <c r="F11" s="149"/>
      <c r="G11" s="150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51" t="s">
        <v>35</v>
      </c>
      <c r="F12" s="152"/>
      <c r="G12" s="153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54" t="s">
        <v>37</v>
      </c>
      <c r="F13" s="155"/>
      <c r="G13" s="156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57"/>
      <c r="F14" s="158"/>
      <c r="G14" s="159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66"/>
      <c r="F15" s="167"/>
      <c r="G15" s="168"/>
      <c r="H15" s="135">
        <v>0</v>
      </c>
      <c r="I15" s="69" t="s">
        <v>42</v>
      </c>
    </row>
    <row r="16" spans="2:9" ht="15" customHeight="1" thickBo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 thickBot="1">
      <c r="B17" s="108">
        <v>9</v>
      </c>
      <c r="C17" s="111" t="s">
        <v>45</v>
      </c>
      <c r="E17" s="175"/>
      <c r="F17" s="175"/>
      <c r="G17" s="175"/>
      <c r="H17" s="175"/>
      <c r="I17" s="69" t="s">
        <v>46</v>
      </c>
    </row>
    <row r="18" spans="2:9" ht="15" customHeight="1" thickBot="1">
      <c r="B18" s="108">
        <v>10</v>
      </c>
      <c r="C18" s="111" t="s">
        <v>47</v>
      </c>
      <c r="E18" s="182" t="s">
        <v>48</v>
      </c>
      <c r="F18" s="183"/>
      <c r="G18" s="183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72" t="s">
        <v>51</v>
      </c>
      <c r="F19" s="173"/>
      <c r="G19" s="174"/>
      <c r="H19" s="138">
        <v>0.5</v>
      </c>
    </row>
    <row r="20" spans="2:9" ht="15" customHeight="1">
      <c r="B20" s="108">
        <v>12</v>
      </c>
      <c r="C20" s="111" t="s">
        <v>52</v>
      </c>
      <c r="E20" s="176" t="s">
        <v>53</v>
      </c>
      <c r="F20" s="177"/>
      <c r="G20" s="178"/>
      <c r="H20" s="139">
        <v>0.2</v>
      </c>
    </row>
    <row r="21" spans="2:9" ht="15" customHeight="1">
      <c r="B21" s="108">
        <v>13</v>
      </c>
      <c r="C21" s="111" t="s">
        <v>54</v>
      </c>
      <c r="E21" s="184" t="s">
        <v>55</v>
      </c>
      <c r="F21" s="185"/>
      <c r="G21" s="186"/>
      <c r="H21" s="140">
        <v>0.1</v>
      </c>
    </row>
    <row r="22" spans="2:9" ht="15" customHeight="1">
      <c r="B22" s="108">
        <v>14</v>
      </c>
      <c r="C22" s="111" t="s">
        <v>56</v>
      </c>
      <c r="E22" s="176" t="s">
        <v>57</v>
      </c>
      <c r="F22" s="158"/>
      <c r="G22" s="159"/>
      <c r="H22" s="139">
        <v>0.05</v>
      </c>
    </row>
    <row r="23" spans="2:9" ht="15" customHeight="1">
      <c r="B23" s="108">
        <v>15</v>
      </c>
      <c r="C23" s="111" t="s">
        <v>58</v>
      </c>
      <c r="E23" s="184" t="s">
        <v>59</v>
      </c>
      <c r="F23" s="185"/>
      <c r="G23" s="186"/>
      <c r="H23" s="141">
        <v>0.05</v>
      </c>
    </row>
    <row r="24" spans="2:9" ht="15" customHeight="1">
      <c r="B24" s="108">
        <v>16</v>
      </c>
      <c r="C24" s="111" t="s">
        <v>60</v>
      </c>
      <c r="E24" s="176" t="s">
        <v>61</v>
      </c>
      <c r="F24" s="177"/>
      <c r="G24" s="178"/>
      <c r="H24" s="139">
        <v>0.1</v>
      </c>
    </row>
    <row r="25" spans="2:9" ht="15" customHeight="1" thickBot="1">
      <c r="B25" s="108">
        <v>17</v>
      </c>
      <c r="C25" s="111" t="s">
        <v>62</v>
      </c>
      <c r="E25" s="169"/>
      <c r="F25" s="170"/>
      <c r="G25" s="171"/>
      <c r="H25" s="140"/>
    </row>
    <row r="26" spans="2:9" ht="15" customHeight="1" thickBot="1">
      <c r="B26" s="108">
        <v>18</v>
      </c>
      <c r="C26" s="111" t="s">
        <v>63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64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65</v>
      </c>
      <c r="E28" s="179" t="s">
        <v>66</v>
      </c>
      <c r="F28" s="180"/>
      <c r="G28" s="180"/>
      <c r="H28" s="181"/>
    </row>
    <row r="29" spans="2:9" ht="15" customHeight="1" thickBot="1">
      <c r="B29" s="108">
        <v>21</v>
      </c>
      <c r="C29" s="111" t="s">
        <v>67</v>
      </c>
      <c r="E29" s="163" t="s">
        <v>68</v>
      </c>
      <c r="F29" s="164"/>
      <c r="G29" s="164"/>
      <c r="H29" s="165"/>
    </row>
    <row r="30" spans="2:9" ht="15" customHeight="1" thickBot="1">
      <c r="B30" s="108">
        <v>22</v>
      </c>
      <c r="C30" s="111" t="s">
        <v>60</v>
      </c>
      <c r="E30" s="160" t="s">
        <v>69</v>
      </c>
      <c r="F30" s="161"/>
      <c r="G30" s="161"/>
      <c r="H30" s="162"/>
    </row>
    <row r="31" spans="2:9" ht="15" customHeight="1" thickBot="1">
      <c r="B31" s="108">
        <v>23</v>
      </c>
      <c r="C31" s="111"/>
      <c r="E31" s="163" t="s">
        <v>70</v>
      </c>
      <c r="F31" s="164"/>
      <c r="G31" s="164"/>
      <c r="H31" s="165"/>
    </row>
    <row r="32" spans="2:9" ht="15" customHeight="1" thickBot="1">
      <c r="B32" s="108">
        <v>24</v>
      </c>
      <c r="C32" s="111"/>
      <c r="E32" s="160" t="s">
        <v>71</v>
      </c>
      <c r="F32" s="161"/>
      <c r="G32" s="161"/>
      <c r="H32" s="162"/>
    </row>
    <row r="33" spans="2:8" ht="15" customHeight="1" thickBot="1">
      <c r="B33" s="108">
        <v>25</v>
      </c>
      <c r="C33" s="111"/>
      <c r="E33" s="163" t="s">
        <v>72</v>
      </c>
      <c r="F33" s="164"/>
      <c r="G33" s="164"/>
      <c r="H33" s="165"/>
    </row>
    <row r="34" spans="2:8" ht="15" customHeight="1" thickBot="1">
      <c r="B34" s="108">
        <v>26</v>
      </c>
      <c r="C34" s="111"/>
      <c r="E34" s="160"/>
      <c r="F34" s="161"/>
      <c r="G34" s="161"/>
      <c r="H34" s="162"/>
    </row>
    <row r="35" spans="2:8" ht="15" customHeight="1" thickBot="1">
      <c r="B35" s="108">
        <v>27</v>
      </c>
      <c r="C35" s="111"/>
      <c r="E35" s="163"/>
      <c r="F35" s="164"/>
      <c r="G35" s="164"/>
      <c r="H35" s="165"/>
    </row>
    <row r="36" spans="2:8" ht="15" customHeight="1" thickBot="1">
      <c r="B36" s="108">
        <v>28</v>
      </c>
      <c r="C36" s="111"/>
      <c r="E36" s="160"/>
      <c r="F36" s="161"/>
      <c r="G36" s="161"/>
      <c r="H36" s="162"/>
    </row>
    <row r="37" spans="2:8" ht="15" customHeight="1" thickBot="1">
      <c r="B37" s="108">
        <v>29</v>
      </c>
      <c r="C37" s="111"/>
      <c r="E37" s="163"/>
      <c r="F37" s="164"/>
      <c r="G37" s="164"/>
      <c r="H37" s="165"/>
    </row>
    <row r="38" spans="2:8" ht="15" customHeight="1" thickBot="1">
      <c r="B38" s="108">
        <v>30</v>
      </c>
      <c r="C38" s="111"/>
      <c r="E38" s="160"/>
      <c r="F38" s="161"/>
      <c r="G38" s="161"/>
      <c r="H38" s="162"/>
    </row>
    <row r="39" spans="2:8" ht="15" customHeight="1" thickBot="1">
      <c r="B39" s="108">
        <v>31</v>
      </c>
      <c r="C39" s="111"/>
      <c r="E39" s="163"/>
      <c r="F39" s="164"/>
      <c r="G39" s="164"/>
      <c r="H39" s="165"/>
    </row>
    <row r="40" spans="2:8" ht="15" customHeight="1" thickBot="1">
      <c r="B40" s="108">
        <v>32</v>
      </c>
      <c r="C40" s="111"/>
      <c r="E40" s="160"/>
      <c r="F40" s="161"/>
      <c r="G40" s="161"/>
      <c r="H40" s="162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 xml:space="preserve"> Agencia De Aduanas </v>
      </c>
      <c r="F42" s="116" t="str">
        <f>MID(E30,1,20)</f>
        <v>Maersk en los negoci</v>
      </c>
      <c r="G42" s="116" t="str">
        <f>MID(E31,1,20)</f>
        <v>Alpina Productos Ali</v>
      </c>
      <c r="H42" s="117" t="str">
        <f>MID(E32,1,20)</f>
        <v xml:space="preserve"> Print Creativos,</v>
      </c>
    </row>
    <row r="43" spans="2:8" ht="15" customHeight="1">
      <c r="B43" s="108">
        <v>35</v>
      </c>
      <c r="C43" s="111"/>
      <c r="E43" s="118" t="s">
        <v>25</v>
      </c>
      <c r="F43" s="119" t="s">
        <v>36</v>
      </c>
      <c r="G43" s="119" t="s">
        <v>43</v>
      </c>
      <c r="H43" s="120" t="s">
        <v>52</v>
      </c>
    </row>
    <row r="44" spans="2:8" ht="15" customHeight="1">
      <c r="B44" s="108">
        <v>36</v>
      </c>
      <c r="C44" s="111"/>
      <c r="E44" s="121" t="s">
        <v>28</v>
      </c>
      <c r="F44" s="122" t="s">
        <v>39</v>
      </c>
      <c r="G44" s="122" t="s">
        <v>45</v>
      </c>
      <c r="H44" s="123" t="s">
        <v>54</v>
      </c>
    </row>
    <row r="45" spans="2:8" ht="15" customHeight="1">
      <c r="B45" s="108">
        <v>37</v>
      </c>
      <c r="C45" s="111"/>
      <c r="E45" s="124" t="s">
        <v>31</v>
      </c>
      <c r="F45" s="125" t="s">
        <v>41</v>
      </c>
      <c r="G45" s="125" t="s">
        <v>47</v>
      </c>
      <c r="H45" s="126" t="s">
        <v>56</v>
      </c>
    </row>
    <row r="46" spans="2:8" ht="15" customHeight="1">
      <c r="B46" s="108">
        <v>38</v>
      </c>
      <c r="C46" s="111"/>
      <c r="E46" s="121" t="s">
        <v>34</v>
      </c>
      <c r="F46" s="122"/>
      <c r="G46" s="122" t="s">
        <v>50</v>
      </c>
      <c r="H46" s="123"/>
    </row>
    <row r="47" spans="2:8" ht="15" customHeight="1">
      <c r="B47" s="108">
        <v>39</v>
      </c>
      <c r="C47" s="111"/>
      <c r="E47" s="124" t="s">
        <v>63</v>
      </c>
      <c r="F47" s="125"/>
      <c r="G47" s="125" t="s">
        <v>65</v>
      </c>
      <c r="H47" s="126"/>
    </row>
    <row r="48" spans="2:8" ht="15" customHeight="1" thickBot="1">
      <c r="B48" s="108">
        <v>40</v>
      </c>
      <c r="C48" s="111"/>
      <c r="E48" s="121" t="s">
        <v>64</v>
      </c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HUBEMAR S.A.S</v>
      </c>
      <c r="F50" s="116" t="str">
        <f>MID(E34,1,20)</f>
        <v/>
      </c>
      <c r="G50" s="116" t="str">
        <f>MID(E35,1,20)</f>
        <v/>
      </c>
      <c r="H50" s="117" t="str">
        <f>MID(E36,1,20)</f>
        <v/>
      </c>
    </row>
    <row r="51" spans="2:8" ht="15" customHeight="1">
      <c r="B51" s="108">
        <v>43</v>
      </c>
      <c r="C51" s="111"/>
      <c r="E51" s="118" t="s">
        <v>58</v>
      </c>
      <c r="F51" s="119"/>
      <c r="G51" s="119"/>
      <c r="H51" s="120"/>
    </row>
    <row r="52" spans="2:8" ht="15" customHeight="1">
      <c r="B52" s="108">
        <v>44</v>
      </c>
      <c r="C52" s="111"/>
      <c r="E52" s="121" t="s">
        <v>60</v>
      </c>
      <c r="F52" s="122"/>
      <c r="G52" s="122"/>
      <c r="H52" s="123"/>
    </row>
    <row r="53" spans="2:8" ht="15" customHeight="1">
      <c r="B53" s="108">
        <v>45</v>
      </c>
      <c r="C53" s="111"/>
      <c r="E53" s="124" t="s">
        <v>62</v>
      </c>
      <c r="F53" s="125"/>
      <c r="G53" s="125"/>
      <c r="H53" s="126"/>
    </row>
    <row r="54" spans="2:8" ht="15" customHeight="1">
      <c r="B54" s="108">
        <v>46</v>
      </c>
      <c r="C54" s="111"/>
      <c r="E54" s="121" t="s">
        <v>67</v>
      </c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/>
      </c>
      <c r="F58" s="116" t="str">
        <f>MID(E38,1,20)</f>
        <v/>
      </c>
      <c r="G58" s="116" t="str">
        <f>MID(E39,1,20)</f>
        <v/>
      </c>
      <c r="H58" s="117" t="str">
        <f>MID(E40,1,20)</f>
        <v/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iuDPwiUcywhVE1XyOx7VOhgpuuEDW2BnKpgKQsiaTmN3KL7TIvhgdQyfvzA9Blvi2GXOYo496ywLSgDtrAwFYQ==" saltValue="0cZuMP+DzwcsvRwXtt4Hag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51:H56 E59:H64 E43:H48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59:H64 E51:H56 E43:H48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91" zoomScaleNormal="91" workbookViewId="0">
      <pane xSplit="5" topLeftCell="H1" activePane="topRight" state="frozen"/>
      <selection pane="topRight" activeCell="M1" sqref="M1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LIDER!C4</f>
        <v>INTERNACIONALIZACION</v>
      </c>
      <c r="C2" s="82"/>
      <c r="D2" s="3"/>
      <c r="F2" s="197" t="s">
        <v>73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74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CONCATENATE(LIDER!C4," - ",LIDER!C6," - ",LIDER!C5)</f>
        <v>INTERNACIONALIZACION - 2346 - SANDRA MILENA CASTAÑO GIRALDO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75</v>
      </c>
      <c r="C5" s="88" t="s">
        <v>76</v>
      </c>
      <c r="D5" s="32" t="s">
        <v>77</v>
      </c>
      <c r="E5" s="89" t="s">
        <v>78</v>
      </c>
      <c r="F5" s="191" t="str">
        <f>LIDER!$E$29</f>
        <v xml:space="preserve"> Agencia De Aduanas Granandina Ltda.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SANTIAGO PALOMINO CORDERO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4.82</v>
      </c>
      <c r="F6" s="192">
        <v>4.8</v>
      </c>
      <c r="G6" s="189">
        <v>4.5999999999999996</v>
      </c>
      <c r="H6" s="187">
        <v>4.8</v>
      </c>
      <c r="I6" s="189">
        <v>5</v>
      </c>
      <c r="J6" s="187">
        <v>5</v>
      </c>
      <c r="K6" s="189"/>
      <c r="L6" s="187"/>
    </row>
    <row r="7" spans="1:12" s="2" customFormat="1" ht="15" customHeight="1">
      <c r="A7" s="12">
        <v>2</v>
      </c>
      <c r="B7" s="10" t="str">
        <f>LIDER!E44</f>
        <v>TEDDY JAVIER RICO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4.82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ENDRY YUREY ROSARIO SIERRA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4.82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 t="str">
        <f>LIDER!E46</f>
        <v>EVA LUCIA RUIZ LARA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4.82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 t="str">
        <f>LIDER!E47</f>
        <v xml:space="preserve">DILAN ANTONIO  BOSSIO LEAL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4.82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 t="str">
        <f>LIDER!E48</f>
        <v xml:space="preserve">HELEN MARÍA  OCHOA RODRÍGUEZ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4.82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79</v>
      </c>
      <c r="C12" s="88" t="s">
        <v>80</v>
      </c>
      <c r="D12" s="32" t="str">
        <f>D5</f>
        <v>LIST</v>
      </c>
      <c r="E12" s="89" t="s">
        <v>78</v>
      </c>
      <c r="F12" s="191" t="str">
        <f>LIDER!$E$30</f>
        <v>Maersk en los negocios internacionales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YANOSKI RICARDO CARCAMO MONROY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3.9799999999999995</v>
      </c>
      <c r="F13" s="192">
        <v>4.2</v>
      </c>
      <c r="G13" s="189">
        <v>4</v>
      </c>
      <c r="H13" s="187">
        <v>4</v>
      </c>
      <c r="I13" s="189">
        <v>4.2</v>
      </c>
      <c r="J13" s="187">
        <v>3</v>
      </c>
      <c r="K13" s="189"/>
      <c r="L13" s="187"/>
    </row>
    <row r="14" spans="1:12" s="2" customFormat="1" ht="15" customHeight="1">
      <c r="A14" s="12">
        <v>2</v>
      </c>
      <c r="B14" s="10" t="str">
        <f>LIDER!F44</f>
        <v>RAY DAVID MENDOZA DAZA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3.9799999999999995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SEBASTIAN OSORIO CORONADO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3.9799999999999995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81</v>
      </c>
      <c r="C19" s="88" t="s">
        <v>82</v>
      </c>
      <c r="D19" s="32" t="str">
        <f>D12</f>
        <v>LIST</v>
      </c>
      <c r="E19" s="89" t="s">
        <v>78</v>
      </c>
      <c r="F19" s="191" t="str">
        <f>LIDER!$E$31</f>
        <v xml:space="preserve">Alpina Productos Alimentos 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2.74</v>
      </c>
      <c r="F20" s="192">
        <v>3</v>
      </c>
      <c r="G20" s="189">
        <v>3.5</v>
      </c>
      <c r="H20" s="187">
        <v>2.8</v>
      </c>
      <c r="I20" s="189">
        <v>3</v>
      </c>
      <c r="J20" s="187">
        <v>0</v>
      </c>
      <c r="K20" s="189"/>
      <c r="L20" s="187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2.74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2.74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DARWIN STIVEN TELLEZ ABRIL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2.74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 t="str">
        <f>LIDER!G47</f>
        <v xml:space="preserve">MICHELLE CAROLINA RODRIGUEZ SEVERICHE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2.74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83</v>
      </c>
      <c r="C26" s="88" t="s">
        <v>84</v>
      </c>
      <c r="D26" s="32" t="str">
        <f>D19</f>
        <v>LIST</v>
      </c>
      <c r="E26" s="89" t="s">
        <v>78</v>
      </c>
      <c r="F26" s="191" t="str">
        <f>LIDER!$E$32</f>
        <v xml:space="preserve"> Print Creativos,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JESUS JAVIER MARTINEZ MESTRA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3.06</v>
      </c>
      <c r="F27" s="192">
        <v>3.5</v>
      </c>
      <c r="G27" s="189">
        <v>3.8</v>
      </c>
      <c r="H27" s="187">
        <v>4</v>
      </c>
      <c r="I27" s="189">
        <v>2</v>
      </c>
      <c r="J27" s="187">
        <v>0</v>
      </c>
      <c r="K27" s="189"/>
      <c r="L27" s="187"/>
    </row>
    <row r="28" spans="1:12" s="2" customFormat="1" ht="15" customHeight="1">
      <c r="A28" s="12">
        <v>2</v>
      </c>
      <c r="B28" s="10" t="str">
        <f>LIDER!H44</f>
        <v>GABRIEL DAVID SANCHEZ PARRA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3.06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SANTIAGO JOSE URIBE CRISTANCHO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3.06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85</v>
      </c>
      <c r="C33" s="88" t="s">
        <v>86</v>
      </c>
      <c r="D33" s="32" t="str">
        <f>D26</f>
        <v>LIST</v>
      </c>
      <c r="E33" s="89" t="s">
        <v>78</v>
      </c>
      <c r="F33" s="191" t="str">
        <f>LIDER!$E$33</f>
        <v>HUBEMAR S.A.S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IAN YORACO BERRIO CASTILLO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4.7</v>
      </c>
      <c r="F34" s="192">
        <v>4.3</v>
      </c>
      <c r="G34" s="189">
        <v>4.5</v>
      </c>
      <c r="H34" s="187">
        <v>4.8</v>
      </c>
      <c r="I34" s="189">
        <v>5</v>
      </c>
      <c r="J34" s="187">
        <v>5</v>
      </c>
      <c r="K34" s="189"/>
      <c r="L34" s="187"/>
    </row>
    <row r="35" spans="1:12" s="2" customFormat="1" ht="15" customHeight="1">
      <c r="A35" s="12">
        <v>2</v>
      </c>
      <c r="B35" s="10" t="str">
        <f>LIDER!E52</f>
        <v>BRAYAN DAVID JIMENEZ ECHENIQUE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4.7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CAMILO ANDRES RAMOS PERIÑAN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4.7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EMILY SHANNAY LARA GODOY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4.7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87</v>
      </c>
      <c r="C40" s="88" t="s">
        <v>88</v>
      </c>
      <c r="D40" s="32" t="str">
        <f>D33</f>
        <v>LIST</v>
      </c>
      <c r="E40" s="89" t="s">
        <v>78</v>
      </c>
      <c r="F40" s="191">
        <f>LIDER!$E$34</f>
        <v>0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2"/>
      <c r="G41" s="189"/>
      <c r="H41" s="187"/>
      <c r="I41" s="189"/>
      <c r="J41" s="187"/>
      <c r="K41" s="189"/>
      <c r="L41" s="18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89</v>
      </c>
      <c r="C47" s="88" t="s">
        <v>90</v>
      </c>
      <c r="D47" s="32" t="str">
        <f>D40</f>
        <v>LIST</v>
      </c>
      <c r="E47" s="89" t="s">
        <v>78</v>
      </c>
      <c r="F47" s="191">
        <f>LIDER!$E$35</f>
        <v>0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91</v>
      </c>
      <c r="C54" s="88" t="s">
        <v>92</v>
      </c>
      <c r="D54" s="32" t="str">
        <f>D47</f>
        <v>LIST</v>
      </c>
      <c r="E54" s="89" t="s">
        <v>78</v>
      </c>
      <c r="F54" s="191">
        <f>LIDER!$E$36</f>
        <v>0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93</v>
      </c>
      <c r="C61" s="88" t="s">
        <v>94</v>
      </c>
      <c r="D61" s="32" t="str">
        <f>D54</f>
        <v>LIST</v>
      </c>
      <c r="E61" s="89" t="s">
        <v>78</v>
      </c>
      <c r="F61" s="191">
        <f>LIDER!$E$37</f>
        <v>0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95</v>
      </c>
      <c r="C68" s="88" t="s">
        <v>96</v>
      </c>
      <c r="D68" s="32" t="str">
        <f>D61</f>
        <v>LIST</v>
      </c>
      <c r="E68" s="89" t="s">
        <v>78</v>
      </c>
      <c r="F68" s="191">
        <f>LIDER!$E$38</f>
        <v>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97</v>
      </c>
      <c r="C75" s="88" t="s">
        <v>98</v>
      </c>
      <c r="D75" s="32" t="str">
        <f>D68</f>
        <v>LIST</v>
      </c>
      <c r="E75" s="89" t="s">
        <v>78</v>
      </c>
      <c r="F75" s="191">
        <f>LIDER!$E$39</f>
        <v>0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99</v>
      </c>
      <c r="C82" s="88" t="s">
        <v>100</v>
      </c>
      <c r="D82" s="32" t="str">
        <f>D75</f>
        <v>LIST</v>
      </c>
      <c r="E82" s="89" t="s">
        <v>78</v>
      </c>
      <c r="F82" s="191">
        <f>LIDER!$E$40</f>
        <v>0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topLeftCell="F19" activePane="topRight" state="frozen"/>
      <selection pane="topRight" activeCell="I41" sqref="I41:I46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LIDER!D4</f>
        <v>LEGISLACION PARA EL COMERCIO</v>
      </c>
      <c r="C2" s="82"/>
      <c r="D2" s="3"/>
      <c r="F2" s="197" t="s">
        <v>73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74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CONCATENATE(LIDER!D4," - ",LIDER!D6," - ",LIDER!D5)</f>
        <v>LEGISLACION PARA EL COMERCIO - 2351 - MELISSA LOPEZ ROMERO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75</v>
      </c>
      <c r="C5" s="88" t="s">
        <v>76</v>
      </c>
      <c r="D5" s="32" t="s">
        <v>77</v>
      </c>
      <c r="E5" s="89" t="s">
        <v>78</v>
      </c>
      <c r="F5" s="191" t="str">
        <f>LIDER!$E$29</f>
        <v xml:space="preserve"> Agencia De Aduanas Granandina Ltda.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SANTIAGO PALOMINO CORDERO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4.4000000000000004</v>
      </c>
      <c r="F6" s="192">
        <v>4.5</v>
      </c>
      <c r="G6" s="189">
        <v>4.5</v>
      </c>
      <c r="H6" s="187">
        <v>4.5</v>
      </c>
      <c r="I6" s="189">
        <v>4</v>
      </c>
      <c r="J6" s="187">
        <v>4.5</v>
      </c>
      <c r="K6" s="189"/>
      <c r="L6" s="187"/>
    </row>
    <row r="7" spans="1:12" s="2" customFormat="1" ht="15" customHeight="1">
      <c r="A7" s="12">
        <v>2</v>
      </c>
      <c r="B7" s="10" t="str">
        <f>LIDER!E44</f>
        <v>TEDDY JAVIER RICO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4.4000000000000004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ENDRY YUREY ROSARIO SIERRA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4.4000000000000004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 t="str">
        <f>LIDER!E46</f>
        <v>EVA LUCIA RUIZ LARA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4.4000000000000004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 t="str">
        <f>LIDER!E47</f>
        <v xml:space="preserve">DILAN ANTONIO  BOSSIO LEAL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4.4000000000000004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 t="str">
        <f>LIDER!E48</f>
        <v xml:space="preserve">HELEN MARÍA  OCHOA RODRÍGUEZ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4.4000000000000004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79</v>
      </c>
      <c r="C12" s="88" t="s">
        <v>80</v>
      </c>
      <c r="D12" s="32" t="str">
        <f>D5</f>
        <v>LIST</v>
      </c>
      <c r="E12" s="89" t="s">
        <v>78</v>
      </c>
      <c r="F12" s="191" t="str">
        <f>LIDER!$E$30</f>
        <v>Maersk en los negocios internacionales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YANOSKI RICARDO CARCAMO MONROY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3.85</v>
      </c>
      <c r="F13" s="192">
        <v>4</v>
      </c>
      <c r="G13" s="189">
        <v>4</v>
      </c>
      <c r="H13" s="187">
        <v>3.5</v>
      </c>
      <c r="I13" s="189">
        <v>4</v>
      </c>
      <c r="J13" s="187">
        <v>4</v>
      </c>
      <c r="K13" s="189"/>
      <c r="L13" s="187"/>
    </row>
    <row r="14" spans="1:12" s="2" customFormat="1" ht="15" customHeight="1">
      <c r="A14" s="12">
        <v>2</v>
      </c>
      <c r="B14" s="10" t="str">
        <f>LIDER!F44</f>
        <v>RAY DAVID MENDOZA DAZA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3.85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SEBASTIAN OSORIO CORONADO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3.85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81</v>
      </c>
      <c r="C19" s="88" t="s">
        <v>82</v>
      </c>
      <c r="D19" s="32" t="str">
        <f>D12</f>
        <v>LIST</v>
      </c>
      <c r="E19" s="89" t="s">
        <v>78</v>
      </c>
      <c r="F19" s="191" t="str">
        <f>LIDER!$E$31</f>
        <v xml:space="preserve">Alpina Productos Alimentos 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3.96</v>
      </c>
      <c r="F20" s="192">
        <v>4</v>
      </c>
      <c r="G20" s="189">
        <v>3.7</v>
      </c>
      <c r="H20" s="187">
        <v>4.4000000000000004</v>
      </c>
      <c r="I20" s="189">
        <v>4</v>
      </c>
      <c r="J20" s="187">
        <v>3</v>
      </c>
      <c r="K20" s="189"/>
      <c r="L20" s="187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3.96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3.96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DARWIN STIVEN TELLEZ ABRIL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3.96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 t="str">
        <f>LIDER!G47</f>
        <v xml:space="preserve">MICHELLE CAROLINA RODRIGUEZ SEVERICHE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3.96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83</v>
      </c>
      <c r="C26" s="88" t="s">
        <v>84</v>
      </c>
      <c r="D26" s="32" t="str">
        <f>D19</f>
        <v>LIST</v>
      </c>
      <c r="E26" s="89" t="s">
        <v>78</v>
      </c>
      <c r="F26" s="191" t="str">
        <f>LIDER!$E$32</f>
        <v xml:space="preserve"> Print Creativos,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JESUS JAVIER MARTINEZ MESTRA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3.88</v>
      </c>
      <c r="F27" s="192">
        <v>4.4000000000000004</v>
      </c>
      <c r="G27" s="189">
        <v>3.5</v>
      </c>
      <c r="H27" s="187">
        <v>4</v>
      </c>
      <c r="I27" s="189">
        <v>4</v>
      </c>
      <c r="J27" s="187">
        <v>3</v>
      </c>
      <c r="K27" s="189"/>
      <c r="L27" s="187"/>
    </row>
    <row r="28" spans="1:12" s="2" customFormat="1" ht="15" customHeight="1">
      <c r="A28" s="12">
        <v>2</v>
      </c>
      <c r="B28" s="10" t="str">
        <f>LIDER!H44</f>
        <v>GABRIEL DAVID SANCHEZ PARRA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3.88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SANTIAGO JOSE URIBE CRISTANCHO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3.88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85</v>
      </c>
      <c r="C33" s="88" t="s">
        <v>86</v>
      </c>
      <c r="D33" s="32" t="str">
        <f>D26</f>
        <v>LIST</v>
      </c>
      <c r="E33" s="89" t="s">
        <v>78</v>
      </c>
      <c r="F33" s="191" t="str">
        <f>LIDER!$E$33</f>
        <v>HUBEMAR S.A.S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IAN YORACO BERRIO CASTILLO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3.75</v>
      </c>
      <c r="F34" s="192">
        <v>4</v>
      </c>
      <c r="G34" s="189">
        <v>4</v>
      </c>
      <c r="H34" s="187">
        <v>3.5</v>
      </c>
      <c r="I34" s="189">
        <v>4</v>
      </c>
      <c r="J34" s="187">
        <v>3</v>
      </c>
      <c r="K34" s="189"/>
      <c r="L34" s="187"/>
    </row>
    <row r="35" spans="1:12" s="2" customFormat="1" ht="15" customHeight="1">
      <c r="A35" s="12">
        <v>2</v>
      </c>
      <c r="B35" s="10" t="str">
        <f>LIDER!E52</f>
        <v>BRAYAN DAVID JIMENEZ ECHENIQUE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3.75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CAMILO ANDRES RAMOS PERIÑAN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3.75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EMILY SHANNAY LARA GODOY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3.75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87</v>
      </c>
      <c r="C40" s="88" t="s">
        <v>88</v>
      </c>
      <c r="D40" s="32" t="str">
        <f>D33</f>
        <v>LIST</v>
      </c>
      <c r="E40" s="89" t="s">
        <v>78</v>
      </c>
      <c r="F40" s="191">
        <f>LIDER!$E$34</f>
        <v>0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2"/>
      <c r="G41" s="189"/>
      <c r="H41" s="187"/>
      <c r="I41" s="189"/>
      <c r="J41" s="187"/>
      <c r="K41" s="189"/>
      <c r="L41" s="18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89</v>
      </c>
      <c r="C47" s="88" t="s">
        <v>90</v>
      </c>
      <c r="D47" s="32" t="str">
        <f>D40</f>
        <v>LIST</v>
      </c>
      <c r="E47" s="89" t="s">
        <v>78</v>
      </c>
      <c r="F47" s="191">
        <f>LIDER!$E$35</f>
        <v>0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91</v>
      </c>
      <c r="C54" s="88" t="s">
        <v>92</v>
      </c>
      <c r="D54" s="32" t="str">
        <f>D47</f>
        <v>LIST</v>
      </c>
      <c r="E54" s="89" t="s">
        <v>78</v>
      </c>
      <c r="F54" s="191">
        <f>LIDER!$E$36</f>
        <v>0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93</v>
      </c>
      <c r="C61" s="88" t="s">
        <v>94</v>
      </c>
      <c r="D61" s="32" t="str">
        <f>D54</f>
        <v>LIST</v>
      </c>
      <c r="E61" s="89" t="s">
        <v>78</v>
      </c>
      <c r="F61" s="191">
        <f>LIDER!$E$37</f>
        <v>0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95</v>
      </c>
      <c r="C68" s="88" t="s">
        <v>96</v>
      </c>
      <c r="D68" s="32" t="str">
        <f>D61</f>
        <v>LIST</v>
      </c>
      <c r="E68" s="89" t="s">
        <v>78</v>
      </c>
      <c r="F68" s="191">
        <f>LIDER!$E$38</f>
        <v>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97</v>
      </c>
      <c r="C75" s="88" t="s">
        <v>98</v>
      </c>
      <c r="D75" s="32" t="str">
        <f>D68</f>
        <v>LIST</v>
      </c>
      <c r="E75" s="89" t="s">
        <v>78</v>
      </c>
      <c r="F75" s="191">
        <f>LIDER!$E$39</f>
        <v>0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99</v>
      </c>
      <c r="C82" s="88" t="s">
        <v>100</v>
      </c>
      <c r="D82" s="32" t="str">
        <f>D75</f>
        <v>LIST</v>
      </c>
      <c r="E82" s="89" t="s">
        <v>78</v>
      </c>
      <c r="F82" s="191">
        <f>LIDER!$E$40</f>
        <v>0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topLeftCell="G19" activePane="topRight" state="frozen"/>
      <selection pane="topRight" activeCell="J41" sqref="J41:J46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LIDER!E4</f>
        <v>TECNOLOGIA APLICADA</v>
      </c>
      <c r="C2" s="82"/>
      <c r="D2" s="3"/>
      <c r="F2" s="197" t="s">
        <v>73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74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CONCATENATE(LIDER!E4," - ",LIDER!E6," - ",LIDER!E5)</f>
        <v>TECNOLOGIA APLICADA - 2247 - WILMER SIMARRA CAÑATE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75</v>
      </c>
      <c r="C5" s="88" t="s">
        <v>76</v>
      </c>
      <c r="D5" s="32" t="s">
        <v>77</v>
      </c>
      <c r="E5" s="89" t="s">
        <v>78</v>
      </c>
      <c r="F5" s="191" t="str">
        <f>LIDER!$E$29</f>
        <v xml:space="preserve"> Agencia De Aduanas Granandina Ltda.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SANTIAGO PALOMINO CORDERO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4.7699999999999996</v>
      </c>
      <c r="F6" s="192">
        <v>4.8</v>
      </c>
      <c r="G6" s="189">
        <v>4.5</v>
      </c>
      <c r="H6" s="187">
        <v>4.7</v>
      </c>
      <c r="I6" s="189">
        <v>5</v>
      </c>
      <c r="J6" s="187">
        <v>5</v>
      </c>
      <c r="K6" s="189"/>
      <c r="L6" s="187"/>
    </row>
    <row r="7" spans="1:12" s="2" customFormat="1" ht="15" customHeight="1">
      <c r="A7" s="12">
        <v>2</v>
      </c>
      <c r="B7" s="10" t="str">
        <f>LIDER!E44</f>
        <v>TEDDY JAVIER RICO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4.7699999999999996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ENDRY YUREY ROSARIO SIERRA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4.7699999999999996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 t="str">
        <f>LIDER!E46</f>
        <v>EVA LUCIA RUIZ LARA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4.7699999999999996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 t="str">
        <f>LIDER!E47</f>
        <v xml:space="preserve">DILAN ANTONIO  BOSSIO LEAL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4.7699999999999996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 t="str">
        <f>LIDER!E48</f>
        <v xml:space="preserve">HELEN MARÍA  OCHOA RODRÍGUEZ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4.7699999999999996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79</v>
      </c>
      <c r="C12" s="88" t="s">
        <v>80</v>
      </c>
      <c r="D12" s="32" t="str">
        <f>D5</f>
        <v>LIST</v>
      </c>
      <c r="E12" s="89" t="s">
        <v>78</v>
      </c>
      <c r="F12" s="191" t="str">
        <f>LIDER!$E$30</f>
        <v>Maersk en los negocios internacionales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YANOSKI RICARDO CARCAMO MONROY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4.03</v>
      </c>
      <c r="F13" s="192">
        <v>4.3</v>
      </c>
      <c r="G13" s="189">
        <v>4</v>
      </c>
      <c r="H13" s="187">
        <v>3.9</v>
      </c>
      <c r="I13" s="189">
        <v>4.3</v>
      </c>
      <c r="J13" s="187">
        <v>3.4</v>
      </c>
      <c r="K13" s="189"/>
      <c r="L13" s="187"/>
    </row>
    <row r="14" spans="1:12" s="2" customFormat="1" ht="15" customHeight="1">
      <c r="A14" s="12">
        <v>2</v>
      </c>
      <c r="B14" s="10" t="str">
        <f>LIDER!F44</f>
        <v>RAY DAVID MENDOZA DAZA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4.03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SEBASTIAN OSORIO CORONADO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4.03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81</v>
      </c>
      <c r="C19" s="88" t="s">
        <v>82</v>
      </c>
      <c r="D19" s="32" t="str">
        <f>D12</f>
        <v>LIST</v>
      </c>
      <c r="E19" s="89" t="s">
        <v>78</v>
      </c>
      <c r="F19" s="191" t="str">
        <f>LIDER!$E$31</f>
        <v xml:space="preserve">Alpina Productos Alimentos 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2.94</v>
      </c>
      <c r="F20" s="192">
        <v>3.3</v>
      </c>
      <c r="G20" s="189">
        <v>3.5</v>
      </c>
      <c r="H20" s="187">
        <v>3</v>
      </c>
      <c r="I20" s="189">
        <v>2.9</v>
      </c>
      <c r="J20" s="187">
        <v>1</v>
      </c>
      <c r="K20" s="189"/>
      <c r="L20" s="187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2.94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2.94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DARWIN STIVEN TELLEZ ABRIL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2.94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 t="str">
        <f>LIDER!G47</f>
        <v xml:space="preserve">MICHELLE CAROLINA RODRIGUEZ SEVERICHE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2.94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83</v>
      </c>
      <c r="C26" s="88" t="s">
        <v>84</v>
      </c>
      <c r="D26" s="32" t="str">
        <f>D19</f>
        <v>LIST</v>
      </c>
      <c r="E26" s="89" t="s">
        <v>78</v>
      </c>
      <c r="F26" s="191" t="str">
        <f>LIDER!$E$32</f>
        <v xml:space="preserve"> Print Creativos,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JESUS JAVIER MARTINEZ MESTRA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3.23</v>
      </c>
      <c r="F27" s="192">
        <v>3.6</v>
      </c>
      <c r="G27" s="189">
        <v>3.4</v>
      </c>
      <c r="H27" s="187">
        <v>4.0999999999999996</v>
      </c>
      <c r="I27" s="189">
        <v>2.5</v>
      </c>
      <c r="J27" s="187">
        <v>1</v>
      </c>
      <c r="K27" s="189"/>
      <c r="L27" s="187"/>
    </row>
    <row r="28" spans="1:12" s="2" customFormat="1" ht="15" customHeight="1">
      <c r="A28" s="12">
        <v>2</v>
      </c>
      <c r="B28" s="10" t="str">
        <f>LIDER!H44</f>
        <v>GABRIEL DAVID SANCHEZ PARRA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3.23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SANTIAGO JOSE URIBE CRISTANCHO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3.23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85</v>
      </c>
      <c r="C33" s="88" t="s">
        <v>86</v>
      </c>
      <c r="D33" s="32" t="str">
        <f>D26</f>
        <v>LIST</v>
      </c>
      <c r="E33" s="89" t="s">
        <v>78</v>
      </c>
      <c r="F33" s="191" t="str">
        <f>LIDER!$E$33</f>
        <v>HUBEMAR S.A.S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IAN YORACO BERRIO CASTILLO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4.67</v>
      </c>
      <c r="F34" s="192">
        <v>4.4000000000000004</v>
      </c>
      <c r="G34" s="189">
        <v>4.4000000000000004</v>
      </c>
      <c r="H34" s="187">
        <v>4.7</v>
      </c>
      <c r="I34" s="189">
        <v>5</v>
      </c>
      <c r="J34" s="187">
        <v>5</v>
      </c>
      <c r="K34" s="189"/>
      <c r="L34" s="187"/>
    </row>
    <row r="35" spans="1:12" s="2" customFormat="1" ht="15" customHeight="1">
      <c r="A35" s="12">
        <v>2</v>
      </c>
      <c r="B35" s="10" t="str">
        <f>LIDER!E52</f>
        <v>BRAYAN DAVID JIMENEZ ECHENIQUE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4.67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CAMILO ANDRES RAMOS PERIÑAN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4.67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EMILY SHANNAY LARA GODOY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4.67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87</v>
      </c>
      <c r="C40" s="88" t="s">
        <v>88</v>
      </c>
      <c r="D40" s="32" t="str">
        <f>D33</f>
        <v>LIST</v>
      </c>
      <c r="E40" s="89" t="s">
        <v>78</v>
      </c>
      <c r="F40" s="191">
        <f>LIDER!$E$34</f>
        <v>0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2"/>
      <c r="G41" s="189"/>
      <c r="H41" s="187"/>
      <c r="I41" s="189"/>
      <c r="J41" s="187"/>
      <c r="K41" s="189"/>
      <c r="L41" s="18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89</v>
      </c>
      <c r="C47" s="88" t="s">
        <v>90</v>
      </c>
      <c r="D47" s="32" t="str">
        <f>D40</f>
        <v>LIST</v>
      </c>
      <c r="E47" s="89" t="s">
        <v>78</v>
      </c>
      <c r="F47" s="191">
        <f>LIDER!$E$35</f>
        <v>0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91</v>
      </c>
      <c r="C54" s="88" t="s">
        <v>92</v>
      </c>
      <c r="D54" s="32" t="str">
        <f>D47</f>
        <v>LIST</v>
      </c>
      <c r="E54" s="89" t="s">
        <v>78</v>
      </c>
      <c r="F54" s="191">
        <f>LIDER!$E$36</f>
        <v>0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93</v>
      </c>
      <c r="C61" s="88" t="s">
        <v>94</v>
      </c>
      <c r="D61" s="32" t="str">
        <f>D54</f>
        <v>LIST</v>
      </c>
      <c r="E61" s="89" t="s">
        <v>78</v>
      </c>
      <c r="F61" s="191">
        <f>LIDER!$E$37</f>
        <v>0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95</v>
      </c>
      <c r="C68" s="88" t="s">
        <v>96</v>
      </c>
      <c r="D68" s="32" t="str">
        <f>D61</f>
        <v>LIST</v>
      </c>
      <c r="E68" s="89" t="s">
        <v>78</v>
      </c>
      <c r="F68" s="191">
        <f>LIDER!$E$38</f>
        <v>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97</v>
      </c>
      <c r="C75" s="88" t="s">
        <v>98</v>
      </c>
      <c r="D75" s="32" t="str">
        <f>D68</f>
        <v>LIST</v>
      </c>
      <c r="E75" s="89" t="s">
        <v>78</v>
      </c>
      <c r="F75" s="191">
        <f>LIDER!$E$39</f>
        <v>0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99</v>
      </c>
      <c r="C82" s="88" t="s">
        <v>100</v>
      </c>
      <c r="D82" s="32" t="str">
        <f>D75</f>
        <v>LIST</v>
      </c>
      <c r="E82" s="89" t="s">
        <v>78</v>
      </c>
      <c r="F82" s="191">
        <f>LIDER!$E$40</f>
        <v>0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topLeftCell="F12" activePane="topRight" state="frozen"/>
      <selection pane="topRight" activeCell="F34" sqref="F34:F39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LIDER!F4</f>
        <v>MACROECONOMÍA</v>
      </c>
      <c r="C2" s="82"/>
      <c r="D2" s="3"/>
      <c r="F2" s="197" t="s">
        <v>73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74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CONCATENATE(LIDER!F4," - ",LIDER!F6," - ",LIDER!F5)</f>
        <v>MACROECONOMÍA - 1495 - JORGE ELIECER PAREJA SHAIKH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75</v>
      </c>
      <c r="C5" s="88" t="s">
        <v>76</v>
      </c>
      <c r="D5" s="32" t="s">
        <v>77</v>
      </c>
      <c r="E5" s="89" t="s">
        <v>78</v>
      </c>
      <c r="F5" s="191" t="str">
        <f>LIDER!$E$29</f>
        <v xml:space="preserve"> Agencia De Aduanas Granandina Ltda.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SANTIAGO PALOMINO CORDERO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4.32</v>
      </c>
      <c r="F6" s="192">
        <v>4.4000000000000004</v>
      </c>
      <c r="G6" s="189">
        <v>4.3</v>
      </c>
      <c r="H6" s="187">
        <v>4.4000000000000004</v>
      </c>
      <c r="I6" s="189">
        <v>4.2</v>
      </c>
      <c r="J6" s="187">
        <v>4.2</v>
      </c>
      <c r="K6" s="189"/>
      <c r="L6" s="187"/>
    </row>
    <row r="7" spans="1:12" s="2" customFormat="1" ht="15" customHeight="1">
      <c r="A7" s="12">
        <v>2</v>
      </c>
      <c r="B7" s="10" t="str">
        <f>LIDER!E44</f>
        <v>TEDDY JAVIER RICO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4.32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ENDRY YUREY ROSARIO SIERRA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4.32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 t="str">
        <f>LIDER!E46</f>
        <v>EVA LUCIA RUIZ LARA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4.32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 t="str">
        <f>LIDER!E47</f>
        <v xml:space="preserve">DILAN ANTONIO  BOSSIO LEAL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4.32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 t="str">
        <f>LIDER!E48</f>
        <v xml:space="preserve">HELEN MARÍA  OCHOA RODRÍGUEZ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4.32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79</v>
      </c>
      <c r="C12" s="88" t="s">
        <v>80</v>
      </c>
      <c r="D12" s="32" t="str">
        <f>D5</f>
        <v>LIST</v>
      </c>
      <c r="E12" s="89" t="s">
        <v>78</v>
      </c>
      <c r="F12" s="191" t="str">
        <f>LIDER!$E$30</f>
        <v>Maersk en los negocios internacionales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YANOSKI RICARDO CARCAMO MONROY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4.04</v>
      </c>
      <c r="F13" s="192">
        <v>4</v>
      </c>
      <c r="G13" s="189">
        <v>4</v>
      </c>
      <c r="H13" s="187">
        <v>4.2</v>
      </c>
      <c r="I13" s="189">
        <v>4</v>
      </c>
      <c r="J13" s="187">
        <v>3.8</v>
      </c>
      <c r="K13" s="189"/>
      <c r="L13" s="187"/>
    </row>
    <row r="14" spans="1:12" s="2" customFormat="1" ht="15" customHeight="1">
      <c r="A14" s="12">
        <v>2</v>
      </c>
      <c r="B14" s="10" t="str">
        <f>LIDER!F44</f>
        <v>RAY DAVID MENDOZA DAZA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4.04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SEBASTIAN OSORIO CORONADO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4.04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81</v>
      </c>
      <c r="C19" s="88" t="s">
        <v>82</v>
      </c>
      <c r="D19" s="32" t="str">
        <f>D12</f>
        <v>LIST</v>
      </c>
      <c r="E19" s="89" t="s">
        <v>78</v>
      </c>
      <c r="F19" s="191" t="str">
        <f>LIDER!$E$31</f>
        <v xml:space="preserve">Alpina Productos Alimentos 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192">
        <v>4.0999999999999996</v>
      </c>
      <c r="G20" s="189">
        <v>4.0999999999999996</v>
      </c>
      <c r="H20" s="187">
        <v>4.2</v>
      </c>
      <c r="I20" s="189">
        <v>3.9</v>
      </c>
      <c r="J20" s="187">
        <v>4.2</v>
      </c>
      <c r="K20" s="189"/>
      <c r="L20" s="187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DARWIN STIVEN TELLEZ ABRIL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 t="str">
        <f>LIDER!G47</f>
        <v xml:space="preserve">MICHELLE CAROLINA RODRIGUEZ SEVERICHE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4.0999999999999996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83</v>
      </c>
      <c r="C26" s="88" t="s">
        <v>84</v>
      </c>
      <c r="D26" s="32" t="str">
        <f>D19</f>
        <v>LIST</v>
      </c>
      <c r="E26" s="89" t="s">
        <v>78</v>
      </c>
      <c r="F26" s="191" t="str">
        <f>LIDER!$E$32</f>
        <v xml:space="preserve"> Print Creativos,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JESUS JAVIER MARTINEZ MESTRA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4.0299999999999994</v>
      </c>
      <c r="F27" s="192">
        <v>4</v>
      </c>
      <c r="G27" s="189">
        <v>4.0999999999999996</v>
      </c>
      <c r="H27" s="187">
        <v>4.2</v>
      </c>
      <c r="I27" s="189">
        <v>3.8</v>
      </c>
      <c r="J27" s="187">
        <v>3.9</v>
      </c>
      <c r="K27" s="189"/>
      <c r="L27" s="187"/>
    </row>
    <row r="28" spans="1:12" s="2" customFormat="1" ht="15" customHeight="1">
      <c r="A28" s="12">
        <v>2</v>
      </c>
      <c r="B28" s="10" t="str">
        <f>LIDER!H44</f>
        <v>GABRIEL DAVID SANCHEZ PARRA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4.0299999999999994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SANTIAGO JOSE URIBE CRISTANCHO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4.0299999999999994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85</v>
      </c>
      <c r="C33" s="88" t="s">
        <v>86</v>
      </c>
      <c r="D33" s="32" t="str">
        <f>D26</f>
        <v>LIST</v>
      </c>
      <c r="E33" s="89" t="s">
        <v>78</v>
      </c>
      <c r="F33" s="191" t="str">
        <f>LIDER!$E$33</f>
        <v>HUBEMAR S.A.S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IAN YORACO BERRIO CASTILLO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4.22</v>
      </c>
      <c r="F34" s="192">
        <v>4.2</v>
      </c>
      <c r="G34" s="189">
        <v>4.2</v>
      </c>
      <c r="H34" s="187">
        <v>4.4000000000000004</v>
      </c>
      <c r="I34" s="189">
        <v>4</v>
      </c>
      <c r="J34" s="187">
        <v>4.2</v>
      </c>
      <c r="K34" s="189"/>
      <c r="L34" s="187"/>
    </row>
    <row r="35" spans="1:12" s="2" customFormat="1" ht="15" customHeight="1">
      <c r="A35" s="12">
        <v>2</v>
      </c>
      <c r="B35" s="10" t="str">
        <f>LIDER!E52</f>
        <v>BRAYAN DAVID JIMENEZ ECHENIQUE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4.22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CAMILO ANDRES RAMOS PERIÑAN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4.22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EMILY SHANNAY LARA GODOY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4.22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87</v>
      </c>
      <c r="C40" s="88" t="s">
        <v>88</v>
      </c>
      <c r="D40" s="32" t="str">
        <f>D33</f>
        <v>LIST</v>
      </c>
      <c r="E40" s="89" t="s">
        <v>78</v>
      </c>
      <c r="F40" s="191">
        <f>LIDER!$E$34</f>
        <v>0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2"/>
      <c r="G41" s="189"/>
      <c r="H41" s="187"/>
      <c r="I41" s="189"/>
      <c r="J41" s="187"/>
      <c r="K41" s="189"/>
      <c r="L41" s="18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89</v>
      </c>
      <c r="C47" s="88" t="s">
        <v>90</v>
      </c>
      <c r="D47" s="32" t="str">
        <f>D40</f>
        <v>LIST</v>
      </c>
      <c r="E47" s="89" t="s">
        <v>78</v>
      </c>
      <c r="F47" s="191">
        <f>LIDER!$E$35</f>
        <v>0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91</v>
      </c>
      <c r="C54" s="88" t="s">
        <v>92</v>
      </c>
      <c r="D54" s="32" t="str">
        <f>D47</f>
        <v>LIST</v>
      </c>
      <c r="E54" s="89" t="s">
        <v>78</v>
      </c>
      <c r="F54" s="191">
        <f>LIDER!$E$36</f>
        <v>0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93</v>
      </c>
      <c r="C61" s="88" t="s">
        <v>94</v>
      </c>
      <c r="D61" s="32" t="str">
        <f>D54</f>
        <v>LIST</v>
      </c>
      <c r="E61" s="89" t="s">
        <v>78</v>
      </c>
      <c r="F61" s="191">
        <f>LIDER!$E$37</f>
        <v>0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95</v>
      </c>
      <c r="C68" s="88" t="s">
        <v>96</v>
      </c>
      <c r="D68" s="32" t="str">
        <f>D61</f>
        <v>LIST</v>
      </c>
      <c r="E68" s="89" t="s">
        <v>78</v>
      </c>
      <c r="F68" s="191">
        <f>LIDER!$E$38</f>
        <v>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97</v>
      </c>
      <c r="C75" s="88" t="s">
        <v>98</v>
      </c>
      <c r="D75" s="32" t="str">
        <f>D68</f>
        <v>LIST</v>
      </c>
      <c r="E75" s="89" t="s">
        <v>78</v>
      </c>
      <c r="F75" s="191">
        <f>LIDER!$E$39</f>
        <v>0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99</v>
      </c>
      <c r="C82" s="88" t="s">
        <v>100</v>
      </c>
      <c r="D82" s="32" t="str">
        <f>D75</f>
        <v>LIST</v>
      </c>
      <c r="E82" s="89" t="s">
        <v>78</v>
      </c>
      <c r="F82" s="191">
        <f>LIDER!$E$40</f>
        <v>0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topLeftCell="F16" activePane="topRight" state="frozen"/>
      <selection pane="topRight" activeCell="G27" sqref="G27:G32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LIDER!G4</f>
        <v>MATEMÁTICAS FINANCIERAS</v>
      </c>
      <c r="C2" s="82"/>
      <c r="D2" s="3"/>
      <c r="F2" s="197" t="s">
        <v>73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74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CONCATENATE(LIDER!G4," - ",LIDER!G6," - ",LIDER!G5)</f>
        <v>MATEMÁTICAS FINANCIERAS - 1363 - JAVIER MARTINEZ PEREZ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75</v>
      </c>
      <c r="C5" s="88" t="s">
        <v>76</v>
      </c>
      <c r="D5" s="32" t="s">
        <v>77</v>
      </c>
      <c r="E5" s="89" t="s">
        <v>78</v>
      </c>
      <c r="F5" s="191" t="str">
        <f>LIDER!$E$29</f>
        <v xml:space="preserve"> Agencia De Aduanas Granandina Ltda.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SANTIAGO PALOMINO CORDERO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4.16</v>
      </c>
      <c r="F6" s="192">
        <v>4.2</v>
      </c>
      <c r="G6" s="189">
        <v>4.5</v>
      </c>
      <c r="H6" s="187">
        <v>4</v>
      </c>
      <c r="I6" s="189">
        <v>4</v>
      </c>
      <c r="J6" s="187">
        <v>4.2</v>
      </c>
      <c r="K6" s="189"/>
      <c r="L6" s="187"/>
    </row>
    <row r="7" spans="1:12" s="2" customFormat="1" ht="15" customHeight="1">
      <c r="A7" s="12">
        <v>2</v>
      </c>
      <c r="B7" s="10" t="str">
        <f>LIDER!E44</f>
        <v>TEDDY JAVIER RICO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4.16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ENDRY YUREY ROSARIO SIERRA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4.16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 t="str">
        <f>LIDER!E46</f>
        <v>EVA LUCIA RUIZ LARA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4.16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 t="str">
        <f>LIDER!E47</f>
        <v xml:space="preserve">DILAN ANTONIO  BOSSIO LEAL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4.16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 t="str">
        <f>LIDER!E48</f>
        <v xml:space="preserve">HELEN MARÍA  OCHOA RODRÍGUEZ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4.16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79</v>
      </c>
      <c r="C12" s="88" t="s">
        <v>80</v>
      </c>
      <c r="D12" s="32" t="str">
        <f>D5</f>
        <v>LIST</v>
      </c>
      <c r="E12" s="89" t="s">
        <v>78</v>
      </c>
      <c r="F12" s="191" t="str">
        <f>LIDER!$E$30</f>
        <v>Maersk en los negocios internacionales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YANOSKI RICARDO CARCAMO MONROY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3.8999999999999995</v>
      </c>
      <c r="F13" s="192">
        <v>4</v>
      </c>
      <c r="G13" s="189">
        <v>4</v>
      </c>
      <c r="H13" s="187">
        <v>4</v>
      </c>
      <c r="I13" s="189">
        <v>4</v>
      </c>
      <c r="J13" s="187">
        <v>3</v>
      </c>
      <c r="K13" s="189"/>
      <c r="L13" s="187"/>
    </row>
    <row r="14" spans="1:12" s="2" customFormat="1" ht="15" customHeight="1">
      <c r="A14" s="12">
        <v>2</v>
      </c>
      <c r="B14" s="10" t="str">
        <f>LIDER!F44</f>
        <v>RAY DAVID MENDOZA DAZA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3.8999999999999995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SEBASTIAN OSORIO CORONADO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3.8999999999999995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81</v>
      </c>
      <c r="C19" s="88" t="s">
        <v>82</v>
      </c>
      <c r="D19" s="32" t="str">
        <f>D12</f>
        <v>LIST</v>
      </c>
      <c r="E19" s="89" t="s">
        <v>78</v>
      </c>
      <c r="F19" s="191" t="str">
        <f>LIDER!$E$31</f>
        <v xml:space="preserve">Alpina Productos Alimentos 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3.4200000000000008</v>
      </c>
      <c r="F20" s="192">
        <v>3.5</v>
      </c>
      <c r="G20" s="189">
        <v>3.7</v>
      </c>
      <c r="H20" s="187">
        <v>3.6</v>
      </c>
      <c r="I20" s="189">
        <v>3</v>
      </c>
      <c r="J20" s="187">
        <v>3</v>
      </c>
      <c r="K20" s="189"/>
      <c r="L20" s="187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3.4200000000000008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3.4200000000000008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DARWIN STIVEN TELLEZ ABRIL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3.4200000000000008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 t="str">
        <f>LIDER!G47</f>
        <v xml:space="preserve">MICHELLE CAROLINA RODRIGUEZ SEVERICHE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3.4200000000000008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83</v>
      </c>
      <c r="C26" s="88" t="s">
        <v>84</v>
      </c>
      <c r="D26" s="32" t="str">
        <f>D19</f>
        <v>LIST</v>
      </c>
      <c r="E26" s="89" t="s">
        <v>78</v>
      </c>
      <c r="F26" s="191" t="str">
        <f>LIDER!$E$32</f>
        <v xml:space="preserve"> Print Creativos,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JESUS JAVIER MARTINEZ MESTRA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2.8000000000000003</v>
      </c>
      <c r="F27" s="192">
        <v>3</v>
      </c>
      <c r="G27" s="189">
        <v>3</v>
      </c>
      <c r="H27" s="187">
        <v>3</v>
      </c>
      <c r="I27" s="189">
        <v>3</v>
      </c>
      <c r="J27" s="187">
        <v>1</v>
      </c>
      <c r="K27" s="189"/>
      <c r="L27" s="187"/>
    </row>
    <row r="28" spans="1:12" s="2" customFormat="1" ht="15" customHeight="1">
      <c r="A28" s="12">
        <v>2</v>
      </c>
      <c r="B28" s="10" t="str">
        <f>LIDER!H44</f>
        <v>GABRIEL DAVID SANCHEZ PARRA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2.8000000000000003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SANTIAGO JOSE URIBE CRISTANCHO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2.8000000000000003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85</v>
      </c>
      <c r="C33" s="88" t="s">
        <v>86</v>
      </c>
      <c r="D33" s="32" t="str">
        <f>D26</f>
        <v>LIST</v>
      </c>
      <c r="E33" s="89" t="s">
        <v>78</v>
      </c>
      <c r="F33" s="191" t="str">
        <f>LIDER!$E$33</f>
        <v>HUBEMAR S.A.S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IAN YORACO BERRIO CASTILLO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3.5500000000000003</v>
      </c>
      <c r="F34" s="192">
        <v>3.5</v>
      </c>
      <c r="G34" s="189">
        <v>3.5</v>
      </c>
      <c r="H34" s="187">
        <v>3.5</v>
      </c>
      <c r="I34" s="189">
        <v>3.5</v>
      </c>
      <c r="J34" s="187">
        <v>4</v>
      </c>
      <c r="K34" s="189"/>
      <c r="L34" s="187"/>
    </row>
    <row r="35" spans="1:12" s="2" customFormat="1" ht="15" customHeight="1">
      <c r="A35" s="12">
        <v>2</v>
      </c>
      <c r="B35" s="10" t="str">
        <f>LIDER!E52</f>
        <v>BRAYAN DAVID JIMENEZ ECHENIQUE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3.5500000000000003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CAMILO ANDRES RAMOS PERIÑAN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3.5500000000000003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EMILY SHANNAY LARA GODOY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3.5500000000000003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87</v>
      </c>
      <c r="C40" s="88" t="s">
        <v>88</v>
      </c>
      <c r="D40" s="32" t="str">
        <f>D33</f>
        <v>LIST</v>
      </c>
      <c r="E40" s="89" t="s">
        <v>78</v>
      </c>
      <c r="F40" s="191">
        <f>LIDER!$E$34</f>
        <v>0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2"/>
      <c r="G41" s="189"/>
      <c r="H41" s="187"/>
      <c r="I41" s="189"/>
      <c r="J41" s="187"/>
      <c r="K41" s="189"/>
      <c r="L41" s="18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89</v>
      </c>
      <c r="C47" s="88" t="s">
        <v>90</v>
      </c>
      <c r="D47" s="32" t="str">
        <f>D40</f>
        <v>LIST</v>
      </c>
      <c r="E47" s="89" t="s">
        <v>78</v>
      </c>
      <c r="F47" s="191">
        <f>LIDER!$E$35</f>
        <v>0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91</v>
      </c>
      <c r="C54" s="88" t="s">
        <v>92</v>
      </c>
      <c r="D54" s="32" t="str">
        <f>D47</f>
        <v>LIST</v>
      </c>
      <c r="E54" s="89" t="s">
        <v>78</v>
      </c>
      <c r="F54" s="191">
        <f>LIDER!$E$36</f>
        <v>0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93</v>
      </c>
      <c r="C61" s="88" t="s">
        <v>94</v>
      </c>
      <c r="D61" s="32" t="str">
        <f>D54</f>
        <v>LIST</v>
      </c>
      <c r="E61" s="89" t="s">
        <v>78</v>
      </c>
      <c r="F61" s="191">
        <f>LIDER!$E$37</f>
        <v>0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95</v>
      </c>
      <c r="C68" s="88" t="s">
        <v>96</v>
      </c>
      <c r="D68" s="32" t="str">
        <f>D61</f>
        <v>LIST</v>
      </c>
      <c r="E68" s="89" t="s">
        <v>78</v>
      </c>
      <c r="F68" s="191">
        <f>LIDER!$E$38</f>
        <v>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97</v>
      </c>
      <c r="C75" s="88" t="s">
        <v>98</v>
      </c>
      <c r="D75" s="32" t="str">
        <f>D68</f>
        <v>LIST</v>
      </c>
      <c r="E75" s="89" t="s">
        <v>78</v>
      </c>
      <c r="F75" s="191">
        <f>LIDER!$E$39</f>
        <v>0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99</v>
      </c>
      <c r="C82" s="88" t="s">
        <v>100</v>
      </c>
      <c r="D82" s="32" t="str">
        <f>D75</f>
        <v>LIST</v>
      </c>
      <c r="E82" s="89" t="s">
        <v>78</v>
      </c>
      <c r="F82" s="191">
        <f>LIDER!$E$40</f>
        <v>0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topLeftCell="F1" activePane="topRight" state="frozen"/>
      <selection pane="topRight" activeCell="G6" sqref="G6:G11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>
        <f>LIDER!H4</f>
        <v>0</v>
      </c>
      <c r="C2" s="82"/>
      <c r="D2" s="3"/>
      <c r="F2" s="197" t="s">
        <v>73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74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CONCATENATE(LIDER!H4," - ",LIDER!H6," - ",LIDER!H5)</f>
        <v xml:space="preserve"> -  - 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75</v>
      </c>
      <c r="C5" s="88" t="s">
        <v>76</v>
      </c>
      <c r="D5" s="32" t="s">
        <v>77</v>
      </c>
      <c r="E5" s="89" t="s">
        <v>78</v>
      </c>
      <c r="F5" s="191" t="str">
        <f>LIDER!$E$29</f>
        <v xml:space="preserve"> Agencia De Aduanas Granandina Ltda.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SANTIAGO PALOMINO CORDERO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2"/>
      <c r="G6" s="189"/>
      <c r="H6" s="187"/>
      <c r="I6" s="189"/>
      <c r="J6" s="187"/>
      <c r="K6" s="189"/>
      <c r="L6" s="187"/>
    </row>
    <row r="7" spans="1:12" s="2" customFormat="1" ht="15" customHeight="1">
      <c r="A7" s="12">
        <v>2</v>
      </c>
      <c r="B7" s="10" t="str">
        <f>LIDER!E44</f>
        <v>TEDDY JAVIER RICO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ENDRY YUREY ROSARIO SIERRA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 t="str">
        <f>LIDER!E46</f>
        <v>EVA LUCIA RUIZ LARA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 t="str">
        <f>LIDER!E47</f>
        <v xml:space="preserve">DILAN ANTONIO  BOSSIO LEAL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 t="str">
        <f>LIDER!E48</f>
        <v xml:space="preserve">HELEN MARÍA  OCHOA RODRÍGUEZ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79</v>
      </c>
      <c r="C12" s="88" t="s">
        <v>80</v>
      </c>
      <c r="D12" s="32" t="str">
        <f>D5</f>
        <v>LIST</v>
      </c>
      <c r="E12" s="89" t="s">
        <v>78</v>
      </c>
      <c r="F12" s="191" t="str">
        <f>LIDER!$E$30</f>
        <v>Maersk en los negocios internacionales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YANOSKI RICARDO CARCAMO MONROY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2"/>
      <c r="G13" s="189"/>
      <c r="H13" s="187"/>
      <c r="I13" s="189"/>
      <c r="J13" s="187"/>
      <c r="K13" s="189"/>
      <c r="L13" s="187"/>
    </row>
    <row r="14" spans="1:12" s="2" customFormat="1" ht="15" customHeight="1">
      <c r="A14" s="12">
        <v>2</v>
      </c>
      <c r="B14" s="10" t="str">
        <f>LIDER!F44</f>
        <v>RAY DAVID MENDOZA DAZA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SEBASTIAN OSORIO CORONADO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81</v>
      </c>
      <c r="C19" s="88" t="s">
        <v>82</v>
      </c>
      <c r="D19" s="32" t="str">
        <f>D12</f>
        <v>LIST</v>
      </c>
      <c r="E19" s="89" t="s">
        <v>78</v>
      </c>
      <c r="F19" s="191" t="str">
        <f>LIDER!$E$31</f>
        <v xml:space="preserve">Alpina Productos Alimentos 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2"/>
      <c r="G20" s="189"/>
      <c r="H20" s="187"/>
      <c r="I20" s="189"/>
      <c r="J20" s="187"/>
      <c r="K20" s="189"/>
      <c r="L20" s="187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DARWIN STIVEN TELLEZ ABRIL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 t="str">
        <f>LIDER!G47</f>
        <v xml:space="preserve">MICHELLE CAROLINA RODRIGUEZ SEVERICHE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83</v>
      </c>
      <c r="C26" s="88" t="s">
        <v>84</v>
      </c>
      <c r="D26" s="32" t="str">
        <f>D19</f>
        <v>LIST</v>
      </c>
      <c r="E26" s="89" t="s">
        <v>78</v>
      </c>
      <c r="F26" s="191" t="str">
        <f>LIDER!$E$32</f>
        <v xml:space="preserve"> Print Creativos,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JESUS JAVIER MARTINEZ MESTRA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2"/>
      <c r="G27" s="189"/>
      <c r="H27" s="187"/>
      <c r="I27" s="189"/>
      <c r="J27" s="187"/>
      <c r="K27" s="189"/>
      <c r="L27" s="187"/>
    </row>
    <row r="28" spans="1:12" s="2" customFormat="1" ht="15" customHeight="1">
      <c r="A28" s="12">
        <v>2</v>
      </c>
      <c r="B28" s="10" t="str">
        <f>LIDER!H44</f>
        <v>GABRIEL DAVID SANCHEZ PARRA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SANTIAGO JOSE URIBE CRISTANCHO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85</v>
      </c>
      <c r="C33" s="88" t="s">
        <v>86</v>
      </c>
      <c r="D33" s="32" t="str">
        <f>D26</f>
        <v>LIST</v>
      </c>
      <c r="E33" s="89" t="s">
        <v>78</v>
      </c>
      <c r="F33" s="191" t="str">
        <f>LIDER!$E$33</f>
        <v>HUBEMAR S.A.S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IAN YORACO BERRIO CASTILLO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2"/>
      <c r="G34" s="189"/>
      <c r="H34" s="187"/>
      <c r="I34" s="189"/>
      <c r="J34" s="187"/>
      <c r="K34" s="189"/>
      <c r="L34" s="187"/>
    </row>
    <row r="35" spans="1:12" s="2" customFormat="1" ht="15" customHeight="1">
      <c r="A35" s="12">
        <v>2</v>
      </c>
      <c r="B35" s="10" t="str">
        <f>LIDER!E52</f>
        <v>BRAYAN DAVID JIMENEZ ECHENIQUE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CAMILO ANDRES RAMOS PERIÑAN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EMILY SHANNAY LARA GODOY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87</v>
      </c>
      <c r="C40" s="88" t="s">
        <v>88</v>
      </c>
      <c r="D40" s="32" t="str">
        <f>D33</f>
        <v>LIST</v>
      </c>
      <c r="E40" s="89" t="s">
        <v>78</v>
      </c>
      <c r="F40" s="191">
        <f>LIDER!$E$34</f>
        <v>0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2"/>
      <c r="G41" s="189"/>
      <c r="H41" s="187"/>
      <c r="I41" s="189"/>
      <c r="J41" s="187"/>
      <c r="K41" s="189"/>
      <c r="L41" s="18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89</v>
      </c>
      <c r="C47" s="88" t="s">
        <v>90</v>
      </c>
      <c r="D47" s="32" t="str">
        <f>D40</f>
        <v>LIST</v>
      </c>
      <c r="E47" s="89" t="s">
        <v>78</v>
      </c>
      <c r="F47" s="191">
        <f>LIDER!$E$35</f>
        <v>0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91</v>
      </c>
      <c r="C54" s="88" t="s">
        <v>92</v>
      </c>
      <c r="D54" s="32" t="str">
        <f>D47</f>
        <v>LIST</v>
      </c>
      <c r="E54" s="89" t="s">
        <v>78</v>
      </c>
      <c r="F54" s="191">
        <f>LIDER!$E$36</f>
        <v>0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93</v>
      </c>
      <c r="C61" s="88" t="s">
        <v>94</v>
      </c>
      <c r="D61" s="32" t="str">
        <f>D54</f>
        <v>LIST</v>
      </c>
      <c r="E61" s="89" t="s">
        <v>78</v>
      </c>
      <c r="F61" s="191">
        <f>LIDER!$E$37</f>
        <v>0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95</v>
      </c>
      <c r="C68" s="88" t="s">
        <v>96</v>
      </c>
      <c r="D68" s="32" t="str">
        <f>D61</f>
        <v>LIST</v>
      </c>
      <c r="E68" s="89" t="s">
        <v>78</v>
      </c>
      <c r="F68" s="191">
        <f>LIDER!$E$38</f>
        <v>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97</v>
      </c>
      <c r="C75" s="88" t="s">
        <v>98</v>
      </c>
      <c r="D75" s="32" t="str">
        <f>D68</f>
        <v>LIST</v>
      </c>
      <c r="E75" s="89" t="s">
        <v>78</v>
      </c>
      <c r="F75" s="191">
        <f>LIDER!$E$39</f>
        <v>0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99</v>
      </c>
      <c r="C82" s="88" t="s">
        <v>100</v>
      </c>
      <c r="D82" s="32" t="str">
        <f>D75</f>
        <v>LIST</v>
      </c>
      <c r="E82" s="89" t="s">
        <v>78</v>
      </c>
      <c r="F82" s="191">
        <f>LIDER!$E$40</f>
        <v>0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topLeftCell="F30" activePane="topRight" state="frozen"/>
      <selection pane="topRight" activeCell="F34" sqref="F34:J39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>
        <f>LIDER!I4</f>
        <v>0</v>
      </c>
      <c r="C2" s="82"/>
      <c r="D2" s="3"/>
      <c r="F2" s="197" t="s">
        <v>73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74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CONCATENATE(LIDER!I4," - ",LIDER!I6," - ",LIDER!I5)</f>
        <v xml:space="preserve"> -  - 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75</v>
      </c>
      <c r="C5" s="88" t="s">
        <v>76</v>
      </c>
      <c r="D5" s="32" t="s">
        <v>77</v>
      </c>
      <c r="E5" s="89" t="s">
        <v>78</v>
      </c>
      <c r="F5" s="191" t="str">
        <f>LIDER!$E$29</f>
        <v xml:space="preserve"> Agencia De Aduanas Granandina Ltda.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SANTIAGO PALOMINO CORDERO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2"/>
      <c r="G6" s="189"/>
      <c r="H6" s="187"/>
      <c r="I6" s="189"/>
      <c r="J6" s="187"/>
      <c r="K6" s="189"/>
      <c r="L6" s="187"/>
    </row>
    <row r="7" spans="1:12" s="2" customFormat="1" ht="15" customHeight="1">
      <c r="A7" s="12">
        <v>2</v>
      </c>
      <c r="B7" s="10" t="str">
        <f>LIDER!E44</f>
        <v>TEDDY JAVIER RICO PEREZ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ENDRY YUREY ROSARIO SIERRA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 t="str">
        <f>LIDER!E46</f>
        <v>EVA LUCIA RUIZ LARA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 t="str">
        <f>LIDER!E47</f>
        <v xml:space="preserve">DILAN ANTONIO  BOSSIO LEAL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 t="str">
        <f>LIDER!E48</f>
        <v xml:space="preserve">HELEN MARÍA  OCHOA RODRÍGUEZ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79</v>
      </c>
      <c r="C12" s="88" t="s">
        <v>80</v>
      </c>
      <c r="D12" s="32" t="str">
        <f>D5</f>
        <v>LIST</v>
      </c>
      <c r="E12" s="89" t="s">
        <v>78</v>
      </c>
      <c r="F12" s="191" t="str">
        <f>LIDER!$E$30</f>
        <v>Maersk en los negocios internacionales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YANOSKI RICARDO CARCAMO MONROY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2"/>
      <c r="G13" s="189"/>
      <c r="H13" s="187"/>
      <c r="I13" s="189"/>
      <c r="J13" s="187"/>
      <c r="K13" s="189"/>
      <c r="L13" s="187"/>
    </row>
    <row r="14" spans="1:12" s="2" customFormat="1" ht="15" customHeight="1">
      <c r="A14" s="12">
        <v>2</v>
      </c>
      <c r="B14" s="10" t="str">
        <f>LIDER!F44</f>
        <v>RAY DAVID MENDOZA DAZA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SEBASTIAN OSORIO CORONADO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81</v>
      </c>
      <c r="C19" s="88" t="s">
        <v>82</v>
      </c>
      <c r="D19" s="32" t="str">
        <f>D12</f>
        <v>LIST</v>
      </c>
      <c r="E19" s="89" t="s">
        <v>78</v>
      </c>
      <c r="F19" s="191" t="str">
        <f>LIDER!$E$31</f>
        <v xml:space="preserve">Alpina Productos Alimentos 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2"/>
      <c r="G20" s="189"/>
      <c r="H20" s="187"/>
      <c r="I20" s="189"/>
      <c r="J20" s="187"/>
      <c r="K20" s="189"/>
      <c r="L20" s="187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DARWIN STIVEN TELLEZ ABRIL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 t="str">
        <f>LIDER!G47</f>
        <v xml:space="preserve">MICHELLE CAROLINA RODRIGUEZ SEVERICHE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83</v>
      </c>
      <c r="C26" s="88" t="s">
        <v>84</v>
      </c>
      <c r="D26" s="32" t="str">
        <f>D19</f>
        <v>LIST</v>
      </c>
      <c r="E26" s="89" t="s">
        <v>78</v>
      </c>
      <c r="F26" s="191" t="str">
        <f>LIDER!$E$32</f>
        <v xml:space="preserve"> Print Creativos,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JESUS JAVIER MARTINEZ MESTRA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2"/>
      <c r="G27" s="189"/>
      <c r="H27" s="187"/>
      <c r="I27" s="189"/>
      <c r="J27" s="187"/>
      <c r="K27" s="189"/>
      <c r="L27" s="187"/>
    </row>
    <row r="28" spans="1:12" s="2" customFormat="1" ht="15" customHeight="1">
      <c r="A28" s="12">
        <v>2</v>
      </c>
      <c r="B28" s="10" t="str">
        <f>LIDER!H44</f>
        <v>GABRIEL DAVID SANCHEZ PARRA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SANTIAGO JOSE URIBE CRISTANCHO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85</v>
      </c>
      <c r="C33" s="88" t="s">
        <v>86</v>
      </c>
      <c r="D33" s="32" t="str">
        <f>D26</f>
        <v>LIST</v>
      </c>
      <c r="E33" s="89" t="s">
        <v>78</v>
      </c>
      <c r="F33" s="191" t="str">
        <f>LIDER!$E$33</f>
        <v>HUBEMAR S.A.S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IAN YORACO BERRIO CASTILLO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2"/>
      <c r="G34" s="189"/>
      <c r="H34" s="187"/>
      <c r="I34" s="189"/>
      <c r="J34" s="187"/>
      <c r="K34" s="189"/>
      <c r="L34" s="187"/>
    </row>
    <row r="35" spans="1:12" s="2" customFormat="1" ht="15" customHeight="1">
      <c r="A35" s="12">
        <v>2</v>
      </c>
      <c r="B35" s="10" t="str">
        <f>LIDER!E52</f>
        <v>BRAYAN DAVID JIMENEZ ECHENIQUE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CAMILO ANDRES RAMOS PERIÑAN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EMILY SHANNAY LARA GODOY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87</v>
      </c>
      <c r="C40" s="88" t="s">
        <v>88</v>
      </c>
      <c r="D40" s="32" t="str">
        <f>D33</f>
        <v>LIST</v>
      </c>
      <c r="E40" s="89" t="s">
        <v>78</v>
      </c>
      <c r="F40" s="191">
        <f>LIDER!$E$34</f>
        <v>0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2"/>
      <c r="G41" s="189"/>
      <c r="H41" s="187"/>
      <c r="I41" s="189"/>
      <c r="J41" s="187"/>
      <c r="K41" s="189"/>
      <c r="L41" s="18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89</v>
      </c>
      <c r="C47" s="88" t="s">
        <v>90</v>
      </c>
      <c r="D47" s="32" t="str">
        <f>D40</f>
        <v>LIST</v>
      </c>
      <c r="E47" s="89" t="s">
        <v>78</v>
      </c>
      <c r="F47" s="191">
        <f>LIDER!$E$35</f>
        <v>0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91</v>
      </c>
      <c r="C54" s="88" t="s">
        <v>92</v>
      </c>
      <c r="D54" s="32" t="str">
        <f>D47</f>
        <v>LIST</v>
      </c>
      <c r="E54" s="89" t="s">
        <v>78</v>
      </c>
      <c r="F54" s="191">
        <f>LIDER!$E$36</f>
        <v>0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93</v>
      </c>
      <c r="C61" s="88" t="s">
        <v>94</v>
      </c>
      <c r="D61" s="32" t="str">
        <f>D54</f>
        <v>LIST</v>
      </c>
      <c r="E61" s="89" t="s">
        <v>78</v>
      </c>
      <c r="F61" s="191">
        <f>LIDER!$E$37</f>
        <v>0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95</v>
      </c>
      <c r="C68" s="88" t="s">
        <v>96</v>
      </c>
      <c r="D68" s="32" t="str">
        <f>D61</f>
        <v>LIST</v>
      </c>
      <c r="E68" s="89" t="s">
        <v>78</v>
      </c>
      <c r="F68" s="191">
        <f>LIDER!$E$38</f>
        <v>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97</v>
      </c>
      <c r="C75" s="88" t="s">
        <v>98</v>
      </c>
      <c r="D75" s="32" t="str">
        <f>D68</f>
        <v>LIST</v>
      </c>
      <c r="E75" s="89" t="s">
        <v>78</v>
      </c>
      <c r="F75" s="191">
        <f>LIDER!$E$39</f>
        <v>0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99</v>
      </c>
      <c r="C82" s="88" t="s">
        <v>100</v>
      </c>
      <c r="D82" s="32" t="str">
        <f>D75</f>
        <v>LIST</v>
      </c>
      <c r="E82" s="89" t="s">
        <v>78</v>
      </c>
      <c r="F82" s="191">
        <f>LIDER!$E$40</f>
        <v>0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LIDER!C4</f>
        <v>INTERNACIONALIZACION</v>
      </c>
      <c r="C2" s="3"/>
      <c r="E2" s="202" t="s">
        <v>73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74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CONCATENATE(LIDER!C4," - ",LIDER!C6," - ",LIDER!C5)</f>
        <v>INTERNACIONALIZACION - 2346 - SANDRA MILENA CASTAÑO GIRALDO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75</v>
      </c>
      <c r="C5" s="32" t="str">
        <f>IF('S-ASIG-01'!D5="","",'S-ASIG-01'!D5)</f>
        <v>LIST</v>
      </c>
      <c r="D5" s="35" t="s">
        <v>78</v>
      </c>
      <c r="E5" s="205" t="str">
        <f>LIDER!$E$29</f>
        <v xml:space="preserve"> Agencia De Aduanas Granandina Ltda.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SANTIAGO PALOMINO CORDERO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TEDDY JAVIER RICO PEREZ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ENDRY YUREY ROSARIO SIERRA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EVA LUCIA RUIZ LARA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DILAN ANTONIO  BOSSIO LEAL 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 xml:space="preserve">HELEN MARÍA  OCHOA RODRÍGUEZ 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0</v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79</v>
      </c>
      <c r="C12" s="32" t="str">
        <f>IF('S-ASIG-01'!D12="","",'S-ASIG-01'!D12)</f>
        <v>LIST</v>
      </c>
      <c r="D12" s="35" t="s">
        <v>78</v>
      </c>
      <c r="E12" s="205" t="str">
        <f>LIDER!$E$30</f>
        <v>Maersk en los negocios internacionales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YANOSKI RICARDO CARCAMO MONROY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RAY DAVID MENDOZA DAZA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SEBASTIAN OSORIO CORONADO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IF('S-ASIG-01'!D16="","",'S-ASIG-01'!D16)</f>
        <v/>
      </c>
      <c r="D16" s="30" t="str">
        <f>IF(B16=0,"",IF(C16="",$E$13*LIDER!$H$19+F16*LIDER!$H$20+G16*LIDER!$H$21+H16*LIDER!$H$22+I16*LIDER!$H$23+J16*LIDER!$H$24+K16*LIDER!$H$25,"N"))</f>
        <v/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81</v>
      </c>
      <c r="C19" s="32" t="str">
        <f>IF('S-ASIG-01'!D19="","",'S-ASIG-01'!D19)</f>
        <v>LIST</v>
      </c>
      <c r="D19" s="35" t="s">
        <v>78</v>
      </c>
      <c r="E19" s="205" t="str">
        <f>LIDER!$E$31</f>
        <v xml:space="preserve">Alpina Productos Alimentos 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DARWIN STIVEN TELLEZ ABRIL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MICHELLE CAROLINA RODRIGUEZ SEVERICHE 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83</v>
      </c>
      <c r="C26" s="32" t="str">
        <f>IF('S-ASIG-01'!D26="","",'S-ASIG-01'!D26)</f>
        <v>LIST</v>
      </c>
      <c r="D26" s="35" t="s">
        <v>78</v>
      </c>
      <c r="E26" s="205" t="str">
        <f>LIDER!$E$32</f>
        <v xml:space="preserve"> Print Creativos,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JESUS JAVIER MARTINEZ MESTRA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GABRIEL DAVID SANCHEZ PARRA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SANTIAGO JOSE URIBE CRISTANCHO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85</v>
      </c>
      <c r="C33" s="32" t="str">
        <f>IF('S-ASIG-01'!D33="","",'S-ASIG-01'!D33)</f>
        <v>LIST</v>
      </c>
      <c r="D33" s="35" t="s">
        <v>78</v>
      </c>
      <c r="E33" s="205" t="str">
        <f>LIDER!$E$33</f>
        <v>HUBEMAR S.A.S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IAN YORACO BERRIO CASTILLO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BRAYAN DAVID JIMENEZ ECHENIQUE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CAMILO ANDRES RAMOS PERIÑAN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EMILY SHANNAY LARA GODOY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87</v>
      </c>
      <c r="C40" s="32" t="str">
        <f>IF('S-ASIG-01'!D40="","",'S-ASIG-01'!D40)</f>
        <v>LIST</v>
      </c>
      <c r="D40" s="35" t="s">
        <v>78</v>
      </c>
      <c r="E40" s="205">
        <f>LIDER!$E$34</f>
        <v>0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89</v>
      </c>
      <c r="C47" s="32" t="str">
        <f>IF('S-ASIG-01'!D47="","",'S-ASIG-01'!D47)</f>
        <v>LIST</v>
      </c>
      <c r="D47" s="35" t="s">
        <v>78</v>
      </c>
      <c r="E47" s="205">
        <f>LIDER!$E$35</f>
        <v>0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91</v>
      </c>
      <c r="C54" s="32" t="str">
        <f>IF('S-ASIG-01'!D54="","",'S-ASIG-01'!D54)</f>
        <v>LIST</v>
      </c>
      <c r="D54" s="35" t="s">
        <v>78</v>
      </c>
      <c r="E54" s="205">
        <f>LIDER!$E$36</f>
        <v>0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93</v>
      </c>
      <c r="C61" s="32" t="str">
        <f>IF('S-ASIG-01'!D61="","",'S-ASIG-01'!D61)</f>
        <v>LIST</v>
      </c>
      <c r="D61" s="35" t="s">
        <v>78</v>
      </c>
      <c r="E61" s="205">
        <f>LIDER!$E$37</f>
        <v>0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95</v>
      </c>
      <c r="C68" s="32" t="str">
        <f>IF('S-ASIG-01'!D68="","",'S-ASIG-01'!D68)</f>
        <v>LIST</v>
      </c>
      <c r="D68" s="35" t="s">
        <v>78</v>
      </c>
      <c r="E68" s="205">
        <f>LIDER!$E$38</f>
        <v>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97</v>
      </c>
      <c r="C75" s="32" t="str">
        <f>IF('S-ASIG-01'!D75="","",'S-ASIG-01'!D75)</f>
        <v>LIST</v>
      </c>
      <c r="D75" s="35" t="s">
        <v>78</v>
      </c>
      <c r="E75" s="205">
        <f>LIDER!$E$39</f>
        <v>0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99</v>
      </c>
      <c r="C82" s="32" t="str">
        <f>IF('S-ASIG-01'!D82="","",'S-ASIG-01'!D82)</f>
        <v>LIST</v>
      </c>
      <c r="D82" s="35" t="s">
        <v>78</v>
      </c>
      <c r="E82" s="205">
        <f>LIDER!$E$40</f>
        <v>0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6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LIDER!D4</f>
        <v>LEGISLACION PARA EL COMERCIO</v>
      </c>
      <c r="C2" s="3"/>
      <c r="E2" s="202" t="s">
        <v>73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74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CONCATENATE(LIDER!D4," - ",LIDER!D6," - ",LIDER!D5)</f>
        <v>LEGISLACION PARA EL COMERCIO - 2351 - MELISSA LOPEZ ROMERO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75</v>
      </c>
      <c r="C5" s="34" t="str">
        <f>IF('S-ASIG-02'!D5="","",'S-ASIG-02'!D5)</f>
        <v>LIST</v>
      </c>
      <c r="D5" s="35" t="s">
        <v>78</v>
      </c>
      <c r="E5" s="191" t="str">
        <f>LIDER!$E$29</f>
        <v xml:space="preserve"> Agencia De Aduanas Granandina Ltda.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SANTIAGO PALOMINO CORDERO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TEDDY JAVIER RICO PEREZ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ENDRY YUREY ROSARIO SIERRA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EVA LUCIA RUIZ LARA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DILAN ANTONIO  BOSSIO LEAL 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 xml:space="preserve">HELEN MARÍA  OCHOA RODRÍGUEZ 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0</v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79</v>
      </c>
      <c r="C12" s="32" t="str">
        <f>IF('S-ASIG-02'!D12="","",'S-ASIG-02'!D12)</f>
        <v>LIST</v>
      </c>
      <c r="D12" s="35" t="s">
        <v>78</v>
      </c>
      <c r="E12" s="191" t="str">
        <f>LIDER!$E$30</f>
        <v>Maersk en los negocios internacionales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YANOSKI RICARDO CARCAMO MONROY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RAY DAVID MENDOZA DAZA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SEBASTIAN OSORIO CORONADO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IF('S-ASIG-02'!D16="","",'S-ASIG-02'!D16)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81</v>
      </c>
      <c r="C19" s="32" t="str">
        <f>IF('S-ASIG-02'!D19="","",'S-ASIG-02'!D19)</f>
        <v>LIST</v>
      </c>
      <c r="D19" s="35" t="s">
        <v>78</v>
      </c>
      <c r="E19" s="191" t="str">
        <f>LIDER!$E$31</f>
        <v xml:space="preserve">Alpina Productos Alimentos 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DARWIN STIVEN TELLEZ ABRIL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MICHELLE CAROLINA RODRIGUEZ SEVERICHE 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83</v>
      </c>
      <c r="C26" s="32" t="str">
        <f>IF('S-ASIG-02'!D26="","",'S-ASIG-02'!D26)</f>
        <v>LIST</v>
      </c>
      <c r="D26" s="35" t="s">
        <v>78</v>
      </c>
      <c r="E26" s="191" t="str">
        <f>LIDER!$E$32</f>
        <v xml:space="preserve"> Print Creativos,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JESUS JAVIER MARTINEZ MESTRA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GABRIEL DAVID SANCHEZ PARRA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SANTIAGO JOSE URIBE CRISTANCHO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85</v>
      </c>
      <c r="C33" s="32" t="str">
        <f>IF('S-ASIG-02'!D33="","",'S-ASIG-02'!D33)</f>
        <v>LIST</v>
      </c>
      <c r="D33" s="35" t="s">
        <v>78</v>
      </c>
      <c r="E33" s="191" t="str">
        <f>LIDER!$E$33</f>
        <v>HUBEMAR S.A.S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IAN YORACO BERRIO CASTILLO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BRAYAN DAVID JIMENEZ ECHENIQUE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CAMILO ANDRES RAMOS PERIÑAN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EMILY SHANNAY LARA GODOY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87</v>
      </c>
      <c r="C40" s="32" t="str">
        <f>IF('S-ASIG-02'!D40="","",'S-ASIG-02'!D40)</f>
        <v>LIST</v>
      </c>
      <c r="D40" s="35" t="s">
        <v>78</v>
      </c>
      <c r="E40" s="191">
        <f>LIDER!$E$34</f>
        <v>0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89</v>
      </c>
      <c r="C47" s="32" t="str">
        <f>IF('S-ASIG-02'!D47="","",'S-ASIG-02'!D47)</f>
        <v>LIST</v>
      </c>
      <c r="D47" s="35" t="s">
        <v>78</v>
      </c>
      <c r="E47" s="191">
        <f>LIDER!$E$35</f>
        <v>0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91</v>
      </c>
      <c r="C54" s="32" t="str">
        <f>IF('S-ASIG-02'!D54="","",'S-ASIG-02'!D54)</f>
        <v>LIST</v>
      </c>
      <c r="D54" s="35" t="s">
        <v>78</v>
      </c>
      <c r="E54" s="191">
        <f>LIDER!$E$36</f>
        <v>0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93</v>
      </c>
      <c r="C61" s="32" t="str">
        <f>IF('S-ASIG-02'!D61="","",'S-ASIG-02'!D61)</f>
        <v>LIST</v>
      </c>
      <c r="D61" s="35" t="s">
        <v>78</v>
      </c>
      <c r="E61" s="191">
        <f>LIDER!$E$37</f>
        <v>0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95</v>
      </c>
      <c r="C68" s="32" t="str">
        <f>IF('S-ASIG-02'!D68="","",'S-ASIG-02'!D68)</f>
        <v>LIST</v>
      </c>
      <c r="D68" s="35" t="s">
        <v>78</v>
      </c>
      <c r="E68" s="191">
        <f>LIDER!$E$38</f>
        <v>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97</v>
      </c>
      <c r="C75" s="32" t="str">
        <f>IF('S-ASIG-02'!D75="","",'S-ASIG-02'!D75)</f>
        <v>LIST</v>
      </c>
      <c r="D75" s="35" t="s">
        <v>78</v>
      </c>
      <c r="E75" s="191">
        <f>LIDER!$E$39</f>
        <v>0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99</v>
      </c>
      <c r="C82" s="32" t="str">
        <f>IF('S-ASIG-02'!D82="","",'S-ASIG-02'!D82)</f>
        <v>LIST</v>
      </c>
      <c r="D82" s="35" t="s">
        <v>78</v>
      </c>
      <c r="E82" s="191">
        <f>LIDER!$E$40</f>
        <v>0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LIDER!E4</f>
        <v>TECNOLOGIA APLICADA</v>
      </c>
      <c r="C2" s="3"/>
      <c r="E2" s="202" t="s">
        <v>73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74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CONCATENATE(LIDER!E4," - ",LIDER!E6," - ",LIDER!E5)</f>
        <v>TECNOLOGIA APLICADA - 2247 - WILMER SIMARRA CAÑATE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75</v>
      </c>
      <c r="C5" s="34" t="str">
        <f>IF('S-ASIG-03'!D5="","",'S-ASIG-03'!D5)</f>
        <v>LIST</v>
      </c>
      <c r="D5" s="35" t="s">
        <v>78</v>
      </c>
      <c r="E5" s="191" t="str">
        <f>LIDER!$E$29</f>
        <v xml:space="preserve"> Agencia De Aduanas Granandina Ltda.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SANTIAGO PALOMINO CORDERO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TEDDY JAVIER RICO PEREZ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ENDRY YUREY ROSARIO SIERRA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EVA LUCIA RUIZ LARA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DILAN ANTONIO  BOSSIO LEAL 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 xml:space="preserve">HELEN MARÍA  OCHOA RODRÍGUEZ 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0</v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79</v>
      </c>
      <c r="C12" s="32" t="str">
        <f>IF('S-ASIG-03'!D12="","",'S-ASIG-03'!D12)</f>
        <v>LIST</v>
      </c>
      <c r="D12" s="35" t="s">
        <v>78</v>
      </c>
      <c r="E12" s="191" t="str">
        <f>LIDER!$E$30</f>
        <v>Maersk en los negocios internacionales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YANOSKI RICARDO CARCAMO MONROY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RAY DAVID MENDOZA DAZA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SEBASTIAN OSORIO CORONADO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IF('S-ASIG-03'!D16="","",'S-ASIG-03'!D16)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81</v>
      </c>
      <c r="C19" s="32" t="str">
        <f>IF('S-ASIG-03'!D19="","",'S-ASIG-03'!D19)</f>
        <v>LIST</v>
      </c>
      <c r="D19" s="35" t="s">
        <v>78</v>
      </c>
      <c r="E19" s="191" t="str">
        <f>LIDER!$E$31</f>
        <v xml:space="preserve">Alpina Productos Alimentos 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DARWIN STIVEN TELLEZ ABRIL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MICHELLE CAROLINA RODRIGUEZ SEVERICHE 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83</v>
      </c>
      <c r="C26" s="32" t="str">
        <f>IF('S-ASIG-03'!D26="","",'S-ASIG-03'!D26)</f>
        <v>LIST</v>
      </c>
      <c r="D26" s="35" t="s">
        <v>78</v>
      </c>
      <c r="E26" s="191" t="str">
        <f>LIDER!$E$32</f>
        <v xml:space="preserve"> Print Creativos,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JESUS JAVIER MARTINEZ MESTRA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GABRIEL DAVID SANCHEZ PARRA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SANTIAGO JOSE URIBE CRISTANCHO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85</v>
      </c>
      <c r="C33" s="32" t="str">
        <f>IF('S-ASIG-03'!D33="","",'S-ASIG-03'!D33)</f>
        <v>LIST</v>
      </c>
      <c r="D33" s="35" t="s">
        <v>78</v>
      </c>
      <c r="E33" s="191" t="str">
        <f>LIDER!$E$33</f>
        <v>HUBEMAR S.A.S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IAN YORACO BERRIO CASTILLO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BRAYAN DAVID JIMENEZ ECHENIQUE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CAMILO ANDRES RAMOS PERIÑAN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EMILY SHANNAY LARA GODOY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87</v>
      </c>
      <c r="C40" s="32" t="str">
        <f>IF('S-ASIG-03'!D40="","",'S-ASIG-03'!D40)</f>
        <v>LIST</v>
      </c>
      <c r="D40" s="35" t="s">
        <v>78</v>
      </c>
      <c r="E40" s="191">
        <f>LIDER!$E$34</f>
        <v>0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89</v>
      </c>
      <c r="C47" s="32" t="str">
        <f>IF('S-ASIG-03'!D47="","",'S-ASIG-03'!D47)</f>
        <v>LIST</v>
      </c>
      <c r="D47" s="35" t="s">
        <v>78</v>
      </c>
      <c r="E47" s="191">
        <f>LIDER!$E$35</f>
        <v>0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91</v>
      </c>
      <c r="C54" s="32" t="str">
        <f>IF('S-ASIG-03'!D54="","",'S-ASIG-03'!D54)</f>
        <v>LIST</v>
      </c>
      <c r="D54" s="35" t="s">
        <v>78</v>
      </c>
      <c r="E54" s="191">
        <f>LIDER!$E$36</f>
        <v>0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93</v>
      </c>
      <c r="C61" s="32" t="str">
        <f>IF('S-ASIG-03'!D61="","",'S-ASIG-03'!D61)</f>
        <v>LIST</v>
      </c>
      <c r="D61" s="35" t="s">
        <v>78</v>
      </c>
      <c r="E61" s="191">
        <f>LIDER!$E$37</f>
        <v>0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95</v>
      </c>
      <c r="C68" s="32" t="str">
        <f>IF('S-ASIG-03'!D68="","",'S-ASIG-03'!D68)</f>
        <v>LIST</v>
      </c>
      <c r="D68" s="35" t="s">
        <v>78</v>
      </c>
      <c r="E68" s="191">
        <f>LIDER!$E$38</f>
        <v>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97</v>
      </c>
      <c r="C75" s="32" t="str">
        <f>IF('S-ASIG-03'!D75="","",'S-ASIG-03'!D75)</f>
        <v>LIST</v>
      </c>
      <c r="D75" s="35" t="s">
        <v>78</v>
      </c>
      <c r="E75" s="191">
        <f>LIDER!$E$39</f>
        <v>0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99</v>
      </c>
      <c r="C82" s="32" t="str">
        <f>IF('S-ASIG-03'!D82="","",'S-ASIG-03'!D82)</f>
        <v>LIST</v>
      </c>
      <c r="D82" s="35" t="s">
        <v>78</v>
      </c>
      <c r="E82" s="191">
        <f>LIDER!$E$40</f>
        <v>0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LIDER!F4</f>
        <v>MACROECONOMÍA</v>
      </c>
      <c r="C2" s="3"/>
      <c r="E2" s="202" t="s">
        <v>73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74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CONCATENATE(LIDER!F4," - ",LIDER!F6," - ",LIDER!F5)</f>
        <v>MACROECONOMÍA - 1495 - JORGE ELIECER PAREJA SHAIKH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75</v>
      </c>
      <c r="C5" s="34" t="str">
        <f>IF('S-ASIG-04'!D5="","",'S-ASIG-04'!D5)</f>
        <v>LIST</v>
      </c>
      <c r="D5" s="35" t="s">
        <v>78</v>
      </c>
      <c r="E5" s="191" t="str">
        <f>LIDER!$E$29</f>
        <v xml:space="preserve"> Agencia De Aduanas Granandina Ltda.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SANTIAGO PALOMINO CORDERO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TEDDY JAVIER RICO PEREZ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ENDRY YUREY ROSARIO SIERRA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EVA LUCIA RUIZ LARA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DILAN ANTONIO  BOSSIO LEAL 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 xml:space="preserve">HELEN MARÍA  OCHOA RODRÍGUEZ 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0</v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79</v>
      </c>
      <c r="C12" s="32" t="str">
        <f>IF('S-ASIG-04'!D12="","",'S-ASIG-04'!D12)</f>
        <v>LIST</v>
      </c>
      <c r="D12" s="35" t="s">
        <v>78</v>
      </c>
      <c r="E12" s="191" t="str">
        <f>LIDER!$E$30</f>
        <v>Maersk en los negocios internacionales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YANOSKI RICARDO CARCAMO MONROY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RAY DAVID MENDOZA DAZA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SEBASTIAN OSORIO CORONADO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IF('S-ASIG-04'!D16="","",'S-ASIG-04'!D16)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81</v>
      </c>
      <c r="C19" s="32" t="str">
        <f>IF('S-ASIG-04'!D19="","",'S-ASIG-04'!D19)</f>
        <v>LIST</v>
      </c>
      <c r="D19" s="35" t="s">
        <v>78</v>
      </c>
      <c r="E19" s="191" t="str">
        <f>LIDER!$E$31</f>
        <v xml:space="preserve">Alpina Productos Alimentos 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DARWIN STIVEN TELLEZ ABRIL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MICHELLE CAROLINA RODRIGUEZ SEVERICHE 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83</v>
      </c>
      <c r="C26" s="32" t="str">
        <f>IF('S-ASIG-04'!D26="","",'S-ASIG-04'!D26)</f>
        <v>LIST</v>
      </c>
      <c r="D26" s="35" t="s">
        <v>78</v>
      </c>
      <c r="E26" s="191" t="str">
        <f>LIDER!$E$32</f>
        <v xml:space="preserve"> Print Creativos,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JESUS JAVIER MARTINEZ MESTRA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GABRIEL DAVID SANCHEZ PARRA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SANTIAGO JOSE URIBE CRISTANCHO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85</v>
      </c>
      <c r="C33" s="32" t="str">
        <f>IF('S-ASIG-04'!D33="","",'S-ASIG-04'!D33)</f>
        <v>LIST</v>
      </c>
      <c r="D33" s="35" t="s">
        <v>78</v>
      </c>
      <c r="E33" s="191" t="str">
        <f>LIDER!$E$33</f>
        <v>HUBEMAR S.A.S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IAN YORACO BERRIO CASTILLO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BRAYAN DAVID JIMENEZ ECHENIQUE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CAMILO ANDRES RAMOS PERIÑAN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EMILY SHANNAY LARA GODOY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87</v>
      </c>
      <c r="C40" s="32" t="str">
        <f>IF('S-ASIG-04'!D40="","",'S-ASIG-04'!D40)</f>
        <v>LIST</v>
      </c>
      <c r="D40" s="35" t="s">
        <v>78</v>
      </c>
      <c r="E40" s="191">
        <f>LIDER!$E$34</f>
        <v>0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89</v>
      </c>
      <c r="C47" s="32" t="str">
        <f>IF('S-ASIG-04'!D47="","",'S-ASIG-04'!D47)</f>
        <v>LIST</v>
      </c>
      <c r="D47" s="35" t="s">
        <v>78</v>
      </c>
      <c r="E47" s="191">
        <f>LIDER!$E$35</f>
        <v>0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91</v>
      </c>
      <c r="C54" s="32" t="str">
        <f>IF('S-ASIG-04'!D54="","",'S-ASIG-04'!D54)</f>
        <v>LIST</v>
      </c>
      <c r="D54" s="35" t="s">
        <v>78</v>
      </c>
      <c r="E54" s="191">
        <f>LIDER!$E$36</f>
        <v>0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93</v>
      </c>
      <c r="C61" s="32" t="str">
        <f>IF('S-ASIG-04'!D61="","",'S-ASIG-04'!D61)</f>
        <v>LIST</v>
      </c>
      <c r="D61" s="35" t="s">
        <v>78</v>
      </c>
      <c r="E61" s="191">
        <f>LIDER!$E$37</f>
        <v>0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95</v>
      </c>
      <c r="C68" s="32" t="str">
        <f>IF('S-ASIG-04'!D68="","",'S-ASIG-04'!D68)</f>
        <v>LIST</v>
      </c>
      <c r="D68" s="35" t="s">
        <v>78</v>
      </c>
      <c r="E68" s="191">
        <f>LIDER!$E$38</f>
        <v>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97</v>
      </c>
      <c r="C75" s="32" t="str">
        <f>IF('S-ASIG-04'!D75="","",'S-ASIG-04'!D75)</f>
        <v>LIST</v>
      </c>
      <c r="D75" s="35" t="s">
        <v>78</v>
      </c>
      <c r="E75" s="191">
        <f>LIDER!$E$39</f>
        <v>0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99</v>
      </c>
      <c r="C82" s="32" t="str">
        <f>IF('S-ASIG-04'!D82="","",'S-ASIG-04'!D82)</f>
        <v>LIST</v>
      </c>
      <c r="D82" s="35" t="s">
        <v>78</v>
      </c>
      <c r="E82" s="191">
        <f>LIDER!$E$40</f>
        <v>0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LIDER!G4</f>
        <v>MATEMÁTICAS FINANCIERAS</v>
      </c>
      <c r="C2" s="3"/>
      <c r="E2" s="202" t="s">
        <v>73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74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CONCATENATE(LIDER!G4," - ",LIDER!G6," - ",LIDER!G5)</f>
        <v>MATEMÁTICAS FINANCIERAS - 1363 - JAVIER MARTINEZ PEREZ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75</v>
      </c>
      <c r="C5" s="34" t="str">
        <f>IF('S-ASIG-05'!D5="","",'S-ASIG-05'!D5)</f>
        <v>LIST</v>
      </c>
      <c r="D5" s="35" t="s">
        <v>78</v>
      </c>
      <c r="E5" s="191" t="str">
        <f>LIDER!$E$29</f>
        <v xml:space="preserve"> Agencia De Aduanas Granandina Ltda.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SANTIAGO PALOMINO CORDERO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TEDDY JAVIER RICO PEREZ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ENDRY YUREY ROSARIO SIERRA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EVA LUCIA RUIZ LARA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DILAN ANTONIO  BOSSIO LEAL 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 xml:space="preserve">HELEN MARÍA  OCHOA RODRÍGUEZ 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0</v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79</v>
      </c>
      <c r="C12" s="32" t="str">
        <f>IF('S-ASIG-05'!D12="","",'S-ASIG-05'!D12)</f>
        <v>LIST</v>
      </c>
      <c r="D12" s="35" t="s">
        <v>78</v>
      </c>
      <c r="E12" s="191" t="str">
        <f>LIDER!$E$30</f>
        <v>Maersk en los negocios internacionales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YANOSKI RICARDO CARCAMO MONROY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RAY DAVID MENDOZA DAZA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SEBASTIAN OSORIO CORONADO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IF('S-ASIG-05'!D16="","",'S-ASIG-05'!D16)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81</v>
      </c>
      <c r="C19" s="32" t="str">
        <f>IF('S-ASIG-05'!D19="","",'S-ASIG-05'!D19)</f>
        <v>LIST</v>
      </c>
      <c r="D19" s="35" t="s">
        <v>78</v>
      </c>
      <c r="E19" s="191" t="str">
        <f>LIDER!$E$31</f>
        <v xml:space="preserve">Alpina Productos Alimentos 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DARWIN STIVEN TELLEZ ABRIL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MICHELLE CAROLINA RODRIGUEZ SEVERICHE 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83</v>
      </c>
      <c r="C26" s="32" t="str">
        <f>IF('S-ASIG-05'!D26="","",'S-ASIG-05'!D26)</f>
        <v>LIST</v>
      </c>
      <c r="D26" s="35" t="s">
        <v>78</v>
      </c>
      <c r="E26" s="191" t="str">
        <f>LIDER!$E$32</f>
        <v xml:space="preserve"> Print Creativos,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JESUS JAVIER MARTINEZ MESTRA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GABRIEL DAVID SANCHEZ PARRA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SANTIAGO JOSE URIBE CRISTANCHO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85</v>
      </c>
      <c r="C33" s="32" t="str">
        <f>IF('S-ASIG-05'!D33="","",'S-ASIG-05'!D33)</f>
        <v>LIST</v>
      </c>
      <c r="D33" s="35" t="s">
        <v>78</v>
      </c>
      <c r="E33" s="191" t="str">
        <f>LIDER!$E$33</f>
        <v>HUBEMAR S.A.S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IAN YORACO BERRIO CASTILLO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BRAYAN DAVID JIMENEZ ECHENIQUE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CAMILO ANDRES RAMOS PERIÑAN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EMILY SHANNAY LARA GODOY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87</v>
      </c>
      <c r="C40" s="32" t="str">
        <f>IF('S-ASIG-05'!D40="","",'S-ASIG-05'!D40)</f>
        <v>LIST</v>
      </c>
      <c r="D40" s="35" t="s">
        <v>78</v>
      </c>
      <c r="E40" s="191">
        <f>LIDER!$E$34</f>
        <v>0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89</v>
      </c>
      <c r="C47" s="32" t="str">
        <f>IF('S-ASIG-05'!D47="","",'S-ASIG-05'!D47)</f>
        <v>LIST</v>
      </c>
      <c r="D47" s="35" t="s">
        <v>78</v>
      </c>
      <c r="E47" s="191">
        <f>LIDER!$E$35</f>
        <v>0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91</v>
      </c>
      <c r="C54" s="32" t="str">
        <f>IF('S-ASIG-05'!D54="","",'S-ASIG-05'!D54)</f>
        <v>LIST</v>
      </c>
      <c r="D54" s="35" t="s">
        <v>78</v>
      </c>
      <c r="E54" s="191">
        <f>LIDER!$E$36</f>
        <v>0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93</v>
      </c>
      <c r="C61" s="32" t="str">
        <f>IF('S-ASIG-05'!D61="","",'S-ASIG-05'!D61)</f>
        <v>LIST</v>
      </c>
      <c r="D61" s="35" t="s">
        <v>78</v>
      </c>
      <c r="E61" s="191">
        <f>LIDER!$E$37</f>
        <v>0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95</v>
      </c>
      <c r="C68" s="32" t="str">
        <f>IF('S-ASIG-05'!D68="","",'S-ASIG-05'!D68)</f>
        <v>LIST</v>
      </c>
      <c r="D68" s="35" t="s">
        <v>78</v>
      </c>
      <c r="E68" s="191">
        <f>LIDER!$E$38</f>
        <v>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97</v>
      </c>
      <c r="C75" s="32" t="str">
        <f>IF('S-ASIG-05'!D75="","",'S-ASIG-05'!D75)</f>
        <v>LIST</v>
      </c>
      <c r="D75" s="35" t="s">
        <v>78</v>
      </c>
      <c r="E75" s="191">
        <f>LIDER!$E$39</f>
        <v>0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99</v>
      </c>
      <c r="C82" s="32" t="str">
        <f>IF('S-ASIG-05'!D82="","",'S-ASIG-05'!D82)</f>
        <v>LIST</v>
      </c>
      <c r="D82" s="35" t="s">
        <v>78</v>
      </c>
      <c r="E82" s="191">
        <f>LIDER!$E$40</f>
        <v>0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>
        <f>LIDER!H4</f>
        <v>0</v>
      </c>
      <c r="C2" s="3"/>
      <c r="E2" s="202" t="s">
        <v>73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74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CONCATENATE(LIDER!H4," - ",LIDER!H6," - ",LIDER!H5)</f>
        <v xml:space="preserve"> -  - 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75</v>
      </c>
      <c r="C5" s="34" t="str">
        <f>IF('S-ASIG-06'!D5="","",'S-ASIG-06'!D5)</f>
        <v>LIST</v>
      </c>
      <c r="D5" s="35" t="s">
        <v>78</v>
      </c>
      <c r="E5" s="191" t="str">
        <f>LIDER!$E$29</f>
        <v xml:space="preserve"> Agencia De Aduanas Granandina Ltda.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SANTIAGO PALOMINO CORDERO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TEDDY JAVIER RICO PEREZ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ENDRY YUREY ROSARIO SIERRA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EVA LUCIA RUIZ LARA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DILAN ANTONIO  BOSSIO LEAL 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 xml:space="preserve">HELEN MARÍA  OCHOA RODRÍGUEZ 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0</v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79</v>
      </c>
      <c r="C12" s="32" t="str">
        <f>IF('S-ASIG-06'!D12="","",'S-ASIG-06'!D12)</f>
        <v>LIST</v>
      </c>
      <c r="D12" s="35" t="s">
        <v>78</v>
      </c>
      <c r="E12" s="191" t="str">
        <f>LIDER!$E$30</f>
        <v>Maersk en los negocios internacionales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YANOSKI RICARDO CARCAMO MONROY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RAY DAVID MENDOZA DAZA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SEBASTIAN OSORIO CORONADO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IF('S-ASIG-06'!D16="","",'S-ASIG-06'!D16)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81</v>
      </c>
      <c r="C19" s="32" t="str">
        <f>IF('S-ASIG-06'!D19="","",'S-ASIG-06'!D19)</f>
        <v>LIST</v>
      </c>
      <c r="D19" s="35" t="s">
        <v>78</v>
      </c>
      <c r="E19" s="191" t="str">
        <f>LIDER!$E$31</f>
        <v xml:space="preserve">Alpina Productos Alimentos 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DARWIN STIVEN TELLEZ ABRIL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MICHELLE CAROLINA RODRIGUEZ SEVERICHE 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83</v>
      </c>
      <c r="C26" s="32" t="str">
        <f>IF('S-ASIG-06'!D26="","",'S-ASIG-06'!D26)</f>
        <v>LIST</v>
      </c>
      <c r="D26" s="35" t="s">
        <v>78</v>
      </c>
      <c r="E26" s="191" t="str">
        <f>LIDER!$E$32</f>
        <v xml:space="preserve"> Print Creativos,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JESUS JAVIER MARTINEZ MESTRA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GABRIEL DAVID SANCHEZ PARRA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SANTIAGO JOSE URIBE CRISTANCHO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85</v>
      </c>
      <c r="C33" s="32" t="str">
        <f>IF('S-ASIG-06'!D33="","",'S-ASIG-06'!D33)</f>
        <v>LIST</v>
      </c>
      <c r="D33" s="35" t="s">
        <v>78</v>
      </c>
      <c r="E33" s="191" t="str">
        <f>LIDER!$E$33</f>
        <v>HUBEMAR S.A.S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IAN YORACO BERRIO CASTILLO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BRAYAN DAVID JIMENEZ ECHENIQUE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CAMILO ANDRES RAMOS PERIÑAN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EMILY SHANNAY LARA GODOY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87</v>
      </c>
      <c r="C40" s="32" t="str">
        <f>IF('S-ASIG-06'!D40="","",'S-ASIG-06'!D40)</f>
        <v>LIST</v>
      </c>
      <c r="D40" s="35" t="s">
        <v>78</v>
      </c>
      <c r="E40" s="191">
        <f>LIDER!$E$34</f>
        <v>0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89</v>
      </c>
      <c r="C47" s="32" t="str">
        <f>IF('S-ASIG-06'!D47="","",'S-ASIG-06'!D47)</f>
        <v>LIST</v>
      </c>
      <c r="D47" s="35" t="s">
        <v>78</v>
      </c>
      <c r="E47" s="191">
        <f>LIDER!$E$35</f>
        <v>0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91</v>
      </c>
      <c r="C54" s="32" t="str">
        <f>IF('S-ASIG-06'!D54="","",'S-ASIG-06'!D54)</f>
        <v>LIST</v>
      </c>
      <c r="D54" s="35" t="s">
        <v>78</v>
      </c>
      <c r="E54" s="191">
        <f>LIDER!$E$36</f>
        <v>0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93</v>
      </c>
      <c r="C61" s="32" t="str">
        <f>IF('S-ASIG-06'!D61="","",'S-ASIG-06'!D61)</f>
        <v>LIST</v>
      </c>
      <c r="D61" s="35" t="s">
        <v>78</v>
      </c>
      <c r="E61" s="191">
        <f>LIDER!$E$37</f>
        <v>0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95</v>
      </c>
      <c r="C68" s="32" t="str">
        <f>IF('S-ASIG-06'!D68="","",'S-ASIG-06'!D68)</f>
        <v>LIST</v>
      </c>
      <c r="D68" s="35" t="s">
        <v>78</v>
      </c>
      <c r="E68" s="191">
        <f>LIDER!$E$38</f>
        <v>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97</v>
      </c>
      <c r="C75" s="32" t="str">
        <f>IF('S-ASIG-06'!D75="","",'S-ASIG-06'!D75)</f>
        <v>LIST</v>
      </c>
      <c r="D75" s="35" t="s">
        <v>78</v>
      </c>
      <c r="E75" s="191">
        <f>LIDER!$E$39</f>
        <v>0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99</v>
      </c>
      <c r="C82" s="32" t="str">
        <f>IF('S-ASIG-06'!D82="","",'S-ASIG-06'!D82)</f>
        <v>LIST</v>
      </c>
      <c r="D82" s="35" t="s">
        <v>78</v>
      </c>
      <c r="E82" s="191">
        <f>LIDER!$E$40</f>
        <v>0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>
        <f>LIDER!I4</f>
        <v>0</v>
      </c>
      <c r="C2" s="3"/>
      <c r="E2" s="202" t="s">
        <v>73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74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CONCATENATE(LIDER!I4," - ",LIDER!I6," - ",LIDER!I5)</f>
        <v xml:space="preserve"> -  - 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75</v>
      </c>
      <c r="C5" s="34" t="str">
        <f>IF('S-ASIG-07'!D5="","",'S-ASIG-07'!D5)</f>
        <v>LIST</v>
      </c>
      <c r="D5" s="35" t="s">
        <v>78</v>
      </c>
      <c r="E5" s="191" t="str">
        <f>LIDER!$E$29</f>
        <v xml:space="preserve"> Agencia De Aduanas Granandina Ltda.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SANTIAGO PALOMINO CORDERO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TEDDY JAVIER RICO PEREZ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ENDRY YUREY ROSARIO SIERRA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EVA LUCIA RUIZ LARA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DILAN ANTONIO  BOSSIO LEAL 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 xml:space="preserve">HELEN MARÍA  OCHOA RODRÍGUEZ 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79</v>
      </c>
      <c r="C12" s="32" t="str">
        <f>IF('S-ASIG-07'!D12="","",'S-ASIG-07'!D12)</f>
        <v>LIST</v>
      </c>
      <c r="D12" s="35" t="s">
        <v>78</v>
      </c>
      <c r="E12" s="191" t="str">
        <f>LIDER!$E$30</f>
        <v>Maersk en los negocios internacionales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YANOSKI RICARDO CARCAMO MONROY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RAY DAVID MENDOZA DAZA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SEBASTIAN OSORIO CORONADO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IF('S-ASIG-07'!D16="","",'S-ASIG-07'!D16)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81</v>
      </c>
      <c r="C19" s="32" t="str">
        <f>IF('S-ASIG-07'!D19="","",'S-ASIG-07'!D19)</f>
        <v>LIST</v>
      </c>
      <c r="D19" s="35" t="s">
        <v>78</v>
      </c>
      <c r="E19" s="191" t="str">
        <f>LIDER!$E$31</f>
        <v xml:space="preserve">Alpina Productos Alimentos 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DARWIN STIVEN TELLEZ ABRIL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MICHELLE CAROLINA RODRIGUEZ SEVERICHE 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83</v>
      </c>
      <c r="C26" s="32" t="str">
        <f>IF('S-ASIG-07'!D26="","",'S-ASIG-07'!D26)</f>
        <v>LIST</v>
      </c>
      <c r="D26" s="35" t="s">
        <v>78</v>
      </c>
      <c r="E26" s="191" t="str">
        <f>LIDER!$E$32</f>
        <v xml:space="preserve"> Print Creativos,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JESUS JAVIER MARTINEZ MESTRA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GABRIEL DAVID SANCHEZ PARRA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SANTIAGO JOSE URIBE CRISTANCHO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85</v>
      </c>
      <c r="C33" s="32" t="str">
        <f>IF('S-ASIG-07'!D33="","",'S-ASIG-07'!D33)</f>
        <v>LIST</v>
      </c>
      <c r="D33" s="35" t="s">
        <v>78</v>
      </c>
      <c r="E33" s="191" t="str">
        <f>LIDER!$E$33</f>
        <v>HUBEMAR S.A.S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IAN YORACO BERRIO CASTILLO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BRAYAN DAVID JIMENEZ ECHENIQUE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CAMILO ANDRES RAMOS PERIÑAN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EMILY SHANNAY LARA GODOY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87</v>
      </c>
      <c r="C40" s="32" t="str">
        <f>IF('S-ASIG-07'!D40="","",'S-ASIG-07'!D40)</f>
        <v>LIST</v>
      </c>
      <c r="D40" s="35" t="s">
        <v>78</v>
      </c>
      <c r="E40" s="191">
        <f>LIDER!$E$34</f>
        <v>0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89</v>
      </c>
      <c r="C47" s="32" t="str">
        <f>IF('S-ASIG-07'!D47="","",'S-ASIG-07'!D47)</f>
        <v>LIST</v>
      </c>
      <c r="D47" s="35" t="s">
        <v>78</v>
      </c>
      <c r="E47" s="191">
        <f>LIDER!$E$35</f>
        <v>0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91</v>
      </c>
      <c r="C54" s="32" t="str">
        <f>IF('S-ASIG-07'!D54="","",'S-ASIG-07'!D54)</f>
        <v>LIST</v>
      </c>
      <c r="D54" s="35" t="s">
        <v>78</v>
      </c>
      <c r="E54" s="191">
        <f>LIDER!$E$36</f>
        <v>0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93</v>
      </c>
      <c r="C61" s="32" t="str">
        <f>IF('S-ASIG-07'!D61="","",'S-ASIG-07'!D61)</f>
        <v>LIST</v>
      </c>
      <c r="D61" s="35" t="s">
        <v>78</v>
      </c>
      <c r="E61" s="191">
        <f>LIDER!$E$37</f>
        <v>0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95</v>
      </c>
      <c r="C68" s="32" t="str">
        <f>IF('S-ASIG-07'!D68="","",'S-ASIG-07'!D68)</f>
        <v>LIST</v>
      </c>
      <c r="D68" s="35" t="s">
        <v>78</v>
      </c>
      <c r="E68" s="191">
        <f>LIDER!$E$38</f>
        <v>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97</v>
      </c>
      <c r="C75" s="32" t="str">
        <f>IF('S-ASIG-07'!D75="","",'S-ASIG-07'!D75)</f>
        <v>LIST</v>
      </c>
      <c r="D75" s="35" t="s">
        <v>78</v>
      </c>
      <c r="E75" s="191">
        <f>LIDER!$E$39</f>
        <v>0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99</v>
      </c>
      <c r="C82" s="32" t="str">
        <f>IF('S-ASIG-07'!D82="","",'S-ASIG-07'!D82)</f>
        <v>LIST</v>
      </c>
      <c r="D82" s="35" t="s">
        <v>78</v>
      </c>
      <c r="E82" s="191">
        <f>LIDER!$E$40</f>
        <v>0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15" activePane="bottomRight" state="frozen"/>
      <selection pane="bottomRight" activeCell="B28" sqref="B28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SEM-03</v>
      </c>
      <c r="Q1" s="43" t="str">
        <f>LIDER!G2</f>
        <v>SECCIÓN:</v>
      </c>
      <c r="R1" s="44">
        <f>LIDER!H2</f>
        <v>4</v>
      </c>
      <c r="S1" s="42"/>
      <c r="T1" s="42"/>
      <c r="U1" s="45"/>
    </row>
    <row r="2" spans="1:22" ht="20.100000000000001" customHeight="1" thickBot="1">
      <c r="G2" s="210" t="s">
        <v>101</v>
      </c>
      <c r="H2" s="211"/>
      <c r="I2" s="211"/>
      <c r="J2" s="211"/>
      <c r="K2" s="211"/>
      <c r="L2" s="211"/>
      <c r="M2" s="212"/>
      <c r="N2" s="2"/>
      <c r="O2" s="215" t="s">
        <v>102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2346</v>
      </c>
      <c r="H3" s="49" t="str">
        <f>CONCATENATE("N° : ",LIDER!D6)</f>
        <v>N° : 2351</v>
      </c>
      <c r="I3" s="49" t="str">
        <f>CONCATENATE("N° : ",LIDER!E6)</f>
        <v>N° : 2247</v>
      </c>
      <c r="J3" s="49" t="str">
        <f>CONCATENATE("N° : ",LIDER!F6)</f>
        <v>N° : 1495</v>
      </c>
      <c r="K3" s="49" t="str">
        <f>CONCATENATE("N° : ",LIDER!G6)</f>
        <v>N° : 1363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2346</v>
      </c>
      <c r="P3" s="49" t="str">
        <f t="shared" ref="P3:U3" si="0">H3</f>
        <v>N° : 2351</v>
      </c>
      <c r="Q3" s="49" t="str">
        <f t="shared" si="0"/>
        <v>N° : 2247</v>
      </c>
      <c r="R3" s="49" t="str">
        <f t="shared" si="0"/>
        <v>N° : 1495</v>
      </c>
      <c r="S3" s="49" t="str">
        <f t="shared" si="0"/>
        <v>N° : 1363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103</v>
      </c>
      <c r="D4" s="54" t="s">
        <v>104</v>
      </c>
      <c r="E4" s="55" t="s">
        <v>105</v>
      </c>
      <c r="G4" s="56" t="str">
        <f>MID(LIDER!C4,1,9)</f>
        <v>INTERNACI</v>
      </c>
      <c r="H4" s="57" t="str">
        <f>MID(LIDER!D4,1,9)</f>
        <v>LEGISLACI</v>
      </c>
      <c r="I4" s="57" t="str">
        <f>MID(LIDER!E4,1,9)</f>
        <v>TECNOLOGI</v>
      </c>
      <c r="J4" s="57" t="str">
        <f>MID(LIDER!F4,1,9)</f>
        <v>MACROECON</v>
      </c>
      <c r="K4" s="57" t="str">
        <f>MID(LIDER!G4,1,9)</f>
        <v>MATEMÁTIC</v>
      </c>
      <c r="L4" s="57" t="str">
        <f>MID(LIDER!H4,1,9)</f>
        <v/>
      </c>
      <c r="M4" s="58" t="str">
        <f>MID(LIDER!I4,1,9)</f>
        <v/>
      </c>
      <c r="N4" s="59" t="s">
        <v>106</v>
      </c>
      <c r="O4" s="60" t="str">
        <f t="shared" ref="O4:U4" si="1">G4</f>
        <v>INTERNACI</v>
      </c>
      <c r="P4" s="61" t="str">
        <f t="shared" si="1"/>
        <v>LEGISLACI</v>
      </c>
      <c r="Q4" s="61" t="str">
        <f t="shared" si="1"/>
        <v>TECNOLOGI</v>
      </c>
      <c r="R4" s="61" t="str">
        <f t="shared" si="1"/>
        <v>MACROECON</v>
      </c>
      <c r="S4" s="61" t="str">
        <f t="shared" si="1"/>
        <v>MATEMÁTIC</v>
      </c>
      <c r="T4" s="61" t="str">
        <f t="shared" si="1"/>
        <v/>
      </c>
      <c r="U4" s="62" t="str">
        <f t="shared" si="1"/>
        <v/>
      </c>
      <c r="V4" s="59" t="s">
        <v>107</v>
      </c>
    </row>
    <row r="5" spans="1:22" ht="15" customHeight="1">
      <c r="A5" s="12">
        <v>1</v>
      </c>
      <c r="B5" s="63" t="str">
        <f>LIDER!C9</f>
        <v>SANTIAGO PALOMINO CORDERO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4.4940000000000007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4.82</v>
      </c>
      <c r="H5" s="65">
        <f>IF(B5=0,"",IFERROR(VLOOKUP(B5,'S-ASIG-02'!$B$5:$E$88,4,0),0))</f>
        <v>4.4000000000000004</v>
      </c>
      <c r="I5" s="65">
        <f>IF(B5=0,"",IFERROR(VLOOKUP(B5,'S-ASIG-03'!$B$5:$E$88,4,0),0))</f>
        <v>4.7699999999999996</v>
      </c>
      <c r="J5" s="65">
        <f>IF(B5=0,"",IFERROR(VLOOKUP(B5,'S-ASIG-04'!$B$5:$E$88,4,0),0))</f>
        <v>4.32</v>
      </c>
      <c r="K5" s="65">
        <f>IF(B5=0,"",IFERROR(VLOOKUP(B5,'S-ASIG-05'!$B$5:$E$88,4,0),0))</f>
        <v>4.16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108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109</v>
      </c>
    </row>
    <row r="6" spans="1:22" ht="15" customHeight="1">
      <c r="A6" s="12">
        <v>2</v>
      </c>
      <c r="B6" s="70" t="str">
        <f>LIDER!C10</f>
        <v>TEDDY JAVIER RICO PEREZ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4.4940000000000007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4.82</v>
      </c>
      <c r="H6" s="72">
        <f>IF(B6=0,"",IFERROR(VLOOKUP(B6,'S-ASIG-02'!$B$5:$E$88,4,0),0))</f>
        <v>4.4000000000000004</v>
      </c>
      <c r="I6" s="72">
        <f>IF(B6=0,"",IFERROR(VLOOKUP(B6,'S-ASIG-03'!$B$5:$E$88,4,0),0))</f>
        <v>4.7699999999999996</v>
      </c>
      <c r="J6" s="72">
        <f>IF(B6=0,"",IFERROR(VLOOKUP(B6,'S-ASIG-04'!$B$5:$E$88,4,0),0))</f>
        <v>4.32</v>
      </c>
      <c r="K6" s="72">
        <f>IF(B6=0,"",IFERROR(VLOOKUP(B6,'S-ASIG-05'!$B$5:$E$88,4,0),0))</f>
        <v>4.16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108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109</v>
      </c>
    </row>
    <row r="7" spans="1:22" ht="15" customHeight="1">
      <c r="A7" s="12">
        <v>3</v>
      </c>
      <c r="B7" s="70" t="str">
        <f>LIDER!C11</f>
        <v>ENDRY YUREY ROSARIO SIERRA</v>
      </c>
      <c r="C7" s="64" t="str">
        <f>IF(B7=0,"",IFERROR(VLOOKUP(B7,'S-ASIG-01'!$B$5:$E$88,2,0),0))</f>
        <v>G01</v>
      </c>
      <c r="D7" s="65">
        <f t="shared" si="2"/>
        <v>4.4940000000000007</v>
      </c>
      <c r="E7" s="66">
        <f t="shared" si="3"/>
        <v>0</v>
      </c>
      <c r="F7" s="47"/>
      <c r="G7" s="71">
        <f>IF(B7=0,"",IFERROR(VLOOKUP(B7,'S-ASIG-01'!$B$5:$E$88,4,0),0))</f>
        <v>4.82</v>
      </c>
      <c r="H7" s="72">
        <f>IF(B7=0,"",IFERROR(VLOOKUP(B7,'S-ASIG-02'!$B$5:$E$88,4,0),0))</f>
        <v>4.4000000000000004</v>
      </c>
      <c r="I7" s="72">
        <f>IF(B7=0,"",IFERROR(VLOOKUP(B7,'S-ASIG-03'!$B$5:$E$88,4,0),0))</f>
        <v>4.7699999999999996</v>
      </c>
      <c r="J7" s="72">
        <f>IF(B7=0,"",IFERROR(VLOOKUP(B7,'S-ASIG-04'!$B$5:$E$88,4,0),0))</f>
        <v>4.32</v>
      </c>
      <c r="K7" s="72">
        <f>IF(B7=0,"",IFERROR(VLOOKUP(B7,'S-ASIG-05'!$B$5:$E$88,4,0),0))</f>
        <v>4.16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108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109</v>
      </c>
    </row>
    <row r="8" spans="1:22" ht="15" customHeight="1">
      <c r="A8" s="12">
        <v>4</v>
      </c>
      <c r="B8" s="70" t="str">
        <f>LIDER!C12</f>
        <v>EVA LUCIA RUIZ LARA</v>
      </c>
      <c r="C8" s="64" t="str">
        <f>IF(B8=0,"",IFERROR(VLOOKUP(B8,'S-ASIG-01'!$B$5:$E$88,2,0),0))</f>
        <v>G01</v>
      </c>
      <c r="D8" s="65">
        <f t="shared" si="2"/>
        <v>4.4940000000000007</v>
      </c>
      <c r="E8" s="66">
        <f t="shared" si="3"/>
        <v>0</v>
      </c>
      <c r="F8" s="47"/>
      <c r="G8" s="71">
        <f>IF(B8=0,"",IFERROR(VLOOKUP(B8,'S-ASIG-01'!$B$5:$E$88,4,0),0))</f>
        <v>4.82</v>
      </c>
      <c r="H8" s="72">
        <f>IF(B8=0,"",IFERROR(VLOOKUP(B8,'S-ASIG-02'!$B$5:$E$88,4,0),0))</f>
        <v>4.4000000000000004</v>
      </c>
      <c r="I8" s="72">
        <f>IF(B8=0,"",IFERROR(VLOOKUP(B8,'S-ASIG-03'!$B$5:$E$88,4,0),0))</f>
        <v>4.7699999999999996</v>
      </c>
      <c r="J8" s="72">
        <f>IF(B8=0,"",IFERROR(VLOOKUP(B8,'S-ASIG-04'!$B$5:$E$88,4,0),0))</f>
        <v>4.32</v>
      </c>
      <c r="K8" s="72">
        <f>IF(B8=0,"",IFERROR(VLOOKUP(B8,'S-ASIG-05'!$B$5:$E$88,4,0),0))</f>
        <v>4.16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108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109</v>
      </c>
    </row>
    <row r="9" spans="1:22" ht="15" customHeight="1">
      <c r="A9" s="12">
        <v>5</v>
      </c>
      <c r="B9" s="70" t="str">
        <f>LIDER!C13</f>
        <v>YANOSKI RICARDO CARCAMO MONROY</v>
      </c>
      <c r="C9" s="64" t="str">
        <f>IF(B9=0,"",IFERROR(VLOOKUP(B9,'S-ASIG-01'!$B$5:$E$88,2,0),0))</f>
        <v>G02</v>
      </c>
      <c r="D9" s="65">
        <f t="shared" si="2"/>
        <v>3.9599999999999995</v>
      </c>
      <c r="E9" s="66">
        <f t="shared" si="3"/>
        <v>0</v>
      </c>
      <c r="F9" s="47"/>
      <c r="G9" s="71">
        <f>IF(B9=0,"",IFERROR(VLOOKUP(B9,'S-ASIG-01'!$B$5:$E$88,4,0),0))</f>
        <v>3.9799999999999995</v>
      </c>
      <c r="H9" s="72">
        <f>IF(B9=0,"",IFERROR(VLOOKUP(B9,'S-ASIG-02'!$B$5:$E$88,4,0),0))</f>
        <v>3.85</v>
      </c>
      <c r="I9" s="72">
        <f>IF(B9=0,"",IFERROR(VLOOKUP(B9,'S-ASIG-03'!$B$5:$E$88,4,0),0))</f>
        <v>4.03</v>
      </c>
      <c r="J9" s="72">
        <f>IF(B9=0,"",IFERROR(VLOOKUP(B9,'S-ASIG-04'!$B$5:$E$88,4,0),0))</f>
        <v>4.04</v>
      </c>
      <c r="K9" s="72">
        <f>IF(B9=0,"",IFERROR(VLOOKUP(B9,'S-ASIG-05'!$B$5:$E$88,4,0),0))</f>
        <v>3.8999999999999995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108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109</v>
      </c>
    </row>
    <row r="10" spans="1:22" ht="15" customHeight="1">
      <c r="A10" s="12">
        <v>6</v>
      </c>
      <c r="B10" s="70" t="str">
        <f>LIDER!C14</f>
        <v>RAY DAVID MENDOZA DAZA</v>
      </c>
      <c r="C10" s="64" t="str">
        <f>IF(B10=0,"",IFERROR(VLOOKUP(B10,'S-ASIG-01'!$B$5:$E$88,2,0),0))</f>
        <v>G02</v>
      </c>
      <c r="D10" s="65">
        <f t="shared" si="2"/>
        <v>3.9599999999999995</v>
      </c>
      <c r="E10" s="66">
        <f t="shared" si="3"/>
        <v>0</v>
      </c>
      <c r="F10" s="47"/>
      <c r="G10" s="71">
        <f>IF(B10=0,"",IFERROR(VLOOKUP(B10,'S-ASIG-01'!$B$5:$E$88,4,0),0))</f>
        <v>3.9799999999999995</v>
      </c>
      <c r="H10" s="72">
        <f>IF(B10=0,"",IFERROR(VLOOKUP(B10,'S-ASIG-02'!$B$5:$E$88,4,0),0))</f>
        <v>3.85</v>
      </c>
      <c r="I10" s="72">
        <f>IF(B10=0,"",IFERROR(VLOOKUP(B10,'S-ASIG-03'!$B$5:$E$88,4,0),0))</f>
        <v>4.03</v>
      </c>
      <c r="J10" s="72">
        <f>IF(B10=0,"",IFERROR(VLOOKUP(B10,'S-ASIG-04'!$B$5:$E$88,4,0),0))</f>
        <v>4.04</v>
      </c>
      <c r="K10" s="72">
        <f>IF(B10=0,"",IFERROR(VLOOKUP(B10,'S-ASIG-05'!$B$5:$E$88,4,0),0))</f>
        <v>3.8999999999999995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108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109</v>
      </c>
    </row>
    <row r="11" spans="1:22" ht="15" customHeight="1">
      <c r="A11" s="12">
        <v>7</v>
      </c>
      <c r="B11" s="70" t="str">
        <f>LIDER!C15</f>
        <v>SEBASTIAN OSORIO CORONADO</v>
      </c>
      <c r="C11" s="64" t="str">
        <f>IF(B11=0,"",IFERROR(VLOOKUP(B11,'S-ASIG-01'!$B$5:$E$88,2,0),0))</f>
        <v>G02</v>
      </c>
      <c r="D11" s="65">
        <f t="shared" si="2"/>
        <v>3.9599999999999995</v>
      </c>
      <c r="E11" s="66">
        <f t="shared" si="3"/>
        <v>0</v>
      </c>
      <c r="F11" s="47"/>
      <c r="G11" s="71">
        <f>IF(B11=0,"",IFERROR(VLOOKUP(B11,'S-ASIG-01'!$B$5:$E$88,4,0),0))</f>
        <v>3.9799999999999995</v>
      </c>
      <c r="H11" s="72">
        <f>IF(B11=0,"",IFERROR(VLOOKUP(B11,'S-ASIG-02'!$B$5:$E$88,4,0),0))</f>
        <v>3.85</v>
      </c>
      <c r="I11" s="72">
        <f>IF(B11=0,"",IFERROR(VLOOKUP(B11,'S-ASIG-03'!$B$5:$E$88,4,0),0))</f>
        <v>4.03</v>
      </c>
      <c r="J11" s="72">
        <f>IF(B11=0,"",IFERROR(VLOOKUP(B11,'S-ASIG-04'!$B$5:$E$88,4,0),0))</f>
        <v>4.04</v>
      </c>
      <c r="K11" s="72">
        <f>IF(B11=0,"",IFERROR(VLOOKUP(B11,'S-ASIG-05'!$B$5:$E$88,4,0),0))</f>
        <v>3.8999999999999995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108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109</v>
      </c>
    </row>
    <row r="12" spans="1:22" ht="15" customHeight="1">
      <c r="A12" s="12">
        <v>8</v>
      </c>
      <c r="B12" s="70" t="str">
        <f>LIDER!C16</f>
        <v>JORGE HUMBERTO GARCES GOMEZ</v>
      </c>
      <c r="C12" s="64" t="str">
        <f>IF(B12=0,"",IFERROR(VLOOKUP(B12,'S-ASIG-01'!$B$5:$E$88,2,0),0))</f>
        <v>G03</v>
      </c>
      <c r="D12" s="65">
        <f t="shared" si="2"/>
        <v>3.4319999999999999</v>
      </c>
      <c r="E12" s="66">
        <f t="shared" si="3"/>
        <v>0</v>
      </c>
      <c r="F12" s="47"/>
      <c r="G12" s="71">
        <f>IF(B12=0,"",IFERROR(VLOOKUP(B12,'S-ASIG-01'!$B$5:$E$88,4,0),0))</f>
        <v>2.74</v>
      </c>
      <c r="H12" s="72">
        <f>IF(B12=0,"",IFERROR(VLOOKUP(B12,'S-ASIG-02'!$B$5:$E$88,4,0),0))</f>
        <v>3.96</v>
      </c>
      <c r="I12" s="72">
        <f>IF(B12=0,"",IFERROR(VLOOKUP(B12,'S-ASIG-03'!$B$5:$E$88,4,0),0))</f>
        <v>2.94</v>
      </c>
      <c r="J12" s="72">
        <f>IF(B12=0,"",IFERROR(VLOOKUP(B12,'S-ASIG-04'!$B$5:$E$88,4,0),0))</f>
        <v>4.0999999999999996</v>
      </c>
      <c r="K12" s="72">
        <f>IF(B12=0,"",IFERROR(VLOOKUP(B12,'S-ASIG-05'!$B$5:$E$88,4,0),0))</f>
        <v>3.4200000000000008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108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109</v>
      </c>
    </row>
    <row r="13" spans="1:22" ht="15" customHeight="1">
      <c r="A13" s="12">
        <v>9</v>
      </c>
      <c r="B13" s="70" t="str">
        <f>LIDER!C17</f>
        <v>VALENTINA GIRALDO BOLAÑO</v>
      </c>
      <c r="C13" s="64" t="str">
        <f>IF(B13=0,"",IFERROR(VLOOKUP(B13,'S-ASIG-01'!$B$5:$E$88,2,0),0))</f>
        <v>G03</v>
      </c>
      <c r="D13" s="65">
        <f t="shared" si="2"/>
        <v>3.4319999999999999</v>
      </c>
      <c r="E13" s="66">
        <f t="shared" si="3"/>
        <v>0</v>
      </c>
      <c r="F13" s="47"/>
      <c r="G13" s="71">
        <f>IF(B13=0,"",IFERROR(VLOOKUP(B13,'S-ASIG-01'!$B$5:$E$88,4,0),0))</f>
        <v>2.74</v>
      </c>
      <c r="H13" s="72">
        <f>IF(B13=0,"",IFERROR(VLOOKUP(B13,'S-ASIG-02'!$B$5:$E$88,4,0),0))</f>
        <v>3.96</v>
      </c>
      <c r="I13" s="72">
        <f>IF(B13=0,"",IFERROR(VLOOKUP(B13,'S-ASIG-03'!$B$5:$E$88,4,0),0))</f>
        <v>2.94</v>
      </c>
      <c r="J13" s="72">
        <f>IF(B13=0,"",IFERROR(VLOOKUP(B13,'S-ASIG-04'!$B$5:$E$88,4,0),0))</f>
        <v>4.0999999999999996</v>
      </c>
      <c r="K13" s="72">
        <f>IF(B13=0,"",IFERROR(VLOOKUP(B13,'S-ASIG-05'!$B$5:$E$88,4,0),0))</f>
        <v>3.4200000000000008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108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109</v>
      </c>
    </row>
    <row r="14" spans="1:22" ht="15" customHeight="1">
      <c r="A14" s="12">
        <v>10</v>
      </c>
      <c r="B14" s="70" t="str">
        <f>LIDER!C18</f>
        <v>YOANDY GOMEZ DIAZ</v>
      </c>
      <c r="C14" s="64" t="str">
        <f>IF(B14=0,"",IFERROR(VLOOKUP(B14,'S-ASIG-01'!$B$5:$E$88,2,0),0))</f>
        <v>G03</v>
      </c>
      <c r="D14" s="65">
        <f t="shared" si="2"/>
        <v>3.4319999999999999</v>
      </c>
      <c r="E14" s="66">
        <f t="shared" si="3"/>
        <v>0</v>
      </c>
      <c r="F14" s="47"/>
      <c r="G14" s="71">
        <f>IF(B14=0,"",IFERROR(VLOOKUP(B14,'S-ASIG-01'!$B$5:$E$88,4,0),0))</f>
        <v>2.74</v>
      </c>
      <c r="H14" s="72">
        <f>IF(B14=0,"",IFERROR(VLOOKUP(B14,'S-ASIG-02'!$B$5:$E$88,4,0),0))</f>
        <v>3.96</v>
      </c>
      <c r="I14" s="72">
        <f>IF(B14=0,"",IFERROR(VLOOKUP(B14,'S-ASIG-03'!$B$5:$E$88,4,0),0))</f>
        <v>2.94</v>
      </c>
      <c r="J14" s="72">
        <f>IF(B14=0,"",IFERROR(VLOOKUP(B14,'S-ASIG-04'!$B$5:$E$88,4,0),0))</f>
        <v>4.0999999999999996</v>
      </c>
      <c r="K14" s="72">
        <f>IF(B14=0,"",IFERROR(VLOOKUP(B14,'S-ASIG-05'!$B$5:$E$88,4,0),0))</f>
        <v>3.4200000000000008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108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109</v>
      </c>
    </row>
    <row r="15" spans="1:22" ht="15" customHeight="1">
      <c r="A15" s="12">
        <v>11</v>
      </c>
      <c r="B15" s="70" t="str">
        <f>LIDER!C19</f>
        <v>DARWIN STIVEN TELLEZ ABRIL</v>
      </c>
      <c r="C15" s="64" t="str">
        <f>IF(B15=0,"",IFERROR(VLOOKUP(B15,'S-ASIG-01'!$B$5:$E$88,2,0),0))</f>
        <v>G03</v>
      </c>
      <c r="D15" s="65">
        <f t="shared" si="2"/>
        <v>3.4319999999999999</v>
      </c>
      <c r="E15" s="66">
        <f t="shared" si="3"/>
        <v>0</v>
      </c>
      <c r="F15" s="47"/>
      <c r="G15" s="71">
        <f>IF(B15=0,"",IFERROR(VLOOKUP(B15,'S-ASIG-01'!$B$5:$E$88,4,0),0))</f>
        <v>2.74</v>
      </c>
      <c r="H15" s="72">
        <f>IF(B15=0,"",IFERROR(VLOOKUP(B15,'S-ASIG-02'!$B$5:$E$88,4,0),0))</f>
        <v>3.96</v>
      </c>
      <c r="I15" s="72">
        <f>IF(B15=0,"",IFERROR(VLOOKUP(B15,'S-ASIG-03'!$B$5:$E$88,4,0),0))</f>
        <v>2.94</v>
      </c>
      <c r="J15" s="72">
        <f>IF(B15=0,"",IFERROR(VLOOKUP(B15,'S-ASIG-04'!$B$5:$E$88,4,0),0))</f>
        <v>4.0999999999999996</v>
      </c>
      <c r="K15" s="72">
        <f>IF(B15=0,"",IFERROR(VLOOKUP(B15,'S-ASIG-05'!$B$5:$E$88,4,0),0))</f>
        <v>3.4200000000000008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108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109</v>
      </c>
    </row>
    <row r="16" spans="1:22" ht="15" customHeight="1">
      <c r="A16" s="12">
        <v>12</v>
      </c>
      <c r="B16" s="70" t="str">
        <f>LIDER!C20</f>
        <v>JESUS JAVIER MARTINEZ MESTRA</v>
      </c>
      <c r="C16" s="64" t="str">
        <f>IF(B16=0,"",IFERROR(VLOOKUP(B16,'S-ASIG-01'!$B$5:$E$88,2,0),0))</f>
        <v>G04</v>
      </c>
      <c r="D16" s="65">
        <f t="shared" si="2"/>
        <v>3.4</v>
      </c>
      <c r="E16" s="66">
        <f t="shared" si="3"/>
        <v>0</v>
      </c>
      <c r="F16" s="47"/>
      <c r="G16" s="71">
        <f>IF(B16=0,"",IFERROR(VLOOKUP(B16,'S-ASIG-01'!$B$5:$E$88,4,0),0))</f>
        <v>3.06</v>
      </c>
      <c r="H16" s="72">
        <f>IF(B16=0,"",IFERROR(VLOOKUP(B16,'S-ASIG-02'!$B$5:$E$88,4,0),0))</f>
        <v>3.88</v>
      </c>
      <c r="I16" s="72">
        <f>IF(B16=0,"",IFERROR(VLOOKUP(B16,'S-ASIG-03'!$B$5:$E$88,4,0),0))</f>
        <v>3.23</v>
      </c>
      <c r="J16" s="72">
        <f>IF(B16=0,"",IFERROR(VLOOKUP(B16,'S-ASIG-04'!$B$5:$E$88,4,0),0))</f>
        <v>4.0299999999999994</v>
      </c>
      <c r="K16" s="72">
        <f>IF(B16=0,"",IFERROR(VLOOKUP(B16,'S-ASIG-05'!$B$5:$E$88,4,0),0))</f>
        <v>2.8000000000000003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108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109</v>
      </c>
    </row>
    <row r="17" spans="1:22" ht="15" customHeight="1">
      <c r="A17" s="12">
        <v>13</v>
      </c>
      <c r="B17" s="70" t="str">
        <f>LIDER!C21</f>
        <v>GABRIEL DAVID SANCHEZ PARRA</v>
      </c>
      <c r="C17" s="64" t="str">
        <f>IF(B17=0,"",IFERROR(VLOOKUP(B17,'S-ASIG-01'!$B$5:$E$88,2,0),0))</f>
        <v>G04</v>
      </c>
      <c r="D17" s="65">
        <f t="shared" si="2"/>
        <v>3.4</v>
      </c>
      <c r="E17" s="66">
        <f t="shared" si="3"/>
        <v>0</v>
      </c>
      <c r="F17" s="47"/>
      <c r="G17" s="71">
        <f>IF(B17=0,"",IFERROR(VLOOKUP(B17,'S-ASIG-01'!$B$5:$E$88,4,0),0))</f>
        <v>3.06</v>
      </c>
      <c r="H17" s="72">
        <f>IF(B17=0,"",IFERROR(VLOOKUP(B17,'S-ASIG-02'!$B$5:$E$88,4,0),0))</f>
        <v>3.88</v>
      </c>
      <c r="I17" s="72">
        <f>IF(B17=0,"",IFERROR(VLOOKUP(B17,'S-ASIG-03'!$B$5:$E$88,4,0),0))</f>
        <v>3.23</v>
      </c>
      <c r="J17" s="72">
        <f>IF(B17=0,"",IFERROR(VLOOKUP(B17,'S-ASIG-04'!$B$5:$E$88,4,0),0))</f>
        <v>4.0299999999999994</v>
      </c>
      <c r="K17" s="72">
        <f>IF(B17=0,"",IFERROR(VLOOKUP(B17,'S-ASIG-05'!$B$5:$E$88,4,0),0))</f>
        <v>2.8000000000000003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108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109</v>
      </c>
    </row>
    <row r="18" spans="1:22" ht="15" customHeight="1">
      <c r="A18" s="12">
        <v>14</v>
      </c>
      <c r="B18" s="70" t="str">
        <f>LIDER!C22</f>
        <v>SANTIAGO JOSE URIBE CRISTANCHO</v>
      </c>
      <c r="C18" s="64" t="str">
        <f>IF(B18=0,"",IFERROR(VLOOKUP(B18,'S-ASIG-01'!$B$5:$E$88,2,0),0))</f>
        <v>G04</v>
      </c>
      <c r="D18" s="65">
        <f t="shared" si="2"/>
        <v>3.4</v>
      </c>
      <c r="E18" s="66">
        <f t="shared" si="3"/>
        <v>0</v>
      </c>
      <c r="F18" s="47"/>
      <c r="G18" s="71">
        <f>IF(B18=0,"",IFERROR(VLOOKUP(B18,'S-ASIG-01'!$B$5:$E$88,4,0),0))</f>
        <v>3.06</v>
      </c>
      <c r="H18" s="72">
        <f>IF(B18=0,"",IFERROR(VLOOKUP(B18,'S-ASIG-02'!$B$5:$E$88,4,0),0))</f>
        <v>3.88</v>
      </c>
      <c r="I18" s="72">
        <f>IF(B18=0,"",IFERROR(VLOOKUP(B18,'S-ASIG-03'!$B$5:$E$88,4,0),0))</f>
        <v>3.23</v>
      </c>
      <c r="J18" s="72">
        <f>IF(B18=0,"",IFERROR(VLOOKUP(B18,'S-ASIG-04'!$B$5:$E$88,4,0),0))</f>
        <v>4.0299999999999994</v>
      </c>
      <c r="K18" s="72">
        <f>IF(B18=0,"",IFERROR(VLOOKUP(B18,'S-ASIG-05'!$B$5:$E$88,4,0),0))</f>
        <v>2.8000000000000003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108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109</v>
      </c>
    </row>
    <row r="19" spans="1:22" ht="15" customHeight="1">
      <c r="A19" s="12">
        <v>15</v>
      </c>
      <c r="B19" s="70" t="str">
        <f>LIDER!C23</f>
        <v>IAN YORACO BERRIO CASTILLO</v>
      </c>
      <c r="C19" s="64" t="str">
        <f>IF(B19=0,"",IFERROR(VLOOKUP(B19,'S-ASIG-01'!$B$5:$E$88,2,0),0))</f>
        <v>G05</v>
      </c>
      <c r="D19" s="65">
        <f t="shared" si="2"/>
        <v>4.1779999999999999</v>
      </c>
      <c r="E19" s="66">
        <f t="shared" si="3"/>
        <v>0</v>
      </c>
      <c r="F19" s="47"/>
      <c r="G19" s="71">
        <f>IF(B19=0,"",IFERROR(VLOOKUP(B19,'S-ASIG-01'!$B$5:$E$88,4,0),0))</f>
        <v>4.7</v>
      </c>
      <c r="H19" s="72">
        <f>IF(B19=0,"",IFERROR(VLOOKUP(B19,'S-ASIG-02'!$B$5:$E$88,4,0),0))</f>
        <v>3.75</v>
      </c>
      <c r="I19" s="72">
        <f>IF(B19=0,"",IFERROR(VLOOKUP(B19,'S-ASIG-03'!$B$5:$E$88,4,0),0))</f>
        <v>4.67</v>
      </c>
      <c r="J19" s="72">
        <f>IF(B19=0,"",IFERROR(VLOOKUP(B19,'S-ASIG-04'!$B$5:$E$88,4,0),0))</f>
        <v>4.22</v>
      </c>
      <c r="K19" s="72">
        <f>IF(B19=0,"",IFERROR(VLOOKUP(B19,'S-ASIG-05'!$B$5:$E$88,4,0),0))</f>
        <v>3.5500000000000003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108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109</v>
      </c>
    </row>
    <row r="20" spans="1:22" ht="15" customHeight="1">
      <c r="A20" s="12">
        <v>16</v>
      </c>
      <c r="B20" s="70" t="str">
        <f>LIDER!C24</f>
        <v>BRAYAN DAVID JIMENEZ ECHENIQUE</v>
      </c>
      <c r="C20" s="64" t="str">
        <f>IF(B20=0,"",IFERROR(VLOOKUP(B20,'S-ASIG-01'!$B$5:$E$88,2,0),0))</f>
        <v>G05</v>
      </c>
      <c r="D20" s="65">
        <f t="shared" si="2"/>
        <v>4.1779999999999999</v>
      </c>
      <c r="E20" s="66">
        <f t="shared" si="3"/>
        <v>0</v>
      </c>
      <c r="F20" s="47"/>
      <c r="G20" s="71">
        <f>IF(B20=0,"",IFERROR(VLOOKUP(B20,'S-ASIG-01'!$B$5:$E$88,4,0),0))</f>
        <v>4.7</v>
      </c>
      <c r="H20" s="72">
        <f>IF(B20=0,"",IFERROR(VLOOKUP(B20,'S-ASIG-02'!$B$5:$E$88,4,0),0))</f>
        <v>3.75</v>
      </c>
      <c r="I20" s="72">
        <f>IF(B20=0,"",IFERROR(VLOOKUP(B20,'S-ASIG-03'!$B$5:$E$88,4,0),0))</f>
        <v>4.67</v>
      </c>
      <c r="J20" s="72">
        <f>IF(B20=0,"",IFERROR(VLOOKUP(B20,'S-ASIG-04'!$B$5:$E$88,4,0),0))</f>
        <v>4.22</v>
      </c>
      <c r="K20" s="72">
        <f>IF(B20=0,"",IFERROR(VLOOKUP(B20,'S-ASIG-05'!$B$5:$E$88,4,0),0))</f>
        <v>3.5500000000000003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108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109</v>
      </c>
    </row>
    <row r="21" spans="1:22" ht="15" customHeight="1">
      <c r="A21" s="12">
        <v>17</v>
      </c>
      <c r="B21" s="70" t="str">
        <f>LIDER!C25</f>
        <v>CAMILO ANDRES RAMOS PERIÑAN</v>
      </c>
      <c r="C21" s="64" t="str">
        <f>IF(B21=0,"",IFERROR(VLOOKUP(B21,'S-ASIG-01'!$B$5:$E$88,2,0),0))</f>
        <v>G05</v>
      </c>
      <c r="D21" s="65">
        <f t="shared" si="2"/>
        <v>4.1779999999999999</v>
      </c>
      <c r="E21" s="66">
        <f t="shared" si="3"/>
        <v>0</v>
      </c>
      <c r="F21" s="47"/>
      <c r="G21" s="71">
        <f>IF(B21=0,"",IFERROR(VLOOKUP(B21,'S-ASIG-01'!$B$5:$E$88,4,0),0))</f>
        <v>4.7</v>
      </c>
      <c r="H21" s="72">
        <f>IF(B21=0,"",IFERROR(VLOOKUP(B21,'S-ASIG-02'!$B$5:$E$88,4,0),0))</f>
        <v>3.75</v>
      </c>
      <c r="I21" s="72">
        <f>IF(B21=0,"",IFERROR(VLOOKUP(B21,'S-ASIG-03'!$B$5:$E$88,4,0),0))</f>
        <v>4.67</v>
      </c>
      <c r="J21" s="72">
        <f>IF(B21=0,"",IFERROR(VLOOKUP(B21,'S-ASIG-04'!$B$5:$E$88,4,0),0))</f>
        <v>4.22</v>
      </c>
      <c r="K21" s="72">
        <f>IF(B21=0,"",IFERROR(VLOOKUP(B21,'S-ASIG-05'!$B$5:$E$88,4,0),0))</f>
        <v>3.5500000000000003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108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109</v>
      </c>
    </row>
    <row r="22" spans="1:22" ht="15" customHeight="1">
      <c r="A22" s="12">
        <v>18</v>
      </c>
      <c r="B22" s="70" t="str">
        <f>LIDER!C26</f>
        <v xml:space="preserve">DILAN ANTONIO  BOSSIO LEAL </v>
      </c>
      <c r="C22" s="64" t="str">
        <f>IF(B22=0,"",IFERROR(VLOOKUP(B22,'S-ASIG-01'!$B$5:$E$88,2,0),0))</f>
        <v>G01</v>
      </c>
      <c r="D22" s="65">
        <f t="shared" si="2"/>
        <v>4.4940000000000007</v>
      </c>
      <c r="E22" s="66">
        <f t="shared" si="3"/>
        <v>0</v>
      </c>
      <c r="F22" s="47"/>
      <c r="G22" s="71">
        <f>IF(B22=0,"",IFERROR(VLOOKUP(B22,'S-ASIG-01'!$B$5:$E$88,4,0),0))</f>
        <v>4.82</v>
      </c>
      <c r="H22" s="72">
        <f>IF(B22=0,"",IFERROR(VLOOKUP(B22,'S-ASIG-02'!$B$5:$E$88,4,0),0))</f>
        <v>4.4000000000000004</v>
      </c>
      <c r="I22" s="72">
        <f>IF(B22=0,"",IFERROR(VLOOKUP(B22,'S-ASIG-03'!$B$5:$E$88,4,0),0))</f>
        <v>4.7699999999999996</v>
      </c>
      <c r="J22" s="72">
        <f>IF(B22=0,"",IFERROR(VLOOKUP(B22,'S-ASIG-04'!$B$5:$E$88,4,0),0))</f>
        <v>4.32</v>
      </c>
      <c r="K22" s="72">
        <f>IF(B22=0,"",IFERROR(VLOOKUP(B22,'S-ASIG-05'!$B$5:$E$88,4,0),0))</f>
        <v>4.16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108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109</v>
      </c>
    </row>
    <row r="23" spans="1:22" ht="15" customHeight="1">
      <c r="A23" s="12">
        <v>19</v>
      </c>
      <c r="B23" s="70" t="str">
        <f>LIDER!C27</f>
        <v xml:space="preserve">HELEN MARÍA  OCHOA RODRÍGUEZ </v>
      </c>
      <c r="C23" s="64" t="str">
        <f>IF(B23=0,"",IFERROR(VLOOKUP(B23,'S-ASIG-01'!$B$5:$E$88,2,0),0))</f>
        <v>G01</v>
      </c>
      <c r="D23" s="65">
        <f t="shared" si="2"/>
        <v>4.4940000000000007</v>
      </c>
      <c r="E23" s="66">
        <f t="shared" si="3"/>
        <v>0</v>
      </c>
      <c r="F23" s="47"/>
      <c r="G23" s="71">
        <f>IF(B23=0,"",IFERROR(VLOOKUP(B23,'S-ASIG-01'!$B$5:$E$88,4,0),0))</f>
        <v>4.82</v>
      </c>
      <c r="H23" s="72">
        <f>IF(B23=0,"",IFERROR(VLOOKUP(B23,'S-ASIG-02'!$B$5:$E$88,4,0),0))</f>
        <v>4.4000000000000004</v>
      </c>
      <c r="I23" s="72">
        <f>IF(B23=0,"",IFERROR(VLOOKUP(B23,'S-ASIG-03'!$B$5:$E$88,4,0),0))</f>
        <v>4.7699999999999996</v>
      </c>
      <c r="J23" s="72">
        <f>IF(B23=0,"",IFERROR(VLOOKUP(B23,'S-ASIG-04'!$B$5:$E$88,4,0),0))</f>
        <v>4.32</v>
      </c>
      <c r="K23" s="72">
        <f>IF(B23=0,"",IFERROR(VLOOKUP(B23,'S-ASIG-05'!$B$5:$E$88,4,0),0))</f>
        <v>4.16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108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109</v>
      </c>
    </row>
    <row r="24" spans="1:22" ht="15" customHeight="1">
      <c r="A24" s="12">
        <v>20</v>
      </c>
      <c r="B24" s="70" t="str">
        <f>LIDER!C28</f>
        <v xml:space="preserve">MICHELLE CAROLINA RODRIGUEZ SEVERICHE </v>
      </c>
      <c r="C24" s="64" t="str">
        <f>IF(B24=0,"",IFERROR(VLOOKUP(B24,'S-ASIG-01'!$B$5:$E$88,2,0),0))</f>
        <v>G03</v>
      </c>
      <c r="D24" s="65">
        <f t="shared" si="2"/>
        <v>3.4319999999999999</v>
      </c>
      <c r="E24" s="66">
        <f t="shared" si="3"/>
        <v>0</v>
      </c>
      <c r="F24" s="47"/>
      <c r="G24" s="71">
        <f>IF(B24=0,"",IFERROR(VLOOKUP(B24,'S-ASIG-01'!$B$5:$E$88,4,0),0))</f>
        <v>2.74</v>
      </c>
      <c r="H24" s="72">
        <f>IF(B24=0,"",IFERROR(VLOOKUP(B24,'S-ASIG-02'!$B$5:$E$88,4,0),0))</f>
        <v>3.96</v>
      </c>
      <c r="I24" s="72">
        <f>IF(B24=0,"",IFERROR(VLOOKUP(B24,'S-ASIG-03'!$B$5:$E$88,4,0),0))</f>
        <v>2.94</v>
      </c>
      <c r="J24" s="72">
        <f>IF(B24=0,"",IFERROR(VLOOKUP(B24,'S-ASIG-04'!$B$5:$E$88,4,0),0))</f>
        <v>4.0999999999999996</v>
      </c>
      <c r="K24" s="72">
        <f>IF(B24=0,"",IFERROR(VLOOKUP(B24,'S-ASIG-05'!$B$5:$E$88,4,0),0))</f>
        <v>3.4200000000000008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108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109</v>
      </c>
    </row>
    <row r="25" spans="1:22" ht="15" customHeight="1">
      <c r="A25" s="12">
        <v>21</v>
      </c>
      <c r="B25" s="70" t="str">
        <f>LIDER!C29</f>
        <v>EMILY SHANNAY LARA GODOY</v>
      </c>
      <c r="C25" s="64" t="str">
        <f>IF(B25=0,"",IFERROR(VLOOKUP(B25,'S-ASIG-01'!$B$5:$E$88,2,0),0))</f>
        <v>G05</v>
      </c>
      <c r="D25" s="65">
        <f t="shared" si="2"/>
        <v>4.1779999999999999</v>
      </c>
      <c r="E25" s="66">
        <f t="shared" si="3"/>
        <v>0</v>
      </c>
      <c r="F25" s="47"/>
      <c r="G25" s="71">
        <f>IF(B25=0,"",IFERROR(VLOOKUP(B25,'S-ASIG-01'!$B$5:$E$88,4,0),0))</f>
        <v>4.7</v>
      </c>
      <c r="H25" s="72">
        <f>IF(B25=0,"",IFERROR(VLOOKUP(B25,'S-ASIG-02'!$B$5:$E$88,4,0),0))</f>
        <v>3.75</v>
      </c>
      <c r="I25" s="72">
        <f>IF(B25=0,"",IFERROR(VLOOKUP(B25,'S-ASIG-03'!$B$5:$E$88,4,0),0))</f>
        <v>4.67</v>
      </c>
      <c r="J25" s="72">
        <f>IF(B25=0,"",IFERROR(VLOOKUP(B25,'S-ASIG-04'!$B$5:$E$88,4,0),0))</f>
        <v>4.22</v>
      </c>
      <c r="K25" s="72">
        <f>IF(B25=0,"",IFERROR(VLOOKUP(B25,'S-ASIG-05'!$B$5:$E$88,4,0),0))</f>
        <v>3.5500000000000003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108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109</v>
      </c>
    </row>
    <row r="26" spans="1:22" ht="15" customHeight="1">
      <c r="A26" s="12">
        <v>22</v>
      </c>
      <c r="B26" s="70" t="str">
        <f>LIDER!C30</f>
        <v>BRAYAN DAVID JIMENEZ ECHENIQUE</v>
      </c>
      <c r="C26" s="64" t="str">
        <f>IF(B26=0,"",IFERROR(VLOOKUP(B26,'S-ASIG-01'!$B$5:$E$88,2,0),0))</f>
        <v>G05</v>
      </c>
      <c r="D26" s="65">
        <f t="shared" si="2"/>
        <v>4.1779999999999999</v>
      </c>
      <c r="E26" s="66">
        <f t="shared" si="3"/>
        <v>0</v>
      </c>
      <c r="F26" s="47"/>
      <c r="G26" s="71">
        <f>IF(B26=0,"",IFERROR(VLOOKUP(B26,'S-ASIG-01'!$B$5:$E$88,4,0),0))</f>
        <v>4.7</v>
      </c>
      <c r="H26" s="72">
        <f>IF(B26=0,"",IFERROR(VLOOKUP(B26,'S-ASIG-02'!$B$5:$E$88,4,0),0))</f>
        <v>3.75</v>
      </c>
      <c r="I26" s="72">
        <f>IF(B26=0,"",IFERROR(VLOOKUP(B26,'S-ASIG-03'!$B$5:$E$88,4,0),0))</f>
        <v>4.67</v>
      </c>
      <c r="J26" s="72">
        <f>IF(B26=0,"",IFERROR(VLOOKUP(B26,'S-ASIG-04'!$B$5:$E$88,4,0),0))</f>
        <v>4.22</v>
      </c>
      <c r="K26" s="72">
        <f>IF(B26=0,"",IFERROR(VLOOKUP(B26,'S-ASIG-05'!$B$5:$E$88,4,0),0))</f>
        <v>3.5500000000000003</v>
      </c>
      <c r="L26" s="72">
        <f>IF(B26=0,"",IFERROR(VLOOKUP(B26,'S-ASIG-06'!$B$5:$E$88,4,0),0))</f>
        <v>0</v>
      </c>
      <c r="M26" s="73">
        <f>IF(B26=0,"",IFERROR(VLOOKUP(B26,'S-ASIG-07'!$B$5:$E$88,4,0),0))</f>
        <v>0</v>
      </c>
      <c r="N26" s="68" t="s">
        <v>108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109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108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109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108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109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108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109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108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109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108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109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108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109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108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109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108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109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108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109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108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109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108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109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108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109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108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109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108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109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108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109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108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109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108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109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108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109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108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109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108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109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108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109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108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109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108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109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108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109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108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109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108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109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108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109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108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109</v>
      </c>
    </row>
  </sheetData>
  <sheetProtection algorithmName="SHA-512" hashValue="d+FVhHSqjnmXKwxrhxb/j4J7BKpplJyd/q27FCUS4ksEmPgtq3EuOl6KIfJYYu0rRSiHnFoAMJB/6uZEufRCzA==" saltValue="Ue5Uu+pgm6/8kyquxb6uX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Armando José Acosta Julio</cp:lastModifiedBy>
  <cp:revision/>
  <dcterms:created xsi:type="dcterms:W3CDTF">2025-09-29T20:45:44Z</dcterms:created>
  <dcterms:modified xsi:type="dcterms:W3CDTF">2026-10-16T11:36:58Z</dcterms:modified>
  <cp:category/>
  <cp:contentStatus/>
</cp:coreProperties>
</file>