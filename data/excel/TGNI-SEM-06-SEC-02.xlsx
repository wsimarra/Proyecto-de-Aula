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6/"/>
    </mc:Choice>
  </mc:AlternateContent>
  <xr:revisionPtr revIDLastSave="612" documentId="13_ncr:1_{D39E778C-F03D-4EF7-8708-39AF77921EEC}" xr6:coauthVersionLast="47" xr6:coauthVersionMax="47" xr10:uidLastSave="{EF4310F7-1F29-4F78-A7A6-BB19FB822657}"/>
  <bookViews>
    <workbookView xWindow="-120" yWindow="-120" windowWidth="20730" windowHeight="11040" tabRatio="815" firstSheet="15" activeTab="8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0" l="1"/>
  <c r="E7" i="10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B87" i="6"/>
  <c r="D87" i="6" s="1"/>
  <c r="B86" i="6"/>
  <c r="D86" i="6" s="1"/>
  <c r="B85" i="6"/>
  <c r="D85" i="6" s="1"/>
  <c r="B84" i="6"/>
  <c r="D84" i="6" s="1"/>
  <c r="B83" i="6"/>
  <c r="D83" i="6" s="1"/>
  <c r="D81" i="6"/>
  <c r="B81" i="6"/>
  <c r="B80" i="6"/>
  <c r="D80" i="6" s="1"/>
  <c r="B79" i="6"/>
  <c r="D79" i="6" s="1"/>
  <c r="B78" i="6"/>
  <c r="D78" i="6" s="1"/>
  <c r="B77" i="6"/>
  <c r="D77" i="6" s="1"/>
  <c r="B76" i="6"/>
  <c r="D76" i="6" s="1"/>
  <c r="B74" i="6"/>
  <c r="D74" i="6" s="1"/>
  <c r="B73" i="6"/>
  <c r="D73" i="6" s="1"/>
  <c r="B72" i="6"/>
  <c r="D72" i="6" s="1"/>
  <c r="B71" i="6"/>
  <c r="D71" i="6" s="1"/>
  <c r="D70" i="6"/>
  <c r="B70" i="6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B87" i="5"/>
  <c r="D87" i="5" s="1"/>
  <c r="B86" i="5"/>
  <c r="D86" i="5" s="1"/>
  <c r="B85" i="5"/>
  <c r="D85" i="5" s="1"/>
  <c r="B84" i="5"/>
  <c r="D84" i="5" s="1"/>
  <c r="D83" i="5"/>
  <c r="B83" i="5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D72" i="4"/>
  <c r="B72" i="4"/>
  <c r="B71" i="4"/>
  <c r="D71" i="4" s="1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B88" i="15"/>
  <c r="E88" i="15" s="1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E79" i="15"/>
  <c r="B79" i="15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B87" i="14"/>
  <c r="E87" i="14" s="1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C76" i="14"/>
  <c r="B76" i="14"/>
  <c r="E76" i="14" s="1"/>
  <c r="F75" i="14"/>
  <c r="B74" i="14"/>
  <c r="E74" i="14" s="1"/>
  <c r="B73" i="14"/>
  <c r="E73" i="14" s="1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C83" i="13"/>
  <c r="B83" i="13"/>
  <c r="E83" i="13" s="1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B71" i="12"/>
  <c r="E71" i="12" s="1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B88" i="11"/>
  <c r="E88" i="11" s="1"/>
  <c r="B87" i="11"/>
  <c r="E87" i="11" s="1"/>
  <c r="B86" i="11"/>
  <c r="E86" i="11" s="1"/>
  <c r="B85" i="11"/>
  <c r="E85" i="11" s="1"/>
  <c r="C84" i="11"/>
  <c r="C85" i="11" s="1"/>
  <c r="C86" i="11" s="1"/>
  <c r="C87" i="11" s="1"/>
  <c r="C88" i="11" s="1"/>
  <c r="B84" i="11"/>
  <c r="E84" i="11" s="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B77" i="11"/>
  <c r="E77" i="11" s="1"/>
  <c r="C76" i="11"/>
  <c r="C77" i="11" s="1"/>
  <c r="C78" i="11" s="1"/>
  <c r="C79" i="11" s="1"/>
  <c r="C80" i="11" s="1"/>
  <c r="C81" i="11" s="1"/>
  <c r="B76" i="11"/>
  <c r="E76" i="11" s="1"/>
  <c r="F75" i="11"/>
  <c r="B74" i="11"/>
  <c r="E74" i="11" s="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B8" i="10"/>
  <c r="C7" i="10"/>
  <c r="C8" i="10" s="1"/>
  <c r="C9" i="10" s="1"/>
  <c r="C10" i="10" s="1"/>
  <c r="C11" i="10" s="1"/>
  <c r="B7" i="10"/>
  <c r="C6" i="10"/>
  <c r="B6" i="10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7" l="1"/>
  <c r="D42" i="3"/>
  <c r="D36" i="6"/>
  <c r="D37" i="16"/>
  <c r="D21" i="16"/>
  <c r="D48" i="4"/>
  <c r="D49" i="6"/>
  <c r="D22" i="7"/>
  <c r="D37" i="4"/>
  <c r="D21" i="4"/>
  <c r="D22" i="5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M42" i="8"/>
  <c r="I42" i="8"/>
  <c r="L42" i="8"/>
  <c r="G42" i="8"/>
  <c r="K42" i="8"/>
  <c r="R42" i="8"/>
  <c r="E42" i="8" s="1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E43" i="8" l="1"/>
  <c r="D43" i="8"/>
  <c r="E40" i="8"/>
  <c r="D40" i="8"/>
  <c r="E41" i="8"/>
  <c r="D41" i="8"/>
  <c r="D42" i="8"/>
  <c r="D22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<sst xmlns="http://schemas.openxmlformats.org/spreadsheetml/2006/main" count="717" uniqueCount="128">
  <si>
    <t>TECNOLOGÍA EN GESTIÓN DE NEGOCIOS INTERN</t>
  </si>
  <si>
    <t>SEMESTRE:</t>
  </si>
  <si>
    <t>SEM-06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</si>
  <si>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</si>
  <si>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</si>
  <si>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</si>
  <si>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</si>
  <si>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</si>
  <si>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</si>
  <si>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</si>
  <si>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</si>
  <si>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INNOVACION Y EMPRENDIMIENTO</t>
  </si>
  <si>
    <t>D.F.I.</t>
  </si>
  <si>
    <t>ELECTIVA DE PROFUNDIZACION III</t>
  </si>
  <si>
    <t>AMBIENTE Y DESARROLLO</t>
  </si>
  <si>
    <t>FINANZAS INTERNACIONALES</t>
  </si>
  <si>
    <t>ELECTIVA LIBRE SOCIOHUMANÍ II</t>
  </si>
  <si>
    <t>HUMBERTO SANCHEZ DRAGO</t>
  </si>
  <si>
    <t>OMAR JOSE CEDIEL TANG</t>
  </si>
  <si>
    <t>OSCAR DAVID URIZA PEREZ</t>
  </si>
  <si>
    <t>MARIANO BELTRAN PADILLA</t>
  </si>
  <si>
    <t>LEONARDO CARLOS DE ORO BARRIOS</t>
  </si>
  <si>
    <t>JOHAN RAFAEL HURTADO CASTRO</t>
  </si>
  <si>
    <t>LISTA DE ESTUDIANTES</t>
  </si>
  <si>
    <t>SEGUNDA ENTREGA - CRITERIO DE EVALUACIÓN DOCUMENTO - SEGUNDO CORTE</t>
  </si>
  <si>
    <t>PONDERACIÓN</t>
  </si>
  <si>
    <t>ADMINISTRACIÓN DE EMPRESAS C.I</t>
  </si>
  <si>
    <t>LIEEN CAROLINA FERNANDEZ ARIZA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</si>
  <si>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</si>
  <si>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</si>
  <si>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KEYNER FABIAN HERRERA CASTILLA</t>
  </si>
  <si>
    <t>ANTEPROYECTO: Portada, planteamiento del problema, justificacion del trabajo o proyecto de aula, objetivos, marco teorico, diseño metodologico.</t>
  </si>
  <si>
    <t>CONTADURÍA PÚBLICA</t>
  </si>
  <si>
    <t>IRAMA ALEXANDRA JARAMILLO GARCIA</t>
  </si>
  <si>
    <t>RESULTADOS:  Analiza, integra y aplica de manera coherente los aspectos para la Construcción de la marca empresarial (Branding)</t>
  </si>
  <si>
    <t>NEGOCIOS INTERNACIONALES PROFESIONAL</t>
  </si>
  <si>
    <t>HELEN MARIA NAVARRO HERNANDEZ</t>
  </si>
  <si>
    <t>RESULTADOS:  Analiza, integra y aplica de manera coherente los aspectos del  Plan de distribución.</t>
  </si>
  <si>
    <t>LUIS MARIO ACOSTA MORENO</t>
  </si>
  <si>
    <t>RESULTADOS:  Analiza, integra y aplica de manera coherente los aspectos para  el  Análisis ambiental y social.</t>
  </si>
  <si>
    <t>TECNOLOGíA EN GESTION CONTABLE</t>
  </si>
  <si>
    <t>DANIELA ALEJANDRA CASTRO VARGAS</t>
  </si>
  <si>
    <t>BILIOGRAFIA: Las referencias bibliograficas: adoptan las normas APA. El documento es producto de un rastreo bibliografico que muestra analisis y sistensis.</t>
  </si>
  <si>
    <t>TECNOLOGÍA EN GESTIÓN DE MARKETING</t>
  </si>
  <si>
    <t>MARIA ALEJANDRA MARQUEZ MANGA</t>
  </si>
  <si>
    <t>ASESORIAS: Anexó la hoja de tutoria firmada ( 3 fimas minmimo).</t>
  </si>
  <si>
    <t>TECNOLOGÍA EN GESTIÓN DEL TALENTO HUMANO</t>
  </si>
  <si>
    <t>SANTIAGO ANDRES RODRIGUEZ HIGUITA</t>
  </si>
  <si>
    <t>TECNOLOGÍA EN GESTIÓN FINANCIERA</t>
  </si>
  <si>
    <t>LAUREEN ALEJANDRA ACOSTA LOPEZ</t>
  </si>
  <si>
    <t>TECNOLOGÍA EN GESTIÓN LOGISTICA Y PORTUARIA</t>
  </si>
  <si>
    <t>CAROL VIVIAN CALDERA PUELLO</t>
  </si>
  <si>
    <t>ENTREGA FINAL - CRITERIO DE EVALUACIÓN SUSTENTACIÓN - TERCER CORTE</t>
  </si>
  <si>
    <t>TECNOLOGÍA EN GESTIÓN TURISTICA Y HOTELERA</t>
  </si>
  <si>
    <t>JESUS DAVID MONTIEL CUETO</t>
  </si>
  <si>
    <t>Evaluación del Documento Final</t>
  </si>
  <si>
    <t>JUAN ANDRES RUIZ PEÑA</t>
  </si>
  <si>
    <t>Sustentación de los Resultados: Se refleja un dominio del tema, la  información está delimitada y es clara. Hay una jerarquía y fluidez en las ideas que presenta.</t>
  </si>
  <si>
    <t>EDUARDO LUIS GÓMEZ PEREZ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</si>
  <si>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</si>
  <si>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STIVEN JAVIER HOYOS DIAS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</si>
  <si>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</si>
  <si>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JORGE ANDRES NIÑO SERRANO</t>
  </si>
  <si>
    <t>Tiempo: El uso del tiempo fue apropiado, se ajusta al previsto.
Ofrece una conclusión donde condensa las ideas principales del objetivo general y los específicos.</t>
  </si>
  <si>
    <t>JESSENIA PEREZ GARCIA</t>
  </si>
  <si>
    <t>Uso de Recursos Audiovisuales Tecnológicos: La sustentación se acompaña de recursos visuales pertinentes, atractivos y de gran calidad</t>
  </si>
  <si>
    <t>DANIELA RAMIREZ QUIROZ</t>
  </si>
  <si>
    <t>EMMANUEL ENRIQUE RUIZ DIAZ</t>
  </si>
  <si>
    <t>DIEGO ALEJANDRO CANCIO POLO</t>
  </si>
  <si>
    <t>ISAAC DAVID DE AVILA CABEZA</t>
  </si>
  <si>
    <t>TITULOS DE LOS PROYECTOS DE AULA</t>
  </si>
  <si>
    <t>ADRIANA LUCIA DIAZ MORENO</t>
  </si>
  <si>
    <t>GRUPO#1</t>
  </si>
  <si>
    <t>LEVI MATURANA AGUALIMPIA</t>
  </si>
  <si>
    <t>GRUPO#2</t>
  </si>
  <si>
    <t>AYSA IVANNA SEK PÉREZ</t>
  </si>
  <si>
    <t>GRUPO#3</t>
  </si>
  <si>
    <t>YENIFFER MICHELL ACUÑA PEREZ</t>
  </si>
  <si>
    <t>GRUPO#4</t>
  </si>
  <si>
    <t>JESUS MIGUEL OVIEDO GARCIA</t>
  </si>
  <si>
    <t>GRUPO#5</t>
  </si>
  <si>
    <t>JULIÁN ANDRÉS TABORDA LEÓN</t>
  </si>
  <si>
    <t>GRUPO#6</t>
  </si>
  <si>
    <t>JENIFER VANESSA TORRES JUNCO</t>
  </si>
  <si>
    <t>GRUPO#7</t>
  </si>
  <si>
    <t>NELSON DAVID VANEGAS RIVEROS</t>
  </si>
  <si>
    <t>GRUPO#8</t>
  </si>
  <si>
    <t>GERDALYS VARELA NARVAEZ</t>
  </si>
  <si>
    <t>GRUPO#9</t>
  </si>
  <si>
    <t>ANGEL DE JESUS ARZUZA PEREZ</t>
  </si>
  <si>
    <t>GRUPO#10</t>
  </si>
  <si>
    <t>JUAN CAMILO FLOREZ VERTEL</t>
  </si>
  <si>
    <t>GRUPO#11</t>
  </si>
  <si>
    <t>LAURA SOFIA MENDOZA GONZÁLEZ</t>
  </si>
  <si>
    <t>GRUPO#12</t>
  </si>
  <si>
    <t>SEBASTIAN RAMIREZ MONSALVE</t>
  </si>
  <si>
    <t>CARLOS MARIO DE LEÓN CASTILLO</t>
  </si>
  <si>
    <t>ANA KARINA GONZALEZ ROBLES</t>
  </si>
  <si>
    <t>LIZBELIA DEL CARMEN MARTINEZ PUELLO</t>
  </si>
  <si>
    <t>CLAUDIMAR DEL CARMEN RUIZ PEREZ</t>
  </si>
  <si>
    <t>KELLY YOHANA YEPES FLORIAN</t>
  </si>
  <si>
    <t>DAYANNA MICHELLE CAPACHERO DIAZ</t>
  </si>
  <si>
    <t>CRITERIOS DE EVALUACIÓN</t>
  </si>
  <si>
    <t>Estudiantes</t>
  </si>
  <si>
    <t>G01</t>
  </si>
  <si>
    <t>LIST</t>
  </si>
  <si>
    <t>DEF</t>
  </si>
  <si>
    <t>N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</si>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</sst>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21" xfId="0" applyFont="1" applyFill="1" applyBorder="1" applyAlignment="1" applyProtection="1">
      <alignment horizontal="left" vertical="top"/>
      <protection hidden="1"/>
    </xf>
    <xf numFmtId="0" fontId="4" fillId="4" borderId="56" xfId="0" applyFont="1" applyFill="1" applyBorder="1" applyAlignment="1" applyProtection="1">
      <alignment horizontal="left" vertical="top"/>
      <protection hidden="1"/>
    </xf>
    <xf numFmtId="0" fontId="4" fillId="4" borderId="57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workbookViewId="0"/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2445</v>
      </c>
      <c r="D6" s="134">
        <v>1493</v>
      </c>
      <c r="E6" s="134">
        <v>2458</v>
      </c>
      <c r="F6" s="134">
        <v>1119</v>
      </c>
      <c r="G6" s="134">
        <v>1488</v>
      </c>
      <c r="H6" s="134">
        <v>2247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53" t="s">
        <v>24</v>
      </c>
      <c r="F8" s="154"/>
      <c r="G8" s="155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56" t="s">
        <v>28</v>
      </c>
      <c r="F9" s="157"/>
      <c r="G9" s="158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59" t="s">
        <v>31</v>
      </c>
      <c r="F10" s="160"/>
      <c r="G10" s="161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56" t="s">
        <v>34</v>
      </c>
      <c r="F11" s="157"/>
      <c r="G11" s="158"/>
      <c r="H11" s="135">
        <v>0.1</v>
      </c>
      <c r="I11" s="69" t="s">
        <v>35</v>
      </c>
    </row>
    <row r="12" spans="2:9" ht="15" customHeight="1">
      <c r="B12" s="108">
        <v>4</v>
      </c>
      <c r="C12" s="111" t="s">
        <v>36</v>
      </c>
      <c r="E12" s="159" t="s">
        <v>37</v>
      </c>
      <c r="F12" s="160"/>
      <c r="G12" s="161"/>
      <c r="H12" s="135">
        <v>0.1</v>
      </c>
      <c r="I12" s="69" t="s">
        <v>0</v>
      </c>
    </row>
    <row r="13" spans="2:9" ht="15" customHeight="1">
      <c r="B13" s="108">
        <v>5</v>
      </c>
      <c r="C13" s="111" t="s">
        <v>38</v>
      </c>
      <c r="E13" s="162" t="s">
        <v>39</v>
      </c>
      <c r="F13" s="163"/>
      <c r="G13" s="164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65" t="s">
        <v>42</v>
      </c>
      <c r="F14" s="166"/>
      <c r="G14" s="167"/>
      <c r="H14" s="136">
        <v>0.2</v>
      </c>
      <c r="I14" s="69" t="s">
        <v>43</v>
      </c>
    </row>
    <row r="15" spans="2:9" ht="15" customHeight="1" thickBot="1">
      <c r="B15" s="108">
        <v>7</v>
      </c>
      <c r="C15" s="111" t="s">
        <v>44</v>
      </c>
      <c r="E15" s="174" t="s">
        <v>45</v>
      </c>
      <c r="F15" s="175"/>
      <c r="G15" s="176"/>
      <c r="H15" s="135">
        <v>0.1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7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3"/>
      <c r="F17" s="183"/>
      <c r="G17" s="183"/>
      <c r="H17" s="183"/>
      <c r="I17" s="69" t="s">
        <v>50</v>
      </c>
    </row>
    <row r="18" spans="2:9" ht="15" customHeight="1" thickBot="1">
      <c r="B18" s="108">
        <v>10</v>
      </c>
      <c r="C18" s="111" t="s">
        <v>51</v>
      </c>
      <c r="E18" s="190" t="s">
        <v>52</v>
      </c>
      <c r="F18" s="191"/>
      <c r="G18" s="191"/>
      <c r="H18" s="113" t="s">
        <v>25</v>
      </c>
      <c r="I18" s="69" t="s">
        <v>53</v>
      </c>
    </row>
    <row r="19" spans="2:9" ht="15" customHeight="1">
      <c r="B19" s="108">
        <v>11</v>
      </c>
      <c r="C19" s="111" t="s">
        <v>54</v>
      </c>
      <c r="E19" s="180" t="s">
        <v>55</v>
      </c>
      <c r="F19" s="181"/>
      <c r="G19" s="182"/>
      <c r="H19" s="138">
        <v>0.5</v>
      </c>
    </row>
    <row r="20" spans="2:9" ht="15" customHeight="1">
      <c r="B20" s="108">
        <v>12</v>
      </c>
      <c r="C20" s="111" t="s">
        <v>56</v>
      </c>
      <c r="E20" s="184" t="s">
        <v>57</v>
      </c>
      <c r="F20" s="185"/>
      <c r="G20" s="186"/>
      <c r="H20" s="139">
        <v>0.2</v>
      </c>
    </row>
    <row r="21" spans="2:9" ht="15" customHeight="1">
      <c r="B21" s="108">
        <v>13</v>
      </c>
      <c r="C21" s="111" t="s">
        <v>58</v>
      </c>
      <c r="E21" s="192" t="s">
        <v>59</v>
      </c>
      <c r="F21" s="193"/>
      <c r="G21" s="194"/>
      <c r="H21" s="140">
        <v>0.1</v>
      </c>
    </row>
    <row r="22" spans="2:9" ht="15" customHeight="1">
      <c r="B22" s="108">
        <v>14</v>
      </c>
      <c r="C22" s="111" t="s">
        <v>60</v>
      </c>
      <c r="E22" s="184" t="s">
        <v>61</v>
      </c>
      <c r="F22" s="166"/>
      <c r="G22" s="167"/>
      <c r="H22" s="139">
        <v>0.05</v>
      </c>
    </row>
    <row r="23" spans="2:9" ht="15" customHeight="1">
      <c r="B23" s="108">
        <v>15</v>
      </c>
      <c r="C23" s="111" t="s">
        <v>62</v>
      </c>
      <c r="E23" s="192" t="s">
        <v>63</v>
      </c>
      <c r="F23" s="193"/>
      <c r="G23" s="194"/>
      <c r="H23" s="141">
        <v>0.05</v>
      </c>
    </row>
    <row r="24" spans="2:9" ht="15" customHeight="1">
      <c r="B24" s="108">
        <v>16</v>
      </c>
      <c r="C24" s="111" t="s">
        <v>64</v>
      </c>
      <c r="E24" s="184" t="s">
        <v>65</v>
      </c>
      <c r="F24" s="185"/>
      <c r="G24" s="186"/>
      <c r="H24" s="139">
        <v>0.1</v>
      </c>
    </row>
    <row r="25" spans="2:9" ht="15" customHeight="1" thickBot="1">
      <c r="B25" s="108">
        <v>17</v>
      </c>
      <c r="C25" s="111" t="s">
        <v>66</v>
      </c>
      <c r="E25" s="177"/>
      <c r="F25" s="178"/>
      <c r="G25" s="179"/>
      <c r="H25" s="140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69</v>
      </c>
      <c r="E28" s="187" t="s">
        <v>70</v>
      </c>
      <c r="F28" s="188"/>
      <c r="G28" s="188"/>
      <c r="H28" s="189"/>
    </row>
    <row r="29" spans="2:9" ht="15" customHeight="1" thickBot="1">
      <c r="B29" s="108">
        <v>21</v>
      </c>
      <c r="C29" s="111" t="s">
        <v>71</v>
      </c>
      <c r="E29" s="171" t="s">
        <v>72</v>
      </c>
      <c r="F29" s="172"/>
      <c r="G29" s="172"/>
      <c r="H29" s="173"/>
    </row>
    <row r="30" spans="2:9" ht="15" customHeight="1" thickBot="1">
      <c r="B30" s="108">
        <v>22</v>
      </c>
      <c r="C30" s="111" t="s">
        <v>73</v>
      </c>
      <c r="E30" s="168" t="s">
        <v>74</v>
      </c>
      <c r="F30" s="169"/>
      <c r="G30" s="169"/>
      <c r="H30" s="170"/>
    </row>
    <row r="31" spans="2:9" ht="15" customHeight="1" thickBot="1">
      <c r="B31" s="108">
        <v>23</v>
      </c>
      <c r="C31" s="111" t="s">
        <v>75</v>
      </c>
      <c r="E31" s="171" t="s">
        <v>76</v>
      </c>
      <c r="F31" s="172"/>
      <c r="G31" s="172"/>
      <c r="H31" s="173"/>
    </row>
    <row r="32" spans="2:9" ht="15" customHeight="1" thickBot="1">
      <c r="B32" s="108">
        <v>24</v>
      </c>
      <c r="C32" s="111" t="s">
        <v>77</v>
      </c>
      <c r="E32" s="168" t="s">
        <v>78</v>
      </c>
      <c r="F32" s="169"/>
      <c r="G32" s="169"/>
      <c r="H32" s="170"/>
    </row>
    <row r="33" spans="2:8" ht="15" customHeight="1" thickBot="1">
      <c r="B33" s="108">
        <v>25</v>
      </c>
      <c r="C33" s="111" t="s">
        <v>79</v>
      </c>
      <c r="E33" s="171" t="s">
        <v>80</v>
      </c>
      <c r="F33" s="172"/>
      <c r="G33" s="172"/>
      <c r="H33" s="173"/>
    </row>
    <row r="34" spans="2:8" ht="15" customHeight="1" thickBot="1">
      <c r="B34" s="108">
        <v>26</v>
      </c>
      <c r="C34" s="111" t="s">
        <v>81</v>
      </c>
      <c r="E34" s="168" t="s">
        <v>82</v>
      </c>
      <c r="F34" s="169"/>
      <c r="G34" s="169"/>
      <c r="H34" s="170"/>
    </row>
    <row r="35" spans="2:8" ht="15" customHeight="1" thickBot="1">
      <c r="B35" s="108">
        <v>27</v>
      </c>
      <c r="C35" s="111" t="s">
        <v>83</v>
      </c>
      <c r="E35" s="171" t="s">
        <v>84</v>
      </c>
      <c r="F35" s="172"/>
      <c r="G35" s="172"/>
      <c r="H35" s="173"/>
    </row>
    <row r="36" spans="2:8" ht="15" customHeight="1" thickBot="1">
      <c r="B36" s="108">
        <v>28</v>
      </c>
      <c r="C36" s="111" t="s">
        <v>85</v>
      </c>
      <c r="E36" s="168" t="s">
        <v>86</v>
      </c>
      <c r="F36" s="169"/>
      <c r="G36" s="169"/>
      <c r="H36" s="170"/>
    </row>
    <row r="37" spans="2:8" ht="15" customHeight="1" thickBot="1">
      <c r="B37" s="108">
        <v>29</v>
      </c>
      <c r="C37" s="111" t="s">
        <v>87</v>
      </c>
      <c r="E37" s="171" t="s">
        <v>88</v>
      </c>
      <c r="F37" s="172"/>
      <c r="G37" s="172"/>
      <c r="H37" s="173"/>
    </row>
    <row r="38" spans="2:8" ht="15" customHeight="1" thickBot="1">
      <c r="B38" s="108">
        <v>30</v>
      </c>
      <c r="C38" s="111" t="s">
        <v>89</v>
      </c>
      <c r="E38" s="168" t="s">
        <v>90</v>
      </c>
      <c r="F38" s="169"/>
      <c r="G38" s="169"/>
      <c r="H38" s="170"/>
    </row>
    <row r="39" spans="2:8" ht="15" customHeight="1" thickBot="1">
      <c r="B39" s="108">
        <v>31</v>
      </c>
      <c r="C39" s="111" t="s">
        <v>91</v>
      </c>
      <c r="E39" s="171" t="s">
        <v>92</v>
      </c>
      <c r="F39" s="172"/>
      <c r="G39" s="172"/>
      <c r="H39" s="173"/>
    </row>
    <row r="40" spans="2:8" ht="15" customHeight="1" thickBot="1">
      <c r="B40" s="108">
        <v>32</v>
      </c>
      <c r="C40" s="111" t="s">
        <v>93</v>
      </c>
      <c r="E40" s="168" t="s">
        <v>94</v>
      </c>
      <c r="F40" s="169"/>
      <c r="G40" s="169"/>
      <c r="H40" s="170"/>
    </row>
    <row r="41" spans="2:8" ht="15" customHeight="1" thickBot="1">
      <c r="B41" s="108">
        <v>33</v>
      </c>
      <c r="C41" s="111" t="s">
        <v>95</v>
      </c>
      <c r="E41" s="114"/>
      <c r="F41" s="114"/>
      <c r="G41" s="114"/>
      <c r="H41" s="114"/>
    </row>
    <row r="42" spans="2:8" ht="15" customHeight="1" thickBot="1">
      <c r="B42" s="108">
        <v>34</v>
      </c>
      <c r="C42" s="111" t="s">
        <v>96</v>
      </c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 t="s">
        <v>97</v>
      </c>
      <c r="E43" s="118" t="s">
        <v>27</v>
      </c>
      <c r="F43" s="119" t="s">
        <v>38</v>
      </c>
      <c r="G43" s="119" t="s">
        <v>49</v>
      </c>
      <c r="H43" s="120" t="s">
        <v>58</v>
      </c>
    </row>
    <row r="44" spans="2:8" ht="15" customHeight="1">
      <c r="B44" s="108">
        <v>36</v>
      </c>
      <c r="C44" s="111" t="s">
        <v>98</v>
      </c>
      <c r="E44" s="121" t="s">
        <v>30</v>
      </c>
      <c r="F44" s="122" t="s">
        <v>41</v>
      </c>
      <c r="G44" s="122" t="s">
        <v>51</v>
      </c>
      <c r="H44" s="123" t="s">
        <v>60</v>
      </c>
    </row>
    <row r="45" spans="2:8" ht="15" customHeight="1">
      <c r="B45" s="108">
        <v>37</v>
      </c>
      <c r="C45" s="111" t="s">
        <v>99</v>
      </c>
      <c r="E45" s="124" t="s">
        <v>33</v>
      </c>
      <c r="F45" s="125" t="s">
        <v>44</v>
      </c>
      <c r="G45" s="125" t="s">
        <v>54</v>
      </c>
      <c r="H45" s="126" t="s">
        <v>62</v>
      </c>
    </row>
    <row r="46" spans="2:8" ht="15" customHeight="1">
      <c r="B46" s="108">
        <v>38</v>
      </c>
      <c r="C46" s="111" t="s">
        <v>100</v>
      </c>
      <c r="E46" s="121" t="s">
        <v>36</v>
      </c>
      <c r="F46" s="122" t="s">
        <v>47</v>
      </c>
      <c r="G46" s="122" t="s">
        <v>56</v>
      </c>
      <c r="H46" s="123" t="s">
        <v>64</v>
      </c>
    </row>
    <row r="47" spans="2:8" ht="15" customHeight="1">
      <c r="B47" s="108">
        <v>39</v>
      </c>
      <c r="C47" s="111" t="s">
        <v>101</v>
      </c>
      <c r="E47" s="124"/>
      <c r="F47" s="125" t="s">
        <v>101</v>
      </c>
      <c r="G47" s="125"/>
      <c r="H47" s="126" t="s">
        <v>66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 t="s">
        <v>67</v>
      </c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68</v>
      </c>
      <c r="F51" s="119" t="s">
        <v>77</v>
      </c>
      <c r="G51" s="119" t="s">
        <v>89</v>
      </c>
      <c r="H51" s="120" t="s">
        <v>96</v>
      </c>
    </row>
    <row r="52" spans="2:8" ht="15" customHeight="1">
      <c r="B52" s="108">
        <v>44</v>
      </c>
      <c r="C52" s="111"/>
      <c r="E52" s="121" t="s">
        <v>69</v>
      </c>
      <c r="F52" s="122" t="s">
        <v>79</v>
      </c>
      <c r="G52" s="122" t="s">
        <v>91</v>
      </c>
      <c r="H52" s="123" t="s">
        <v>97</v>
      </c>
    </row>
    <row r="53" spans="2:8" ht="15" customHeight="1">
      <c r="B53" s="108">
        <v>45</v>
      </c>
      <c r="C53" s="111"/>
      <c r="E53" s="124" t="s">
        <v>71</v>
      </c>
      <c r="F53" s="125" t="s">
        <v>81</v>
      </c>
      <c r="G53" s="125" t="s">
        <v>93</v>
      </c>
      <c r="H53" s="126" t="s">
        <v>98</v>
      </c>
    </row>
    <row r="54" spans="2:8" ht="15" customHeight="1">
      <c r="B54" s="108">
        <v>46</v>
      </c>
      <c r="C54" s="111"/>
      <c r="E54" s="121" t="s">
        <v>73</v>
      </c>
      <c r="F54" s="122" t="s">
        <v>83</v>
      </c>
      <c r="G54" s="122" t="s">
        <v>95</v>
      </c>
      <c r="H54" s="123" t="s">
        <v>99</v>
      </c>
    </row>
    <row r="55" spans="2:8" ht="15" customHeight="1">
      <c r="B55" s="108">
        <v>47</v>
      </c>
      <c r="C55" s="111"/>
      <c r="E55" s="124" t="s">
        <v>75</v>
      </c>
      <c r="F55" s="125" t="s">
        <v>85</v>
      </c>
      <c r="G55" s="125"/>
      <c r="H55" s="126" t="s">
        <v>100</v>
      </c>
    </row>
    <row r="56" spans="2:8" ht="15" customHeight="1" thickBot="1">
      <c r="B56" s="108">
        <v>48</v>
      </c>
      <c r="C56" s="111"/>
      <c r="E56" s="127"/>
      <c r="F56" s="128" t="s">
        <v>87</v>
      </c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uCO4iRVULnSMFx6UjRMIrmxLpAfqhLpClreYLDe3/Enm2miJRwBpc5HRpXAd8aokv28N5rRnYbsyz49BccWBNg==" saltValue="b6IDfPyv1964bG9pLcmeWA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14" activePane="bottomRight" state="frozen"/>
      <selection pane="bottomRight" activeCell="D17" sqref="D17"/>
      <selection pane="bottomLeft" activeCell="D17" sqref="D17"/>
      <selection pane="topRight" activeCell="D17" sqref="D1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INNOVACION Y EMPRENDIMIENTO</v>
      </c>
      <c r="C2" s="82"/>
      <c r="D2" s="3"/>
      <c r="F2" s="205" t="s">
        <v>102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CONCATENATE(LIDER!C4," - ",LIDER!C6," - ",LIDER!C5)</f>
        <v>INNOVACION Y EMPRENDIMIENTO - 2445 - HUMBERTO SANCHEZ DRAGO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72</v>
      </c>
      <c r="C5" s="88" t="s">
        <v>104</v>
      </c>
      <c r="D5" s="32" t="s">
        <v>105</v>
      </c>
      <c r="E5" s="89" t="s">
        <v>106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LIEEN CAROLINA FERNANDEZ ARIZA</v>
      </c>
      <c r="C6" s="90" t="str">
        <f>C5</f>
        <v>G01</v>
      </c>
      <c r="D6" s="95" t="s">
        <v>107</v>
      </c>
      <c r="E6" s="11" t="str">
        <f>IF(B6=0,0,IF(D6="",$F$6*LIDER!$H$9+$G$6*LIDER!$H$10+$H$6*LIDER!$H$11+$I$6*LIDER!$H$12+$J$6*LIDER!$H$13+$K$6*LIDER!$H$14+$L$6*LIDER!$H$15,"N"))</f>
        <v>N</v>
      </c>
      <c r="F6" s="200">
        <v>4</v>
      </c>
      <c r="G6" s="197">
        <v>4</v>
      </c>
      <c r="H6" s="195">
        <v>4</v>
      </c>
      <c r="I6" s="197">
        <v>4</v>
      </c>
      <c r="J6" s="195">
        <v>4</v>
      </c>
      <c r="K6" s="197">
        <v>4</v>
      </c>
      <c r="L6" s="195">
        <v>4</v>
      </c>
    </row>
    <row r="7" spans="1:12" s="2" customFormat="1" ht="15" customHeight="1">
      <c r="A7" s="12">
        <v>2</v>
      </c>
      <c r="B7" s="10" t="str">
        <f>LIDER!E44</f>
        <v>KEYNER FABIAN HERRERA CASTILLA</v>
      </c>
      <c r="C7" s="90" t="str">
        <f t="shared" ref="C7:C11" si="0">C6</f>
        <v>G01</v>
      </c>
      <c r="D7" s="96" t="s">
        <v>107</v>
      </c>
      <c r="E7" s="11" t="str">
        <f>IF(B7=0,0,IF(D7="",$F$6*LIDER!$H$9+$G$6*LIDER!$H$10+$H$6*LIDER!$H$11+$I$6*LIDER!$H$12+$J$6*LIDER!$H$13+$K$6*LIDER!$H$14+$L$6*LIDER!$H$15,"N"))</f>
        <v>N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IRAMA ALEXANDRA JARAMILLO GARCIA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HELEN MARIA NAVARRO HERNANDEZ</v>
      </c>
      <c r="C9" s="90" t="str">
        <f t="shared" si="0"/>
        <v>G01</v>
      </c>
      <c r="D9" s="96" t="s">
        <v>107</v>
      </c>
      <c r="E9" s="11" t="str">
        <f>IF(B9=0,0,IF(D9="",$F$6*LIDER!$H$9+$G$6*LIDER!$H$10+$H$6*LIDER!$H$11+$I$6*LIDER!$H$12+$J$6*LIDER!$H$13+$K$6*LIDER!$H$14+$L$6*LIDER!$H$15,"N"))</f>
        <v>N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74</v>
      </c>
      <c r="C12" s="88" t="s">
        <v>108</v>
      </c>
      <c r="D12" s="32" t="str">
        <f>D5</f>
        <v>LIST</v>
      </c>
      <c r="E12" s="89" t="s">
        <v>106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LUIS MARIO ACOSTA MORENO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200">
        <v>4.0999999999999996</v>
      </c>
      <c r="G13" s="197">
        <v>4.0999999999999996</v>
      </c>
      <c r="H13" s="195">
        <v>4.0999999999999996</v>
      </c>
      <c r="I13" s="197">
        <v>4.0999999999999996</v>
      </c>
      <c r="J13" s="195">
        <v>4.0999999999999996</v>
      </c>
      <c r="K13" s="197">
        <v>4.0999999999999996</v>
      </c>
      <c r="L13" s="195">
        <v>4.0999999999999996</v>
      </c>
    </row>
    <row r="14" spans="1:12" s="2" customFormat="1" ht="15" customHeight="1">
      <c r="A14" s="12">
        <v>2</v>
      </c>
      <c r="B14" s="10" t="str">
        <f>LIDER!F44</f>
        <v>DANIELA ALEJANDRA CASTRO VARGAS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MARIA ALEJANDRA MARQUEZ MANGA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SANTIAGO ANDRES RODRIGUEZ HIGUITA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DAYANNA MICHELLE CAPACHERO DIAZ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4.0999999999999996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76</v>
      </c>
      <c r="C19" s="88" t="s">
        <v>109</v>
      </c>
      <c r="D19" s="32" t="str">
        <f>D12</f>
        <v>LIST</v>
      </c>
      <c r="E19" s="89" t="s">
        <v>106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LAUREEN ALEJANDRA ACOSTA LOPEZ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4.5000000000000009</v>
      </c>
      <c r="F20" s="200">
        <v>4.5</v>
      </c>
      <c r="G20" s="197">
        <v>4.5</v>
      </c>
      <c r="H20" s="195">
        <v>4.5</v>
      </c>
      <c r="I20" s="197">
        <v>4.5</v>
      </c>
      <c r="J20" s="195">
        <v>4.5</v>
      </c>
      <c r="K20" s="197">
        <v>4.5</v>
      </c>
      <c r="L20" s="195">
        <v>4.5</v>
      </c>
    </row>
    <row r="21" spans="1:12" s="2" customFormat="1" ht="15" customHeight="1">
      <c r="A21" s="12">
        <v>2</v>
      </c>
      <c r="B21" s="10" t="str">
        <f>LIDER!G44</f>
        <v>CAROL VIVIAN CALDERA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4.5000000000000009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JESUS DAVID MONTIEL CUETO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4.5000000000000009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4.5000000000000009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78</v>
      </c>
      <c r="C26" s="88" t="s">
        <v>110</v>
      </c>
      <c r="D26" s="32" t="str">
        <f>D19</f>
        <v>LIST</v>
      </c>
      <c r="E26" s="89" t="s">
        <v>106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EDUARDO LUIS GÓMEZ PEREZ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4.4000000000000004</v>
      </c>
      <c r="F27" s="200">
        <v>4.4000000000000004</v>
      </c>
      <c r="G27" s="197">
        <v>4.4000000000000004</v>
      </c>
      <c r="H27" s="195">
        <v>4.4000000000000004</v>
      </c>
      <c r="I27" s="197">
        <v>4.4000000000000004</v>
      </c>
      <c r="J27" s="195">
        <v>4.4000000000000004</v>
      </c>
      <c r="K27" s="197">
        <v>4.4000000000000004</v>
      </c>
      <c r="L27" s="195">
        <v>4.4000000000000004</v>
      </c>
    </row>
    <row r="28" spans="1:12" s="2" customFormat="1" ht="15" customHeight="1">
      <c r="A28" s="12">
        <v>2</v>
      </c>
      <c r="B28" s="10" t="str">
        <f>LIDER!H44</f>
        <v>STIVEN JAVIER HOYOS DIAS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4.4000000000000004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JORGE ANDRES NIÑO SERRANO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4.4000000000000004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JESSENIA PEREZ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4.4000000000000004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DANIELA RAMIREZ QUIROZ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4.4000000000000004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EMMANUEL ENRIQUE RUIZ DIAZ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4.4000000000000004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80</v>
      </c>
      <c r="C33" s="88" t="s">
        <v>111</v>
      </c>
      <c r="D33" s="32" t="str">
        <f>D26</f>
        <v>LIST</v>
      </c>
      <c r="E33" s="89" t="s">
        <v>106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DIEGO ALEJANDRO CANCIO POLO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</v>
      </c>
      <c r="F34" s="200">
        <v>4.3</v>
      </c>
      <c r="G34" s="197">
        <v>4.3</v>
      </c>
      <c r="H34" s="195">
        <v>4.3</v>
      </c>
      <c r="I34" s="197">
        <v>4.3</v>
      </c>
      <c r="J34" s="195">
        <v>4.3</v>
      </c>
      <c r="K34" s="197">
        <v>4.3</v>
      </c>
      <c r="L34" s="195">
        <v>4.3</v>
      </c>
    </row>
    <row r="35" spans="1:12" s="2" customFormat="1" ht="15" customHeight="1">
      <c r="A35" s="12">
        <v>2</v>
      </c>
      <c r="B35" s="10" t="str">
        <f>LIDER!E52</f>
        <v>ISAAC DAVID DE AVILA CABEZA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ADRIANA LUCIA DIAZ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LEVI MATURANA AGUALIMPIA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4.3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AYSA IVANNA SEK PÉREZ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4.3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82</v>
      </c>
      <c r="C40" s="88" t="s">
        <v>112</v>
      </c>
      <c r="D40" s="32" t="str">
        <f>D33</f>
        <v>LIST</v>
      </c>
      <c r="E40" s="89" t="s">
        <v>106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YENIFFER MICHELL ACUÑA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3.9999999999999996</v>
      </c>
      <c r="F41" s="200">
        <v>4</v>
      </c>
      <c r="G41" s="197">
        <v>4</v>
      </c>
      <c r="H41" s="195">
        <v>4</v>
      </c>
      <c r="I41" s="197">
        <v>4</v>
      </c>
      <c r="J41" s="195">
        <v>4</v>
      </c>
      <c r="K41" s="197">
        <v>4</v>
      </c>
      <c r="L41" s="195">
        <v>4</v>
      </c>
    </row>
    <row r="42" spans="1:12" s="2" customFormat="1" ht="15" customHeight="1">
      <c r="A42" s="12">
        <v>2</v>
      </c>
      <c r="B42" s="10" t="str">
        <f>LIDER!F52</f>
        <v>JESUS MIGUEL OVIEDO GARCIA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3.9999999999999996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JULIÁN ANDRÉS TABORDA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3.9999999999999996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JENIFER VANESSA TORRES JUNCO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3.9999999999999996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NELSON DAVID VANEGAS RIVEROS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3.9999999999999996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GERDALYS VARELA NARVAEZ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3.9999999999999996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84</v>
      </c>
      <c r="C47" s="88" t="s">
        <v>113</v>
      </c>
      <c r="D47" s="32" t="str">
        <f>D40</f>
        <v>LIST</v>
      </c>
      <c r="E47" s="89" t="s">
        <v>106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ANGEL DE JESUS ARZUZA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3.9999999999999996</v>
      </c>
      <c r="F48" s="200">
        <v>4</v>
      </c>
      <c r="G48" s="197">
        <v>4</v>
      </c>
      <c r="H48" s="195">
        <v>4</v>
      </c>
      <c r="I48" s="197">
        <v>4</v>
      </c>
      <c r="J48" s="195">
        <v>4</v>
      </c>
      <c r="K48" s="197">
        <v>4</v>
      </c>
      <c r="L48" s="195">
        <v>4</v>
      </c>
    </row>
    <row r="49" spans="1:12" s="2" customFormat="1" ht="15" customHeight="1">
      <c r="A49" s="12">
        <v>2</v>
      </c>
      <c r="B49" s="10" t="str">
        <f>LIDER!G52</f>
        <v>JUAN CAMILO FLOREZ VERTEL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3.9999999999999996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LAURA SOFIA MENDOZA GONZÁLEZ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3.9999999999999996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SEBASTIAN RAMIREZ MONSALVE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3.9999999999999996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86</v>
      </c>
      <c r="C54" s="88" t="s">
        <v>114</v>
      </c>
      <c r="D54" s="32" t="str">
        <f>D47</f>
        <v>LIST</v>
      </c>
      <c r="E54" s="89" t="s">
        <v>106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CARLOS MARIO DE LEÓN CASTILLO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4.4000000000000004</v>
      </c>
      <c r="F55" s="200">
        <v>4.4000000000000004</v>
      </c>
      <c r="G55" s="197">
        <v>4.4000000000000004</v>
      </c>
      <c r="H55" s="195">
        <v>4.4000000000000004</v>
      </c>
      <c r="I55" s="197">
        <v>4.4000000000000004</v>
      </c>
      <c r="J55" s="195">
        <v>4.4000000000000004</v>
      </c>
      <c r="K55" s="197">
        <v>4.4000000000000004</v>
      </c>
      <c r="L55" s="195">
        <v>4.4000000000000004</v>
      </c>
    </row>
    <row r="56" spans="1:12" s="2" customFormat="1" ht="15" customHeight="1">
      <c r="A56" s="12">
        <v>2</v>
      </c>
      <c r="B56" s="10" t="str">
        <f>LIDER!H52</f>
        <v>ANA KARINA GONZALEZ ROBLES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4.4000000000000004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LIZBELIA DEL CARMEN MARTINEZ PUELLO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4.4000000000000004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CLAUDIMAR DEL CARMEN RUIZ PEREZ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4.4000000000000004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KELLY YOHANA YEPES FLORIAN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4.4000000000000004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88</v>
      </c>
      <c r="C61" s="88" t="s">
        <v>115</v>
      </c>
      <c r="D61" s="32" t="str">
        <f>D54</f>
        <v>LIST</v>
      </c>
      <c r="E61" s="89" t="s">
        <v>106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90</v>
      </c>
      <c r="C68" s="88" t="s">
        <v>116</v>
      </c>
      <c r="D68" s="32" t="str">
        <f>D61</f>
        <v>LIST</v>
      </c>
      <c r="E68" s="89" t="s">
        <v>106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92</v>
      </c>
      <c r="C75" s="88" t="s">
        <v>117</v>
      </c>
      <c r="D75" s="32" t="str">
        <f>D68</f>
        <v>LIST</v>
      </c>
      <c r="E75" s="89" t="s">
        <v>106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94</v>
      </c>
      <c r="C82" s="88" t="s">
        <v>118</v>
      </c>
      <c r="D82" s="32" t="str">
        <f>D75</f>
        <v>LIST</v>
      </c>
      <c r="E82" s="89" t="s">
        <v>106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D17" sqref="D17"/>
      <selection pane="bottomLeft" activeCell="D17" sqref="D17"/>
      <selection pane="topRight" activeCell="D17" sqref="D1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D.F.I.</v>
      </c>
      <c r="C2" s="82"/>
      <c r="D2" s="3"/>
      <c r="F2" s="205" t="s">
        <v>102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CONCATENATE(LIDER!D4," - ",LIDER!D6," - ",LIDER!D5)</f>
        <v>D.F.I. - 1493 - OMAR JOSE CEDIEL TANG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72</v>
      </c>
      <c r="C5" s="88" t="s">
        <v>104</v>
      </c>
      <c r="D5" s="32" t="s">
        <v>105</v>
      </c>
      <c r="E5" s="89" t="s">
        <v>106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LIEEN CAROLINA FERNANDEZ ARIZA</v>
      </c>
      <c r="C6" s="90" t="str">
        <f>C5</f>
        <v>G01</v>
      </c>
      <c r="D6" s="95" t="s">
        <v>107</v>
      </c>
      <c r="E6" s="11"/>
      <c r="F6" s="200">
        <v>4</v>
      </c>
      <c r="G6" s="197">
        <v>4.5</v>
      </c>
      <c r="H6" s="195">
        <v>4.5</v>
      </c>
      <c r="I6" s="197">
        <v>4.5</v>
      </c>
      <c r="J6" s="195">
        <v>4.5</v>
      </c>
      <c r="K6" s="197">
        <v>4</v>
      </c>
      <c r="L6" s="195">
        <v>5</v>
      </c>
    </row>
    <row r="7" spans="1:12" s="2" customFormat="1" ht="15" customHeight="1">
      <c r="A7" s="12">
        <v>2</v>
      </c>
      <c r="B7" s="10" t="str">
        <f>LIDER!E44</f>
        <v>KEYNER FABIAN HERRERA CASTILLA</v>
      </c>
      <c r="C7" s="90" t="str">
        <f t="shared" ref="C7:C11" si="0">C6</f>
        <v>G01</v>
      </c>
      <c r="D7" s="95"/>
      <c r="E7" s="11">
        <f>IF(B7=0,0,IF(D7="",$F$13*LIDER!$H$9+$G$13*LIDER!$H$10+$H$13*LIDER!$H$11+$I$13*LIDER!$H$12+$J$13*LIDER!$H$13+$K$13*LIDER!$H$14+$L$13*LIDER!$H$15,"N"))</f>
        <v>4.9000000000000004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IRAMA ALEXANDRA JARAMILLO GARCIA</v>
      </c>
      <c r="C8" s="90" t="str">
        <f t="shared" si="0"/>
        <v>G01</v>
      </c>
      <c r="D8" s="95" t="s">
        <v>107</v>
      </c>
      <c r="E8" s="11"/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HELEN MARIA NAVARRO HERNANDEZ</v>
      </c>
      <c r="C9" s="90" t="str">
        <f t="shared" si="0"/>
        <v>G01</v>
      </c>
      <c r="D9" s="95"/>
      <c r="E9" s="11">
        <f>IF(B9=0,0,IF(D9="",$F$13*LIDER!$H$9+$G$13*LIDER!$H$10+$H$13*LIDER!$H$11+$I$13*LIDER!$H$12+$J$13*LIDER!$H$13+$K$13*LIDER!$H$14+$L$13*LIDER!$H$15,"N"))</f>
        <v>4.9000000000000004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74</v>
      </c>
      <c r="C12" s="88" t="s">
        <v>108</v>
      </c>
      <c r="D12" s="32" t="str">
        <f>D5</f>
        <v>LIST</v>
      </c>
      <c r="E12" s="89" t="s">
        <v>106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LUIS MARIO ACOSTA MORENO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4.9000000000000004</v>
      </c>
      <c r="F13" s="200">
        <v>5</v>
      </c>
      <c r="G13" s="197">
        <v>5</v>
      </c>
      <c r="H13" s="195">
        <v>5</v>
      </c>
      <c r="I13" s="197">
        <v>4</v>
      </c>
      <c r="J13" s="195">
        <v>5</v>
      </c>
      <c r="K13" s="197">
        <v>5</v>
      </c>
      <c r="L13" s="195">
        <v>5</v>
      </c>
    </row>
    <row r="14" spans="1:12" s="2" customFormat="1" ht="15" customHeight="1">
      <c r="A14" s="12">
        <v>2</v>
      </c>
      <c r="B14" s="10" t="str">
        <f>LIDER!F44</f>
        <v>DANIELA ALEJANDRA CASTRO VARGAS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4.9000000000000004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MARIA ALEJANDRA MARQUEZ MANGA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4.9000000000000004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SANTIAGO ANDRES RODRIGUEZ HIGUITA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4.9000000000000004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DAYANNA MICHELLE CAPACHERO DIAZ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4.9000000000000004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76</v>
      </c>
      <c r="C19" s="88" t="s">
        <v>109</v>
      </c>
      <c r="D19" s="32" t="str">
        <f>D12</f>
        <v>LIST</v>
      </c>
      <c r="E19" s="89" t="s">
        <v>106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LAUREEN ALEJANDRA ACOSTA LOPEZ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4.5999999999999996</v>
      </c>
      <c r="F20" s="200">
        <v>4</v>
      </c>
      <c r="G20" s="197">
        <v>5</v>
      </c>
      <c r="H20" s="195">
        <v>4.5</v>
      </c>
      <c r="I20" s="197">
        <v>4.5</v>
      </c>
      <c r="J20" s="195">
        <v>4</v>
      </c>
      <c r="K20" s="197">
        <v>5</v>
      </c>
      <c r="L20" s="195">
        <v>5</v>
      </c>
    </row>
    <row r="21" spans="1:12" s="2" customFormat="1" ht="15" customHeight="1">
      <c r="A21" s="12">
        <v>2</v>
      </c>
      <c r="B21" s="10" t="str">
        <f>LIDER!G44</f>
        <v>CAROL VIVIAN CALDERA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4.5999999999999996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JESUS DAVID MONTIEL CUETO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4.5999999999999996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4.5999999999999996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78</v>
      </c>
      <c r="C26" s="88" t="s">
        <v>110</v>
      </c>
      <c r="D26" s="32" t="str">
        <f>D19</f>
        <v>LIST</v>
      </c>
      <c r="E26" s="89" t="s">
        <v>106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EDUARDO LUIS GÓMEZ PEREZ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4.75</v>
      </c>
      <c r="F27" s="200">
        <v>5</v>
      </c>
      <c r="G27" s="197">
        <v>5</v>
      </c>
      <c r="H27" s="195">
        <v>5</v>
      </c>
      <c r="I27" s="197">
        <v>4.5</v>
      </c>
      <c r="J27" s="195">
        <v>5</v>
      </c>
      <c r="K27" s="197">
        <v>4</v>
      </c>
      <c r="L27" s="195">
        <v>5</v>
      </c>
    </row>
    <row r="28" spans="1:12" s="2" customFormat="1" ht="15" customHeight="1">
      <c r="A28" s="12">
        <v>2</v>
      </c>
      <c r="B28" s="10" t="str">
        <f>LIDER!H44</f>
        <v>STIVEN JAVIER HOYOS DIAS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4.75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JORGE ANDRES NIÑO SERRANO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4.75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JESSENIA PEREZ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4.75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DANIELA RAMIREZ QUIROZ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4.75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EMMANUEL ENRIQUE RUIZ DIAZ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4.75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80</v>
      </c>
      <c r="C33" s="88" t="s">
        <v>111</v>
      </c>
      <c r="D33" s="32" t="str">
        <f>D26</f>
        <v>LIST</v>
      </c>
      <c r="E33" s="89" t="s">
        <v>106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DIEGO ALEJANDRO CANCIO POLO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4.45</v>
      </c>
      <c r="F34" s="200">
        <v>3</v>
      </c>
      <c r="G34" s="197">
        <v>5</v>
      </c>
      <c r="H34" s="195">
        <v>5</v>
      </c>
      <c r="I34" s="197">
        <v>4.5</v>
      </c>
      <c r="J34" s="195">
        <v>4</v>
      </c>
      <c r="K34" s="197">
        <v>5</v>
      </c>
      <c r="L34" s="195">
        <v>5</v>
      </c>
    </row>
    <row r="35" spans="1:12" s="2" customFormat="1" ht="15" customHeight="1">
      <c r="A35" s="12">
        <v>2</v>
      </c>
      <c r="B35" s="10" t="str">
        <f>LIDER!E52</f>
        <v>ISAAC DAVID DE AVILA CABEZA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4.45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ADRIANA LUCIA DIAZ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4.45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LEVI MATURANA AGUALIMPIA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4.45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AYSA IVANNA SEK PÉREZ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4.45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82</v>
      </c>
      <c r="C40" s="88" t="s">
        <v>112</v>
      </c>
      <c r="D40" s="32" t="str">
        <f>D33</f>
        <v>LIST</v>
      </c>
      <c r="E40" s="89" t="s">
        <v>106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YENIFFER MICHELL ACUÑA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4.75</v>
      </c>
      <c r="F41" s="200">
        <v>4</v>
      </c>
      <c r="G41" s="197">
        <v>5</v>
      </c>
      <c r="H41" s="195">
        <v>5</v>
      </c>
      <c r="I41" s="197">
        <v>4.5</v>
      </c>
      <c r="J41" s="195">
        <v>5</v>
      </c>
      <c r="K41" s="197">
        <v>5</v>
      </c>
      <c r="L41" s="195">
        <v>5</v>
      </c>
    </row>
    <row r="42" spans="1:12" s="2" customFormat="1" ht="15" customHeight="1">
      <c r="A42" s="12">
        <v>2</v>
      </c>
      <c r="B42" s="10" t="str">
        <f>LIDER!F52</f>
        <v>JESUS MIGUEL OVIEDO GARCIA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4.75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JULIÁN ANDRÉS TABORDA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4.75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JENIFER VANESSA TORRES JUNCO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4.75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NELSON DAVID VANEGAS RIVEROS</v>
      </c>
      <c r="C45" s="90" t="str">
        <f t="shared" si="5"/>
        <v>G06</v>
      </c>
      <c r="D45" s="96" t="s">
        <v>107</v>
      </c>
      <c r="E45" s="11"/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GERDALYS VARELA NARVAEZ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4.75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84</v>
      </c>
      <c r="C47" s="88" t="s">
        <v>113</v>
      </c>
      <c r="D47" s="32" t="str">
        <f>D40</f>
        <v>LIST</v>
      </c>
      <c r="E47" s="89" t="s">
        <v>106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ANGEL DE JESUS ARZUZA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4.55</v>
      </c>
      <c r="F48" s="200">
        <v>4</v>
      </c>
      <c r="G48" s="197">
        <v>5</v>
      </c>
      <c r="H48" s="195">
        <v>5</v>
      </c>
      <c r="I48" s="197">
        <v>4.5</v>
      </c>
      <c r="J48" s="195">
        <v>5</v>
      </c>
      <c r="K48" s="197">
        <v>4</v>
      </c>
      <c r="L48" s="195">
        <v>5</v>
      </c>
    </row>
    <row r="49" spans="1:12" s="2" customFormat="1" ht="15" customHeight="1">
      <c r="A49" s="12">
        <v>2</v>
      </c>
      <c r="B49" s="10" t="str">
        <f>LIDER!G52</f>
        <v>JUAN CAMILO FLOREZ VERTEL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4.55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LAURA SOFIA MENDOZA GONZÁLEZ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4.55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SEBASTIAN RAMIREZ MONSALVE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4.55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86</v>
      </c>
      <c r="C54" s="88" t="s">
        <v>114</v>
      </c>
      <c r="D54" s="32" t="str">
        <f>D47</f>
        <v>LIST</v>
      </c>
      <c r="E54" s="89" t="s">
        <v>106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CARLOS MARIO DE LEÓN CASTILLO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5</v>
      </c>
      <c r="F55" s="200">
        <v>5</v>
      </c>
      <c r="G55" s="197">
        <v>5</v>
      </c>
      <c r="H55" s="195">
        <v>5</v>
      </c>
      <c r="I55" s="197">
        <v>5</v>
      </c>
      <c r="J55" s="195">
        <v>5</v>
      </c>
      <c r="K55" s="197">
        <v>5</v>
      </c>
      <c r="L55" s="195">
        <v>5</v>
      </c>
    </row>
    <row r="56" spans="1:12" s="2" customFormat="1" ht="15" customHeight="1">
      <c r="A56" s="12">
        <v>2</v>
      </c>
      <c r="B56" s="10" t="str">
        <f>LIDER!H52</f>
        <v>ANA KARINA GONZALEZ ROBLES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5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LIZBELIA DEL CARMEN MARTINEZ PUELLO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5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CLAUDIMAR DEL CARMEN RUIZ PEREZ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5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KELLY YOHANA YEPES FLORIAN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5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88</v>
      </c>
      <c r="C61" s="88" t="s">
        <v>115</v>
      </c>
      <c r="D61" s="32" t="str">
        <f>D54</f>
        <v>LIST</v>
      </c>
      <c r="E61" s="89" t="s">
        <v>106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90</v>
      </c>
      <c r="C68" s="88" t="s">
        <v>116</v>
      </c>
      <c r="D68" s="32" t="str">
        <f>D61</f>
        <v>LIST</v>
      </c>
      <c r="E68" s="89" t="s">
        <v>106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92</v>
      </c>
      <c r="C75" s="88" t="s">
        <v>117</v>
      </c>
      <c r="D75" s="32" t="str">
        <f>D68</f>
        <v>LIST</v>
      </c>
      <c r="E75" s="89" t="s">
        <v>106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94</v>
      </c>
      <c r="C82" s="88" t="s">
        <v>118</v>
      </c>
      <c r="D82" s="32" t="str">
        <f>D75</f>
        <v>LIST</v>
      </c>
      <c r="E82" s="89" t="s">
        <v>106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83:D88 D13:D18 D20:D25 D27:D32 D34:D39 D41:D46 D48:D53 D55:D60 D62:D67 D69:D74 D76:D81 D6:D11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G4" activePane="bottomRight" state="frozen"/>
      <selection pane="bottomRight" activeCell="D17" sqref="D17"/>
      <selection pane="bottomLeft" activeCell="D17" sqref="D17"/>
      <selection pane="topRight" activeCell="D17" sqref="D1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ELECTIVA DE PROFUNDIZACION III</v>
      </c>
      <c r="C2" s="82"/>
      <c r="D2" s="3"/>
      <c r="F2" s="205" t="s">
        <v>102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CONCATENATE(LIDER!E4," - ",LIDER!E6," - ",LIDER!E5)</f>
        <v>ELECTIVA DE PROFUNDIZACION III - 2458 - OSCAR DAVID URIZA PEREZ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72</v>
      </c>
      <c r="C5" s="88" t="s">
        <v>104</v>
      </c>
      <c r="D5" s="32" t="s">
        <v>105</v>
      </c>
      <c r="E5" s="89" t="s">
        <v>106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LIEEN CAROLINA FERNANDEZ ARIZA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4.67</v>
      </c>
      <c r="F6" s="200">
        <v>4.5999999999999996</v>
      </c>
      <c r="G6" s="197">
        <v>4.8</v>
      </c>
      <c r="H6" s="195">
        <v>4.7</v>
      </c>
      <c r="I6" s="197">
        <v>4.5999999999999996</v>
      </c>
      <c r="J6" s="195">
        <v>4.5999999999999996</v>
      </c>
      <c r="K6" s="197">
        <v>4.5</v>
      </c>
      <c r="L6" s="195">
        <v>5</v>
      </c>
    </row>
    <row r="7" spans="1:12" s="2" customFormat="1" ht="15" customHeight="1">
      <c r="A7" s="12">
        <v>2</v>
      </c>
      <c r="B7" s="10" t="str">
        <f>LIDER!E44</f>
        <v>KEYNER FABIAN HERRERA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4.67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IRAMA ALEXANDRA JARAMILLO GARCIA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4.67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HELEN MARIA NAVARRO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4.67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74</v>
      </c>
      <c r="C12" s="88" t="s">
        <v>108</v>
      </c>
      <c r="D12" s="32" t="str">
        <f>D5</f>
        <v>LIST</v>
      </c>
      <c r="E12" s="89" t="s">
        <v>106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LUIS MARIO ACOSTA MORENO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4.6900000000000004</v>
      </c>
      <c r="F13" s="200">
        <v>4.5</v>
      </c>
      <c r="G13" s="197">
        <v>4.7</v>
      </c>
      <c r="H13" s="195">
        <v>4.8</v>
      </c>
      <c r="I13" s="197">
        <v>4.8</v>
      </c>
      <c r="J13" s="195">
        <v>4.7</v>
      </c>
      <c r="K13" s="197">
        <v>4.5999999999999996</v>
      </c>
      <c r="L13" s="195">
        <v>5</v>
      </c>
    </row>
    <row r="14" spans="1:12" s="2" customFormat="1" ht="15" customHeight="1">
      <c r="A14" s="12">
        <v>2</v>
      </c>
      <c r="B14" s="10" t="str">
        <f>LIDER!F44</f>
        <v>DANIELA ALEJANDRA CASTRO VARGAS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4.6900000000000004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MARIA ALEJANDRA MARQUEZ MANGA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4.6900000000000004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SANTIAGO ANDRES RODRIGUEZ HIGUITA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4.6900000000000004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DAYANNA MICHELLE CAPACHERO DIAZ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4.6900000000000004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76</v>
      </c>
      <c r="C19" s="88" t="s">
        <v>109</v>
      </c>
      <c r="D19" s="32" t="str">
        <f>D12</f>
        <v>LIST</v>
      </c>
      <c r="E19" s="89" t="s">
        <v>106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LAUREEN ALEJANDRA ACOSTA LOPEZ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4.6800000000000006</v>
      </c>
      <c r="F20" s="200">
        <v>4.5999999999999996</v>
      </c>
      <c r="G20" s="197">
        <v>4.8</v>
      </c>
      <c r="H20" s="195">
        <v>4.7</v>
      </c>
      <c r="I20" s="197">
        <v>4.7</v>
      </c>
      <c r="J20" s="195">
        <v>4.5999999999999996</v>
      </c>
      <c r="K20" s="197">
        <v>4.5</v>
      </c>
      <c r="L20" s="195">
        <v>5</v>
      </c>
    </row>
    <row r="21" spans="1:12" s="2" customFormat="1" ht="15" customHeight="1">
      <c r="A21" s="12">
        <v>2</v>
      </c>
      <c r="B21" s="10" t="str">
        <f>LIDER!G44</f>
        <v>CAROL VIVIAN CALDERA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4.6800000000000006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JESUS DAVID MONTIEL CUETO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4.6800000000000006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4.6800000000000006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78</v>
      </c>
      <c r="C26" s="88" t="s">
        <v>110</v>
      </c>
      <c r="D26" s="32" t="str">
        <f>D19</f>
        <v>LIST</v>
      </c>
      <c r="E26" s="89" t="s">
        <v>106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EDUARDO LUIS GÓMEZ PEREZ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4.58</v>
      </c>
      <c r="F27" s="200">
        <v>4.5</v>
      </c>
      <c r="G27" s="197">
        <v>4.5999999999999996</v>
      </c>
      <c r="H27" s="195">
        <v>4.5</v>
      </c>
      <c r="I27" s="197">
        <v>4.5</v>
      </c>
      <c r="J27" s="195">
        <v>4.5999999999999996</v>
      </c>
      <c r="K27" s="197">
        <v>4.5</v>
      </c>
      <c r="L27" s="195">
        <v>5</v>
      </c>
    </row>
    <row r="28" spans="1:12" s="2" customFormat="1" ht="15" customHeight="1">
      <c r="A28" s="12">
        <v>2</v>
      </c>
      <c r="B28" s="10" t="str">
        <f>LIDER!H44</f>
        <v>STIVEN JAVIER HOYOS DIAS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4.58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JORGE ANDRES NIÑO SERRANO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4.58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JESSENIA PEREZ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4.58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DANIELA RAMIREZ QUIROZ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4.58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EMMANUEL ENRIQUE RUIZ DIAZ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4.58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80</v>
      </c>
      <c r="C33" s="88" t="s">
        <v>111</v>
      </c>
      <c r="D33" s="32" t="str">
        <f>D26</f>
        <v>LIST</v>
      </c>
      <c r="E33" s="89" t="s">
        <v>106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DIEGO ALEJANDRO CANCIO POLO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4.75</v>
      </c>
      <c r="F34" s="200">
        <v>4.5999999999999996</v>
      </c>
      <c r="G34" s="197">
        <v>4.8</v>
      </c>
      <c r="H34" s="195">
        <v>4.9000000000000004</v>
      </c>
      <c r="I34" s="197">
        <v>4.9000000000000004</v>
      </c>
      <c r="J34" s="195">
        <v>4.7</v>
      </c>
      <c r="K34" s="197">
        <v>4.5999999999999996</v>
      </c>
      <c r="L34" s="195">
        <v>5</v>
      </c>
    </row>
    <row r="35" spans="1:12" s="2" customFormat="1" ht="15" customHeight="1">
      <c r="A35" s="12">
        <v>2</v>
      </c>
      <c r="B35" s="10" t="str">
        <f>LIDER!E52</f>
        <v>ISAAC DAVID DE AVILA CABEZA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4.75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ADRIANA LUCIA DIAZ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4.75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LEVI MATURANA AGUALIMPIA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4.75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AYSA IVANNA SEK PÉREZ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4.75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82</v>
      </c>
      <c r="C40" s="88" t="s">
        <v>112</v>
      </c>
      <c r="D40" s="32" t="str">
        <f>D33</f>
        <v>LIST</v>
      </c>
      <c r="E40" s="89" t="s">
        <v>106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YENIFFER MICHELL ACUÑA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4.5100000000000007</v>
      </c>
      <c r="F41" s="200">
        <v>4.4000000000000004</v>
      </c>
      <c r="G41" s="197">
        <v>4.5</v>
      </c>
      <c r="H41" s="195">
        <v>4.4000000000000004</v>
      </c>
      <c r="I41" s="197">
        <v>4.4000000000000004</v>
      </c>
      <c r="J41" s="195">
        <v>4.5</v>
      </c>
      <c r="K41" s="197">
        <v>4.5</v>
      </c>
      <c r="L41" s="195">
        <v>5</v>
      </c>
    </row>
    <row r="42" spans="1:12" s="2" customFormat="1" ht="15" customHeight="1">
      <c r="A42" s="12">
        <v>2</v>
      </c>
      <c r="B42" s="10" t="str">
        <f>LIDER!F52</f>
        <v>JESUS MIGUEL OVIEDO GARCIA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4.5100000000000007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JULIÁN ANDRÉS TABORDA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4.5100000000000007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JENIFER VANESSA TORRES JUNCO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4.5100000000000007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NELSON DAVID VANEGAS RIVEROS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4.5100000000000007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GERDALYS VARELA NARVAEZ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4.5100000000000007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84</v>
      </c>
      <c r="C47" s="88" t="s">
        <v>113</v>
      </c>
      <c r="D47" s="32" t="str">
        <f>D40</f>
        <v>LIST</v>
      </c>
      <c r="E47" s="89" t="s">
        <v>106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ANGEL DE JESUS ARZUZA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4.7200000000000006</v>
      </c>
      <c r="F48" s="200">
        <v>4.5999999999999996</v>
      </c>
      <c r="G48" s="197">
        <v>4.8</v>
      </c>
      <c r="H48" s="195">
        <v>4.7</v>
      </c>
      <c r="I48" s="197">
        <v>4.7</v>
      </c>
      <c r="J48" s="195">
        <v>4.5999999999999996</v>
      </c>
      <c r="K48" s="197">
        <v>4.7</v>
      </c>
      <c r="L48" s="195">
        <v>5</v>
      </c>
    </row>
    <row r="49" spans="1:12" s="2" customFormat="1" ht="15" customHeight="1">
      <c r="A49" s="12">
        <v>2</v>
      </c>
      <c r="B49" s="10" t="str">
        <f>LIDER!G52</f>
        <v>JUAN CAMILO FLOREZ VERTEL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4.7200000000000006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LAURA SOFIA MENDOZA GONZÁLEZ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4.7200000000000006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SEBASTIAN RAMIREZ MONSALVE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4.7200000000000006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86</v>
      </c>
      <c r="C54" s="88" t="s">
        <v>114</v>
      </c>
      <c r="D54" s="32" t="str">
        <f>D47</f>
        <v>LIST</v>
      </c>
      <c r="E54" s="89" t="s">
        <v>106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CARLOS MARIO DE LEÓN CASTILLO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4.68</v>
      </c>
      <c r="F55" s="200">
        <v>4.5</v>
      </c>
      <c r="G55" s="197">
        <v>4.7</v>
      </c>
      <c r="H55" s="195">
        <v>4.8</v>
      </c>
      <c r="I55" s="197">
        <v>4.8</v>
      </c>
      <c r="J55" s="195">
        <v>4.5999999999999996</v>
      </c>
      <c r="K55" s="197">
        <v>4.5999999999999996</v>
      </c>
      <c r="L55" s="195">
        <v>5</v>
      </c>
    </row>
    <row r="56" spans="1:12" s="2" customFormat="1" ht="15" customHeight="1">
      <c r="A56" s="12">
        <v>2</v>
      </c>
      <c r="B56" s="10" t="str">
        <f>LIDER!H52</f>
        <v>ANA KARINA GONZALEZ ROBLES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4.68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LIZBELIA DEL CARMEN MARTINEZ PUELLO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4.68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CLAUDIMAR DEL CARMEN RUIZ PEREZ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4.68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KELLY YOHANA YEPES FLORIAN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4.68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88</v>
      </c>
      <c r="C61" s="88" t="s">
        <v>115</v>
      </c>
      <c r="D61" s="32" t="str">
        <f>D54</f>
        <v>LIST</v>
      </c>
      <c r="E61" s="89" t="s">
        <v>106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90</v>
      </c>
      <c r="C68" s="88" t="s">
        <v>116</v>
      </c>
      <c r="D68" s="32" t="str">
        <f>D61</f>
        <v>LIST</v>
      </c>
      <c r="E68" s="89" t="s">
        <v>106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92</v>
      </c>
      <c r="C75" s="88" t="s">
        <v>117</v>
      </c>
      <c r="D75" s="32" t="str">
        <f>D68</f>
        <v>LIST</v>
      </c>
      <c r="E75" s="89" t="s">
        <v>106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94</v>
      </c>
      <c r="C82" s="88" t="s">
        <v>118</v>
      </c>
      <c r="D82" s="32" t="str">
        <f>D75</f>
        <v>LIST</v>
      </c>
      <c r="E82" s="89" t="s">
        <v>106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K54" activePane="bottomRight" state="frozen"/>
      <selection pane="bottomRight" activeCell="D17" sqref="D17"/>
      <selection pane="bottomLeft" activeCell="D17" sqref="D17"/>
      <selection pane="topRight" activeCell="D17" sqref="D1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AMBIENTE Y DESARROLLO</v>
      </c>
      <c r="C2" s="82"/>
      <c r="D2" s="3"/>
      <c r="F2" s="205" t="s">
        <v>102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CONCATENATE(LIDER!F4," - ",LIDER!F6," - ",LIDER!F5)</f>
        <v>AMBIENTE Y DESARROLLO - 1119 - MARIANO BELTRAN PADILLA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72</v>
      </c>
      <c r="C5" s="88" t="s">
        <v>104</v>
      </c>
      <c r="D5" s="32" t="s">
        <v>105</v>
      </c>
      <c r="E5" s="89" t="s">
        <v>106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LIEEN CAROLINA FERNANDEZ ARIZA</v>
      </c>
      <c r="C6" s="90" t="str">
        <f>C5</f>
        <v>G01</v>
      </c>
      <c r="D6" s="95" t="s">
        <v>107</v>
      </c>
      <c r="E6" s="11" t="str">
        <f>IF(B6=0,0,IF(D6="",$F$6*LIDER!$H$9+$G$6*LIDER!$H$10+$H$6*LIDER!$H$11+$I$6*LIDER!$H$12+$J$6*LIDER!$H$13+$K$6*LIDER!$H$14+$L$6*LIDER!$H$15,"N"))</f>
        <v>N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KEYNER FABIAN HERRERA CASTILLA</v>
      </c>
      <c r="C7" s="90" t="str">
        <f t="shared" ref="C7:C11" si="0">C6</f>
        <v>G01</v>
      </c>
      <c r="D7" s="96" t="s">
        <v>107</v>
      </c>
      <c r="E7" s="11" t="str">
        <f>IF(B7=0,0,IF(D7="",$F$6*LIDER!$H$9+$G$6*LIDER!$H$10+$H$6*LIDER!$H$11+$I$6*LIDER!$H$12+$J$6*LIDER!$H$13+$K$6*LIDER!$H$14+$L$6*LIDER!$H$15,"N"))</f>
        <v>N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IRAMA ALEXANDRA JARAMILLO GARCIA</v>
      </c>
      <c r="C8" s="90" t="str">
        <f t="shared" si="0"/>
        <v>G01</v>
      </c>
      <c r="D8" s="96" t="s">
        <v>107</v>
      </c>
      <c r="E8" s="11" t="str">
        <f>IF(B8=0,0,IF(D8="",$F$6*LIDER!$H$9+$G$6*LIDER!$H$10+$H$6*LIDER!$H$11+$I$6*LIDER!$H$12+$J$6*LIDER!$H$13+$K$6*LIDER!$H$14+$L$6*LIDER!$H$15,"N"))</f>
        <v>N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HELEN MARIA NAVARRO HERNANDEZ</v>
      </c>
      <c r="C9" s="90" t="str">
        <f t="shared" si="0"/>
        <v>G01</v>
      </c>
      <c r="D9" s="96" t="s">
        <v>107</v>
      </c>
      <c r="E9" s="11" t="str">
        <f>IF(B9=0,0,IF(D9="",$F$6*LIDER!$H$9+$G$6*LIDER!$H$10+$H$6*LIDER!$H$11+$I$6*LIDER!$H$12+$J$6*LIDER!$H$13+$K$6*LIDER!$H$14+$L$6*LIDER!$H$15,"N"))</f>
        <v>N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74</v>
      </c>
      <c r="C12" s="88" t="s">
        <v>108</v>
      </c>
      <c r="D12" s="32" t="str">
        <f>D5</f>
        <v>LIST</v>
      </c>
      <c r="E12" s="89" t="s">
        <v>106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LUIS MARIO ACOSTA MORENO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4.32</v>
      </c>
      <c r="F13" s="200">
        <v>4.2</v>
      </c>
      <c r="G13" s="197">
        <v>4.2</v>
      </c>
      <c r="H13" s="195">
        <v>4.3</v>
      </c>
      <c r="I13" s="197">
        <v>4.3</v>
      </c>
      <c r="J13" s="195">
        <v>4.3</v>
      </c>
      <c r="K13" s="197">
        <v>4.5</v>
      </c>
      <c r="L13" s="195">
        <v>4.5</v>
      </c>
    </row>
    <row r="14" spans="1:12" s="2" customFormat="1" ht="15" customHeight="1">
      <c r="A14" s="12">
        <v>2</v>
      </c>
      <c r="B14" s="10" t="str">
        <f>LIDER!F44</f>
        <v>DANIELA ALEJANDRA CASTRO VARGAS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4.32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MARIA ALEJANDRA MARQUEZ MANGA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4.32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SANTIAGO ANDRES RODRIGUEZ HIGUITA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4.32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DAYANNA MICHELLE CAPACHERO DIAZ</v>
      </c>
      <c r="C17" s="90" t="str">
        <f t="shared" si="1"/>
        <v>G02</v>
      </c>
      <c r="D17" s="96" t="s">
        <v>107</v>
      </c>
      <c r="E17" s="11" t="str">
        <f>IF(B17=0,0,IF(D17="",$F$13*LIDER!$H$9+$G$13*LIDER!$H$10+$H$13*LIDER!$H$11+$I$13*LIDER!$H$12+$J$13*LIDER!$H$13+$K$13*LIDER!$H$14+$L$13*LIDER!$H$15,"N"))</f>
        <v>N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76</v>
      </c>
      <c r="C19" s="88" t="s">
        <v>109</v>
      </c>
      <c r="D19" s="32" t="str">
        <f>D12</f>
        <v>LIST</v>
      </c>
      <c r="E19" s="89" t="s">
        <v>106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LAUREEN ALEJANDRA ACOSTA LOPEZ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4.3900000000000006</v>
      </c>
      <c r="F20" s="200">
        <v>4.2</v>
      </c>
      <c r="G20" s="197">
        <v>4.5</v>
      </c>
      <c r="H20" s="195">
        <v>4.5</v>
      </c>
      <c r="I20" s="197">
        <v>4.5</v>
      </c>
      <c r="J20" s="195">
        <v>4.5</v>
      </c>
      <c r="K20" s="197">
        <v>4.5</v>
      </c>
      <c r="L20" s="195">
        <v>4</v>
      </c>
    </row>
    <row r="21" spans="1:12" s="2" customFormat="1" ht="15" customHeight="1">
      <c r="A21" s="12">
        <v>2</v>
      </c>
      <c r="B21" s="10" t="str">
        <f>LIDER!G44</f>
        <v>CAROL VIVIAN CALDERA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4.3900000000000006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JESUS DAVID MONTIEL CUETO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4.3900000000000006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4.3900000000000006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78</v>
      </c>
      <c r="C26" s="88" t="s">
        <v>110</v>
      </c>
      <c r="D26" s="32" t="str">
        <f>D19</f>
        <v>LIST</v>
      </c>
      <c r="E26" s="89" t="s">
        <v>106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EDUARDO LUIS GÓMEZ PEREZ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4.0500000000000007</v>
      </c>
      <c r="F27" s="200">
        <v>4</v>
      </c>
      <c r="G27" s="197">
        <v>4</v>
      </c>
      <c r="H27" s="195">
        <v>4.3</v>
      </c>
      <c r="I27" s="197">
        <v>4.2</v>
      </c>
      <c r="J27" s="195">
        <v>4</v>
      </c>
      <c r="K27" s="197">
        <v>4</v>
      </c>
      <c r="L27" s="195">
        <v>4</v>
      </c>
    </row>
    <row r="28" spans="1:12" s="2" customFormat="1" ht="15" customHeight="1">
      <c r="A28" s="12">
        <v>2</v>
      </c>
      <c r="B28" s="10" t="str">
        <f>LIDER!H44</f>
        <v>STIVEN JAVIER HOYOS DIAS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4.0500000000000007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JORGE ANDRES NIÑO SERRANO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4.0500000000000007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JESSENIA PEREZ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4.0500000000000007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DANIELA RAMIREZ QUIROZ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4.0500000000000007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EMMANUEL ENRIQUE RUIZ DIAZ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4.0500000000000007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80</v>
      </c>
      <c r="C33" s="88" t="s">
        <v>111</v>
      </c>
      <c r="D33" s="32" t="str">
        <f>D26</f>
        <v>LIST</v>
      </c>
      <c r="E33" s="89" t="s">
        <v>106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DIEGO ALEJANDRO CANCIO POLO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4.120000000000001</v>
      </c>
      <c r="F34" s="200">
        <v>4.2</v>
      </c>
      <c r="G34" s="197">
        <v>4</v>
      </c>
      <c r="H34" s="195">
        <v>4.0999999999999996</v>
      </c>
      <c r="I34" s="197">
        <v>4.0999999999999996</v>
      </c>
      <c r="J34" s="195">
        <v>4.0999999999999996</v>
      </c>
      <c r="K34" s="197">
        <v>4</v>
      </c>
      <c r="L34" s="195">
        <v>4.5</v>
      </c>
    </row>
    <row r="35" spans="1:12" s="2" customFormat="1" ht="15" customHeight="1">
      <c r="A35" s="12">
        <v>2</v>
      </c>
      <c r="B35" s="10" t="str">
        <f>LIDER!E52</f>
        <v>ISAAC DAVID DE AVILA CABEZA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4.120000000000001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ADRIANA LUCIA DIAZ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4.120000000000001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LEVI MATURANA AGUALIMPIA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4.120000000000001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AYSA IVANNA SEK PÉREZ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4.120000000000001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82</v>
      </c>
      <c r="C40" s="88" t="s">
        <v>112</v>
      </c>
      <c r="D40" s="32" t="str">
        <f>D33</f>
        <v>LIST</v>
      </c>
      <c r="E40" s="89" t="s">
        <v>106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YENIFFER MICHELL ACUÑA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3.55</v>
      </c>
      <c r="F41" s="200">
        <v>4</v>
      </c>
      <c r="G41" s="197">
        <v>4</v>
      </c>
      <c r="H41" s="195">
        <v>4</v>
      </c>
      <c r="I41" s="197">
        <v>4</v>
      </c>
      <c r="J41" s="195">
        <v>4</v>
      </c>
      <c r="K41" s="197">
        <v>1.5</v>
      </c>
      <c r="L41" s="195">
        <v>4.5</v>
      </c>
    </row>
    <row r="42" spans="1:12" s="2" customFormat="1" ht="15" customHeight="1">
      <c r="A42" s="12">
        <v>2</v>
      </c>
      <c r="B42" s="10" t="str">
        <f>LIDER!F52</f>
        <v>JESUS MIGUEL OVIEDO GARCIA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3.55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JULIÁN ANDRÉS TABORDA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3.55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JENIFER VANESSA TORRES JUNCO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3.55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NELSON DAVID VANEGAS RIVEROS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3.55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GERDALYS VARELA NARVAEZ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3.55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84</v>
      </c>
      <c r="C47" s="88" t="s">
        <v>113</v>
      </c>
      <c r="D47" s="32" t="str">
        <f>D40</f>
        <v>LIST</v>
      </c>
      <c r="E47" s="89" t="s">
        <v>106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ANGEL DE JESUS ARZUZA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3.99</v>
      </c>
      <c r="F48" s="200">
        <v>4.2</v>
      </c>
      <c r="G48" s="197">
        <v>4</v>
      </c>
      <c r="H48" s="195">
        <v>4.5</v>
      </c>
      <c r="I48" s="197">
        <v>4</v>
      </c>
      <c r="J48" s="195">
        <v>4</v>
      </c>
      <c r="K48" s="197">
        <v>3</v>
      </c>
      <c r="L48" s="195">
        <v>5</v>
      </c>
    </row>
    <row r="49" spans="1:12" s="2" customFormat="1" ht="15" customHeight="1">
      <c r="A49" s="12">
        <v>2</v>
      </c>
      <c r="B49" s="10" t="str">
        <f>LIDER!G52</f>
        <v>JUAN CAMILO FLOREZ VERTEL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3.99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LAURA SOFIA MENDOZA GONZÁLEZ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3.99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SEBASTIAN RAMIREZ MONSALVE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3.99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86</v>
      </c>
      <c r="C54" s="88" t="s">
        <v>114</v>
      </c>
      <c r="D54" s="32" t="str">
        <f>D47</f>
        <v>LIST</v>
      </c>
      <c r="E54" s="89" t="s">
        <v>106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CARLOS MARIO DE LEÓN CASTILLO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4.7</v>
      </c>
      <c r="F55" s="200">
        <v>4.7</v>
      </c>
      <c r="G55" s="197">
        <v>4.7</v>
      </c>
      <c r="H55" s="195">
        <v>4.7</v>
      </c>
      <c r="I55" s="197">
        <v>4.7</v>
      </c>
      <c r="J55" s="195">
        <v>4.7</v>
      </c>
      <c r="K55" s="197">
        <v>4.7</v>
      </c>
      <c r="L55" s="195">
        <v>4.7</v>
      </c>
    </row>
    <row r="56" spans="1:12" s="2" customFormat="1" ht="15" customHeight="1">
      <c r="A56" s="12">
        <v>2</v>
      </c>
      <c r="B56" s="10" t="str">
        <f>LIDER!H52</f>
        <v>ANA KARINA GONZALEZ ROBLES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4.7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LIZBELIA DEL CARMEN MARTINEZ PUELLO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4.7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CLAUDIMAR DEL CARMEN RUIZ PEREZ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4.7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KELLY YOHANA YEPES FLORIAN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4.7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88</v>
      </c>
      <c r="C61" s="88" t="s">
        <v>115</v>
      </c>
      <c r="D61" s="32" t="str">
        <f>D54</f>
        <v>LIST</v>
      </c>
      <c r="E61" s="89" t="s">
        <v>106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90</v>
      </c>
      <c r="C68" s="88" t="s">
        <v>116</v>
      </c>
      <c r="D68" s="32" t="str">
        <f>D61</f>
        <v>LIST</v>
      </c>
      <c r="E68" s="89" t="s">
        <v>106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92</v>
      </c>
      <c r="C75" s="88" t="s">
        <v>117</v>
      </c>
      <c r="D75" s="32" t="str">
        <f>D68</f>
        <v>LIST</v>
      </c>
      <c r="E75" s="89" t="s">
        <v>106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94</v>
      </c>
      <c r="C82" s="88" t="s">
        <v>118</v>
      </c>
      <c r="D82" s="32" t="str">
        <f>D75</f>
        <v>LIST</v>
      </c>
      <c r="E82" s="89" t="s">
        <v>106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G54" activePane="bottomRight" state="frozen"/>
      <selection pane="bottomRight" activeCell="D17" sqref="D17"/>
      <selection pane="bottomLeft" activeCell="D17" sqref="D17"/>
      <selection pane="topRight" activeCell="D17" sqref="D1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FINANZAS INTERNACIONALES</v>
      </c>
      <c r="C2" s="82"/>
      <c r="D2" s="3"/>
      <c r="F2" s="205" t="s">
        <v>102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CONCATENATE(LIDER!G4," - ",LIDER!G6," - ",LIDER!G5)</f>
        <v>FINANZAS INTERNACIONALES - 1488 - LEONARDO CARLOS DE ORO BARRIOS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72</v>
      </c>
      <c r="C5" s="88" t="s">
        <v>104</v>
      </c>
      <c r="D5" s="32" t="s">
        <v>105</v>
      </c>
      <c r="E5" s="89" t="s">
        <v>106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LIEEN CAROLINA FERNANDEZ ARIZA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4.04</v>
      </c>
      <c r="F6" s="200">
        <v>4.2</v>
      </c>
      <c r="G6" s="197">
        <v>4.2</v>
      </c>
      <c r="H6" s="195">
        <v>4.2</v>
      </c>
      <c r="I6" s="197">
        <v>4.2</v>
      </c>
      <c r="J6" s="195">
        <v>4.2</v>
      </c>
      <c r="K6" s="197">
        <v>3</v>
      </c>
      <c r="L6" s="195">
        <v>5</v>
      </c>
    </row>
    <row r="7" spans="1:12" s="2" customFormat="1" ht="15" customHeight="1">
      <c r="A7" s="12">
        <v>2</v>
      </c>
      <c r="B7" s="10" t="str">
        <f>LIDER!E44</f>
        <v>KEYNER FABIAN HERRERA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4.04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IRAMA ALEXANDRA JARAMILLO GARCIA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4.04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HELEN MARIA NAVARRO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4.04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74</v>
      </c>
      <c r="C12" s="88" t="s">
        <v>108</v>
      </c>
      <c r="D12" s="32" t="str">
        <f>D5</f>
        <v>LIST</v>
      </c>
      <c r="E12" s="89" t="s">
        <v>106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LUIS MARIO ACOSTA MORENO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4.37</v>
      </c>
      <c r="F13" s="200">
        <v>4.3</v>
      </c>
      <c r="G13" s="197">
        <v>4.3</v>
      </c>
      <c r="H13" s="195">
        <v>4.3</v>
      </c>
      <c r="I13" s="197">
        <v>4.3</v>
      </c>
      <c r="J13" s="195">
        <v>4.3</v>
      </c>
      <c r="K13" s="197">
        <v>4.3</v>
      </c>
      <c r="L13" s="195">
        <v>5</v>
      </c>
    </row>
    <row r="14" spans="1:12" s="2" customFormat="1" ht="15" customHeight="1">
      <c r="A14" s="12">
        <v>2</v>
      </c>
      <c r="B14" s="10" t="str">
        <f>LIDER!F44</f>
        <v>DANIELA ALEJANDRA CASTRO VARGAS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4.37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MARIA ALEJANDRA MARQUEZ MANGA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4.37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SANTIAGO ANDRES RODRIGUEZ HIGUITA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4.37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DAYANNA MICHELLE CAPACHERO DIAZ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4.37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76</v>
      </c>
      <c r="C19" s="88" t="s">
        <v>109</v>
      </c>
      <c r="D19" s="32" t="str">
        <f>D12</f>
        <v>LIST</v>
      </c>
      <c r="E19" s="89" t="s">
        <v>106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LAUREEN ALEJANDRA ACOSTA LOPEZ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4.5500000000000007</v>
      </c>
      <c r="F20" s="200">
        <v>4.5</v>
      </c>
      <c r="G20" s="197">
        <v>4.5</v>
      </c>
      <c r="H20" s="195">
        <v>4.5</v>
      </c>
      <c r="I20" s="197">
        <v>4.5</v>
      </c>
      <c r="J20" s="195">
        <v>4.5</v>
      </c>
      <c r="K20" s="197">
        <v>4.5</v>
      </c>
      <c r="L20" s="195">
        <v>5</v>
      </c>
    </row>
    <row r="21" spans="1:12" s="2" customFormat="1" ht="15" customHeight="1">
      <c r="A21" s="12">
        <v>2</v>
      </c>
      <c r="B21" s="10" t="str">
        <f>LIDER!G44</f>
        <v>CAROL VIVIAN CALDERA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4.5500000000000007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JESUS DAVID MONTIEL CUETO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4.5500000000000007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4.5500000000000007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78</v>
      </c>
      <c r="C26" s="88" t="s">
        <v>110</v>
      </c>
      <c r="D26" s="32" t="str">
        <f>D19</f>
        <v>LIST</v>
      </c>
      <c r="E26" s="89" t="s">
        <v>106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EDUARDO LUIS GÓMEZ PEREZ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3.7700000000000005</v>
      </c>
      <c r="F27" s="200">
        <v>3.8</v>
      </c>
      <c r="G27" s="197">
        <v>3.8</v>
      </c>
      <c r="H27" s="195">
        <v>3.5</v>
      </c>
      <c r="I27" s="197">
        <v>3.5</v>
      </c>
      <c r="J27" s="195">
        <v>3.5</v>
      </c>
      <c r="K27" s="197">
        <v>3.5</v>
      </c>
      <c r="L27" s="195">
        <v>5</v>
      </c>
    </row>
    <row r="28" spans="1:12" s="2" customFormat="1" ht="15" customHeight="1">
      <c r="A28" s="12">
        <v>2</v>
      </c>
      <c r="B28" s="10" t="str">
        <f>LIDER!H44</f>
        <v>STIVEN JAVIER HOYOS DIAS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3.7700000000000005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JORGE ANDRES NIÑO SERRANO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3.7700000000000005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JESSENIA PEREZ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3.7700000000000005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DANIELA RAMIREZ QUIROZ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3.7700000000000005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EMMANUEL ENRIQUE RUIZ DIAZ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3.7700000000000005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80</v>
      </c>
      <c r="C33" s="88" t="s">
        <v>111</v>
      </c>
      <c r="D33" s="32" t="str">
        <f>D26</f>
        <v>LIST</v>
      </c>
      <c r="E33" s="89" t="s">
        <v>106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DIEGO ALEJANDRO CANCIO POLO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3.9000000000000004</v>
      </c>
      <c r="F34" s="200">
        <v>3.5</v>
      </c>
      <c r="G34" s="197">
        <v>4</v>
      </c>
      <c r="H34" s="195">
        <v>4</v>
      </c>
      <c r="I34" s="197">
        <v>3.5</v>
      </c>
      <c r="J34" s="195">
        <v>3.5</v>
      </c>
      <c r="K34" s="197">
        <v>4</v>
      </c>
      <c r="L34" s="195">
        <v>5</v>
      </c>
    </row>
    <row r="35" spans="1:12" s="2" customFormat="1" ht="15" customHeight="1">
      <c r="A35" s="12">
        <v>2</v>
      </c>
      <c r="B35" s="10" t="str">
        <f>LIDER!E52</f>
        <v>ISAAC DAVID DE AVILA CABEZA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3.9000000000000004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ADRIANA LUCIA DIAZ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3.9000000000000004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LEVI MATURANA AGUALIMPIA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3.9000000000000004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AYSA IVANNA SEK PÉREZ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3.9000000000000004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82</v>
      </c>
      <c r="C40" s="88" t="s">
        <v>112</v>
      </c>
      <c r="D40" s="32" t="str">
        <f>D33</f>
        <v>LIST</v>
      </c>
      <c r="E40" s="89" t="s">
        <v>106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YENIFFER MICHELL ACUÑA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3.27</v>
      </c>
      <c r="F41" s="200">
        <v>3.3</v>
      </c>
      <c r="G41" s="197">
        <v>3.3</v>
      </c>
      <c r="H41" s="195">
        <v>3.5</v>
      </c>
      <c r="I41" s="197">
        <v>3.5</v>
      </c>
      <c r="J41" s="195">
        <v>3.5</v>
      </c>
      <c r="K41" s="197">
        <v>2</v>
      </c>
      <c r="L41" s="195">
        <v>5</v>
      </c>
    </row>
    <row r="42" spans="1:12" s="2" customFormat="1" ht="15" customHeight="1">
      <c r="A42" s="12">
        <v>2</v>
      </c>
      <c r="B42" s="10" t="str">
        <f>LIDER!F52</f>
        <v>JESUS MIGUEL OVIEDO GARCIA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3.27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JULIÁN ANDRÉS TABORDA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3.27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JENIFER VANESSA TORRES JUNCO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3.27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NELSON DAVID VANEGAS RIVEROS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3.27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GERDALYS VARELA NARVAEZ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3.27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84</v>
      </c>
      <c r="C47" s="88" t="s">
        <v>113</v>
      </c>
      <c r="D47" s="32" t="str">
        <f>D40</f>
        <v>LIST</v>
      </c>
      <c r="E47" s="89" t="s">
        <v>106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ANGEL DE JESUS ARZUZA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</v>
      </c>
      <c r="F48" s="200">
        <v>3.5</v>
      </c>
      <c r="G48" s="197">
        <v>4</v>
      </c>
      <c r="H48" s="195">
        <v>4</v>
      </c>
      <c r="I48" s="197">
        <v>4</v>
      </c>
      <c r="J48" s="195">
        <v>4</v>
      </c>
      <c r="K48" s="197">
        <v>4</v>
      </c>
      <c r="L48" s="195">
        <v>5</v>
      </c>
    </row>
    <row r="49" spans="1:12" s="2" customFormat="1" ht="15" customHeight="1">
      <c r="A49" s="12">
        <v>2</v>
      </c>
      <c r="B49" s="10" t="str">
        <f>LIDER!G52</f>
        <v>JUAN CAMILO FLOREZ VERTEL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LAURA SOFIA MENDOZA GONZÁLEZ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SEBASTIAN RAMIREZ MONSALVE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86</v>
      </c>
      <c r="C54" s="88" t="s">
        <v>114</v>
      </c>
      <c r="D54" s="32" t="str">
        <f>D47</f>
        <v>LIST</v>
      </c>
      <c r="E54" s="89" t="s">
        <v>106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CARLOS MARIO DE LEÓN CASTILLO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4.5500000000000007</v>
      </c>
      <c r="F55" s="200">
        <v>4.5</v>
      </c>
      <c r="G55" s="197">
        <v>4.5</v>
      </c>
      <c r="H55" s="195">
        <v>4.5</v>
      </c>
      <c r="I55" s="197">
        <v>4.5</v>
      </c>
      <c r="J55" s="195">
        <v>4.5</v>
      </c>
      <c r="K55" s="197">
        <v>4.5</v>
      </c>
      <c r="L55" s="195">
        <v>5</v>
      </c>
    </row>
    <row r="56" spans="1:12" s="2" customFormat="1" ht="15" customHeight="1">
      <c r="A56" s="12">
        <v>2</v>
      </c>
      <c r="B56" s="10" t="str">
        <f>LIDER!H52</f>
        <v>ANA KARINA GONZALEZ ROBLES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4.5500000000000007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LIZBELIA DEL CARMEN MARTINEZ PUELLO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4.5500000000000007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CLAUDIMAR DEL CARMEN RUIZ PEREZ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4.5500000000000007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KELLY YOHANA YEPES FLORIAN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4.5500000000000007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88</v>
      </c>
      <c r="C61" s="88" t="s">
        <v>115</v>
      </c>
      <c r="D61" s="32" t="str">
        <f>D54</f>
        <v>LIST</v>
      </c>
      <c r="E61" s="89" t="s">
        <v>106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90</v>
      </c>
      <c r="C68" s="88" t="s">
        <v>116</v>
      </c>
      <c r="D68" s="32" t="str">
        <f>D61</f>
        <v>LIST</v>
      </c>
      <c r="E68" s="89" t="s">
        <v>106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92</v>
      </c>
      <c r="C75" s="88" t="s">
        <v>117</v>
      </c>
      <c r="D75" s="32" t="str">
        <f>D68</f>
        <v>LIST</v>
      </c>
      <c r="E75" s="89" t="s">
        <v>106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94</v>
      </c>
      <c r="C82" s="88" t="s">
        <v>118</v>
      </c>
      <c r="D82" s="32" t="str">
        <f>D75</f>
        <v>LIST</v>
      </c>
      <c r="E82" s="89" t="s">
        <v>106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D17" sqref="D17"/>
      <selection pane="bottomLeft" activeCell="D17" sqref="D17"/>
      <selection pane="topRight" activeCell="D17" sqref="D1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LIDER!H4</f>
        <v>ELECTIVA LIBRE SOCIOHUMANÍ II</v>
      </c>
      <c r="C2" s="82"/>
      <c r="D2" s="3"/>
      <c r="F2" s="205" t="s">
        <v>102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CONCATENATE(LIDER!H4," - ",LIDER!H6," - ",LIDER!H5)</f>
        <v>ELECTIVA LIBRE SOCIOHUMANÍ II - 2247 - JOHAN RAFAEL HURTADO CASTRO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72</v>
      </c>
      <c r="C5" s="88" t="s">
        <v>104</v>
      </c>
      <c r="D5" s="32" t="s">
        <v>105</v>
      </c>
      <c r="E5" s="89" t="s">
        <v>106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LIEEN CAROLINA FERNANDEZ ARIZA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KEYNER FABIAN HERRERA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IRAMA ALEXANDRA JARAMILLO GARCIA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HELEN MARIA NAVARRO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74</v>
      </c>
      <c r="C12" s="88" t="s">
        <v>108</v>
      </c>
      <c r="D12" s="32" t="str">
        <f>D5</f>
        <v>LIST</v>
      </c>
      <c r="E12" s="89" t="s">
        <v>106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LUIS MARIO ACOSTA MORENO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DANIELA ALEJANDRA CASTRO VARGAS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MARIA ALEJANDRA MARQUEZ MANGA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SANTIAGO ANDRES RODRIGUEZ HIGUITA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DAYANNA MICHELLE CAPACHERO DIAZ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76</v>
      </c>
      <c r="C19" s="88" t="s">
        <v>109</v>
      </c>
      <c r="D19" s="32" t="str">
        <f>D12</f>
        <v>LIST</v>
      </c>
      <c r="E19" s="89" t="s">
        <v>106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LAUREEN ALEJANDRA ACOSTA LOPEZ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 t="str">
        <f>LIDER!G44</f>
        <v>CAROL VIVIAN CALDERA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JESUS DAVID MONTIEL CUETO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78</v>
      </c>
      <c r="C26" s="88" t="s">
        <v>110</v>
      </c>
      <c r="D26" s="32" t="str">
        <f>D19</f>
        <v>LIST</v>
      </c>
      <c r="E26" s="89" t="s">
        <v>106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EDUARDO LUIS GÓMEZ PEREZ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 t="str">
        <f>LIDER!H44</f>
        <v>STIVEN JAVIER HOYOS DIAS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JORGE ANDRES NIÑO SERRANO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JESSENIA PEREZ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DANIELA RAMIREZ QUIROZ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EMMANUEL ENRIQUE RUIZ DIAZ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80</v>
      </c>
      <c r="C33" s="88" t="s">
        <v>111</v>
      </c>
      <c r="D33" s="32" t="str">
        <f>D26</f>
        <v>LIST</v>
      </c>
      <c r="E33" s="89" t="s">
        <v>106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DIEGO ALEJANDRO CANCIO POLO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 t="str">
        <f>LIDER!E52</f>
        <v>ISAAC DAVID DE AVILA CABEZA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ADRIANA LUCIA DIAZ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LEVI MATURANA AGUALIMPIA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AYSA IVANNA SEK PÉREZ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82</v>
      </c>
      <c r="C40" s="88" t="s">
        <v>112</v>
      </c>
      <c r="D40" s="32" t="str">
        <f>D33</f>
        <v>LIST</v>
      </c>
      <c r="E40" s="89" t="s">
        <v>106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YENIFFER MICHELL ACUÑA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 t="str">
        <f>LIDER!F52</f>
        <v>JESUS MIGUEL OVIEDO GARCIA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JULIÁN ANDRÉS TABORDA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JENIFER VANESSA TORRES JUNCO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NELSON DAVID VANEGAS RIVEROS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GERDALYS VARELA NARVAEZ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84</v>
      </c>
      <c r="C47" s="88" t="s">
        <v>113</v>
      </c>
      <c r="D47" s="32" t="str">
        <f>D40</f>
        <v>LIST</v>
      </c>
      <c r="E47" s="89" t="s">
        <v>106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ANGEL DE JESUS ARZUZA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 t="str">
        <f>LIDER!G52</f>
        <v>JUAN CAMILO FLOREZ VERTEL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LAURA SOFIA MENDOZA GONZÁLEZ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SEBASTIAN RAMIREZ MONSALVE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86</v>
      </c>
      <c r="C54" s="88" t="s">
        <v>114</v>
      </c>
      <c r="D54" s="32" t="str">
        <f>D47</f>
        <v>LIST</v>
      </c>
      <c r="E54" s="89" t="s">
        <v>106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CARLOS MARIO DE LEÓN CASTILLO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 t="str">
        <f>LIDER!H52</f>
        <v>ANA KARINA GONZALEZ ROBLES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LIZBELIA DEL CARMEN MARTINEZ PUELLO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CLAUDIMAR DEL CARMEN RUIZ PEREZ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KELLY YOHANA YEPES FLORIAN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88</v>
      </c>
      <c r="C61" s="88" t="s">
        <v>115</v>
      </c>
      <c r="D61" s="32" t="str">
        <f>D54</f>
        <v>LIST</v>
      </c>
      <c r="E61" s="89" t="s">
        <v>106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90</v>
      </c>
      <c r="C68" s="88" t="s">
        <v>116</v>
      </c>
      <c r="D68" s="32" t="str">
        <f>D61</f>
        <v>LIST</v>
      </c>
      <c r="E68" s="89" t="s">
        <v>106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92</v>
      </c>
      <c r="C75" s="88" t="s">
        <v>117</v>
      </c>
      <c r="D75" s="32" t="str">
        <f>D68</f>
        <v>LIST</v>
      </c>
      <c r="E75" s="89" t="s">
        <v>106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94</v>
      </c>
      <c r="C82" s="88" t="s">
        <v>118</v>
      </c>
      <c r="D82" s="32" t="str">
        <f>D75</f>
        <v>LIST</v>
      </c>
      <c r="E82" s="89" t="s">
        <v>106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104" activePane="bottomRight" state="frozen"/>
      <selection pane="bottomRight" activeCell="D17" sqref="D17"/>
      <selection pane="bottomLeft" activeCell="D17" sqref="D17"/>
      <selection pane="topRight" activeCell="D17" sqref="D1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205" t="s">
        <v>102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CONCATENATE(LIDER!I4," - ",LIDER!I6," - ",LIDER!I5)</f>
        <v xml:space="preserve"> -  - 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72</v>
      </c>
      <c r="C5" s="88" t="s">
        <v>104</v>
      </c>
      <c r="D5" s="32" t="s">
        <v>105</v>
      </c>
      <c r="E5" s="89" t="s">
        <v>106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LIEEN CAROLINA FERNANDEZ ARIZA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KEYNER FABIAN HERRERA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IRAMA ALEXANDRA JARAMILLO GARCIA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HELEN MARIA NAVARRO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74</v>
      </c>
      <c r="C12" s="88" t="s">
        <v>108</v>
      </c>
      <c r="D12" s="32" t="str">
        <f>D5</f>
        <v>LIST</v>
      </c>
      <c r="E12" s="89" t="s">
        <v>106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LUIS MARIO ACOSTA MORENO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DANIELA ALEJANDRA CASTRO VARGAS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MARIA ALEJANDRA MARQUEZ MANGA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SANTIAGO ANDRES RODRIGUEZ HIGUITA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DAYANNA MICHELLE CAPACHERO DIAZ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76</v>
      </c>
      <c r="C19" s="88" t="s">
        <v>109</v>
      </c>
      <c r="D19" s="32" t="str">
        <f>D12</f>
        <v>LIST</v>
      </c>
      <c r="E19" s="89" t="s">
        <v>106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LAUREEN ALEJANDRA ACOSTA LOPEZ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 t="str">
        <f>LIDER!G44</f>
        <v>CAROL VIVIAN CALDERA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JESUS DAVID MONTIEL CUETO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78</v>
      </c>
      <c r="C26" s="88" t="s">
        <v>110</v>
      </c>
      <c r="D26" s="32" t="str">
        <f>D19</f>
        <v>LIST</v>
      </c>
      <c r="E26" s="89" t="s">
        <v>106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EDUARDO LUIS GÓMEZ PEREZ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 t="str">
        <f>LIDER!H44</f>
        <v>STIVEN JAVIER HOYOS DIAS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JORGE ANDRES NIÑO SERRANO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JESSENIA PEREZ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DANIELA RAMIREZ QUIROZ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EMMANUEL ENRIQUE RUIZ DIAZ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80</v>
      </c>
      <c r="C33" s="88" t="s">
        <v>111</v>
      </c>
      <c r="D33" s="32" t="str">
        <f>D26</f>
        <v>LIST</v>
      </c>
      <c r="E33" s="89" t="s">
        <v>106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DIEGO ALEJANDRO CANCIO POLO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 t="str">
        <f>LIDER!E52</f>
        <v>ISAAC DAVID DE AVILA CABEZA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ADRIANA LUCIA DIAZ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LEVI MATURANA AGUALIMPIA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AYSA IVANNA SEK PÉREZ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82</v>
      </c>
      <c r="C40" s="88" t="s">
        <v>112</v>
      </c>
      <c r="D40" s="32" t="str">
        <f>D33</f>
        <v>LIST</v>
      </c>
      <c r="E40" s="89" t="s">
        <v>106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YENIFFER MICHELL ACUÑA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 t="str">
        <f>LIDER!F52</f>
        <v>JESUS MIGUEL OVIEDO GARCIA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JULIÁN ANDRÉS TABORDA LEÓN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JENIFER VANESSA TORRES JUNCO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NELSON DAVID VANEGAS RIVEROS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GERDALYS VARELA NARVAEZ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84</v>
      </c>
      <c r="C47" s="88" t="s">
        <v>113</v>
      </c>
      <c r="D47" s="32" t="str">
        <f>D40</f>
        <v>LIST</v>
      </c>
      <c r="E47" s="89" t="s">
        <v>106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ANGEL DE JESUS ARZUZA PEREZ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 t="str">
        <f>LIDER!G52</f>
        <v>JUAN CAMILO FLOREZ VERTEL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LAURA SOFIA MENDOZA GONZÁLEZ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SEBASTIAN RAMIREZ MONSALVE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86</v>
      </c>
      <c r="C54" s="88" t="s">
        <v>114</v>
      </c>
      <c r="D54" s="32" t="str">
        <f>D47</f>
        <v>LIST</v>
      </c>
      <c r="E54" s="89" t="s">
        <v>106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CARLOS MARIO DE LEÓN CASTILLO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 t="str">
        <f>LIDER!H52</f>
        <v>ANA KARINA GONZALEZ ROBLES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LIZBELIA DEL CARMEN MARTINEZ PUELLO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CLAUDIMAR DEL CARMEN RUIZ PEREZ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KELLY YOHANA YEPES FLORIAN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88</v>
      </c>
      <c r="C61" s="88" t="s">
        <v>115</v>
      </c>
      <c r="D61" s="32" t="str">
        <f>D54</f>
        <v>LIST</v>
      </c>
      <c r="E61" s="89" t="s">
        <v>106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90</v>
      </c>
      <c r="C68" s="88" t="s">
        <v>116</v>
      </c>
      <c r="D68" s="32" t="str">
        <f>D61</f>
        <v>LIST</v>
      </c>
      <c r="E68" s="89" t="s">
        <v>106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92</v>
      </c>
      <c r="C75" s="88" t="s">
        <v>117</v>
      </c>
      <c r="D75" s="32" t="str">
        <f>D68</f>
        <v>LIST</v>
      </c>
      <c r="E75" s="89" t="s">
        <v>106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94</v>
      </c>
      <c r="C82" s="88" t="s">
        <v>118</v>
      </c>
      <c r="D82" s="32" t="str">
        <f>D75</f>
        <v>LIST</v>
      </c>
      <c r="E82" s="89" t="s">
        <v>106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tabSelected="1" workbookViewId="0">
      <pane xSplit="4" ySplit="3" topLeftCell="E53" activePane="bottomRight" state="frozen"/>
      <selection pane="bottomRight" activeCell="J55" sqref="J55:J59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INNOVACION Y EMPRENDIMIENTO</v>
      </c>
      <c r="C2" s="3"/>
      <c r="E2" s="210" t="s">
        <v>102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CONCATENATE(LIDER!C4," - ",LIDER!C6," - ",LIDER!C5)</f>
        <v>INNOVACION Y EMPRENDIMIENTO - 2445 - HUMBERTO SANCHEZ DRAGO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72</v>
      </c>
      <c r="C5" s="32" t="str">
        <f>IF('S-ASIG-01'!D5="","",'S-ASIG-01'!D5)</f>
        <v>LIST</v>
      </c>
      <c r="D5" s="35" t="s">
        <v>106</v>
      </c>
      <c r="E5" s="213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LIEEN CAROLINA FERNANDEZ ARIZA</v>
      </c>
      <c r="C6" s="33" t="str">
        <f>IF('S-ASIG-01'!D6="","",'S-ASIG-01'!D6)</f>
        <v>N</v>
      </c>
      <c r="D6" s="30" t="str">
        <f>IF(B6=0,"",IF(C6="",$E$6*LIDER!$H$19+F6*LIDER!$H$20+G6*LIDER!$H$21+H6*LIDER!$H$22+I6*LIDER!$H$23+J6*LIDER!$H$24+K6*LIDER!$H$25,"N"))</f>
        <v>N</v>
      </c>
      <c r="E6" s="209">
        <v>4.5</v>
      </c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KEYNER FABIAN HERRERA CASTILLA</v>
      </c>
      <c r="C7" s="33" t="str">
        <f>IF('S-ASIG-01'!D7="","",'S-ASIG-01'!D7)</f>
        <v>N</v>
      </c>
      <c r="D7" s="30" t="str">
        <f>IF(B7=0,"",IF(C7="",$E$6*LIDER!$H$19+F7*LIDER!$H$20+G7*LIDER!$H$21+H7*LIDER!$H$22+I7*LIDER!$H$23+J7*LIDER!$H$24+K7*LIDER!$H$25,"N"))</f>
        <v>N</v>
      </c>
      <c r="E7" s="20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IRAMA ALEXANDRA JARAMILLO GARCIA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4.75</v>
      </c>
      <c r="E8" s="209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>
        <v>5</v>
      </c>
    </row>
    <row r="9" spans="1:11" s="2" customFormat="1" ht="15" customHeight="1">
      <c r="A9" s="12">
        <v>4</v>
      </c>
      <c r="B9" s="28" t="str">
        <f>LIDER!E46</f>
        <v>HELEN MARIA NAVARRO HERNANDEZ</v>
      </c>
      <c r="C9" s="33" t="str">
        <f>IF('S-ASIG-01'!D9="","",'S-ASIG-01'!D9)</f>
        <v>N</v>
      </c>
      <c r="D9" s="30" t="str">
        <f>IF(B9=0,"",IF(C9="",$E$6*LIDER!$H$19+F9*LIDER!$H$20+G9*LIDER!$H$21+H9*LIDER!$H$22+I9*LIDER!$H$23+J9*LIDER!$H$24+K9*LIDER!$H$25,"N"))</f>
        <v>N</v>
      </c>
      <c r="E9" s="20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IF('S-ASIG-01'!D12="","",'S-ASIG-01'!D12)</f>
        <v>LIST</v>
      </c>
      <c r="D12" s="35" t="s">
        <v>106</v>
      </c>
      <c r="E12" s="213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LUIS MARIO ACOSTA MORENO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4.75</v>
      </c>
      <c r="E13" s="209">
        <v>4.5</v>
      </c>
      <c r="F13" s="24">
        <v>5</v>
      </c>
      <c r="G13" s="24">
        <v>5</v>
      </c>
      <c r="H13" s="24">
        <v>5</v>
      </c>
      <c r="I13" s="24">
        <v>5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>DANIELA ALEJANDRA CASTRO VARGAS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4.75</v>
      </c>
      <c r="E14" s="209"/>
      <c r="F14" s="18">
        <v>5</v>
      </c>
      <c r="G14" s="18">
        <v>5</v>
      </c>
      <c r="H14" s="18">
        <v>5</v>
      </c>
      <c r="I14" s="18">
        <v>5</v>
      </c>
      <c r="J14" s="18">
        <v>5</v>
      </c>
      <c r="K14" s="18"/>
    </row>
    <row r="15" spans="1:11" s="2" customFormat="1" ht="15" customHeight="1">
      <c r="A15" s="12">
        <v>3</v>
      </c>
      <c r="B15" s="28" t="str">
        <f>LIDER!F45</f>
        <v>MARIA ALEJANDRA MARQUEZ MANGA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4.75</v>
      </c>
      <c r="E15" s="209"/>
      <c r="F15" s="18">
        <v>5</v>
      </c>
      <c r="G15" s="18">
        <v>5</v>
      </c>
      <c r="H15" s="18">
        <v>5</v>
      </c>
      <c r="I15" s="18">
        <v>5</v>
      </c>
      <c r="J15" s="18">
        <v>5</v>
      </c>
      <c r="K15" s="18"/>
    </row>
    <row r="16" spans="1:11" s="2" customFormat="1" ht="15" customHeight="1">
      <c r="A16" s="12">
        <v>4</v>
      </c>
      <c r="B16" s="28" t="str">
        <f>LIDER!F46</f>
        <v>SANTIAGO ANDRES RODRIGUEZ HIGUITA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4.75</v>
      </c>
      <c r="E16" s="209"/>
      <c r="F16" s="18">
        <v>5</v>
      </c>
      <c r="G16" s="18">
        <v>5</v>
      </c>
      <c r="H16" s="18">
        <v>5</v>
      </c>
      <c r="I16" s="18">
        <v>5</v>
      </c>
      <c r="J16" s="18">
        <v>5</v>
      </c>
      <c r="K16" s="18"/>
    </row>
    <row r="17" spans="1:11" s="2" customFormat="1" ht="15" customHeight="1">
      <c r="A17" s="12">
        <v>5</v>
      </c>
      <c r="B17" s="28" t="str">
        <f>LIDER!F47</f>
        <v>DAYANNA MICHELLE CAPACHERO DIAZ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4.75</v>
      </c>
      <c r="E17" s="209"/>
      <c r="F17" s="18">
        <v>5</v>
      </c>
      <c r="G17" s="18">
        <v>5</v>
      </c>
      <c r="H17" s="18">
        <v>5</v>
      </c>
      <c r="I17" s="18">
        <v>5</v>
      </c>
      <c r="J17" s="18">
        <v>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IF('S-ASIG-01'!D19="","",'S-ASIG-01'!D19)</f>
        <v>LIST</v>
      </c>
      <c r="D19" s="35" t="s">
        <v>106</v>
      </c>
      <c r="E19" s="213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LAUREEN ALEJANDRA ACOSTA LOPEZ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4.9000000000000004</v>
      </c>
      <c r="E20" s="209">
        <v>4.8</v>
      </c>
      <c r="F20" s="24">
        <v>5</v>
      </c>
      <c r="G20" s="24">
        <v>5</v>
      </c>
      <c r="H20" s="24">
        <v>5</v>
      </c>
      <c r="I20" s="24">
        <v>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CAROL VIVIAN CALDERA PUELLO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4.9000000000000004</v>
      </c>
      <c r="E21" s="209"/>
      <c r="F21" s="18">
        <v>5</v>
      </c>
      <c r="G21" s="18">
        <v>5</v>
      </c>
      <c r="H21" s="18">
        <v>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JESUS DAVID MONTIEL CUETO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4.9000000000000004</v>
      </c>
      <c r="E22" s="209"/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4.9000000000000004</v>
      </c>
      <c r="E23" s="209"/>
      <c r="F23" s="18">
        <v>5</v>
      </c>
      <c r="G23" s="18">
        <v>5</v>
      </c>
      <c r="H23" s="18">
        <v>5</v>
      </c>
      <c r="I23" s="18">
        <v>5</v>
      </c>
      <c r="J23" s="18">
        <v>5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IF('S-ASIG-01'!D26="","",'S-ASIG-01'!D26)</f>
        <v>LIST</v>
      </c>
      <c r="D26" s="35" t="s">
        <v>106</v>
      </c>
      <c r="E26" s="213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EDUARDO LUIS GÓMEZ PEREZ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4.8499999999999996</v>
      </c>
      <c r="E27" s="209">
        <v>4.7</v>
      </c>
      <c r="F27" s="24">
        <v>5</v>
      </c>
      <c r="G27" s="24">
        <v>5</v>
      </c>
      <c r="H27" s="24">
        <v>5</v>
      </c>
      <c r="I27" s="24">
        <v>5</v>
      </c>
      <c r="J27" s="24">
        <v>5</v>
      </c>
      <c r="K27" s="24"/>
    </row>
    <row r="28" spans="1:11" s="2" customFormat="1" ht="15" customHeight="1">
      <c r="A28" s="12">
        <v>2</v>
      </c>
      <c r="B28" s="28" t="str">
        <f>LIDER!H44</f>
        <v>STIVEN JAVIER HOYOS DIAS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4.8499999999999996</v>
      </c>
      <c r="E28" s="209"/>
      <c r="F28" s="18">
        <v>5</v>
      </c>
      <c r="G28" s="18">
        <v>5</v>
      </c>
      <c r="H28" s="18">
        <v>5</v>
      </c>
      <c r="I28" s="18">
        <v>5</v>
      </c>
      <c r="J28" s="18">
        <v>5</v>
      </c>
      <c r="K28" s="18"/>
    </row>
    <row r="29" spans="1:11" s="2" customFormat="1" ht="15" customHeight="1">
      <c r="A29" s="12">
        <v>3</v>
      </c>
      <c r="B29" s="28" t="str">
        <f>LIDER!H45</f>
        <v>JORGE ANDRES NIÑO SERRANO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4.8499999999999996</v>
      </c>
      <c r="E29" s="209"/>
      <c r="F29" s="18">
        <v>5</v>
      </c>
      <c r="G29" s="18">
        <v>5</v>
      </c>
      <c r="H29" s="18">
        <v>5</v>
      </c>
      <c r="I29" s="18">
        <v>5</v>
      </c>
      <c r="J29" s="18">
        <v>5</v>
      </c>
      <c r="K29" s="18"/>
    </row>
    <row r="30" spans="1:11" s="2" customFormat="1" ht="15" customHeight="1">
      <c r="A30" s="12">
        <v>4</v>
      </c>
      <c r="B30" s="28" t="str">
        <f>LIDER!H46</f>
        <v>JESSENIA PEREZ GARCIA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4.8499999999999996</v>
      </c>
      <c r="E30" s="209"/>
      <c r="F30" s="18">
        <v>5</v>
      </c>
      <c r="G30" s="18">
        <v>5</v>
      </c>
      <c r="H30" s="18">
        <v>5</v>
      </c>
      <c r="I30" s="18">
        <v>5</v>
      </c>
      <c r="J30" s="18">
        <v>5</v>
      </c>
      <c r="K30" s="18"/>
    </row>
    <row r="31" spans="1:11" s="2" customFormat="1" ht="15" customHeight="1">
      <c r="A31" s="12">
        <v>5</v>
      </c>
      <c r="B31" s="28" t="str">
        <f>LIDER!H47</f>
        <v>DANIELA RAMIREZ QUIROZ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4.8499999999999996</v>
      </c>
      <c r="E31" s="209"/>
      <c r="F31" s="18">
        <v>5</v>
      </c>
      <c r="G31" s="18">
        <v>5</v>
      </c>
      <c r="H31" s="18">
        <v>5</v>
      </c>
      <c r="I31" s="18">
        <v>5</v>
      </c>
      <c r="J31" s="18">
        <v>5</v>
      </c>
      <c r="K31" s="18"/>
    </row>
    <row r="32" spans="1:11" s="2" customFormat="1" ht="15.75" customHeight="1" thickBot="1">
      <c r="A32" s="13">
        <v>6</v>
      </c>
      <c r="B32" s="28" t="str">
        <f>LIDER!H48</f>
        <v>EMMANUEL ENRIQUE RUIZ DIAZ</v>
      </c>
      <c r="C32" s="33" t="str">
        <f>IF('S-ASIG-01'!D32="","",'S-ASIG-01'!D32)</f>
        <v/>
      </c>
      <c r="D32" s="30">
        <f>IF(B32=0,"",IF(C32="",$E$27*LIDER!$H$19+F32*LIDER!$H$20+G32*LIDER!$H$21+H32*LIDER!$H$22+I32*LIDER!$H$23+J32*LIDER!$H$24+K32*LIDER!$H$25,"N"))</f>
        <v>2.35</v>
      </c>
      <c r="E32" s="20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IF('S-ASIG-01'!D33="","",'S-ASIG-01'!D33)</f>
        <v>LIST</v>
      </c>
      <c r="D33" s="35" t="s">
        <v>106</v>
      </c>
      <c r="E33" s="213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DIEGO ALEJANDRO CANCIO POLO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4.8</v>
      </c>
      <c r="E34" s="209">
        <v>4.5999999999999996</v>
      </c>
      <c r="F34" s="24">
        <v>5</v>
      </c>
      <c r="G34" s="24">
        <v>5</v>
      </c>
      <c r="H34" s="24">
        <v>5</v>
      </c>
      <c r="I34" s="24">
        <v>5</v>
      </c>
      <c r="J34" s="24">
        <v>5</v>
      </c>
      <c r="K34" s="24"/>
    </row>
    <row r="35" spans="1:11" s="2" customFormat="1" ht="15" customHeight="1">
      <c r="A35" s="12">
        <v>2</v>
      </c>
      <c r="B35" s="28" t="str">
        <f>LIDER!E52</f>
        <v>ISAAC DAVID DE AVILA CABEZA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4.8</v>
      </c>
      <c r="E35" s="209"/>
      <c r="F35" s="18">
        <v>5</v>
      </c>
      <c r="G35" s="18">
        <v>5</v>
      </c>
      <c r="H35" s="18">
        <v>5</v>
      </c>
      <c r="I35" s="18">
        <v>5</v>
      </c>
      <c r="J35" s="18">
        <v>5</v>
      </c>
      <c r="K35" s="18"/>
    </row>
    <row r="36" spans="1:11" s="2" customFormat="1" ht="15" customHeight="1">
      <c r="A36" s="12">
        <v>3</v>
      </c>
      <c r="B36" s="28" t="str">
        <f>LIDER!E53</f>
        <v>ADRIANA LUCIA DIAZ MORENO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4.8</v>
      </c>
      <c r="E36" s="209"/>
      <c r="F36" s="18">
        <v>5</v>
      </c>
      <c r="G36" s="18">
        <v>5</v>
      </c>
      <c r="H36" s="18">
        <v>5</v>
      </c>
      <c r="I36" s="18">
        <v>5</v>
      </c>
      <c r="J36" s="18">
        <v>5</v>
      </c>
      <c r="K36" s="18"/>
    </row>
    <row r="37" spans="1:11" s="2" customFormat="1" ht="15" customHeight="1">
      <c r="A37" s="12">
        <v>4</v>
      </c>
      <c r="B37" s="28" t="str">
        <f>LIDER!E54</f>
        <v>LEVI MATURANA AGUALIMPIA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4.8</v>
      </c>
      <c r="E37" s="209"/>
      <c r="F37" s="18">
        <v>5</v>
      </c>
      <c r="G37" s="18">
        <v>5</v>
      </c>
      <c r="H37" s="18">
        <v>5</v>
      </c>
      <c r="I37" s="18">
        <v>5</v>
      </c>
      <c r="J37" s="18">
        <v>5</v>
      </c>
      <c r="K37" s="18"/>
    </row>
    <row r="38" spans="1:11" s="2" customFormat="1" ht="15" customHeight="1">
      <c r="A38" s="12">
        <v>5</v>
      </c>
      <c r="B38" s="28" t="str">
        <f>LIDER!E55</f>
        <v>AYSA IVANNA SEK PÉREZ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4.8</v>
      </c>
      <c r="E38" s="209"/>
      <c r="F38" s="18">
        <v>5</v>
      </c>
      <c r="G38" s="18">
        <v>5</v>
      </c>
      <c r="H38" s="18">
        <v>5</v>
      </c>
      <c r="I38" s="18">
        <v>5</v>
      </c>
      <c r="J38" s="18">
        <v>5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IF('S-ASIG-01'!D40="","",'S-ASIG-01'!D40)</f>
        <v>LIST</v>
      </c>
      <c r="D40" s="35" t="s">
        <v>106</v>
      </c>
      <c r="E40" s="213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YENIFFER MICHELL ACUÑA PEREZ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4.75</v>
      </c>
      <c r="E41" s="209">
        <v>4.5</v>
      </c>
      <c r="F41" s="24">
        <v>5</v>
      </c>
      <c r="G41" s="24">
        <v>5</v>
      </c>
      <c r="H41" s="24">
        <v>5</v>
      </c>
      <c r="I41" s="24">
        <v>5</v>
      </c>
      <c r="J41" s="24">
        <v>5</v>
      </c>
      <c r="K41" s="24"/>
    </row>
    <row r="42" spans="1:11" s="2" customFormat="1" ht="15" customHeight="1">
      <c r="A42" s="12">
        <v>2</v>
      </c>
      <c r="B42" s="28" t="str">
        <f>LIDER!F52</f>
        <v>JESUS MIGUEL OVIEDO GARCIA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4.75</v>
      </c>
      <c r="E42" s="209"/>
      <c r="F42" s="18">
        <v>5</v>
      </c>
      <c r="G42" s="18">
        <v>5</v>
      </c>
      <c r="H42" s="18">
        <v>5</v>
      </c>
      <c r="I42" s="18">
        <v>5</v>
      </c>
      <c r="J42" s="18">
        <v>5</v>
      </c>
      <c r="K42" s="18"/>
    </row>
    <row r="43" spans="1:11" s="2" customFormat="1" ht="15" customHeight="1">
      <c r="A43" s="12">
        <v>3</v>
      </c>
      <c r="B43" s="28" t="str">
        <f>LIDER!F53</f>
        <v>JULIÁN ANDRÉS TABORDA LEÓN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4.75</v>
      </c>
      <c r="E43" s="209"/>
      <c r="F43" s="18">
        <v>5</v>
      </c>
      <c r="G43" s="18">
        <v>5</v>
      </c>
      <c r="H43" s="18">
        <v>5</v>
      </c>
      <c r="I43" s="18">
        <v>5</v>
      </c>
      <c r="J43" s="18">
        <v>5</v>
      </c>
      <c r="K43" s="18"/>
    </row>
    <row r="44" spans="1:11" s="2" customFormat="1" ht="15" customHeight="1">
      <c r="A44" s="12">
        <v>4</v>
      </c>
      <c r="B44" s="28" t="str">
        <f>LIDER!F54</f>
        <v>JENIFER VANESSA TORRES JUNCO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4.75</v>
      </c>
      <c r="E44" s="209"/>
      <c r="F44" s="18">
        <v>5</v>
      </c>
      <c r="G44" s="18">
        <v>5</v>
      </c>
      <c r="H44" s="18">
        <v>5</v>
      </c>
      <c r="I44" s="18">
        <v>5</v>
      </c>
      <c r="J44" s="18">
        <v>5</v>
      </c>
      <c r="K44" s="18"/>
    </row>
    <row r="45" spans="1:11" s="2" customFormat="1" ht="15" customHeight="1">
      <c r="A45" s="12">
        <v>5</v>
      </c>
      <c r="B45" s="28" t="str">
        <f>LIDER!F55</f>
        <v>NELSON DAVID VANEGAS RIVEROS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4.75</v>
      </c>
      <c r="E45" s="209"/>
      <c r="F45" s="18">
        <v>5</v>
      </c>
      <c r="G45" s="18">
        <v>5</v>
      </c>
      <c r="H45" s="18">
        <v>5</v>
      </c>
      <c r="I45" s="18">
        <v>5</v>
      </c>
      <c r="J45" s="18">
        <v>5</v>
      </c>
      <c r="K45" s="18"/>
    </row>
    <row r="46" spans="1:11" s="2" customFormat="1" ht="15.75" customHeight="1" thickBot="1">
      <c r="A46" s="13">
        <v>6</v>
      </c>
      <c r="B46" s="28" t="str">
        <f>LIDER!F56</f>
        <v>GERDALYS VARELA NARVAEZ</v>
      </c>
      <c r="C46" s="33" t="str">
        <f>IF('S-ASIG-01'!D46="","",'S-ASIG-01'!D46)</f>
        <v/>
      </c>
      <c r="D46" s="30">
        <f>IF(B46=0,"",IF(C46="",$E$41*LIDER!$H$19+F46*LIDER!$H$20+G46*LIDER!$H$21+H46*LIDER!$H$22+I46*LIDER!$H$23+J46*LIDER!$H$24+K46*LIDER!$H$25,"N"))</f>
        <v>4.75</v>
      </c>
      <c r="E46" s="209"/>
      <c r="F46" s="26">
        <v>5</v>
      </c>
      <c r="G46" s="26">
        <v>5</v>
      </c>
      <c r="H46" s="26">
        <v>5</v>
      </c>
      <c r="I46" s="26">
        <v>5</v>
      </c>
      <c r="J46" s="26">
        <v>5</v>
      </c>
      <c r="K46" s="26"/>
    </row>
    <row r="47" spans="1:11" s="2" customFormat="1" ht="15.75" customHeight="1" thickBot="1">
      <c r="A47" s="14"/>
      <c r="B47" s="27" t="s">
        <v>84</v>
      </c>
      <c r="C47" s="32" t="str">
        <f>IF('S-ASIG-01'!D47="","",'S-ASIG-01'!D47)</f>
        <v>LIST</v>
      </c>
      <c r="D47" s="35" t="s">
        <v>106</v>
      </c>
      <c r="E47" s="213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ANGEL DE JESUS ARZUZA PEREZ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4.8</v>
      </c>
      <c r="E48" s="209">
        <v>4.5999999999999996</v>
      </c>
      <c r="F48" s="24">
        <v>5</v>
      </c>
      <c r="G48" s="24">
        <v>5</v>
      </c>
      <c r="H48" s="24">
        <v>5</v>
      </c>
      <c r="I48" s="24">
        <v>5</v>
      </c>
      <c r="J48" s="24">
        <v>5</v>
      </c>
      <c r="K48" s="24"/>
    </row>
    <row r="49" spans="1:11" s="2" customFormat="1" ht="15" customHeight="1">
      <c r="A49" s="12">
        <v>2</v>
      </c>
      <c r="B49" s="28" t="str">
        <f>LIDER!G52</f>
        <v>JUAN CAMILO FLOREZ VERTEL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4.8</v>
      </c>
      <c r="E49" s="209"/>
      <c r="F49" s="18">
        <v>5</v>
      </c>
      <c r="G49" s="18">
        <v>5</v>
      </c>
      <c r="H49" s="18">
        <v>5</v>
      </c>
      <c r="I49" s="18">
        <v>5</v>
      </c>
      <c r="J49" s="18">
        <v>5</v>
      </c>
      <c r="K49" s="18"/>
    </row>
    <row r="50" spans="1:11" s="2" customFormat="1" ht="15" customHeight="1">
      <c r="A50" s="12">
        <v>3</v>
      </c>
      <c r="B50" s="28" t="str">
        <f>LIDER!G53</f>
        <v>LAURA SOFIA MENDOZA GONZÁLEZ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4.8</v>
      </c>
      <c r="E50" s="209"/>
      <c r="F50" s="18">
        <v>5</v>
      </c>
      <c r="G50" s="18">
        <v>5</v>
      </c>
      <c r="H50" s="18">
        <v>5</v>
      </c>
      <c r="I50" s="18">
        <v>5</v>
      </c>
      <c r="J50" s="18">
        <v>5</v>
      </c>
      <c r="K50" s="18"/>
    </row>
    <row r="51" spans="1:11" s="2" customFormat="1" ht="15" customHeight="1">
      <c r="A51" s="12">
        <v>4</v>
      </c>
      <c r="B51" s="28" t="str">
        <f>LIDER!G54</f>
        <v>SEBASTIAN RAMIREZ MONSALVE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4.8</v>
      </c>
      <c r="E51" s="209"/>
      <c r="F51" s="18">
        <v>5</v>
      </c>
      <c r="G51" s="18">
        <v>5</v>
      </c>
      <c r="H51" s="18">
        <v>5</v>
      </c>
      <c r="I51" s="18">
        <v>5</v>
      </c>
      <c r="J51" s="18">
        <v>5</v>
      </c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IF('S-ASIG-01'!D54="","",'S-ASIG-01'!D54)</f>
        <v>LIST</v>
      </c>
      <c r="D54" s="35" t="s">
        <v>106</v>
      </c>
      <c r="E54" s="213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CARLOS MARIO DE LEÓN CASTILLO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4.9000000000000004</v>
      </c>
      <c r="E55" s="209">
        <v>4.8</v>
      </c>
      <c r="F55" s="24">
        <v>5</v>
      </c>
      <c r="G55" s="24">
        <v>5</v>
      </c>
      <c r="H55" s="24">
        <v>5</v>
      </c>
      <c r="I55" s="24">
        <v>5</v>
      </c>
      <c r="J55" s="24">
        <v>5</v>
      </c>
      <c r="K55" s="24"/>
    </row>
    <row r="56" spans="1:11" s="2" customFormat="1" ht="15" customHeight="1">
      <c r="A56" s="12">
        <v>2</v>
      </c>
      <c r="B56" s="28" t="str">
        <f>LIDER!H52</f>
        <v>ANA KARINA GONZALEZ ROBLES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4.9000000000000004</v>
      </c>
      <c r="E56" s="209"/>
      <c r="F56" s="18">
        <v>5</v>
      </c>
      <c r="G56" s="18">
        <v>5</v>
      </c>
      <c r="H56" s="18">
        <v>5</v>
      </c>
      <c r="I56" s="18">
        <v>5</v>
      </c>
      <c r="J56" s="18">
        <v>5</v>
      </c>
      <c r="K56" s="18"/>
    </row>
    <row r="57" spans="1:11" s="2" customFormat="1" ht="15" customHeight="1">
      <c r="A57" s="12">
        <v>3</v>
      </c>
      <c r="B57" s="28" t="str">
        <f>LIDER!H53</f>
        <v>LIZBELIA DEL CARMEN MARTINEZ PUELLO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4.9000000000000004</v>
      </c>
      <c r="E57" s="209"/>
      <c r="F57" s="18">
        <v>5</v>
      </c>
      <c r="G57" s="18">
        <v>5</v>
      </c>
      <c r="H57" s="18">
        <v>5</v>
      </c>
      <c r="I57" s="18">
        <v>5</v>
      </c>
      <c r="J57" s="18">
        <v>5</v>
      </c>
      <c r="K57" s="18"/>
    </row>
    <row r="58" spans="1:11" s="2" customFormat="1" ht="15" customHeight="1">
      <c r="A58" s="12">
        <v>4</v>
      </c>
      <c r="B58" s="28" t="str">
        <f>LIDER!H54</f>
        <v>CLAUDIMAR DEL CARMEN RUIZ PEREZ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4.9000000000000004</v>
      </c>
      <c r="E58" s="209"/>
      <c r="F58" s="18">
        <v>5</v>
      </c>
      <c r="G58" s="18">
        <v>5</v>
      </c>
      <c r="H58" s="18">
        <v>5</v>
      </c>
      <c r="I58" s="18">
        <v>5</v>
      </c>
      <c r="J58" s="18">
        <v>5</v>
      </c>
      <c r="K58" s="18"/>
    </row>
    <row r="59" spans="1:11" s="2" customFormat="1" ht="15" customHeight="1">
      <c r="A59" s="12">
        <v>5</v>
      </c>
      <c r="B59" s="28" t="str">
        <f>LIDER!H55</f>
        <v>KELLY YOHANA YEPES FLORIAN</v>
      </c>
      <c r="C59" s="33" t="str">
        <f>IF('S-ASIG-01'!D59="","",'S-ASIG-01'!D59)</f>
        <v/>
      </c>
      <c r="D59" s="30">
        <f>IF(B59=0,"",IF(C59="",$E$55*LIDER!$H$19+F59*LIDER!$H$20+G59*LIDER!$H$21+H59*LIDER!$H$22+I59*LIDER!$H$23+J59*LIDER!$H$24+K59*LIDER!$H$25,"N"))</f>
        <v>4.9000000000000004</v>
      </c>
      <c r="E59" s="209"/>
      <c r="F59" s="18">
        <v>5</v>
      </c>
      <c r="G59" s="18">
        <v>5</v>
      </c>
      <c r="H59" s="18">
        <v>5</v>
      </c>
      <c r="I59" s="18">
        <v>5</v>
      </c>
      <c r="J59" s="18">
        <v>5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IF('S-ASIG-01'!D61="","",'S-ASIG-01'!D61)</f>
        <v>LIST</v>
      </c>
      <c r="D61" s="35" t="s">
        <v>106</v>
      </c>
      <c r="E61" s="213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IF('S-ASIG-01'!D68="","",'S-ASIG-01'!D68)</f>
        <v>LIST</v>
      </c>
      <c r="D68" s="35" t="s">
        <v>106</v>
      </c>
      <c r="E68" s="213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IF('S-ASIG-01'!D75="","",'S-ASIG-01'!D75)</f>
        <v>LIST</v>
      </c>
      <c r="D75" s="35" t="s">
        <v>106</v>
      </c>
      <c r="E75" s="213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IF('S-ASIG-01'!D82="","",'S-ASIG-01'!D82)</f>
        <v>LIST</v>
      </c>
      <c r="D82" s="35" t="s">
        <v>106</v>
      </c>
      <c r="E82" s="213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4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54" activePane="bottomRight" state="frozen"/>
      <selection pane="bottomRight" activeCell="F55" sqref="F55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D.F.I.</v>
      </c>
      <c r="C2" s="3"/>
      <c r="E2" s="210" t="s">
        <v>102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CONCATENATE(LIDER!D4," - ",LIDER!D6," - ",LIDER!D5)</f>
        <v>D.F.I. - 1493 - OMAR JOSE CEDIEL TANG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72</v>
      </c>
      <c r="C5" s="34" t="str">
        <f>IF('S-ASIG-02'!D5="","",'S-ASIG-02'!D5)</f>
        <v>LIST</v>
      </c>
      <c r="D5" s="35" t="s">
        <v>106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LIEEN CAROLINA FERNANDEZ ARIZA</v>
      </c>
      <c r="C6" s="33" t="str">
        <f>IF('S-ASIG-02'!D6="","",'S-ASIG-02'!D6)</f>
        <v>N</v>
      </c>
      <c r="D6" s="30" t="str">
        <f>IF(B6=0,"",IF(C6="",$E$6*LIDER!$H$19+F6*LIDER!$H$20+G6*LIDER!$H$21+H6*LIDER!$H$22+I6*LIDER!$H$23+J6*LIDER!$H$24+K6*LIDER!$H$25,"N"))</f>
        <v>N</v>
      </c>
      <c r="E6" s="197">
        <v>4.8</v>
      </c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KEYNER FABIAN HERRERA CASTILLA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4.9000000000000004</v>
      </c>
      <c r="E7" s="197"/>
      <c r="F7" s="18">
        <v>5</v>
      </c>
      <c r="G7" s="18">
        <v>5</v>
      </c>
      <c r="H7" s="18">
        <v>5</v>
      </c>
      <c r="I7" s="18">
        <v>5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IRAMA ALEXANDRA JARAMILLO GARCIA</v>
      </c>
      <c r="C8" s="33" t="str">
        <f>IF('S-ASIG-02'!D8="","",'S-ASIG-02'!D8)</f>
        <v>N</v>
      </c>
      <c r="D8" s="30" t="str">
        <f>IF(B8=0,"",IF(C8="",$E$6*LIDER!$H$19+F8*LIDER!$H$20+G8*LIDER!$H$21+H8*LIDER!$H$22+I8*LIDER!$H$23+J8*LIDER!$H$24+K8*LIDER!$H$25,"N"))</f>
        <v>N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HELEN MARIA NAVARRO HERNANDEZ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4.9000000000000004</v>
      </c>
      <c r="E9" s="197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IF('S-ASIG-02'!D12="","",'S-ASIG-02'!D12)</f>
        <v>LIST</v>
      </c>
      <c r="D12" s="35" t="s">
        <v>106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LUIS MARIO ACOSTA MORENO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4.9000000000000004</v>
      </c>
      <c r="E13" s="197">
        <v>5</v>
      </c>
      <c r="F13" s="24">
        <v>4.8</v>
      </c>
      <c r="G13" s="24">
        <v>4.8</v>
      </c>
      <c r="H13" s="24">
        <v>4.8</v>
      </c>
      <c r="I13" s="24">
        <v>4.8</v>
      </c>
      <c r="J13" s="24">
        <v>4.8</v>
      </c>
      <c r="K13" s="24"/>
    </row>
    <row r="14" spans="1:11" s="2" customFormat="1" ht="15" customHeight="1">
      <c r="A14" s="12">
        <v>2</v>
      </c>
      <c r="B14" s="28" t="str">
        <f>LIDER!F44</f>
        <v>DANIELA ALEJANDRA CASTRO VARGAS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4.9000000000000004</v>
      </c>
      <c r="E14" s="197"/>
      <c r="F14" s="18">
        <v>4.8</v>
      </c>
      <c r="G14" s="18">
        <v>4.8</v>
      </c>
      <c r="H14" s="18">
        <v>4.8</v>
      </c>
      <c r="I14" s="18">
        <v>4.8</v>
      </c>
      <c r="J14" s="18">
        <v>4.8</v>
      </c>
      <c r="K14" s="18"/>
    </row>
    <row r="15" spans="1:11" s="2" customFormat="1" ht="15" customHeight="1">
      <c r="A15" s="12">
        <v>3</v>
      </c>
      <c r="B15" s="28" t="str">
        <f>LIDER!F45</f>
        <v>MARIA ALEJANDRA MARQUEZ MANGA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4.9000000000000004</v>
      </c>
      <c r="E15" s="197"/>
      <c r="F15" s="18">
        <v>4.8</v>
      </c>
      <c r="G15" s="18">
        <v>4.8</v>
      </c>
      <c r="H15" s="18">
        <v>4.8</v>
      </c>
      <c r="I15" s="18">
        <v>4.8</v>
      </c>
      <c r="J15" s="18">
        <v>4.8</v>
      </c>
      <c r="K15" s="18"/>
    </row>
    <row r="16" spans="1:11" s="2" customFormat="1" ht="15" customHeight="1">
      <c r="A16" s="12">
        <v>4</v>
      </c>
      <c r="B16" s="28" t="str">
        <f>LIDER!F46</f>
        <v>SANTIAGO ANDRES RODRIGUEZ HIGUITA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4.9000000000000004</v>
      </c>
      <c r="E16" s="197"/>
      <c r="F16" s="18">
        <v>4.8</v>
      </c>
      <c r="G16" s="18">
        <v>4.8</v>
      </c>
      <c r="H16" s="18">
        <v>4.8</v>
      </c>
      <c r="I16" s="18">
        <v>4.8</v>
      </c>
      <c r="J16" s="18">
        <v>4.8</v>
      </c>
      <c r="K16" s="18"/>
    </row>
    <row r="17" spans="1:11" s="2" customFormat="1" ht="15" customHeight="1">
      <c r="A17" s="12">
        <v>5</v>
      </c>
      <c r="B17" s="28" t="str">
        <f>LIDER!F47</f>
        <v>DAYANNA MICHELLE CAPACHERO DIAZ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4.9000000000000004</v>
      </c>
      <c r="E17" s="197"/>
      <c r="F17" s="18">
        <v>4.8</v>
      </c>
      <c r="G17" s="18">
        <v>4.8</v>
      </c>
      <c r="H17" s="18">
        <v>4.8</v>
      </c>
      <c r="I17" s="18">
        <v>4.8</v>
      </c>
      <c r="J17" s="18">
        <v>4.8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IF('S-ASIG-02'!D19="","",'S-ASIG-02'!D19)</f>
        <v>LIST</v>
      </c>
      <c r="D19" s="35" t="s">
        <v>106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LAUREEN ALEJANDRA ACOSTA LOPEZ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4.9000000000000004</v>
      </c>
      <c r="E20" s="197">
        <v>5</v>
      </c>
      <c r="F20" s="24">
        <v>4.8</v>
      </c>
      <c r="G20" s="24">
        <v>4.8</v>
      </c>
      <c r="H20" s="24">
        <v>4.8</v>
      </c>
      <c r="I20" s="24">
        <v>4.8</v>
      </c>
      <c r="J20" s="24">
        <v>4.8</v>
      </c>
      <c r="K20" s="24"/>
    </row>
    <row r="21" spans="1:11" s="2" customFormat="1" ht="15" customHeight="1">
      <c r="A21" s="12">
        <v>2</v>
      </c>
      <c r="B21" s="28" t="str">
        <f>LIDER!G44</f>
        <v>CAROL VIVIAN CALDERA PUELLO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4.9000000000000004</v>
      </c>
      <c r="E21" s="197"/>
      <c r="F21" s="18">
        <v>4.8</v>
      </c>
      <c r="G21" s="18">
        <v>4.8</v>
      </c>
      <c r="H21" s="18">
        <v>4.8</v>
      </c>
      <c r="I21" s="18">
        <v>4.8</v>
      </c>
      <c r="J21" s="18">
        <v>4.8</v>
      </c>
      <c r="K21" s="18"/>
    </row>
    <row r="22" spans="1:11" s="2" customFormat="1" ht="15" customHeight="1">
      <c r="A22" s="12">
        <v>3</v>
      </c>
      <c r="B22" s="28" t="str">
        <f>LIDER!G45</f>
        <v>JESUS DAVID MONTIEL CUETO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4.9000000000000004</v>
      </c>
      <c r="E22" s="197"/>
      <c r="F22" s="18">
        <v>4.8</v>
      </c>
      <c r="G22" s="18">
        <v>4.8</v>
      </c>
      <c r="H22" s="18">
        <v>4.8</v>
      </c>
      <c r="I22" s="18">
        <v>4.8</v>
      </c>
      <c r="J22" s="18">
        <v>4.8</v>
      </c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4.9000000000000004</v>
      </c>
      <c r="E23" s="197"/>
      <c r="F23" s="18">
        <v>4.8</v>
      </c>
      <c r="G23" s="18">
        <v>4.8</v>
      </c>
      <c r="H23" s="18">
        <v>4.8</v>
      </c>
      <c r="I23" s="18">
        <v>4.8</v>
      </c>
      <c r="J23" s="18">
        <v>4.8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IF('S-ASIG-02'!D26="","",'S-ASIG-02'!D26)</f>
        <v>LIST</v>
      </c>
      <c r="D26" s="35" t="s">
        <v>106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EDUARDO LUIS GÓMEZ PEREZ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4.5</v>
      </c>
      <c r="E27" s="197">
        <v>4.5</v>
      </c>
      <c r="F27" s="24">
        <v>4.5</v>
      </c>
      <c r="G27" s="24">
        <v>4.5</v>
      </c>
      <c r="H27" s="24">
        <v>4.5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STIVEN JAVIER HOYOS DIAS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4.5</v>
      </c>
      <c r="E28" s="197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JORGE ANDRES NIÑO SERRANO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4.5</v>
      </c>
      <c r="E29" s="197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JESSENIA PEREZ GARCIA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4.5</v>
      </c>
      <c r="E30" s="197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DANIELA RAMIREZ QUIROZ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4.5</v>
      </c>
      <c r="E31" s="197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 t="str">
        <f>LIDER!H48</f>
        <v>EMMANUEL ENRIQUE RUIZ DIAZ</v>
      </c>
      <c r="C32" s="33" t="str">
        <f>IF('S-ASIG-02'!D32="","",'S-ASIG-02'!D32)</f>
        <v/>
      </c>
      <c r="D32" s="30">
        <f>IF(B32=0,"",IF(C32="",$E$27*LIDER!$H$19+F32*LIDER!$H$20+G32*LIDER!$H$21+H32*LIDER!$H$22+I32*LIDER!$H$23+J32*LIDER!$H$24+K32*LIDER!$H$25,"N"))</f>
        <v>4.5</v>
      </c>
      <c r="E32" s="197"/>
      <c r="F32" s="26">
        <v>4.5</v>
      </c>
      <c r="G32" s="26">
        <v>4.5</v>
      </c>
      <c r="H32" s="26">
        <v>4.5</v>
      </c>
      <c r="I32" s="26">
        <v>4.5</v>
      </c>
      <c r="J32" s="26">
        <v>4.5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IF('S-ASIG-02'!D33="","",'S-ASIG-02'!D33)</f>
        <v>LIST</v>
      </c>
      <c r="D33" s="35" t="s">
        <v>106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DIEGO ALEJANDRO CANCIO POLO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4.3499999999999996</v>
      </c>
      <c r="E34" s="197">
        <v>4.5</v>
      </c>
      <c r="F34" s="24">
        <v>4.2</v>
      </c>
      <c r="G34" s="24">
        <v>4.2</v>
      </c>
      <c r="H34" s="24">
        <v>4.2</v>
      </c>
      <c r="I34" s="24">
        <v>4.2</v>
      </c>
      <c r="J34" s="24">
        <v>4.2</v>
      </c>
      <c r="K34" s="24"/>
    </row>
    <row r="35" spans="1:11" s="2" customFormat="1" ht="15" customHeight="1">
      <c r="A35" s="12">
        <v>2</v>
      </c>
      <c r="B35" s="28" t="str">
        <f>LIDER!E52</f>
        <v>ISAAC DAVID DE AVILA CABEZA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4.3499999999999996</v>
      </c>
      <c r="E35" s="197"/>
      <c r="F35" s="18">
        <v>4.2</v>
      </c>
      <c r="G35" s="18">
        <v>4.2</v>
      </c>
      <c r="H35" s="18">
        <v>4.2</v>
      </c>
      <c r="I35" s="18">
        <v>4.2</v>
      </c>
      <c r="J35" s="18">
        <v>4.2</v>
      </c>
      <c r="K35" s="18"/>
    </row>
    <row r="36" spans="1:11" s="2" customFormat="1" ht="15" customHeight="1">
      <c r="A36" s="12">
        <v>3</v>
      </c>
      <c r="B36" s="28" t="str">
        <f>LIDER!E53</f>
        <v>ADRIANA LUCIA DIAZ MORENO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4.3499999999999996</v>
      </c>
      <c r="E36" s="197"/>
      <c r="F36" s="18">
        <v>4.2</v>
      </c>
      <c r="G36" s="18">
        <v>4.2</v>
      </c>
      <c r="H36" s="18">
        <v>4.2</v>
      </c>
      <c r="I36" s="18">
        <v>4.2</v>
      </c>
      <c r="J36" s="18">
        <v>4.2</v>
      </c>
      <c r="K36" s="18"/>
    </row>
    <row r="37" spans="1:11" s="2" customFormat="1" ht="15" customHeight="1">
      <c r="A37" s="12">
        <v>4</v>
      </c>
      <c r="B37" s="28" t="str">
        <f>LIDER!E54</f>
        <v>LEVI MATURANA AGUALIMPIA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4.3499999999999996</v>
      </c>
      <c r="E37" s="197"/>
      <c r="F37" s="18">
        <v>4.2</v>
      </c>
      <c r="G37" s="18">
        <v>4.2</v>
      </c>
      <c r="H37" s="18">
        <v>4.2</v>
      </c>
      <c r="I37" s="18">
        <v>4.2</v>
      </c>
      <c r="J37" s="18">
        <v>4.2</v>
      </c>
      <c r="K37" s="18"/>
    </row>
    <row r="38" spans="1:11" s="2" customFormat="1" ht="15" customHeight="1">
      <c r="A38" s="12">
        <v>5</v>
      </c>
      <c r="B38" s="28" t="str">
        <f>LIDER!E55</f>
        <v>AYSA IVANNA SEK PÉREZ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4.3499999999999996</v>
      </c>
      <c r="E38" s="197"/>
      <c r="F38" s="18">
        <v>4.2</v>
      </c>
      <c r="G38" s="18">
        <v>4.2</v>
      </c>
      <c r="H38" s="18">
        <v>4.2</v>
      </c>
      <c r="I38" s="18">
        <v>4.2</v>
      </c>
      <c r="J38" s="18">
        <v>4.2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IF('S-ASIG-02'!D40="","",'S-ASIG-02'!D40)</f>
        <v>LIST</v>
      </c>
      <c r="D40" s="35" t="s">
        <v>106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YENIFFER MICHELL ACUÑA PEREZ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4</v>
      </c>
      <c r="E41" s="197">
        <v>4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JESUS MIGUEL OVIEDO GARCIA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4</v>
      </c>
      <c r="E42" s="197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JULIÁN ANDRÉS TABORDA LEÓN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4</v>
      </c>
      <c r="E43" s="197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JENIFER VANESSA TORRES JUNCO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4</v>
      </c>
      <c r="E44" s="197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NELSON DAVID VANEGAS RIVEROS</v>
      </c>
      <c r="C45" s="33" t="str">
        <f>IF('S-ASIG-02'!D45="","",'S-ASIG-02'!D45)</f>
        <v>N</v>
      </c>
      <c r="D45" s="30" t="str">
        <f>IF(B45=0,"",IF(C45="",$E$41*LIDER!$H$19+F45*LIDER!$H$20+G45*LIDER!$H$21+H45*LIDER!$H$22+I45*LIDER!$H$23+J45*LIDER!$H$24+K45*LIDER!$H$25,"N"))</f>
        <v>N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GERDALYS VARELA NARVAEZ</v>
      </c>
      <c r="C46" s="33" t="str">
        <f>IF('S-ASIG-02'!D46="","",'S-ASIG-02'!D46)</f>
        <v/>
      </c>
      <c r="D46" s="30">
        <f>IF(B46=0,"",IF(C46="",$E$41*LIDER!$H$19+F46*LIDER!$H$20+G46*LIDER!$H$21+H46*LIDER!$H$22+I46*LIDER!$H$23+J46*LIDER!$H$24+K46*LIDER!$H$25,"N"))</f>
        <v>4</v>
      </c>
      <c r="E46" s="197"/>
      <c r="F46" s="26">
        <v>4</v>
      </c>
      <c r="G46" s="26">
        <v>4</v>
      </c>
      <c r="H46" s="26">
        <v>4</v>
      </c>
      <c r="I46" s="26">
        <v>4</v>
      </c>
      <c r="J46" s="26">
        <v>4</v>
      </c>
      <c r="K46" s="26"/>
    </row>
    <row r="47" spans="1:11" s="2" customFormat="1" ht="15.75" customHeight="1" thickBot="1">
      <c r="A47" s="14"/>
      <c r="B47" s="27" t="s">
        <v>84</v>
      </c>
      <c r="C47" s="32" t="str">
        <f>IF('S-ASIG-02'!D47="","",'S-ASIG-02'!D47)</f>
        <v>LIST</v>
      </c>
      <c r="D47" s="35" t="s">
        <v>106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ANGEL DE JESUS ARZUZA PEREZ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4.25</v>
      </c>
      <c r="E48" s="197">
        <v>4.5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JUAN CAMILO FLOREZ VERTEL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4.25</v>
      </c>
      <c r="E49" s="197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LAURA SOFIA MENDOZA GONZÁLEZ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4.25</v>
      </c>
      <c r="E50" s="197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SEBASTIAN RAMIREZ MONSALVE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4.25</v>
      </c>
      <c r="E51" s="197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IF('S-ASIG-02'!D54="","",'S-ASIG-02'!D54)</f>
        <v>LIST</v>
      </c>
      <c r="D54" s="35" t="s">
        <v>106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CARLOS MARIO DE LEÓN CASTILLO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4.5999999999999996</v>
      </c>
      <c r="E55" s="197">
        <v>5</v>
      </c>
      <c r="F55" s="24">
        <v>4.2</v>
      </c>
      <c r="G55" s="24">
        <v>4.2</v>
      </c>
      <c r="H55" s="24">
        <v>4.2</v>
      </c>
      <c r="I55" s="24">
        <v>4.2</v>
      </c>
      <c r="J55" s="24">
        <v>4.2</v>
      </c>
      <c r="K55" s="24"/>
    </row>
    <row r="56" spans="1:11" s="2" customFormat="1" ht="15" customHeight="1">
      <c r="A56" s="12">
        <v>2</v>
      </c>
      <c r="B56" s="28" t="str">
        <f>LIDER!H52</f>
        <v>ANA KARINA GONZALEZ ROBLES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4.5999999999999996</v>
      </c>
      <c r="E56" s="197"/>
      <c r="F56" s="18">
        <v>4.2</v>
      </c>
      <c r="G56" s="18">
        <v>4.2</v>
      </c>
      <c r="H56" s="18">
        <v>4.2</v>
      </c>
      <c r="I56" s="18">
        <v>4.2</v>
      </c>
      <c r="J56" s="18">
        <v>4.2</v>
      </c>
      <c r="K56" s="18"/>
    </row>
    <row r="57" spans="1:11" s="2" customFormat="1" ht="15" customHeight="1">
      <c r="A57" s="12">
        <v>3</v>
      </c>
      <c r="B57" s="28" t="str">
        <f>LIDER!H53</f>
        <v>LIZBELIA DEL CARMEN MARTINEZ PUELLO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4.5999999999999996</v>
      </c>
      <c r="E57" s="197"/>
      <c r="F57" s="18">
        <v>4.2</v>
      </c>
      <c r="G57" s="18">
        <v>4.2</v>
      </c>
      <c r="H57" s="18">
        <v>4.2</v>
      </c>
      <c r="I57" s="18">
        <v>4.2</v>
      </c>
      <c r="J57" s="18">
        <v>4.2</v>
      </c>
      <c r="K57" s="18"/>
    </row>
    <row r="58" spans="1:11" s="2" customFormat="1" ht="15" customHeight="1">
      <c r="A58" s="12">
        <v>4</v>
      </c>
      <c r="B58" s="28" t="str">
        <f>LIDER!H54</f>
        <v>CLAUDIMAR DEL CARMEN RUIZ PEREZ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4.5999999999999996</v>
      </c>
      <c r="E58" s="197"/>
      <c r="F58" s="18">
        <v>4.2</v>
      </c>
      <c r="G58" s="18">
        <v>4.2</v>
      </c>
      <c r="H58" s="18">
        <v>4.2</v>
      </c>
      <c r="I58" s="18">
        <v>4.2</v>
      </c>
      <c r="J58" s="18">
        <v>4.2</v>
      </c>
      <c r="K58" s="18"/>
    </row>
    <row r="59" spans="1:11" s="2" customFormat="1" ht="15" customHeight="1">
      <c r="A59" s="12">
        <v>5</v>
      </c>
      <c r="B59" s="28" t="str">
        <f>LIDER!H55</f>
        <v>KELLY YOHANA YEPES FLORIAN</v>
      </c>
      <c r="C59" s="33" t="str">
        <f>IF('S-ASIG-02'!D59="","",'S-ASIG-02'!D59)</f>
        <v/>
      </c>
      <c r="D59" s="30">
        <f>IF(B59=0,"",IF(C59="",$E$55*LIDER!$H$19+F59*LIDER!$H$20+G59*LIDER!$H$21+H59*LIDER!$H$22+I59*LIDER!$H$23+J59*LIDER!$H$24+K59*LIDER!$H$25,"N"))</f>
        <v>4.5999999999999996</v>
      </c>
      <c r="E59" s="197"/>
      <c r="F59" s="18">
        <v>4.2</v>
      </c>
      <c r="G59" s="18">
        <v>4.2</v>
      </c>
      <c r="H59" s="18">
        <v>4.2</v>
      </c>
      <c r="I59" s="18">
        <v>4.2</v>
      </c>
      <c r="J59" s="18">
        <v>4.2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IF('S-ASIG-02'!D61="","",'S-ASIG-02'!D61)</f>
        <v>LIST</v>
      </c>
      <c r="D61" s="35" t="s">
        <v>106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IF('S-ASIG-02'!D68="","",'S-ASIG-02'!D68)</f>
        <v>LIST</v>
      </c>
      <c r="D68" s="35" t="s">
        <v>106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IF('S-ASIG-02'!D75="","",'S-ASIG-02'!D75)</f>
        <v>LIST</v>
      </c>
      <c r="D75" s="35" t="s">
        <v>106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IF('S-ASIG-02'!D82="","",'S-ASIG-02'!D82)</f>
        <v>LIST</v>
      </c>
      <c r="D82" s="35" t="s">
        <v>106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ELECTIVA DE PROFUNDIZACION III</v>
      </c>
      <c r="C2" s="3"/>
      <c r="E2" s="210" t="s">
        <v>102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CONCATENATE(LIDER!E4," - ",LIDER!E6," - ",LIDER!E5)</f>
        <v>ELECTIVA DE PROFUNDIZACION III - 2458 - OSCAR DAVID URIZA PEREZ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72</v>
      </c>
      <c r="C5" s="34" t="str">
        <f>IF('S-ASIG-03'!D5="","",'S-ASIG-03'!D5)</f>
        <v>LIST</v>
      </c>
      <c r="D5" s="35" t="s">
        <v>106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LIEEN CAROLINA FERNANDEZ ARIZA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KEYNER FABIAN HERRERA CASTILLA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IRAMA ALEXANDRA JARAMILLO GARCIA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HELEN MARIA NAVARRO HERNANDEZ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IF('S-ASIG-03'!D12="","",'S-ASIG-03'!D12)</f>
        <v>LIST</v>
      </c>
      <c r="D12" s="35" t="s">
        <v>106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LUIS MARIO ACOSTA MORENO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DANIELA ALEJANDRA CASTRO VARGAS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MARIA ALEJANDRA MARQUEZ MANGA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SANTIAGO ANDRES RODRIGUEZ HIGUITA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DAYANNA MICHELLE CAPACHERO DIAZ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IF('S-ASIG-03'!D19="","",'S-ASIG-03'!D19)</f>
        <v>LIST</v>
      </c>
      <c r="D19" s="35" t="s">
        <v>106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LAUREEN ALEJANDRA ACOSTA LOPEZ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CAROL VIVIAN CALDERA PUELLO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JESUS DAVID MONTIEL CUETO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IF('S-ASIG-03'!D26="","",'S-ASIG-03'!D26)</f>
        <v>LIST</v>
      </c>
      <c r="D26" s="35" t="s">
        <v>106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EDUARDO LUIS GÓMEZ PEREZ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STIVEN JAVIER HOYOS DIAS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JORGE ANDRES NIÑO SERRANO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JESSENIA PEREZ GARCIA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DANIELA RAMIREZ QUIROZ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EMMANUEL ENRIQUE RUIZ DIAZ</v>
      </c>
      <c r="C32" s="33" t="str">
        <f>IF('S-ASIG-03'!D32="","",'S-ASIG-03'!D32)</f>
        <v/>
      </c>
      <c r="D32" s="30">
        <f>IF(B32=0,"",IF(C32="",$E$27*LIDER!$H$19+F32*LIDER!$H$20+G32*LIDER!$H$21+H32*LIDER!$H$22+I32*LIDER!$H$23+J32*LIDER!$H$24+K32*LIDER!$H$25,"N"))</f>
        <v>0</v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IF('S-ASIG-03'!D33="","",'S-ASIG-03'!D33)</f>
        <v>LIST</v>
      </c>
      <c r="D33" s="35" t="s">
        <v>106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DIEGO ALEJANDRO CANCIO POLO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ISAAC DAVID DE AVILA CABEZA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ADRIANA LUCIA DIAZ MORENO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LEVI MATURANA AGUALIMPIA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AYSA IVANNA SEK PÉREZ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IF('S-ASIG-03'!D40="","",'S-ASIG-03'!D40)</f>
        <v>LIST</v>
      </c>
      <c r="D40" s="35" t="s">
        <v>106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YENIFFER MICHELL ACUÑA PEREZ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JESUS MIGUEL OVIEDO GARCIA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JULIÁN ANDRÉS TABORDA LEÓN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JENIFER VANESSA TORRES JUNCO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NELSON DAVID VANEGAS RIVEROS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GERDALYS VARELA NARVAEZ</v>
      </c>
      <c r="C46" s="33" t="str">
        <f>IF('S-ASIG-03'!D46="","",'S-ASIG-03'!D46)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IF('S-ASIG-03'!D47="","",'S-ASIG-03'!D47)</f>
        <v>LIST</v>
      </c>
      <c r="D47" s="35" t="s">
        <v>106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ANGEL DE JESUS ARZUZA PEREZ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JUAN CAMILO FLOREZ VERTEL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LAURA SOFIA MENDOZA GONZÁLEZ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SEBASTIAN RAMIREZ MONSALVE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0</v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IF('S-ASIG-03'!D54="","",'S-ASIG-03'!D54)</f>
        <v>LIST</v>
      </c>
      <c r="D54" s="35" t="s">
        <v>106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CARLOS MARIO DE LEÓN CASTILLO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ANA KARINA GONZALEZ ROBLES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LIZBELIA DEL CARMEN MARTINEZ PUELLO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CLAUDIMAR DEL CARMEN RUIZ PEREZ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KELLY YOHANA YEPES FLORIAN</v>
      </c>
      <c r="C59" s="33" t="str">
        <f>IF('S-ASIG-03'!D59="","",'S-ASIG-03'!D59)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IF('S-ASIG-03'!D61="","",'S-ASIG-03'!D61)</f>
        <v>LIST</v>
      </c>
      <c r="D61" s="35" t="s">
        <v>106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IF('S-ASIG-03'!D68="","",'S-ASIG-03'!D68)</f>
        <v>LIST</v>
      </c>
      <c r="D68" s="35" t="s">
        <v>106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IF('S-ASIG-03'!D75="","",'S-ASIG-03'!D75)</f>
        <v>LIST</v>
      </c>
      <c r="D75" s="35" t="s">
        <v>106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IF('S-ASIG-03'!D82="","",'S-ASIG-03'!D82)</f>
        <v>LIST</v>
      </c>
      <c r="D82" s="35" t="s">
        <v>106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23" activePane="bottomRight" state="frozen"/>
      <selection pane="bottomRight" activeCell="F27" sqref="F27:J32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AMBIENTE Y DESARROLLO</v>
      </c>
      <c r="C2" s="3"/>
      <c r="E2" s="210" t="s">
        <v>102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CONCATENATE(LIDER!F4," - ",LIDER!F6," - ",LIDER!F5)</f>
        <v>AMBIENTE Y DESARROLLO - 1119 - MARIANO BELTRAN PADILLA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72</v>
      </c>
      <c r="C5" s="34" t="str">
        <f>IF('S-ASIG-04'!D5="","",'S-ASIG-04'!D5)</f>
        <v>LIST</v>
      </c>
      <c r="D5" s="35" t="s">
        <v>106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LIEEN CAROLINA FERNANDEZ ARIZA</v>
      </c>
      <c r="C6" s="33" t="str">
        <f>IF('S-ASIG-04'!D6="","",'S-ASIG-04'!D6)</f>
        <v>N</v>
      </c>
      <c r="D6" s="30" t="str">
        <f>IF(B6=0,"",IF(C6="",$E$6*LIDER!$H$19+F6*LIDER!$H$20+G6*LIDER!$H$21+H6*LIDER!$H$22+I6*LIDER!$H$23+J6*LIDER!$H$24+K6*LIDER!$H$25,"N"))</f>
        <v>N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KEYNER FABIAN HERRERA CASTILLA</v>
      </c>
      <c r="C7" s="33" t="str">
        <f>IF('S-ASIG-04'!D7="","",'S-ASIG-04'!D7)</f>
        <v>N</v>
      </c>
      <c r="D7" s="30" t="str">
        <f>IF(B7=0,"",IF(C7="",$E$6*LIDER!$H$19+F7*LIDER!$H$20+G7*LIDER!$H$21+H7*LIDER!$H$22+I7*LIDER!$H$23+J7*LIDER!$H$24+K7*LIDER!$H$25,"N"))</f>
        <v>N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IRAMA ALEXANDRA JARAMILLO GARCIA</v>
      </c>
      <c r="C8" s="33" t="str">
        <f>IF('S-ASIG-04'!D8="","",'S-ASIG-04'!D8)</f>
        <v>N</v>
      </c>
      <c r="D8" s="30" t="str">
        <f>IF(B8=0,"",IF(C8="",$E$6*LIDER!$H$19+F8*LIDER!$H$20+G8*LIDER!$H$21+H8*LIDER!$H$22+I8*LIDER!$H$23+J8*LIDER!$H$24+K8*LIDER!$H$25,"N"))</f>
        <v>N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HELEN MARIA NAVARRO HERNANDEZ</v>
      </c>
      <c r="C9" s="33" t="str">
        <f>IF('S-ASIG-04'!D9="","",'S-ASIG-04'!D9)</f>
        <v>N</v>
      </c>
      <c r="D9" s="30" t="str">
        <f>IF(B9=0,"",IF(C9="",$E$6*LIDER!$H$19+F9*LIDER!$H$20+G9*LIDER!$H$21+H9*LIDER!$H$22+I9*LIDER!$H$23+J9*LIDER!$H$24+K9*LIDER!$H$25,"N"))</f>
        <v>N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IF('S-ASIG-04'!D12="","",'S-ASIG-04'!D12)</f>
        <v>LIST</v>
      </c>
      <c r="D12" s="35" t="s">
        <v>106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LUIS MARIO ACOSTA MORENO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4.5</v>
      </c>
      <c r="E13" s="197">
        <v>4.5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DANIELA ALEJANDRA CASTRO VARGAS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4.5</v>
      </c>
      <c r="E14" s="197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MARIA ALEJANDRA MARQUEZ MANGA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4.5</v>
      </c>
      <c r="E15" s="197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SANTIAGO ANDRES RODRIGUEZ HIGUITA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4.5</v>
      </c>
      <c r="E16" s="197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 t="str">
        <f>LIDER!F47</f>
        <v>DAYANNA MICHELLE CAPACHERO DIAZ</v>
      </c>
      <c r="C17" s="33" t="str">
        <f>IF('S-ASIG-04'!D17="","",'S-ASIG-04'!D17)</f>
        <v>N</v>
      </c>
      <c r="D17" s="30" t="str">
        <f>IF(B17=0,"",IF(C17="",$E$13*LIDER!$H$19+F17*LIDER!$H$20+G17*LIDER!$H$21+H17*LIDER!$H$22+I17*LIDER!$H$23+J17*LIDER!$H$24+K17*LIDER!$H$25,"N"))</f>
        <v>N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IF('S-ASIG-04'!D19="","",'S-ASIG-04'!D19)</f>
        <v>LIST</v>
      </c>
      <c r="D19" s="35" t="s">
        <v>106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LAUREEN ALEJANDRA ACOSTA LOPEZ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4.4000000000000004</v>
      </c>
      <c r="E20" s="197">
        <v>4.4000000000000004</v>
      </c>
      <c r="F20" s="24">
        <v>4.4000000000000004</v>
      </c>
      <c r="G20" s="24">
        <v>4.4000000000000004</v>
      </c>
      <c r="H20" s="24">
        <v>4.4000000000000004</v>
      </c>
      <c r="I20" s="24">
        <v>4.4000000000000004</v>
      </c>
      <c r="J20" s="24">
        <v>4.4000000000000004</v>
      </c>
      <c r="K20" s="24"/>
    </row>
    <row r="21" spans="1:11" s="2" customFormat="1" ht="15" customHeight="1">
      <c r="A21" s="12">
        <v>2</v>
      </c>
      <c r="B21" s="28" t="str">
        <f>LIDER!G44</f>
        <v>CAROL VIVIAN CALDERA PUELLO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4.4000000000000004</v>
      </c>
      <c r="E21" s="197"/>
      <c r="F21" s="18">
        <v>4.4000000000000004</v>
      </c>
      <c r="G21" s="18">
        <v>4.4000000000000004</v>
      </c>
      <c r="H21" s="18">
        <v>4.4000000000000004</v>
      </c>
      <c r="I21" s="18">
        <v>4.4000000000000004</v>
      </c>
      <c r="J21" s="18">
        <v>4.4000000000000004</v>
      </c>
      <c r="K21" s="18"/>
    </row>
    <row r="22" spans="1:11" s="2" customFormat="1" ht="15" customHeight="1">
      <c r="A22" s="12">
        <v>3</v>
      </c>
      <c r="B22" s="28" t="str">
        <f>LIDER!G45</f>
        <v>JESUS DAVID MONTIEL CUETO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4.4000000000000004</v>
      </c>
      <c r="E22" s="197"/>
      <c r="F22" s="18">
        <v>4.4000000000000004</v>
      </c>
      <c r="G22" s="18">
        <v>4.4000000000000004</v>
      </c>
      <c r="H22" s="18">
        <v>4.4000000000000004</v>
      </c>
      <c r="I22" s="18">
        <v>4.4000000000000004</v>
      </c>
      <c r="J22" s="18">
        <v>4.4000000000000004</v>
      </c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4.4000000000000004</v>
      </c>
      <c r="E23" s="197"/>
      <c r="F23" s="18">
        <v>4.4000000000000004</v>
      </c>
      <c r="G23" s="18">
        <v>4.4000000000000004</v>
      </c>
      <c r="H23" s="18">
        <v>4.4000000000000004</v>
      </c>
      <c r="I23" s="18">
        <v>4.4000000000000004</v>
      </c>
      <c r="J23" s="18">
        <v>4.4000000000000004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IF('S-ASIG-04'!D26="","",'S-ASIG-04'!D26)</f>
        <v>LIST</v>
      </c>
      <c r="D26" s="35" t="s">
        <v>106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EDUARDO LUIS GÓMEZ PEREZ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4.3</v>
      </c>
      <c r="E27" s="197">
        <v>4.3</v>
      </c>
      <c r="F27" s="24">
        <v>4.3</v>
      </c>
      <c r="G27" s="24">
        <v>4.3</v>
      </c>
      <c r="H27" s="24">
        <v>4.3</v>
      </c>
      <c r="I27" s="24">
        <v>4.3</v>
      </c>
      <c r="J27" s="24">
        <v>4.3</v>
      </c>
      <c r="K27" s="24"/>
    </row>
    <row r="28" spans="1:11" s="2" customFormat="1" ht="15" customHeight="1">
      <c r="A28" s="12">
        <v>2</v>
      </c>
      <c r="B28" s="28" t="str">
        <f>LIDER!H44</f>
        <v>STIVEN JAVIER HOYOS DIAS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4.3</v>
      </c>
      <c r="E28" s="197"/>
      <c r="F28" s="18">
        <v>4.3</v>
      </c>
      <c r="G28" s="18">
        <v>4.3</v>
      </c>
      <c r="H28" s="18">
        <v>4.3</v>
      </c>
      <c r="I28" s="18">
        <v>4.3</v>
      </c>
      <c r="J28" s="18">
        <v>4.3</v>
      </c>
      <c r="K28" s="18"/>
    </row>
    <row r="29" spans="1:11" s="2" customFormat="1" ht="15" customHeight="1">
      <c r="A29" s="12">
        <v>3</v>
      </c>
      <c r="B29" s="28" t="str">
        <f>LIDER!H45</f>
        <v>JORGE ANDRES NIÑO SERRANO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4.3</v>
      </c>
      <c r="E29" s="197"/>
      <c r="F29" s="18">
        <v>4.3</v>
      </c>
      <c r="G29" s="18">
        <v>4.3</v>
      </c>
      <c r="H29" s="18">
        <v>4.3</v>
      </c>
      <c r="I29" s="18">
        <v>4.3</v>
      </c>
      <c r="J29" s="18">
        <v>4.3</v>
      </c>
      <c r="K29" s="18"/>
    </row>
    <row r="30" spans="1:11" s="2" customFormat="1" ht="15" customHeight="1">
      <c r="A30" s="12">
        <v>4</v>
      </c>
      <c r="B30" s="28" t="str">
        <f>LIDER!H46</f>
        <v>JESSENIA PEREZ GARCIA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4.3</v>
      </c>
      <c r="E30" s="197"/>
      <c r="F30" s="18">
        <v>4.3</v>
      </c>
      <c r="G30" s="18">
        <v>4.3</v>
      </c>
      <c r="H30" s="18">
        <v>4.3</v>
      </c>
      <c r="I30" s="18">
        <v>4.3</v>
      </c>
      <c r="J30" s="18">
        <v>4.3</v>
      </c>
      <c r="K30" s="18"/>
    </row>
    <row r="31" spans="1:11" s="2" customFormat="1" ht="15" customHeight="1">
      <c r="A31" s="12">
        <v>5</v>
      </c>
      <c r="B31" s="28" t="str">
        <f>LIDER!H47</f>
        <v>DANIELA RAMIREZ QUIROZ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4.3</v>
      </c>
      <c r="E31" s="197"/>
      <c r="F31" s="18">
        <v>4.3</v>
      </c>
      <c r="G31" s="18">
        <v>4.3</v>
      </c>
      <c r="H31" s="18">
        <v>4.3</v>
      </c>
      <c r="I31" s="18">
        <v>4.3</v>
      </c>
      <c r="J31" s="18">
        <v>4.3</v>
      </c>
      <c r="K31" s="18"/>
    </row>
    <row r="32" spans="1:11" s="2" customFormat="1" ht="15.75" customHeight="1" thickBot="1">
      <c r="A32" s="13">
        <v>6</v>
      </c>
      <c r="B32" s="28" t="str">
        <f>LIDER!H48</f>
        <v>EMMANUEL ENRIQUE RUIZ DIAZ</v>
      </c>
      <c r="C32" s="33" t="str">
        <f>IF('S-ASIG-04'!D32="","",'S-ASIG-04'!D32)</f>
        <v/>
      </c>
      <c r="D32" s="30">
        <f>IF(B32=0,"",IF(C32="",$E$27*LIDER!$H$19+F32*LIDER!$H$20+G32*LIDER!$H$21+H32*LIDER!$H$22+I32*LIDER!$H$23+J32*LIDER!$H$24+K32*LIDER!$H$25,"N"))</f>
        <v>4.3</v>
      </c>
      <c r="E32" s="197"/>
      <c r="F32" s="26">
        <v>4.3</v>
      </c>
      <c r="G32" s="26">
        <v>4.3</v>
      </c>
      <c r="H32" s="26">
        <v>4.3</v>
      </c>
      <c r="I32" s="26">
        <v>4.3</v>
      </c>
      <c r="J32" s="26">
        <v>4.3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IF('S-ASIG-04'!D33="","",'S-ASIG-04'!D33)</f>
        <v>LIST</v>
      </c>
      <c r="D33" s="35" t="s">
        <v>106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DIEGO ALEJANDRO CANCIO POLO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4.4000000000000004</v>
      </c>
      <c r="E34" s="197">
        <v>4.4000000000000004</v>
      </c>
      <c r="F34" s="24">
        <v>4.4000000000000004</v>
      </c>
      <c r="G34" s="24">
        <v>4.4000000000000004</v>
      </c>
      <c r="H34" s="24">
        <v>4.4000000000000004</v>
      </c>
      <c r="I34" s="24">
        <v>4.4000000000000004</v>
      </c>
      <c r="J34" s="24">
        <v>4.4000000000000004</v>
      </c>
      <c r="K34" s="24"/>
    </row>
    <row r="35" spans="1:11" s="2" customFormat="1" ht="15" customHeight="1">
      <c r="A35" s="12">
        <v>2</v>
      </c>
      <c r="B35" s="28" t="str">
        <f>LIDER!E52</f>
        <v>ISAAC DAVID DE AVILA CABEZA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4.4000000000000004</v>
      </c>
      <c r="E35" s="197"/>
      <c r="F35" s="18">
        <v>4.4000000000000004</v>
      </c>
      <c r="G35" s="18">
        <v>4.4000000000000004</v>
      </c>
      <c r="H35" s="18">
        <v>4.4000000000000004</v>
      </c>
      <c r="I35" s="18">
        <v>4.4000000000000004</v>
      </c>
      <c r="J35" s="18">
        <v>4.4000000000000004</v>
      </c>
      <c r="K35" s="18"/>
    </row>
    <row r="36" spans="1:11" s="2" customFormat="1" ht="15" customHeight="1">
      <c r="A36" s="12">
        <v>3</v>
      </c>
      <c r="B36" s="28" t="str">
        <f>LIDER!E53</f>
        <v>ADRIANA LUCIA DIAZ MORENO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4.4000000000000004</v>
      </c>
      <c r="E36" s="197"/>
      <c r="F36" s="18">
        <v>4.4000000000000004</v>
      </c>
      <c r="G36" s="18">
        <v>4.4000000000000004</v>
      </c>
      <c r="H36" s="18">
        <v>4.4000000000000004</v>
      </c>
      <c r="I36" s="18">
        <v>4.4000000000000004</v>
      </c>
      <c r="J36" s="18">
        <v>4.4000000000000004</v>
      </c>
      <c r="K36" s="18"/>
    </row>
    <row r="37" spans="1:11" s="2" customFormat="1" ht="15" customHeight="1">
      <c r="A37" s="12">
        <v>4</v>
      </c>
      <c r="B37" s="28" t="str">
        <f>LIDER!E54</f>
        <v>LEVI MATURANA AGUALIMPIA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4.4000000000000004</v>
      </c>
      <c r="E37" s="197"/>
      <c r="F37" s="18">
        <v>4.4000000000000004</v>
      </c>
      <c r="G37" s="18">
        <v>4.4000000000000004</v>
      </c>
      <c r="H37" s="18">
        <v>4.4000000000000004</v>
      </c>
      <c r="I37" s="18">
        <v>4.4000000000000004</v>
      </c>
      <c r="J37" s="18">
        <v>4.4000000000000004</v>
      </c>
      <c r="K37" s="18"/>
    </row>
    <row r="38" spans="1:11" s="2" customFormat="1" ht="15" customHeight="1">
      <c r="A38" s="12">
        <v>5</v>
      </c>
      <c r="B38" s="28" t="str">
        <f>LIDER!E55</f>
        <v>AYSA IVANNA SEK PÉREZ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4.4000000000000004</v>
      </c>
      <c r="E38" s="197"/>
      <c r="F38" s="18">
        <v>4.4000000000000004</v>
      </c>
      <c r="G38" s="18">
        <v>4.4000000000000004</v>
      </c>
      <c r="H38" s="18">
        <v>4.4000000000000004</v>
      </c>
      <c r="I38" s="18">
        <v>4.4000000000000004</v>
      </c>
      <c r="J38" s="18">
        <v>4.4000000000000004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IF('S-ASIG-04'!D40="","",'S-ASIG-04'!D40)</f>
        <v>LIST</v>
      </c>
      <c r="D40" s="35" t="s">
        <v>106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YENIFFER MICHELL ACUÑA PEREZ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4.3</v>
      </c>
      <c r="E41" s="197">
        <v>4.3</v>
      </c>
      <c r="F41" s="24">
        <v>4.3</v>
      </c>
      <c r="G41" s="24">
        <v>4.3</v>
      </c>
      <c r="H41" s="24">
        <v>4.3</v>
      </c>
      <c r="I41" s="24">
        <v>4.3</v>
      </c>
      <c r="J41" s="24">
        <v>4.3</v>
      </c>
      <c r="K41" s="24"/>
    </row>
    <row r="42" spans="1:11" s="2" customFormat="1" ht="15" customHeight="1">
      <c r="A42" s="12">
        <v>2</v>
      </c>
      <c r="B42" s="28" t="str">
        <f>LIDER!F52</f>
        <v>JESUS MIGUEL OVIEDO GARCIA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4.3</v>
      </c>
      <c r="E42" s="197"/>
      <c r="F42" s="18">
        <v>4.3</v>
      </c>
      <c r="G42" s="18">
        <v>4.3</v>
      </c>
      <c r="H42" s="18">
        <v>4.3</v>
      </c>
      <c r="I42" s="18">
        <v>4.3</v>
      </c>
      <c r="J42" s="18">
        <v>4.3</v>
      </c>
      <c r="K42" s="18"/>
    </row>
    <row r="43" spans="1:11" s="2" customFormat="1" ht="15" customHeight="1">
      <c r="A43" s="12">
        <v>3</v>
      </c>
      <c r="B43" s="28" t="str">
        <f>LIDER!F53</f>
        <v>JULIÁN ANDRÉS TABORDA LEÓN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4.3</v>
      </c>
      <c r="E43" s="197"/>
      <c r="F43" s="18">
        <v>4.3</v>
      </c>
      <c r="G43" s="18">
        <v>4.3</v>
      </c>
      <c r="H43" s="18">
        <v>4.3</v>
      </c>
      <c r="I43" s="18">
        <v>4.3</v>
      </c>
      <c r="J43" s="18">
        <v>4.3</v>
      </c>
      <c r="K43" s="18"/>
    </row>
    <row r="44" spans="1:11" s="2" customFormat="1" ht="15" customHeight="1">
      <c r="A44" s="12">
        <v>4</v>
      </c>
      <c r="B44" s="28" t="str">
        <f>LIDER!F54</f>
        <v>JENIFER VANESSA TORRES JUNCO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4.3</v>
      </c>
      <c r="E44" s="197"/>
      <c r="F44" s="18">
        <v>4.3</v>
      </c>
      <c r="G44" s="18">
        <v>4.3</v>
      </c>
      <c r="H44" s="18">
        <v>4.3</v>
      </c>
      <c r="I44" s="18">
        <v>4.3</v>
      </c>
      <c r="J44" s="18">
        <v>4.3</v>
      </c>
      <c r="K44" s="18"/>
    </row>
    <row r="45" spans="1:11" s="2" customFormat="1" ht="15" customHeight="1">
      <c r="A45" s="12">
        <v>5</v>
      </c>
      <c r="B45" s="28" t="str">
        <f>LIDER!F55</f>
        <v>NELSON DAVID VANEGAS RIVEROS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4.3</v>
      </c>
      <c r="E45" s="197"/>
      <c r="F45" s="18">
        <v>4.3</v>
      </c>
      <c r="G45" s="18">
        <v>4.3</v>
      </c>
      <c r="H45" s="18">
        <v>4.3</v>
      </c>
      <c r="I45" s="18">
        <v>4.3</v>
      </c>
      <c r="J45" s="18">
        <v>4.3</v>
      </c>
      <c r="K45" s="18"/>
    </row>
    <row r="46" spans="1:11" s="2" customFormat="1" ht="15.75" customHeight="1" thickBot="1">
      <c r="A46" s="13">
        <v>6</v>
      </c>
      <c r="B46" s="28" t="str">
        <f>LIDER!F56</f>
        <v>GERDALYS VARELA NARVAEZ</v>
      </c>
      <c r="C46" s="33" t="str">
        <f>IF('S-ASIG-04'!D46="","",'S-ASIG-04'!D46)</f>
        <v/>
      </c>
      <c r="D46" s="30">
        <f>IF(B46=0,"",IF(C46="",$E$41*LIDER!$H$19+F46*LIDER!$H$20+G46*LIDER!$H$21+H46*LIDER!$H$22+I46*LIDER!$H$23+J46*LIDER!$H$24+K46*LIDER!$H$25,"N"))</f>
        <v>4.3</v>
      </c>
      <c r="E46" s="197"/>
      <c r="F46" s="26">
        <v>4.3</v>
      </c>
      <c r="G46" s="26">
        <v>4.3</v>
      </c>
      <c r="H46" s="26">
        <v>4.3</v>
      </c>
      <c r="I46" s="26">
        <v>4.3</v>
      </c>
      <c r="J46" s="26">
        <v>4.3</v>
      </c>
      <c r="K46" s="26"/>
    </row>
    <row r="47" spans="1:11" s="2" customFormat="1" ht="15.75" customHeight="1" thickBot="1">
      <c r="A47" s="14"/>
      <c r="B47" s="27" t="s">
        <v>84</v>
      </c>
      <c r="C47" s="32" t="str">
        <f>IF('S-ASIG-04'!D47="","",'S-ASIG-04'!D47)</f>
        <v>LIST</v>
      </c>
      <c r="D47" s="35" t="s">
        <v>106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ANGEL DE JESUS ARZUZA PEREZ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4.4000000000000004</v>
      </c>
      <c r="E48" s="197">
        <v>4.4000000000000004</v>
      </c>
      <c r="F48" s="24">
        <v>4.4000000000000004</v>
      </c>
      <c r="G48" s="24">
        <v>4.4000000000000004</v>
      </c>
      <c r="H48" s="24">
        <v>4.4000000000000004</v>
      </c>
      <c r="I48" s="24">
        <v>4.4000000000000004</v>
      </c>
      <c r="J48" s="24">
        <v>4.4000000000000004</v>
      </c>
      <c r="K48" s="24"/>
    </row>
    <row r="49" spans="1:11" s="2" customFormat="1" ht="15" customHeight="1">
      <c r="A49" s="12">
        <v>2</v>
      </c>
      <c r="B49" s="28" t="str">
        <f>LIDER!G52</f>
        <v>JUAN CAMILO FLOREZ VERTEL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4.4000000000000004</v>
      </c>
      <c r="E49" s="197"/>
      <c r="F49" s="18">
        <v>4.4000000000000004</v>
      </c>
      <c r="G49" s="18">
        <v>4.4000000000000004</v>
      </c>
      <c r="H49" s="18">
        <v>4.4000000000000004</v>
      </c>
      <c r="I49" s="18">
        <v>4.4000000000000004</v>
      </c>
      <c r="J49" s="18">
        <v>4.4000000000000004</v>
      </c>
      <c r="K49" s="18"/>
    </row>
    <row r="50" spans="1:11" s="2" customFormat="1" ht="15" customHeight="1">
      <c r="A50" s="12">
        <v>3</v>
      </c>
      <c r="B50" s="28" t="str">
        <f>LIDER!G53</f>
        <v>LAURA SOFIA MENDOZA GONZÁLEZ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4.4000000000000004</v>
      </c>
      <c r="E50" s="197"/>
      <c r="F50" s="18">
        <v>4.4000000000000004</v>
      </c>
      <c r="G50" s="18">
        <v>4.4000000000000004</v>
      </c>
      <c r="H50" s="18">
        <v>4.4000000000000004</v>
      </c>
      <c r="I50" s="18">
        <v>4.4000000000000004</v>
      </c>
      <c r="J50" s="18">
        <v>4.4000000000000004</v>
      </c>
      <c r="K50" s="18"/>
    </row>
    <row r="51" spans="1:11" s="2" customFormat="1" ht="15" customHeight="1">
      <c r="A51" s="12">
        <v>4</v>
      </c>
      <c r="B51" s="28" t="str">
        <f>LIDER!G54</f>
        <v>SEBASTIAN RAMIREZ MONSALVE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4.4000000000000004</v>
      </c>
      <c r="E51" s="197"/>
      <c r="F51" s="18">
        <v>4.4000000000000004</v>
      </c>
      <c r="G51" s="18">
        <v>4.4000000000000004</v>
      </c>
      <c r="H51" s="18">
        <v>4.4000000000000004</v>
      </c>
      <c r="I51" s="18">
        <v>4.4000000000000004</v>
      </c>
      <c r="J51" s="18">
        <v>4.4000000000000004</v>
      </c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IF('S-ASIG-04'!D54="","",'S-ASIG-04'!D54)</f>
        <v>LIST</v>
      </c>
      <c r="D54" s="35" t="s">
        <v>106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CARLOS MARIO DE LEÓN CASTILLO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4.7</v>
      </c>
      <c r="E55" s="197">
        <v>4.7</v>
      </c>
      <c r="F55" s="24">
        <v>4.7</v>
      </c>
      <c r="G55" s="24">
        <v>4.7</v>
      </c>
      <c r="H55" s="24">
        <v>4.7</v>
      </c>
      <c r="I55" s="24">
        <v>4.7</v>
      </c>
      <c r="J55" s="24">
        <v>4.7</v>
      </c>
      <c r="K55" s="24"/>
    </row>
    <row r="56" spans="1:11" s="2" customFormat="1" ht="15" customHeight="1">
      <c r="A56" s="12">
        <v>2</v>
      </c>
      <c r="B56" s="28" t="str">
        <f>LIDER!H52</f>
        <v>ANA KARINA GONZALEZ ROBLES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4.7</v>
      </c>
      <c r="E56" s="197"/>
      <c r="F56" s="18">
        <v>4.7</v>
      </c>
      <c r="G56" s="18">
        <v>4.7</v>
      </c>
      <c r="H56" s="18">
        <v>4.7</v>
      </c>
      <c r="I56" s="18">
        <v>4.7</v>
      </c>
      <c r="J56" s="18">
        <v>4.7</v>
      </c>
      <c r="K56" s="18"/>
    </row>
    <row r="57" spans="1:11" s="2" customFormat="1" ht="15" customHeight="1">
      <c r="A57" s="12">
        <v>3</v>
      </c>
      <c r="B57" s="28" t="str">
        <f>LIDER!H53</f>
        <v>LIZBELIA DEL CARMEN MARTINEZ PUELLO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4.7</v>
      </c>
      <c r="E57" s="197"/>
      <c r="F57" s="18">
        <v>4.7</v>
      </c>
      <c r="G57" s="18">
        <v>4.7</v>
      </c>
      <c r="H57" s="18">
        <v>4.7</v>
      </c>
      <c r="I57" s="18">
        <v>4.7</v>
      </c>
      <c r="J57" s="18">
        <v>4.7</v>
      </c>
      <c r="K57" s="18"/>
    </row>
    <row r="58" spans="1:11" s="2" customFormat="1" ht="15" customHeight="1">
      <c r="A58" s="12">
        <v>4</v>
      </c>
      <c r="B58" s="28" t="str">
        <f>LIDER!H54</f>
        <v>CLAUDIMAR DEL CARMEN RUIZ PEREZ</v>
      </c>
      <c r="C58" s="33" t="str">
        <f>IF('S-ASIG-04'!D58="","",'S-ASIG-04'!D58)</f>
        <v/>
      </c>
      <c r="D58" s="30">
        <f>IF(B58=0,"",IF(C58="",$E$55*LIDER!$H$19+F58*LIDER!$H$20+G58*LIDER!$H$21+H58*LIDER!$H$22+I58*LIDER!$H$23+J58*LIDER!$H$24+K58*LIDER!$H$25,"N"))</f>
        <v>4.7</v>
      </c>
      <c r="E58" s="197"/>
      <c r="F58" s="18">
        <v>4.7</v>
      </c>
      <c r="G58" s="18">
        <v>4.7</v>
      </c>
      <c r="H58" s="18">
        <v>4.7</v>
      </c>
      <c r="I58" s="18">
        <v>4.7</v>
      </c>
      <c r="J58" s="18">
        <v>4.7</v>
      </c>
      <c r="K58" s="18"/>
    </row>
    <row r="59" spans="1:11" s="2" customFormat="1" ht="15" customHeight="1">
      <c r="A59" s="12">
        <v>5</v>
      </c>
      <c r="B59" s="28" t="str">
        <f>LIDER!H55</f>
        <v>KELLY YOHANA YEPES FLORIAN</v>
      </c>
      <c r="C59" s="33" t="str">
        <f>IF('S-ASIG-04'!D59="","",'S-ASIG-04'!D59)</f>
        <v/>
      </c>
      <c r="D59" s="30">
        <f>IF(B59=0,"",IF(C59="",$E$55*LIDER!$H$19+F59*LIDER!$H$20+G59*LIDER!$H$21+H59*LIDER!$H$22+I59*LIDER!$H$23+J59*LIDER!$H$24+K59*LIDER!$H$25,"N"))</f>
        <v>4.7</v>
      </c>
      <c r="E59" s="197"/>
      <c r="F59" s="18">
        <v>4.7</v>
      </c>
      <c r="G59" s="18">
        <v>4.7</v>
      </c>
      <c r="H59" s="18">
        <v>4.7</v>
      </c>
      <c r="I59" s="18">
        <v>4.7</v>
      </c>
      <c r="J59" s="18">
        <v>4.7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IF('S-ASIG-04'!D61="","",'S-ASIG-04'!D61)</f>
        <v>LIST</v>
      </c>
      <c r="D61" s="35" t="s">
        <v>106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IF('S-ASIG-04'!D68="","",'S-ASIG-04'!D68)</f>
        <v>LIST</v>
      </c>
      <c r="D68" s="35" t="s">
        <v>106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IF('S-ASIG-04'!D75="","",'S-ASIG-04'!D75)</f>
        <v>LIST</v>
      </c>
      <c r="D75" s="35" t="s">
        <v>106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IF('S-ASIG-04'!D82="","",'S-ASIG-04'!D82)</f>
        <v>LIST</v>
      </c>
      <c r="D82" s="35" t="s">
        <v>106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FINANZAS INTERNACIONALES</v>
      </c>
      <c r="C2" s="3"/>
      <c r="E2" s="210" t="s">
        <v>102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CONCATENATE(LIDER!G4," - ",LIDER!G6," - ",LIDER!G5)</f>
        <v>FINANZAS INTERNACIONALES - 1488 - LEONARDO CARLOS DE ORO BARRIOS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72</v>
      </c>
      <c r="C5" s="34" t="str">
        <f>IF('S-ASIG-05'!D5="","",'S-ASIG-05'!D5)</f>
        <v>LIST</v>
      </c>
      <c r="D5" s="35" t="s">
        <v>106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LIEEN CAROLINA FERNANDEZ ARIZA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4.5</v>
      </c>
      <c r="E6" s="197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KEYNER FABIAN HERRERA CASTILLA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4.5</v>
      </c>
      <c r="E7" s="197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IRAMA ALEXANDRA JARAMILLO GARCIA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4.5</v>
      </c>
      <c r="E8" s="197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HELEN MARIA NAVARRO HERNANDEZ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4.5</v>
      </c>
      <c r="E9" s="197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IF('S-ASIG-05'!D12="","",'S-ASIG-05'!D12)</f>
        <v>LIST</v>
      </c>
      <c r="D12" s="35" t="s">
        <v>106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LUIS MARIO ACOSTA MORENO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4.5</v>
      </c>
      <c r="E13" s="197">
        <v>4.5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DANIELA ALEJANDRA CASTRO VARGAS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4.5</v>
      </c>
      <c r="E14" s="197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MARIA ALEJANDRA MARQUEZ MANGA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4.5</v>
      </c>
      <c r="E15" s="197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SANTIAGO ANDRES RODRIGUEZ HIGUITA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4.5</v>
      </c>
      <c r="E16" s="197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 t="str">
        <f>LIDER!F47</f>
        <v>DAYANNA MICHELLE CAPACHERO DIAZ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4.5</v>
      </c>
      <c r="E17" s="197"/>
      <c r="F17" s="18">
        <v>4.5</v>
      </c>
      <c r="G17" s="18">
        <v>4.5</v>
      </c>
      <c r="H17" s="18">
        <v>4.5</v>
      </c>
      <c r="I17" s="18">
        <v>4.5</v>
      </c>
      <c r="J17" s="18">
        <v>4.5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IF('S-ASIG-05'!D19="","",'S-ASIG-05'!D19)</f>
        <v>LIST</v>
      </c>
      <c r="D19" s="35" t="s">
        <v>106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LAUREEN ALEJANDRA ACOSTA LOPEZ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4.75</v>
      </c>
      <c r="E20" s="197">
        <v>4.5</v>
      </c>
      <c r="F20" s="24">
        <v>5</v>
      </c>
      <c r="G20" s="24">
        <v>5</v>
      </c>
      <c r="H20" s="24">
        <v>5</v>
      </c>
      <c r="I20" s="24">
        <v>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CAROL VIVIAN CALDERA PUELLO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4.75</v>
      </c>
      <c r="E21" s="197"/>
      <c r="F21" s="18">
        <v>5</v>
      </c>
      <c r="G21" s="18">
        <v>5</v>
      </c>
      <c r="H21" s="18">
        <v>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JESUS DAVID MONTIEL CUETO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4.75</v>
      </c>
      <c r="E22" s="197"/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4.75</v>
      </c>
      <c r="E23" s="197"/>
      <c r="F23" s="18">
        <v>5</v>
      </c>
      <c r="G23" s="18">
        <v>5</v>
      </c>
      <c r="H23" s="18">
        <v>5</v>
      </c>
      <c r="I23" s="18">
        <v>5</v>
      </c>
      <c r="J23" s="18">
        <v>5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IF('S-ASIG-05'!D26="","",'S-ASIG-05'!D26)</f>
        <v>LIST</v>
      </c>
      <c r="D26" s="35" t="s">
        <v>106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EDUARDO LUIS GÓMEZ PEREZ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4.5</v>
      </c>
      <c r="E27" s="197">
        <v>4.5</v>
      </c>
      <c r="F27" s="24">
        <v>4.5</v>
      </c>
      <c r="G27" s="24">
        <v>4.5</v>
      </c>
      <c r="H27" s="24">
        <v>4.5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STIVEN JAVIER HOYOS DIAS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4.5</v>
      </c>
      <c r="E28" s="197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JORGE ANDRES NIÑO SERRANO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4.5</v>
      </c>
      <c r="E29" s="197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JESSENIA PEREZ GARCIA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4.5</v>
      </c>
      <c r="E30" s="197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DANIELA RAMIREZ QUIROZ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4.5</v>
      </c>
      <c r="E31" s="197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 t="str">
        <f>LIDER!H48</f>
        <v>EMMANUEL ENRIQUE RUIZ DIAZ</v>
      </c>
      <c r="C32" s="33" t="str">
        <f>IF('S-ASIG-05'!D32="","",'S-ASIG-05'!D32)</f>
        <v/>
      </c>
      <c r="D32" s="30">
        <f>IF(B32=0,"",IF(C32="",$E$27*LIDER!$H$19+F32*LIDER!$H$20+G32*LIDER!$H$21+H32*LIDER!$H$22+I32*LIDER!$H$23+J32*LIDER!$H$24+K32*LIDER!$H$25,"N"))</f>
        <v>4.5</v>
      </c>
      <c r="E32" s="197"/>
      <c r="F32" s="26">
        <v>4.5</v>
      </c>
      <c r="G32" s="26">
        <v>4.5</v>
      </c>
      <c r="H32" s="26">
        <v>4.5</v>
      </c>
      <c r="I32" s="26">
        <v>4.5</v>
      </c>
      <c r="J32" s="26">
        <v>4.5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IF('S-ASIG-05'!D33="","",'S-ASIG-05'!D33)</f>
        <v>LIST</v>
      </c>
      <c r="D33" s="35" t="s">
        <v>106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DIEGO ALEJANDRO CANCIO POLO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4.5</v>
      </c>
      <c r="E34" s="197">
        <v>4.5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ISAAC DAVID DE AVILA CABEZA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4.5</v>
      </c>
      <c r="E35" s="197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ADRIANA LUCIA DIAZ MORENO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4.5</v>
      </c>
      <c r="E36" s="197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LEVI MATURANA AGUALIMPIA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4.5</v>
      </c>
      <c r="E37" s="197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AYSA IVANNA SEK PÉREZ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4.5</v>
      </c>
      <c r="E38" s="197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IF('S-ASIG-05'!D40="","",'S-ASIG-05'!D40)</f>
        <v>LIST</v>
      </c>
      <c r="D40" s="35" t="s">
        <v>106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YENIFFER MICHELL ACUÑA PEREZ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4.5</v>
      </c>
      <c r="E41" s="197">
        <v>4.5</v>
      </c>
      <c r="F41" s="24">
        <v>4.5</v>
      </c>
      <c r="G41" s="24">
        <v>4.5</v>
      </c>
      <c r="H41" s="24">
        <v>4.5</v>
      </c>
      <c r="I41" s="24">
        <v>4.5</v>
      </c>
      <c r="J41" s="24">
        <v>4.5</v>
      </c>
      <c r="K41" s="24"/>
    </row>
    <row r="42" spans="1:11" s="2" customFormat="1" ht="15" customHeight="1">
      <c r="A42" s="12">
        <v>2</v>
      </c>
      <c r="B42" s="28" t="str">
        <f>LIDER!F52</f>
        <v>JESUS MIGUEL OVIEDO GARCIA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4.5</v>
      </c>
      <c r="E42" s="197"/>
      <c r="F42" s="18">
        <v>4.5</v>
      </c>
      <c r="G42" s="18">
        <v>4.5</v>
      </c>
      <c r="H42" s="18">
        <v>4.5</v>
      </c>
      <c r="I42" s="18">
        <v>4.5</v>
      </c>
      <c r="J42" s="18">
        <v>4.5</v>
      </c>
      <c r="K42" s="18"/>
    </row>
    <row r="43" spans="1:11" s="2" customFormat="1" ht="15" customHeight="1">
      <c r="A43" s="12">
        <v>3</v>
      </c>
      <c r="B43" s="28" t="str">
        <f>LIDER!F53</f>
        <v>JULIÁN ANDRÉS TABORDA LEÓN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4.5</v>
      </c>
      <c r="E43" s="197"/>
      <c r="F43" s="18">
        <v>4.5</v>
      </c>
      <c r="G43" s="18">
        <v>4.5</v>
      </c>
      <c r="H43" s="18">
        <v>4.5</v>
      </c>
      <c r="I43" s="18">
        <v>4.5</v>
      </c>
      <c r="J43" s="18">
        <v>4.5</v>
      </c>
      <c r="K43" s="18"/>
    </row>
    <row r="44" spans="1:11" s="2" customFormat="1" ht="15" customHeight="1">
      <c r="A44" s="12">
        <v>4</v>
      </c>
      <c r="B44" s="28" t="str">
        <f>LIDER!F54</f>
        <v>JENIFER VANESSA TORRES JUNCO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4.5</v>
      </c>
      <c r="E44" s="197"/>
      <c r="F44" s="18">
        <v>4.5</v>
      </c>
      <c r="G44" s="18">
        <v>4.5</v>
      </c>
      <c r="H44" s="18">
        <v>4.5</v>
      </c>
      <c r="I44" s="18">
        <v>4.5</v>
      </c>
      <c r="J44" s="18">
        <v>4.5</v>
      </c>
      <c r="K44" s="18"/>
    </row>
    <row r="45" spans="1:11" s="2" customFormat="1" ht="15" customHeight="1">
      <c r="A45" s="12">
        <v>5</v>
      </c>
      <c r="B45" s="28" t="str">
        <f>LIDER!F55</f>
        <v>NELSON DAVID VANEGAS RIVEROS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4.5</v>
      </c>
      <c r="E45" s="197"/>
      <c r="F45" s="18">
        <v>4.5</v>
      </c>
      <c r="G45" s="18">
        <v>4.5</v>
      </c>
      <c r="H45" s="18">
        <v>4.5</v>
      </c>
      <c r="I45" s="18">
        <v>4.5</v>
      </c>
      <c r="J45" s="18">
        <v>4.5</v>
      </c>
      <c r="K45" s="18"/>
    </row>
    <row r="46" spans="1:11" s="2" customFormat="1" ht="15.75" customHeight="1" thickBot="1">
      <c r="A46" s="13">
        <v>6</v>
      </c>
      <c r="B46" s="28" t="str">
        <f>LIDER!F56</f>
        <v>GERDALYS VARELA NARVAEZ</v>
      </c>
      <c r="C46" s="33" t="str">
        <f>IF('S-ASIG-05'!D46="","",'S-ASIG-05'!D46)</f>
        <v/>
      </c>
      <c r="D46" s="30">
        <f>IF(B46=0,"",IF(C46="",$E$41*LIDER!$H$19+F46*LIDER!$H$20+G46*LIDER!$H$21+H46*LIDER!$H$22+I46*LIDER!$H$23+J46*LIDER!$H$24+K46*LIDER!$H$25,"N"))</f>
        <v>4.5</v>
      </c>
      <c r="E46" s="197"/>
      <c r="F46" s="26">
        <v>4.5</v>
      </c>
      <c r="G46" s="26">
        <v>4.5</v>
      </c>
      <c r="H46" s="26">
        <v>4.5</v>
      </c>
      <c r="I46" s="26">
        <v>4.5</v>
      </c>
      <c r="J46" s="26">
        <v>4.5</v>
      </c>
      <c r="K46" s="26"/>
    </row>
    <row r="47" spans="1:11" s="2" customFormat="1" ht="15.75" customHeight="1" thickBot="1">
      <c r="A47" s="14"/>
      <c r="B47" s="27" t="s">
        <v>84</v>
      </c>
      <c r="C47" s="32" t="str">
        <f>IF('S-ASIG-05'!D47="","",'S-ASIG-05'!D47)</f>
        <v>LIST</v>
      </c>
      <c r="D47" s="35" t="s">
        <v>106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ANGEL DE JESUS ARZUZA PEREZ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4.5</v>
      </c>
      <c r="E48" s="197">
        <v>4.5</v>
      </c>
      <c r="F48" s="24">
        <v>4.5</v>
      </c>
      <c r="G48" s="24">
        <v>4.5</v>
      </c>
      <c r="H48" s="24">
        <v>4.5</v>
      </c>
      <c r="I48" s="24">
        <v>4.5</v>
      </c>
      <c r="J48" s="24">
        <v>4.5</v>
      </c>
      <c r="K48" s="24"/>
    </row>
    <row r="49" spans="1:11" s="2" customFormat="1" ht="15" customHeight="1">
      <c r="A49" s="12">
        <v>2</v>
      </c>
      <c r="B49" s="28" t="str">
        <f>LIDER!G52</f>
        <v>JUAN CAMILO FLOREZ VERTEL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4.5</v>
      </c>
      <c r="E49" s="197"/>
      <c r="F49" s="18">
        <v>4.5</v>
      </c>
      <c r="G49" s="18">
        <v>4.5</v>
      </c>
      <c r="H49" s="18">
        <v>4.5</v>
      </c>
      <c r="I49" s="18">
        <v>4.5</v>
      </c>
      <c r="J49" s="18">
        <v>4.5</v>
      </c>
      <c r="K49" s="18"/>
    </row>
    <row r="50" spans="1:11" s="2" customFormat="1" ht="15" customHeight="1">
      <c r="A50" s="12">
        <v>3</v>
      </c>
      <c r="B50" s="28" t="str">
        <f>LIDER!G53</f>
        <v>LAURA SOFIA MENDOZA GONZÁLEZ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4.5</v>
      </c>
      <c r="E50" s="197"/>
      <c r="F50" s="18">
        <v>4.5</v>
      </c>
      <c r="G50" s="18">
        <v>4.5</v>
      </c>
      <c r="H50" s="18">
        <v>4.5</v>
      </c>
      <c r="I50" s="18">
        <v>4.5</v>
      </c>
      <c r="J50" s="18">
        <v>4.5</v>
      </c>
      <c r="K50" s="18"/>
    </row>
    <row r="51" spans="1:11" s="2" customFormat="1" ht="15" customHeight="1">
      <c r="A51" s="12">
        <v>4</v>
      </c>
      <c r="B51" s="28" t="str">
        <f>LIDER!G54</f>
        <v>SEBASTIAN RAMIREZ MONSALVE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4.5</v>
      </c>
      <c r="E51" s="197"/>
      <c r="F51" s="18">
        <v>4.5</v>
      </c>
      <c r="G51" s="18">
        <v>4.5</v>
      </c>
      <c r="H51" s="18">
        <v>4.5</v>
      </c>
      <c r="I51" s="18">
        <v>4.5</v>
      </c>
      <c r="J51" s="18">
        <v>4.5</v>
      </c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IF('S-ASIG-05'!D54="","",'S-ASIG-05'!D54)</f>
        <v>LIST</v>
      </c>
      <c r="D54" s="35" t="s">
        <v>106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CARLOS MARIO DE LEÓN CASTILLO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4.8499999999999996</v>
      </c>
      <c r="E55" s="197">
        <v>4.7</v>
      </c>
      <c r="F55" s="24">
        <v>5</v>
      </c>
      <c r="G55" s="24">
        <v>5</v>
      </c>
      <c r="H55" s="24">
        <v>5</v>
      </c>
      <c r="I55" s="24">
        <v>5</v>
      </c>
      <c r="J55" s="24">
        <v>5</v>
      </c>
      <c r="K55" s="24"/>
    </row>
    <row r="56" spans="1:11" s="2" customFormat="1" ht="15" customHeight="1">
      <c r="A56" s="12">
        <v>2</v>
      </c>
      <c r="B56" s="28" t="str">
        <f>LIDER!H52</f>
        <v>ANA KARINA GONZALEZ ROBLES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4.8499999999999996</v>
      </c>
      <c r="E56" s="197"/>
      <c r="F56" s="18">
        <v>5</v>
      </c>
      <c r="G56" s="18">
        <v>5</v>
      </c>
      <c r="H56" s="18">
        <v>5</v>
      </c>
      <c r="I56" s="18">
        <v>5</v>
      </c>
      <c r="J56" s="18">
        <v>5</v>
      </c>
      <c r="K56" s="18"/>
    </row>
    <row r="57" spans="1:11" s="2" customFormat="1" ht="15" customHeight="1">
      <c r="A57" s="12">
        <v>3</v>
      </c>
      <c r="B57" s="28" t="str">
        <f>LIDER!H53</f>
        <v>LIZBELIA DEL CARMEN MARTINEZ PUELLO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4.8499999999999996</v>
      </c>
      <c r="E57" s="197"/>
      <c r="F57" s="18">
        <v>5</v>
      </c>
      <c r="G57" s="18">
        <v>5</v>
      </c>
      <c r="H57" s="18">
        <v>5</v>
      </c>
      <c r="I57" s="18">
        <v>5</v>
      </c>
      <c r="J57" s="18">
        <v>5</v>
      </c>
      <c r="K57" s="18"/>
    </row>
    <row r="58" spans="1:11" s="2" customFormat="1" ht="15" customHeight="1">
      <c r="A58" s="12">
        <v>4</v>
      </c>
      <c r="B58" s="28" t="str">
        <f>LIDER!H54</f>
        <v>CLAUDIMAR DEL CARMEN RUIZ PEREZ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4.8499999999999996</v>
      </c>
      <c r="E58" s="197"/>
      <c r="F58" s="18">
        <v>5</v>
      </c>
      <c r="G58" s="18">
        <v>5</v>
      </c>
      <c r="H58" s="18">
        <v>5</v>
      </c>
      <c r="I58" s="18">
        <v>5</v>
      </c>
      <c r="J58" s="18">
        <v>5</v>
      </c>
      <c r="K58" s="18"/>
    </row>
    <row r="59" spans="1:11" s="2" customFormat="1" ht="15" customHeight="1">
      <c r="A59" s="12">
        <v>5</v>
      </c>
      <c r="B59" s="28" t="str">
        <f>LIDER!H55</f>
        <v>KELLY YOHANA YEPES FLORIAN</v>
      </c>
      <c r="C59" s="33" t="str">
        <f>IF('S-ASIG-05'!D59="","",'S-ASIG-05'!D59)</f>
        <v/>
      </c>
      <c r="D59" s="30">
        <f>IF(B59=0,"",IF(C59="",$E$55*LIDER!$H$19+F59*LIDER!$H$20+G59*LIDER!$H$21+H59*LIDER!$H$22+I59*LIDER!$H$23+J59*LIDER!$H$24+K59*LIDER!$H$25,"N"))</f>
        <v>4.8499999999999996</v>
      </c>
      <c r="E59" s="197"/>
      <c r="F59" s="18">
        <v>5</v>
      </c>
      <c r="G59" s="18">
        <v>5</v>
      </c>
      <c r="H59" s="18">
        <v>5</v>
      </c>
      <c r="I59" s="18">
        <v>5</v>
      </c>
      <c r="J59" s="18">
        <v>5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IF('S-ASIG-05'!D61="","",'S-ASIG-05'!D61)</f>
        <v>LIST</v>
      </c>
      <c r="D61" s="35" t="s">
        <v>106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IF('S-ASIG-05'!D68="","",'S-ASIG-05'!D68)</f>
        <v>LIST</v>
      </c>
      <c r="D68" s="35" t="s">
        <v>106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IF('S-ASIG-05'!D75="","",'S-ASIG-05'!D75)</f>
        <v>LIST</v>
      </c>
      <c r="D75" s="35" t="s">
        <v>106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IF('S-ASIG-05'!D82="","",'S-ASIG-05'!D82)</f>
        <v>LIST</v>
      </c>
      <c r="D82" s="35" t="s">
        <v>106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LIDER!H4</f>
        <v>ELECTIVA LIBRE SOCIOHUMANÍ II</v>
      </c>
      <c r="C2" s="3"/>
      <c r="E2" s="210" t="s">
        <v>102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CONCATENATE(LIDER!H4," - ",LIDER!H6," - ",LIDER!H5)</f>
        <v>ELECTIVA LIBRE SOCIOHUMANÍ II - 2247 - JOHAN RAFAEL HURTADO CASTRO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72</v>
      </c>
      <c r="C5" s="34" t="str">
        <f>IF('S-ASIG-06'!D5="","",'S-ASIG-06'!D5)</f>
        <v>LIST</v>
      </c>
      <c r="D5" s="35" t="s">
        <v>106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LIEEN CAROLINA FERNANDEZ ARIZA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KEYNER FABIAN HERRERA CASTILLA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IRAMA ALEXANDRA JARAMILLO GARCIA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HELEN MARIA NAVARRO HERNANDEZ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IF('S-ASIG-06'!D12="","",'S-ASIG-06'!D12)</f>
        <v>LIST</v>
      </c>
      <c r="D12" s="35" t="s">
        <v>106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LUIS MARIO ACOSTA MORENO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DANIELA ALEJANDRA CASTRO VARGAS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MARIA ALEJANDRA MARQUEZ MANGA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SANTIAGO ANDRES RODRIGUEZ HIGUITA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DAYANNA MICHELLE CAPACHERO DIAZ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IF('S-ASIG-06'!D19="","",'S-ASIG-06'!D19)</f>
        <v>LIST</v>
      </c>
      <c r="D19" s="35" t="s">
        <v>106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LAUREEN ALEJANDRA ACOSTA LOPEZ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CAROL VIVIAN CALDERA PUELLO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JESUS DAVID MONTIEL CUETO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IF('S-ASIG-06'!D26="","",'S-ASIG-06'!D26)</f>
        <v>LIST</v>
      </c>
      <c r="D26" s="35" t="s">
        <v>106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EDUARDO LUIS GÓMEZ PEREZ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STIVEN JAVIER HOYOS DIAS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JORGE ANDRES NIÑO SERRANO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JESSENIA PEREZ GARCIA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DANIELA RAMIREZ QUIROZ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EMMANUEL ENRIQUE RUIZ DIAZ</v>
      </c>
      <c r="C32" s="33" t="str">
        <f>IF('S-ASIG-06'!D32="","",'S-ASIG-06'!D32)</f>
        <v/>
      </c>
      <c r="D32" s="30">
        <f>IF(B32=0,"",IF(C32="",$E$27*LIDER!$H$19+F32*LIDER!$H$20+G32*LIDER!$H$21+H32*LIDER!$H$22+I32*LIDER!$H$23+J32*LIDER!$H$24+K32*LIDER!$H$25,"N"))</f>
        <v>0</v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IF('S-ASIG-06'!D33="","",'S-ASIG-06'!D33)</f>
        <v>LIST</v>
      </c>
      <c r="D33" s="35" t="s">
        <v>106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DIEGO ALEJANDRO CANCIO POLO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ISAAC DAVID DE AVILA CABEZA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ADRIANA LUCIA DIAZ MORENO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LEVI MATURANA AGUALIMPIA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AYSA IVANNA SEK PÉREZ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IF('S-ASIG-06'!D40="","",'S-ASIG-06'!D40)</f>
        <v>LIST</v>
      </c>
      <c r="D40" s="35" t="s">
        <v>106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YENIFFER MICHELL ACUÑA PEREZ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JESUS MIGUEL OVIEDO GARCIA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JULIÁN ANDRÉS TABORDA LEÓN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JENIFER VANESSA TORRES JUNCO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NELSON DAVID VANEGAS RIVEROS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GERDALYS VARELA NARVAEZ</v>
      </c>
      <c r="C46" s="33" t="str">
        <f>IF('S-ASIG-06'!D46="","",'S-ASIG-06'!D46)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IF('S-ASIG-06'!D47="","",'S-ASIG-06'!D47)</f>
        <v>LIST</v>
      </c>
      <c r="D47" s="35" t="s">
        <v>106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ANGEL DE JESUS ARZUZA PEREZ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JUAN CAMILO FLOREZ VERTEL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LAURA SOFIA MENDOZA GONZÁLEZ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SEBASTIAN RAMIREZ MONSALVE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0</v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IF('S-ASIG-06'!D54="","",'S-ASIG-06'!D54)</f>
        <v>LIST</v>
      </c>
      <c r="D54" s="35" t="s">
        <v>106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CARLOS MARIO DE LEÓN CASTILLO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ANA KARINA GONZALEZ ROBLES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LIZBELIA DEL CARMEN MARTINEZ PUELLO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CLAUDIMAR DEL CARMEN RUIZ PEREZ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KELLY YOHANA YEPES FLORIAN</v>
      </c>
      <c r="C59" s="33" t="str">
        <f>IF('S-ASIG-06'!D59="","",'S-ASIG-06'!D59)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IF('S-ASIG-06'!D61="","",'S-ASIG-06'!D61)</f>
        <v>LIST</v>
      </c>
      <c r="D61" s="35" t="s">
        <v>106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IF('S-ASIG-06'!D68="","",'S-ASIG-06'!D68)</f>
        <v>LIST</v>
      </c>
      <c r="D68" s="35" t="s">
        <v>106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IF('S-ASIG-06'!D75="","",'S-ASIG-06'!D75)</f>
        <v>LIST</v>
      </c>
      <c r="D75" s="35" t="s">
        <v>106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IF('S-ASIG-06'!D82="","",'S-ASIG-06'!D82)</f>
        <v>LIST</v>
      </c>
      <c r="D82" s="35" t="s">
        <v>106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210" t="s">
        <v>102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CONCATENATE(LIDER!I4," - ",LIDER!I6," - ",LIDER!I5)</f>
        <v xml:space="preserve"> -  - 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72</v>
      </c>
      <c r="C5" s="34" t="str">
        <f>IF('S-ASIG-07'!D5="","",'S-ASIG-07'!D5)</f>
        <v>LIST</v>
      </c>
      <c r="D5" s="35" t="s">
        <v>106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LIEEN CAROLINA FERNANDEZ ARIZA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KEYNER FABIAN HERRERA CASTILLA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IRAMA ALEXANDRA JARAMILLO GARCIA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HELEN MARIA NAVARRO HERNANDEZ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IF('S-ASIG-07'!D12="","",'S-ASIG-07'!D12)</f>
        <v>LIST</v>
      </c>
      <c r="D12" s="35" t="s">
        <v>106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LUIS MARIO ACOSTA MORENO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DANIELA ALEJANDRA CASTRO VARGAS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MARIA ALEJANDRA MARQUEZ MANGA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SANTIAGO ANDRES RODRIGUEZ HIGUITA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DAYANNA MICHELLE CAPACHERO DIAZ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IF('S-ASIG-07'!D19="","",'S-ASIG-07'!D19)</f>
        <v>LIST</v>
      </c>
      <c r="D19" s="35" t="s">
        <v>106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LAUREEN ALEJANDRA ACOSTA LOPEZ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CAROL VIVIAN CALDERA PUELLO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JESUS DAVID MONTIEL CUETO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IF('S-ASIG-07'!D26="","",'S-ASIG-07'!D26)</f>
        <v>LIST</v>
      </c>
      <c r="D26" s="35" t="s">
        <v>106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EDUARDO LUIS GÓMEZ PEREZ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STIVEN JAVIER HOYOS DIAS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JORGE ANDRES NIÑO SERRANO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JESSENIA PEREZ GARCIA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DANIELA RAMIREZ QUIROZ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EMMANUEL ENRIQUE RUIZ DIAZ</v>
      </c>
      <c r="C32" s="33" t="str">
        <f>IF('S-ASIG-07'!D32="","",'S-ASIG-07'!D32)</f>
        <v/>
      </c>
      <c r="D32" s="30">
        <f>IF(B32=0,"",IF(C32="",$E$27*LIDER!$H$19+F32*LIDER!$H$20+G32*LIDER!$H$21+H32*LIDER!$H$22+I32*LIDER!$H$23+J32*LIDER!$H$24+K32*LIDER!$H$25,"N"))</f>
        <v>0</v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IF('S-ASIG-07'!D33="","",'S-ASIG-07'!D33)</f>
        <v>LIST</v>
      </c>
      <c r="D33" s="35" t="s">
        <v>106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DIEGO ALEJANDRO CANCIO POLO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ISAAC DAVID DE AVILA CABEZA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ADRIANA LUCIA DIAZ MORENO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LEVI MATURANA AGUALIMPIA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AYSA IVANNA SEK PÉREZ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IF('S-ASIG-07'!D40="","",'S-ASIG-07'!D40)</f>
        <v>LIST</v>
      </c>
      <c r="D40" s="35" t="s">
        <v>106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YENIFFER MICHELL ACUÑA PEREZ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JESUS MIGUEL OVIEDO GARCIA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JULIÁN ANDRÉS TABORDA LEÓN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JENIFER VANESSA TORRES JUNCO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NELSON DAVID VANEGAS RIVEROS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GERDALYS VARELA NARVAEZ</v>
      </c>
      <c r="C46" s="33" t="str">
        <f>IF('S-ASIG-07'!D46="","",'S-ASIG-07'!D46)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IF('S-ASIG-07'!D47="","",'S-ASIG-07'!D47)</f>
        <v>LIST</v>
      </c>
      <c r="D47" s="35" t="s">
        <v>106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ANGEL DE JESUS ARZUZA PEREZ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JUAN CAMILO FLOREZ VERTEL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LAURA SOFIA MENDOZA GONZÁLEZ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SEBASTIAN RAMIREZ MONSALVE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IF('S-ASIG-07'!D54="","",'S-ASIG-07'!D54)</f>
        <v>LIST</v>
      </c>
      <c r="D54" s="35" t="s">
        <v>106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CARLOS MARIO DE LEÓN CASTILLO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ANA KARINA GONZALEZ ROBLES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LIZBELIA DEL CARMEN MARTINEZ PUELLO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CLAUDIMAR DEL CARMEN RUIZ PEREZ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KELLY YOHANA YEPES FLORIAN</v>
      </c>
      <c r="C59" s="33" t="str">
        <f>IF('S-ASIG-07'!D59="","",'S-ASIG-07'!D59)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IF('S-ASIG-07'!D61="","",'S-ASIG-07'!D61)</f>
        <v>LIST</v>
      </c>
      <c r="D61" s="35" t="s">
        <v>106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IF('S-ASIG-07'!D68="","",'S-ASIG-07'!D68)</f>
        <v>LIST</v>
      </c>
      <c r="D68" s="35" t="s">
        <v>106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IF('S-ASIG-07'!D75="","",'S-ASIG-07'!D75)</f>
        <v>LIST</v>
      </c>
      <c r="D75" s="35" t="s">
        <v>106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IF('S-ASIG-07'!D82="","",'S-ASIG-07'!D82)</f>
        <v>LIST</v>
      </c>
      <c r="D82" s="35" t="s">
        <v>106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T34" activePane="bottomRight" state="frozen"/>
      <selection pane="bottomRight" activeCell="E43" sqref="E43"/>
      <selection pane="bottomLeft" activeCell="F62" sqref="F62:J67"/>
      <selection pane="topRight" activeCell="F62" sqref="F62:J67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SEM-06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142" t="s">
        <v>119</v>
      </c>
      <c r="H2" s="143"/>
      <c r="I2" s="143"/>
      <c r="J2" s="143"/>
      <c r="K2" s="143"/>
      <c r="L2" s="143"/>
      <c r="M2" s="144"/>
      <c r="N2" s="2"/>
      <c r="O2" s="147" t="s">
        <v>120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2445</v>
      </c>
      <c r="H3" s="49" t="str">
        <f>CONCATENATE("N° : ",LIDER!D6)</f>
        <v>N° : 1493</v>
      </c>
      <c r="I3" s="49" t="str">
        <f>CONCATENATE("N° : ",LIDER!E6)</f>
        <v>N° : 2458</v>
      </c>
      <c r="J3" s="49" t="str">
        <f>CONCATENATE("N° : ",LIDER!F6)</f>
        <v>N° : 1119</v>
      </c>
      <c r="K3" s="49" t="str">
        <f>CONCATENATE("N° : ",LIDER!G6)</f>
        <v>N° : 1488</v>
      </c>
      <c r="L3" s="49" t="str">
        <f>CONCATENATE("N° : ",LIDER!H6)</f>
        <v>N° : 2247</v>
      </c>
      <c r="M3" s="50" t="str">
        <f>CONCATENATE("N° : ",LIDER!I6)</f>
        <v xml:space="preserve">N° : </v>
      </c>
      <c r="O3" s="48" t="str">
        <f>G3</f>
        <v>N° : 2445</v>
      </c>
      <c r="P3" s="49" t="str">
        <f t="shared" ref="P3:U3" si="0">H3</f>
        <v>N° : 1493</v>
      </c>
      <c r="Q3" s="49" t="str">
        <f t="shared" si="0"/>
        <v>N° : 2458</v>
      </c>
      <c r="R3" s="49" t="str">
        <f t="shared" si="0"/>
        <v>N° : 1119</v>
      </c>
      <c r="S3" s="49" t="str">
        <f t="shared" si="0"/>
        <v>N° : 1488</v>
      </c>
      <c r="T3" s="49" t="str">
        <f t="shared" si="0"/>
        <v>N° : 2247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121</v>
      </c>
      <c r="D4" s="54" t="s">
        <v>122</v>
      </c>
      <c r="E4" s="55" t="s">
        <v>123</v>
      </c>
      <c r="G4" s="56" t="str">
        <f>MID(LIDER!C4,1,9)</f>
        <v>INNOVACIO</v>
      </c>
      <c r="H4" s="57" t="str">
        <f>MID(LIDER!D4,1,9)</f>
        <v>D.F.I.</v>
      </c>
      <c r="I4" s="57" t="str">
        <f>MID(LIDER!E4,1,9)</f>
        <v xml:space="preserve">ELECTIVA </v>
      </c>
      <c r="J4" s="57" t="str">
        <f>MID(LIDER!F4,1,9)</f>
        <v xml:space="preserve">AMBIENTE </v>
      </c>
      <c r="K4" s="57" t="str">
        <f>MID(LIDER!G4,1,9)</f>
        <v xml:space="preserve">FINANZAS </v>
      </c>
      <c r="L4" s="57" t="str">
        <f>MID(LIDER!H4,1,9)</f>
        <v xml:space="preserve">ELECTIVA </v>
      </c>
      <c r="M4" s="58" t="str">
        <f>MID(LIDER!I4,1,9)</f>
        <v/>
      </c>
      <c r="N4" s="59" t="s">
        <v>124</v>
      </c>
      <c r="O4" s="60" t="str">
        <f t="shared" ref="O4:U4" si="1">G4</f>
        <v>INNOVACIO</v>
      </c>
      <c r="P4" s="61" t="str">
        <f t="shared" si="1"/>
        <v>D.F.I.</v>
      </c>
      <c r="Q4" s="61" t="str">
        <f t="shared" si="1"/>
        <v xml:space="preserve">ELECTIVA </v>
      </c>
      <c r="R4" s="61" t="str">
        <f t="shared" si="1"/>
        <v xml:space="preserve">AMBIENTE </v>
      </c>
      <c r="S4" s="61" t="str">
        <f t="shared" si="1"/>
        <v xml:space="preserve">FINANZAS </v>
      </c>
      <c r="T4" s="61" t="str">
        <f t="shared" si="1"/>
        <v xml:space="preserve">ELECTIVA </v>
      </c>
      <c r="U4" s="62" t="str">
        <f t="shared" si="1"/>
        <v/>
      </c>
      <c r="V4" s="59" t="s">
        <v>125</v>
      </c>
    </row>
    <row r="5" spans="1:22" ht="15" customHeight="1">
      <c r="A5" s="12">
        <v>1</v>
      </c>
      <c r="B5" s="63" t="str">
        <f>LIDER!C9</f>
        <v>LIEEN CAROLINA FERNANDEZ ARIZA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4.3550000000000004</v>
      </c>
      <c r="E5" s="66">
        <f>IF(B5=0,"",IFERROR(SUMIF(O5:U5,"&gt;0",O5:U5)/COUNTIF(O5:U5,"&gt;0"),0))</f>
        <v>4.5</v>
      </c>
      <c r="F5" s="47"/>
      <c r="G5" s="67" t="str">
        <f>IF(B5=0,"",IFERROR(VLOOKUP(B5,'S-ASIG-01'!$B$5:$E$88,4,0),0))</f>
        <v>N</v>
      </c>
      <c r="H5" s="65">
        <f>IF(B5=0,"",IFERROR(VLOOKUP(B5,'S-ASIG-02'!$B$5:$E$88,4,0),0))</f>
        <v>0</v>
      </c>
      <c r="I5" s="65">
        <f>IF(B5=0,"",IFERROR(VLOOKUP(B5,'S-ASIG-03'!$B$5:$E$88,4,0),0))</f>
        <v>4.67</v>
      </c>
      <c r="J5" s="65" t="str">
        <f>IF(B5=0,"",IFERROR(VLOOKUP(B5,'S-ASIG-04'!$B$5:$E$88,4,0),0))</f>
        <v>N</v>
      </c>
      <c r="K5" s="65">
        <f>IF(B5=0,"",IFERROR(VLOOKUP(B5,'S-ASIG-05'!$B$5:$E$88,4,0),0))</f>
        <v>4.04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126</v>
      </c>
      <c r="O5" s="67" t="str">
        <f>IF(B5=0,"",IFERROR(VLOOKUP(B5,'T-ASIG-01'!$B$5:$D$88,3,0),0))</f>
        <v>N</v>
      </c>
      <c r="P5" s="65" t="str">
        <f>IF(B5=0,"",IFERROR(VLOOKUP(B5,'T-ASIG-02'!$B$5:$D$88,3,0),0))</f>
        <v>N</v>
      </c>
      <c r="Q5" s="65">
        <f>IF(B5=0,"",IFERROR(VLOOKUP(B5,'T-ASIG-03'!$B$5:$D$88,3,0),0))</f>
        <v>0</v>
      </c>
      <c r="R5" s="65" t="str">
        <f>IF(B5=0,"",IFERROR(VLOOKUP(B5,'T-ASIG-04'!$B$5:$D$88,3,0),0))</f>
        <v>N</v>
      </c>
      <c r="S5" s="65">
        <f>IF(B5=0,"",IFERROR(VLOOKUP(B5,'T-ASIG-05'!$B$5:$D$88,3,0),0))</f>
        <v>4.5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127</v>
      </c>
    </row>
    <row r="6" spans="1:22" ht="15" customHeight="1">
      <c r="A6" s="12">
        <v>2</v>
      </c>
      <c r="B6" s="70" t="str">
        <f>LIDER!C10</f>
        <v>KEYNER FABIAN HERRERA CASTILLA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4.5366666666666662</v>
      </c>
      <c r="E6" s="66">
        <f t="shared" ref="E6:E54" si="3">IF(B6=0,"",IFERROR(SUMIF(O6:U6,"&gt;0",O6:U6)/COUNTIF(O6:U6,"&gt;0"),0))</f>
        <v>4.7</v>
      </c>
      <c r="F6" s="47"/>
      <c r="G6" s="71" t="str">
        <f>IF(B6=0,"",IFERROR(VLOOKUP(B6,'S-ASIG-01'!$B$5:$E$88,4,0),0))</f>
        <v>N</v>
      </c>
      <c r="H6" s="72">
        <f>IF(B6=0,"",IFERROR(VLOOKUP(B6,'S-ASIG-02'!$B$5:$E$88,4,0),0))</f>
        <v>4.9000000000000004</v>
      </c>
      <c r="I6" s="72">
        <f>IF(B6=0,"",IFERROR(VLOOKUP(B6,'S-ASIG-03'!$B$5:$E$88,4,0),0))</f>
        <v>4.67</v>
      </c>
      <c r="J6" s="72" t="str">
        <f>IF(B6=0,"",IFERROR(VLOOKUP(B6,'S-ASIG-04'!$B$5:$E$88,4,0),0))</f>
        <v>N</v>
      </c>
      <c r="K6" s="72">
        <f>IF(B6=0,"",IFERROR(VLOOKUP(B6,'S-ASIG-05'!$B$5:$E$88,4,0),0))</f>
        <v>4.04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126</v>
      </c>
      <c r="O6" s="71" t="str">
        <f>IF(B6=0,"",IFERROR(VLOOKUP(B6,'T-ASIG-01'!$B$5:$D$88,3,0),0))</f>
        <v>N</v>
      </c>
      <c r="P6" s="72">
        <f>IF(B6=0,"",IFERROR(VLOOKUP(B6,'T-ASIG-02'!$B$5:$D$88,3,0),0))</f>
        <v>4.9000000000000004</v>
      </c>
      <c r="Q6" s="72">
        <f>IF(B6=0,"",IFERROR(VLOOKUP(B6,'T-ASIG-03'!$B$5:$D$88,3,0),0))</f>
        <v>0</v>
      </c>
      <c r="R6" s="72" t="str">
        <f>IF(B6=0,"",IFERROR(VLOOKUP(B6,'T-ASIG-04'!$B$5:$D$88,3,0),0))</f>
        <v>N</v>
      </c>
      <c r="S6" s="72">
        <f>IF(B6=0,"",IFERROR(VLOOKUP(B6,'T-ASIG-05'!$B$5:$D$88,3,0),0))</f>
        <v>4.5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127</v>
      </c>
    </row>
    <row r="7" spans="1:22" ht="15" customHeight="1">
      <c r="A7" s="12">
        <v>3</v>
      </c>
      <c r="B7" s="70" t="str">
        <f>LIDER!C11</f>
        <v>IRAMA ALEXANDRA JARAMILLO GARCIA</v>
      </c>
      <c r="C7" s="64" t="str">
        <f>IF(B7=0,"",IFERROR(VLOOKUP(B7,'S-ASIG-01'!$B$5:$E$88,2,0),0))</f>
        <v>G01</v>
      </c>
      <c r="D7" s="65">
        <f t="shared" si="2"/>
        <v>4.2366666666666672</v>
      </c>
      <c r="E7" s="66">
        <f t="shared" si="3"/>
        <v>4.625</v>
      </c>
      <c r="F7" s="47"/>
      <c r="G7" s="71">
        <f>IF(B7=0,"",IFERROR(VLOOKUP(B7,'S-ASIG-01'!$B$5:$E$88,4,0),0))</f>
        <v>3.9999999999999996</v>
      </c>
      <c r="H7" s="72">
        <f>IF(B7=0,"",IFERROR(VLOOKUP(B7,'S-ASIG-02'!$B$5:$E$88,4,0),0))</f>
        <v>0</v>
      </c>
      <c r="I7" s="72">
        <f>IF(B7=0,"",IFERROR(VLOOKUP(B7,'S-ASIG-03'!$B$5:$E$88,4,0),0))</f>
        <v>4.67</v>
      </c>
      <c r="J7" s="72" t="str">
        <f>IF(B7=0,"",IFERROR(VLOOKUP(B7,'S-ASIG-04'!$B$5:$E$88,4,0),0))</f>
        <v>N</v>
      </c>
      <c r="K7" s="72">
        <f>IF(B7=0,"",IFERROR(VLOOKUP(B7,'S-ASIG-05'!$B$5:$E$88,4,0),0))</f>
        <v>4.04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126</v>
      </c>
      <c r="O7" s="71">
        <f>IF(B7=0,"",IFERROR(VLOOKUP(B7,'T-ASIG-01'!$B$5:$D$88,3,0),0))</f>
        <v>4.75</v>
      </c>
      <c r="P7" s="72" t="str">
        <f>IF(B7=0,"",IFERROR(VLOOKUP(B7,'T-ASIG-02'!$B$5:$D$88,3,0),0))</f>
        <v>N</v>
      </c>
      <c r="Q7" s="72">
        <f>IF(B7=0,"",IFERROR(VLOOKUP(B7,'T-ASIG-03'!$B$5:$D$88,3,0),0))</f>
        <v>0</v>
      </c>
      <c r="R7" s="72" t="str">
        <f>IF(B7=0,"",IFERROR(VLOOKUP(B7,'T-ASIG-04'!$B$5:$D$88,3,0),0))</f>
        <v>N</v>
      </c>
      <c r="S7" s="72">
        <f>IF(B7=0,"",IFERROR(VLOOKUP(B7,'T-ASIG-05'!$B$5:$D$88,3,0),0))</f>
        <v>4.5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127</v>
      </c>
    </row>
    <row r="8" spans="1:22" ht="15" customHeight="1">
      <c r="A8" s="12">
        <v>4</v>
      </c>
      <c r="B8" s="70" t="str">
        <f>LIDER!C12</f>
        <v>HELEN MARIA NAVARRO HERNANDEZ</v>
      </c>
      <c r="C8" s="64" t="str">
        <f>IF(B8=0,"",IFERROR(VLOOKUP(B8,'S-ASIG-01'!$B$5:$E$88,2,0),0))</f>
        <v>G01</v>
      </c>
      <c r="D8" s="65">
        <f t="shared" si="2"/>
        <v>4.5366666666666662</v>
      </c>
      <c r="E8" s="66">
        <f t="shared" si="3"/>
        <v>4.7</v>
      </c>
      <c r="F8" s="47"/>
      <c r="G8" s="71" t="str">
        <f>IF(B8=0,"",IFERROR(VLOOKUP(B8,'S-ASIG-01'!$B$5:$E$88,4,0),0))</f>
        <v>N</v>
      </c>
      <c r="H8" s="72">
        <f>IF(B8=0,"",IFERROR(VLOOKUP(B8,'S-ASIG-02'!$B$5:$E$88,4,0),0))</f>
        <v>4.9000000000000004</v>
      </c>
      <c r="I8" s="72">
        <f>IF(B8=0,"",IFERROR(VLOOKUP(B8,'S-ASIG-03'!$B$5:$E$88,4,0),0))</f>
        <v>4.67</v>
      </c>
      <c r="J8" s="72" t="str">
        <f>IF(B8=0,"",IFERROR(VLOOKUP(B8,'S-ASIG-04'!$B$5:$E$88,4,0),0))</f>
        <v>N</v>
      </c>
      <c r="K8" s="72">
        <f>IF(B8=0,"",IFERROR(VLOOKUP(B8,'S-ASIG-05'!$B$5:$E$88,4,0),0))</f>
        <v>4.04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126</v>
      </c>
      <c r="O8" s="71" t="str">
        <f>IF(B8=0,"",IFERROR(VLOOKUP(B8,'T-ASIG-01'!$B$5:$D$88,3,0),0))</f>
        <v>N</v>
      </c>
      <c r="P8" s="72">
        <f>IF(B8=0,"",IFERROR(VLOOKUP(B8,'T-ASIG-02'!$B$5:$D$88,3,0),0))</f>
        <v>4.9000000000000004</v>
      </c>
      <c r="Q8" s="72">
        <f>IF(B8=0,"",IFERROR(VLOOKUP(B8,'T-ASIG-03'!$B$5:$D$88,3,0),0))</f>
        <v>0</v>
      </c>
      <c r="R8" s="72" t="str">
        <f>IF(B8=0,"",IFERROR(VLOOKUP(B8,'T-ASIG-04'!$B$5:$D$88,3,0),0))</f>
        <v>N</v>
      </c>
      <c r="S8" s="72">
        <f>IF(B8=0,"",IFERROR(VLOOKUP(B8,'T-ASIG-05'!$B$5:$D$88,3,0),0))</f>
        <v>4.5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127</v>
      </c>
    </row>
    <row r="9" spans="1:22" ht="15" customHeight="1">
      <c r="A9" s="12">
        <v>5</v>
      </c>
      <c r="B9" s="70" t="str">
        <f>LIDER!C13</f>
        <v>LUIS MARIO ACOSTA MORENO</v>
      </c>
      <c r="C9" s="64" t="str">
        <f>IF(B9=0,"",IFERROR(VLOOKUP(B9,'S-ASIG-01'!$B$5:$E$88,2,0),0))</f>
        <v>G02</v>
      </c>
      <c r="D9" s="65">
        <f t="shared" si="2"/>
        <v>4.4760000000000009</v>
      </c>
      <c r="E9" s="66">
        <f t="shared" si="3"/>
        <v>4.6624999999999996</v>
      </c>
      <c r="F9" s="47"/>
      <c r="G9" s="71">
        <f>IF(B9=0,"",IFERROR(VLOOKUP(B9,'S-ASIG-01'!$B$5:$E$88,4,0),0))</f>
        <v>4.0999999999999996</v>
      </c>
      <c r="H9" s="72">
        <f>IF(B9=0,"",IFERROR(VLOOKUP(B9,'S-ASIG-02'!$B$5:$E$88,4,0),0))</f>
        <v>4.9000000000000004</v>
      </c>
      <c r="I9" s="72">
        <f>IF(B9=0,"",IFERROR(VLOOKUP(B9,'S-ASIG-03'!$B$5:$E$88,4,0),0))</f>
        <v>4.6900000000000004</v>
      </c>
      <c r="J9" s="72">
        <f>IF(B9=0,"",IFERROR(VLOOKUP(B9,'S-ASIG-04'!$B$5:$E$88,4,0),0))</f>
        <v>4.32</v>
      </c>
      <c r="K9" s="72">
        <f>IF(B9=0,"",IFERROR(VLOOKUP(B9,'S-ASIG-05'!$B$5:$E$88,4,0),0))</f>
        <v>4.37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126</v>
      </c>
      <c r="O9" s="71">
        <f>IF(B9=0,"",IFERROR(VLOOKUP(B9,'T-ASIG-01'!$B$5:$D$88,3,0),0))</f>
        <v>4.75</v>
      </c>
      <c r="P9" s="72">
        <f>IF(B9=0,"",IFERROR(VLOOKUP(B9,'T-ASIG-02'!$B$5:$D$88,3,0),0))</f>
        <v>4.9000000000000004</v>
      </c>
      <c r="Q9" s="72">
        <f>IF(B9=0,"",IFERROR(VLOOKUP(B9,'T-ASIG-03'!$B$5:$D$88,3,0),0))</f>
        <v>0</v>
      </c>
      <c r="R9" s="72">
        <f>IF(B9=0,"",IFERROR(VLOOKUP(B9,'T-ASIG-04'!$B$5:$D$88,3,0),0))</f>
        <v>4.5</v>
      </c>
      <c r="S9" s="72">
        <f>IF(B9=0,"",IFERROR(VLOOKUP(B9,'T-ASIG-05'!$B$5:$D$88,3,0),0))</f>
        <v>4.5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127</v>
      </c>
    </row>
    <row r="10" spans="1:22" ht="15" customHeight="1">
      <c r="A10" s="12">
        <v>6</v>
      </c>
      <c r="B10" s="70" t="str">
        <f>LIDER!C14</f>
        <v>DANIELA ALEJANDRA CASTRO VARGAS</v>
      </c>
      <c r="C10" s="64" t="str">
        <f>IF(B10=0,"",IFERROR(VLOOKUP(B10,'S-ASIG-01'!$B$5:$E$88,2,0),0))</f>
        <v>G02</v>
      </c>
      <c r="D10" s="65">
        <f t="shared" si="2"/>
        <v>4.4760000000000009</v>
      </c>
      <c r="E10" s="66">
        <f t="shared" si="3"/>
        <v>4.6624999999999996</v>
      </c>
      <c r="F10" s="47"/>
      <c r="G10" s="71">
        <f>IF(B10=0,"",IFERROR(VLOOKUP(B10,'S-ASIG-01'!$B$5:$E$88,4,0),0))</f>
        <v>4.0999999999999996</v>
      </c>
      <c r="H10" s="72">
        <f>IF(B10=0,"",IFERROR(VLOOKUP(B10,'S-ASIG-02'!$B$5:$E$88,4,0),0))</f>
        <v>4.9000000000000004</v>
      </c>
      <c r="I10" s="72">
        <f>IF(B10=0,"",IFERROR(VLOOKUP(B10,'S-ASIG-03'!$B$5:$E$88,4,0),0))</f>
        <v>4.6900000000000004</v>
      </c>
      <c r="J10" s="72">
        <f>IF(B10=0,"",IFERROR(VLOOKUP(B10,'S-ASIG-04'!$B$5:$E$88,4,0),0))</f>
        <v>4.32</v>
      </c>
      <c r="K10" s="72">
        <f>IF(B10=0,"",IFERROR(VLOOKUP(B10,'S-ASIG-05'!$B$5:$E$88,4,0),0))</f>
        <v>4.37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126</v>
      </c>
      <c r="O10" s="71">
        <f>IF(B10=0,"",IFERROR(VLOOKUP(B10,'T-ASIG-01'!$B$5:$D$88,3,0),0))</f>
        <v>4.75</v>
      </c>
      <c r="P10" s="72">
        <f>IF(B10=0,"",IFERROR(VLOOKUP(B10,'T-ASIG-02'!$B$5:$D$88,3,0),0))</f>
        <v>4.9000000000000004</v>
      </c>
      <c r="Q10" s="72">
        <f>IF(B10=0,"",IFERROR(VLOOKUP(B10,'T-ASIG-03'!$B$5:$D$88,3,0),0))</f>
        <v>0</v>
      </c>
      <c r="R10" s="72">
        <f>IF(B10=0,"",IFERROR(VLOOKUP(B10,'T-ASIG-04'!$B$5:$D$88,3,0),0))</f>
        <v>4.5</v>
      </c>
      <c r="S10" s="72">
        <f>IF(B10=0,"",IFERROR(VLOOKUP(B10,'T-ASIG-05'!$B$5:$D$88,3,0),0))</f>
        <v>4.5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127</v>
      </c>
    </row>
    <row r="11" spans="1:22" ht="15" customHeight="1">
      <c r="A11" s="12">
        <v>7</v>
      </c>
      <c r="B11" s="70" t="str">
        <f>LIDER!C15</f>
        <v>MARIA ALEJANDRA MARQUEZ MANGA</v>
      </c>
      <c r="C11" s="64" t="str">
        <f>IF(B11=0,"",IFERROR(VLOOKUP(B11,'S-ASIG-01'!$B$5:$E$88,2,0),0))</f>
        <v>G02</v>
      </c>
      <c r="D11" s="65">
        <f t="shared" si="2"/>
        <v>4.4760000000000009</v>
      </c>
      <c r="E11" s="66">
        <f t="shared" si="3"/>
        <v>4.6624999999999996</v>
      </c>
      <c r="F11" s="47"/>
      <c r="G11" s="71">
        <f>IF(B11=0,"",IFERROR(VLOOKUP(B11,'S-ASIG-01'!$B$5:$E$88,4,0),0))</f>
        <v>4.0999999999999996</v>
      </c>
      <c r="H11" s="72">
        <f>IF(B11=0,"",IFERROR(VLOOKUP(B11,'S-ASIG-02'!$B$5:$E$88,4,0),0))</f>
        <v>4.9000000000000004</v>
      </c>
      <c r="I11" s="72">
        <f>IF(B11=0,"",IFERROR(VLOOKUP(B11,'S-ASIG-03'!$B$5:$E$88,4,0),0))</f>
        <v>4.6900000000000004</v>
      </c>
      <c r="J11" s="72">
        <f>IF(B11=0,"",IFERROR(VLOOKUP(B11,'S-ASIG-04'!$B$5:$E$88,4,0),0))</f>
        <v>4.32</v>
      </c>
      <c r="K11" s="72">
        <f>IF(B11=0,"",IFERROR(VLOOKUP(B11,'S-ASIG-05'!$B$5:$E$88,4,0),0))</f>
        <v>4.37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126</v>
      </c>
      <c r="O11" s="71">
        <f>IF(B11=0,"",IFERROR(VLOOKUP(B11,'T-ASIG-01'!$B$5:$D$88,3,0),0))</f>
        <v>4.75</v>
      </c>
      <c r="P11" s="72">
        <f>IF(B11=0,"",IFERROR(VLOOKUP(B11,'T-ASIG-02'!$B$5:$D$88,3,0),0))</f>
        <v>4.9000000000000004</v>
      </c>
      <c r="Q11" s="72">
        <f>IF(B11=0,"",IFERROR(VLOOKUP(B11,'T-ASIG-03'!$B$5:$D$88,3,0),0))</f>
        <v>0</v>
      </c>
      <c r="R11" s="72">
        <f>IF(B11=0,"",IFERROR(VLOOKUP(B11,'T-ASIG-04'!$B$5:$D$88,3,0),0))</f>
        <v>4.5</v>
      </c>
      <c r="S11" s="72">
        <f>IF(B11=0,"",IFERROR(VLOOKUP(B11,'T-ASIG-05'!$B$5:$D$88,3,0),0))</f>
        <v>4.5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127</v>
      </c>
    </row>
    <row r="12" spans="1:22" ht="15" customHeight="1">
      <c r="A12" s="12">
        <v>8</v>
      </c>
      <c r="B12" s="70" t="str">
        <f>LIDER!C16</f>
        <v>SANTIAGO ANDRES RODRIGUEZ HIGUITA</v>
      </c>
      <c r="C12" s="64" t="str">
        <f>IF(B12=0,"",IFERROR(VLOOKUP(B12,'S-ASIG-01'!$B$5:$E$88,2,0),0))</f>
        <v>G02</v>
      </c>
      <c r="D12" s="65">
        <f t="shared" si="2"/>
        <v>4.4760000000000009</v>
      </c>
      <c r="E12" s="66">
        <f t="shared" si="3"/>
        <v>4.6624999999999996</v>
      </c>
      <c r="F12" s="47"/>
      <c r="G12" s="71">
        <f>IF(B12=0,"",IFERROR(VLOOKUP(B12,'S-ASIG-01'!$B$5:$E$88,4,0),0))</f>
        <v>4.0999999999999996</v>
      </c>
      <c r="H12" s="72">
        <f>IF(B12=0,"",IFERROR(VLOOKUP(B12,'S-ASIG-02'!$B$5:$E$88,4,0),0))</f>
        <v>4.9000000000000004</v>
      </c>
      <c r="I12" s="72">
        <f>IF(B12=0,"",IFERROR(VLOOKUP(B12,'S-ASIG-03'!$B$5:$E$88,4,0),0))</f>
        <v>4.6900000000000004</v>
      </c>
      <c r="J12" s="72">
        <f>IF(B12=0,"",IFERROR(VLOOKUP(B12,'S-ASIG-04'!$B$5:$E$88,4,0),0))</f>
        <v>4.32</v>
      </c>
      <c r="K12" s="72">
        <f>IF(B12=0,"",IFERROR(VLOOKUP(B12,'S-ASIG-05'!$B$5:$E$88,4,0),0))</f>
        <v>4.37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126</v>
      </c>
      <c r="O12" s="71">
        <f>IF(B12=0,"",IFERROR(VLOOKUP(B12,'T-ASIG-01'!$B$5:$D$88,3,0),0))</f>
        <v>4.75</v>
      </c>
      <c r="P12" s="72">
        <f>IF(B12=0,"",IFERROR(VLOOKUP(B12,'T-ASIG-02'!$B$5:$D$88,3,0),0))</f>
        <v>4.9000000000000004</v>
      </c>
      <c r="Q12" s="72">
        <f>IF(B12=0,"",IFERROR(VLOOKUP(B12,'T-ASIG-03'!$B$5:$D$88,3,0),0))</f>
        <v>0</v>
      </c>
      <c r="R12" s="72">
        <f>IF(B12=0,"",IFERROR(VLOOKUP(B12,'T-ASIG-04'!$B$5:$D$88,3,0),0))</f>
        <v>4.5</v>
      </c>
      <c r="S12" s="72">
        <f>IF(B12=0,"",IFERROR(VLOOKUP(B12,'T-ASIG-05'!$B$5:$D$88,3,0),0))</f>
        <v>4.5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127</v>
      </c>
    </row>
    <row r="13" spans="1:22" ht="15" customHeight="1">
      <c r="A13" s="12">
        <v>9</v>
      </c>
      <c r="B13" s="70" t="str">
        <f>LIDER!C17</f>
        <v>LAUREEN ALEJANDRA ACOSTA LOPEZ</v>
      </c>
      <c r="C13" s="64" t="str">
        <f>IF(B13=0,"",IFERROR(VLOOKUP(B13,'S-ASIG-01'!$B$5:$E$88,2,0),0))</f>
        <v>G03</v>
      </c>
      <c r="D13" s="65">
        <f t="shared" si="2"/>
        <v>4.5440000000000005</v>
      </c>
      <c r="E13" s="66">
        <f t="shared" si="3"/>
        <v>4.7375000000000007</v>
      </c>
      <c r="F13" s="47"/>
      <c r="G13" s="71">
        <f>IF(B13=0,"",IFERROR(VLOOKUP(B13,'S-ASIG-01'!$B$5:$E$88,4,0),0))</f>
        <v>4.5000000000000009</v>
      </c>
      <c r="H13" s="72">
        <f>IF(B13=0,"",IFERROR(VLOOKUP(B13,'S-ASIG-02'!$B$5:$E$88,4,0),0))</f>
        <v>4.5999999999999996</v>
      </c>
      <c r="I13" s="72">
        <f>IF(B13=0,"",IFERROR(VLOOKUP(B13,'S-ASIG-03'!$B$5:$E$88,4,0),0))</f>
        <v>4.6800000000000006</v>
      </c>
      <c r="J13" s="72">
        <f>IF(B13=0,"",IFERROR(VLOOKUP(B13,'S-ASIG-04'!$B$5:$E$88,4,0),0))</f>
        <v>4.3900000000000006</v>
      </c>
      <c r="K13" s="72">
        <f>IF(B13=0,"",IFERROR(VLOOKUP(B13,'S-ASIG-05'!$B$5:$E$88,4,0),0))</f>
        <v>4.5500000000000007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126</v>
      </c>
      <c r="O13" s="71">
        <f>IF(B13=0,"",IFERROR(VLOOKUP(B13,'T-ASIG-01'!$B$5:$D$88,3,0),0))</f>
        <v>4.9000000000000004</v>
      </c>
      <c r="P13" s="72">
        <f>IF(B13=0,"",IFERROR(VLOOKUP(B13,'T-ASIG-02'!$B$5:$D$88,3,0),0))</f>
        <v>4.9000000000000004</v>
      </c>
      <c r="Q13" s="72">
        <f>IF(B13=0,"",IFERROR(VLOOKUP(B13,'T-ASIG-03'!$B$5:$D$88,3,0),0))</f>
        <v>0</v>
      </c>
      <c r="R13" s="72">
        <f>IF(B13=0,"",IFERROR(VLOOKUP(B13,'T-ASIG-04'!$B$5:$D$88,3,0),0))</f>
        <v>4.4000000000000004</v>
      </c>
      <c r="S13" s="72">
        <f>IF(B13=0,"",IFERROR(VLOOKUP(B13,'T-ASIG-05'!$B$5:$D$88,3,0),0))</f>
        <v>4.75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127</v>
      </c>
    </row>
    <row r="14" spans="1:22" ht="15" customHeight="1">
      <c r="A14" s="12">
        <v>10</v>
      </c>
      <c r="B14" s="70" t="str">
        <f>LIDER!C18</f>
        <v>CAROL VIVIAN CALDERA PUELLO</v>
      </c>
      <c r="C14" s="64" t="str">
        <f>IF(B14=0,"",IFERROR(VLOOKUP(B14,'S-ASIG-01'!$B$5:$E$88,2,0),0))</f>
        <v>G03</v>
      </c>
      <c r="D14" s="65">
        <f t="shared" si="2"/>
        <v>4.5440000000000005</v>
      </c>
      <c r="E14" s="66">
        <f t="shared" si="3"/>
        <v>4.7375000000000007</v>
      </c>
      <c r="F14" s="47"/>
      <c r="G14" s="71">
        <f>IF(B14=0,"",IFERROR(VLOOKUP(B14,'S-ASIG-01'!$B$5:$E$88,4,0),0))</f>
        <v>4.5000000000000009</v>
      </c>
      <c r="H14" s="72">
        <f>IF(B14=0,"",IFERROR(VLOOKUP(B14,'S-ASIG-02'!$B$5:$E$88,4,0),0))</f>
        <v>4.5999999999999996</v>
      </c>
      <c r="I14" s="72">
        <f>IF(B14=0,"",IFERROR(VLOOKUP(B14,'S-ASIG-03'!$B$5:$E$88,4,0),0))</f>
        <v>4.6800000000000006</v>
      </c>
      <c r="J14" s="72">
        <f>IF(B14=0,"",IFERROR(VLOOKUP(B14,'S-ASIG-04'!$B$5:$E$88,4,0),0))</f>
        <v>4.3900000000000006</v>
      </c>
      <c r="K14" s="72">
        <f>IF(B14=0,"",IFERROR(VLOOKUP(B14,'S-ASIG-05'!$B$5:$E$88,4,0),0))</f>
        <v>4.5500000000000007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126</v>
      </c>
      <c r="O14" s="71">
        <f>IF(B14=0,"",IFERROR(VLOOKUP(B14,'T-ASIG-01'!$B$5:$D$88,3,0),0))</f>
        <v>4.9000000000000004</v>
      </c>
      <c r="P14" s="72">
        <f>IF(B14=0,"",IFERROR(VLOOKUP(B14,'T-ASIG-02'!$B$5:$D$88,3,0),0))</f>
        <v>4.9000000000000004</v>
      </c>
      <c r="Q14" s="72">
        <f>IF(B14=0,"",IFERROR(VLOOKUP(B14,'T-ASIG-03'!$B$5:$D$88,3,0),0))</f>
        <v>0</v>
      </c>
      <c r="R14" s="72">
        <f>IF(B14=0,"",IFERROR(VLOOKUP(B14,'T-ASIG-04'!$B$5:$D$88,3,0),0))</f>
        <v>4.4000000000000004</v>
      </c>
      <c r="S14" s="72">
        <f>IF(B14=0,"",IFERROR(VLOOKUP(B14,'T-ASIG-05'!$B$5:$D$88,3,0),0))</f>
        <v>4.75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127</v>
      </c>
    </row>
    <row r="15" spans="1:22" ht="15" customHeight="1">
      <c r="A15" s="12">
        <v>11</v>
      </c>
      <c r="B15" s="70" t="str">
        <f>LIDER!C19</f>
        <v>JESUS DAVID MONTIEL CUETO</v>
      </c>
      <c r="C15" s="64" t="str">
        <f>IF(B15=0,"",IFERROR(VLOOKUP(B15,'S-ASIG-01'!$B$5:$E$88,2,0),0))</f>
        <v>G03</v>
      </c>
      <c r="D15" s="65">
        <f t="shared" si="2"/>
        <v>4.5440000000000005</v>
      </c>
      <c r="E15" s="66">
        <f t="shared" si="3"/>
        <v>4.7375000000000007</v>
      </c>
      <c r="F15" s="47"/>
      <c r="G15" s="71">
        <f>IF(B15=0,"",IFERROR(VLOOKUP(B15,'S-ASIG-01'!$B$5:$E$88,4,0),0))</f>
        <v>4.5000000000000009</v>
      </c>
      <c r="H15" s="72">
        <f>IF(B15=0,"",IFERROR(VLOOKUP(B15,'S-ASIG-02'!$B$5:$E$88,4,0),0))</f>
        <v>4.5999999999999996</v>
      </c>
      <c r="I15" s="72">
        <f>IF(B15=0,"",IFERROR(VLOOKUP(B15,'S-ASIG-03'!$B$5:$E$88,4,0),0))</f>
        <v>4.6800000000000006</v>
      </c>
      <c r="J15" s="72">
        <f>IF(B15=0,"",IFERROR(VLOOKUP(B15,'S-ASIG-04'!$B$5:$E$88,4,0),0))</f>
        <v>4.3900000000000006</v>
      </c>
      <c r="K15" s="72">
        <f>IF(B15=0,"",IFERROR(VLOOKUP(B15,'S-ASIG-05'!$B$5:$E$88,4,0),0))</f>
        <v>4.5500000000000007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126</v>
      </c>
      <c r="O15" s="71">
        <f>IF(B15=0,"",IFERROR(VLOOKUP(B15,'T-ASIG-01'!$B$5:$D$88,3,0),0))</f>
        <v>4.9000000000000004</v>
      </c>
      <c r="P15" s="72">
        <f>IF(B15=0,"",IFERROR(VLOOKUP(B15,'T-ASIG-02'!$B$5:$D$88,3,0),0))</f>
        <v>4.9000000000000004</v>
      </c>
      <c r="Q15" s="72">
        <f>IF(B15=0,"",IFERROR(VLOOKUP(B15,'T-ASIG-03'!$B$5:$D$88,3,0),0))</f>
        <v>0</v>
      </c>
      <c r="R15" s="72">
        <f>IF(B15=0,"",IFERROR(VLOOKUP(B15,'T-ASIG-04'!$B$5:$D$88,3,0),0))</f>
        <v>4.4000000000000004</v>
      </c>
      <c r="S15" s="72">
        <f>IF(B15=0,"",IFERROR(VLOOKUP(B15,'T-ASIG-05'!$B$5:$D$88,3,0),0))</f>
        <v>4.75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127</v>
      </c>
    </row>
    <row r="16" spans="1:22" ht="15" customHeight="1">
      <c r="A16" s="12">
        <v>12</v>
      </c>
      <c r="B16" s="70" t="str">
        <f>LIDER!C20</f>
        <v>JUAN ANDRES RUIZ PEÑA</v>
      </c>
      <c r="C16" s="64" t="str">
        <f>IF(B16=0,"",IFERROR(VLOOKUP(B16,'S-ASIG-01'!$B$5:$E$88,2,0),0))</f>
        <v>G03</v>
      </c>
      <c r="D16" s="65">
        <f t="shared" si="2"/>
        <v>4.5440000000000005</v>
      </c>
      <c r="E16" s="66">
        <f t="shared" si="3"/>
        <v>4.7375000000000007</v>
      </c>
      <c r="F16" s="47"/>
      <c r="G16" s="71">
        <f>IF(B16=0,"",IFERROR(VLOOKUP(B16,'S-ASIG-01'!$B$5:$E$88,4,0),0))</f>
        <v>4.5000000000000009</v>
      </c>
      <c r="H16" s="72">
        <f>IF(B16=0,"",IFERROR(VLOOKUP(B16,'S-ASIG-02'!$B$5:$E$88,4,0),0))</f>
        <v>4.5999999999999996</v>
      </c>
      <c r="I16" s="72">
        <f>IF(B16=0,"",IFERROR(VLOOKUP(B16,'S-ASIG-03'!$B$5:$E$88,4,0),0))</f>
        <v>4.6800000000000006</v>
      </c>
      <c r="J16" s="72">
        <f>IF(B16=0,"",IFERROR(VLOOKUP(B16,'S-ASIG-04'!$B$5:$E$88,4,0),0))</f>
        <v>4.3900000000000006</v>
      </c>
      <c r="K16" s="72">
        <f>IF(B16=0,"",IFERROR(VLOOKUP(B16,'S-ASIG-05'!$B$5:$E$88,4,0),0))</f>
        <v>4.5500000000000007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126</v>
      </c>
      <c r="O16" s="71">
        <f>IF(B16=0,"",IFERROR(VLOOKUP(B16,'T-ASIG-01'!$B$5:$D$88,3,0),0))</f>
        <v>4.9000000000000004</v>
      </c>
      <c r="P16" s="72">
        <f>IF(B16=0,"",IFERROR(VLOOKUP(B16,'T-ASIG-02'!$B$5:$D$88,3,0),0))</f>
        <v>4.9000000000000004</v>
      </c>
      <c r="Q16" s="72">
        <f>IF(B16=0,"",IFERROR(VLOOKUP(B16,'T-ASIG-03'!$B$5:$D$88,3,0),0))</f>
        <v>0</v>
      </c>
      <c r="R16" s="72">
        <f>IF(B16=0,"",IFERROR(VLOOKUP(B16,'T-ASIG-04'!$B$5:$D$88,3,0),0))</f>
        <v>4.4000000000000004</v>
      </c>
      <c r="S16" s="72">
        <f>IF(B16=0,"",IFERROR(VLOOKUP(B16,'T-ASIG-05'!$B$5:$D$88,3,0),0))</f>
        <v>4.75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127</v>
      </c>
    </row>
    <row r="17" spans="1:22" ht="15" customHeight="1">
      <c r="A17" s="12">
        <v>13</v>
      </c>
      <c r="B17" s="70" t="str">
        <f>LIDER!C21</f>
        <v>EDUARDO LUIS GÓMEZ PEREZ</v>
      </c>
      <c r="C17" s="64" t="str">
        <f>IF(B17=0,"",IFERROR(VLOOKUP(B17,'S-ASIG-01'!$B$5:$E$88,2,0),0))</f>
        <v>G04</v>
      </c>
      <c r="D17" s="65">
        <f t="shared" si="2"/>
        <v>4.3100000000000005</v>
      </c>
      <c r="E17" s="66">
        <f t="shared" si="3"/>
        <v>4.5374999999999996</v>
      </c>
      <c r="F17" s="47"/>
      <c r="G17" s="71">
        <f>IF(B17=0,"",IFERROR(VLOOKUP(B17,'S-ASIG-01'!$B$5:$E$88,4,0),0))</f>
        <v>4.4000000000000004</v>
      </c>
      <c r="H17" s="72">
        <f>IF(B17=0,"",IFERROR(VLOOKUP(B17,'S-ASIG-02'!$B$5:$E$88,4,0),0))</f>
        <v>4.75</v>
      </c>
      <c r="I17" s="72">
        <f>IF(B17=0,"",IFERROR(VLOOKUP(B17,'S-ASIG-03'!$B$5:$E$88,4,0),0))</f>
        <v>4.58</v>
      </c>
      <c r="J17" s="72">
        <f>IF(B17=0,"",IFERROR(VLOOKUP(B17,'S-ASIG-04'!$B$5:$E$88,4,0),0))</f>
        <v>4.0500000000000007</v>
      </c>
      <c r="K17" s="72">
        <f>IF(B17=0,"",IFERROR(VLOOKUP(B17,'S-ASIG-05'!$B$5:$E$88,4,0),0))</f>
        <v>3.7700000000000005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126</v>
      </c>
      <c r="O17" s="71">
        <f>IF(B17=0,"",IFERROR(VLOOKUP(B17,'T-ASIG-01'!$B$5:$D$88,3,0),0))</f>
        <v>4.8499999999999996</v>
      </c>
      <c r="P17" s="72">
        <f>IF(B17=0,"",IFERROR(VLOOKUP(B17,'T-ASIG-02'!$B$5:$D$88,3,0),0))</f>
        <v>4.5</v>
      </c>
      <c r="Q17" s="72">
        <f>IF(B17=0,"",IFERROR(VLOOKUP(B17,'T-ASIG-03'!$B$5:$D$88,3,0),0))</f>
        <v>0</v>
      </c>
      <c r="R17" s="72">
        <f>IF(B17=0,"",IFERROR(VLOOKUP(B17,'T-ASIG-04'!$B$5:$D$88,3,0),0))</f>
        <v>4.3</v>
      </c>
      <c r="S17" s="72">
        <f>IF(B17=0,"",IFERROR(VLOOKUP(B17,'T-ASIG-05'!$B$5:$D$88,3,0),0))</f>
        <v>4.5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127</v>
      </c>
    </row>
    <row r="18" spans="1:22" ht="15" customHeight="1">
      <c r="A18" s="12">
        <v>14</v>
      </c>
      <c r="B18" s="70" t="str">
        <f>LIDER!C22</f>
        <v>STIVEN JAVIER HOYOS DIAS</v>
      </c>
      <c r="C18" s="64" t="str">
        <f>IF(B18=0,"",IFERROR(VLOOKUP(B18,'S-ASIG-01'!$B$5:$E$88,2,0),0))</f>
        <v>G04</v>
      </c>
      <c r="D18" s="65">
        <f t="shared" si="2"/>
        <v>4.3100000000000005</v>
      </c>
      <c r="E18" s="66">
        <f t="shared" si="3"/>
        <v>4.5374999999999996</v>
      </c>
      <c r="F18" s="47"/>
      <c r="G18" s="71">
        <f>IF(B18=0,"",IFERROR(VLOOKUP(B18,'S-ASIG-01'!$B$5:$E$88,4,0),0))</f>
        <v>4.4000000000000004</v>
      </c>
      <c r="H18" s="72">
        <f>IF(B18=0,"",IFERROR(VLOOKUP(B18,'S-ASIG-02'!$B$5:$E$88,4,0),0))</f>
        <v>4.75</v>
      </c>
      <c r="I18" s="72">
        <f>IF(B18=0,"",IFERROR(VLOOKUP(B18,'S-ASIG-03'!$B$5:$E$88,4,0),0))</f>
        <v>4.58</v>
      </c>
      <c r="J18" s="72">
        <f>IF(B18=0,"",IFERROR(VLOOKUP(B18,'S-ASIG-04'!$B$5:$E$88,4,0),0))</f>
        <v>4.0500000000000007</v>
      </c>
      <c r="K18" s="72">
        <f>IF(B18=0,"",IFERROR(VLOOKUP(B18,'S-ASIG-05'!$B$5:$E$88,4,0),0))</f>
        <v>3.7700000000000005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126</v>
      </c>
      <c r="O18" s="71">
        <f>IF(B18=0,"",IFERROR(VLOOKUP(B18,'T-ASIG-01'!$B$5:$D$88,3,0),0))</f>
        <v>4.8499999999999996</v>
      </c>
      <c r="P18" s="72">
        <f>IF(B18=0,"",IFERROR(VLOOKUP(B18,'T-ASIG-02'!$B$5:$D$88,3,0),0))</f>
        <v>4.5</v>
      </c>
      <c r="Q18" s="72">
        <f>IF(B18=0,"",IFERROR(VLOOKUP(B18,'T-ASIG-03'!$B$5:$D$88,3,0),0))</f>
        <v>0</v>
      </c>
      <c r="R18" s="72">
        <f>IF(B18=0,"",IFERROR(VLOOKUP(B18,'T-ASIG-04'!$B$5:$D$88,3,0),0))</f>
        <v>4.3</v>
      </c>
      <c r="S18" s="72">
        <f>IF(B18=0,"",IFERROR(VLOOKUP(B18,'T-ASIG-05'!$B$5:$D$88,3,0),0))</f>
        <v>4.5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127</v>
      </c>
    </row>
    <row r="19" spans="1:22" ht="15" customHeight="1">
      <c r="A19" s="12">
        <v>15</v>
      </c>
      <c r="B19" s="70" t="str">
        <f>LIDER!C23</f>
        <v>JORGE ANDRES NIÑO SERRANO</v>
      </c>
      <c r="C19" s="64" t="str">
        <f>IF(B19=0,"",IFERROR(VLOOKUP(B19,'S-ASIG-01'!$B$5:$E$88,2,0),0))</f>
        <v>G04</v>
      </c>
      <c r="D19" s="65">
        <f t="shared" si="2"/>
        <v>4.3100000000000005</v>
      </c>
      <c r="E19" s="66">
        <f t="shared" si="3"/>
        <v>4.5374999999999996</v>
      </c>
      <c r="F19" s="47"/>
      <c r="G19" s="71">
        <f>IF(B19=0,"",IFERROR(VLOOKUP(B19,'S-ASIG-01'!$B$5:$E$88,4,0),0))</f>
        <v>4.4000000000000004</v>
      </c>
      <c r="H19" s="72">
        <f>IF(B19=0,"",IFERROR(VLOOKUP(B19,'S-ASIG-02'!$B$5:$E$88,4,0),0))</f>
        <v>4.75</v>
      </c>
      <c r="I19" s="72">
        <f>IF(B19=0,"",IFERROR(VLOOKUP(B19,'S-ASIG-03'!$B$5:$E$88,4,0),0))</f>
        <v>4.58</v>
      </c>
      <c r="J19" s="72">
        <f>IF(B19=0,"",IFERROR(VLOOKUP(B19,'S-ASIG-04'!$B$5:$E$88,4,0),0))</f>
        <v>4.0500000000000007</v>
      </c>
      <c r="K19" s="72">
        <f>IF(B19=0,"",IFERROR(VLOOKUP(B19,'S-ASIG-05'!$B$5:$E$88,4,0),0))</f>
        <v>3.7700000000000005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126</v>
      </c>
      <c r="O19" s="71">
        <f>IF(B19=0,"",IFERROR(VLOOKUP(B19,'T-ASIG-01'!$B$5:$D$88,3,0),0))</f>
        <v>4.8499999999999996</v>
      </c>
      <c r="P19" s="72">
        <f>IF(B19=0,"",IFERROR(VLOOKUP(B19,'T-ASIG-02'!$B$5:$D$88,3,0),0))</f>
        <v>4.5</v>
      </c>
      <c r="Q19" s="72">
        <f>IF(B19=0,"",IFERROR(VLOOKUP(B19,'T-ASIG-03'!$B$5:$D$88,3,0),0))</f>
        <v>0</v>
      </c>
      <c r="R19" s="72">
        <f>IF(B19=0,"",IFERROR(VLOOKUP(B19,'T-ASIG-04'!$B$5:$D$88,3,0),0))</f>
        <v>4.3</v>
      </c>
      <c r="S19" s="72">
        <f>IF(B19=0,"",IFERROR(VLOOKUP(B19,'T-ASIG-05'!$B$5:$D$88,3,0),0))</f>
        <v>4.5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127</v>
      </c>
    </row>
    <row r="20" spans="1:22" ht="15" customHeight="1">
      <c r="A20" s="12">
        <v>16</v>
      </c>
      <c r="B20" s="70" t="str">
        <f>LIDER!C24</f>
        <v>JESSENIA PEREZ GARCIA</v>
      </c>
      <c r="C20" s="64" t="str">
        <f>IF(B20=0,"",IFERROR(VLOOKUP(B20,'S-ASIG-01'!$B$5:$E$88,2,0),0))</f>
        <v>G04</v>
      </c>
      <c r="D20" s="65">
        <f t="shared" si="2"/>
        <v>4.3100000000000005</v>
      </c>
      <c r="E20" s="66">
        <f t="shared" si="3"/>
        <v>4.5374999999999996</v>
      </c>
      <c r="F20" s="47"/>
      <c r="G20" s="71">
        <f>IF(B20=0,"",IFERROR(VLOOKUP(B20,'S-ASIG-01'!$B$5:$E$88,4,0),0))</f>
        <v>4.4000000000000004</v>
      </c>
      <c r="H20" s="72">
        <f>IF(B20=0,"",IFERROR(VLOOKUP(B20,'S-ASIG-02'!$B$5:$E$88,4,0),0))</f>
        <v>4.75</v>
      </c>
      <c r="I20" s="72">
        <f>IF(B20=0,"",IFERROR(VLOOKUP(B20,'S-ASIG-03'!$B$5:$E$88,4,0),0))</f>
        <v>4.58</v>
      </c>
      <c r="J20" s="72">
        <f>IF(B20=0,"",IFERROR(VLOOKUP(B20,'S-ASIG-04'!$B$5:$E$88,4,0),0))</f>
        <v>4.0500000000000007</v>
      </c>
      <c r="K20" s="72">
        <f>IF(B20=0,"",IFERROR(VLOOKUP(B20,'S-ASIG-05'!$B$5:$E$88,4,0),0))</f>
        <v>3.7700000000000005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126</v>
      </c>
      <c r="O20" s="71">
        <f>IF(B20=0,"",IFERROR(VLOOKUP(B20,'T-ASIG-01'!$B$5:$D$88,3,0),0))</f>
        <v>4.8499999999999996</v>
      </c>
      <c r="P20" s="72">
        <f>IF(B20=0,"",IFERROR(VLOOKUP(B20,'T-ASIG-02'!$B$5:$D$88,3,0),0))</f>
        <v>4.5</v>
      </c>
      <c r="Q20" s="72">
        <f>IF(B20=0,"",IFERROR(VLOOKUP(B20,'T-ASIG-03'!$B$5:$D$88,3,0),0))</f>
        <v>0</v>
      </c>
      <c r="R20" s="72">
        <f>IF(B20=0,"",IFERROR(VLOOKUP(B20,'T-ASIG-04'!$B$5:$D$88,3,0),0))</f>
        <v>4.3</v>
      </c>
      <c r="S20" s="72">
        <f>IF(B20=0,"",IFERROR(VLOOKUP(B20,'T-ASIG-05'!$B$5:$D$88,3,0),0))</f>
        <v>4.5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127</v>
      </c>
    </row>
    <row r="21" spans="1:22" ht="15" customHeight="1">
      <c r="A21" s="12">
        <v>17</v>
      </c>
      <c r="B21" s="70" t="str">
        <f>LIDER!C25</f>
        <v>DANIELA RAMIREZ QUIROZ</v>
      </c>
      <c r="C21" s="64" t="str">
        <f>IF(B21=0,"",IFERROR(VLOOKUP(B21,'S-ASIG-01'!$B$5:$E$88,2,0),0))</f>
        <v>G04</v>
      </c>
      <c r="D21" s="65">
        <f t="shared" si="2"/>
        <v>4.3100000000000005</v>
      </c>
      <c r="E21" s="66">
        <f t="shared" si="3"/>
        <v>4.5374999999999996</v>
      </c>
      <c r="F21" s="47"/>
      <c r="G21" s="71">
        <f>IF(B21=0,"",IFERROR(VLOOKUP(B21,'S-ASIG-01'!$B$5:$E$88,4,0),0))</f>
        <v>4.4000000000000004</v>
      </c>
      <c r="H21" s="72">
        <f>IF(B21=0,"",IFERROR(VLOOKUP(B21,'S-ASIG-02'!$B$5:$E$88,4,0),0))</f>
        <v>4.75</v>
      </c>
      <c r="I21" s="72">
        <f>IF(B21=0,"",IFERROR(VLOOKUP(B21,'S-ASIG-03'!$B$5:$E$88,4,0),0))</f>
        <v>4.58</v>
      </c>
      <c r="J21" s="72">
        <f>IF(B21=0,"",IFERROR(VLOOKUP(B21,'S-ASIG-04'!$B$5:$E$88,4,0),0))</f>
        <v>4.0500000000000007</v>
      </c>
      <c r="K21" s="72">
        <f>IF(B21=0,"",IFERROR(VLOOKUP(B21,'S-ASIG-05'!$B$5:$E$88,4,0),0))</f>
        <v>3.7700000000000005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126</v>
      </c>
      <c r="O21" s="71">
        <f>IF(B21=0,"",IFERROR(VLOOKUP(B21,'T-ASIG-01'!$B$5:$D$88,3,0),0))</f>
        <v>4.8499999999999996</v>
      </c>
      <c r="P21" s="72">
        <f>IF(B21=0,"",IFERROR(VLOOKUP(B21,'T-ASIG-02'!$B$5:$D$88,3,0),0))</f>
        <v>4.5</v>
      </c>
      <c r="Q21" s="72">
        <f>IF(B21=0,"",IFERROR(VLOOKUP(B21,'T-ASIG-03'!$B$5:$D$88,3,0),0))</f>
        <v>0</v>
      </c>
      <c r="R21" s="72">
        <f>IF(B21=0,"",IFERROR(VLOOKUP(B21,'T-ASIG-04'!$B$5:$D$88,3,0),0))</f>
        <v>4.3</v>
      </c>
      <c r="S21" s="72">
        <f>IF(B21=0,"",IFERROR(VLOOKUP(B21,'T-ASIG-05'!$B$5:$D$88,3,0),0))</f>
        <v>4.5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127</v>
      </c>
    </row>
    <row r="22" spans="1:22" ht="15" customHeight="1">
      <c r="A22" s="12">
        <v>18</v>
      </c>
      <c r="B22" s="70" t="str">
        <f>LIDER!C26</f>
        <v>EMMANUEL ENRIQUE RUIZ DIAZ</v>
      </c>
      <c r="C22" s="64" t="str">
        <f>IF(B22=0,"",IFERROR(VLOOKUP(B22,'S-ASIG-01'!$B$5:$E$88,2,0),0))</f>
        <v>G04</v>
      </c>
      <c r="D22" s="65">
        <f t="shared" si="2"/>
        <v>4.3100000000000005</v>
      </c>
      <c r="E22" s="66">
        <f t="shared" si="3"/>
        <v>3.9124999999999996</v>
      </c>
      <c r="F22" s="47"/>
      <c r="G22" s="71">
        <f>IF(B22=0,"",IFERROR(VLOOKUP(B22,'S-ASIG-01'!$B$5:$E$88,4,0),0))</f>
        <v>4.4000000000000004</v>
      </c>
      <c r="H22" s="72">
        <f>IF(B22=0,"",IFERROR(VLOOKUP(B22,'S-ASIG-02'!$B$5:$E$88,4,0),0))</f>
        <v>4.75</v>
      </c>
      <c r="I22" s="72">
        <f>IF(B22=0,"",IFERROR(VLOOKUP(B22,'S-ASIG-03'!$B$5:$E$88,4,0),0))</f>
        <v>4.58</v>
      </c>
      <c r="J22" s="72">
        <f>IF(B22=0,"",IFERROR(VLOOKUP(B22,'S-ASIG-04'!$B$5:$E$88,4,0),0))</f>
        <v>4.0500000000000007</v>
      </c>
      <c r="K22" s="72">
        <f>IF(B22=0,"",IFERROR(VLOOKUP(B22,'S-ASIG-05'!$B$5:$E$88,4,0),0))</f>
        <v>3.7700000000000005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126</v>
      </c>
      <c r="O22" s="71">
        <f>IF(B22=0,"",IFERROR(VLOOKUP(B22,'T-ASIG-01'!$B$5:$D$88,3,0),0))</f>
        <v>2.35</v>
      </c>
      <c r="P22" s="72">
        <f>IF(B22=0,"",IFERROR(VLOOKUP(B22,'T-ASIG-02'!$B$5:$D$88,3,0),0))</f>
        <v>4.5</v>
      </c>
      <c r="Q22" s="72">
        <f>IF(B22=0,"",IFERROR(VLOOKUP(B22,'T-ASIG-03'!$B$5:$D$88,3,0),0))</f>
        <v>0</v>
      </c>
      <c r="R22" s="72">
        <f>IF(B22=0,"",IFERROR(VLOOKUP(B22,'T-ASIG-04'!$B$5:$D$88,3,0),0))</f>
        <v>4.3</v>
      </c>
      <c r="S22" s="72">
        <f>IF(B22=0,"",IFERROR(VLOOKUP(B22,'T-ASIG-05'!$B$5:$D$88,3,0),0))</f>
        <v>4.5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127</v>
      </c>
    </row>
    <row r="23" spans="1:22" ht="15" customHeight="1">
      <c r="A23" s="12">
        <v>19</v>
      </c>
      <c r="B23" s="70" t="str">
        <f>LIDER!C27</f>
        <v>DIEGO ALEJANDRO CANCIO POLO</v>
      </c>
      <c r="C23" s="64" t="str">
        <f>IF(B23=0,"",IFERROR(VLOOKUP(B23,'S-ASIG-01'!$B$5:$E$88,2,0),0))</f>
        <v>G05</v>
      </c>
      <c r="D23" s="65">
        <f t="shared" si="2"/>
        <v>4.3040000000000003</v>
      </c>
      <c r="E23" s="66">
        <f t="shared" si="3"/>
        <v>4.5124999999999993</v>
      </c>
      <c r="F23" s="47"/>
      <c r="G23" s="71">
        <f>IF(B23=0,"",IFERROR(VLOOKUP(B23,'S-ASIG-01'!$B$5:$E$88,4,0),0))</f>
        <v>4.3</v>
      </c>
      <c r="H23" s="72">
        <f>IF(B23=0,"",IFERROR(VLOOKUP(B23,'S-ASIG-02'!$B$5:$E$88,4,0),0))</f>
        <v>4.45</v>
      </c>
      <c r="I23" s="72">
        <f>IF(B23=0,"",IFERROR(VLOOKUP(B23,'S-ASIG-03'!$B$5:$E$88,4,0),0))</f>
        <v>4.75</v>
      </c>
      <c r="J23" s="72">
        <f>IF(B23=0,"",IFERROR(VLOOKUP(B23,'S-ASIG-04'!$B$5:$E$88,4,0),0))</f>
        <v>4.120000000000001</v>
      </c>
      <c r="K23" s="72">
        <f>IF(B23=0,"",IFERROR(VLOOKUP(B23,'S-ASIG-05'!$B$5:$E$88,4,0),0))</f>
        <v>3.9000000000000004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126</v>
      </c>
      <c r="O23" s="71">
        <f>IF(B23=0,"",IFERROR(VLOOKUP(B23,'T-ASIG-01'!$B$5:$D$88,3,0),0))</f>
        <v>4.8</v>
      </c>
      <c r="P23" s="72">
        <f>IF(B23=0,"",IFERROR(VLOOKUP(B23,'T-ASIG-02'!$B$5:$D$88,3,0),0))</f>
        <v>4.3499999999999996</v>
      </c>
      <c r="Q23" s="72">
        <f>IF(B23=0,"",IFERROR(VLOOKUP(B23,'T-ASIG-03'!$B$5:$D$88,3,0),0))</f>
        <v>0</v>
      </c>
      <c r="R23" s="72">
        <f>IF(B23=0,"",IFERROR(VLOOKUP(B23,'T-ASIG-04'!$B$5:$D$88,3,0),0))</f>
        <v>4.4000000000000004</v>
      </c>
      <c r="S23" s="72">
        <f>IF(B23=0,"",IFERROR(VLOOKUP(B23,'T-ASIG-05'!$B$5:$D$88,3,0),0))</f>
        <v>4.5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127</v>
      </c>
    </row>
    <row r="24" spans="1:22" ht="15" customHeight="1">
      <c r="A24" s="12">
        <v>20</v>
      </c>
      <c r="B24" s="70" t="str">
        <f>LIDER!C28</f>
        <v>ISAAC DAVID DE AVILA CABEZA</v>
      </c>
      <c r="C24" s="64" t="str">
        <f>IF(B24=0,"",IFERROR(VLOOKUP(B24,'S-ASIG-01'!$B$5:$E$88,2,0),0))</f>
        <v>G05</v>
      </c>
      <c r="D24" s="65">
        <f t="shared" si="2"/>
        <v>4.3040000000000003</v>
      </c>
      <c r="E24" s="66">
        <f t="shared" si="3"/>
        <v>4.5124999999999993</v>
      </c>
      <c r="F24" s="47"/>
      <c r="G24" s="71">
        <f>IF(B24=0,"",IFERROR(VLOOKUP(B24,'S-ASIG-01'!$B$5:$E$88,4,0),0))</f>
        <v>4.3</v>
      </c>
      <c r="H24" s="72">
        <f>IF(B24=0,"",IFERROR(VLOOKUP(B24,'S-ASIG-02'!$B$5:$E$88,4,0),0))</f>
        <v>4.45</v>
      </c>
      <c r="I24" s="72">
        <f>IF(B24=0,"",IFERROR(VLOOKUP(B24,'S-ASIG-03'!$B$5:$E$88,4,0),0))</f>
        <v>4.75</v>
      </c>
      <c r="J24" s="72">
        <f>IF(B24=0,"",IFERROR(VLOOKUP(B24,'S-ASIG-04'!$B$5:$E$88,4,0),0))</f>
        <v>4.120000000000001</v>
      </c>
      <c r="K24" s="72">
        <f>IF(B24=0,"",IFERROR(VLOOKUP(B24,'S-ASIG-05'!$B$5:$E$88,4,0),0))</f>
        <v>3.9000000000000004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126</v>
      </c>
      <c r="O24" s="71">
        <f>IF(B24=0,"",IFERROR(VLOOKUP(B24,'T-ASIG-01'!$B$5:$D$88,3,0),0))</f>
        <v>4.8</v>
      </c>
      <c r="P24" s="72">
        <f>IF(B24=0,"",IFERROR(VLOOKUP(B24,'T-ASIG-02'!$B$5:$D$88,3,0),0))</f>
        <v>4.3499999999999996</v>
      </c>
      <c r="Q24" s="72">
        <f>IF(B24=0,"",IFERROR(VLOOKUP(B24,'T-ASIG-03'!$B$5:$D$88,3,0),0))</f>
        <v>0</v>
      </c>
      <c r="R24" s="72">
        <f>IF(B24=0,"",IFERROR(VLOOKUP(B24,'T-ASIG-04'!$B$5:$D$88,3,0),0))</f>
        <v>4.4000000000000004</v>
      </c>
      <c r="S24" s="72">
        <f>IF(B24=0,"",IFERROR(VLOOKUP(B24,'T-ASIG-05'!$B$5:$D$88,3,0),0))</f>
        <v>4.5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127</v>
      </c>
    </row>
    <row r="25" spans="1:22" ht="15" customHeight="1">
      <c r="A25" s="12">
        <v>21</v>
      </c>
      <c r="B25" s="70" t="str">
        <f>LIDER!C29</f>
        <v>ADRIANA LUCIA DIAZ MORENO</v>
      </c>
      <c r="C25" s="64" t="str">
        <f>IF(B25=0,"",IFERROR(VLOOKUP(B25,'S-ASIG-01'!$B$5:$E$88,2,0),0))</f>
        <v>G05</v>
      </c>
      <c r="D25" s="65">
        <f t="shared" si="2"/>
        <v>4.3040000000000003</v>
      </c>
      <c r="E25" s="66">
        <f t="shared" si="3"/>
        <v>4.5124999999999993</v>
      </c>
      <c r="F25" s="47"/>
      <c r="G25" s="71">
        <f>IF(B25=0,"",IFERROR(VLOOKUP(B25,'S-ASIG-01'!$B$5:$E$88,4,0),0))</f>
        <v>4.3</v>
      </c>
      <c r="H25" s="72">
        <f>IF(B25=0,"",IFERROR(VLOOKUP(B25,'S-ASIG-02'!$B$5:$E$88,4,0),0))</f>
        <v>4.45</v>
      </c>
      <c r="I25" s="72">
        <f>IF(B25=0,"",IFERROR(VLOOKUP(B25,'S-ASIG-03'!$B$5:$E$88,4,0),0))</f>
        <v>4.75</v>
      </c>
      <c r="J25" s="72">
        <f>IF(B25=0,"",IFERROR(VLOOKUP(B25,'S-ASIG-04'!$B$5:$E$88,4,0),0))</f>
        <v>4.120000000000001</v>
      </c>
      <c r="K25" s="72">
        <f>IF(B25=0,"",IFERROR(VLOOKUP(B25,'S-ASIG-05'!$B$5:$E$88,4,0),0))</f>
        <v>3.9000000000000004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126</v>
      </c>
      <c r="O25" s="71">
        <f>IF(B25=0,"",IFERROR(VLOOKUP(B25,'T-ASIG-01'!$B$5:$D$88,3,0),0))</f>
        <v>4.8</v>
      </c>
      <c r="P25" s="72">
        <f>IF(B25=0,"",IFERROR(VLOOKUP(B25,'T-ASIG-02'!$B$5:$D$88,3,0),0))</f>
        <v>4.3499999999999996</v>
      </c>
      <c r="Q25" s="72">
        <f>IF(B25=0,"",IFERROR(VLOOKUP(B25,'T-ASIG-03'!$B$5:$D$88,3,0),0))</f>
        <v>0</v>
      </c>
      <c r="R25" s="72">
        <f>IF(B25=0,"",IFERROR(VLOOKUP(B25,'T-ASIG-04'!$B$5:$D$88,3,0),0))</f>
        <v>4.4000000000000004</v>
      </c>
      <c r="S25" s="72">
        <f>IF(B25=0,"",IFERROR(VLOOKUP(B25,'T-ASIG-05'!$B$5:$D$88,3,0),0))</f>
        <v>4.5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127</v>
      </c>
    </row>
    <row r="26" spans="1:22" ht="15" customHeight="1">
      <c r="A26" s="12">
        <v>22</v>
      </c>
      <c r="B26" s="70" t="str">
        <f>LIDER!C30</f>
        <v>LEVI MATURANA AGUALIMPIA</v>
      </c>
      <c r="C26" s="64" t="str">
        <f>IF(B26=0,"",IFERROR(VLOOKUP(B26,'S-ASIG-01'!$B$5:$E$88,2,0),0))</f>
        <v>G05</v>
      </c>
      <c r="D26" s="65">
        <f t="shared" si="2"/>
        <v>4.3040000000000003</v>
      </c>
      <c r="E26" s="66">
        <f t="shared" si="3"/>
        <v>4.5124999999999993</v>
      </c>
      <c r="F26" s="47"/>
      <c r="G26" s="71">
        <f>IF(B26=0,"",IFERROR(VLOOKUP(B26,'S-ASIG-01'!$B$5:$E$88,4,0),0))</f>
        <v>4.3</v>
      </c>
      <c r="H26" s="72">
        <f>IF(B26=0,"",IFERROR(VLOOKUP(B26,'S-ASIG-02'!$B$5:$E$88,4,0),0))</f>
        <v>4.45</v>
      </c>
      <c r="I26" s="72">
        <f>IF(B26=0,"",IFERROR(VLOOKUP(B26,'S-ASIG-03'!$B$5:$E$88,4,0),0))</f>
        <v>4.75</v>
      </c>
      <c r="J26" s="72">
        <f>IF(B26=0,"",IFERROR(VLOOKUP(B26,'S-ASIG-04'!$B$5:$E$88,4,0),0))</f>
        <v>4.120000000000001</v>
      </c>
      <c r="K26" s="72">
        <f>IF(B26=0,"",IFERROR(VLOOKUP(B26,'S-ASIG-05'!$B$5:$E$88,4,0),0))</f>
        <v>3.9000000000000004</v>
      </c>
      <c r="L26" s="72">
        <f>IF(B26=0,"",IFERROR(VLOOKUP(B26,'S-ASIG-06'!$B$5:$E$88,4,0),0))</f>
        <v>0</v>
      </c>
      <c r="M26" s="73">
        <f>IF(B26=0,"",IFERROR(VLOOKUP(B26,'S-ASIG-07'!$B$5:$E$88,4,0),0))</f>
        <v>0</v>
      </c>
      <c r="N26" s="68" t="s">
        <v>126</v>
      </c>
      <c r="O26" s="71">
        <f>IF(B26=0,"",IFERROR(VLOOKUP(B26,'T-ASIG-01'!$B$5:$D$88,3,0),0))</f>
        <v>4.8</v>
      </c>
      <c r="P26" s="72">
        <f>IF(B26=0,"",IFERROR(VLOOKUP(B26,'T-ASIG-02'!$B$5:$D$88,3,0),0))</f>
        <v>4.3499999999999996</v>
      </c>
      <c r="Q26" s="72">
        <f>IF(B26=0,"",IFERROR(VLOOKUP(B26,'T-ASIG-03'!$B$5:$D$88,3,0),0))</f>
        <v>0</v>
      </c>
      <c r="R26" s="72">
        <f>IF(B26=0,"",IFERROR(VLOOKUP(B26,'T-ASIG-04'!$B$5:$D$88,3,0),0))</f>
        <v>4.4000000000000004</v>
      </c>
      <c r="S26" s="72">
        <f>IF(B26=0,"",IFERROR(VLOOKUP(B26,'T-ASIG-05'!$B$5:$D$88,3,0),0))</f>
        <v>4.5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127</v>
      </c>
    </row>
    <row r="27" spans="1:22" ht="15" customHeight="1">
      <c r="A27" s="12">
        <v>23</v>
      </c>
      <c r="B27" s="70" t="str">
        <f>LIDER!C31</f>
        <v>AYSA IVANNA SEK PÉREZ</v>
      </c>
      <c r="C27" s="64" t="str">
        <f>IF(B27=0,"",IFERROR(VLOOKUP(B27,'S-ASIG-01'!$B$5:$E$88,2,0),0))</f>
        <v>G05</v>
      </c>
      <c r="D27" s="65">
        <f t="shared" si="2"/>
        <v>4.3040000000000003</v>
      </c>
      <c r="E27" s="66">
        <f t="shared" si="3"/>
        <v>4.5124999999999993</v>
      </c>
      <c r="F27" s="47"/>
      <c r="G27" s="71">
        <f>IF(B27=0,"",IFERROR(VLOOKUP(B27,'S-ASIG-01'!$B$5:$E$88,4,0),0))</f>
        <v>4.3</v>
      </c>
      <c r="H27" s="72">
        <f>IF(B27=0,"",IFERROR(VLOOKUP(B27,'S-ASIG-02'!$B$5:$E$88,4,0),0))</f>
        <v>4.45</v>
      </c>
      <c r="I27" s="72">
        <f>IF(B27=0,"",IFERROR(VLOOKUP(B27,'S-ASIG-03'!$B$5:$E$88,4,0),0))</f>
        <v>4.75</v>
      </c>
      <c r="J27" s="72">
        <f>IF(B27=0,"",IFERROR(VLOOKUP(B27,'S-ASIG-04'!$B$5:$E$88,4,0),0))</f>
        <v>4.120000000000001</v>
      </c>
      <c r="K27" s="72">
        <f>IF(B27=0,"",IFERROR(VLOOKUP(B27,'S-ASIG-05'!$B$5:$E$88,4,0),0))</f>
        <v>3.9000000000000004</v>
      </c>
      <c r="L27" s="72">
        <f>IF(B27=0,"",IFERROR(VLOOKUP(B27,'S-ASIG-06'!$B$5:$E$88,4,0),0))</f>
        <v>0</v>
      </c>
      <c r="M27" s="73">
        <f>IF(B27=0,"",IFERROR(VLOOKUP(B27,'S-ASIG-07'!$B$5:$E$88,4,0),0))</f>
        <v>0</v>
      </c>
      <c r="N27" s="68" t="s">
        <v>126</v>
      </c>
      <c r="O27" s="71">
        <f>IF(B27=0,"",IFERROR(VLOOKUP(B27,'T-ASIG-01'!$B$5:$D$88,3,0),0))</f>
        <v>4.8</v>
      </c>
      <c r="P27" s="72">
        <f>IF(B27=0,"",IFERROR(VLOOKUP(B27,'T-ASIG-02'!$B$5:$D$88,3,0),0))</f>
        <v>4.3499999999999996</v>
      </c>
      <c r="Q27" s="72">
        <f>IF(B27=0,"",IFERROR(VLOOKUP(B27,'T-ASIG-03'!$B$5:$D$88,3,0),0))</f>
        <v>0</v>
      </c>
      <c r="R27" s="72">
        <f>IF(B27=0,"",IFERROR(VLOOKUP(B27,'T-ASIG-04'!$B$5:$D$88,3,0),0))</f>
        <v>4.4000000000000004</v>
      </c>
      <c r="S27" s="72">
        <f>IF(B27=0,"",IFERROR(VLOOKUP(B27,'T-ASIG-05'!$B$5:$D$88,3,0),0))</f>
        <v>4.5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127</v>
      </c>
    </row>
    <row r="28" spans="1:22" ht="15" customHeight="1">
      <c r="A28" s="12">
        <v>24</v>
      </c>
      <c r="B28" s="70" t="str">
        <f>LIDER!C32</f>
        <v>YENIFFER MICHELL ACUÑA PEREZ</v>
      </c>
      <c r="C28" s="64" t="str">
        <f>IF(B28=0,"",IFERROR(VLOOKUP(B28,'S-ASIG-01'!$B$5:$E$88,2,0),0))</f>
        <v>G06</v>
      </c>
      <c r="D28" s="65">
        <f t="shared" si="2"/>
        <v>4.016</v>
      </c>
      <c r="E28" s="66">
        <f t="shared" si="3"/>
        <v>4.3875000000000002</v>
      </c>
      <c r="F28" s="47"/>
      <c r="G28" s="71">
        <f>IF(B28=0,"",IFERROR(VLOOKUP(B28,'S-ASIG-01'!$B$5:$E$88,4,0),0))</f>
        <v>3.9999999999999996</v>
      </c>
      <c r="H28" s="72">
        <f>IF(B28=0,"",IFERROR(VLOOKUP(B28,'S-ASIG-02'!$B$5:$E$88,4,0),0))</f>
        <v>4.75</v>
      </c>
      <c r="I28" s="72">
        <f>IF(B28=0,"",IFERROR(VLOOKUP(B28,'S-ASIG-03'!$B$5:$E$88,4,0),0))</f>
        <v>4.5100000000000007</v>
      </c>
      <c r="J28" s="72">
        <f>IF(B28=0,"",IFERROR(VLOOKUP(B28,'S-ASIG-04'!$B$5:$E$88,4,0),0))</f>
        <v>3.55</v>
      </c>
      <c r="K28" s="72">
        <f>IF(B28=0,"",IFERROR(VLOOKUP(B28,'S-ASIG-05'!$B$5:$E$88,4,0),0))</f>
        <v>3.27</v>
      </c>
      <c r="L28" s="72">
        <f>IF(B28=0,"",IFERROR(VLOOKUP(B28,'S-ASIG-06'!$B$5:$E$88,4,0),0))</f>
        <v>0</v>
      </c>
      <c r="M28" s="73">
        <f>IF(B28=0,"",IFERROR(VLOOKUP(B28,'S-ASIG-07'!$B$5:$E$88,4,0),0))</f>
        <v>0</v>
      </c>
      <c r="N28" s="68" t="s">
        <v>126</v>
      </c>
      <c r="O28" s="71">
        <f>IF(B28=0,"",IFERROR(VLOOKUP(B28,'T-ASIG-01'!$B$5:$D$88,3,0),0))</f>
        <v>4.75</v>
      </c>
      <c r="P28" s="72">
        <f>IF(B28=0,"",IFERROR(VLOOKUP(B28,'T-ASIG-02'!$B$5:$D$88,3,0),0))</f>
        <v>4</v>
      </c>
      <c r="Q28" s="72">
        <f>IF(B28=0,"",IFERROR(VLOOKUP(B28,'T-ASIG-03'!$B$5:$D$88,3,0),0))</f>
        <v>0</v>
      </c>
      <c r="R28" s="72">
        <f>IF(B28=0,"",IFERROR(VLOOKUP(B28,'T-ASIG-04'!$B$5:$D$88,3,0),0))</f>
        <v>4.3</v>
      </c>
      <c r="S28" s="72">
        <f>IF(B28=0,"",IFERROR(VLOOKUP(B28,'T-ASIG-05'!$B$5:$D$88,3,0),0))</f>
        <v>4.5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127</v>
      </c>
    </row>
    <row r="29" spans="1:22" ht="15" customHeight="1">
      <c r="A29" s="12">
        <v>25</v>
      </c>
      <c r="B29" s="70" t="str">
        <f>LIDER!C33</f>
        <v>JESUS MIGUEL OVIEDO GARCIA</v>
      </c>
      <c r="C29" s="64" t="str">
        <f>IF(B29=0,"",IFERROR(VLOOKUP(B29,'S-ASIG-01'!$B$5:$E$88,2,0),0))</f>
        <v>G06</v>
      </c>
      <c r="D29" s="65">
        <f t="shared" si="2"/>
        <v>4.016</v>
      </c>
      <c r="E29" s="66">
        <f t="shared" si="3"/>
        <v>4.3875000000000002</v>
      </c>
      <c r="F29" s="47"/>
      <c r="G29" s="71">
        <f>IF(B29=0,"",IFERROR(VLOOKUP(B29,'S-ASIG-01'!$B$5:$E$88,4,0),0))</f>
        <v>3.9999999999999996</v>
      </c>
      <c r="H29" s="72">
        <f>IF(B29=0,"",IFERROR(VLOOKUP(B29,'S-ASIG-02'!$B$5:$E$88,4,0),0))</f>
        <v>4.75</v>
      </c>
      <c r="I29" s="72">
        <f>IF(B29=0,"",IFERROR(VLOOKUP(B29,'S-ASIG-03'!$B$5:$E$88,4,0),0))</f>
        <v>4.5100000000000007</v>
      </c>
      <c r="J29" s="72">
        <f>IF(B29=0,"",IFERROR(VLOOKUP(B29,'S-ASIG-04'!$B$5:$E$88,4,0),0))</f>
        <v>3.55</v>
      </c>
      <c r="K29" s="72">
        <f>IF(B29=0,"",IFERROR(VLOOKUP(B29,'S-ASIG-05'!$B$5:$E$88,4,0),0))</f>
        <v>3.27</v>
      </c>
      <c r="L29" s="72">
        <f>IF(B29=0,"",IFERROR(VLOOKUP(B29,'S-ASIG-06'!$B$5:$E$88,4,0),0))</f>
        <v>0</v>
      </c>
      <c r="M29" s="73">
        <f>IF(B29=0,"",IFERROR(VLOOKUP(B29,'S-ASIG-07'!$B$5:$E$88,4,0),0))</f>
        <v>0</v>
      </c>
      <c r="N29" s="68" t="s">
        <v>126</v>
      </c>
      <c r="O29" s="71">
        <f>IF(B29=0,"",IFERROR(VLOOKUP(B29,'T-ASIG-01'!$B$5:$D$88,3,0),0))</f>
        <v>4.75</v>
      </c>
      <c r="P29" s="72">
        <f>IF(B29=0,"",IFERROR(VLOOKUP(B29,'T-ASIG-02'!$B$5:$D$88,3,0),0))</f>
        <v>4</v>
      </c>
      <c r="Q29" s="72">
        <f>IF(B29=0,"",IFERROR(VLOOKUP(B29,'T-ASIG-03'!$B$5:$D$88,3,0),0))</f>
        <v>0</v>
      </c>
      <c r="R29" s="72">
        <f>IF(B29=0,"",IFERROR(VLOOKUP(B29,'T-ASIG-04'!$B$5:$D$88,3,0),0))</f>
        <v>4.3</v>
      </c>
      <c r="S29" s="72">
        <f>IF(B29=0,"",IFERROR(VLOOKUP(B29,'T-ASIG-05'!$B$5:$D$88,3,0),0))</f>
        <v>4.5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127</v>
      </c>
    </row>
    <row r="30" spans="1:22" ht="15" customHeight="1">
      <c r="A30" s="12">
        <v>26</v>
      </c>
      <c r="B30" s="70" t="str">
        <f>LIDER!C34</f>
        <v>JULIÁN ANDRÉS TABORDA LEÓN</v>
      </c>
      <c r="C30" s="64" t="str">
        <f>IF(B30=0,"",IFERROR(VLOOKUP(B30,'S-ASIG-01'!$B$5:$E$88,2,0),0))</f>
        <v>G06</v>
      </c>
      <c r="D30" s="65">
        <f t="shared" si="2"/>
        <v>4.016</v>
      </c>
      <c r="E30" s="66">
        <f t="shared" si="3"/>
        <v>4.3875000000000002</v>
      </c>
      <c r="F30" s="47"/>
      <c r="G30" s="71">
        <f>IF(B30=0,"",IFERROR(VLOOKUP(B30,'S-ASIG-01'!$B$5:$E$88,4,0),0))</f>
        <v>3.9999999999999996</v>
      </c>
      <c r="H30" s="72">
        <f>IF(B30=0,"",IFERROR(VLOOKUP(B30,'S-ASIG-02'!$B$5:$E$88,4,0),0))</f>
        <v>4.75</v>
      </c>
      <c r="I30" s="72">
        <f>IF(B30=0,"",IFERROR(VLOOKUP(B30,'S-ASIG-03'!$B$5:$E$88,4,0),0))</f>
        <v>4.5100000000000007</v>
      </c>
      <c r="J30" s="72">
        <f>IF(B30=0,"",IFERROR(VLOOKUP(B30,'S-ASIG-04'!$B$5:$E$88,4,0),0))</f>
        <v>3.55</v>
      </c>
      <c r="K30" s="72">
        <f>IF(B30=0,"",IFERROR(VLOOKUP(B30,'S-ASIG-05'!$B$5:$E$88,4,0),0))</f>
        <v>3.27</v>
      </c>
      <c r="L30" s="72">
        <f>IF(B30=0,"",IFERROR(VLOOKUP(B30,'S-ASIG-06'!$B$5:$E$88,4,0),0))</f>
        <v>0</v>
      </c>
      <c r="M30" s="73">
        <f>IF(B30=0,"",IFERROR(VLOOKUP(B30,'S-ASIG-07'!$B$5:$E$88,4,0),0))</f>
        <v>0</v>
      </c>
      <c r="N30" s="68" t="s">
        <v>126</v>
      </c>
      <c r="O30" s="71">
        <f>IF(B30=0,"",IFERROR(VLOOKUP(B30,'T-ASIG-01'!$B$5:$D$88,3,0),0))</f>
        <v>4.75</v>
      </c>
      <c r="P30" s="72">
        <f>IF(B30=0,"",IFERROR(VLOOKUP(B30,'T-ASIG-02'!$B$5:$D$88,3,0),0))</f>
        <v>4</v>
      </c>
      <c r="Q30" s="72">
        <f>IF(B30=0,"",IFERROR(VLOOKUP(B30,'T-ASIG-03'!$B$5:$D$88,3,0),0))</f>
        <v>0</v>
      </c>
      <c r="R30" s="72">
        <f>IF(B30=0,"",IFERROR(VLOOKUP(B30,'T-ASIG-04'!$B$5:$D$88,3,0),0))</f>
        <v>4.3</v>
      </c>
      <c r="S30" s="72">
        <f>IF(B30=0,"",IFERROR(VLOOKUP(B30,'T-ASIG-05'!$B$5:$D$88,3,0),0))</f>
        <v>4.5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127</v>
      </c>
    </row>
    <row r="31" spans="1:22" ht="15" customHeight="1">
      <c r="A31" s="12">
        <v>27</v>
      </c>
      <c r="B31" s="70" t="str">
        <f>LIDER!C35</f>
        <v>JENIFER VANESSA TORRES JUNCO</v>
      </c>
      <c r="C31" s="64" t="str">
        <f>IF(B31=0,"",IFERROR(VLOOKUP(B31,'S-ASIG-01'!$B$5:$E$88,2,0),0))</f>
        <v>G06</v>
      </c>
      <c r="D31" s="65">
        <f t="shared" si="2"/>
        <v>4.016</v>
      </c>
      <c r="E31" s="66">
        <f t="shared" si="3"/>
        <v>4.3875000000000002</v>
      </c>
      <c r="F31" s="47"/>
      <c r="G31" s="71">
        <f>IF(B31=0,"",IFERROR(VLOOKUP(B31,'S-ASIG-01'!$B$5:$E$88,4,0),0))</f>
        <v>3.9999999999999996</v>
      </c>
      <c r="H31" s="72">
        <f>IF(B31=0,"",IFERROR(VLOOKUP(B31,'S-ASIG-02'!$B$5:$E$88,4,0),0))</f>
        <v>4.75</v>
      </c>
      <c r="I31" s="72">
        <f>IF(B31=0,"",IFERROR(VLOOKUP(B31,'S-ASIG-03'!$B$5:$E$88,4,0),0))</f>
        <v>4.5100000000000007</v>
      </c>
      <c r="J31" s="72">
        <f>IF(B31=0,"",IFERROR(VLOOKUP(B31,'S-ASIG-04'!$B$5:$E$88,4,0),0))</f>
        <v>3.55</v>
      </c>
      <c r="K31" s="72">
        <f>IF(B31=0,"",IFERROR(VLOOKUP(B31,'S-ASIG-05'!$B$5:$E$88,4,0),0))</f>
        <v>3.27</v>
      </c>
      <c r="L31" s="72">
        <f>IF(B31=0,"",IFERROR(VLOOKUP(B31,'S-ASIG-06'!$B$5:$E$88,4,0),0))</f>
        <v>0</v>
      </c>
      <c r="M31" s="73">
        <f>IF(B31=0,"",IFERROR(VLOOKUP(B31,'S-ASIG-07'!$B$5:$E$88,4,0),0))</f>
        <v>0</v>
      </c>
      <c r="N31" s="68" t="s">
        <v>126</v>
      </c>
      <c r="O31" s="71">
        <f>IF(B31=0,"",IFERROR(VLOOKUP(B31,'T-ASIG-01'!$B$5:$D$88,3,0),0))</f>
        <v>4.75</v>
      </c>
      <c r="P31" s="72">
        <f>IF(B31=0,"",IFERROR(VLOOKUP(B31,'T-ASIG-02'!$B$5:$D$88,3,0),0))</f>
        <v>4</v>
      </c>
      <c r="Q31" s="72">
        <f>IF(B31=0,"",IFERROR(VLOOKUP(B31,'T-ASIG-03'!$B$5:$D$88,3,0),0))</f>
        <v>0</v>
      </c>
      <c r="R31" s="72">
        <f>IF(B31=0,"",IFERROR(VLOOKUP(B31,'T-ASIG-04'!$B$5:$D$88,3,0),0))</f>
        <v>4.3</v>
      </c>
      <c r="S31" s="72">
        <f>IF(B31=0,"",IFERROR(VLOOKUP(B31,'T-ASIG-05'!$B$5:$D$88,3,0),0))</f>
        <v>4.5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127</v>
      </c>
    </row>
    <row r="32" spans="1:22" ht="15" customHeight="1">
      <c r="A32" s="12">
        <v>28</v>
      </c>
      <c r="B32" s="70" t="str">
        <f>LIDER!C36</f>
        <v>NELSON DAVID VANEGAS RIVEROS</v>
      </c>
      <c r="C32" s="64" t="str">
        <f>IF(B32=0,"",IFERROR(VLOOKUP(B32,'S-ASIG-01'!$B$5:$E$88,2,0),0))</f>
        <v>G06</v>
      </c>
      <c r="D32" s="65">
        <f t="shared" si="2"/>
        <v>3.8324999999999996</v>
      </c>
      <c r="E32" s="66">
        <f t="shared" si="3"/>
        <v>4.5166666666666666</v>
      </c>
      <c r="F32" s="47"/>
      <c r="G32" s="71">
        <f>IF(B32=0,"",IFERROR(VLOOKUP(B32,'S-ASIG-01'!$B$5:$E$88,4,0),0))</f>
        <v>3.9999999999999996</v>
      </c>
      <c r="H32" s="72">
        <f>IF(B32=0,"",IFERROR(VLOOKUP(B32,'S-ASIG-02'!$B$5:$E$88,4,0),0))</f>
        <v>0</v>
      </c>
      <c r="I32" s="72">
        <f>IF(B32=0,"",IFERROR(VLOOKUP(B32,'S-ASIG-03'!$B$5:$E$88,4,0),0))</f>
        <v>4.5100000000000007</v>
      </c>
      <c r="J32" s="72">
        <f>IF(B32=0,"",IFERROR(VLOOKUP(B32,'S-ASIG-04'!$B$5:$E$88,4,0),0))</f>
        <v>3.55</v>
      </c>
      <c r="K32" s="72">
        <f>IF(B32=0,"",IFERROR(VLOOKUP(B32,'S-ASIG-05'!$B$5:$E$88,4,0),0))</f>
        <v>3.27</v>
      </c>
      <c r="L32" s="72">
        <f>IF(B32=0,"",IFERROR(VLOOKUP(B32,'S-ASIG-06'!$B$5:$E$88,4,0),0))</f>
        <v>0</v>
      </c>
      <c r="M32" s="73">
        <f>IF(B32=0,"",IFERROR(VLOOKUP(B32,'S-ASIG-07'!$B$5:$E$88,4,0),0))</f>
        <v>0</v>
      </c>
      <c r="N32" s="68" t="s">
        <v>126</v>
      </c>
      <c r="O32" s="71">
        <f>IF(B32=0,"",IFERROR(VLOOKUP(B32,'T-ASIG-01'!$B$5:$D$88,3,0),0))</f>
        <v>4.75</v>
      </c>
      <c r="P32" s="72" t="str">
        <f>IF(B32=0,"",IFERROR(VLOOKUP(B32,'T-ASIG-02'!$B$5:$D$88,3,0),0))</f>
        <v>N</v>
      </c>
      <c r="Q32" s="72">
        <f>IF(B32=0,"",IFERROR(VLOOKUP(B32,'T-ASIG-03'!$B$5:$D$88,3,0),0))</f>
        <v>0</v>
      </c>
      <c r="R32" s="72">
        <f>IF(B32=0,"",IFERROR(VLOOKUP(B32,'T-ASIG-04'!$B$5:$D$88,3,0),0))</f>
        <v>4.3</v>
      </c>
      <c r="S32" s="72">
        <f>IF(B32=0,"",IFERROR(VLOOKUP(B32,'T-ASIG-05'!$B$5:$D$88,3,0),0))</f>
        <v>4.5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127</v>
      </c>
    </row>
    <row r="33" spans="1:22" ht="15" customHeight="1">
      <c r="A33" s="12">
        <v>29</v>
      </c>
      <c r="B33" s="70" t="str">
        <f>LIDER!C37</f>
        <v>GERDALYS VARELA NARVAEZ</v>
      </c>
      <c r="C33" s="64" t="str">
        <f>IF(B33=0,"",IFERROR(VLOOKUP(B33,'S-ASIG-01'!$B$5:$E$88,2,0),0))</f>
        <v>G06</v>
      </c>
      <c r="D33" s="65">
        <f t="shared" si="2"/>
        <v>4.016</v>
      </c>
      <c r="E33" s="66">
        <f t="shared" si="3"/>
        <v>4.3875000000000002</v>
      </c>
      <c r="F33" s="47"/>
      <c r="G33" s="71">
        <f>IF(B33=0,"",IFERROR(VLOOKUP(B33,'S-ASIG-01'!$B$5:$E$88,4,0),0))</f>
        <v>3.9999999999999996</v>
      </c>
      <c r="H33" s="72">
        <f>IF(B33=0,"",IFERROR(VLOOKUP(B33,'S-ASIG-02'!$B$5:$E$88,4,0),0))</f>
        <v>4.75</v>
      </c>
      <c r="I33" s="72">
        <f>IF(B33=0,"",IFERROR(VLOOKUP(B33,'S-ASIG-03'!$B$5:$E$88,4,0),0))</f>
        <v>4.5100000000000007</v>
      </c>
      <c r="J33" s="72">
        <f>IF(B33=0,"",IFERROR(VLOOKUP(B33,'S-ASIG-04'!$B$5:$E$88,4,0),0))</f>
        <v>3.55</v>
      </c>
      <c r="K33" s="72">
        <f>IF(B33=0,"",IFERROR(VLOOKUP(B33,'S-ASIG-05'!$B$5:$E$88,4,0),0))</f>
        <v>3.27</v>
      </c>
      <c r="L33" s="72">
        <f>IF(B33=0,"",IFERROR(VLOOKUP(B33,'S-ASIG-06'!$B$5:$E$88,4,0),0))</f>
        <v>0</v>
      </c>
      <c r="M33" s="73">
        <f>IF(B33=0,"",IFERROR(VLOOKUP(B33,'S-ASIG-07'!$B$5:$E$88,4,0),0))</f>
        <v>0</v>
      </c>
      <c r="N33" s="68" t="s">
        <v>126</v>
      </c>
      <c r="O33" s="71">
        <f>IF(B33=0,"",IFERROR(VLOOKUP(B33,'T-ASIG-01'!$B$5:$D$88,3,0),0))</f>
        <v>4.75</v>
      </c>
      <c r="P33" s="72">
        <f>IF(B33=0,"",IFERROR(VLOOKUP(B33,'T-ASIG-02'!$B$5:$D$88,3,0),0))</f>
        <v>4</v>
      </c>
      <c r="Q33" s="72">
        <f>IF(B33=0,"",IFERROR(VLOOKUP(B33,'T-ASIG-03'!$B$5:$D$88,3,0),0))</f>
        <v>0</v>
      </c>
      <c r="R33" s="72">
        <f>IF(B33=0,"",IFERROR(VLOOKUP(B33,'T-ASIG-04'!$B$5:$D$88,3,0),0))</f>
        <v>4.3</v>
      </c>
      <c r="S33" s="72">
        <f>IF(B33=0,"",IFERROR(VLOOKUP(B33,'T-ASIG-05'!$B$5:$D$88,3,0),0))</f>
        <v>4.5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127</v>
      </c>
    </row>
    <row r="34" spans="1:22" ht="15" customHeight="1">
      <c r="A34" s="12">
        <v>30</v>
      </c>
      <c r="B34" s="70" t="str">
        <f>LIDER!C38</f>
        <v>ANGEL DE JESUS ARZUZA PEREZ</v>
      </c>
      <c r="C34" s="64" t="str">
        <f>IF(B34=0,"",IFERROR(VLOOKUP(B34,'S-ASIG-01'!$B$5:$E$88,2,0),0))</f>
        <v>G07</v>
      </c>
      <c r="D34" s="65">
        <f t="shared" si="2"/>
        <v>4.2519999999999998</v>
      </c>
      <c r="E34" s="66">
        <f t="shared" si="3"/>
        <v>4.4875000000000007</v>
      </c>
      <c r="F34" s="47"/>
      <c r="G34" s="71">
        <f>IF(B34=0,"",IFERROR(VLOOKUP(B34,'S-ASIG-01'!$B$5:$E$88,4,0),0))</f>
        <v>3.9999999999999996</v>
      </c>
      <c r="H34" s="72">
        <f>IF(B34=0,"",IFERROR(VLOOKUP(B34,'S-ASIG-02'!$B$5:$E$88,4,0),0))</f>
        <v>4.55</v>
      </c>
      <c r="I34" s="72">
        <f>IF(B34=0,"",IFERROR(VLOOKUP(B34,'S-ASIG-03'!$B$5:$E$88,4,0),0))</f>
        <v>4.7200000000000006</v>
      </c>
      <c r="J34" s="72">
        <f>IF(B34=0,"",IFERROR(VLOOKUP(B34,'S-ASIG-04'!$B$5:$E$88,4,0),0))</f>
        <v>3.99</v>
      </c>
      <c r="K34" s="72">
        <f>IF(B34=0,"",IFERROR(VLOOKUP(B34,'S-ASIG-05'!$B$5:$E$88,4,0),0))</f>
        <v>4</v>
      </c>
      <c r="L34" s="72">
        <f>IF(B34=0,"",IFERROR(VLOOKUP(B34,'S-ASIG-06'!$B$5:$E$88,4,0),0))</f>
        <v>0</v>
      </c>
      <c r="M34" s="73">
        <f>IF(B34=0,"",IFERROR(VLOOKUP(B34,'S-ASIG-07'!$B$5:$E$88,4,0),0))</f>
        <v>0</v>
      </c>
      <c r="N34" s="68" t="s">
        <v>126</v>
      </c>
      <c r="O34" s="71">
        <f>IF(B34=0,"",IFERROR(VLOOKUP(B34,'T-ASIG-01'!$B$5:$D$88,3,0),0))</f>
        <v>4.8</v>
      </c>
      <c r="P34" s="72">
        <f>IF(B34=0,"",IFERROR(VLOOKUP(B34,'T-ASIG-02'!$B$5:$D$88,3,0),0))</f>
        <v>4.25</v>
      </c>
      <c r="Q34" s="72">
        <f>IF(B34=0,"",IFERROR(VLOOKUP(B34,'T-ASIG-03'!$B$5:$D$88,3,0),0))</f>
        <v>0</v>
      </c>
      <c r="R34" s="72">
        <f>IF(B34=0,"",IFERROR(VLOOKUP(B34,'T-ASIG-04'!$B$5:$D$88,3,0),0))</f>
        <v>4.4000000000000004</v>
      </c>
      <c r="S34" s="72">
        <f>IF(B34=0,"",IFERROR(VLOOKUP(B34,'T-ASIG-05'!$B$5:$D$88,3,0),0))</f>
        <v>4.5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127</v>
      </c>
    </row>
    <row r="35" spans="1:22" ht="15" customHeight="1">
      <c r="A35" s="12">
        <v>31</v>
      </c>
      <c r="B35" s="70" t="str">
        <f>LIDER!C39</f>
        <v>JUAN CAMILO FLOREZ VERTEL</v>
      </c>
      <c r="C35" s="64" t="str">
        <f>IF(B35=0,"",IFERROR(VLOOKUP(B35,'S-ASIG-01'!$B$5:$E$88,2,0),0))</f>
        <v>G07</v>
      </c>
      <c r="D35" s="65">
        <f t="shared" si="2"/>
        <v>4.2519999999999998</v>
      </c>
      <c r="E35" s="66">
        <f t="shared" si="3"/>
        <v>4.4875000000000007</v>
      </c>
      <c r="F35" s="47"/>
      <c r="G35" s="71">
        <f>IF(B35=0,"",IFERROR(VLOOKUP(B35,'S-ASIG-01'!$B$5:$E$88,4,0),0))</f>
        <v>3.9999999999999996</v>
      </c>
      <c r="H35" s="72">
        <f>IF(B35=0,"",IFERROR(VLOOKUP(B35,'S-ASIG-02'!$B$5:$E$88,4,0),0))</f>
        <v>4.55</v>
      </c>
      <c r="I35" s="72">
        <f>IF(B35=0,"",IFERROR(VLOOKUP(B35,'S-ASIG-03'!$B$5:$E$88,4,0),0))</f>
        <v>4.7200000000000006</v>
      </c>
      <c r="J35" s="72">
        <f>IF(B35=0,"",IFERROR(VLOOKUP(B35,'S-ASIG-04'!$B$5:$E$88,4,0),0))</f>
        <v>3.99</v>
      </c>
      <c r="K35" s="72">
        <f>IF(B35=0,"",IFERROR(VLOOKUP(B35,'S-ASIG-05'!$B$5:$E$88,4,0),0))</f>
        <v>4</v>
      </c>
      <c r="L35" s="72">
        <f>IF(B35=0,"",IFERROR(VLOOKUP(B35,'S-ASIG-06'!$B$5:$E$88,4,0),0))</f>
        <v>0</v>
      </c>
      <c r="M35" s="73">
        <f>IF(B35=0,"",IFERROR(VLOOKUP(B35,'S-ASIG-07'!$B$5:$E$88,4,0),0))</f>
        <v>0</v>
      </c>
      <c r="N35" s="68" t="s">
        <v>126</v>
      </c>
      <c r="O35" s="71">
        <f>IF(B35=0,"",IFERROR(VLOOKUP(B35,'T-ASIG-01'!$B$5:$D$88,3,0),0))</f>
        <v>4.8</v>
      </c>
      <c r="P35" s="72">
        <f>IF(B35=0,"",IFERROR(VLOOKUP(B35,'T-ASIG-02'!$B$5:$D$88,3,0),0))</f>
        <v>4.25</v>
      </c>
      <c r="Q35" s="72">
        <f>IF(B35=0,"",IFERROR(VLOOKUP(B35,'T-ASIG-03'!$B$5:$D$88,3,0),0))</f>
        <v>0</v>
      </c>
      <c r="R35" s="72">
        <f>IF(B35=0,"",IFERROR(VLOOKUP(B35,'T-ASIG-04'!$B$5:$D$88,3,0),0))</f>
        <v>4.4000000000000004</v>
      </c>
      <c r="S35" s="72">
        <f>IF(B35=0,"",IFERROR(VLOOKUP(B35,'T-ASIG-05'!$B$5:$D$88,3,0),0))</f>
        <v>4.5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127</v>
      </c>
    </row>
    <row r="36" spans="1:22" ht="15" customHeight="1">
      <c r="A36" s="12">
        <v>32</v>
      </c>
      <c r="B36" s="70" t="str">
        <f>LIDER!C40</f>
        <v>LAURA SOFIA MENDOZA GONZÁLEZ</v>
      </c>
      <c r="C36" s="64" t="str">
        <f>IF(B36=0,"",IFERROR(VLOOKUP(B36,'S-ASIG-01'!$B$5:$E$88,2,0),0))</f>
        <v>G07</v>
      </c>
      <c r="D36" s="65">
        <f t="shared" si="2"/>
        <v>4.2519999999999998</v>
      </c>
      <c r="E36" s="66">
        <f t="shared" si="3"/>
        <v>4.4875000000000007</v>
      </c>
      <c r="F36" s="47"/>
      <c r="G36" s="71">
        <f>IF(B36=0,"",IFERROR(VLOOKUP(B36,'S-ASIG-01'!$B$5:$E$88,4,0),0))</f>
        <v>3.9999999999999996</v>
      </c>
      <c r="H36" s="72">
        <f>IF(B36=0,"",IFERROR(VLOOKUP(B36,'S-ASIG-02'!$B$5:$E$88,4,0),0))</f>
        <v>4.55</v>
      </c>
      <c r="I36" s="72">
        <f>IF(B36=0,"",IFERROR(VLOOKUP(B36,'S-ASIG-03'!$B$5:$E$88,4,0),0))</f>
        <v>4.7200000000000006</v>
      </c>
      <c r="J36" s="72">
        <f>IF(B36=0,"",IFERROR(VLOOKUP(B36,'S-ASIG-04'!$B$5:$E$88,4,0),0))</f>
        <v>3.99</v>
      </c>
      <c r="K36" s="72">
        <f>IF(B36=0,"",IFERROR(VLOOKUP(B36,'S-ASIG-05'!$B$5:$E$88,4,0),0))</f>
        <v>4</v>
      </c>
      <c r="L36" s="72">
        <f>IF(B36=0,"",IFERROR(VLOOKUP(B36,'S-ASIG-06'!$B$5:$E$88,4,0),0))</f>
        <v>0</v>
      </c>
      <c r="M36" s="73">
        <f>IF(B36=0,"",IFERROR(VLOOKUP(B36,'S-ASIG-07'!$B$5:$E$88,4,0),0))</f>
        <v>0</v>
      </c>
      <c r="N36" s="68" t="s">
        <v>126</v>
      </c>
      <c r="O36" s="71">
        <f>IF(B36=0,"",IFERROR(VLOOKUP(B36,'T-ASIG-01'!$B$5:$D$88,3,0),0))</f>
        <v>4.8</v>
      </c>
      <c r="P36" s="72">
        <f>IF(B36=0,"",IFERROR(VLOOKUP(B36,'T-ASIG-02'!$B$5:$D$88,3,0),0))</f>
        <v>4.25</v>
      </c>
      <c r="Q36" s="72">
        <f>IF(B36=0,"",IFERROR(VLOOKUP(B36,'T-ASIG-03'!$B$5:$D$88,3,0),0))</f>
        <v>0</v>
      </c>
      <c r="R36" s="72">
        <f>IF(B36=0,"",IFERROR(VLOOKUP(B36,'T-ASIG-04'!$B$5:$D$88,3,0),0))</f>
        <v>4.4000000000000004</v>
      </c>
      <c r="S36" s="72">
        <f>IF(B36=0,"",IFERROR(VLOOKUP(B36,'T-ASIG-05'!$B$5:$D$88,3,0),0))</f>
        <v>4.5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127</v>
      </c>
    </row>
    <row r="37" spans="1:22" ht="15" customHeight="1">
      <c r="A37" s="12">
        <v>33</v>
      </c>
      <c r="B37" s="70" t="str">
        <f>LIDER!C41</f>
        <v>SEBASTIAN RAMIREZ MONSALVE</v>
      </c>
      <c r="C37" s="64" t="str">
        <f>IF(B37=0,"",IFERROR(VLOOKUP(B37,'S-ASIG-01'!$B$5:$E$88,2,0),0))</f>
        <v>G07</v>
      </c>
      <c r="D37" s="65">
        <f t="shared" si="2"/>
        <v>4.2519999999999998</v>
      </c>
      <c r="E37" s="66">
        <f t="shared" si="3"/>
        <v>4.4875000000000007</v>
      </c>
      <c r="F37" s="47"/>
      <c r="G37" s="71">
        <f>IF(B37=0,"",IFERROR(VLOOKUP(B37,'S-ASIG-01'!$B$5:$E$88,4,0),0))</f>
        <v>3.9999999999999996</v>
      </c>
      <c r="H37" s="72">
        <f>IF(B37=0,"",IFERROR(VLOOKUP(B37,'S-ASIG-02'!$B$5:$E$88,4,0),0))</f>
        <v>4.55</v>
      </c>
      <c r="I37" s="72">
        <f>IF(B37=0,"",IFERROR(VLOOKUP(B37,'S-ASIG-03'!$B$5:$E$88,4,0),0))</f>
        <v>4.7200000000000006</v>
      </c>
      <c r="J37" s="72">
        <f>IF(B37=0,"",IFERROR(VLOOKUP(B37,'S-ASIG-04'!$B$5:$E$88,4,0),0))</f>
        <v>3.99</v>
      </c>
      <c r="K37" s="72">
        <f>IF(B37=0,"",IFERROR(VLOOKUP(B37,'S-ASIG-05'!$B$5:$E$88,4,0),0))</f>
        <v>4</v>
      </c>
      <c r="L37" s="72">
        <f>IF(B37=0,"",IFERROR(VLOOKUP(B37,'S-ASIG-06'!$B$5:$E$88,4,0),0))</f>
        <v>0</v>
      </c>
      <c r="M37" s="73">
        <f>IF(B37=0,"",IFERROR(VLOOKUP(B37,'S-ASIG-07'!$B$5:$E$88,4,0),0))</f>
        <v>0</v>
      </c>
      <c r="N37" s="68" t="s">
        <v>126</v>
      </c>
      <c r="O37" s="71">
        <f>IF(B37=0,"",IFERROR(VLOOKUP(B37,'T-ASIG-01'!$B$5:$D$88,3,0),0))</f>
        <v>4.8</v>
      </c>
      <c r="P37" s="72">
        <f>IF(B37=0,"",IFERROR(VLOOKUP(B37,'T-ASIG-02'!$B$5:$D$88,3,0),0))</f>
        <v>4.25</v>
      </c>
      <c r="Q37" s="72">
        <f>IF(B37=0,"",IFERROR(VLOOKUP(B37,'T-ASIG-03'!$B$5:$D$88,3,0),0))</f>
        <v>0</v>
      </c>
      <c r="R37" s="72">
        <f>IF(B37=0,"",IFERROR(VLOOKUP(B37,'T-ASIG-04'!$B$5:$D$88,3,0),0))</f>
        <v>4.4000000000000004</v>
      </c>
      <c r="S37" s="72">
        <f>IF(B37=0,"",IFERROR(VLOOKUP(B37,'T-ASIG-05'!$B$5:$D$88,3,0),0))</f>
        <v>4.5</v>
      </c>
      <c r="T37" s="72">
        <f>IF(B37=0,"",IFERROR(VLOOKUP(B37,'T-ASIG-06'!$B$5:$D$88,3,0),0))</f>
        <v>0</v>
      </c>
      <c r="U37" s="73">
        <f>IF(B37=0,"",IFERROR(VLOOKUP(B37,'T-ASIG-07'!$B$5:$D$88,3,0),0))</f>
        <v>0</v>
      </c>
      <c r="V37" s="69" t="s">
        <v>127</v>
      </c>
    </row>
    <row r="38" spans="1:22" ht="15" customHeight="1">
      <c r="A38" s="12">
        <v>34</v>
      </c>
      <c r="B38" s="70" t="str">
        <f>LIDER!C42</f>
        <v>CARLOS MARIO DE LEÓN CASTILLO</v>
      </c>
      <c r="C38" s="64" t="str">
        <f>IF(B38=0,"",IFERROR(VLOOKUP(B38,'S-ASIG-01'!$B$5:$E$88,2,0),0))</f>
        <v>G08</v>
      </c>
      <c r="D38" s="65">
        <f t="shared" si="2"/>
        <v>4.6660000000000004</v>
      </c>
      <c r="E38" s="66">
        <f t="shared" si="3"/>
        <v>4.7624999999999993</v>
      </c>
      <c r="F38" s="47"/>
      <c r="G38" s="71">
        <f>IF(B38=0,"",IFERROR(VLOOKUP(B38,'S-ASIG-01'!$B$5:$E$88,4,0),0))</f>
        <v>4.4000000000000004</v>
      </c>
      <c r="H38" s="72">
        <f>IF(B38=0,"",IFERROR(VLOOKUP(B38,'S-ASIG-02'!$B$5:$E$88,4,0),0))</f>
        <v>5</v>
      </c>
      <c r="I38" s="72">
        <f>IF(B38=0,"",IFERROR(VLOOKUP(B38,'S-ASIG-03'!$B$5:$E$88,4,0),0))</f>
        <v>4.68</v>
      </c>
      <c r="J38" s="72">
        <f>IF(B38=0,"",IFERROR(VLOOKUP(B38,'S-ASIG-04'!$B$5:$E$88,4,0),0))</f>
        <v>4.7</v>
      </c>
      <c r="K38" s="72">
        <f>IF(B38=0,"",IFERROR(VLOOKUP(B38,'S-ASIG-05'!$B$5:$E$88,4,0),0))</f>
        <v>4.5500000000000007</v>
      </c>
      <c r="L38" s="72">
        <f>IF(B38=0,"",IFERROR(VLOOKUP(B38,'S-ASIG-06'!$B$5:$E$88,4,0),0))</f>
        <v>0</v>
      </c>
      <c r="M38" s="73">
        <f>IF(B38=0,"",IFERROR(VLOOKUP(B38,'S-ASIG-07'!$B$5:$E$88,4,0),0))</f>
        <v>0</v>
      </c>
      <c r="N38" s="68" t="s">
        <v>126</v>
      </c>
      <c r="O38" s="71">
        <f>IF(B38=0,"",IFERROR(VLOOKUP(B38,'T-ASIG-01'!$B$5:$D$88,3,0),0))</f>
        <v>4.9000000000000004</v>
      </c>
      <c r="P38" s="72">
        <f>IF(B38=0,"",IFERROR(VLOOKUP(B38,'T-ASIG-02'!$B$5:$D$88,3,0),0))</f>
        <v>4.5999999999999996</v>
      </c>
      <c r="Q38" s="72">
        <f>IF(B38=0,"",IFERROR(VLOOKUP(B38,'T-ASIG-03'!$B$5:$D$88,3,0),0))</f>
        <v>0</v>
      </c>
      <c r="R38" s="72">
        <f>IF(B38=0,"",IFERROR(VLOOKUP(B38,'T-ASIG-04'!$B$5:$D$88,3,0),0))</f>
        <v>4.7</v>
      </c>
      <c r="S38" s="72">
        <f>IF(B38=0,"",IFERROR(VLOOKUP(B38,'T-ASIG-05'!$B$5:$D$88,3,0),0))</f>
        <v>4.8499999999999996</v>
      </c>
      <c r="T38" s="72">
        <f>IF(B38=0,"",IFERROR(VLOOKUP(B38,'T-ASIG-06'!$B$5:$D$88,3,0),0))</f>
        <v>0</v>
      </c>
      <c r="U38" s="73">
        <f>IF(B38=0,"",IFERROR(VLOOKUP(B38,'T-ASIG-07'!$B$5:$D$88,3,0),0))</f>
        <v>0</v>
      </c>
      <c r="V38" s="69" t="s">
        <v>127</v>
      </c>
    </row>
    <row r="39" spans="1:22" ht="15" customHeight="1">
      <c r="A39" s="12">
        <v>35</v>
      </c>
      <c r="B39" s="70" t="str">
        <f>LIDER!C43</f>
        <v>ANA KARINA GONZALEZ ROBLES</v>
      </c>
      <c r="C39" s="64" t="str">
        <f>IF(B39=0,"",IFERROR(VLOOKUP(B39,'S-ASIG-01'!$B$5:$E$88,2,0),0))</f>
        <v>G08</v>
      </c>
      <c r="D39" s="65">
        <f t="shared" si="2"/>
        <v>4.6660000000000004</v>
      </c>
      <c r="E39" s="66">
        <f t="shared" si="3"/>
        <v>4.7624999999999993</v>
      </c>
      <c r="F39" s="47"/>
      <c r="G39" s="71">
        <f>IF(B39=0,"",IFERROR(VLOOKUP(B39,'S-ASIG-01'!$B$5:$E$88,4,0),0))</f>
        <v>4.4000000000000004</v>
      </c>
      <c r="H39" s="72">
        <f>IF(B39=0,"",IFERROR(VLOOKUP(B39,'S-ASIG-02'!$B$5:$E$88,4,0),0))</f>
        <v>5</v>
      </c>
      <c r="I39" s="72">
        <f>IF(B39=0,"",IFERROR(VLOOKUP(B39,'S-ASIG-03'!$B$5:$E$88,4,0),0))</f>
        <v>4.68</v>
      </c>
      <c r="J39" s="72">
        <f>IF(B39=0,"",IFERROR(VLOOKUP(B39,'S-ASIG-04'!$B$5:$E$88,4,0),0))</f>
        <v>4.7</v>
      </c>
      <c r="K39" s="72">
        <f>IF(B39=0,"",IFERROR(VLOOKUP(B39,'S-ASIG-05'!$B$5:$E$88,4,0),0))</f>
        <v>4.5500000000000007</v>
      </c>
      <c r="L39" s="72">
        <f>IF(B39=0,"",IFERROR(VLOOKUP(B39,'S-ASIG-06'!$B$5:$E$88,4,0),0))</f>
        <v>0</v>
      </c>
      <c r="M39" s="73">
        <f>IF(B39=0,"",IFERROR(VLOOKUP(B39,'S-ASIG-07'!$B$5:$E$88,4,0),0))</f>
        <v>0</v>
      </c>
      <c r="N39" s="68" t="s">
        <v>126</v>
      </c>
      <c r="O39" s="71">
        <f>IF(B39=0,"",IFERROR(VLOOKUP(B39,'T-ASIG-01'!$B$5:$D$88,3,0),0))</f>
        <v>4.9000000000000004</v>
      </c>
      <c r="P39" s="72">
        <f>IF(B39=0,"",IFERROR(VLOOKUP(B39,'T-ASIG-02'!$B$5:$D$88,3,0),0))</f>
        <v>4.5999999999999996</v>
      </c>
      <c r="Q39" s="72">
        <f>IF(B39=0,"",IFERROR(VLOOKUP(B39,'T-ASIG-03'!$B$5:$D$88,3,0),0))</f>
        <v>0</v>
      </c>
      <c r="R39" s="72">
        <f>IF(B39=0,"",IFERROR(VLOOKUP(B39,'T-ASIG-04'!$B$5:$D$88,3,0),0))</f>
        <v>4.7</v>
      </c>
      <c r="S39" s="72">
        <f>IF(B39=0,"",IFERROR(VLOOKUP(B39,'T-ASIG-05'!$B$5:$D$88,3,0),0))</f>
        <v>4.8499999999999996</v>
      </c>
      <c r="T39" s="72">
        <f>IF(B39=0,"",IFERROR(VLOOKUP(B39,'T-ASIG-06'!$B$5:$D$88,3,0),0))</f>
        <v>0</v>
      </c>
      <c r="U39" s="73">
        <f>IF(B39=0,"",IFERROR(VLOOKUP(B39,'T-ASIG-07'!$B$5:$D$88,3,0),0))</f>
        <v>0</v>
      </c>
      <c r="V39" s="69" t="s">
        <v>127</v>
      </c>
    </row>
    <row r="40" spans="1:22" ht="15" customHeight="1">
      <c r="A40" s="12">
        <v>36</v>
      </c>
      <c r="B40" s="70" t="str">
        <f>LIDER!C44</f>
        <v>LIZBELIA DEL CARMEN MARTINEZ PUELLO</v>
      </c>
      <c r="C40" s="64" t="str">
        <f>IF(B40=0,"",IFERROR(VLOOKUP(B40,'S-ASIG-01'!$B$5:$E$88,2,0),0))</f>
        <v>G08</v>
      </c>
      <c r="D40" s="65">
        <f t="shared" si="2"/>
        <v>4.6660000000000004</v>
      </c>
      <c r="E40" s="66">
        <f t="shared" si="3"/>
        <v>4.7624999999999993</v>
      </c>
      <c r="F40" s="47"/>
      <c r="G40" s="71">
        <f>IF(B40=0,"",IFERROR(VLOOKUP(B40,'S-ASIG-01'!$B$5:$E$88,4,0),0))</f>
        <v>4.4000000000000004</v>
      </c>
      <c r="H40" s="72">
        <f>IF(B40=0,"",IFERROR(VLOOKUP(B40,'S-ASIG-02'!$B$5:$E$88,4,0),0))</f>
        <v>5</v>
      </c>
      <c r="I40" s="72">
        <f>IF(B40=0,"",IFERROR(VLOOKUP(B40,'S-ASIG-03'!$B$5:$E$88,4,0),0))</f>
        <v>4.68</v>
      </c>
      <c r="J40" s="72">
        <f>IF(B40=0,"",IFERROR(VLOOKUP(B40,'S-ASIG-04'!$B$5:$E$88,4,0),0))</f>
        <v>4.7</v>
      </c>
      <c r="K40" s="72">
        <f>IF(B40=0,"",IFERROR(VLOOKUP(B40,'S-ASIG-05'!$B$5:$E$88,4,0),0))</f>
        <v>4.5500000000000007</v>
      </c>
      <c r="L40" s="72">
        <f>IF(B40=0,"",IFERROR(VLOOKUP(B40,'S-ASIG-06'!$B$5:$E$88,4,0),0))</f>
        <v>0</v>
      </c>
      <c r="M40" s="73">
        <f>IF(B40=0,"",IFERROR(VLOOKUP(B40,'S-ASIG-07'!$B$5:$E$88,4,0),0))</f>
        <v>0</v>
      </c>
      <c r="N40" s="68" t="s">
        <v>126</v>
      </c>
      <c r="O40" s="71">
        <f>IF(B40=0,"",IFERROR(VLOOKUP(B40,'T-ASIG-01'!$B$5:$D$88,3,0),0))</f>
        <v>4.9000000000000004</v>
      </c>
      <c r="P40" s="72">
        <f>IF(B40=0,"",IFERROR(VLOOKUP(B40,'T-ASIG-02'!$B$5:$D$88,3,0),0))</f>
        <v>4.5999999999999996</v>
      </c>
      <c r="Q40" s="72">
        <f>IF(B40=0,"",IFERROR(VLOOKUP(B40,'T-ASIG-03'!$B$5:$D$88,3,0),0))</f>
        <v>0</v>
      </c>
      <c r="R40" s="72">
        <f>IF(B40=0,"",IFERROR(VLOOKUP(B40,'T-ASIG-04'!$B$5:$D$88,3,0),0))</f>
        <v>4.7</v>
      </c>
      <c r="S40" s="72">
        <f>IF(B40=0,"",IFERROR(VLOOKUP(B40,'T-ASIG-05'!$B$5:$D$88,3,0),0))</f>
        <v>4.8499999999999996</v>
      </c>
      <c r="T40" s="72">
        <f>IF(B40=0,"",IFERROR(VLOOKUP(B40,'T-ASIG-06'!$B$5:$D$88,3,0),0))</f>
        <v>0</v>
      </c>
      <c r="U40" s="73">
        <f>IF(B40=0,"",IFERROR(VLOOKUP(B40,'T-ASIG-07'!$B$5:$D$88,3,0),0))</f>
        <v>0</v>
      </c>
      <c r="V40" s="69" t="s">
        <v>127</v>
      </c>
    </row>
    <row r="41" spans="1:22" ht="15" customHeight="1">
      <c r="A41" s="12">
        <v>37</v>
      </c>
      <c r="B41" s="70" t="str">
        <f>LIDER!C45</f>
        <v>CLAUDIMAR DEL CARMEN RUIZ PEREZ</v>
      </c>
      <c r="C41" s="64" t="str">
        <f>IF(B41=0,"",IFERROR(VLOOKUP(B41,'S-ASIG-01'!$B$5:$E$88,2,0),0))</f>
        <v>G08</v>
      </c>
      <c r="D41" s="65">
        <f t="shared" si="2"/>
        <v>4.6660000000000004</v>
      </c>
      <c r="E41" s="66">
        <f t="shared" si="3"/>
        <v>4.7624999999999993</v>
      </c>
      <c r="F41" s="47"/>
      <c r="G41" s="71">
        <f>IF(B41=0,"",IFERROR(VLOOKUP(B41,'S-ASIG-01'!$B$5:$E$88,4,0),0))</f>
        <v>4.4000000000000004</v>
      </c>
      <c r="H41" s="72">
        <f>IF(B41=0,"",IFERROR(VLOOKUP(B41,'S-ASIG-02'!$B$5:$E$88,4,0),0))</f>
        <v>5</v>
      </c>
      <c r="I41" s="72">
        <f>IF(B41=0,"",IFERROR(VLOOKUP(B41,'S-ASIG-03'!$B$5:$E$88,4,0),0))</f>
        <v>4.68</v>
      </c>
      <c r="J41" s="72">
        <f>IF(B41=0,"",IFERROR(VLOOKUP(B41,'S-ASIG-04'!$B$5:$E$88,4,0),0))</f>
        <v>4.7</v>
      </c>
      <c r="K41" s="72">
        <f>IF(B41=0,"",IFERROR(VLOOKUP(B41,'S-ASIG-05'!$B$5:$E$88,4,0),0))</f>
        <v>4.5500000000000007</v>
      </c>
      <c r="L41" s="72">
        <f>IF(B41=0,"",IFERROR(VLOOKUP(B41,'S-ASIG-06'!$B$5:$E$88,4,0),0))</f>
        <v>0</v>
      </c>
      <c r="M41" s="73">
        <f>IF(B41=0,"",IFERROR(VLOOKUP(B41,'S-ASIG-07'!$B$5:$E$88,4,0),0))</f>
        <v>0</v>
      </c>
      <c r="N41" s="68" t="s">
        <v>126</v>
      </c>
      <c r="O41" s="71">
        <f>IF(B41=0,"",IFERROR(VLOOKUP(B41,'T-ASIG-01'!$B$5:$D$88,3,0),0))</f>
        <v>4.9000000000000004</v>
      </c>
      <c r="P41" s="72">
        <f>IF(B41=0,"",IFERROR(VLOOKUP(B41,'T-ASIG-02'!$B$5:$D$88,3,0),0))</f>
        <v>4.5999999999999996</v>
      </c>
      <c r="Q41" s="72">
        <f>IF(B41=0,"",IFERROR(VLOOKUP(B41,'T-ASIG-03'!$B$5:$D$88,3,0),0))</f>
        <v>0</v>
      </c>
      <c r="R41" s="72">
        <f>IF(B41=0,"",IFERROR(VLOOKUP(B41,'T-ASIG-04'!$B$5:$D$88,3,0),0))</f>
        <v>4.7</v>
      </c>
      <c r="S41" s="72">
        <f>IF(B41=0,"",IFERROR(VLOOKUP(B41,'T-ASIG-05'!$B$5:$D$88,3,0),0))</f>
        <v>4.8499999999999996</v>
      </c>
      <c r="T41" s="72">
        <f>IF(B41=0,"",IFERROR(VLOOKUP(B41,'T-ASIG-06'!$B$5:$D$88,3,0),0))</f>
        <v>0</v>
      </c>
      <c r="U41" s="73">
        <f>IF(B41=0,"",IFERROR(VLOOKUP(B41,'T-ASIG-07'!$B$5:$D$88,3,0),0))</f>
        <v>0</v>
      </c>
      <c r="V41" s="69" t="s">
        <v>127</v>
      </c>
    </row>
    <row r="42" spans="1:22" ht="15" customHeight="1">
      <c r="A42" s="12">
        <v>38</v>
      </c>
      <c r="B42" s="70" t="str">
        <f>LIDER!C46</f>
        <v>KELLY YOHANA YEPES FLORIAN</v>
      </c>
      <c r="C42" s="64" t="str">
        <f>IF(B42=0,"",IFERROR(VLOOKUP(B42,'S-ASIG-01'!$B$5:$E$88,2,0),0))</f>
        <v>G08</v>
      </c>
      <c r="D42" s="65">
        <f t="shared" si="2"/>
        <v>4.6660000000000004</v>
      </c>
      <c r="E42" s="66">
        <f t="shared" si="3"/>
        <v>4.7624999999999993</v>
      </c>
      <c r="F42" s="47"/>
      <c r="G42" s="71">
        <f>IF(B42=0,"",IFERROR(VLOOKUP(B42,'S-ASIG-01'!$B$5:$E$88,4,0),0))</f>
        <v>4.4000000000000004</v>
      </c>
      <c r="H42" s="72">
        <f>IF(B42=0,"",IFERROR(VLOOKUP(B42,'S-ASIG-02'!$B$5:$E$88,4,0),0))</f>
        <v>5</v>
      </c>
      <c r="I42" s="72">
        <f>IF(B42=0,"",IFERROR(VLOOKUP(B42,'S-ASIG-03'!$B$5:$E$88,4,0),0))</f>
        <v>4.68</v>
      </c>
      <c r="J42" s="72">
        <f>IF(B42=0,"",IFERROR(VLOOKUP(B42,'S-ASIG-04'!$B$5:$E$88,4,0),0))</f>
        <v>4.7</v>
      </c>
      <c r="K42" s="72">
        <f>IF(B42=0,"",IFERROR(VLOOKUP(B42,'S-ASIG-05'!$B$5:$E$88,4,0),0))</f>
        <v>4.5500000000000007</v>
      </c>
      <c r="L42" s="72">
        <f>IF(B42=0,"",IFERROR(VLOOKUP(B42,'S-ASIG-06'!$B$5:$E$88,4,0),0))</f>
        <v>0</v>
      </c>
      <c r="M42" s="73">
        <f>IF(B42=0,"",IFERROR(VLOOKUP(B42,'S-ASIG-07'!$B$5:$E$88,4,0),0))</f>
        <v>0</v>
      </c>
      <c r="N42" s="68" t="s">
        <v>126</v>
      </c>
      <c r="O42" s="71">
        <f>IF(B42=0,"",IFERROR(VLOOKUP(B42,'T-ASIG-01'!$B$5:$D$88,3,0),0))</f>
        <v>4.9000000000000004</v>
      </c>
      <c r="P42" s="72">
        <f>IF(B42=0,"",IFERROR(VLOOKUP(B42,'T-ASIG-02'!$B$5:$D$88,3,0),0))</f>
        <v>4.5999999999999996</v>
      </c>
      <c r="Q42" s="72">
        <f>IF(B42=0,"",IFERROR(VLOOKUP(B42,'T-ASIG-03'!$B$5:$D$88,3,0),0))</f>
        <v>0</v>
      </c>
      <c r="R42" s="72">
        <f>IF(B42=0,"",IFERROR(VLOOKUP(B42,'T-ASIG-04'!$B$5:$D$88,3,0),0))</f>
        <v>4.7</v>
      </c>
      <c r="S42" s="72">
        <f>IF(B42=0,"",IFERROR(VLOOKUP(B42,'T-ASIG-05'!$B$5:$D$88,3,0),0))</f>
        <v>4.8499999999999996</v>
      </c>
      <c r="T42" s="72">
        <f>IF(B42=0,"",IFERROR(VLOOKUP(B42,'T-ASIG-06'!$B$5:$D$88,3,0),0))</f>
        <v>0</v>
      </c>
      <c r="U42" s="73">
        <f>IF(B42=0,"",IFERROR(VLOOKUP(B42,'T-ASIG-07'!$B$5:$D$88,3,0),0))</f>
        <v>0</v>
      </c>
      <c r="V42" s="69" t="s">
        <v>127</v>
      </c>
    </row>
    <row r="43" spans="1:22" ht="15" customHeight="1">
      <c r="A43" s="12">
        <v>39</v>
      </c>
      <c r="B43" s="70" t="str">
        <f>LIDER!C47</f>
        <v>DAYANNA MICHELLE CAPACHERO DIAZ</v>
      </c>
      <c r="C43" s="64" t="str">
        <f>IF(B43=0,"",IFERROR(VLOOKUP(B43,'S-ASIG-01'!$B$5:$E$88,2,0),0))</f>
        <v>G02</v>
      </c>
      <c r="D43" s="65">
        <f t="shared" si="2"/>
        <v>4.5150000000000006</v>
      </c>
      <c r="E43" s="66">
        <f t="shared" si="3"/>
        <v>4.7166666666666668</v>
      </c>
      <c r="F43" s="47"/>
      <c r="G43" s="71">
        <f>IF(B43=0,"",IFERROR(VLOOKUP(B43,'S-ASIG-01'!$B$5:$E$88,4,0),0))</f>
        <v>4.0999999999999996</v>
      </c>
      <c r="H43" s="72">
        <f>IF(B43=0,"",IFERROR(VLOOKUP(B43,'S-ASIG-02'!$B$5:$E$88,4,0),0))</f>
        <v>4.9000000000000004</v>
      </c>
      <c r="I43" s="72">
        <f>IF(B43=0,"",IFERROR(VLOOKUP(B43,'S-ASIG-03'!$B$5:$E$88,4,0),0))</f>
        <v>4.6900000000000004</v>
      </c>
      <c r="J43" s="72" t="str">
        <f>IF(B43=0,"",IFERROR(VLOOKUP(B43,'S-ASIG-04'!$B$5:$E$88,4,0),0))</f>
        <v>N</v>
      </c>
      <c r="K43" s="72">
        <f>IF(B43=0,"",IFERROR(VLOOKUP(B43,'S-ASIG-05'!$B$5:$E$88,4,0),0))</f>
        <v>4.37</v>
      </c>
      <c r="L43" s="72">
        <f>IF(B43=0,"",IFERROR(VLOOKUP(B43,'S-ASIG-06'!$B$5:$E$88,4,0),0))</f>
        <v>0</v>
      </c>
      <c r="M43" s="73">
        <f>IF(B43=0,"",IFERROR(VLOOKUP(B43,'S-ASIG-07'!$B$5:$E$88,4,0),0))</f>
        <v>0</v>
      </c>
      <c r="N43" s="68" t="s">
        <v>126</v>
      </c>
      <c r="O43" s="71">
        <f>IF(B43=0,"",IFERROR(VLOOKUP(B43,'T-ASIG-01'!$B$5:$D$88,3,0),0))</f>
        <v>4.75</v>
      </c>
      <c r="P43" s="72">
        <f>IF(B43=0,"",IFERROR(VLOOKUP(B43,'T-ASIG-02'!$B$5:$D$88,3,0),0))</f>
        <v>4.9000000000000004</v>
      </c>
      <c r="Q43" s="72">
        <f>IF(B43=0,"",IFERROR(VLOOKUP(B43,'T-ASIG-03'!$B$5:$D$88,3,0),0))</f>
        <v>0</v>
      </c>
      <c r="R43" s="72" t="str">
        <f>IF(B43=0,"",IFERROR(VLOOKUP(B43,'T-ASIG-04'!$B$5:$D$88,3,0),0))</f>
        <v>N</v>
      </c>
      <c r="S43" s="72">
        <f>IF(B43=0,"",IFERROR(VLOOKUP(B43,'T-ASIG-05'!$B$5:$D$88,3,0),0))</f>
        <v>4.5</v>
      </c>
      <c r="T43" s="72">
        <f>IF(B43=0,"",IFERROR(VLOOKUP(B43,'T-ASIG-06'!$B$5:$D$88,3,0),0))</f>
        <v>0</v>
      </c>
      <c r="U43" s="73">
        <f>IF(B43=0,"",IFERROR(VLOOKUP(B43,'T-ASIG-07'!$B$5:$D$88,3,0),0))</f>
        <v>0</v>
      </c>
      <c r="V43" s="69" t="s">
        <v>127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126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127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126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127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126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127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126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127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126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127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126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127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126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127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126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127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126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127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126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127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126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127</v>
      </c>
    </row>
  </sheetData>
  <sheetProtection algorithmName="SHA-512" hashValue="JjUyfDZ1IMPSGK0tVePlPYeFqWy32BTJd1aImsaE/BW+mblmMVc6wEidzPmhwcaTj/GutuL4yWcXAeSKVLYPFw==" saltValue="LzQ9YuuF3mNxgoSY/7F5c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HUMBERTO SANCHEZ DRAGO</cp:lastModifiedBy>
  <cp:revision/>
  <dcterms:created xsi:type="dcterms:W3CDTF">2025-09-29T20:45:44Z</dcterms:created>
  <dcterms:modified xsi:type="dcterms:W3CDTF">2026-06-01T20:12:39Z</dcterms:modified>
  <cp:category/>
  <cp:contentStatus/>
</cp:coreProperties>
</file>