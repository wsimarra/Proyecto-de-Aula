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6/"/>
    </mc:Choice>
  </mc:AlternateContent>
  <xr:revisionPtr revIDLastSave="518" documentId="13_ncr:1_{C25A75EA-6CE5-4BF9-A8E1-2AEA5F30406E}" xr6:coauthVersionLast="47" xr6:coauthVersionMax="47" xr10:uidLastSave="{76FC0EBF-A4E7-45B3-9282-7955CD12F6E7}"/>
  <bookViews>
    <workbookView xWindow="-120" yWindow="-120" windowWidth="20730" windowHeight="11040" tabRatio="815" firstSheet="11" activeTab="13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B87" i="16"/>
  <c r="D87" i="16" s="1"/>
  <c r="B86" i="16"/>
  <c r="D86" i="16" s="1"/>
  <c r="B85" i="16"/>
  <c r="D85" i="16" s="1"/>
  <c r="B84" i="16"/>
  <c r="D84" i="16" s="1"/>
  <c r="B83" i="16"/>
  <c r="D83" i="16" s="1"/>
  <c r="B81" i="16"/>
  <c r="D81" i="16" s="1"/>
  <c r="B80" i="16"/>
  <c r="D80" i="16" s="1"/>
  <c r="B79" i="16"/>
  <c r="D79" i="16" s="1"/>
  <c r="B78" i="16"/>
  <c r="D78" i="16" s="1"/>
  <c r="B77" i="16"/>
  <c r="D77" i="16" s="1"/>
  <c r="B76" i="16"/>
  <c r="D76" i="16" s="1"/>
  <c r="B74" i="16"/>
  <c r="D74" i="16" s="1"/>
  <c r="B73" i="16"/>
  <c r="D73" i="16" s="1"/>
  <c r="B72" i="16"/>
  <c r="D72" i="16" s="1"/>
  <c r="B71" i="16"/>
  <c r="D71" i="16" s="1"/>
  <c r="B70" i="16"/>
  <c r="D70" i="16" s="1"/>
  <c r="B69" i="16"/>
  <c r="D69" i="16" s="1"/>
  <c r="B67" i="16"/>
  <c r="D67" i="16" s="1"/>
  <c r="B66" i="16"/>
  <c r="D66" i="16" s="1"/>
  <c r="B65" i="16"/>
  <c r="D65" i="16" s="1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B53" i="16"/>
  <c r="D53" i="16" s="1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B25" i="16"/>
  <c r="D25" i="16" s="1"/>
  <c r="B24" i="16"/>
  <c r="D24" i="16" s="1"/>
  <c r="B23" i="16"/>
  <c r="D23" i="16" s="1"/>
  <c r="B22" i="16"/>
  <c r="B21" i="16"/>
  <c r="B20" i="16"/>
  <c r="D20" i="16" s="1"/>
  <c r="B18" i="16"/>
  <c r="D18" i="16" s="1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B83" i="7"/>
  <c r="D83" i="7" s="1"/>
  <c r="B81" i="7"/>
  <c r="D81" i="7" s="1"/>
  <c r="B80" i="7"/>
  <c r="D80" i="7" s="1"/>
  <c r="B79" i="7"/>
  <c r="D79" i="7" s="1"/>
  <c r="B78" i="7"/>
  <c r="D78" i="7" s="1"/>
  <c r="B77" i="7"/>
  <c r="D77" i="7" s="1"/>
  <c r="B76" i="7"/>
  <c r="D76" i="7" s="1"/>
  <c r="B74" i="7"/>
  <c r="D74" i="7" s="1"/>
  <c r="B73" i="7"/>
  <c r="D73" i="7" s="1"/>
  <c r="B72" i="7"/>
  <c r="D72" i="7" s="1"/>
  <c r="B71" i="7"/>
  <c r="D71" i="7" s="1"/>
  <c r="B70" i="7"/>
  <c r="D70" i="7" s="1"/>
  <c r="B69" i="7"/>
  <c r="D69" i="7" s="1"/>
  <c r="B67" i="7"/>
  <c r="D67" i="7" s="1"/>
  <c r="B66" i="7"/>
  <c r="D66" i="7" s="1"/>
  <c r="B65" i="7"/>
  <c r="D65" i="7" s="1"/>
  <c r="B64" i="7"/>
  <c r="D64" i="7" s="1"/>
  <c r="B63" i="7"/>
  <c r="D63" i="7" s="1"/>
  <c r="B62" i="7"/>
  <c r="B60" i="7"/>
  <c r="D60" i="7" s="1"/>
  <c r="B59" i="7"/>
  <c r="D59" i="7" s="1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5" i="7"/>
  <c r="D25" i="7" s="1"/>
  <c r="B24" i="7"/>
  <c r="D24" i="7" s="1"/>
  <c r="B23" i="7"/>
  <c r="D23" i="7" s="1"/>
  <c r="B22" i="7"/>
  <c r="B21" i="7"/>
  <c r="B20" i="7"/>
  <c r="D20" i="7" s="1"/>
  <c r="B18" i="7"/>
  <c r="D18" i="7" s="1"/>
  <c r="B17" i="7"/>
  <c r="D17" i="7" s="1"/>
  <c r="B16" i="7"/>
  <c r="D16" i="7" s="1"/>
  <c r="B15" i="7"/>
  <c r="D15" i="7" s="1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B87" i="6"/>
  <c r="D87" i="6" s="1"/>
  <c r="B86" i="6"/>
  <c r="D86" i="6" s="1"/>
  <c r="B85" i="6"/>
  <c r="D85" i="6" s="1"/>
  <c r="B84" i="6"/>
  <c r="D84" i="6" s="1"/>
  <c r="B83" i="6"/>
  <c r="D83" i="6" s="1"/>
  <c r="B81" i="6"/>
  <c r="D81" i="6" s="1"/>
  <c r="B80" i="6"/>
  <c r="D80" i="6" s="1"/>
  <c r="B79" i="6"/>
  <c r="D79" i="6" s="1"/>
  <c r="B78" i="6"/>
  <c r="D78" i="6" s="1"/>
  <c r="B77" i="6"/>
  <c r="D77" i="6" s="1"/>
  <c r="B76" i="6"/>
  <c r="D76" i="6" s="1"/>
  <c r="B74" i="6"/>
  <c r="D74" i="6" s="1"/>
  <c r="B73" i="6"/>
  <c r="D73" i="6" s="1"/>
  <c r="B72" i="6"/>
  <c r="D72" i="6" s="1"/>
  <c r="B71" i="6"/>
  <c r="D71" i="6" s="1"/>
  <c r="B70" i="6"/>
  <c r="D70" i="6" s="1"/>
  <c r="B69" i="6"/>
  <c r="D69" i="6" s="1"/>
  <c r="B67" i="6"/>
  <c r="D67" i="6" s="1"/>
  <c r="B66" i="6"/>
  <c r="D66" i="6" s="1"/>
  <c r="B65" i="6"/>
  <c r="D65" i="6" s="1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B25" i="6"/>
  <c r="D25" i="6" s="1"/>
  <c r="B24" i="6"/>
  <c r="D24" i="6" s="1"/>
  <c r="B23" i="6"/>
  <c r="D23" i="6" s="1"/>
  <c r="B22" i="6"/>
  <c r="B21" i="6"/>
  <c r="B20" i="6"/>
  <c r="B18" i="6"/>
  <c r="D18" i="6" s="1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B88" i="5"/>
  <c r="D88" i="5" s="1"/>
  <c r="B87" i="5"/>
  <c r="D87" i="5" s="1"/>
  <c r="B86" i="5"/>
  <c r="D86" i="5" s="1"/>
  <c r="B85" i="5"/>
  <c r="D85" i="5" s="1"/>
  <c r="B84" i="5"/>
  <c r="D84" i="5" s="1"/>
  <c r="B83" i="5"/>
  <c r="D83" i="5" s="1"/>
  <c r="B81" i="5"/>
  <c r="D81" i="5" s="1"/>
  <c r="B80" i="5"/>
  <c r="D80" i="5" s="1"/>
  <c r="B79" i="5"/>
  <c r="D79" i="5" s="1"/>
  <c r="B78" i="5"/>
  <c r="D78" i="5" s="1"/>
  <c r="B77" i="5"/>
  <c r="D77" i="5" s="1"/>
  <c r="B76" i="5"/>
  <c r="D76" i="5" s="1"/>
  <c r="B74" i="5"/>
  <c r="D74" i="5" s="1"/>
  <c r="B73" i="5"/>
  <c r="D73" i="5" s="1"/>
  <c r="B72" i="5"/>
  <c r="D72" i="5" s="1"/>
  <c r="B71" i="5"/>
  <c r="D71" i="5" s="1"/>
  <c r="B70" i="5"/>
  <c r="D70" i="5" s="1"/>
  <c r="B69" i="5"/>
  <c r="D69" i="5" s="1"/>
  <c r="B67" i="5"/>
  <c r="D67" i="5" s="1"/>
  <c r="B66" i="5"/>
  <c r="D66" i="5" s="1"/>
  <c r="B65" i="5"/>
  <c r="D65" i="5" s="1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B53" i="5"/>
  <c r="D53" i="5" s="1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B87" i="4"/>
  <c r="D87" i="4" s="1"/>
  <c r="B86" i="4"/>
  <c r="D86" i="4" s="1"/>
  <c r="B85" i="4"/>
  <c r="D85" i="4" s="1"/>
  <c r="B84" i="4"/>
  <c r="D84" i="4" s="1"/>
  <c r="B83" i="4"/>
  <c r="D83" i="4" s="1"/>
  <c r="B81" i="4"/>
  <c r="D81" i="4" s="1"/>
  <c r="B80" i="4"/>
  <c r="D80" i="4" s="1"/>
  <c r="B79" i="4"/>
  <c r="D79" i="4" s="1"/>
  <c r="B78" i="4"/>
  <c r="D78" i="4" s="1"/>
  <c r="B77" i="4"/>
  <c r="D77" i="4" s="1"/>
  <c r="B76" i="4"/>
  <c r="D76" i="4" s="1"/>
  <c r="B74" i="4"/>
  <c r="D74" i="4" s="1"/>
  <c r="B73" i="4"/>
  <c r="D73" i="4" s="1"/>
  <c r="B72" i="4"/>
  <c r="D72" i="4" s="1"/>
  <c r="B71" i="4"/>
  <c r="D71" i="4" s="1"/>
  <c r="B70" i="4"/>
  <c r="D70" i="4" s="1"/>
  <c r="B69" i="4"/>
  <c r="D69" i="4" s="1"/>
  <c r="B67" i="4"/>
  <c r="D67" i="4" s="1"/>
  <c r="B66" i="4"/>
  <c r="D66" i="4" s="1"/>
  <c r="B65" i="4"/>
  <c r="D65" i="4" s="1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B53" i="4"/>
  <c r="D53" i="4" s="1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B25" i="4"/>
  <c r="D25" i="4" s="1"/>
  <c r="B24" i="4"/>
  <c r="D24" i="4" s="1"/>
  <c r="B23" i="4"/>
  <c r="D23" i="4" s="1"/>
  <c r="B22" i="4"/>
  <c r="B21" i="4"/>
  <c r="B20" i="4"/>
  <c r="B18" i="4"/>
  <c r="D18" i="4" s="1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B87" i="3"/>
  <c r="D87" i="3" s="1"/>
  <c r="B86" i="3"/>
  <c r="D86" i="3" s="1"/>
  <c r="B85" i="3"/>
  <c r="D85" i="3" s="1"/>
  <c r="B84" i="3"/>
  <c r="D84" i="3" s="1"/>
  <c r="B83" i="3"/>
  <c r="D83" i="3" s="1"/>
  <c r="B81" i="3"/>
  <c r="D81" i="3" s="1"/>
  <c r="B80" i="3"/>
  <c r="D80" i="3" s="1"/>
  <c r="B79" i="3"/>
  <c r="D79" i="3" s="1"/>
  <c r="B78" i="3"/>
  <c r="D78" i="3" s="1"/>
  <c r="B77" i="3"/>
  <c r="D77" i="3" s="1"/>
  <c r="B76" i="3"/>
  <c r="D76" i="3" s="1"/>
  <c r="B74" i="3"/>
  <c r="D74" i="3" s="1"/>
  <c r="B73" i="3"/>
  <c r="D73" i="3" s="1"/>
  <c r="B72" i="3"/>
  <c r="D72" i="3" s="1"/>
  <c r="B71" i="3"/>
  <c r="D71" i="3" s="1"/>
  <c r="B70" i="3"/>
  <c r="D70" i="3" s="1"/>
  <c r="B69" i="3"/>
  <c r="D69" i="3" s="1"/>
  <c r="B67" i="3"/>
  <c r="D67" i="3" s="1"/>
  <c r="B66" i="3"/>
  <c r="D66" i="3" s="1"/>
  <c r="B65" i="3"/>
  <c r="D65" i="3" s="1"/>
  <c r="B64" i="3"/>
  <c r="B63" i="3"/>
  <c r="B62" i="3"/>
  <c r="B60" i="3"/>
  <c r="D60" i="3" s="1"/>
  <c r="B59" i="3"/>
  <c r="D59" i="3" s="1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B25" i="3"/>
  <c r="D25" i="3" s="1"/>
  <c r="B24" i="3"/>
  <c r="D24" i="3" s="1"/>
  <c r="B23" i="3"/>
  <c r="D23" i="3" s="1"/>
  <c r="B22" i="3"/>
  <c r="B21" i="3"/>
  <c r="B20" i="3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B88" i="15"/>
  <c r="E88" i="15" s="1"/>
  <c r="B87" i="15"/>
  <c r="E87" i="15" s="1"/>
  <c r="B86" i="15"/>
  <c r="E86" i="15" s="1"/>
  <c r="B85" i="15"/>
  <c r="E85" i="15" s="1"/>
  <c r="C84" i="15"/>
  <c r="C85" i="15" s="1"/>
  <c r="C86" i="15" s="1"/>
  <c r="C87" i="15" s="1"/>
  <c r="C88" i="15" s="1"/>
  <c r="B84" i="15"/>
  <c r="E84" i="15" s="1"/>
  <c r="C83" i="15"/>
  <c r="B83" i="15"/>
  <c r="E83" i="15" s="1"/>
  <c r="F82" i="15"/>
  <c r="B81" i="15"/>
  <c r="E81" i="15" s="1"/>
  <c r="B80" i="15"/>
  <c r="E80" i="15" s="1"/>
  <c r="B79" i="15"/>
  <c r="E79" i="15" s="1"/>
  <c r="C78" i="15"/>
  <c r="C79" i="15" s="1"/>
  <c r="C80" i="15" s="1"/>
  <c r="C81" i="15" s="1"/>
  <c r="B78" i="15"/>
  <c r="E78" i="15" s="1"/>
  <c r="C77" i="15"/>
  <c r="B77" i="15"/>
  <c r="E77" i="15" s="1"/>
  <c r="C76" i="15"/>
  <c r="B76" i="15"/>
  <c r="E76" i="15" s="1"/>
  <c r="F75" i="15"/>
  <c r="B74" i="15"/>
  <c r="E74" i="15" s="1"/>
  <c r="B73" i="15"/>
  <c r="E73" i="15" s="1"/>
  <c r="B72" i="15"/>
  <c r="E72" i="15" s="1"/>
  <c r="B71" i="15"/>
  <c r="E71" i="15" s="1"/>
  <c r="B70" i="15"/>
  <c r="E70" i="15" s="1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B66" i="15"/>
  <c r="E66" i="15" s="1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B53" i="15"/>
  <c r="E53" i="15" s="1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B32" i="15"/>
  <c r="E32" i="15" s="1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B25" i="15"/>
  <c r="E25" i="15" s="1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B87" i="14"/>
  <c r="E87" i="14" s="1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C83" i="14"/>
  <c r="B83" i="14"/>
  <c r="E83" i="14" s="1"/>
  <c r="F82" i="14"/>
  <c r="B81" i="14"/>
  <c r="E81" i="14" s="1"/>
  <c r="B80" i="14"/>
  <c r="E80" i="14" s="1"/>
  <c r="B79" i="14"/>
  <c r="E79" i="14" s="1"/>
  <c r="C78" i="14"/>
  <c r="C79" i="14" s="1"/>
  <c r="C80" i="14" s="1"/>
  <c r="C81" i="14" s="1"/>
  <c r="B78" i="14"/>
  <c r="E78" i="14" s="1"/>
  <c r="C77" i="14"/>
  <c r="B77" i="14"/>
  <c r="E77" i="14" s="1"/>
  <c r="C76" i="14"/>
  <c r="B76" i="14"/>
  <c r="E76" i="14" s="1"/>
  <c r="F75" i="14"/>
  <c r="B74" i="14"/>
  <c r="E74" i="14" s="1"/>
  <c r="B73" i="14"/>
  <c r="E73" i="14" s="1"/>
  <c r="B72" i="14"/>
  <c r="E72" i="14" s="1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B66" i="14"/>
  <c r="E66" i="14" s="1"/>
  <c r="B65" i="14"/>
  <c r="E65" i="14" s="1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B87" i="13"/>
  <c r="E87" i="13" s="1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C83" i="13"/>
  <c r="B83" i="13"/>
  <c r="E83" i="13" s="1"/>
  <c r="F82" i="13"/>
  <c r="B81" i="13"/>
  <c r="E81" i="13" s="1"/>
  <c r="B80" i="13"/>
  <c r="E80" i="13" s="1"/>
  <c r="B79" i="13"/>
  <c r="E79" i="13" s="1"/>
  <c r="B78" i="13"/>
  <c r="E78" i="13" s="1"/>
  <c r="B77" i="13"/>
  <c r="E77" i="13" s="1"/>
  <c r="C76" i="13"/>
  <c r="C77" i="13" s="1"/>
  <c r="C78" i="13" s="1"/>
  <c r="C79" i="13" s="1"/>
  <c r="C80" i="13" s="1"/>
  <c r="C81" i="13" s="1"/>
  <c r="B76" i="13"/>
  <c r="E76" i="13" s="1"/>
  <c r="F75" i="13"/>
  <c r="B74" i="13"/>
  <c r="E74" i="13" s="1"/>
  <c r="B73" i="13"/>
  <c r="E73" i="13" s="1"/>
  <c r="B72" i="13"/>
  <c r="E72" i="13" s="1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B66" i="13"/>
  <c r="E66" i="13" s="1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B59" i="13"/>
  <c r="E59" i="13" s="1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B88" i="12"/>
  <c r="E88" i="12" s="1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C83" i="12"/>
  <c r="B83" i="12"/>
  <c r="E83" i="12" s="1"/>
  <c r="F82" i="12"/>
  <c r="B81" i="12"/>
  <c r="E81" i="12" s="1"/>
  <c r="B80" i="12"/>
  <c r="E80" i="12" s="1"/>
  <c r="C79" i="12"/>
  <c r="C80" i="12" s="1"/>
  <c r="C81" i="12" s="1"/>
  <c r="B79" i="12"/>
  <c r="E79" i="12" s="1"/>
  <c r="C78" i="12"/>
  <c r="B78" i="12"/>
  <c r="E78" i="12" s="1"/>
  <c r="C77" i="12"/>
  <c r="B77" i="12"/>
  <c r="E77" i="12" s="1"/>
  <c r="C76" i="12"/>
  <c r="B76" i="12"/>
  <c r="E76" i="12" s="1"/>
  <c r="F75" i="12"/>
  <c r="B74" i="12"/>
  <c r="E74" i="12" s="1"/>
  <c r="B73" i="12"/>
  <c r="E73" i="12" s="1"/>
  <c r="B72" i="12"/>
  <c r="E72" i="12" s="1"/>
  <c r="B71" i="12"/>
  <c r="E71" i="12" s="1"/>
  <c r="B70" i="12"/>
  <c r="E70" i="12" s="1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B66" i="12"/>
  <c r="E66" i="12" s="1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B53" i="12"/>
  <c r="E53" i="12" s="1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B32" i="12"/>
  <c r="E32" i="12" s="1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B88" i="11"/>
  <c r="E88" i="11" s="1"/>
  <c r="B87" i="11"/>
  <c r="E87" i="11" s="1"/>
  <c r="B86" i="11"/>
  <c r="E86" i="11" s="1"/>
  <c r="B85" i="11"/>
  <c r="E85" i="11" s="1"/>
  <c r="C84" i="11"/>
  <c r="C85" i="11" s="1"/>
  <c r="C86" i="11" s="1"/>
  <c r="C87" i="11" s="1"/>
  <c r="C88" i="11" s="1"/>
  <c r="B84" i="11"/>
  <c r="E84" i="11" s="1"/>
  <c r="C83" i="11"/>
  <c r="B83" i="11"/>
  <c r="E83" i="11" s="1"/>
  <c r="F82" i="11"/>
  <c r="B81" i="11"/>
  <c r="E81" i="11" s="1"/>
  <c r="B80" i="11"/>
  <c r="E80" i="11" s="1"/>
  <c r="B79" i="11"/>
  <c r="E79" i="11" s="1"/>
  <c r="B78" i="11"/>
  <c r="E78" i="11" s="1"/>
  <c r="B77" i="11"/>
  <c r="E77" i="11" s="1"/>
  <c r="C76" i="11"/>
  <c r="C77" i="11" s="1"/>
  <c r="C78" i="11" s="1"/>
  <c r="C79" i="11" s="1"/>
  <c r="C80" i="11" s="1"/>
  <c r="C81" i="11" s="1"/>
  <c r="B76" i="11"/>
  <c r="E76" i="11" s="1"/>
  <c r="F75" i="11"/>
  <c r="B74" i="11"/>
  <c r="E74" i="11" s="1"/>
  <c r="B73" i="11"/>
  <c r="E73" i="11" s="1"/>
  <c r="B72" i="11"/>
  <c r="E72" i="11" s="1"/>
  <c r="B71" i="11"/>
  <c r="E71" i="11" s="1"/>
  <c r="B70" i="11"/>
  <c r="E70" i="11" s="1"/>
  <c r="C69" i="11"/>
  <c r="C70" i="11" s="1"/>
  <c r="C71" i="11" s="1"/>
  <c r="C72" i="11" s="1"/>
  <c r="C73" i="11" s="1"/>
  <c r="C74" i="11" s="1"/>
  <c r="B69" i="11"/>
  <c r="E69" i="11" s="1"/>
  <c r="F68" i="11"/>
  <c r="B67" i="11"/>
  <c r="E67" i="11" s="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B52" i="11"/>
  <c r="E52" i="11" s="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B39" i="11"/>
  <c r="E39" i="11" s="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B32" i="11"/>
  <c r="E32" i="11" s="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B18" i="11"/>
  <c r="E18" i="11" s="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B85" i="10"/>
  <c r="E85" i="10" s="1"/>
  <c r="C84" i="10"/>
  <c r="C85" i="10" s="1"/>
  <c r="C86" i="10" s="1"/>
  <c r="C87" i="10" s="1"/>
  <c r="C88" i="10" s="1"/>
  <c r="B84" i="10"/>
  <c r="E84" i="10" s="1"/>
  <c r="C83" i="10"/>
  <c r="B83" i="10"/>
  <c r="E83" i="10" s="1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B72" i="10"/>
  <c r="E72" i="10" s="1"/>
  <c r="B71" i="10"/>
  <c r="E71" i="10" s="1"/>
  <c r="B70" i="10"/>
  <c r="E70" i="10" s="1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B66" i="10"/>
  <c r="E66" i="10" s="1"/>
  <c r="B65" i="10"/>
  <c r="E65" i="10" s="1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8" i="7" l="1"/>
  <c r="D42" i="3"/>
  <c r="D36" i="6"/>
  <c r="D37" i="16"/>
  <c r="D21" i="16"/>
  <c r="D48" i="4"/>
  <c r="D49" i="6"/>
  <c r="D22" i="7"/>
  <c r="D37" i="4"/>
  <c r="D21" i="4"/>
  <c r="D22" i="5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<sst xmlns="http://schemas.openxmlformats.org/spreadsheetml/2006/main" count="700" uniqueCount="130">
  <si>
    <t>TECNOLOGÍA EN GESTIÓN DE NEGOCIOS INTERN</t>
  </si>
  <si>
    <t>SEMESTRE:</t>
  </si>
  <si>
    <t>SEM-06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</si>
  <si>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</si>
  <si>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</si>
  <si>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</si>
  <si>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</si>
  <si>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</si>
  <si>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</si>
  <si>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</si>
  <si>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</si>
  <si>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INNOVACION Y EMPRENDIMIENTO</t>
  </si>
  <si>
    <t>ELECTIVA LIBRE SOCIOHUMANÍ II</t>
  </si>
  <si>
    <t>ELECTIVA DE PROFUNDIZACION III</t>
  </si>
  <si>
    <t>AMBIENTE Y DESARROLLO</t>
  </si>
  <si>
    <t>FINANZAS INTERNACIONALES</t>
  </si>
  <si>
    <t>D.F.I.</t>
  </si>
  <si>
    <t>JOHAN RAFAEL HURTADO CASTRO</t>
  </si>
  <si>
    <t>VICTOR HUGO HURTADO OROZCO</t>
  </si>
  <si>
    <t>OSCAR DAVID URIZA PEREZ</t>
  </si>
  <si>
    <t>MARIANO BELTRAN PADILLA</t>
  </si>
  <si>
    <t>JAVIER IGNACIO ALVAREZ OROZCO</t>
  </si>
  <si>
    <t>OMAR JOSE CEDIEL TANG</t>
  </si>
  <si>
    <t>LISTA DE ESTUDIANTES</t>
  </si>
  <si>
    <t>SEGUNDA ENTREGA - CRITERIO DE EVALUACIÓN DOCUMENTO - SEGUNDO CORTE</t>
  </si>
  <si>
    <t>PONDERACIÓN</t>
  </si>
  <si>
    <t>ADMINISTRACIÓN DE EMPRESAS C.I</t>
  </si>
  <si>
    <t>ALVARO JOSE BERROCAL NARVAEZ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</si>
  <si>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</si>
  <si>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</si>
  <si>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SAMUEL HERNANDEZ VELEZ</t>
  </si>
  <si>
    <t>ANTEPROYECTO: Portada, planteamiento del problema, justificacion del trabajo o proyecto de aula, objetivos, marco teorico, diseño metodologico.</t>
  </si>
  <si>
    <t>CONTADURÍA PÚBLICA</t>
  </si>
  <si>
    <t>YHON DEIVIS MARTINEZ CONTRERAS</t>
  </si>
  <si>
    <t>RESULTADOS:  Analiza, integra y aplica de manera coherente los aspectos para la Construcción de la marca empresarial (Branding)</t>
  </si>
  <si>
    <t>NEGOCIOS INTERNACIONALES PROFESIONAL</t>
  </si>
  <si>
    <t>VALERIA NARVAEZ FUENTES</t>
  </si>
  <si>
    <t>RESULTADOS:  Analiza, integra y aplica de manera coherente los aspectos del  Plan de distribución.</t>
  </si>
  <si>
    <t>MICHELL ANDREA RODRIGUEZ HERRERA</t>
  </si>
  <si>
    <t>RESULTADOS:  Analiza, integra y aplica de manera coherente los aspectos para  el  Análisis ambiental y social.</t>
  </si>
  <si>
    <t>TECNOLOGíA EN GESTION CONTABLE</t>
  </si>
  <si>
    <t>EMMANUEL DE JESUS ROJAS TORRES</t>
  </si>
  <si>
    <t>BILIOGRAFIA: Las referencias bibliograficas: adoptan las normas APA. El documento es producto de un rastreo bibliografico que muestra analisis y sistensis.</t>
  </si>
  <si>
    <t>TECNOLOGÍA EN GESTIÓN DE MARKETING</t>
  </si>
  <si>
    <t>JARY DANIELA CALLE DONADO</t>
  </si>
  <si>
    <t>ASESORIAS: Anexó la hoja de tutoria firmada ( 3 fimas minmimo).</t>
  </si>
  <si>
    <t>TECNOLOGÍA EN GESTIÓN DEL TALENTO HUMANO</t>
  </si>
  <si>
    <t>SAID JOSE CASTILLO MORALES</t>
  </si>
  <si>
    <t>TECNOLOGÍA EN GESTIÓN FINANCIERA</t>
  </si>
  <si>
    <t>DANNA VALENTINA CORTES MENDOZA</t>
  </si>
  <si>
    <t>TECNOLOGÍA EN GESTIÓN LOGISTICA Y PORTUARIA</t>
  </si>
  <si>
    <t>SEBASTIAN GÖMEZ CASTILLO</t>
  </si>
  <si>
    <t>ENTREGA FINAL - CRITERIO DE EVALUACIÓN SUSTENTACIÓN - TERCER CORTE</t>
  </si>
  <si>
    <t>TECNOLOGÍA EN GESTIÓN TURISTICA Y HOTELERA</t>
  </si>
  <si>
    <t>MARIA PAULA SIMARRA PAEZ</t>
  </si>
  <si>
    <t>Evaluación del Documento Final</t>
  </si>
  <si>
    <t>JUAN CAMILO CARREAZO BOLAÑOS</t>
  </si>
  <si>
    <t>Sustentación de los Resultados: Se refleja un dominio del tema, la  información está delimitada y es clara. Hay una jerarquía y fluidez en las ideas que presenta.</t>
  </si>
  <si>
    <t>FELIPE HERNANDEZ CORREA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</si>
  <si>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</si>
  <si>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VICKY SADAY LAGUNA SUÁREZ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</si>
  <si>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</si>
  <si>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JHON DEIVER MAZA VALVERDE</t>
  </si>
  <si>
    <t>Tiempo: El uso del tiempo fue apropiado, se ajusta al previsto.
Ofrece una conclusión donde condensa las ideas principales del objetivo general y los específicos.</t>
  </si>
  <si>
    <t>JHON JAIRO OROZCO BALLESTAS</t>
  </si>
  <si>
    <t>Uso de Recursos Audiovisuales Tecnológicos: La sustentación se acompaña de recursos visuales pertinentes, atractivos y de gran calidad</t>
  </si>
  <si>
    <t>MARIANA ALEJANDRA ARENAS BUSTILLO</t>
  </si>
  <si>
    <t>DANIELA FIGUEROA CASTELLAR</t>
  </si>
  <si>
    <t>WENDY PAOLA LARA CORTINA</t>
  </si>
  <si>
    <t>MAYRA ALEJANDRA NAVARRO LOPEZ</t>
  </si>
  <si>
    <t>TITULOS DE LOS PROYECTOS DE AULA</t>
  </si>
  <si>
    <t>DANIEL DE JESUS VILLADIEGO VELASQUEZ</t>
  </si>
  <si>
    <t>GRUPO#1  FERTILIZANTES ORGANICOS</t>
  </si>
  <si>
    <t>Oscar Herrera Himbret</t>
  </si>
  <si>
    <t>GRUPO#2 ROPA SAFI</t>
  </si>
  <si>
    <t>NEIBILIS ROSA OBESO BORNACHERA</t>
  </si>
  <si>
    <t>GRUPO#3 GORRAS-MERKATEX</t>
  </si>
  <si>
    <t>AMÉRICA ROJAS BARROS</t>
  </si>
  <si>
    <t>GRUPO#4 CRUNCH DE FRUTAS DESHIDRATADAS</t>
  </si>
  <si>
    <t>BREYNER DUBAN MEDRANO MARTINEZ</t>
  </si>
  <si>
    <t>GRUPO#5 Crema Capilar NATURAL CROWN S.A.S</t>
  </si>
  <si>
    <t>IVAN CAMILO RODRIGUEZ THERAN</t>
  </si>
  <si>
    <t>GRUPO#6 VELAS FRAGAN'S CO</t>
  </si>
  <si>
    <t>OSCAR ANDRES MONTILLA MUELAS</t>
  </si>
  <si>
    <t>GRUPO#7 NATIVA GOURMET</t>
  </si>
  <si>
    <t>CAMILO ANDRES ZUÑIGA LOPEZ</t>
  </si>
  <si>
    <t>GRUPO#8</t>
  </si>
  <si>
    <t>ANGY CAROLINA ZUÑIGA VASQUEZ</t>
  </si>
  <si>
    <t>GRUPO#9</t>
  </si>
  <si>
    <t>RANYELYS MARIAN AYOLA PEREZ</t>
  </si>
  <si>
    <t>GRUPO#10</t>
  </si>
  <si>
    <t>NATALIA NARANJO MORRÓN</t>
  </si>
  <si>
    <t>GRUPO#11</t>
  </si>
  <si>
    <t>YENDER JOSE PUELLO TORRES</t>
  </si>
  <si>
    <t>GRUPO#12</t>
  </si>
  <si>
    <t>JHONATAN WATTS PINTO</t>
  </si>
  <si>
    <t>Edgar Mauricio Zurique Gonzalez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</si>
  <si>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</si>
  <si>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</si>
  <si>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</si>
  <si>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</si>
  <si>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</si>
  <si>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</si>
  <si>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</si>
  <si>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</si>
  <si>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</si>
  <si>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</si>
  <si>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</si>
  <si>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</si>
  <si>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</si>
  <si>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</si>
  <si>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</si>
  <si>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</si>
  <si>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GRUPO#7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</si>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</sst>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2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21" xfId="0" applyFont="1" applyFill="1" applyBorder="1" applyAlignment="1" applyProtection="1">
      <alignment horizontal="left" vertical="top"/>
      <protection hidden="1"/>
    </xf>
    <xf numFmtId="0" fontId="4" fillId="4" borderId="56" xfId="0" applyFont="1" applyFill="1" applyBorder="1" applyAlignment="1" applyProtection="1">
      <alignment horizontal="left" vertical="top"/>
      <protection hidden="1"/>
    </xf>
    <xf numFmtId="0" fontId="4" fillId="4" borderId="57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27" xfId="0" applyNumberFormat="1" applyFont="1" applyBorder="1" applyAlignment="1" applyProtection="1">
      <alignment horizontal="center" vertical="center"/>
      <protection locked="0"/>
    </xf>
    <xf numFmtId="164" fontId="19" fillId="0" borderId="25" xfId="0" applyNumberFormat="1" applyFont="1" applyBorder="1" applyAlignment="1" applyProtection="1">
      <alignment horizontal="center" vertical="center"/>
      <protection locked="0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6" borderId="27" xfId="0" applyNumberFormat="1" applyFont="1" applyFill="1" applyBorder="1" applyAlignment="1" applyProtection="1">
      <alignment horizontal="center" vertical="center"/>
      <protection locked="0"/>
    </xf>
    <xf numFmtId="164" fontId="19" fillId="6" borderId="25" xfId="0" applyNumberFormat="1" applyFont="1" applyFill="1" applyBorder="1" applyAlignment="1" applyProtection="1">
      <alignment horizontal="center" vertical="center"/>
      <protection locked="0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workbookViewId="0"/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4" t="s">
        <v>0</v>
      </c>
      <c r="C2" s="155"/>
      <c r="D2" s="156"/>
      <c r="E2" s="101" t="s">
        <v>1</v>
      </c>
      <c r="F2" s="102" t="s">
        <v>2</v>
      </c>
      <c r="G2" s="101" t="s">
        <v>3</v>
      </c>
      <c r="H2" s="41">
        <v>3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 t="s">
        <v>16</v>
      </c>
      <c r="I4" s="131"/>
    </row>
    <row r="5" spans="2:9" ht="24.95" customHeight="1" thickBot="1">
      <c r="C5" s="132" t="s">
        <v>17</v>
      </c>
      <c r="D5" s="132" t="s">
        <v>18</v>
      </c>
      <c r="E5" s="132" t="s">
        <v>19</v>
      </c>
      <c r="F5" s="132" t="s">
        <v>20</v>
      </c>
      <c r="G5" s="132" t="s">
        <v>21</v>
      </c>
      <c r="H5" s="133" t="s">
        <v>22</v>
      </c>
      <c r="I5" s="133"/>
    </row>
    <row r="6" spans="2:9" ht="24.95" customHeight="1" thickBot="1">
      <c r="C6" s="134">
        <v>2444</v>
      </c>
      <c r="D6" s="134">
        <v>2246</v>
      </c>
      <c r="E6" s="134">
        <v>2457</v>
      </c>
      <c r="F6" s="134">
        <v>1118</v>
      </c>
      <c r="G6" s="134">
        <v>1487</v>
      </c>
      <c r="H6" s="134">
        <v>1492</v>
      </c>
      <c r="I6" s="134"/>
    </row>
    <row r="7" spans="2:9" ht="13.5" thickBot="1"/>
    <row r="8" spans="2:9" ht="20.100000000000001" customHeight="1">
      <c r="B8" s="108"/>
      <c r="C8" s="109" t="s">
        <v>23</v>
      </c>
      <c r="E8" s="157" t="s">
        <v>24</v>
      </c>
      <c r="F8" s="158"/>
      <c r="G8" s="159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60" t="s">
        <v>28</v>
      </c>
      <c r="F9" s="161"/>
      <c r="G9" s="162"/>
      <c r="H9" s="135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63" t="s">
        <v>31</v>
      </c>
      <c r="F10" s="164"/>
      <c r="G10" s="165"/>
      <c r="H10" s="136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60" t="s">
        <v>34</v>
      </c>
      <c r="F11" s="161"/>
      <c r="G11" s="162"/>
      <c r="H11" s="135">
        <v>0.1</v>
      </c>
      <c r="I11" s="69" t="s">
        <v>35</v>
      </c>
    </row>
    <row r="12" spans="2:9" ht="15" customHeight="1">
      <c r="B12" s="108">
        <v>4</v>
      </c>
      <c r="C12" s="111" t="s">
        <v>36</v>
      </c>
      <c r="E12" s="163" t="s">
        <v>37</v>
      </c>
      <c r="F12" s="164"/>
      <c r="G12" s="165"/>
      <c r="H12" s="135">
        <v>0.1</v>
      </c>
      <c r="I12" s="69" t="s">
        <v>0</v>
      </c>
    </row>
    <row r="13" spans="2:9" ht="15" customHeight="1">
      <c r="B13" s="108">
        <v>5</v>
      </c>
      <c r="C13" s="111" t="s">
        <v>38</v>
      </c>
      <c r="E13" s="166" t="s">
        <v>39</v>
      </c>
      <c r="F13" s="167"/>
      <c r="G13" s="168"/>
      <c r="H13" s="135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69" t="s">
        <v>42</v>
      </c>
      <c r="F14" s="170"/>
      <c r="G14" s="171"/>
      <c r="H14" s="136">
        <v>0.2</v>
      </c>
      <c r="I14" s="69" t="s">
        <v>43</v>
      </c>
    </row>
    <row r="15" spans="2:9" ht="15" customHeight="1">
      <c r="B15" s="108">
        <v>7</v>
      </c>
      <c r="C15" s="111" t="s">
        <v>44</v>
      </c>
      <c r="E15" s="178" t="s">
        <v>45</v>
      </c>
      <c r="F15" s="179"/>
      <c r="G15" s="180"/>
      <c r="H15" s="135">
        <v>0.1</v>
      </c>
      <c r="I15" s="69" t="s">
        <v>46</v>
      </c>
    </row>
    <row r="16" spans="2:9" ht="15" customHeight="1">
      <c r="B16" s="108">
        <v>8</v>
      </c>
      <c r="C16" s="111" t="s">
        <v>47</v>
      </c>
      <c r="E16" s="112"/>
      <c r="F16" s="112"/>
      <c r="G16" s="112"/>
      <c r="H16" s="137">
        <f>IF(SUM(H9:H15)&gt;1,"Más del 100%",SUM(H9:H15))</f>
        <v>0.99999999999999989</v>
      </c>
      <c r="I16" s="69" t="s">
        <v>48</v>
      </c>
    </row>
    <row r="17" spans="2:9" ht="15" customHeight="1">
      <c r="B17" s="108">
        <v>9</v>
      </c>
      <c r="C17" s="111" t="s">
        <v>49</v>
      </c>
      <c r="E17" s="187"/>
      <c r="F17" s="187"/>
      <c r="G17" s="187"/>
      <c r="H17" s="187"/>
      <c r="I17" s="69" t="s">
        <v>50</v>
      </c>
    </row>
    <row r="18" spans="2:9" ht="15" customHeight="1">
      <c r="B18" s="108">
        <v>10</v>
      </c>
      <c r="C18" s="111" t="s">
        <v>51</v>
      </c>
      <c r="E18" s="194" t="s">
        <v>52</v>
      </c>
      <c r="F18" s="195"/>
      <c r="G18" s="195"/>
      <c r="H18" s="113" t="s">
        <v>25</v>
      </c>
      <c r="I18" s="69" t="s">
        <v>53</v>
      </c>
    </row>
    <row r="19" spans="2:9" ht="15" customHeight="1">
      <c r="B19" s="108">
        <v>11</v>
      </c>
      <c r="C19" s="111" t="s">
        <v>54</v>
      </c>
      <c r="E19" s="184" t="s">
        <v>55</v>
      </c>
      <c r="F19" s="185"/>
      <c r="G19" s="186"/>
      <c r="H19" s="138">
        <v>0.5</v>
      </c>
    </row>
    <row r="20" spans="2:9" ht="15" customHeight="1">
      <c r="B20" s="108">
        <v>12</v>
      </c>
      <c r="C20" s="111" t="s">
        <v>56</v>
      </c>
      <c r="E20" s="188" t="s">
        <v>57</v>
      </c>
      <c r="F20" s="189"/>
      <c r="G20" s="190"/>
      <c r="H20" s="139">
        <v>0.2</v>
      </c>
    </row>
    <row r="21" spans="2:9" ht="15" customHeight="1">
      <c r="B21" s="108">
        <v>13</v>
      </c>
      <c r="C21" s="111" t="s">
        <v>58</v>
      </c>
      <c r="E21" s="196" t="s">
        <v>59</v>
      </c>
      <c r="F21" s="197"/>
      <c r="G21" s="198"/>
      <c r="H21" s="140">
        <v>0.1</v>
      </c>
    </row>
    <row r="22" spans="2:9" ht="15" customHeight="1">
      <c r="B22" s="108">
        <v>14</v>
      </c>
      <c r="C22" s="111" t="s">
        <v>60</v>
      </c>
      <c r="E22" s="188" t="s">
        <v>61</v>
      </c>
      <c r="F22" s="170"/>
      <c r="G22" s="171"/>
      <c r="H22" s="139">
        <v>0.05</v>
      </c>
    </row>
    <row r="23" spans="2:9" ht="15" customHeight="1">
      <c r="B23" s="108">
        <v>15</v>
      </c>
      <c r="C23" s="111" t="s">
        <v>62</v>
      </c>
      <c r="E23" s="196" t="s">
        <v>63</v>
      </c>
      <c r="F23" s="197"/>
      <c r="G23" s="198"/>
      <c r="H23" s="141">
        <v>0.05</v>
      </c>
    </row>
    <row r="24" spans="2:9" ht="15" customHeight="1">
      <c r="B24" s="108">
        <v>16</v>
      </c>
      <c r="C24" s="111" t="s">
        <v>64</v>
      </c>
      <c r="E24" s="188" t="s">
        <v>65</v>
      </c>
      <c r="F24" s="189"/>
      <c r="G24" s="190"/>
      <c r="H24" s="139">
        <v>0.1</v>
      </c>
    </row>
    <row r="25" spans="2:9" ht="15" customHeight="1">
      <c r="B25" s="108">
        <v>17</v>
      </c>
      <c r="C25" s="111" t="s">
        <v>66</v>
      </c>
      <c r="E25" s="181"/>
      <c r="F25" s="182"/>
      <c r="G25" s="183"/>
      <c r="H25" s="140"/>
    </row>
    <row r="26" spans="2:9" ht="15" customHeight="1">
      <c r="B26" s="108">
        <v>18</v>
      </c>
      <c r="C26" s="111" t="s">
        <v>67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>
      <c r="B27" s="108">
        <v>19</v>
      </c>
      <c r="C27" s="111" t="s">
        <v>68</v>
      </c>
      <c r="E27" s="114"/>
      <c r="F27" s="114"/>
      <c r="G27" s="114"/>
      <c r="H27" s="114"/>
    </row>
    <row r="28" spans="2:9" ht="15" customHeight="1">
      <c r="B28" s="108">
        <v>20</v>
      </c>
      <c r="C28" s="111" t="s">
        <v>69</v>
      </c>
      <c r="E28" s="191" t="s">
        <v>70</v>
      </c>
      <c r="F28" s="192"/>
      <c r="G28" s="192"/>
      <c r="H28" s="193"/>
    </row>
    <row r="29" spans="2:9" ht="15" customHeight="1">
      <c r="B29" s="108">
        <v>21</v>
      </c>
      <c r="C29" s="111" t="s">
        <v>71</v>
      </c>
      <c r="E29" s="175" t="s">
        <v>72</v>
      </c>
      <c r="F29" s="176"/>
      <c r="G29" s="176"/>
      <c r="H29" s="177"/>
    </row>
    <row r="30" spans="2:9" ht="15" customHeight="1">
      <c r="B30" s="108">
        <v>22</v>
      </c>
      <c r="C30" s="111" t="s">
        <v>73</v>
      </c>
      <c r="E30" s="172" t="s">
        <v>74</v>
      </c>
      <c r="F30" s="173"/>
      <c r="G30" s="173"/>
      <c r="H30" s="174"/>
    </row>
    <row r="31" spans="2:9" ht="15" customHeight="1">
      <c r="B31" s="108">
        <v>23</v>
      </c>
      <c r="C31" s="111" t="s">
        <v>75</v>
      </c>
      <c r="E31" s="175" t="s">
        <v>76</v>
      </c>
      <c r="F31" s="176"/>
      <c r="G31" s="176"/>
      <c r="H31" s="177"/>
    </row>
    <row r="32" spans="2:9" ht="15" customHeight="1">
      <c r="B32" s="108">
        <v>24</v>
      </c>
      <c r="C32" s="111" t="s">
        <v>77</v>
      </c>
      <c r="E32" s="172" t="s">
        <v>78</v>
      </c>
      <c r="F32" s="173"/>
      <c r="G32" s="173"/>
      <c r="H32" s="174"/>
    </row>
    <row r="33" spans="2:8" ht="15" customHeight="1">
      <c r="B33" s="108">
        <v>25</v>
      </c>
      <c r="C33" s="111" t="s">
        <v>79</v>
      </c>
      <c r="E33" s="175" t="s">
        <v>80</v>
      </c>
      <c r="F33" s="176"/>
      <c r="G33" s="176"/>
      <c r="H33" s="177"/>
    </row>
    <row r="34" spans="2:8" ht="15" customHeight="1">
      <c r="B34" s="108">
        <v>26</v>
      </c>
      <c r="C34" s="111" t="s">
        <v>81</v>
      </c>
      <c r="E34" s="172" t="s">
        <v>82</v>
      </c>
      <c r="F34" s="173"/>
      <c r="G34" s="173"/>
      <c r="H34" s="174"/>
    </row>
    <row r="35" spans="2:8" ht="15" customHeight="1">
      <c r="B35" s="108">
        <v>27</v>
      </c>
      <c r="C35" s="111" t="s">
        <v>83</v>
      </c>
      <c r="E35" s="175" t="s">
        <v>84</v>
      </c>
      <c r="F35" s="176"/>
      <c r="G35" s="176"/>
      <c r="H35" s="177"/>
    </row>
    <row r="36" spans="2:8" ht="15" customHeight="1">
      <c r="B36" s="108">
        <v>28</v>
      </c>
      <c r="C36" s="111" t="s">
        <v>85</v>
      </c>
      <c r="E36" s="172" t="s">
        <v>86</v>
      </c>
      <c r="F36" s="173"/>
      <c r="G36" s="173"/>
      <c r="H36" s="174"/>
    </row>
    <row r="37" spans="2:8" ht="15" customHeight="1">
      <c r="B37" s="108">
        <v>29</v>
      </c>
      <c r="C37" s="111" t="s">
        <v>87</v>
      </c>
      <c r="E37" s="175" t="s">
        <v>88</v>
      </c>
      <c r="F37" s="176"/>
      <c r="G37" s="176"/>
      <c r="H37" s="177"/>
    </row>
    <row r="38" spans="2:8" ht="15" customHeight="1">
      <c r="B38" s="108">
        <v>30</v>
      </c>
      <c r="C38" s="111" t="s">
        <v>89</v>
      </c>
      <c r="E38" s="172" t="s">
        <v>90</v>
      </c>
      <c r="F38" s="173"/>
      <c r="G38" s="173"/>
      <c r="H38" s="174"/>
    </row>
    <row r="39" spans="2:8" ht="15" customHeight="1">
      <c r="B39" s="108">
        <v>31</v>
      </c>
      <c r="C39" s="111" t="s">
        <v>91</v>
      </c>
      <c r="E39" s="175" t="s">
        <v>92</v>
      </c>
      <c r="F39" s="176"/>
      <c r="G39" s="176"/>
      <c r="H39" s="177"/>
    </row>
    <row r="40" spans="2:8" ht="15" customHeight="1">
      <c r="B40" s="108">
        <v>32</v>
      </c>
      <c r="C40" s="111" t="s">
        <v>93</v>
      </c>
      <c r="E40" s="172" t="s">
        <v>94</v>
      </c>
      <c r="F40" s="173"/>
      <c r="G40" s="173"/>
      <c r="H40" s="174"/>
    </row>
    <row r="41" spans="2:8" ht="15" customHeight="1">
      <c r="B41" s="108">
        <v>33</v>
      </c>
      <c r="C41" s="111" t="s">
        <v>95</v>
      </c>
      <c r="E41" s="114"/>
      <c r="F41" s="114"/>
      <c r="G41" s="114"/>
      <c r="H41" s="114"/>
    </row>
    <row r="42" spans="2:8" ht="15" customHeight="1" thickBot="1">
      <c r="B42" s="108">
        <v>34</v>
      </c>
      <c r="C42" s="111" t="s">
        <v>96</v>
      </c>
      <c r="E42" s="115" t="str">
        <f>MID(E29,1,20)</f>
        <v>GRUPO#1  FERTILIZANT</v>
      </c>
      <c r="F42" s="116" t="str">
        <f>MID(E30,1,20)</f>
        <v>GRUPO#2 ROPA SAFI</v>
      </c>
      <c r="G42" s="116" t="str">
        <f>MID(E31,1,20)</f>
        <v>GRUPO#3 GORRAS-MERKA</v>
      </c>
      <c r="H42" s="117" t="str">
        <f>MID(E32,1,20)</f>
        <v>GRUPO#4 CRUNCH DE FR</v>
      </c>
    </row>
    <row r="43" spans="2:8" ht="15" customHeight="1">
      <c r="B43" s="108">
        <v>35</v>
      </c>
      <c r="C43" s="111"/>
      <c r="E43" s="118" t="s">
        <v>27</v>
      </c>
      <c r="F43" s="119" t="s">
        <v>44</v>
      </c>
      <c r="G43" s="119" t="s">
        <v>56</v>
      </c>
      <c r="H43" s="120" t="s">
        <v>66</v>
      </c>
    </row>
    <row r="44" spans="2:8" ht="15" customHeight="1">
      <c r="B44" s="108">
        <v>36</v>
      </c>
      <c r="C44" s="111"/>
      <c r="E44" s="121" t="s">
        <v>30</v>
      </c>
      <c r="F44" s="122" t="s">
        <v>47</v>
      </c>
      <c r="G44" s="122" t="s">
        <v>58</v>
      </c>
      <c r="H44" s="123" t="s">
        <v>67</v>
      </c>
    </row>
    <row r="45" spans="2:8" ht="15" customHeight="1">
      <c r="B45" s="108">
        <v>37</v>
      </c>
      <c r="C45" s="111"/>
      <c r="E45" s="124" t="s">
        <v>33</v>
      </c>
      <c r="F45" s="125" t="s">
        <v>49</v>
      </c>
      <c r="G45" s="125" t="s">
        <v>60</v>
      </c>
      <c r="H45" s="126" t="s">
        <v>68</v>
      </c>
    </row>
    <row r="46" spans="2:8" ht="15" customHeight="1">
      <c r="B46" s="108">
        <v>38</v>
      </c>
      <c r="C46" s="111"/>
      <c r="E46" s="121" t="s">
        <v>36</v>
      </c>
      <c r="F46" s="122" t="s">
        <v>51</v>
      </c>
      <c r="G46" s="122" t="s">
        <v>62</v>
      </c>
      <c r="H46" s="123" t="s">
        <v>69</v>
      </c>
    </row>
    <row r="47" spans="2:8" ht="15" customHeight="1">
      <c r="B47" s="108">
        <v>39</v>
      </c>
      <c r="C47" s="111"/>
      <c r="E47" s="124" t="s">
        <v>38</v>
      </c>
      <c r="F47" s="125" t="s">
        <v>54</v>
      </c>
      <c r="G47" s="125" t="s">
        <v>64</v>
      </c>
      <c r="H47" s="126" t="s">
        <v>71</v>
      </c>
    </row>
    <row r="48" spans="2:8" ht="15" customHeight="1" thickBot="1">
      <c r="B48" s="108">
        <v>40</v>
      </c>
      <c r="C48" s="111"/>
      <c r="E48" s="127" t="s">
        <v>41</v>
      </c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 Crema Capila</v>
      </c>
      <c r="F50" s="116" t="str">
        <f>MID(E34,1,20)</f>
        <v>GRUPO#6 VELAS FRAGAN</v>
      </c>
      <c r="G50" s="116" t="str">
        <f>MID(E35,1,20)</f>
        <v>GRUPO#7 NATIVA GOURM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73</v>
      </c>
      <c r="F51" s="119" t="s">
        <v>79</v>
      </c>
      <c r="G51" s="119" t="s">
        <v>89</v>
      </c>
      <c r="H51" s="120"/>
    </row>
    <row r="52" spans="2:8" ht="15" customHeight="1">
      <c r="B52" s="108">
        <v>44</v>
      </c>
      <c r="C52" s="111"/>
      <c r="E52" s="121" t="s">
        <v>75</v>
      </c>
      <c r="F52" s="122" t="s">
        <v>83</v>
      </c>
      <c r="G52" s="122" t="s">
        <v>91</v>
      </c>
      <c r="H52" s="123"/>
    </row>
    <row r="53" spans="2:8" ht="15" customHeight="1">
      <c r="B53" s="108">
        <v>45</v>
      </c>
      <c r="C53" s="111"/>
      <c r="E53" s="124" t="s">
        <v>77</v>
      </c>
      <c r="F53" s="125" t="s">
        <v>85</v>
      </c>
      <c r="G53" s="125" t="s">
        <v>93</v>
      </c>
      <c r="H53" s="126"/>
    </row>
    <row r="54" spans="2:8" ht="15" customHeight="1">
      <c r="B54" s="108">
        <v>46</v>
      </c>
      <c r="C54" s="111"/>
      <c r="E54" s="121" t="s">
        <v>81</v>
      </c>
      <c r="F54" s="122" t="s">
        <v>87</v>
      </c>
      <c r="G54" s="122" t="s">
        <v>95</v>
      </c>
      <c r="H54" s="123"/>
    </row>
    <row r="55" spans="2:8" ht="15" customHeight="1">
      <c r="B55" s="108">
        <v>47</v>
      </c>
      <c r="C55" s="111"/>
      <c r="E55" s="124"/>
      <c r="F55" s="125"/>
      <c r="G55" s="125" t="s">
        <v>96</v>
      </c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z/LyogexfQYmvhb2vy2ZlJEbZk7jYTY600B97MlzRK9tBC2YivbGEOcZOQPtzXcTUTmasL8zbzSl4N0AQ/8dxw==" saltValue="d/C//ygqa0AIUjHlPS+JjQ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G47" activePane="bottomRight" state="frozen"/>
      <selection pane="bottomRight" activeCell="N48" sqref="N48"/>
      <selection pane="bottomLeft" activeCell="N48" sqref="N48"/>
      <selection pane="topRight" activeCell="N48" sqref="N4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LIDER!C4</f>
        <v>INNOVACION Y EMPRENDIMIENTO</v>
      </c>
      <c r="C2" s="82"/>
      <c r="D2" s="3"/>
      <c r="F2" s="207" t="s">
        <v>97</v>
      </c>
      <c r="G2" s="208"/>
      <c r="H2" s="208"/>
      <c r="I2" s="208"/>
      <c r="J2" s="208"/>
      <c r="K2" s="208"/>
      <c r="L2" s="209"/>
    </row>
    <row r="3" spans="1:12" s="2" customFormat="1" ht="145.5" customHeight="1">
      <c r="B3" s="83" t="s">
        <v>98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10" t="str">
        <f>CONCATENATE(LIDER!C4," - ",LIDER!C6," - ",LIDER!C5)</f>
        <v>INNOVACION Y EMPRENDIMIENTO - 2444 - JOHAN RAFAEL HURTADO CASTRO</v>
      </c>
      <c r="G4" s="210"/>
      <c r="H4" s="210"/>
      <c r="I4" s="210"/>
      <c r="J4" s="210"/>
      <c r="K4" s="210"/>
      <c r="L4" s="210"/>
    </row>
    <row r="5" spans="1:12" s="2" customFormat="1" ht="15.75" customHeight="1">
      <c r="A5" s="8"/>
      <c r="B5" s="25" t="s">
        <v>99</v>
      </c>
      <c r="C5" s="88" t="s">
        <v>100</v>
      </c>
      <c r="D5" s="32" t="s">
        <v>101</v>
      </c>
      <c r="E5" s="89" t="s">
        <v>102</v>
      </c>
      <c r="F5" s="146" t="str">
        <f>LIDER!$E$29</f>
        <v>GRUPO#1  FERTILIZANTES ORGANICOS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ALVARO JOSE BERROCAL NARVAEZ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4.28</v>
      </c>
      <c r="F6" s="205">
        <v>4</v>
      </c>
      <c r="G6" s="201">
        <v>4.5</v>
      </c>
      <c r="H6" s="205">
        <v>3.5</v>
      </c>
      <c r="I6" s="201">
        <v>4.5</v>
      </c>
      <c r="J6" s="205">
        <v>4</v>
      </c>
      <c r="K6" s="201">
        <v>4.5</v>
      </c>
      <c r="L6" s="205">
        <v>4.8</v>
      </c>
    </row>
    <row r="7" spans="1:12" s="2" customFormat="1" ht="15" customHeight="1">
      <c r="A7" s="12">
        <v>2</v>
      </c>
      <c r="B7" s="10" t="str">
        <f>LIDER!E44</f>
        <v>SAMUEL HERNANDEZ VELEZ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4.28</v>
      </c>
      <c r="F7" s="199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YHON DEIVIS MARTINEZ CONTRERAS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4.28</v>
      </c>
      <c r="F8" s="199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VALERIA NARVAEZ FUENTES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4.28</v>
      </c>
      <c r="F9" s="199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MICHELL ANDREA RODRIGUEZ HERRERA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4.28</v>
      </c>
      <c r="F10" s="199"/>
      <c r="G10" s="142"/>
      <c r="H10" s="199"/>
      <c r="I10" s="142"/>
      <c r="J10" s="199"/>
      <c r="K10" s="142"/>
      <c r="L10" s="199"/>
    </row>
    <row r="11" spans="1:12" s="2" customFormat="1" ht="15.75" customHeight="1">
      <c r="A11" s="13">
        <v>6</v>
      </c>
      <c r="B11" s="91" t="str">
        <f>LIDER!E48</f>
        <v>EMMANUEL DE JESUS ROJAS TORRES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4.28</v>
      </c>
      <c r="F11" s="206"/>
      <c r="G11" s="202"/>
      <c r="H11" s="206"/>
      <c r="I11" s="202"/>
      <c r="J11" s="206"/>
      <c r="K11" s="202"/>
      <c r="L11" s="206"/>
    </row>
    <row r="12" spans="1:12" s="2" customFormat="1" ht="15.75" customHeight="1">
      <c r="A12" s="8"/>
      <c r="B12" s="25" t="s">
        <v>103</v>
      </c>
      <c r="C12" s="88" t="s">
        <v>104</v>
      </c>
      <c r="D12" s="32" t="str">
        <f>D5</f>
        <v>LIST</v>
      </c>
      <c r="E12" s="89" t="s">
        <v>102</v>
      </c>
      <c r="F12" s="146" t="str">
        <f>LIDER!$E$30</f>
        <v>GRUPO#2 ROPA SAFI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JARY DANIELA CALLE DONADO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3.97</v>
      </c>
      <c r="F13" s="205">
        <v>3.5</v>
      </c>
      <c r="G13" s="201">
        <v>3.8</v>
      </c>
      <c r="H13" s="205">
        <v>4.5</v>
      </c>
      <c r="I13" s="201">
        <v>4</v>
      </c>
      <c r="J13" s="205">
        <v>3.8</v>
      </c>
      <c r="K13" s="201">
        <v>4</v>
      </c>
      <c r="L13" s="205">
        <v>4.8</v>
      </c>
    </row>
    <row r="14" spans="1:12" s="2" customFormat="1" ht="15" customHeight="1">
      <c r="A14" s="12">
        <v>2</v>
      </c>
      <c r="B14" s="10" t="str">
        <f>LIDER!F44</f>
        <v>SAID JOSE CASTILLO MORALES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3.97</v>
      </c>
      <c r="F14" s="199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DANNA VALENTINA CORTES MENDOZA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3.97</v>
      </c>
      <c r="F15" s="199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SEBASTIAN GÖMEZ CASTILLO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3.97</v>
      </c>
      <c r="F16" s="199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MARIA PAULA SIMARRA PAEZ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3.97</v>
      </c>
      <c r="F17" s="199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6"/>
      <c r="G18" s="202"/>
      <c r="H18" s="206"/>
      <c r="I18" s="202"/>
      <c r="J18" s="206"/>
      <c r="K18" s="202"/>
      <c r="L18" s="206"/>
    </row>
    <row r="19" spans="1:12" s="2" customFormat="1" ht="15.75" customHeight="1">
      <c r="A19" s="14"/>
      <c r="B19" s="25" t="s">
        <v>105</v>
      </c>
      <c r="C19" s="88" t="s">
        <v>106</v>
      </c>
      <c r="D19" s="32" t="str">
        <f>D12</f>
        <v>LIST</v>
      </c>
      <c r="E19" s="89" t="s">
        <v>102</v>
      </c>
      <c r="F19" s="146" t="str">
        <f>LIDER!$E$31</f>
        <v>GRUPO#3 GORRAS-MERKATEX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JUAN CAMILO CARREAZO BOLAÑOS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4.1500000000000004</v>
      </c>
      <c r="F20" s="205">
        <v>4.2</v>
      </c>
      <c r="G20" s="201">
        <v>3.6</v>
      </c>
      <c r="H20" s="205">
        <v>4.2</v>
      </c>
      <c r="I20" s="201">
        <v>4.5</v>
      </c>
      <c r="J20" s="205">
        <v>4</v>
      </c>
      <c r="K20" s="201">
        <v>4.2</v>
      </c>
      <c r="L20" s="205">
        <v>4.8</v>
      </c>
    </row>
    <row r="21" spans="1:12" s="2" customFormat="1" ht="15" customHeight="1">
      <c r="A21" s="12">
        <v>2</v>
      </c>
      <c r="B21" s="10" t="str">
        <f>LIDER!G44</f>
        <v>FELIPE HERNANDEZ CORREA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4.1500000000000004</v>
      </c>
      <c r="F21" s="199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VICKY SADAY LAGUNA SUÁREZ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4.1500000000000004</v>
      </c>
      <c r="F22" s="199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JHON DEIVER MAZA VALVERDE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4.1500000000000004</v>
      </c>
      <c r="F23" s="199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JHON JAIRO OROZCO BALLESTAS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4.1500000000000004</v>
      </c>
      <c r="F24" s="199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6"/>
      <c r="G25" s="202"/>
      <c r="H25" s="206"/>
      <c r="I25" s="202"/>
      <c r="J25" s="206"/>
      <c r="K25" s="202"/>
      <c r="L25" s="206"/>
    </row>
    <row r="26" spans="1:12" s="2" customFormat="1" ht="15.75" customHeight="1">
      <c r="A26" s="14"/>
      <c r="B26" s="25" t="s">
        <v>107</v>
      </c>
      <c r="C26" s="88" t="s">
        <v>108</v>
      </c>
      <c r="D26" s="32" t="str">
        <f>D19</f>
        <v>LIST</v>
      </c>
      <c r="E26" s="89" t="s">
        <v>102</v>
      </c>
      <c r="F26" s="146" t="str">
        <f>LIDER!$E$32</f>
        <v>GRUPO#4 CRUNCH DE FRUTAS DESHIDRATADAS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MARIANA ALEJANDRA ARENAS BUSTILLO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4.5500000000000007</v>
      </c>
      <c r="F27" s="205">
        <v>4.2</v>
      </c>
      <c r="G27" s="201">
        <v>4.5</v>
      </c>
      <c r="H27" s="205">
        <v>4.8</v>
      </c>
      <c r="I27" s="201">
        <v>5</v>
      </c>
      <c r="J27" s="205">
        <v>4.5</v>
      </c>
      <c r="K27" s="201">
        <v>4.5</v>
      </c>
      <c r="L27" s="205">
        <v>4.8</v>
      </c>
    </row>
    <row r="28" spans="1:12" s="2" customFormat="1" ht="15" customHeight="1">
      <c r="A28" s="12">
        <v>2</v>
      </c>
      <c r="B28" s="10" t="str">
        <f>LIDER!H44</f>
        <v>DANIELA FIGUEROA CASTELLAR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4.5500000000000007</v>
      </c>
      <c r="F28" s="199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WENDY PAOLA LARA CORTINA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4.5500000000000007</v>
      </c>
      <c r="F29" s="199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MAYRA ALEJANDRA NAVARRO LOPEZ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4.5500000000000007</v>
      </c>
      <c r="F30" s="199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DANIEL DE JESUS VILLADIEGO VELASQUEZ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4.5500000000000007</v>
      </c>
      <c r="F31" s="199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6"/>
      <c r="G32" s="202"/>
      <c r="H32" s="206"/>
      <c r="I32" s="202"/>
      <c r="J32" s="206"/>
      <c r="K32" s="202"/>
      <c r="L32" s="206"/>
    </row>
    <row r="33" spans="1:12" s="2" customFormat="1" ht="15.75" customHeight="1">
      <c r="A33" s="14"/>
      <c r="B33" s="25" t="s">
        <v>109</v>
      </c>
      <c r="C33" s="88" t="s">
        <v>110</v>
      </c>
      <c r="D33" s="32" t="str">
        <f>D26</f>
        <v>LIST</v>
      </c>
      <c r="E33" s="89" t="s">
        <v>102</v>
      </c>
      <c r="F33" s="146" t="str">
        <f>LIDER!$E$33</f>
        <v>GRUPO#5 Crema Capilar NATURAL CROWN S.A.S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Oscar Herrera Himbret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4.4000000000000004</v>
      </c>
      <c r="F34" s="205">
        <v>4</v>
      </c>
      <c r="G34" s="201">
        <v>4.3</v>
      </c>
      <c r="H34" s="205">
        <v>4.5999999999999996</v>
      </c>
      <c r="I34" s="201">
        <v>4.8</v>
      </c>
      <c r="J34" s="205">
        <v>4.2</v>
      </c>
      <c r="K34" s="201">
        <v>4.5</v>
      </c>
      <c r="L34" s="205">
        <v>4.8</v>
      </c>
    </row>
    <row r="35" spans="1:12" s="2" customFormat="1" ht="15" customHeight="1">
      <c r="A35" s="12">
        <v>2</v>
      </c>
      <c r="B35" s="10" t="str">
        <f>LIDER!E52</f>
        <v>NEIBILIS ROSA OBESO BORNACHERA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4.4000000000000004</v>
      </c>
      <c r="F35" s="199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AMÉRICA ROJAS BARROS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4.4000000000000004</v>
      </c>
      <c r="F36" s="199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IVAN CAMILO RODRIGUEZ THERAN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4.4000000000000004</v>
      </c>
      <c r="F37" s="199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9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6"/>
      <c r="G39" s="202"/>
      <c r="H39" s="206"/>
      <c r="I39" s="202"/>
      <c r="J39" s="206"/>
      <c r="K39" s="202"/>
      <c r="L39" s="206"/>
    </row>
    <row r="40" spans="1:12" s="2" customFormat="1" ht="15.75" customHeight="1">
      <c r="A40" s="14"/>
      <c r="B40" s="25" t="s">
        <v>111</v>
      </c>
      <c r="C40" s="88" t="s">
        <v>112</v>
      </c>
      <c r="D40" s="32" t="str">
        <f>D33</f>
        <v>LIST</v>
      </c>
      <c r="E40" s="89" t="s">
        <v>102</v>
      </c>
      <c r="F40" s="146" t="str">
        <f>LIDER!$E$34</f>
        <v>GRUPO#6 VELAS FRAGAN'S CO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 t="str">
        <f>LIDER!F51</f>
        <v>BREYNER DUBAN MEDRANO MARTINEZ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3.4700000000000006</v>
      </c>
      <c r="F41" s="205">
        <v>3.2</v>
      </c>
      <c r="G41" s="201">
        <v>3.5</v>
      </c>
      <c r="H41" s="205">
        <v>4.3</v>
      </c>
      <c r="I41" s="201">
        <v>4.2</v>
      </c>
      <c r="J41" s="205">
        <v>3.8</v>
      </c>
      <c r="K41" s="201">
        <v>3</v>
      </c>
      <c r="L41" s="205">
        <v>3</v>
      </c>
    </row>
    <row r="42" spans="1:12" s="2" customFormat="1" ht="15" customHeight="1">
      <c r="A42" s="12">
        <v>2</v>
      </c>
      <c r="B42" s="10" t="str">
        <f>LIDER!F52</f>
        <v>OSCAR ANDRES MONTILLA MUELAS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3.4700000000000006</v>
      </c>
      <c r="F42" s="199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CAMILO ANDRES ZUÑIGA LOPEZ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3.4700000000000006</v>
      </c>
      <c r="F43" s="199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ANGY CAROLINA ZUÑIGA VASQUEZ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3.4700000000000006</v>
      </c>
      <c r="F44" s="199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6"/>
      <c r="G46" s="202"/>
      <c r="H46" s="206"/>
      <c r="I46" s="202"/>
      <c r="J46" s="206"/>
      <c r="K46" s="202"/>
      <c r="L46" s="206"/>
    </row>
    <row r="47" spans="1:12" s="2" customFormat="1" ht="15.75" customHeight="1">
      <c r="A47" s="14"/>
      <c r="B47" s="25" t="s">
        <v>113</v>
      </c>
      <c r="C47" s="88" t="s">
        <v>114</v>
      </c>
      <c r="D47" s="32" t="str">
        <f>D40</f>
        <v>LIST</v>
      </c>
      <c r="E47" s="89" t="s">
        <v>102</v>
      </c>
      <c r="F47" s="146" t="str">
        <f>LIDER!$E$35</f>
        <v>GRUPO#7 NATIVA GOURMET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RANYELYS MARIAN AYOLA PEREZ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4.2699999999999996</v>
      </c>
      <c r="F48" s="205">
        <v>4.5</v>
      </c>
      <c r="G48" s="201">
        <v>3.5</v>
      </c>
      <c r="H48" s="205">
        <v>4.5</v>
      </c>
      <c r="I48" s="201">
        <v>3.8</v>
      </c>
      <c r="J48" s="205">
        <v>4</v>
      </c>
      <c r="K48" s="201">
        <v>4.8</v>
      </c>
      <c r="L48" s="205">
        <v>4.8</v>
      </c>
    </row>
    <row r="49" spans="1:12" s="2" customFormat="1" ht="15" customHeight="1">
      <c r="A49" s="12">
        <v>2</v>
      </c>
      <c r="B49" s="10" t="str">
        <f>LIDER!G52</f>
        <v>NATALIA NARANJO MORRÓN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4.2699999999999996</v>
      </c>
      <c r="F49" s="199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 t="str">
        <f>LIDER!G53</f>
        <v>YENDER JOSE PUELLO TORRES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4.2699999999999996</v>
      </c>
      <c r="F50" s="199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 t="str">
        <f>LIDER!G54</f>
        <v>JHONATAN WATTS PINTO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4.2699999999999996</v>
      </c>
      <c r="F51" s="199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 t="str">
        <f>LIDER!G55</f>
        <v>Edgar Mauricio Zurique Gonzalez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4.2699999999999996</v>
      </c>
      <c r="F52" s="199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6"/>
      <c r="G53" s="202"/>
      <c r="H53" s="206"/>
      <c r="I53" s="202"/>
      <c r="J53" s="206"/>
      <c r="K53" s="202"/>
      <c r="L53" s="206"/>
    </row>
    <row r="54" spans="1:12" s="2" customFormat="1" ht="15.75" customHeight="1">
      <c r="A54" s="14"/>
      <c r="B54" s="25" t="s">
        <v>86</v>
      </c>
      <c r="C54" s="88" t="s">
        <v>115</v>
      </c>
      <c r="D54" s="32" t="str">
        <f>D47</f>
        <v>LIST</v>
      </c>
      <c r="E54" s="89" t="s">
        <v>102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88</v>
      </c>
      <c r="C61" s="88" t="s">
        <v>116</v>
      </c>
      <c r="D61" s="32" t="str">
        <f>D54</f>
        <v>LIST</v>
      </c>
      <c r="E61" s="89" t="s">
        <v>102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90</v>
      </c>
      <c r="C68" s="88" t="s">
        <v>117</v>
      </c>
      <c r="D68" s="32" t="str">
        <f>D61</f>
        <v>LIST</v>
      </c>
      <c r="E68" s="89" t="s">
        <v>102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92</v>
      </c>
      <c r="C75" s="88" t="s">
        <v>118</v>
      </c>
      <c r="D75" s="32" t="str">
        <f>D68</f>
        <v>LIST</v>
      </c>
      <c r="E75" s="89" t="s">
        <v>102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94</v>
      </c>
      <c r="C82" s="88" t="s">
        <v>119</v>
      </c>
      <c r="D82" s="32" t="str">
        <f>D75</f>
        <v>LIST</v>
      </c>
      <c r="E82" s="89" t="s">
        <v>102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153"/>
      <c r="H88" s="200"/>
      <c r="I88" s="153"/>
      <c r="J88" s="200"/>
      <c r="K88" s="153"/>
      <c r="L88" s="200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G45" activePane="bottomRight" state="frozen"/>
      <selection pane="bottomRight" activeCell="N48" sqref="N48"/>
      <selection pane="bottomLeft" activeCell="N48" sqref="N48"/>
      <selection pane="topRight" activeCell="N48" sqref="N4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LIDER!D4</f>
        <v>ELECTIVA LIBRE SOCIOHUMANÍ II</v>
      </c>
      <c r="C2" s="82"/>
      <c r="D2" s="3"/>
      <c r="F2" s="207" t="s">
        <v>97</v>
      </c>
      <c r="G2" s="208"/>
      <c r="H2" s="208"/>
      <c r="I2" s="208"/>
      <c r="J2" s="208"/>
      <c r="K2" s="208"/>
      <c r="L2" s="209"/>
    </row>
    <row r="3" spans="1:12" s="2" customFormat="1" ht="145.5" customHeight="1">
      <c r="B3" s="83" t="s">
        <v>98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10" t="str">
        <f>CONCATENATE(LIDER!D4," - ",LIDER!D6," - ",LIDER!D5)</f>
        <v>ELECTIVA LIBRE SOCIOHUMANÍ II - 2246 - VICTOR HUGO HURTADO OROZCO</v>
      </c>
      <c r="G4" s="210"/>
      <c r="H4" s="210"/>
      <c r="I4" s="210"/>
      <c r="J4" s="210"/>
      <c r="K4" s="210"/>
      <c r="L4" s="210"/>
    </row>
    <row r="5" spans="1:12" s="2" customFormat="1" ht="15.75" customHeight="1" thickBot="1">
      <c r="A5" s="8"/>
      <c r="B5" s="25" t="s">
        <v>99</v>
      </c>
      <c r="C5" s="88" t="s">
        <v>100</v>
      </c>
      <c r="D5" s="32" t="s">
        <v>101</v>
      </c>
      <c r="E5" s="89" t="s">
        <v>102</v>
      </c>
      <c r="F5" s="146" t="str">
        <f>LIDER!$E$29</f>
        <v>GRUPO#1  FERTILIZANTES ORGANICOS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ALVARO JOSE BERROCAL NARVAEZ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3.9999999999999996</v>
      </c>
      <c r="F6" s="203">
        <v>4</v>
      </c>
      <c r="G6" s="142">
        <v>4</v>
      </c>
      <c r="H6" s="199">
        <v>4</v>
      </c>
      <c r="I6" s="142">
        <v>4</v>
      </c>
      <c r="J6" s="199">
        <v>4</v>
      </c>
      <c r="K6" s="142">
        <v>4</v>
      </c>
      <c r="L6" s="199">
        <v>4</v>
      </c>
    </row>
    <row r="7" spans="1:12" s="2" customFormat="1" ht="15" customHeight="1">
      <c r="A7" s="12">
        <v>2</v>
      </c>
      <c r="B7" s="10" t="str">
        <f>LIDER!E44</f>
        <v>SAMUEL HERNANDEZ VELEZ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3.9999999999999996</v>
      </c>
      <c r="F7" s="203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YHON DEIVIS MARTINEZ CONTRERAS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3.9999999999999996</v>
      </c>
      <c r="F8" s="203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VALERIA NARVAEZ FUENTES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3.9999999999999996</v>
      </c>
      <c r="F9" s="203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MICHELL ANDREA RODRIGUEZ HERRERA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3.9999999999999996</v>
      </c>
      <c r="F10" s="203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>EMMANUEL DE JESUS ROJAS TORRES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3.9999999999999996</v>
      </c>
      <c r="F11" s="203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103</v>
      </c>
      <c r="C12" s="88" t="s">
        <v>104</v>
      </c>
      <c r="D12" s="32" t="str">
        <f>D5</f>
        <v>LIST</v>
      </c>
      <c r="E12" s="89" t="s">
        <v>102</v>
      </c>
      <c r="F12" s="146" t="str">
        <f>LIDER!$E$30</f>
        <v>GRUPO#2 ROPA SAFI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JARY DANIELA CALLE DONADO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3.9999999999999996</v>
      </c>
      <c r="F13" s="203">
        <v>4</v>
      </c>
      <c r="G13" s="142">
        <v>4</v>
      </c>
      <c r="H13" s="199">
        <v>4</v>
      </c>
      <c r="I13" s="142">
        <v>4</v>
      </c>
      <c r="J13" s="199">
        <v>4</v>
      </c>
      <c r="K13" s="142">
        <v>4</v>
      </c>
      <c r="L13" s="199">
        <v>4</v>
      </c>
    </row>
    <row r="14" spans="1:12" s="2" customFormat="1" ht="15" customHeight="1">
      <c r="A14" s="12">
        <v>2</v>
      </c>
      <c r="B14" s="10" t="str">
        <f>LIDER!F44</f>
        <v>SAID JOSE CASTILLO MORALES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3.9999999999999996</v>
      </c>
      <c r="F14" s="203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DANNA VALENTINA CORTES MENDOZA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3.9999999999999996</v>
      </c>
      <c r="F15" s="203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SEBASTIAN GÖMEZ CASTILLO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3.9999999999999996</v>
      </c>
      <c r="F16" s="203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MARIA PAULA SIMARRA PAEZ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3.9999999999999996</v>
      </c>
      <c r="F17" s="203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105</v>
      </c>
      <c r="C19" s="88" t="s">
        <v>106</v>
      </c>
      <c r="D19" s="32" t="str">
        <f>D12</f>
        <v>LIST</v>
      </c>
      <c r="E19" s="89" t="s">
        <v>102</v>
      </c>
      <c r="F19" s="146" t="str">
        <f>LIDER!$E$31</f>
        <v>GRUPO#3 GORRAS-MERKATEX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JUAN CAMILO CARREAZO BOLAÑOS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3.9999999999999996</v>
      </c>
      <c r="F20" s="203">
        <v>4</v>
      </c>
      <c r="G20" s="142">
        <v>4</v>
      </c>
      <c r="H20" s="199">
        <v>4</v>
      </c>
      <c r="I20" s="142">
        <v>4</v>
      </c>
      <c r="J20" s="199">
        <v>4</v>
      </c>
      <c r="K20" s="142">
        <v>4</v>
      </c>
      <c r="L20" s="199">
        <v>4</v>
      </c>
    </row>
    <row r="21" spans="1:12" s="2" customFormat="1" ht="15" customHeight="1">
      <c r="A21" s="12">
        <v>2</v>
      </c>
      <c r="B21" s="10" t="str">
        <f>LIDER!G44</f>
        <v>FELIPE HERNANDEZ CORREA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3.9999999999999996</v>
      </c>
      <c r="F21" s="203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VICKY SADAY LAGUNA SUÁREZ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3.9999999999999996</v>
      </c>
      <c r="F22" s="203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JHON DEIVER MAZA VALVERDE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3.9999999999999996</v>
      </c>
      <c r="F23" s="203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JHON JAIRO OROZCO BALLESTAS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3.9999999999999996</v>
      </c>
      <c r="F24" s="203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107</v>
      </c>
      <c r="C26" s="88" t="s">
        <v>108</v>
      </c>
      <c r="D26" s="32" t="str">
        <f>D19</f>
        <v>LIST</v>
      </c>
      <c r="E26" s="89" t="s">
        <v>102</v>
      </c>
      <c r="F26" s="146" t="str">
        <f>LIDER!$E$32</f>
        <v>GRUPO#4 CRUNCH DE FRUTAS DESHIDRATADAS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MARIANA ALEJANDRA ARENAS BUSTILLO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3.5000000000000004</v>
      </c>
      <c r="F27" s="203">
        <v>3.5</v>
      </c>
      <c r="G27" s="142">
        <v>3.5</v>
      </c>
      <c r="H27" s="199">
        <v>3.5</v>
      </c>
      <c r="I27" s="142">
        <v>3.5</v>
      </c>
      <c r="J27" s="199">
        <v>3.5</v>
      </c>
      <c r="K27" s="142">
        <v>3.5</v>
      </c>
      <c r="L27" s="199">
        <v>3.5</v>
      </c>
    </row>
    <row r="28" spans="1:12" s="2" customFormat="1" ht="15" customHeight="1">
      <c r="A28" s="12">
        <v>2</v>
      </c>
      <c r="B28" s="10" t="str">
        <f>LIDER!H44</f>
        <v>DANIELA FIGUEROA CASTELLAR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3.5000000000000004</v>
      </c>
      <c r="F28" s="203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WENDY PAOLA LARA CORTINA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3.5000000000000004</v>
      </c>
      <c r="F29" s="203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MAYRA ALEJANDRA NAVARRO LOPEZ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3.5000000000000004</v>
      </c>
      <c r="F30" s="203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DANIEL DE JESUS VILLADIEGO VELASQUEZ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3.5000000000000004</v>
      </c>
      <c r="F31" s="203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109</v>
      </c>
      <c r="C33" s="88" t="s">
        <v>110</v>
      </c>
      <c r="D33" s="32" t="str">
        <f>D26</f>
        <v>LIST</v>
      </c>
      <c r="E33" s="89" t="s">
        <v>102</v>
      </c>
      <c r="F33" s="146" t="str">
        <f>LIDER!$E$33</f>
        <v>GRUPO#5 Crema Capilar NATURAL CROWN S.A.S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Oscar Herrera Himbret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3.9999999999999996</v>
      </c>
      <c r="F34" s="203">
        <v>4</v>
      </c>
      <c r="G34" s="142">
        <v>4</v>
      </c>
      <c r="H34" s="199">
        <v>4</v>
      </c>
      <c r="I34" s="142">
        <v>4</v>
      </c>
      <c r="J34" s="199">
        <v>4</v>
      </c>
      <c r="K34" s="142">
        <v>4</v>
      </c>
      <c r="L34" s="199">
        <v>4</v>
      </c>
    </row>
    <row r="35" spans="1:12" s="2" customFormat="1" ht="15" customHeight="1">
      <c r="A35" s="12">
        <v>2</v>
      </c>
      <c r="B35" s="10" t="str">
        <f>LIDER!E52</f>
        <v>NEIBILIS ROSA OBESO BORNACHERA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3.9999999999999996</v>
      </c>
      <c r="F35" s="203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AMÉRICA ROJAS BARROS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3.9999999999999996</v>
      </c>
      <c r="F36" s="203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IVAN CAMILO RODRIGUEZ THERAN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3.9999999999999996</v>
      </c>
      <c r="F37" s="203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3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111</v>
      </c>
      <c r="C40" s="88" t="s">
        <v>112</v>
      </c>
      <c r="D40" s="32" t="str">
        <f>D33</f>
        <v>LIST</v>
      </c>
      <c r="E40" s="89" t="s">
        <v>102</v>
      </c>
      <c r="F40" s="146" t="str">
        <f>LIDER!$E$34</f>
        <v>GRUPO#6 VELAS FRAGAN'S CO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 t="str">
        <f>LIDER!F51</f>
        <v>BREYNER DUBAN MEDRANO MARTINEZ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3.6</v>
      </c>
      <c r="F41" s="203">
        <v>3.6</v>
      </c>
      <c r="G41" s="142">
        <v>3.6</v>
      </c>
      <c r="H41" s="199">
        <v>3.6</v>
      </c>
      <c r="I41" s="142">
        <v>3.6</v>
      </c>
      <c r="J41" s="199">
        <v>3.6</v>
      </c>
      <c r="K41" s="142">
        <v>3.6</v>
      </c>
      <c r="L41" s="199">
        <v>3.6</v>
      </c>
    </row>
    <row r="42" spans="1:12" s="2" customFormat="1" ht="15" customHeight="1">
      <c r="A42" s="12">
        <v>2</v>
      </c>
      <c r="B42" s="10" t="str">
        <f>LIDER!F52</f>
        <v>OSCAR ANDRES MONTILLA MUELAS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3.6</v>
      </c>
      <c r="F42" s="203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CAMILO ANDRES ZUÑIGA LOPEZ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3.6</v>
      </c>
      <c r="F43" s="203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ANGY CAROLINA ZUÑIGA VASQUEZ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3.6</v>
      </c>
      <c r="F44" s="203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113</v>
      </c>
      <c r="C47" s="88" t="s">
        <v>114</v>
      </c>
      <c r="D47" s="32" t="str">
        <f>D40</f>
        <v>LIST</v>
      </c>
      <c r="E47" s="89" t="s">
        <v>102</v>
      </c>
      <c r="F47" s="146" t="str">
        <f>LIDER!$E$35</f>
        <v>GRUPO#7 NATIVA GOURMET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RANYELYS MARIAN AYOLA PEREZ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4.2</v>
      </c>
      <c r="F48" s="203">
        <v>4.2</v>
      </c>
      <c r="G48" s="142">
        <v>4.2</v>
      </c>
      <c r="H48" s="199">
        <v>4.2</v>
      </c>
      <c r="I48" s="142">
        <v>4.2</v>
      </c>
      <c r="J48" s="199">
        <v>4.2</v>
      </c>
      <c r="K48" s="142">
        <v>4.2</v>
      </c>
      <c r="L48" s="199">
        <v>4.2</v>
      </c>
    </row>
    <row r="49" spans="1:12" s="2" customFormat="1" ht="15" customHeight="1">
      <c r="A49" s="12">
        <v>2</v>
      </c>
      <c r="B49" s="10" t="str">
        <f>LIDER!G52</f>
        <v>NATALIA NARANJO MORRÓN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4.2</v>
      </c>
      <c r="F49" s="203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 t="str">
        <f>LIDER!G53</f>
        <v>YENDER JOSE PUELLO TORRES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4.2</v>
      </c>
      <c r="F50" s="203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 t="str">
        <f>LIDER!G54</f>
        <v>JHONATAN WATTS PINTO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4.2</v>
      </c>
      <c r="F51" s="203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 t="str">
        <f>LIDER!G55</f>
        <v>Edgar Mauricio Zurique Gonzalez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4.2</v>
      </c>
      <c r="F52" s="203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86</v>
      </c>
      <c r="C54" s="88" t="s">
        <v>115</v>
      </c>
      <c r="D54" s="32" t="str">
        <f>D47</f>
        <v>LIST</v>
      </c>
      <c r="E54" s="89" t="s">
        <v>102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88</v>
      </c>
      <c r="C61" s="88" t="s">
        <v>116</v>
      </c>
      <c r="D61" s="32" t="str">
        <f>D54</f>
        <v>LIST</v>
      </c>
      <c r="E61" s="89" t="s">
        <v>102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90</v>
      </c>
      <c r="C68" s="88" t="s">
        <v>117</v>
      </c>
      <c r="D68" s="32" t="str">
        <f>D61</f>
        <v>LIST</v>
      </c>
      <c r="E68" s="89" t="s">
        <v>102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92</v>
      </c>
      <c r="C75" s="88" t="s">
        <v>118</v>
      </c>
      <c r="D75" s="32" t="str">
        <f>D68</f>
        <v>LIST</v>
      </c>
      <c r="E75" s="89" t="s">
        <v>102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94</v>
      </c>
      <c r="C82" s="88" t="s">
        <v>119</v>
      </c>
      <c r="D82" s="32" t="str">
        <f>D75</f>
        <v>LIST</v>
      </c>
      <c r="E82" s="89" t="s">
        <v>102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153"/>
      <c r="H88" s="200"/>
      <c r="I88" s="153"/>
      <c r="J88" s="200"/>
      <c r="K88" s="153"/>
      <c r="L88" s="200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G73" activePane="bottomRight" state="frozen"/>
      <selection pane="bottomRight" activeCell="N48" sqref="N48"/>
      <selection pane="bottomLeft" activeCell="N48" sqref="N48"/>
      <selection pane="topRight" activeCell="N48" sqref="N4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LIDER!E4</f>
        <v>ELECTIVA DE PROFUNDIZACION III</v>
      </c>
      <c r="C2" s="82"/>
      <c r="D2" s="3"/>
      <c r="F2" s="207" t="s">
        <v>97</v>
      </c>
      <c r="G2" s="208"/>
      <c r="H2" s="208"/>
      <c r="I2" s="208"/>
      <c r="J2" s="208"/>
      <c r="K2" s="208"/>
      <c r="L2" s="209"/>
    </row>
    <row r="3" spans="1:12" s="2" customFormat="1" ht="145.5" customHeight="1">
      <c r="B3" s="83" t="s">
        <v>98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10" t="str">
        <f>CONCATENATE(LIDER!E4," - ",LIDER!E6," - ",LIDER!E5)</f>
        <v>ELECTIVA DE PROFUNDIZACION III - 2457 - OSCAR DAVID URIZA PEREZ</v>
      </c>
      <c r="G4" s="210"/>
      <c r="H4" s="210"/>
      <c r="I4" s="210"/>
      <c r="J4" s="210"/>
      <c r="K4" s="210"/>
      <c r="L4" s="210"/>
    </row>
    <row r="5" spans="1:12" s="2" customFormat="1" ht="15.75" customHeight="1" thickBot="1">
      <c r="A5" s="8"/>
      <c r="B5" s="25" t="s">
        <v>99</v>
      </c>
      <c r="C5" s="88" t="s">
        <v>100</v>
      </c>
      <c r="D5" s="32" t="s">
        <v>101</v>
      </c>
      <c r="E5" s="89" t="s">
        <v>102</v>
      </c>
      <c r="F5" s="146" t="str">
        <f>LIDER!$E$29</f>
        <v>GRUPO#1  FERTILIZANTES ORGANICOS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ALVARO JOSE BERROCAL NARVAEZ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4.7300000000000004</v>
      </c>
      <c r="F6" s="203">
        <v>4.8</v>
      </c>
      <c r="G6" s="142">
        <v>4.8</v>
      </c>
      <c r="H6" s="199">
        <v>4.5</v>
      </c>
      <c r="I6" s="142">
        <v>4.8</v>
      </c>
      <c r="J6" s="199">
        <v>4.8</v>
      </c>
      <c r="K6" s="142">
        <v>4.5</v>
      </c>
      <c r="L6" s="199">
        <v>5</v>
      </c>
    </row>
    <row r="7" spans="1:12" s="2" customFormat="1" ht="15" customHeight="1">
      <c r="A7" s="12">
        <v>2</v>
      </c>
      <c r="B7" s="10" t="str">
        <f>LIDER!E44</f>
        <v>SAMUEL HERNANDEZ VELEZ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4.7300000000000004</v>
      </c>
      <c r="F7" s="203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YHON DEIVIS MARTINEZ CONTRERAS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4.7300000000000004</v>
      </c>
      <c r="F8" s="203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VALERIA NARVAEZ FUENTES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4.7300000000000004</v>
      </c>
      <c r="F9" s="203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MICHELL ANDREA RODRIGUEZ HERRERA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4.7300000000000004</v>
      </c>
      <c r="F10" s="203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>EMMANUEL DE JESUS ROJAS TORRES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4.7300000000000004</v>
      </c>
      <c r="F11" s="203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103</v>
      </c>
      <c r="C12" s="88" t="s">
        <v>104</v>
      </c>
      <c r="D12" s="32" t="str">
        <f>D5</f>
        <v>LIST</v>
      </c>
      <c r="E12" s="89" t="s">
        <v>102</v>
      </c>
      <c r="F12" s="146" t="str">
        <f>LIDER!$E$30</f>
        <v>GRUPO#2 ROPA SAFI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JARY DANIELA CALLE DONADO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4.7</v>
      </c>
      <c r="F13" s="203">
        <v>4.7</v>
      </c>
      <c r="G13" s="142">
        <v>4.8</v>
      </c>
      <c r="H13" s="199">
        <v>4.8</v>
      </c>
      <c r="I13" s="142">
        <v>4.5999999999999996</v>
      </c>
      <c r="J13" s="199">
        <v>4.5999999999999996</v>
      </c>
      <c r="K13" s="142">
        <v>4.5</v>
      </c>
      <c r="L13" s="199">
        <v>5</v>
      </c>
    </row>
    <row r="14" spans="1:12" s="2" customFormat="1" ht="15" customHeight="1">
      <c r="A14" s="12">
        <v>2</v>
      </c>
      <c r="B14" s="10" t="str">
        <f>LIDER!F44</f>
        <v>SAID JOSE CASTILLO MORALES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4.7</v>
      </c>
      <c r="F14" s="203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DANNA VALENTINA CORTES MENDOZA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4.7</v>
      </c>
      <c r="F15" s="203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SEBASTIAN GÖMEZ CASTILLO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4.7</v>
      </c>
      <c r="F16" s="203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MARIA PAULA SIMARRA PAEZ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4.7</v>
      </c>
      <c r="F17" s="203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105</v>
      </c>
      <c r="C19" s="88" t="s">
        <v>106</v>
      </c>
      <c r="D19" s="32" t="str">
        <f>D12</f>
        <v>LIST</v>
      </c>
      <c r="E19" s="89" t="s">
        <v>102</v>
      </c>
      <c r="F19" s="146" t="str">
        <f>LIDER!$E$31</f>
        <v>GRUPO#3 GORRAS-MERKATEX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JUAN CAMILO CARREAZO BOLAÑOS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4.6000000000000005</v>
      </c>
      <c r="F20" s="203">
        <v>4.5999999999999996</v>
      </c>
      <c r="G20" s="142">
        <v>4.5</v>
      </c>
      <c r="H20" s="199">
        <v>4.5</v>
      </c>
      <c r="I20" s="142">
        <v>4.8</v>
      </c>
      <c r="J20" s="199">
        <v>4.5</v>
      </c>
      <c r="K20" s="142">
        <v>4.5</v>
      </c>
      <c r="L20" s="199">
        <v>5</v>
      </c>
    </row>
    <row r="21" spans="1:12" s="2" customFormat="1" ht="15" customHeight="1">
      <c r="A21" s="12">
        <v>2</v>
      </c>
      <c r="B21" s="10" t="str">
        <f>LIDER!G44</f>
        <v>FELIPE HERNANDEZ CORREA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4.6000000000000005</v>
      </c>
      <c r="F21" s="203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VICKY SADAY LAGUNA SUÁREZ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4.6000000000000005</v>
      </c>
      <c r="F22" s="203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JHON DEIVER MAZA VALVERDE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4.6000000000000005</v>
      </c>
      <c r="F23" s="203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JHON JAIRO OROZCO BALLESTAS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4.6000000000000005</v>
      </c>
      <c r="F24" s="203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107</v>
      </c>
      <c r="C26" s="88" t="s">
        <v>108</v>
      </c>
      <c r="D26" s="32" t="str">
        <f>D19</f>
        <v>LIST</v>
      </c>
      <c r="E26" s="89" t="s">
        <v>102</v>
      </c>
      <c r="F26" s="146" t="str">
        <f>LIDER!$E$32</f>
        <v>GRUPO#4 CRUNCH DE FRUTAS DESHIDRATADAS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MARIANA ALEJANDRA ARENAS BUSTILLO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4.76</v>
      </c>
      <c r="F27" s="203">
        <v>4.7</v>
      </c>
      <c r="G27" s="142">
        <v>4.8</v>
      </c>
      <c r="H27" s="199">
        <v>4.9000000000000004</v>
      </c>
      <c r="I27" s="142">
        <v>4.8</v>
      </c>
      <c r="J27" s="199">
        <v>4.7</v>
      </c>
      <c r="K27" s="142">
        <v>4.5999999999999996</v>
      </c>
      <c r="L27" s="199">
        <v>5</v>
      </c>
    </row>
    <row r="28" spans="1:12" s="2" customFormat="1" ht="15" customHeight="1">
      <c r="A28" s="12">
        <v>2</v>
      </c>
      <c r="B28" s="10" t="str">
        <f>LIDER!H44</f>
        <v>DANIELA FIGUEROA CASTELLAR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4.76</v>
      </c>
      <c r="F28" s="203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WENDY PAOLA LARA CORTINA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4.76</v>
      </c>
      <c r="F29" s="203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MAYRA ALEJANDRA NAVARRO LOPEZ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4.76</v>
      </c>
      <c r="F30" s="203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DANIEL DE JESUS VILLADIEGO VELASQUEZ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4.76</v>
      </c>
      <c r="F31" s="203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109</v>
      </c>
      <c r="C33" s="88" t="s">
        <v>110</v>
      </c>
      <c r="D33" s="32" t="str">
        <f>D26</f>
        <v>LIST</v>
      </c>
      <c r="E33" s="89" t="s">
        <v>102</v>
      </c>
      <c r="F33" s="146" t="str">
        <f>LIDER!$E$33</f>
        <v>GRUPO#5 Crema Capilar NATURAL CROWN S.A.S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Oscar Herrera Himbret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4.67</v>
      </c>
      <c r="F34" s="203">
        <v>4.5999999999999996</v>
      </c>
      <c r="G34" s="142">
        <v>4.7</v>
      </c>
      <c r="H34" s="199">
        <v>4.8</v>
      </c>
      <c r="I34" s="142">
        <v>4.7</v>
      </c>
      <c r="J34" s="199">
        <v>4.5999999999999996</v>
      </c>
      <c r="K34" s="142">
        <v>4.5</v>
      </c>
      <c r="L34" s="199">
        <v>5</v>
      </c>
    </row>
    <row r="35" spans="1:12" s="2" customFormat="1" ht="15" customHeight="1">
      <c r="A35" s="12">
        <v>2</v>
      </c>
      <c r="B35" s="10" t="str">
        <f>LIDER!E52</f>
        <v>NEIBILIS ROSA OBESO BORNACHERA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4.67</v>
      </c>
      <c r="F35" s="203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AMÉRICA ROJAS BARROS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4.67</v>
      </c>
      <c r="F36" s="203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IVAN CAMILO RODRIGUEZ THERAN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4.67</v>
      </c>
      <c r="F37" s="203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3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111</v>
      </c>
      <c r="C40" s="88" t="s">
        <v>112</v>
      </c>
      <c r="D40" s="32" t="str">
        <f>D33</f>
        <v>LIST</v>
      </c>
      <c r="E40" s="89" t="s">
        <v>102</v>
      </c>
      <c r="F40" s="146" t="str">
        <f>LIDER!$E$34</f>
        <v>GRUPO#6 VELAS FRAGAN'S CO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 t="str">
        <f>LIDER!F51</f>
        <v>BREYNER DUBAN MEDRANO MARTINEZ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3.5</v>
      </c>
      <c r="F41" s="203">
        <v>3.5</v>
      </c>
      <c r="G41" s="142">
        <v>4</v>
      </c>
      <c r="H41" s="199">
        <v>4.2</v>
      </c>
      <c r="I41" s="142">
        <v>4</v>
      </c>
      <c r="J41" s="199">
        <v>4.2</v>
      </c>
      <c r="K41" s="142">
        <v>3.8</v>
      </c>
      <c r="L41" s="199">
        <v>0</v>
      </c>
    </row>
    <row r="42" spans="1:12" s="2" customFormat="1" ht="15" customHeight="1">
      <c r="A42" s="12">
        <v>2</v>
      </c>
      <c r="B42" s="10" t="str">
        <f>LIDER!F52</f>
        <v>OSCAR ANDRES MONTILLA MUELAS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3.5</v>
      </c>
      <c r="F42" s="203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CAMILO ANDRES ZUÑIGA LOPEZ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3.5</v>
      </c>
      <c r="F43" s="203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ANGY CAROLINA ZUÑIGA VASQUEZ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3.5</v>
      </c>
      <c r="F44" s="203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113</v>
      </c>
      <c r="C47" s="88" t="s">
        <v>114</v>
      </c>
      <c r="D47" s="32" t="str">
        <f>D40</f>
        <v>LIST</v>
      </c>
      <c r="E47" s="89" t="s">
        <v>102</v>
      </c>
      <c r="F47" s="146" t="str">
        <f>LIDER!$E$35</f>
        <v>GRUPO#7 NATIVA GOURMET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RANYELYS MARIAN AYOLA PEREZ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4.8499999999999996</v>
      </c>
      <c r="F48" s="203">
        <v>4.8</v>
      </c>
      <c r="G48" s="142">
        <v>4.8</v>
      </c>
      <c r="H48" s="199">
        <v>5</v>
      </c>
      <c r="I48" s="142">
        <v>4.9000000000000004</v>
      </c>
      <c r="J48" s="199">
        <v>4.8</v>
      </c>
      <c r="K48" s="142">
        <v>4.8</v>
      </c>
      <c r="L48" s="199">
        <v>5</v>
      </c>
    </row>
    <row r="49" spans="1:12" s="2" customFormat="1" ht="15" customHeight="1">
      <c r="A49" s="12">
        <v>2</v>
      </c>
      <c r="B49" s="10" t="str">
        <f>LIDER!G52</f>
        <v>NATALIA NARANJO MORRÓN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4.8499999999999996</v>
      </c>
      <c r="F49" s="203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 t="str">
        <f>LIDER!G53</f>
        <v>YENDER JOSE PUELLO TORRES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4.8499999999999996</v>
      </c>
      <c r="F50" s="203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 t="str">
        <f>LIDER!G54</f>
        <v>JHONATAN WATTS PINTO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4.8499999999999996</v>
      </c>
      <c r="F51" s="203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 t="str">
        <f>LIDER!G55</f>
        <v>Edgar Mauricio Zurique Gonzalez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4.8499999999999996</v>
      </c>
      <c r="F52" s="203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86</v>
      </c>
      <c r="C54" s="88" t="s">
        <v>115</v>
      </c>
      <c r="D54" s="32" t="str">
        <f>D47</f>
        <v>LIST</v>
      </c>
      <c r="E54" s="89" t="s">
        <v>102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88</v>
      </c>
      <c r="C61" s="88" t="s">
        <v>116</v>
      </c>
      <c r="D61" s="32" t="str">
        <f>D54</f>
        <v>LIST</v>
      </c>
      <c r="E61" s="89" t="s">
        <v>102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90</v>
      </c>
      <c r="C68" s="88" t="s">
        <v>117</v>
      </c>
      <c r="D68" s="32" t="str">
        <f>D61</f>
        <v>LIST</v>
      </c>
      <c r="E68" s="89" t="s">
        <v>102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92</v>
      </c>
      <c r="C75" s="88" t="s">
        <v>118</v>
      </c>
      <c r="D75" s="32" t="str">
        <f>D68</f>
        <v>LIST</v>
      </c>
      <c r="E75" s="89" t="s">
        <v>102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94</v>
      </c>
      <c r="C82" s="88" t="s">
        <v>119</v>
      </c>
      <c r="D82" s="32" t="str">
        <f>D75</f>
        <v>LIST</v>
      </c>
      <c r="E82" s="89" t="s">
        <v>102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153"/>
      <c r="H88" s="200"/>
      <c r="I88" s="153"/>
      <c r="J88" s="200"/>
      <c r="K88" s="153"/>
      <c r="L88" s="200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K47" activePane="bottomRight" state="frozen"/>
      <selection pane="bottomRight" activeCell="N48" sqref="N48"/>
      <selection pane="bottomLeft" activeCell="N48" sqref="N48"/>
      <selection pane="topRight" activeCell="N48" sqref="N4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LIDER!F4</f>
        <v>AMBIENTE Y DESARROLLO</v>
      </c>
      <c r="C2" s="82"/>
      <c r="D2" s="3"/>
      <c r="F2" s="207" t="s">
        <v>97</v>
      </c>
      <c r="G2" s="208"/>
      <c r="H2" s="208"/>
      <c r="I2" s="208"/>
      <c r="J2" s="208"/>
      <c r="K2" s="208"/>
      <c r="L2" s="209"/>
    </row>
    <row r="3" spans="1:12" s="2" customFormat="1" ht="145.5" customHeight="1">
      <c r="B3" s="83" t="s">
        <v>98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10" t="str">
        <f>CONCATENATE(LIDER!F4," - ",LIDER!F6," - ",LIDER!F5)</f>
        <v>AMBIENTE Y DESARROLLO - 1118 - MARIANO BELTRAN PADILLA</v>
      </c>
      <c r="G4" s="210"/>
      <c r="H4" s="210"/>
      <c r="I4" s="210"/>
      <c r="J4" s="210"/>
      <c r="K4" s="210"/>
      <c r="L4" s="210"/>
    </row>
    <row r="5" spans="1:12" s="2" customFormat="1" ht="15.75" customHeight="1" thickBot="1">
      <c r="A5" s="8"/>
      <c r="B5" s="25" t="s">
        <v>99</v>
      </c>
      <c r="C5" s="88" t="s">
        <v>100</v>
      </c>
      <c r="D5" s="32" t="s">
        <v>101</v>
      </c>
      <c r="E5" s="89" t="s">
        <v>102</v>
      </c>
      <c r="F5" s="146" t="str">
        <f>LIDER!$E$29</f>
        <v>GRUPO#1  FERTILIZANTES ORGANICOS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ALVARO JOSE BERROCAL NARVAEZ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</v>
      </c>
      <c r="F6" s="203">
        <v>4</v>
      </c>
      <c r="G6" s="142">
        <v>4</v>
      </c>
      <c r="H6" s="199">
        <v>4</v>
      </c>
      <c r="I6" s="142">
        <v>4</v>
      </c>
      <c r="J6" s="199">
        <v>3</v>
      </c>
      <c r="K6" s="142">
        <v>4.5</v>
      </c>
      <c r="L6" s="199">
        <v>4</v>
      </c>
    </row>
    <row r="7" spans="1:12" s="2" customFormat="1" ht="15" customHeight="1">
      <c r="A7" s="12">
        <v>2</v>
      </c>
      <c r="B7" s="10" t="str">
        <f>LIDER!E44</f>
        <v>SAMUEL HERNANDEZ VELEZ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</v>
      </c>
      <c r="F7" s="203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YHON DEIVIS MARTINEZ CONTRERAS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</v>
      </c>
      <c r="F8" s="203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VALERIA NARVAEZ FUENTES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</v>
      </c>
      <c r="F9" s="203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MICHELL ANDREA RODRIGUEZ HERRERA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</v>
      </c>
      <c r="F10" s="203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>EMMANUEL DE JESUS ROJAS TORRES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</v>
      </c>
      <c r="F11" s="203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103</v>
      </c>
      <c r="C12" s="88" t="s">
        <v>104</v>
      </c>
      <c r="D12" s="32" t="str">
        <f>D5</f>
        <v>LIST</v>
      </c>
      <c r="E12" s="89" t="s">
        <v>102</v>
      </c>
      <c r="F12" s="146" t="str">
        <f>LIDER!$E$30</f>
        <v>GRUPO#2 ROPA SAFI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JARY DANIELA CALLE DONADO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4.0199999999999996</v>
      </c>
      <c r="F13" s="203">
        <v>4</v>
      </c>
      <c r="G13" s="142">
        <v>4</v>
      </c>
      <c r="H13" s="199">
        <v>4</v>
      </c>
      <c r="I13" s="142">
        <v>4</v>
      </c>
      <c r="J13" s="199">
        <v>4</v>
      </c>
      <c r="K13" s="142">
        <v>4</v>
      </c>
      <c r="L13" s="199">
        <v>4.2</v>
      </c>
    </row>
    <row r="14" spans="1:12" s="2" customFormat="1" ht="15" customHeight="1">
      <c r="A14" s="12">
        <v>2</v>
      </c>
      <c r="B14" s="10" t="str">
        <f>LIDER!F44</f>
        <v>SAID JOSE CASTILLO MORALES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4.0199999999999996</v>
      </c>
      <c r="F14" s="203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DANNA VALENTINA CORTES MENDOZA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4.0199999999999996</v>
      </c>
      <c r="F15" s="203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SEBASTIAN GÖMEZ CASTILLO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4.0199999999999996</v>
      </c>
      <c r="F16" s="203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MARIA PAULA SIMARRA PAEZ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4.0199999999999996</v>
      </c>
      <c r="F17" s="203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105</v>
      </c>
      <c r="C19" s="88" t="s">
        <v>106</v>
      </c>
      <c r="D19" s="32" t="str">
        <f>D12</f>
        <v>LIST</v>
      </c>
      <c r="E19" s="89" t="s">
        <v>102</v>
      </c>
      <c r="F19" s="146" t="str">
        <f>LIDER!$E$31</f>
        <v>GRUPO#3 GORRAS-MERKATEX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JUAN CAMILO CARREAZO BOLAÑOS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4.0900000000000007</v>
      </c>
      <c r="F20" s="203">
        <v>4</v>
      </c>
      <c r="G20" s="142">
        <v>4</v>
      </c>
      <c r="H20" s="199">
        <v>4.0999999999999996</v>
      </c>
      <c r="I20" s="142">
        <v>4.0999999999999996</v>
      </c>
      <c r="J20" s="199">
        <v>4.0999999999999996</v>
      </c>
      <c r="K20" s="142">
        <v>4.2</v>
      </c>
      <c r="L20" s="199">
        <v>4.2</v>
      </c>
    </row>
    <row r="21" spans="1:12" s="2" customFormat="1" ht="15" customHeight="1">
      <c r="A21" s="12">
        <v>2</v>
      </c>
      <c r="B21" s="10" t="str">
        <f>LIDER!G44</f>
        <v>FELIPE HERNANDEZ CORREA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4.0900000000000007</v>
      </c>
      <c r="F21" s="203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VICKY SADAY LAGUNA SUÁREZ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4.0900000000000007</v>
      </c>
      <c r="F22" s="203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JHON DEIVER MAZA VALVERDE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4.0900000000000007</v>
      </c>
      <c r="F23" s="203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JHON JAIRO OROZCO BALLESTAS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4.0900000000000007</v>
      </c>
      <c r="F24" s="203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107</v>
      </c>
      <c r="C26" s="88" t="s">
        <v>108</v>
      </c>
      <c r="D26" s="32" t="str">
        <f>D19</f>
        <v>LIST</v>
      </c>
      <c r="E26" s="89" t="s">
        <v>102</v>
      </c>
      <c r="F26" s="146" t="str">
        <f>LIDER!$E$32</f>
        <v>GRUPO#4 CRUNCH DE FRUTAS DESHIDRATADAS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MARIANA ALEJANDRA ARENAS BUSTILLO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4.3000000000000007</v>
      </c>
      <c r="F27" s="203">
        <v>4</v>
      </c>
      <c r="G27" s="142">
        <v>4.3</v>
      </c>
      <c r="H27" s="199">
        <v>4.3</v>
      </c>
      <c r="I27" s="142">
        <v>4.3</v>
      </c>
      <c r="J27" s="199">
        <v>4.3</v>
      </c>
      <c r="K27" s="142">
        <v>4.5</v>
      </c>
      <c r="L27" s="199">
        <v>4.5</v>
      </c>
    </row>
    <row r="28" spans="1:12" s="2" customFormat="1" ht="15" customHeight="1">
      <c r="A28" s="12">
        <v>2</v>
      </c>
      <c r="B28" s="10" t="str">
        <f>LIDER!H44</f>
        <v>DANIELA FIGUEROA CASTELLAR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4.3000000000000007</v>
      </c>
      <c r="F28" s="203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WENDY PAOLA LARA CORTINA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4.3000000000000007</v>
      </c>
      <c r="F29" s="203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MAYRA ALEJANDRA NAVARRO LOPEZ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4.3000000000000007</v>
      </c>
      <c r="F30" s="203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DANIEL DE JESUS VILLADIEGO VELASQUEZ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4.3000000000000007</v>
      </c>
      <c r="F31" s="203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109</v>
      </c>
      <c r="C33" s="88" t="s">
        <v>110</v>
      </c>
      <c r="D33" s="32" t="str">
        <f>D26</f>
        <v>LIST</v>
      </c>
      <c r="E33" s="89" t="s">
        <v>102</v>
      </c>
      <c r="F33" s="146" t="str">
        <f>LIDER!$E$33</f>
        <v>GRUPO#5 Crema Capilar NATURAL CROWN S.A.S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Oscar Herrera Himbret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4.4400000000000004</v>
      </c>
      <c r="F34" s="203">
        <v>4.2</v>
      </c>
      <c r="G34" s="142">
        <v>4.5</v>
      </c>
      <c r="H34" s="199">
        <v>4.5</v>
      </c>
      <c r="I34" s="142">
        <v>4.5</v>
      </c>
      <c r="J34" s="199">
        <v>4.5</v>
      </c>
      <c r="K34" s="142">
        <v>4.5</v>
      </c>
      <c r="L34" s="199">
        <v>4.5</v>
      </c>
    </row>
    <row r="35" spans="1:12" s="2" customFormat="1" ht="15" customHeight="1">
      <c r="A35" s="12">
        <v>2</v>
      </c>
      <c r="B35" s="10" t="str">
        <f>LIDER!E52</f>
        <v>NEIBILIS ROSA OBESO BORNACHERA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4.4400000000000004</v>
      </c>
      <c r="F35" s="203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AMÉRICA ROJAS BARROS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4.4400000000000004</v>
      </c>
      <c r="F36" s="203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IVAN CAMILO RODRIGUEZ THERAN</v>
      </c>
      <c r="C37" s="90" t="str">
        <f t="shared" si="4"/>
        <v>G05</v>
      </c>
      <c r="D37" s="96" t="s">
        <v>120</v>
      </c>
      <c r="E37" s="11" t="str">
        <f>IF(B37=0,0,IF(D37="",$F$34*LIDER!$H$9+$G$34*LIDER!$H$10+$H$34*LIDER!$H$11+$I$34*LIDER!$H$12+$J$34*LIDER!$H$13+$K$34*LIDER!$H$14+$L$34*LIDER!$H$15,"N"))</f>
        <v>N</v>
      </c>
      <c r="F37" s="203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3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111</v>
      </c>
      <c r="C40" s="88" t="s">
        <v>112</v>
      </c>
      <c r="D40" s="32" t="str">
        <f>D33</f>
        <v>LIST</v>
      </c>
      <c r="E40" s="89" t="s">
        <v>102</v>
      </c>
      <c r="F40" s="146" t="str">
        <f>LIDER!$E$34</f>
        <v>GRUPO#6 VELAS FRAGAN'S CO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 t="str">
        <f>LIDER!F51</f>
        <v>BREYNER DUBAN MEDRANO MARTINEZ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3.3500000000000005</v>
      </c>
      <c r="F41" s="203">
        <v>4.5</v>
      </c>
      <c r="G41" s="142">
        <v>4.5</v>
      </c>
      <c r="H41" s="199">
        <v>4.5</v>
      </c>
      <c r="I41" s="142">
        <v>4.5</v>
      </c>
      <c r="J41" s="199">
        <v>4.5</v>
      </c>
      <c r="K41" s="142">
        <v>1</v>
      </c>
      <c r="L41" s="199">
        <v>0</v>
      </c>
    </row>
    <row r="42" spans="1:12" s="2" customFormat="1" ht="15" customHeight="1">
      <c r="A42" s="12">
        <v>2</v>
      </c>
      <c r="B42" s="10" t="str">
        <f>LIDER!F52</f>
        <v>OSCAR ANDRES MONTILLA MUELAS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3.3500000000000005</v>
      </c>
      <c r="F42" s="203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CAMILO ANDRES ZUÑIGA LOPEZ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3.3500000000000005</v>
      </c>
      <c r="F43" s="203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ANGY CAROLINA ZUÑIGA VASQUEZ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3.3500000000000005</v>
      </c>
      <c r="F44" s="203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113</v>
      </c>
      <c r="C47" s="88" t="s">
        <v>114</v>
      </c>
      <c r="D47" s="32" t="str">
        <f>D40</f>
        <v>LIST</v>
      </c>
      <c r="E47" s="89" t="s">
        <v>102</v>
      </c>
      <c r="F47" s="146" t="str">
        <f>LIDER!$E$35</f>
        <v>GRUPO#7 NATIVA GOURMET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RANYELYS MARIAN AYOLA PEREZ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4.3000000000000007</v>
      </c>
      <c r="F48" s="203">
        <v>4</v>
      </c>
      <c r="G48" s="142">
        <v>4.3</v>
      </c>
      <c r="H48" s="199">
        <v>4.3</v>
      </c>
      <c r="I48" s="142">
        <v>4.3</v>
      </c>
      <c r="J48" s="199">
        <v>4.3</v>
      </c>
      <c r="K48" s="142">
        <v>4.5</v>
      </c>
      <c r="L48" s="199">
        <v>4.5</v>
      </c>
    </row>
    <row r="49" spans="1:12" s="2" customFormat="1" ht="15" customHeight="1">
      <c r="A49" s="12">
        <v>2</v>
      </c>
      <c r="B49" s="10" t="str">
        <f>LIDER!G52</f>
        <v>NATALIA NARANJO MORRÓN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4.3000000000000007</v>
      </c>
      <c r="F49" s="203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 t="str">
        <f>LIDER!G53</f>
        <v>YENDER JOSE PUELLO TORRES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4.3000000000000007</v>
      </c>
      <c r="F50" s="203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 t="str">
        <f>LIDER!G54</f>
        <v>JHONATAN WATTS PINTO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4.3000000000000007</v>
      </c>
      <c r="F51" s="203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 t="str">
        <f>LIDER!G55</f>
        <v>Edgar Mauricio Zurique Gonzalez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4.3000000000000007</v>
      </c>
      <c r="F52" s="203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86</v>
      </c>
      <c r="C54" s="88" t="s">
        <v>115</v>
      </c>
      <c r="D54" s="32" t="str">
        <f>D47</f>
        <v>LIST</v>
      </c>
      <c r="E54" s="89" t="s">
        <v>102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88</v>
      </c>
      <c r="C61" s="88" t="s">
        <v>116</v>
      </c>
      <c r="D61" s="32" t="str">
        <f>D54</f>
        <v>LIST</v>
      </c>
      <c r="E61" s="89" t="s">
        <v>102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90</v>
      </c>
      <c r="C68" s="88" t="s">
        <v>117</v>
      </c>
      <c r="D68" s="32" t="str">
        <f>D61</f>
        <v>LIST</v>
      </c>
      <c r="E68" s="89" t="s">
        <v>102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92</v>
      </c>
      <c r="C75" s="88" t="s">
        <v>118</v>
      </c>
      <c r="D75" s="32" t="str">
        <f>D68</f>
        <v>LIST</v>
      </c>
      <c r="E75" s="89" t="s">
        <v>102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94</v>
      </c>
      <c r="C82" s="88" t="s">
        <v>119</v>
      </c>
      <c r="D82" s="32" t="str">
        <f>D75</f>
        <v>LIST</v>
      </c>
      <c r="E82" s="89" t="s">
        <v>102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153"/>
      <c r="H88" s="200"/>
      <c r="I88" s="153"/>
      <c r="J88" s="200"/>
      <c r="K88" s="153"/>
      <c r="L88" s="200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18" activePane="bottomRight" state="frozen"/>
      <selection pane="bottomRight" activeCell="N48" sqref="N48"/>
      <selection pane="bottomLeft" activeCell="N48" sqref="N48"/>
      <selection pane="topRight" activeCell="N48" sqref="N4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LIDER!G4</f>
        <v>FINANZAS INTERNACIONALES</v>
      </c>
      <c r="C2" s="82"/>
      <c r="D2" s="3"/>
      <c r="F2" s="207" t="s">
        <v>97</v>
      </c>
      <c r="G2" s="208"/>
      <c r="H2" s="208"/>
      <c r="I2" s="208"/>
      <c r="J2" s="208"/>
      <c r="K2" s="208"/>
      <c r="L2" s="209"/>
    </row>
    <row r="3" spans="1:12" s="2" customFormat="1" ht="145.5" customHeight="1">
      <c r="B3" s="83" t="s">
        <v>98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10" t="str">
        <f>CONCATENATE(LIDER!G4," - ",LIDER!G6," - ",LIDER!G5)</f>
        <v>FINANZAS INTERNACIONALES - 1487 - JAVIER IGNACIO ALVAREZ OROZCO</v>
      </c>
      <c r="G4" s="210"/>
      <c r="H4" s="210"/>
      <c r="I4" s="210"/>
      <c r="J4" s="210"/>
      <c r="K4" s="210"/>
      <c r="L4" s="210"/>
    </row>
    <row r="5" spans="1:12" s="2" customFormat="1" ht="15.75" customHeight="1" thickBot="1">
      <c r="A5" s="8"/>
      <c r="B5" s="25" t="s">
        <v>99</v>
      </c>
      <c r="C5" s="88" t="s">
        <v>100</v>
      </c>
      <c r="D5" s="32" t="s">
        <v>101</v>
      </c>
      <c r="E5" s="89" t="s">
        <v>102</v>
      </c>
      <c r="F5" s="146" t="str">
        <f>LIDER!$E$29</f>
        <v>GRUPO#1  FERTILIZANTES ORGANICOS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ALVARO JOSE BERROCAL NARVAEZ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4.3600000000000003</v>
      </c>
      <c r="F6" s="203">
        <v>4.3</v>
      </c>
      <c r="G6" s="142">
        <v>4.2</v>
      </c>
      <c r="H6" s="199">
        <v>4.3</v>
      </c>
      <c r="I6" s="142">
        <v>4.3</v>
      </c>
      <c r="J6" s="199">
        <v>4.2</v>
      </c>
      <c r="K6" s="142">
        <v>4.4000000000000004</v>
      </c>
      <c r="L6" s="199">
        <v>5</v>
      </c>
    </row>
    <row r="7" spans="1:12" s="2" customFormat="1" ht="15" customHeight="1">
      <c r="A7" s="12">
        <v>2</v>
      </c>
      <c r="B7" s="10" t="str">
        <f>LIDER!E44</f>
        <v>SAMUEL HERNANDEZ VELEZ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4.3600000000000003</v>
      </c>
      <c r="F7" s="203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YHON DEIVIS MARTINEZ CONTRERAS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4.3600000000000003</v>
      </c>
      <c r="F8" s="203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VALERIA NARVAEZ FUENTES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4.3600000000000003</v>
      </c>
      <c r="F9" s="203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MICHELL ANDREA RODRIGUEZ HERRERA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4.3600000000000003</v>
      </c>
      <c r="F10" s="203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>EMMANUEL DE JESUS ROJAS TORRES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4.3600000000000003</v>
      </c>
      <c r="F11" s="203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103</v>
      </c>
      <c r="C12" s="88" t="s">
        <v>104</v>
      </c>
      <c r="D12" s="32" t="str">
        <f>D5</f>
        <v>LIST</v>
      </c>
      <c r="E12" s="89" t="s">
        <v>102</v>
      </c>
      <c r="F12" s="146" t="str">
        <f>LIDER!$E$30</f>
        <v>GRUPO#2 ROPA SAFI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JARY DANIELA CALLE DONADO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4.41</v>
      </c>
      <c r="F13" s="203">
        <v>4.4000000000000004</v>
      </c>
      <c r="G13" s="142">
        <v>4.3</v>
      </c>
      <c r="H13" s="199">
        <v>4.4000000000000004</v>
      </c>
      <c r="I13" s="142">
        <v>4.4000000000000004</v>
      </c>
      <c r="J13" s="199">
        <v>4.3</v>
      </c>
      <c r="K13" s="142">
        <v>4.3</v>
      </c>
      <c r="L13" s="199">
        <v>5</v>
      </c>
    </row>
    <row r="14" spans="1:12" s="2" customFormat="1" ht="15" customHeight="1">
      <c r="A14" s="12">
        <v>2</v>
      </c>
      <c r="B14" s="10" t="str">
        <f>LIDER!F44</f>
        <v>SAID JOSE CASTILLO MORALES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4.41</v>
      </c>
      <c r="F14" s="203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DANNA VALENTINA CORTES MENDOZA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4.41</v>
      </c>
      <c r="F15" s="203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SEBASTIAN GÖMEZ CASTILLO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4.41</v>
      </c>
      <c r="F16" s="203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MARIA PAULA SIMARRA PAEZ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4.41</v>
      </c>
      <c r="F17" s="203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105</v>
      </c>
      <c r="C19" s="88" t="s">
        <v>106</v>
      </c>
      <c r="D19" s="32" t="str">
        <f>D12</f>
        <v>LIST</v>
      </c>
      <c r="E19" s="89" t="s">
        <v>102</v>
      </c>
      <c r="F19" s="146" t="str">
        <f>LIDER!$E$31</f>
        <v>GRUPO#3 GORRAS-MERKATEX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JUAN CAMILO CARREAZO BOLAÑOS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4.3499999999999996</v>
      </c>
      <c r="F20" s="203">
        <v>4.2</v>
      </c>
      <c r="G20" s="142">
        <v>4.4000000000000004</v>
      </c>
      <c r="H20" s="199">
        <v>4.2</v>
      </c>
      <c r="I20" s="142">
        <v>4.2</v>
      </c>
      <c r="J20" s="199">
        <v>4.3</v>
      </c>
      <c r="K20" s="142">
        <v>4.3</v>
      </c>
      <c r="L20" s="199">
        <v>5</v>
      </c>
    </row>
    <row r="21" spans="1:12" s="2" customFormat="1" ht="15" customHeight="1">
      <c r="A21" s="12">
        <v>2</v>
      </c>
      <c r="B21" s="10" t="str">
        <f>LIDER!G44</f>
        <v>FELIPE HERNANDEZ CORREA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4.3499999999999996</v>
      </c>
      <c r="F21" s="203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VICKY SADAY LAGUNA SUÁREZ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4.3499999999999996</v>
      </c>
      <c r="F22" s="203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JHON DEIVER MAZA VALVERDE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4.3499999999999996</v>
      </c>
      <c r="F23" s="203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JHON JAIRO OROZCO BALLESTAS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4.3499999999999996</v>
      </c>
      <c r="F24" s="203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107</v>
      </c>
      <c r="C26" s="88" t="s">
        <v>108</v>
      </c>
      <c r="D26" s="32" t="str">
        <f>D19</f>
        <v>LIST</v>
      </c>
      <c r="E26" s="89" t="s">
        <v>102</v>
      </c>
      <c r="F26" s="146" t="str">
        <f>LIDER!$E$32</f>
        <v>GRUPO#4 CRUNCH DE FRUTAS DESHIDRATADAS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MARIANA ALEJANDRA ARENAS BUSTILLO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4.3000000000000007</v>
      </c>
      <c r="F27" s="203">
        <v>4.0999999999999996</v>
      </c>
      <c r="G27" s="142">
        <v>4.2</v>
      </c>
      <c r="H27" s="199">
        <v>4.3</v>
      </c>
      <c r="I27" s="142">
        <v>4.3</v>
      </c>
      <c r="J27" s="199">
        <v>4.2</v>
      </c>
      <c r="K27" s="142">
        <v>4.3</v>
      </c>
      <c r="L27" s="199">
        <v>5</v>
      </c>
    </row>
    <row r="28" spans="1:12" s="2" customFormat="1" ht="15" customHeight="1">
      <c r="A28" s="12">
        <v>2</v>
      </c>
      <c r="B28" s="10" t="str">
        <f>LIDER!H44</f>
        <v>DANIELA FIGUEROA CASTELLAR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4.3000000000000007</v>
      </c>
      <c r="F28" s="203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WENDY PAOLA LARA CORTINA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4.3000000000000007</v>
      </c>
      <c r="F29" s="203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MAYRA ALEJANDRA NAVARRO LOPEZ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4.3000000000000007</v>
      </c>
      <c r="F30" s="203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DANIEL DE JESUS VILLADIEGO VELASQUEZ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4.3000000000000007</v>
      </c>
      <c r="F31" s="203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109</v>
      </c>
      <c r="C33" s="88" t="s">
        <v>110</v>
      </c>
      <c r="D33" s="32" t="str">
        <f>D26</f>
        <v>LIST</v>
      </c>
      <c r="E33" s="89" t="s">
        <v>102</v>
      </c>
      <c r="F33" s="146" t="str">
        <f>LIDER!$E$33</f>
        <v>GRUPO#5 Crema Capilar NATURAL CROWN S.A.S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Oscar Herrera Himbret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4.1500000000000004</v>
      </c>
      <c r="F34" s="203">
        <v>4</v>
      </c>
      <c r="G34" s="142">
        <v>4.0999999999999996</v>
      </c>
      <c r="H34" s="199">
        <v>4</v>
      </c>
      <c r="I34" s="142">
        <v>4</v>
      </c>
      <c r="J34" s="199">
        <v>4.0999999999999996</v>
      </c>
      <c r="K34" s="142">
        <v>4.0999999999999996</v>
      </c>
      <c r="L34" s="199">
        <v>5</v>
      </c>
    </row>
    <row r="35" spans="1:12" s="2" customFormat="1" ht="15" customHeight="1">
      <c r="A35" s="12">
        <v>2</v>
      </c>
      <c r="B35" s="10" t="str">
        <f>LIDER!E52</f>
        <v>NEIBILIS ROSA OBESO BORNACHERA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4.1500000000000004</v>
      </c>
      <c r="F35" s="203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AMÉRICA ROJAS BARROS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4.1500000000000004</v>
      </c>
      <c r="F36" s="203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IVAN CAMILO RODRIGUEZ THERAN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4.1500000000000004</v>
      </c>
      <c r="F37" s="203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3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111</v>
      </c>
      <c r="C40" s="88" t="s">
        <v>112</v>
      </c>
      <c r="D40" s="32" t="str">
        <f>D33</f>
        <v>LIST</v>
      </c>
      <c r="E40" s="89" t="s">
        <v>102</v>
      </c>
      <c r="F40" s="146" t="str">
        <f>LIDER!$E$34</f>
        <v>GRUPO#6 VELAS FRAGAN'S CO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 t="str">
        <f>LIDER!F51</f>
        <v>BREYNER DUBAN MEDRANO MARTINEZ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4.1500000000000004</v>
      </c>
      <c r="F41" s="203">
        <v>4</v>
      </c>
      <c r="G41" s="142">
        <v>4.0999999999999996</v>
      </c>
      <c r="H41" s="199">
        <v>4</v>
      </c>
      <c r="I41" s="142">
        <v>4.0999999999999996</v>
      </c>
      <c r="J41" s="199">
        <v>4</v>
      </c>
      <c r="K41" s="142">
        <v>4.0999999999999996</v>
      </c>
      <c r="L41" s="199">
        <v>5</v>
      </c>
    </row>
    <row r="42" spans="1:12" s="2" customFormat="1" ht="15" customHeight="1">
      <c r="A42" s="12">
        <v>2</v>
      </c>
      <c r="B42" s="10" t="str">
        <f>LIDER!F52</f>
        <v>OSCAR ANDRES MONTILLA MUELAS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4.1500000000000004</v>
      </c>
      <c r="F42" s="203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CAMILO ANDRES ZUÑIGA LOPEZ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4.1500000000000004</v>
      </c>
      <c r="F43" s="203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ANGY CAROLINA ZUÑIGA VASQUEZ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4.1500000000000004</v>
      </c>
      <c r="F44" s="203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113</v>
      </c>
      <c r="C47" s="88" t="s">
        <v>114</v>
      </c>
      <c r="D47" s="32" t="str">
        <f>D40</f>
        <v>LIST</v>
      </c>
      <c r="E47" s="89" t="s">
        <v>102</v>
      </c>
      <c r="F47" s="146" t="str">
        <f>LIDER!$E$35</f>
        <v>GRUPO#7 NATIVA GOURMET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RANYELYS MARIAN AYOLA PEREZ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4.1399999999999997</v>
      </c>
      <c r="F48" s="203">
        <v>4.0999999999999996</v>
      </c>
      <c r="G48" s="142">
        <v>4.0999999999999996</v>
      </c>
      <c r="H48" s="199">
        <v>4</v>
      </c>
      <c r="I48" s="142">
        <v>4</v>
      </c>
      <c r="J48" s="199">
        <v>4</v>
      </c>
      <c r="K48" s="142">
        <v>4</v>
      </c>
      <c r="L48" s="199">
        <v>5</v>
      </c>
    </row>
    <row r="49" spans="1:12" s="2" customFormat="1" ht="15" customHeight="1">
      <c r="A49" s="12">
        <v>2</v>
      </c>
      <c r="B49" s="10" t="str">
        <f>LIDER!G52</f>
        <v>NATALIA NARANJO MORRÓN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4.1399999999999997</v>
      </c>
      <c r="F49" s="203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 t="str">
        <f>LIDER!G53</f>
        <v>YENDER JOSE PUELLO TORRES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4.1399999999999997</v>
      </c>
      <c r="F50" s="203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 t="str">
        <f>LIDER!G54</f>
        <v>JHONATAN WATTS PINTO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4.1399999999999997</v>
      </c>
      <c r="F51" s="203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 t="str">
        <f>LIDER!G55</f>
        <v>Edgar Mauricio Zurique Gonzalez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4.1399999999999997</v>
      </c>
      <c r="F52" s="203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86</v>
      </c>
      <c r="C54" s="88" t="s">
        <v>115</v>
      </c>
      <c r="D54" s="32" t="str">
        <f>D47</f>
        <v>LIST</v>
      </c>
      <c r="E54" s="89" t="s">
        <v>102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88</v>
      </c>
      <c r="C61" s="88" t="s">
        <v>116</v>
      </c>
      <c r="D61" s="32" t="str">
        <f>D54</f>
        <v>LIST</v>
      </c>
      <c r="E61" s="89" t="s">
        <v>102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90</v>
      </c>
      <c r="C68" s="88" t="s">
        <v>117</v>
      </c>
      <c r="D68" s="32" t="str">
        <f>D61</f>
        <v>LIST</v>
      </c>
      <c r="E68" s="89" t="s">
        <v>102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92</v>
      </c>
      <c r="C75" s="88" t="s">
        <v>118</v>
      </c>
      <c r="D75" s="32" t="str">
        <f>D68</f>
        <v>LIST</v>
      </c>
      <c r="E75" s="89" t="s">
        <v>102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94</v>
      </c>
      <c r="C82" s="88" t="s">
        <v>119</v>
      </c>
      <c r="D82" s="32" t="str">
        <f>D75</f>
        <v>LIST</v>
      </c>
      <c r="E82" s="89" t="s">
        <v>102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153"/>
      <c r="H88" s="200"/>
      <c r="I88" s="153"/>
      <c r="J88" s="200"/>
      <c r="K88" s="153"/>
      <c r="L88" s="200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3" activePane="bottomRight" state="frozen"/>
      <selection pane="bottomRight" activeCell="N48" sqref="N48"/>
      <selection pane="bottomLeft" activeCell="N48" sqref="N48"/>
      <selection pane="topRight" activeCell="N48" sqref="N4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LIDER!H4</f>
        <v>D.F.I.</v>
      </c>
      <c r="C2" s="82"/>
      <c r="D2" s="3"/>
      <c r="F2" s="207" t="s">
        <v>97</v>
      </c>
      <c r="G2" s="208"/>
      <c r="H2" s="208"/>
      <c r="I2" s="208"/>
      <c r="J2" s="208"/>
      <c r="K2" s="208"/>
      <c r="L2" s="209"/>
    </row>
    <row r="3" spans="1:12" s="2" customFormat="1" ht="145.5" customHeight="1">
      <c r="B3" s="83" t="s">
        <v>98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10" t="str">
        <f>CONCATENATE(LIDER!H4," - ",LIDER!H6," - ",LIDER!H5)</f>
        <v>D.F.I. - 1492 - OMAR JOSE CEDIEL TANG</v>
      </c>
      <c r="G4" s="210"/>
      <c r="H4" s="210"/>
      <c r="I4" s="210"/>
      <c r="J4" s="210"/>
      <c r="K4" s="210"/>
      <c r="L4" s="210"/>
    </row>
    <row r="5" spans="1:12" s="2" customFormat="1" ht="15.75" customHeight="1" thickBot="1">
      <c r="A5" s="8"/>
      <c r="B5" s="25" t="s">
        <v>99</v>
      </c>
      <c r="C5" s="88" t="s">
        <v>100</v>
      </c>
      <c r="D5" s="32" t="s">
        <v>101</v>
      </c>
      <c r="E5" s="89" t="s">
        <v>102</v>
      </c>
      <c r="F5" s="146" t="str">
        <f>LIDER!$E$29</f>
        <v>GRUPO#1  FERTILIZANTES ORGANICOS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ALVARO JOSE BERROCAL NARVAEZ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4.5999999999999996</v>
      </c>
      <c r="F6" s="203">
        <v>4</v>
      </c>
      <c r="G6" s="142">
        <v>5</v>
      </c>
      <c r="H6" s="199">
        <v>5</v>
      </c>
      <c r="I6" s="142">
        <v>5</v>
      </c>
      <c r="J6" s="199">
        <v>5</v>
      </c>
      <c r="K6" s="142">
        <v>4</v>
      </c>
      <c r="L6" s="199">
        <v>5</v>
      </c>
    </row>
    <row r="7" spans="1:12" s="2" customFormat="1" ht="15" customHeight="1">
      <c r="A7" s="12">
        <v>2</v>
      </c>
      <c r="B7" s="10" t="str">
        <f>LIDER!E44</f>
        <v>SAMUEL HERNANDEZ VELEZ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4.5999999999999996</v>
      </c>
      <c r="F7" s="203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YHON DEIVIS MARTINEZ CONTRERAS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4.5999999999999996</v>
      </c>
      <c r="F8" s="203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VALERIA NARVAEZ FUENTES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4.5999999999999996</v>
      </c>
      <c r="F9" s="203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MICHELL ANDREA RODRIGUEZ HERRERA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4.5999999999999996</v>
      </c>
      <c r="F10" s="203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>EMMANUEL DE JESUS ROJAS TORRES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4.5999999999999996</v>
      </c>
      <c r="F11" s="203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103</v>
      </c>
      <c r="C12" s="88" t="s">
        <v>104</v>
      </c>
      <c r="D12" s="32" t="str">
        <f>D5</f>
        <v>LIST</v>
      </c>
      <c r="E12" s="89" t="s">
        <v>102</v>
      </c>
      <c r="F12" s="146" t="str">
        <f>LIDER!$E$30</f>
        <v>GRUPO#2 ROPA SAFI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JARY DANIELA CALLE DONADO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4.5500000000000007</v>
      </c>
      <c r="F13" s="203">
        <v>4.5</v>
      </c>
      <c r="G13" s="142">
        <v>4.5</v>
      </c>
      <c r="H13" s="199">
        <v>4.5</v>
      </c>
      <c r="I13" s="142">
        <v>4.5</v>
      </c>
      <c r="J13" s="199">
        <v>4.5</v>
      </c>
      <c r="K13" s="142">
        <v>4.5</v>
      </c>
      <c r="L13" s="199">
        <v>5</v>
      </c>
    </row>
    <row r="14" spans="1:12" s="2" customFormat="1" ht="15" customHeight="1">
      <c r="A14" s="12">
        <v>2</v>
      </c>
      <c r="B14" s="10" t="str">
        <f>LIDER!F44</f>
        <v>SAID JOSE CASTILLO MORALES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4.5500000000000007</v>
      </c>
      <c r="F14" s="203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DANNA VALENTINA CORTES MENDOZA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4.5500000000000007</v>
      </c>
      <c r="F15" s="203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SEBASTIAN GÖMEZ CASTILLO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4.5500000000000007</v>
      </c>
      <c r="F16" s="203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MARIA PAULA SIMARRA PAEZ</v>
      </c>
      <c r="C17" s="90" t="str">
        <f t="shared" si="1"/>
        <v>G02</v>
      </c>
      <c r="D17" s="96" t="s">
        <v>120</v>
      </c>
      <c r="E17" s="11"/>
      <c r="F17" s="203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105</v>
      </c>
      <c r="C19" s="88" t="s">
        <v>106</v>
      </c>
      <c r="D19" s="32" t="str">
        <f>D12</f>
        <v>LIST</v>
      </c>
      <c r="E19" s="89" t="s">
        <v>102</v>
      </c>
      <c r="F19" s="146" t="str">
        <f>LIDER!$E$31</f>
        <v>GRUPO#3 GORRAS-MERKATEX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JUAN CAMILO CARREAZO BOLAÑOS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4.4500000000000011</v>
      </c>
      <c r="F20" s="203">
        <v>4</v>
      </c>
      <c r="G20" s="142">
        <v>4.5</v>
      </c>
      <c r="H20" s="199">
        <v>4.5</v>
      </c>
      <c r="I20" s="142">
        <v>4.5</v>
      </c>
      <c r="J20" s="199">
        <v>4.5</v>
      </c>
      <c r="K20" s="142">
        <v>4.5</v>
      </c>
      <c r="L20" s="199">
        <v>5</v>
      </c>
    </row>
    <row r="21" spans="1:12" s="2" customFormat="1" ht="15" customHeight="1">
      <c r="A21" s="12">
        <v>2</v>
      </c>
      <c r="B21" s="10" t="str">
        <f>LIDER!G44</f>
        <v>FELIPE HERNANDEZ CORREA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4.4500000000000011</v>
      </c>
      <c r="F21" s="203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VICKY SADAY LAGUNA SUÁREZ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4.4500000000000011</v>
      </c>
      <c r="F22" s="203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JHON DEIVER MAZA VALVERDE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4.4500000000000011</v>
      </c>
      <c r="F23" s="203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JHON JAIRO OROZCO BALLESTAS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4.4500000000000011</v>
      </c>
      <c r="F24" s="203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107</v>
      </c>
      <c r="C26" s="88" t="s">
        <v>108</v>
      </c>
      <c r="D26" s="32" t="str">
        <f>D19</f>
        <v>LIST</v>
      </c>
      <c r="E26" s="89" t="s">
        <v>102</v>
      </c>
      <c r="F26" s="146" t="str">
        <f>LIDER!$E$32</f>
        <v>GRUPO#4 CRUNCH DE FRUTAS DESHIDRATADAS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MARIANA ALEJANDRA ARENAS BUSTILLO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4.5500000000000007</v>
      </c>
      <c r="F27" s="203">
        <v>4</v>
      </c>
      <c r="G27" s="142">
        <v>4.5</v>
      </c>
      <c r="H27" s="199">
        <v>4.5</v>
      </c>
      <c r="I27" s="142">
        <v>4.5</v>
      </c>
      <c r="J27" s="199">
        <v>4.5</v>
      </c>
      <c r="K27" s="142">
        <v>5</v>
      </c>
      <c r="L27" s="199">
        <v>5</v>
      </c>
    </row>
    <row r="28" spans="1:12" s="2" customFormat="1" ht="15" customHeight="1">
      <c r="A28" s="12">
        <v>2</v>
      </c>
      <c r="B28" s="10" t="str">
        <f>LIDER!H44</f>
        <v>DANIELA FIGUEROA CASTELLAR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4.5500000000000007</v>
      </c>
      <c r="F28" s="203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WENDY PAOLA LARA CORTINA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4.5500000000000007</v>
      </c>
      <c r="F29" s="203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MAYRA ALEJANDRA NAVARRO LOPEZ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4.5500000000000007</v>
      </c>
      <c r="F30" s="203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DANIEL DE JESUS VILLADIEGO VELASQUEZ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4.5500000000000007</v>
      </c>
      <c r="F31" s="203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109</v>
      </c>
      <c r="C33" s="88" t="s">
        <v>110</v>
      </c>
      <c r="D33" s="32" t="str">
        <f>D26</f>
        <v>LIST</v>
      </c>
      <c r="E33" s="89" t="s">
        <v>102</v>
      </c>
      <c r="F33" s="146" t="str">
        <f>LIDER!$E$33</f>
        <v>GRUPO#5 Crema Capilar NATURAL CROWN S.A.S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Oscar Herrera Himbret</v>
      </c>
      <c r="C34" s="90" t="str">
        <f>C33</f>
        <v>G05</v>
      </c>
      <c r="D34" s="95" t="s">
        <v>120</v>
      </c>
      <c r="E34" s="11"/>
      <c r="F34" s="203">
        <v>3</v>
      </c>
      <c r="G34" s="142">
        <v>4.5</v>
      </c>
      <c r="H34" s="199">
        <v>4</v>
      </c>
      <c r="I34" s="142">
        <v>4</v>
      </c>
      <c r="J34" s="199">
        <v>4</v>
      </c>
      <c r="K34" s="142">
        <v>5</v>
      </c>
      <c r="L34" s="199">
        <v>5</v>
      </c>
    </row>
    <row r="35" spans="1:12" s="2" customFormat="1" ht="15" customHeight="1">
      <c r="A35" s="12">
        <v>2</v>
      </c>
      <c r="B35" s="10" t="str">
        <f>LIDER!E52</f>
        <v>NEIBILIS ROSA OBESO BORNACHERA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4.1999999999999993</v>
      </c>
      <c r="F35" s="203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AMÉRICA ROJAS BARROS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4.1999999999999993</v>
      </c>
      <c r="F36" s="203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IVAN CAMILO RODRIGUEZ THERAN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4.1999999999999993</v>
      </c>
      <c r="F37" s="203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3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111</v>
      </c>
      <c r="C40" s="88" t="s">
        <v>112</v>
      </c>
      <c r="D40" s="32" t="str">
        <f>D33</f>
        <v>LIST</v>
      </c>
      <c r="E40" s="89" t="s">
        <v>102</v>
      </c>
      <c r="F40" s="146" t="str">
        <f>LIDER!$E$34</f>
        <v>GRUPO#6 VELAS FRAGAN'S CO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 t="str">
        <f>LIDER!F51</f>
        <v>BREYNER DUBAN MEDRANO MARTINEZ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3.6999999999999997</v>
      </c>
      <c r="F41" s="203">
        <v>3</v>
      </c>
      <c r="G41" s="142">
        <v>5</v>
      </c>
      <c r="H41" s="199">
        <v>4</v>
      </c>
      <c r="I41" s="142">
        <v>4</v>
      </c>
      <c r="J41" s="199">
        <v>4</v>
      </c>
      <c r="K41" s="142">
        <v>4</v>
      </c>
      <c r="L41" s="199">
        <v>1</v>
      </c>
    </row>
    <row r="42" spans="1:12" s="2" customFormat="1" ht="15" customHeight="1">
      <c r="A42" s="12">
        <v>2</v>
      </c>
      <c r="B42" s="10" t="str">
        <f>LIDER!F52</f>
        <v>OSCAR ANDRES MONTILLA MUELAS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3.6999999999999997</v>
      </c>
      <c r="F42" s="203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CAMILO ANDRES ZUÑIGA LOPEZ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3.6999999999999997</v>
      </c>
      <c r="F43" s="203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ANGY CAROLINA ZUÑIGA VASQUEZ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3.6999999999999997</v>
      </c>
      <c r="F44" s="203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113</v>
      </c>
      <c r="C47" s="88" t="s">
        <v>114</v>
      </c>
      <c r="D47" s="32" t="str">
        <f>D40</f>
        <v>LIST</v>
      </c>
      <c r="E47" s="89" t="s">
        <v>102</v>
      </c>
      <c r="F47" s="146" t="str">
        <f>LIDER!$E$35</f>
        <v>GRUPO#7 NATIVA GOURMET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RANYELYS MARIAN AYOLA PEREZ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4.6500000000000004</v>
      </c>
      <c r="F48" s="203">
        <v>4</v>
      </c>
      <c r="G48" s="142">
        <v>4.5</v>
      </c>
      <c r="H48" s="199">
        <v>5</v>
      </c>
      <c r="I48" s="142">
        <v>5</v>
      </c>
      <c r="J48" s="199">
        <v>4.5</v>
      </c>
      <c r="K48" s="142">
        <v>5</v>
      </c>
      <c r="L48" s="199">
        <v>5</v>
      </c>
    </row>
    <row r="49" spans="1:12" s="2" customFormat="1" ht="15" customHeight="1">
      <c r="A49" s="12">
        <v>2</v>
      </c>
      <c r="B49" s="10" t="str">
        <f>LIDER!G52</f>
        <v>NATALIA NARANJO MORRÓN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4.6500000000000004</v>
      </c>
      <c r="F49" s="203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 t="str">
        <f>LIDER!G53</f>
        <v>YENDER JOSE PUELLO TORRES</v>
      </c>
      <c r="C50" s="90" t="str">
        <f t="shared" si="6"/>
        <v>G07</v>
      </c>
      <c r="D50" s="96" t="s">
        <v>120</v>
      </c>
      <c r="E50" s="11"/>
      <c r="F50" s="203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 t="str">
        <f>LIDER!G54</f>
        <v>JHONATAN WATTS PINTO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4.6500000000000004</v>
      </c>
      <c r="F51" s="203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 t="str">
        <f>LIDER!G55</f>
        <v>Edgar Mauricio Zurique Gonzalez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4.6500000000000004</v>
      </c>
      <c r="F52" s="203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86</v>
      </c>
      <c r="C54" s="88" t="s">
        <v>115</v>
      </c>
      <c r="D54" s="32" t="str">
        <f>D47</f>
        <v>LIST</v>
      </c>
      <c r="E54" s="89" t="s">
        <v>102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88</v>
      </c>
      <c r="C61" s="88" t="s">
        <v>116</v>
      </c>
      <c r="D61" s="32" t="str">
        <f>D54</f>
        <v>LIST</v>
      </c>
      <c r="E61" s="89" t="s">
        <v>102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90</v>
      </c>
      <c r="C68" s="88" t="s">
        <v>117</v>
      </c>
      <c r="D68" s="32" t="str">
        <f>D61</f>
        <v>LIST</v>
      </c>
      <c r="E68" s="89" t="s">
        <v>102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92</v>
      </c>
      <c r="C75" s="88" t="s">
        <v>118</v>
      </c>
      <c r="D75" s="32" t="str">
        <f>D68</f>
        <v>LIST</v>
      </c>
      <c r="E75" s="89" t="s">
        <v>102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94</v>
      </c>
      <c r="C82" s="88" t="s">
        <v>119</v>
      </c>
      <c r="D82" s="32" t="str">
        <f>D75</f>
        <v>LIST</v>
      </c>
      <c r="E82" s="89" t="s">
        <v>102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153"/>
      <c r="H88" s="200"/>
      <c r="I88" s="153"/>
      <c r="J88" s="200"/>
      <c r="K88" s="153"/>
      <c r="L88" s="200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N48" sqref="N48"/>
      <selection pane="bottomLeft" activeCell="N48" sqref="N48"/>
      <selection pane="topRight" activeCell="N48" sqref="N4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>
        <f>LIDER!I4</f>
        <v>0</v>
      </c>
      <c r="C2" s="82"/>
      <c r="D2" s="3"/>
      <c r="F2" s="207" t="s">
        <v>97</v>
      </c>
      <c r="G2" s="208"/>
      <c r="H2" s="208"/>
      <c r="I2" s="208"/>
      <c r="J2" s="208"/>
      <c r="K2" s="208"/>
      <c r="L2" s="209"/>
    </row>
    <row r="3" spans="1:12" s="2" customFormat="1" ht="145.5" customHeight="1">
      <c r="B3" s="83" t="s">
        <v>98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10" t="str">
        <f>CONCATENATE(LIDER!I4," - ",LIDER!I6," - ",LIDER!I5)</f>
        <v xml:space="preserve"> -  - </v>
      </c>
      <c r="G4" s="210"/>
      <c r="H4" s="210"/>
      <c r="I4" s="210"/>
      <c r="J4" s="210"/>
      <c r="K4" s="210"/>
      <c r="L4" s="210"/>
    </row>
    <row r="5" spans="1:12" s="2" customFormat="1" ht="15.75" customHeight="1" thickBot="1">
      <c r="A5" s="8"/>
      <c r="B5" s="25" t="s">
        <v>99</v>
      </c>
      <c r="C5" s="88" t="s">
        <v>100</v>
      </c>
      <c r="D5" s="32" t="s">
        <v>101</v>
      </c>
      <c r="E5" s="89" t="s">
        <v>102</v>
      </c>
      <c r="F5" s="146" t="str">
        <f>LIDER!$E$29</f>
        <v>GRUPO#1  FERTILIZANTES ORGANICOS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ALVARO JOSE BERROCAL NARVAEZ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3"/>
      <c r="G6" s="142"/>
      <c r="H6" s="199"/>
      <c r="I6" s="142"/>
      <c r="J6" s="199"/>
      <c r="K6" s="142"/>
      <c r="L6" s="199"/>
    </row>
    <row r="7" spans="1:12" s="2" customFormat="1" ht="15" customHeight="1">
      <c r="A7" s="12">
        <v>2</v>
      </c>
      <c r="B7" s="10" t="str">
        <f>LIDER!E44</f>
        <v>SAMUEL HERNANDEZ VELEZ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3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YHON DEIVIS MARTINEZ CONTRERAS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3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VALERIA NARVAEZ FUENTES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3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MICHELL ANDREA RODRIGUEZ HERRERA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3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>EMMANUEL DE JESUS ROJAS TORRES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3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103</v>
      </c>
      <c r="C12" s="88" t="s">
        <v>104</v>
      </c>
      <c r="D12" s="32" t="str">
        <f>D5</f>
        <v>LIST</v>
      </c>
      <c r="E12" s="89" t="s">
        <v>102</v>
      </c>
      <c r="F12" s="146" t="str">
        <f>LIDER!$E$30</f>
        <v>GRUPO#2 ROPA SAFI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JARY DANIELA CALLE DONADO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3"/>
      <c r="G13" s="142"/>
      <c r="H13" s="199"/>
      <c r="I13" s="142"/>
      <c r="J13" s="199"/>
      <c r="K13" s="142"/>
      <c r="L13" s="199"/>
    </row>
    <row r="14" spans="1:12" s="2" customFormat="1" ht="15" customHeight="1">
      <c r="A14" s="12">
        <v>2</v>
      </c>
      <c r="B14" s="10" t="str">
        <f>LIDER!F44</f>
        <v>SAID JOSE CASTILLO MORALES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3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DANNA VALENTINA CORTES MENDOZA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3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SEBASTIAN GÖMEZ CASTILLO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3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MARIA PAULA SIMARRA PAEZ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3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105</v>
      </c>
      <c r="C19" s="88" t="s">
        <v>106</v>
      </c>
      <c r="D19" s="32" t="str">
        <f>D12</f>
        <v>LIST</v>
      </c>
      <c r="E19" s="89" t="s">
        <v>102</v>
      </c>
      <c r="F19" s="146" t="str">
        <f>LIDER!$E$31</f>
        <v>GRUPO#3 GORRAS-MERKATEX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JUAN CAMILO CARREAZO BOLAÑOS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3"/>
      <c r="G20" s="142"/>
      <c r="H20" s="199"/>
      <c r="I20" s="142"/>
      <c r="J20" s="199"/>
      <c r="K20" s="142"/>
      <c r="L20" s="199"/>
    </row>
    <row r="21" spans="1:12" s="2" customFormat="1" ht="15" customHeight="1">
      <c r="A21" s="12">
        <v>2</v>
      </c>
      <c r="B21" s="10" t="str">
        <f>LIDER!G44</f>
        <v>FELIPE HERNANDEZ CORREA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3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VICKY SADAY LAGUNA SUÁREZ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3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JHON DEIVER MAZA VALVERDE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3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JHON JAIRO OROZCO BALLESTAS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3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107</v>
      </c>
      <c r="C26" s="88" t="s">
        <v>108</v>
      </c>
      <c r="D26" s="32" t="str">
        <f>D19</f>
        <v>LIST</v>
      </c>
      <c r="E26" s="89" t="s">
        <v>102</v>
      </c>
      <c r="F26" s="146" t="str">
        <f>LIDER!$E$32</f>
        <v>GRUPO#4 CRUNCH DE FRUTAS DESHIDRATADAS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MARIANA ALEJANDRA ARENAS BUSTILLO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3"/>
      <c r="G27" s="142"/>
      <c r="H27" s="199"/>
      <c r="I27" s="142"/>
      <c r="J27" s="199"/>
      <c r="K27" s="142"/>
      <c r="L27" s="199"/>
    </row>
    <row r="28" spans="1:12" s="2" customFormat="1" ht="15" customHeight="1">
      <c r="A28" s="12">
        <v>2</v>
      </c>
      <c r="B28" s="10" t="str">
        <f>LIDER!H44</f>
        <v>DANIELA FIGUEROA CASTELLAR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3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WENDY PAOLA LARA CORTINA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3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MAYRA ALEJANDRA NAVARRO LOPEZ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3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DANIEL DE JESUS VILLADIEGO VELASQUEZ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3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109</v>
      </c>
      <c r="C33" s="88" t="s">
        <v>110</v>
      </c>
      <c r="D33" s="32" t="str">
        <f>D26</f>
        <v>LIST</v>
      </c>
      <c r="E33" s="89" t="s">
        <v>102</v>
      </c>
      <c r="F33" s="146" t="str">
        <f>LIDER!$E$33</f>
        <v>GRUPO#5 Crema Capilar NATURAL CROWN S.A.S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Oscar Herrera Himbret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3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 t="str">
        <f>LIDER!E52</f>
        <v>NEIBILIS ROSA OBESO BORNACHERA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3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AMÉRICA ROJAS BARROS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3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IVAN CAMILO RODRIGUEZ THERAN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3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3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111</v>
      </c>
      <c r="C40" s="88" t="s">
        <v>112</v>
      </c>
      <c r="D40" s="32" t="str">
        <f>D33</f>
        <v>LIST</v>
      </c>
      <c r="E40" s="89" t="s">
        <v>102</v>
      </c>
      <c r="F40" s="146" t="str">
        <f>LIDER!$E$34</f>
        <v>GRUPO#6 VELAS FRAGAN'S CO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 t="str">
        <f>LIDER!F51</f>
        <v>BREYNER DUBAN MEDRANO MARTINEZ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3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 t="str">
        <f>LIDER!F52</f>
        <v>OSCAR ANDRES MONTILLA MUELAS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3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CAMILO ANDRES ZUÑIGA LOPEZ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3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ANGY CAROLINA ZUÑIGA VASQUEZ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113</v>
      </c>
      <c r="C47" s="88" t="s">
        <v>114</v>
      </c>
      <c r="D47" s="32" t="str">
        <f>D40</f>
        <v>LIST</v>
      </c>
      <c r="E47" s="89" t="s">
        <v>102</v>
      </c>
      <c r="F47" s="146" t="str">
        <f>LIDER!$E$35</f>
        <v>GRUPO#7 NATIVA GOURMET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RANYELYS MARIAN AYOLA PEREZ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3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 t="str">
        <f>LIDER!G52</f>
        <v>NATALIA NARANJO MORRÓN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3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 t="str">
        <f>LIDER!G53</f>
        <v>YENDER JOSE PUELLO TORRES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3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 t="str">
        <f>LIDER!G54</f>
        <v>JHONATAN WATTS PINTO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 t="str">
        <f>LIDER!G55</f>
        <v>Edgar Mauricio Zurique Gonzalez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86</v>
      </c>
      <c r="C54" s="88" t="s">
        <v>115</v>
      </c>
      <c r="D54" s="32" t="str">
        <f>D47</f>
        <v>LIST</v>
      </c>
      <c r="E54" s="89" t="s">
        <v>102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88</v>
      </c>
      <c r="C61" s="88" t="s">
        <v>116</v>
      </c>
      <c r="D61" s="32" t="str">
        <f>D54</f>
        <v>LIST</v>
      </c>
      <c r="E61" s="89" t="s">
        <v>102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90</v>
      </c>
      <c r="C68" s="88" t="s">
        <v>117</v>
      </c>
      <c r="D68" s="32" t="str">
        <f>D61</f>
        <v>LIST</v>
      </c>
      <c r="E68" s="89" t="s">
        <v>102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92</v>
      </c>
      <c r="C75" s="88" t="s">
        <v>118</v>
      </c>
      <c r="D75" s="32" t="str">
        <f>D68</f>
        <v>LIST</v>
      </c>
      <c r="E75" s="89" t="s">
        <v>102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94</v>
      </c>
      <c r="C82" s="88" t="s">
        <v>119</v>
      </c>
      <c r="D82" s="32" t="str">
        <f>D75</f>
        <v>LIST</v>
      </c>
      <c r="E82" s="89" t="s">
        <v>102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153"/>
      <c r="H88" s="200"/>
      <c r="I88" s="153"/>
      <c r="J88" s="200"/>
      <c r="K88" s="153"/>
      <c r="L88" s="200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4" activePane="bottomRight" state="frozen"/>
      <selection pane="bottomRight" sqref="A1:G1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LIDER!C4</f>
        <v>INNOVACION Y EMPRENDIMIENTO</v>
      </c>
      <c r="C2" s="3"/>
      <c r="E2" s="147" t="s">
        <v>97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98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CONCATENATE(LIDER!C4," - ",LIDER!C6," - ",LIDER!C5)</f>
        <v>INNOVACION Y EMPRENDIMIENTO - 2444 - JOHAN RAFAEL HURTADO CASTRO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99</v>
      </c>
      <c r="C5" s="32" t="str">
        <f>IF('S-ASIG-01'!D5="","",'S-ASIG-01'!D5)</f>
        <v>LIST</v>
      </c>
      <c r="D5" s="35" t="s">
        <v>102</v>
      </c>
      <c r="E5" s="212" t="str">
        <f>LIDER!$E$29</f>
        <v>GRUPO#1  FERTILIZANTES ORGANICOS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ALVARO JOSE BERROCAL NARVAEZ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4.9000000000000004</v>
      </c>
      <c r="E6" s="211">
        <v>4.8</v>
      </c>
      <c r="F6" s="24">
        <v>5</v>
      </c>
      <c r="G6" s="24">
        <v>5</v>
      </c>
      <c r="H6" s="24">
        <v>5</v>
      </c>
      <c r="I6" s="24">
        <v>5</v>
      </c>
      <c r="J6" s="24">
        <v>5</v>
      </c>
      <c r="K6" s="24"/>
    </row>
    <row r="7" spans="1:11" s="2" customFormat="1" ht="15" customHeight="1">
      <c r="A7" s="12">
        <v>2</v>
      </c>
      <c r="B7" s="28" t="str">
        <f>LIDER!E44</f>
        <v>SAMUEL HERNANDEZ VELEZ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4.9000000000000004</v>
      </c>
      <c r="E7" s="211"/>
      <c r="F7" s="18">
        <v>5</v>
      </c>
      <c r="G7" s="18">
        <v>5</v>
      </c>
      <c r="H7" s="18">
        <v>5</v>
      </c>
      <c r="I7" s="18">
        <v>5</v>
      </c>
      <c r="J7" s="18">
        <v>5</v>
      </c>
      <c r="K7" s="18"/>
    </row>
    <row r="8" spans="1:11" s="2" customFormat="1" ht="15" customHeight="1">
      <c r="A8" s="12">
        <v>3</v>
      </c>
      <c r="B8" s="28" t="str">
        <f>LIDER!E45</f>
        <v>YHON DEIVIS MARTINEZ CONTRERAS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4.9000000000000004</v>
      </c>
      <c r="E8" s="211"/>
      <c r="F8" s="18">
        <v>5</v>
      </c>
      <c r="G8" s="18">
        <v>5</v>
      </c>
      <c r="H8" s="18">
        <v>5</v>
      </c>
      <c r="I8" s="18">
        <v>5</v>
      </c>
      <c r="J8" s="18">
        <v>5</v>
      </c>
      <c r="K8" s="18"/>
    </row>
    <row r="9" spans="1:11" s="2" customFormat="1" ht="15" customHeight="1">
      <c r="A9" s="12">
        <v>4</v>
      </c>
      <c r="B9" s="28" t="str">
        <f>LIDER!E46</f>
        <v>VALERIA NARVAEZ FUENTES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4.9000000000000004</v>
      </c>
      <c r="E9" s="211"/>
      <c r="F9" s="18">
        <v>5</v>
      </c>
      <c r="G9" s="18">
        <v>5</v>
      </c>
      <c r="H9" s="18">
        <v>5</v>
      </c>
      <c r="I9" s="18">
        <v>5</v>
      </c>
      <c r="J9" s="18">
        <v>5</v>
      </c>
      <c r="K9" s="18"/>
    </row>
    <row r="10" spans="1:11" s="2" customFormat="1" ht="15" customHeight="1">
      <c r="A10" s="12">
        <v>5</v>
      </c>
      <c r="B10" s="28" t="str">
        <f>LIDER!E47</f>
        <v>MICHELL ANDREA RODRIGUEZ HERRERA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4.9000000000000004</v>
      </c>
      <c r="E10" s="211"/>
      <c r="F10" s="18">
        <v>5</v>
      </c>
      <c r="G10" s="18">
        <v>5</v>
      </c>
      <c r="H10" s="18">
        <v>5</v>
      </c>
      <c r="I10" s="18">
        <v>5</v>
      </c>
      <c r="J10" s="18">
        <v>5</v>
      </c>
      <c r="K10" s="18"/>
    </row>
    <row r="11" spans="1:11" s="2" customFormat="1" ht="15.75" customHeight="1" thickBot="1">
      <c r="A11" s="13">
        <v>6</v>
      </c>
      <c r="B11" s="28" t="str">
        <f>LIDER!E48</f>
        <v>EMMANUEL DE JESUS ROJAS TORRES</v>
      </c>
      <c r="C11" s="33" t="str">
        <f>IF('S-ASIG-01'!D11="","",'S-ASIG-01'!D11)</f>
        <v/>
      </c>
      <c r="D11" s="30">
        <f>IF(B11=0,"",IF(C11="",$E$6*LIDER!$H$19+F11*LIDER!$H$20+G11*LIDER!$H$21+H11*LIDER!$H$22+I11*LIDER!$H$23+J11*LIDER!$H$24+K11*LIDER!$H$25,"N"))</f>
        <v>4.9000000000000004</v>
      </c>
      <c r="E11" s="211"/>
      <c r="F11" s="26">
        <v>5</v>
      </c>
      <c r="G11" s="26">
        <v>5</v>
      </c>
      <c r="H11" s="26">
        <v>5</v>
      </c>
      <c r="I11" s="26">
        <v>5</v>
      </c>
      <c r="J11" s="26">
        <v>5</v>
      </c>
      <c r="K11" s="26"/>
    </row>
    <row r="12" spans="1:11" s="2" customFormat="1" ht="15.75" customHeight="1" thickBot="1">
      <c r="A12" s="8"/>
      <c r="B12" s="27" t="s">
        <v>103</v>
      </c>
      <c r="C12" s="32" t="str">
        <f>IF('S-ASIG-01'!D12="","",'S-ASIG-01'!D12)</f>
        <v>LIST</v>
      </c>
      <c r="D12" s="35" t="s">
        <v>102</v>
      </c>
      <c r="E12" s="212" t="str">
        <f>LIDER!$E$30</f>
        <v>GRUPO#2 ROPA SAFI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JARY DANIELA CALLE DONADO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4.9000000000000004</v>
      </c>
      <c r="E13" s="211">
        <v>4.8</v>
      </c>
      <c r="F13" s="24">
        <v>5</v>
      </c>
      <c r="G13" s="24">
        <v>5</v>
      </c>
      <c r="H13" s="24">
        <v>5</v>
      </c>
      <c r="I13" s="24">
        <v>5</v>
      </c>
      <c r="J13" s="24">
        <v>5</v>
      </c>
      <c r="K13" s="24"/>
    </row>
    <row r="14" spans="1:11" s="2" customFormat="1" ht="15" customHeight="1">
      <c r="A14" s="12">
        <v>2</v>
      </c>
      <c r="B14" s="28" t="str">
        <f>LIDER!F44</f>
        <v>SAID JOSE CASTILLO MORALES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4.9000000000000004</v>
      </c>
      <c r="E14" s="211"/>
      <c r="F14" s="18">
        <v>5</v>
      </c>
      <c r="G14" s="18">
        <v>5</v>
      </c>
      <c r="H14" s="18">
        <v>5</v>
      </c>
      <c r="I14" s="18">
        <v>5</v>
      </c>
      <c r="J14" s="18">
        <v>5</v>
      </c>
      <c r="K14" s="18"/>
    </row>
    <row r="15" spans="1:11" s="2" customFormat="1" ht="15" customHeight="1">
      <c r="A15" s="12">
        <v>3</v>
      </c>
      <c r="B15" s="28" t="str">
        <f>LIDER!F45</f>
        <v>DANNA VALENTINA CORTES MENDOZA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4.9000000000000004</v>
      </c>
      <c r="E15" s="211"/>
      <c r="F15" s="18">
        <v>5</v>
      </c>
      <c r="G15" s="18">
        <v>5</v>
      </c>
      <c r="H15" s="18">
        <v>5</v>
      </c>
      <c r="I15" s="18">
        <v>5</v>
      </c>
      <c r="J15" s="18">
        <v>5</v>
      </c>
      <c r="K15" s="18"/>
    </row>
    <row r="16" spans="1:11" s="2" customFormat="1" ht="15" customHeight="1">
      <c r="A16" s="12">
        <v>4</v>
      </c>
      <c r="B16" s="28" t="str">
        <f>LIDER!F46</f>
        <v>SEBASTIAN GÖMEZ CASTILLO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4.9000000000000004</v>
      </c>
      <c r="E16" s="211"/>
      <c r="F16" s="18">
        <v>5</v>
      </c>
      <c r="G16" s="18">
        <v>5</v>
      </c>
      <c r="H16" s="18">
        <v>5</v>
      </c>
      <c r="I16" s="18">
        <v>5</v>
      </c>
      <c r="J16" s="18">
        <v>5</v>
      </c>
      <c r="K16" s="18"/>
    </row>
    <row r="17" spans="1:11" s="2" customFormat="1" ht="15" customHeight="1">
      <c r="A17" s="12">
        <v>5</v>
      </c>
      <c r="B17" s="28" t="str">
        <f>LIDER!F47</f>
        <v>MARIA PAULA SIMARRA PAEZ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4.9000000000000004</v>
      </c>
      <c r="E17" s="211"/>
      <c r="F17" s="18">
        <v>5</v>
      </c>
      <c r="G17" s="18">
        <v>5</v>
      </c>
      <c r="H17" s="18">
        <v>5</v>
      </c>
      <c r="I17" s="18">
        <v>5</v>
      </c>
      <c r="J17" s="18">
        <v>5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1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105</v>
      </c>
      <c r="C19" s="32" t="str">
        <f>IF('S-ASIG-01'!D19="","",'S-ASIG-01'!D19)</f>
        <v>LIST</v>
      </c>
      <c r="D19" s="35" t="s">
        <v>102</v>
      </c>
      <c r="E19" s="212" t="str">
        <f>LIDER!$E$31</f>
        <v>GRUPO#3 GORRAS-MERKATEX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JUAN CAMILO CARREAZO BOLAÑOS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4.75</v>
      </c>
      <c r="E20" s="211">
        <v>4.5</v>
      </c>
      <c r="F20" s="24">
        <v>5</v>
      </c>
      <c r="G20" s="24">
        <v>5</v>
      </c>
      <c r="H20" s="24">
        <v>5</v>
      </c>
      <c r="I20" s="24">
        <v>5</v>
      </c>
      <c r="J20" s="24">
        <v>5</v>
      </c>
      <c r="K20" s="24"/>
    </row>
    <row r="21" spans="1:11" s="2" customFormat="1" ht="15" customHeight="1">
      <c r="A21" s="12">
        <v>2</v>
      </c>
      <c r="B21" s="28" t="str">
        <f>LIDER!G44</f>
        <v>FELIPE HERNANDEZ CORREA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4.75</v>
      </c>
      <c r="E21" s="211"/>
      <c r="F21" s="18">
        <v>5</v>
      </c>
      <c r="G21" s="18">
        <v>5</v>
      </c>
      <c r="H21" s="18">
        <v>5</v>
      </c>
      <c r="I21" s="18">
        <v>5</v>
      </c>
      <c r="J21" s="18">
        <v>5</v>
      </c>
      <c r="K21" s="18"/>
    </row>
    <row r="22" spans="1:11" s="2" customFormat="1" ht="15" customHeight="1">
      <c r="A22" s="12">
        <v>3</v>
      </c>
      <c r="B22" s="28" t="str">
        <f>LIDER!G45</f>
        <v>VICKY SADAY LAGUNA SUÁREZ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4.75</v>
      </c>
      <c r="E22" s="211"/>
      <c r="F22" s="18">
        <v>5</v>
      </c>
      <c r="G22" s="18">
        <v>5</v>
      </c>
      <c r="H22" s="18">
        <v>5</v>
      </c>
      <c r="I22" s="18">
        <v>5</v>
      </c>
      <c r="J22" s="18">
        <v>5</v>
      </c>
      <c r="K22" s="18"/>
    </row>
    <row r="23" spans="1:11" s="2" customFormat="1" ht="15" customHeight="1">
      <c r="A23" s="12">
        <v>4</v>
      </c>
      <c r="B23" s="28" t="str">
        <f>LIDER!G46</f>
        <v>JHON DEIVER MAZA VALVERDE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4.75</v>
      </c>
      <c r="E23" s="211"/>
      <c r="F23" s="18">
        <v>5</v>
      </c>
      <c r="G23" s="18">
        <v>5</v>
      </c>
      <c r="H23" s="18">
        <v>5</v>
      </c>
      <c r="I23" s="18">
        <v>5</v>
      </c>
      <c r="J23" s="18">
        <v>5</v>
      </c>
      <c r="K23" s="18"/>
    </row>
    <row r="24" spans="1:11" s="2" customFormat="1" ht="15" customHeight="1">
      <c r="A24" s="12">
        <v>5</v>
      </c>
      <c r="B24" s="28" t="str">
        <f>LIDER!G47</f>
        <v>JHON JAIRO OROZCO BALLESTAS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4.75</v>
      </c>
      <c r="E24" s="211"/>
      <c r="F24" s="18">
        <v>5</v>
      </c>
      <c r="G24" s="18">
        <v>5</v>
      </c>
      <c r="H24" s="18">
        <v>5</v>
      </c>
      <c r="I24" s="18">
        <v>5</v>
      </c>
      <c r="J24" s="18">
        <v>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1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107</v>
      </c>
      <c r="C26" s="32" t="str">
        <f>IF('S-ASIG-01'!D26="","",'S-ASIG-01'!D26)</f>
        <v>LIST</v>
      </c>
      <c r="D26" s="35" t="s">
        <v>102</v>
      </c>
      <c r="E26" s="212" t="str">
        <f>LIDER!$E$32</f>
        <v>GRUPO#4 CRUNCH DE FRUTAS DESHIDRATADAS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MARIANA ALEJANDRA ARENAS BUSTILLO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4.75</v>
      </c>
      <c r="E27" s="211">
        <v>4.5</v>
      </c>
      <c r="F27" s="24">
        <v>5</v>
      </c>
      <c r="G27" s="24">
        <v>5</v>
      </c>
      <c r="H27" s="24">
        <v>5</v>
      </c>
      <c r="I27" s="24">
        <v>5</v>
      </c>
      <c r="J27" s="24">
        <v>5</v>
      </c>
      <c r="K27" s="24"/>
    </row>
    <row r="28" spans="1:11" s="2" customFormat="1" ht="15" customHeight="1">
      <c r="A28" s="12">
        <v>2</v>
      </c>
      <c r="B28" s="28" t="str">
        <f>LIDER!H44</f>
        <v>DANIELA FIGUEROA CASTELLAR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4.75</v>
      </c>
      <c r="E28" s="211"/>
      <c r="F28" s="18">
        <v>5</v>
      </c>
      <c r="G28" s="18">
        <v>5</v>
      </c>
      <c r="H28" s="18">
        <v>5</v>
      </c>
      <c r="I28" s="18">
        <v>5</v>
      </c>
      <c r="J28" s="18">
        <v>5</v>
      </c>
      <c r="K28" s="18"/>
    </row>
    <row r="29" spans="1:11" s="2" customFormat="1" ht="15" customHeight="1">
      <c r="A29" s="12">
        <v>3</v>
      </c>
      <c r="B29" s="28" t="str">
        <f>LIDER!H45</f>
        <v>WENDY PAOLA LARA CORTINA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4.75</v>
      </c>
      <c r="E29" s="211"/>
      <c r="F29" s="18">
        <v>5</v>
      </c>
      <c r="G29" s="18">
        <v>5</v>
      </c>
      <c r="H29" s="18">
        <v>5</v>
      </c>
      <c r="I29" s="18">
        <v>5</v>
      </c>
      <c r="J29" s="18">
        <v>5</v>
      </c>
      <c r="K29" s="18"/>
    </row>
    <row r="30" spans="1:11" s="2" customFormat="1" ht="15" customHeight="1">
      <c r="A30" s="12">
        <v>4</v>
      </c>
      <c r="B30" s="28" t="str">
        <f>LIDER!H46</f>
        <v>MAYRA ALEJANDRA NAVARRO LOPEZ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4.75</v>
      </c>
      <c r="E30" s="211"/>
      <c r="F30" s="18">
        <v>5</v>
      </c>
      <c r="G30" s="18">
        <v>5</v>
      </c>
      <c r="H30" s="18">
        <v>5</v>
      </c>
      <c r="I30" s="18">
        <v>5</v>
      </c>
      <c r="J30" s="18">
        <v>5</v>
      </c>
      <c r="K30" s="18"/>
    </row>
    <row r="31" spans="1:11" s="2" customFormat="1" ht="15" customHeight="1">
      <c r="A31" s="12">
        <v>5</v>
      </c>
      <c r="B31" s="28" t="str">
        <f>LIDER!H47</f>
        <v>DANIEL DE JESUS VILLADIEGO VELASQUEZ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4.75</v>
      </c>
      <c r="E31" s="211"/>
      <c r="F31" s="18">
        <v>5</v>
      </c>
      <c r="G31" s="18">
        <v>5</v>
      </c>
      <c r="H31" s="18">
        <v>5</v>
      </c>
      <c r="I31" s="18">
        <v>5</v>
      </c>
      <c r="J31" s="18">
        <v>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1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109</v>
      </c>
      <c r="C33" s="32" t="str">
        <f>IF('S-ASIG-01'!D33="","",'S-ASIG-01'!D33)</f>
        <v>LIST</v>
      </c>
      <c r="D33" s="35" t="s">
        <v>102</v>
      </c>
      <c r="E33" s="212" t="str">
        <f>LIDER!$E$33</f>
        <v>GRUPO#5 Crema Capilar NATURAL CROWN S.A.S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Oscar Herrera Himbret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4.7</v>
      </c>
      <c r="E34" s="211">
        <v>4.4000000000000004</v>
      </c>
      <c r="F34" s="24">
        <v>5</v>
      </c>
      <c r="G34" s="24">
        <v>5</v>
      </c>
      <c r="H34" s="24">
        <v>5</v>
      </c>
      <c r="I34" s="24">
        <v>5</v>
      </c>
      <c r="J34" s="24">
        <v>5</v>
      </c>
      <c r="K34" s="24"/>
    </row>
    <row r="35" spans="1:11" s="2" customFormat="1" ht="15" customHeight="1">
      <c r="A35" s="12">
        <v>2</v>
      </c>
      <c r="B35" s="28" t="str">
        <f>LIDER!E52</f>
        <v>NEIBILIS ROSA OBESO BORNACHERA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4.7</v>
      </c>
      <c r="E35" s="211"/>
      <c r="F35" s="18">
        <v>5</v>
      </c>
      <c r="G35" s="18">
        <v>5</v>
      </c>
      <c r="H35" s="18">
        <v>5</v>
      </c>
      <c r="I35" s="18">
        <v>5</v>
      </c>
      <c r="J35" s="18">
        <v>5</v>
      </c>
      <c r="K35" s="18"/>
    </row>
    <row r="36" spans="1:11" s="2" customFormat="1" ht="15" customHeight="1">
      <c r="A36" s="12">
        <v>3</v>
      </c>
      <c r="B36" s="28" t="str">
        <f>LIDER!E53</f>
        <v>AMÉRICA ROJAS BARROS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4.7</v>
      </c>
      <c r="E36" s="211"/>
      <c r="F36" s="18">
        <v>5</v>
      </c>
      <c r="G36" s="18">
        <v>5</v>
      </c>
      <c r="H36" s="18">
        <v>5</v>
      </c>
      <c r="I36" s="18">
        <v>5</v>
      </c>
      <c r="J36" s="18">
        <v>5</v>
      </c>
      <c r="K36" s="18"/>
    </row>
    <row r="37" spans="1:11" s="2" customFormat="1" ht="15" customHeight="1">
      <c r="A37" s="12">
        <v>4</v>
      </c>
      <c r="B37" s="28" t="str">
        <f>LIDER!E54</f>
        <v>IVAN CAMILO RODRIGUEZ THERAN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4.7</v>
      </c>
      <c r="E37" s="211"/>
      <c r="F37" s="18">
        <v>5</v>
      </c>
      <c r="G37" s="18">
        <v>5</v>
      </c>
      <c r="H37" s="18">
        <v>5</v>
      </c>
      <c r="I37" s="18">
        <v>5</v>
      </c>
      <c r="J37" s="18">
        <v>5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1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1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111</v>
      </c>
      <c r="C40" s="32" t="str">
        <f>IF('S-ASIG-01'!D40="","",'S-ASIG-01'!D40)</f>
        <v>LIST</v>
      </c>
      <c r="D40" s="35" t="s">
        <v>102</v>
      </c>
      <c r="E40" s="212" t="str">
        <f>LIDER!$E$34</f>
        <v>GRUPO#6 VELAS FRAGAN'S CO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 t="str">
        <f>LIDER!F51</f>
        <v>BREYNER DUBAN MEDRANO MARTINEZ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4.5</v>
      </c>
      <c r="E41" s="211">
        <v>4</v>
      </c>
      <c r="F41" s="24">
        <v>5</v>
      </c>
      <c r="G41" s="24">
        <v>5</v>
      </c>
      <c r="H41" s="24">
        <v>5</v>
      </c>
      <c r="I41" s="24">
        <v>5</v>
      </c>
      <c r="J41" s="24">
        <v>5</v>
      </c>
      <c r="K41" s="24"/>
    </row>
    <row r="42" spans="1:11" s="2" customFormat="1" ht="15" customHeight="1">
      <c r="A42" s="12">
        <v>2</v>
      </c>
      <c r="B42" s="28" t="str">
        <f>LIDER!F52</f>
        <v>OSCAR ANDRES MONTILLA MUELAS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4.5</v>
      </c>
      <c r="E42" s="211"/>
      <c r="F42" s="18">
        <v>5</v>
      </c>
      <c r="G42" s="18">
        <v>5</v>
      </c>
      <c r="H42" s="18">
        <v>5</v>
      </c>
      <c r="I42" s="18">
        <v>5</v>
      </c>
      <c r="J42" s="18">
        <v>5</v>
      </c>
      <c r="K42" s="18"/>
    </row>
    <row r="43" spans="1:11" s="2" customFormat="1" ht="15" customHeight="1">
      <c r="A43" s="12">
        <v>3</v>
      </c>
      <c r="B43" s="28" t="str">
        <f>LIDER!F53</f>
        <v>CAMILO ANDRES ZUÑIGA LOPEZ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4.5</v>
      </c>
      <c r="E43" s="211"/>
      <c r="F43" s="18">
        <v>5</v>
      </c>
      <c r="G43" s="18">
        <v>5</v>
      </c>
      <c r="H43" s="18">
        <v>5</v>
      </c>
      <c r="I43" s="18">
        <v>5</v>
      </c>
      <c r="J43" s="18">
        <v>5</v>
      </c>
      <c r="K43" s="18"/>
    </row>
    <row r="44" spans="1:11" s="2" customFormat="1" ht="15" customHeight="1">
      <c r="A44" s="12">
        <v>4</v>
      </c>
      <c r="B44" s="28" t="str">
        <f>LIDER!F54</f>
        <v>ANGY CAROLINA ZUÑIGA VASQUEZ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4.5</v>
      </c>
      <c r="E44" s="211"/>
      <c r="F44" s="18">
        <v>5</v>
      </c>
      <c r="G44" s="18">
        <v>5</v>
      </c>
      <c r="H44" s="18">
        <v>5</v>
      </c>
      <c r="I44" s="18">
        <v>5</v>
      </c>
      <c r="J44" s="18">
        <v>5</v>
      </c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1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1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113</v>
      </c>
      <c r="C47" s="32" t="str">
        <f>IF('S-ASIG-01'!D47="","",'S-ASIG-01'!D47)</f>
        <v>LIST</v>
      </c>
      <c r="D47" s="35" t="s">
        <v>102</v>
      </c>
      <c r="E47" s="212" t="str">
        <f>LIDER!$E$35</f>
        <v>GRUPO#7 NATIVA GOURMET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RANYELYS MARIAN AYOLA PEREZ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4.8499999999999996</v>
      </c>
      <c r="E48" s="211">
        <v>4.7</v>
      </c>
      <c r="F48" s="24">
        <v>5</v>
      </c>
      <c r="G48" s="24">
        <v>5</v>
      </c>
      <c r="H48" s="24">
        <v>5</v>
      </c>
      <c r="I48" s="24">
        <v>5</v>
      </c>
      <c r="J48" s="24">
        <v>5</v>
      </c>
      <c r="K48" s="24"/>
    </row>
    <row r="49" spans="1:11" s="2" customFormat="1" ht="15" customHeight="1">
      <c r="A49" s="12">
        <v>2</v>
      </c>
      <c r="B49" s="28" t="str">
        <f>LIDER!G52</f>
        <v>NATALIA NARANJO MORRÓN</v>
      </c>
      <c r="C49" s="33" t="str">
        <f>IF('S-ASIG-01'!D49="","",'S-ASIG-01'!D49)</f>
        <v/>
      </c>
      <c r="D49" s="30">
        <f>IF(B49=0,"",IF(C49="",$E$48*LIDER!$H$19+F49*LIDER!$H$20+G49*LIDER!$H$21+H49*LIDER!$H$22+I49*LIDER!$H$23+J49*LIDER!$H$24+K49*LIDER!$H$25,"N"))</f>
        <v>4.8499999999999996</v>
      </c>
      <c r="E49" s="211"/>
      <c r="F49" s="18">
        <v>5</v>
      </c>
      <c r="G49" s="18">
        <v>5</v>
      </c>
      <c r="H49" s="18">
        <v>5</v>
      </c>
      <c r="I49" s="18">
        <v>5</v>
      </c>
      <c r="J49" s="18">
        <v>5</v>
      </c>
      <c r="K49" s="18"/>
    </row>
    <row r="50" spans="1:11" s="2" customFormat="1" ht="15" customHeight="1">
      <c r="A50" s="12">
        <v>3</v>
      </c>
      <c r="B50" s="28" t="str">
        <f>LIDER!G53</f>
        <v>YENDER JOSE PUELLO TORRES</v>
      </c>
      <c r="C50" s="33" t="str">
        <f>IF('S-ASIG-01'!D50="","",'S-ASIG-01'!D50)</f>
        <v/>
      </c>
      <c r="D50" s="30">
        <f>IF(B50=0,"",IF(C50="",$E$48*LIDER!$H$19+F50*LIDER!$H$20+G50*LIDER!$H$21+H50*LIDER!$H$22+I50*LIDER!$H$23+J50*LIDER!$H$24+K50*LIDER!$H$25,"N"))</f>
        <v>4.8499999999999996</v>
      </c>
      <c r="E50" s="211"/>
      <c r="F50" s="18">
        <v>5</v>
      </c>
      <c r="G50" s="18">
        <v>5</v>
      </c>
      <c r="H50" s="18">
        <v>5</v>
      </c>
      <c r="I50" s="18">
        <v>5</v>
      </c>
      <c r="J50" s="18">
        <v>5</v>
      </c>
      <c r="K50" s="18"/>
    </row>
    <row r="51" spans="1:11" s="2" customFormat="1" ht="15" customHeight="1">
      <c r="A51" s="12">
        <v>4</v>
      </c>
      <c r="B51" s="28" t="str">
        <f>LIDER!G54</f>
        <v>JHONATAN WATTS PINTO</v>
      </c>
      <c r="C51" s="33" t="str">
        <f>IF('S-ASIG-01'!D51="","",'S-ASIG-01'!D51)</f>
        <v/>
      </c>
      <c r="D51" s="30">
        <f>IF(B51=0,"",IF(C51="",$E$48*LIDER!$H$19+F51*LIDER!$H$20+G51*LIDER!$H$21+H51*LIDER!$H$22+I51*LIDER!$H$23+J51*LIDER!$H$24+K51*LIDER!$H$25,"N"))</f>
        <v>4.8499999999999996</v>
      </c>
      <c r="E51" s="211"/>
      <c r="F51" s="18">
        <v>5</v>
      </c>
      <c r="G51" s="18">
        <v>5</v>
      </c>
      <c r="H51" s="18">
        <v>5</v>
      </c>
      <c r="I51" s="18">
        <v>5</v>
      </c>
      <c r="J51" s="18">
        <v>5</v>
      </c>
      <c r="K51" s="18"/>
    </row>
    <row r="52" spans="1:11" s="2" customFormat="1" ht="15" customHeight="1">
      <c r="A52" s="12">
        <v>5</v>
      </c>
      <c r="B52" s="28" t="str">
        <f>LIDER!G55</f>
        <v>Edgar Mauricio Zurique Gonzalez</v>
      </c>
      <c r="C52" s="33" t="str">
        <f>IF('S-ASIG-01'!D52="","",'S-ASIG-01'!D52)</f>
        <v/>
      </c>
      <c r="D52" s="30">
        <f>IF(B52=0,"",IF(C52="",$E$48*LIDER!$H$19+F52*LIDER!$H$20+G52*LIDER!$H$21+H52*LIDER!$H$22+I52*LIDER!$H$23+J52*LIDER!$H$24+K52*LIDER!$H$25,"N"))</f>
        <v>4.8499999999999996</v>
      </c>
      <c r="E52" s="211"/>
      <c r="F52" s="18">
        <v>5</v>
      </c>
      <c r="G52" s="18">
        <v>5</v>
      </c>
      <c r="H52" s="18">
        <v>5</v>
      </c>
      <c r="I52" s="18">
        <v>5</v>
      </c>
      <c r="J52" s="18">
        <v>5</v>
      </c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1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IF('S-ASIG-01'!D54="","",'S-ASIG-01'!D54)</f>
        <v>LIST</v>
      </c>
      <c r="D54" s="35" t="s">
        <v>102</v>
      </c>
      <c r="E54" s="212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1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1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1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1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1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1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IF('S-ASIG-01'!D61="","",'S-ASIG-01'!D61)</f>
        <v>LIST</v>
      </c>
      <c r="D61" s="35" t="s">
        <v>102</v>
      </c>
      <c r="E61" s="212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1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1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1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1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1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1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IF('S-ASIG-01'!D68="","",'S-ASIG-01'!D68)</f>
        <v>LIST</v>
      </c>
      <c r="D68" s="35" t="s">
        <v>102</v>
      </c>
      <c r="E68" s="212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1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1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1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1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1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1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IF('S-ASIG-01'!D75="","",'S-ASIG-01'!D75)</f>
        <v>LIST</v>
      </c>
      <c r="D75" s="35" t="s">
        <v>102</v>
      </c>
      <c r="E75" s="212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1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1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1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1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1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1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IF('S-ASIG-01'!D82="","",'S-ASIG-01'!D82)</f>
        <v>LIST</v>
      </c>
      <c r="D82" s="35" t="s">
        <v>102</v>
      </c>
      <c r="E82" s="212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1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1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1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1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1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3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6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LIDER!D4</f>
        <v>ELECTIVA LIBRE SOCIOHUMANÍ II</v>
      </c>
      <c r="C2" s="3"/>
      <c r="E2" s="147" t="s">
        <v>97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98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CONCATENATE(LIDER!D4," - ",LIDER!D6," - ",LIDER!D5)</f>
        <v>ELECTIVA LIBRE SOCIOHUMANÍ II - 2246 - VICTOR HUGO HURTADO OROZCO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99</v>
      </c>
      <c r="C5" s="34" t="str">
        <f>IF('S-ASIG-02'!D5="","",'S-ASIG-02'!D5)</f>
        <v>LIST</v>
      </c>
      <c r="D5" s="35" t="s">
        <v>102</v>
      </c>
      <c r="E5" s="146" t="str">
        <f>LIDER!$E$29</f>
        <v>GRUPO#1  FERTILIZANTES ORGANICOS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ALVARO JOSE BERROCAL NARVAEZ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4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SAMUEL HERNANDEZ VELEZ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4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YHON DEIVIS MARTINEZ CONTRERAS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4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VALERIA NARVAEZ FUENTES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4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MICHELL ANDREA RODRIGUEZ HERRERA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0</v>
      </c>
      <c r="E10" s="14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EMMANUEL DE JESUS ROJAS TORRES</v>
      </c>
      <c r="C11" s="33" t="str">
        <f>IF('S-ASIG-02'!D11="","",'S-ASIG-02'!D11)</f>
        <v/>
      </c>
      <c r="D11" s="30">
        <f>IF(B11=0,"",IF(C11="",$E$6*LIDER!$H$19+F11*LIDER!$H$20+G11*LIDER!$H$21+H11*LIDER!$H$22+I11*LIDER!$H$23+J11*LIDER!$H$24+K11*LIDER!$H$25,"N"))</f>
        <v>0</v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103</v>
      </c>
      <c r="C12" s="32" t="str">
        <f>IF('S-ASIG-02'!D12="","",'S-ASIG-02'!D12)</f>
        <v>LIST</v>
      </c>
      <c r="D12" s="35" t="s">
        <v>102</v>
      </c>
      <c r="E12" s="146" t="str">
        <f>LIDER!$E$30</f>
        <v>GRUPO#2 ROPA SAFI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JARY DANIELA CALLE DONADO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42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SAID JOSE CASTILLO MORALES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4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DANNA VALENTINA CORTES MENDOZA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4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SEBASTIAN GÖMEZ CASTILLO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4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MARIA PAULA SIMARRA PAEZ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4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105</v>
      </c>
      <c r="C19" s="32" t="str">
        <f>IF('S-ASIG-02'!D19="","",'S-ASIG-02'!D19)</f>
        <v>LIST</v>
      </c>
      <c r="D19" s="35" t="s">
        <v>102</v>
      </c>
      <c r="E19" s="146" t="str">
        <f>LIDER!$E$31</f>
        <v>GRUPO#3 GORRAS-MERKATEX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JUAN CAMILO CARREAZO BOLAÑOS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42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FELIPE HERNANDEZ CORREA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4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VICKY SADAY LAGUNA SUÁREZ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4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JHON DEIVER MAZA VALVERDE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4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JHON JAIRO OROZCO BALLESTAS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107</v>
      </c>
      <c r="C26" s="32" t="str">
        <f>IF('S-ASIG-02'!D26="","",'S-ASIG-02'!D26)</f>
        <v>LIST</v>
      </c>
      <c r="D26" s="35" t="s">
        <v>102</v>
      </c>
      <c r="E26" s="146" t="str">
        <f>LIDER!$E$32</f>
        <v>GRUPO#4 CRUNCH DE FRUTAS DESHIDRATADAS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MARIANA ALEJANDRA ARENAS BUSTILLO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4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DANIELA FIGUEROA CASTELLAR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4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WENDY PAOLA LARA CORTINA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4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MAYRA ALEJANDRA NAVARRO LOPEZ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DANIEL DE JESUS VILLADIEGO VELASQUEZ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109</v>
      </c>
      <c r="C33" s="32" t="str">
        <f>IF('S-ASIG-02'!D33="","",'S-ASIG-02'!D33)</f>
        <v>LIST</v>
      </c>
      <c r="D33" s="35" t="s">
        <v>102</v>
      </c>
      <c r="E33" s="146" t="str">
        <f>LIDER!$E$33</f>
        <v>GRUPO#5 Crema Capilar NATURAL CROWN S.A.S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Oscar Herrera Himbret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NEIBILIS ROSA OBESO BORNACHERA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AMÉRICA ROJAS BARROS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IVAN CAMILO RODRIGUEZ THERAN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111</v>
      </c>
      <c r="C40" s="32" t="str">
        <f>IF('S-ASIG-02'!D40="","",'S-ASIG-02'!D40)</f>
        <v>LIST</v>
      </c>
      <c r="D40" s="35" t="s">
        <v>102</v>
      </c>
      <c r="E40" s="146" t="str">
        <f>LIDER!$E$34</f>
        <v>GRUPO#6 VELAS FRAGAN'S CO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 t="str">
        <f>LIDER!F51</f>
        <v>BREYNER DUBAN MEDRANO MARTINEZ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OSCAR ANDRES MONTILLA MUELAS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0</v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CAMILO ANDRES ZUÑIGA LOPEZ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0</v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ANGY CAROLINA ZUÑIGA VASQUEZ</v>
      </c>
      <c r="C44" s="33" t="str">
        <f>IF('S-ASIG-02'!D44="","",'S-ASIG-02'!D44)</f>
        <v/>
      </c>
      <c r="D44" s="30">
        <f>IF(B44=0,"",IF(C44="",$E$41*LIDER!$H$19+F44*LIDER!$H$20+G44*LIDER!$H$21+H44*LIDER!$H$22+I44*LIDER!$H$23+J44*LIDER!$H$24+K44*LIDER!$H$25,"N"))</f>
        <v>0</v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113</v>
      </c>
      <c r="C47" s="32" t="str">
        <f>IF('S-ASIG-02'!D47="","",'S-ASIG-02'!D47)</f>
        <v>LIST</v>
      </c>
      <c r="D47" s="35" t="s">
        <v>102</v>
      </c>
      <c r="E47" s="146" t="str">
        <f>LIDER!$E$35</f>
        <v>GRUPO#7 NATIVA GOURMET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RANYELYS MARIAN AYOLA PEREZ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0</v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NATALIA NARANJO MORRÓN</v>
      </c>
      <c r="C49" s="33" t="str">
        <f>IF('S-ASIG-02'!D49="","",'S-ASIG-02'!D49)</f>
        <v/>
      </c>
      <c r="D49" s="30">
        <f>IF(B49=0,"",IF(C49="",$E$48*LIDER!$H$19+F49*LIDER!$H$20+G49*LIDER!$H$21+H49*LIDER!$H$22+I49*LIDER!$H$23+J49*LIDER!$H$24+K49*LIDER!$H$25,"N"))</f>
        <v>0</v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YENDER JOSE PUELLO TORRES</v>
      </c>
      <c r="C50" s="33" t="str">
        <f>IF('S-ASIG-02'!D50="","",'S-ASIG-02'!D50)</f>
        <v/>
      </c>
      <c r="D50" s="30">
        <f>IF(B50=0,"",IF(C50="",$E$48*LIDER!$H$19+F50*LIDER!$H$20+G50*LIDER!$H$21+H50*LIDER!$H$22+I50*LIDER!$H$23+J50*LIDER!$H$24+K50*LIDER!$H$25,"N"))</f>
        <v>0</v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JHONATAN WATTS PINTO</v>
      </c>
      <c r="C51" s="33" t="str">
        <f>IF('S-ASIG-02'!D51="","",'S-ASIG-02'!D51)</f>
        <v/>
      </c>
      <c r="D51" s="30">
        <f>IF(B51=0,"",IF(C51="",$E$48*LIDER!$H$19+F51*LIDER!$H$20+G51*LIDER!$H$21+H51*LIDER!$H$22+I51*LIDER!$H$23+J51*LIDER!$H$24+K51*LIDER!$H$25,"N"))</f>
        <v>0</v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Edgar Mauricio Zurique Gonzalez</v>
      </c>
      <c r="C52" s="33" t="str">
        <f>IF('S-ASIG-02'!D52="","",'S-ASIG-02'!D52)</f>
        <v/>
      </c>
      <c r="D52" s="30">
        <f>IF(B52=0,"",IF(C52="",$E$48*LIDER!$H$19+F52*LIDER!$H$20+G52*LIDER!$H$21+H52*LIDER!$H$22+I52*LIDER!$H$23+J52*LIDER!$H$24+K52*LIDER!$H$25,"N"))</f>
        <v>0</v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IF('S-ASIG-02'!D54="","",'S-ASIG-02'!D54)</f>
        <v>LIST</v>
      </c>
      <c r="D54" s="35" t="s">
        <v>102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IF('S-ASIG-02'!D61="","",'S-ASIG-02'!D61)</f>
        <v>LIST</v>
      </c>
      <c r="D61" s="35" t="s">
        <v>102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IF('S-ASIG-02'!D68="","",'S-ASIG-02'!D68)</f>
        <v>LIST</v>
      </c>
      <c r="D68" s="35" t="s">
        <v>102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IF('S-ASIG-02'!D75="","",'S-ASIG-02'!D75)</f>
        <v>LIST</v>
      </c>
      <c r="D75" s="35" t="s">
        <v>102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IF('S-ASIG-02'!D82="","",'S-ASIG-02'!D82)</f>
        <v>LIST</v>
      </c>
      <c r="D82" s="35" t="s">
        <v>102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LIDER!E4</f>
        <v>ELECTIVA DE PROFUNDIZACION III</v>
      </c>
      <c r="C2" s="3"/>
      <c r="E2" s="147" t="s">
        <v>97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98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CONCATENATE(LIDER!E4," - ",LIDER!E6," - ",LIDER!E5)</f>
        <v>ELECTIVA DE PROFUNDIZACION III - 2457 - OSCAR DAVID URIZA PEREZ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99</v>
      </c>
      <c r="C5" s="34" t="str">
        <f>IF('S-ASIG-03'!D5="","",'S-ASIG-03'!D5)</f>
        <v>LIST</v>
      </c>
      <c r="D5" s="35" t="s">
        <v>102</v>
      </c>
      <c r="E5" s="146" t="str">
        <f>LIDER!$E$29</f>
        <v>GRUPO#1  FERTILIZANTES ORGANICOS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ALVARO JOSE BERROCAL NARVAEZ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4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SAMUEL HERNANDEZ VELEZ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4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YHON DEIVIS MARTINEZ CONTRERAS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4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VALERIA NARVAEZ FUENTES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4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MICHELL ANDREA RODRIGUEZ HERRERA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14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EMMANUEL DE JESUS ROJAS TORRES</v>
      </c>
      <c r="C11" s="33" t="str">
        <f>IF('S-ASIG-03'!D11="","",'S-ASIG-03'!D11)</f>
        <v/>
      </c>
      <c r="D11" s="30">
        <f>IF(B11=0,"",IF(C11="",$E$6*LIDER!$H$19+F11*LIDER!$H$20+G11*LIDER!$H$21+H11*LIDER!$H$22+I11*LIDER!$H$23+J11*LIDER!$H$24+K11*LIDER!$H$25,"N"))</f>
        <v>0</v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103</v>
      </c>
      <c r="C12" s="32" t="str">
        <f>IF('S-ASIG-03'!D12="","",'S-ASIG-03'!D12)</f>
        <v>LIST</v>
      </c>
      <c r="D12" s="35" t="s">
        <v>102</v>
      </c>
      <c r="E12" s="146" t="str">
        <f>LIDER!$E$30</f>
        <v>GRUPO#2 ROPA SAFI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JARY DANIELA CALLE DONADO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42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SAID JOSE CASTILLO MORALES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4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DANNA VALENTINA CORTES MENDOZA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4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SEBASTIAN GÖMEZ CASTILLO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4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MARIA PAULA SIMARRA PAEZ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4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105</v>
      </c>
      <c r="C19" s="32" t="str">
        <f>IF('S-ASIG-03'!D19="","",'S-ASIG-03'!D19)</f>
        <v>LIST</v>
      </c>
      <c r="D19" s="35" t="s">
        <v>102</v>
      </c>
      <c r="E19" s="146" t="str">
        <f>LIDER!$E$31</f>
        <v>GRUPO#3 GORRAS-MERKATEX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JUAN CAMILO CARREAZO BOLAÑOS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42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FELIPE HERNANDEZ CORREA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4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VICKY SADAY LAGUNA SUÁREZ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4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JHON DEIVER MAZA VALVERDE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4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JHON JAIRO OROZCO BALLESTAS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107</v>
      </c>
      <c r="C26" s="32" t="str">
        <f>IF('S-ASIG-03'!D26="","",'S-ASIG-03'!D26)</f>
        <v>LIST</v>
      </c>
      <c r="D26" s="35" t="s">
        <v>102</v>
      </c>
      <c r="E26" s="146" t="str">
        <f>LIDER!$E$32</f>
        <v>GRUPO#4 CRUNCH DE FRUTAS DESHIDRATADAS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MARIANA ALEJANDRA ARENAS BUSTILLO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4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DANIELA FIGUEROA CASTELLAR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4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WENDY PAOLA LARA CORTINA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4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MAYRA ALEJANDRA NAVARRO LOPEZ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DANIEL DE JESUS VILLADIEGO VELASQUEZ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109</v>
      </c>
      <c r="C33" s="32" t="str">
        <f>IF('S-ASIG-03'!D33="","",'S-ASIG-03'!D33)</f>
        <v>LIST</v>
      </c>
      <c r="D33" s="35" t="s">
        <v>102</v>
      </c>
      <c r="E33" s="146" t="str">
        <f>LIDER!$E$33</f>
        <v>GRUPO#5 Crema Capilar NATURAL CROWN S.A.S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Oscar Herrera Himbret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NEIBILIS ROSA OBESO BORNACHERA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AMÉRICA ROJAS BARROS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IVAN CAMILO RODRIGUEZ THERAN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111</v>
      </c>
      <c r="C40" s="32" t="str">
        <f>IF('S-ASIG-03'!D40="","",'S-ASIG-03'!D40)</f>
        <v>LIST</v>
      </c>
      <c r="D40" s="35" t="s">
        <v>102</v>
      </c>
      <c r="E40" s="146" t="str">
        <f>LIDER!$E$34</f>
        <v>GRUPO#6 VELAS FRAGAN'S CO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 t="str">
        <f>LIDER!F51</f>
        <v>BREYNER DUBAN MEDRANO MARTINEZ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0</v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OSCAR ANDRES MONTILLA MUELAS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0</v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CAMILO ANDRES ZUÑIGA LOPEZ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0</v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ANGY CAROLINA ZUÑIGA VASQUEZ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0</v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113</v>
      </c>
      <c r="C47" s="32" t="str">
        <f>IF('S-ASIG-03'!D47="","",'S-ASIG-03'!D47)</f>
        <v>LIST</v>
      </c>
      <c r="D47" s="35" t="s">
        <v>102</v>
      </c>
      <c r="E47" s="146" t="str">
        <f>LIDER!$E$35</f>
        <v>GRUPO#7 NATIVA GOURMET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RANYELYS MARIAN AYOLA PEREZ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0</v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NATALIA NARANJO MORRÓN</v>
      </c>
      <c r="C49" s="33" t="str">
        <f>IF('S-ASIG-03'!D49="","",'S-ASIG-03'!D49)</f>
        <v/>
      </c>
      <c r="D49" s="30">
        <f>IF(B49=0,"",IF(C49="",$E$48*LIDER!$H$19+F49*LIDER!$H$20+G49*LIDER!$H$21+H49*LIDER!$H$22+I49*LIDER!$H$23+J49*LIDER!$H$24+K49*LIDER!$H$25,"N"))</f>
        <v>0</v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YENDER JOSE PUELLO TORRES</v>
      </c>
      <c r="C50" s="33" t="str">
        <f>IF('S-ASIG-03'!D50="","",'S-ASIG-03'!D50)</f>
        <v/>
      </c>
      <c r="D50" s="30">
        <f>IF(B50=0,"",IF(C50="",$E$48*LIDER!$H$19+F50*LIDER!$H$20+G50*LIDER!$H$21+H50*LIDER!$H$22+I50*LIDER!$H$23+J50*LIDER!$H$24+K50*LIDER!$H$25,"N"))</f>
        <v>0</v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JHONATAN WATTS PINTO</v>
      </c>
      <c r="C51" s="33" t="str">
        <f>IF('S-ASIG-03'!D51="","",'S-ASIG-03'!D51)</f>
        <v/>
      </c>
      <c r="D51" s="30">
        <f>IF(B51=0,"",IF(C51="",$E$48*LIDER!$H$19+F51*LIDER!$H$20+G51*LIDER!$H$21+H51*LIDER!$H$22+I51*LIDER!$H$23+J51*LIDER!$H$24+K51*LIDER!$H$25,"N"))</f>
        <v>0</v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Edgar Mauricio Zurique Gonzalez</v>
      </c>
      <c r="C52" s="33" t="str">
        <f>IF('S-ASIG-03'!D52="","",'S-ASIG-03'!D52)</f>
        <v/>
      </c>
      <c r="D52" s="30">
        <f>IF(B52=0,"",IF(C52="",$E$48*LIDER!$H$19+F52*LIDER!$H$20+G52*LIDER!$H$21+H52*LIDER!$H$22+I52*LIDER!$H$23+J52*LIDER!$H$24+K52*LIDER!$H$25,"N"))</f>
        <v>0</v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IF('S-ASIG-03'!D54="","",'S-ASIG-03'!D54)</f>
        <v>LIST</v>
      </c>
      <c r="D54" s="35" t="s">
        <v>102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IF('S-ASIG-03'!D61="","",'S-ASIG-03'!D61)</f>
        <v>LIST</v>
      </c>
      <c r="D61" s="35" t="s">
        <v>102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IF('S-ASIG-03'!D68="","",'S-ASIG-03'!D68)</f>
        <v>LIST</v>
      </c>
      <c r="D68" s="35" t="s">
        <v>102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IF('S-ASIG-03'!D75="","",'S-ASIG-03'!D75)</f>
        <v>LIST</v>
      </c>
      <c r="D75" s="35" t="s">
        <v>102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IF('S-ASIG-03'!D82="","",'S-ASIG-03'!D82)</f>
        <v>LIST</v>
      </c>
      <c r="D82" s="35" t="s">
        <v>102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4" activePane="bottomRight" state="frozen"/>
      <selection pane="bottomRight" activeCell="F48" sqref="F48:J52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LIDER!F4</f>
        <v>AMBIENTE Y DESARROLLO</v>
      </c>
      <c r="C2" s="3"/>
      <c r="E2" s="147" t="s">
        <v>97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98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CONCATENATE(LIDER!F4," - ",LIDER!F6," - ",LIDER!F5)</f>
        <v>AMBIENTE Y DESARROLLO - 1118 - MARIANO BELTRAN PADILLA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99</v>
      </c>
      <c r="C5" s="34" t="str">
        <f>IF('S-ASIG-04'!D5="","",'S-ASIG-04'!D5)</f>
        <v>LIST</v>
      </c>
      <c r="D5" s="35" t="s">
        <v>102</v>
      </c>
      <c r="E5" s="146" t="str">
        <f>LIDER!$E$29</f>
        <v>GRUPO#1  FERTILIZANTES ORGANICOS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ALVARO JOSE BERROCAL NARVAEZ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4.47</v>
      </c>
      <c r="E6" s="142">
        <v>4.5</v>
      </c>
      <c r="F6" s="24">
        <v>4.5</v>
      </c>
      <c r="G6" s="24">
        <v>4.2</v>
      </c>
      <c r="H6" s="24">
        <v>5</v>
      </c>
      <c r="I6" s="24">
        <v>4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SAMUEL HERNANDEZ VELEZ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4.47</v>
      </c>
      <c r="E7" s="142"/>
      <c r="F7" s="18">
        <v>4.5</v>
      </c>
      <c r="G7" s="18">
        <v>4.2</v>
      </c>
      <c r="H7" s="18">
        <v>5</v>
      </c>
      <c r="I7" s="18">
        <v>4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YHON DEIVIS MARTINEZ CONTRERAS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4.47</v>
      </c>
      <c r="E8" s="142"/>
      <c r="F8" s="18">
        <v>4.5</v>
      </c>
      <c r="G8" s="18">
        <v>4.2</v>
      </c>
      <c r="H8" s="18">
        <v>5</v>
      </c>
      <c r="I8" s="18">
        <v>4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VALERIA NARVAEZ FUENTES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4.47</v>
      </c>
      <c r="E9" s="142"/>
      <c r="F9" s="18">
        <v>4.5</v>
      </c>
      <c r="G9" s="18">
        <v>4.2</v>
      </c>
      <c r="H9" s="18">
        <v>5</v>
      </c>
      <c r="I9" s="18">
        <v>4</v>
      </c>
      <c r="J9" s="18">
        <v>4.5</v>
      </c>
      <c r="K9" s="18"/>
    </row>
    <row r="10" spans="1:11" s="2" customFormat="1" ht="15" customHeight="1">
      <c r="A10" s="12">
        <v>5</v>
      </c>
      <c r="B10" s="28" t="str">
        <f>LIDER!E47</f>
        <v>MICHELL ANDREA RODRIGUEZ HERRERA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4.47</v>
      </c>
      <c r="E10" s="142"/>
      <c r="F10" s="18">
        <v>4.5</v>
      </c>
      <c r="G10" s="18">
        <v>4.2</v>
      </c>
      <c r="H10" s="18">
        <v>5</v>
      </c>
      <c r="I10" s="18">
        <v>4</v>
      </c>
      <c r="J10" s="18">
        <v>4.5</v>
      </c>
      <c r="K10" s="18"/>
    </row>
    <row r="11" spans="1:11" s="2" customFormat="1" ht="15.75" customHeight="1" thickBot="1">
      <c r="A11" s="13">
        <v>6</v>
      </c>
      <c r="B11" s="28" t="str">
        <f>LIDER!E48</f>
        <v>EMMANUEL DE JESUS ROJAS TORRES</v>
      </c>
      <c r="C11" s="33" t="str">
        <f>IF('S-ASIG-04'!D11="","",'S-ASIG-04'!D11)</f>
        <v/>
      </c>
      <c r="D11" s="30">
        <f>IF(B11=0,"",IF(C11="",$E$6*LIDER!$H$19+F11*LIDER!$H$20+G11*LIDER!$H$21+H11*LIDER!$H$22+I11*LIDER!$H$23+J11*LIDER!$H$24+K11*LIDER!$H$25,"N"))</f>
        <v>4.47</v>
      </c>
      <c r="E11" s="142"/>
      <c r="F11" s="26">
        <v>4.5</v>
      </c>
      <c r="G11" s="26">
        <v>4.2</v>
      </c>
      <c r="H11" s="26">
        <v>5</v>
      </c>
      <c r="I11" s="26">
        <v>4</v>
      </c>
      <c r="J11" s="26">
        <v>4.5</v>
      </c>
      <c r="K11" s="26"/>
    </row>
    <row r="12" spans="1:11" s="2" customFormat="1" ht="15.75" customHeight="1" thickBot="1">
      <c r="A12" s="8"/>
      <c r="B12" s="27" t="s">
        <v>103</v>
      </c>
      <c r="C12" s="32" t="str">
        <f>IF('S-ASIG-04'!D12="","",'S-ASIG-04'!D12)</f>
        <v>LIST</v>
      </c>
      <c r="D12" s="35" t="s">
        <v>102</v>
      </c>
      <c r="E12" s="146" t="str">
        <f>LIDER!$E$30</f>
        <v>GRUPO#2 ROPA SAFI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JARY DANIELA CALLE DONADO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4.5</v>
      </c>
      <c r="E13" s="142">
        <v>4.5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SAID JOSE CASTILLO MORALES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4.5</v>
      </c>
      <c r="E14" s="142"/>
      <c r="F14" s="18">
        <v>4.5</v>
      </c>
      <c r="G14" s="18">
        <v>4.5</v>
      </c>
      <c r="H14" s="18">
        <v>4.5</v>
      </c>
      <c r="I14" s="18">
        <v>4.5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>DANNA VALENTINA CORTES MENDOZA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4.5</v>
      </c>
      <c r="E15" s="142"/>
      <c r="F15" s="18">
        <v>4.5</v>
      </c>
      <c r="G15" s="18">
        <v>4.5</v>
      </c>
      <c r="H15" s="18">
        <v>4.5</v>
      </c>
      <c r="I15" s="18">
        <v>4.5</v>
      </c>
      <c r="J15" s="18">
        <v>4.5</v>
      </c>
      <c r="K15" s="18"/>
    </row>
    <row r="16" spans="1:11" s="2" customFormat="1" ht="15" customHeight="1">
      <c r="A16" s="12">
        <v>4</v>
      </c>
      <c r="B16" s="28" t="str">
        <f>LIDER!F46</f>
        <v>SEBASTIAN GÖMEZ CASTILLO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4.5</v>
      </c>
      <c r="E16" s="142"/>
      <c r="F16" s="18">
        <v>4.5</v>
      </c>
      <c r="G16" s="18">
        <v>4.5</v>
      </c>
      <c r="H16" s="18">
        <v>4.5</v>
      </c>
      <c r="I16" s="18">
        <v>4.5</v>
      </c>
      <c r="J16" s="18">
        <v>4.5</v>
      </c>
      <c r="K16" s="18"/>
    </row>
    <row r="17" spans="1:11" s="2" customFormat="1" ht="15" customHeight="1">
      <c r="A17" s="12">
        <v>5</v>
      </c>
      <c r="B17" s="28" t="str">
        <f>LIDER!F47</f>
        <v>MARIA PAULA SIMARRA PAEZ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4.5</v>
      </c>
      <c r="E17" s="142"/>
      <c r="F17" s="18">
        <v>4.5</v>
      </c>
      <c r="G17" s="18">
        <v>4.5</v>
      </c>
      <c r="H17" s="18">
        <v>4.5</v>
      </c>
      <c r="I17" s="18">
        <v>4.5</v>
      </c>
      <c r="J17" s="18">
        <v>4.5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>
        <v>4.5</v>
      </c>
      <c r="G18" s="26">
        <v>4.5</v>
      </c>
      <c r="H18" s="26">
        <v>4.5</v>
      </c>
      <c r="I18" s="26">
        <v>4.5</v>
      </c>
      <c r="J18" s="26">
        <v>4.5</v>
      </c>
      <c r="K18" s="26"/>
    </row>
    <row r="19" spans="1:11" s="2" customFormat="1" ht="15.75" customHeight="1" thickBot="1">
      <c r="A19" s="14"/>
      <c r="B19" s="27" t="s">
        <v>105</v>
      </c>
      <c r="C19" s="32" t="str">
        <f>IF('S-ASIG-04'!D19="","",'S-ASIG-04'!D19)</f>
        <v>LIST</v>
      </c>
      <c r="D19" s="35" t="s">
        <v>102</v>
      </c>
      <c r="E19" s="146" t="str">
        <f>LIDER!$E$31</f>
        <v>GRUPO#3 GORRAS-MERKATEX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JUAN CAMILO CARREAZO BOLAÑOS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4.45</v>
      </c>
      <c r="E20" s="142">
        <v>4.5</v>
      </c>
      <c r="F20" s="24">
        <v>4.4000000000000004</v>
      </c>
      <c r="G20" s="24">
        <v>4.4000000000000004</v>
      </c>
      <c r="H20" s="24">
        <v>4.4000000000000004</v>
      </c>
      <c r="I20" s="24">
        <v>4.4000000000000004</v>
      </c>
      <c r="J20" s="24">
        <v>4.4000000000000004</v>
      </c>
      <c r="K20" s="24"/>
    </row>
    <row r="21" spans="1:11" s="2" customFormat="1" ht="15" customHeight="1">
      <c r="A21" s="12">
        <v>2</v>
      </c>
      <c r="B21" s="28" t="str">
        <f>LIDER!G44</f>
        <v>FELIPE HERNANDEZ CORREA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4.45</v>
      </c>
      <c r="E21" s="142"/>
      <c r="F21" s="18">
        <v>4.4000000000000004</v>
      </c>
      <c r="G21" s="18">
        <v>4.4000000000000004</v>
      </c>
      <c r="H21" s="18">
        <v>4.4000000000000004</v>
      </c>
      <c r="I21" s="18">
        <v>4.4000000000000004</v>
      </c>
      <c r="J21" s="18">
        <v>4.4000000000000004</v>
      </c>
      <c r="K21" s="18"/>
    </row>
    <row r="22" spans="1:11" s="2" customFormat="1" ht="15" customHeight="1">
      <c r="A22" s="12">
        <v>3</v>
      </c>
      <c r="B22" s="28" t="str">
        <f>LIDER!G45</f>
        <v>VICKY SADAY LAGUNA SUÁREZ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4.45</v>
      </c>
      <c r="E22" s="142"/>
      <c r="F22" s="18">
        <v>4.4000000000000004</v>
      </c>
      <c r="G22" s="18">
        <v>4.4000000000000004</v>
      </c>
      <c r="H22" s="18">
        <v>4.4000000000000004</v>
      </c>
      <c r="I22" s="18">
        <v>4.4000000000000004</v>
      </c>
      <c r="J22" s="18">
        <v>4.4000000000000004</v>
      </c>
      <c r="K22" s="18"/>
    </row>
    <row r="23" spans="1:11" s="2" customFormat="1" ht="15" customHeight="1">
      <c r="A23" s="12">
        <v>4</v>
      </c>
      <c r="B23" s="28" t="str">
        <f>LIDER!G46</f>
        <v>JHON DEIVER MAZA VALVERDE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4.45</v>
      </c>
      <c r="E23" s="142"/>
      <c r="F23" s="18">
        <v>4.4000000000000004</v>
      </c>
      <c r="G23" s="18">
        <v>4.4000000000000004</v>
      </c>
      <c r="H23" s="18">
        <v>4.4000000000000004</v>
      </c>
      <c r="I23" s="18">
        <v>4.4000000000000004</v>
      </c>
      <c r="J23" s="18">
        <v>4.4000000000000004</v>
      </c>
      <c r="K23" s="18"/>
    </row>
    <row r="24" spans="1:11" s="2" customFormat="1" ht="15" customHeight="1">
      <c r="A24" s="12">
        <v>5</v>
      </c>
      <c r="B24" s="28" t="str">
        <f>LIDER!G47</f>
        <v>JHON JAIRO OROZCO BALLESTAS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4.45</v>
      </c>
      <c r="E24" s="142"/>
      <c r="F24" s="18">
        <v>4.4000000000000004</v>
      </c>
      <c r="G24" s="18">
        <v>4.4000000000000004</v>
      </c>
      <c r="H24" s="18">
        <v>4.4000000000000004</v>
      </c>
      <c r="I24" s="18">
        <v>4.4000000000000004</v>
      </c>
      <c r="J24" s="18">
        <v>4.4000000000000004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>
        <v>4.4000000000000004</v>
      </c>
      <c r="G25" s="26">
        <v>4.4000000000000004</v>
      </c>
      <c r="H25" s="26">
        <v>4.4000000000000004</v>
      </c>
      <c r="I25" s="26">
        <v>4.4000000000000004</v>
      </c>
      <c r="J25" s="26">
        <v>4.4000000000000004</v>
      </c>
      <c r="K25" s="26"/>
    </row>
    <row r="26" spans="1:11" s="2" customFormat="1" ht="15.75" customHeight="1" thickBot="1">
      <c r="A26" s="14"/>
      <c r="B26" s="27" t="s">
        <v>107</v>
      </c>
      <c r="C26" s="32" t="str">
        <f>IF('S-ASIG-04'!D26="","",'S-ASIG-04'!D26)</f>
        <v>LIST</v>
      </c>
      <c r="D26" s="35" t="s">
        <v>102</v>
      </c>
      <c r="E26" s="146" t="str">
        <f>LIDER!$E$32</f>
        <v>GRUPO#4 CRUNCH DE FRUTAS DESHIDRATADAS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MARIANA ALEJANDRA ARENAS BUSTILLO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4.7</v>
      </c>
      <c r="E27" s="142">
        <v>4.7</v>
      </c>
      <c r="F27" s="24">
        <v>4.7</v>
      </c>
      <c r="G27" s="24">
        <v>4.7</v>
      </c>
      <c r="H27" s="24">
        <v>4.7</v>
      </c>
      <c r="I27" s="24">
        <v>4.7</v>
      </c>
      <c r="J27" s="24">
        <v>4.7</v>
      </c>
      <c r="K27" s="24"/>
    </row>
    <row r="28" spans="1:11" s="2" customFormat="1" ht="15" customHeight="1">
      <c r="A28" s="12">
        <v>2</v>
      </c>
      <c r="B28" s="28" t="str">
        <f>LIDER!H44</f>
        <v>DANIELA FIGUEROA CASTELLAR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4.7</v>
      </c>
      <c r="E28" s="142"/>
      <c r="F28" s="18">
        <v>4.7</v>
      </c>
      <c r="G28" s="18">
        <v>4.7</v>
      </c>
      <c r="H28" s="18">
        <v>4.7</v>
      </c>
      <c r="I28" s="18">
        <v>4.7</v>
      </c>
      <c r="J28" s="18">
        <v>4.7</v>
      </c>
      <c r="K28" s="18"/>
    </row>
    <row r="29" spans="1:11" s="2" customFormat="1" ht="15" customHeight="1">
      <c r="A29" s="12">
        <v>3</v>
      </c>
      <c r="B29" s="28" t="str">
        <f>LIDER!H45</f>
        <v>WENDY PAOLA LARA CORTINA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4.7</v>
      </c>
      <c r="E29" s="142"/>
      <c r="F29" s="18">
        <v>4.7</v>
      </c>
      <c r="G29" s="18">
        <v>4.7</v>
      </c>
      <c r="H29" s="18">
        <v>4.7</v>
      </c>
      <c r="I29" s="18">
        <v>4.7</v>
      </c>
      <c r="J29" s="18">
        <v>4.7</v>
      </c>
      <c r="K29" s="18"/>
    </row>
    <row r="30" spans="1:11" s="2" customFormat="1" ht="15" customHeight="1">
      <c r="A30" s="12">
        <v>4</v>
      </c>
      <c r="B30" s="28" t="str">
        <f>LIDER!H46</f>
        <v>MAYRA ALEJANDRA NAVARRO LOPEZ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4.7</v>
      </c>
      <c r="E30" s="142"/>
      <c r="F30" s="18">
        <v>4.7</v>
      </c>
      <c r="G30" s="18">
        <v>4.7</v>
      </c>
      <c r="H30" s="18">
        <v>4.7</v>
      </c>
      <c r="I30" s="18">
        <v>4.7</v>
      </c>
      <c r="J30" s="18">
        <v>4.7</v>
      </c>
      <c r="K30" s="18"/>
    </row>
    <row r="31" spans="1:11" s="2" customFormat="1" ht="15" customHeight="1">
      <c r="A31" s="12">
        <v>5</v>
      </c>
      <c r="B31" s="28" t="str">
        <f>LIDER!H47</f>
        <v>DANIEL DE JESUS VILLADIEGO VELASQUEZ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4.7</v>
      </c>
      <c r="E31" s="142"/>
      <c r="F31" s="18">
        <v>4.7</v>
      </c>
      <c r="G31" s="18">
        <v>4.7</v>
      </c>
      <c r="H31" s="18">
        <v>4.7</v>
      </c>
      <c r="I31" s="18">
        <v>4.7</v>
      </c>
      <c r="J31" s="18">
        <v>4.7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109</v>
      </c>
      <c r="C33" s="32" t="str">
        <f>IF('S-ASIG-04'!D33="","",'S-ASIG-04'!D33)</f>
        <v>LIST</v>
      </c>
      <c r="D33" s="35" t="s">
        <v>102</v>
      </c>
      <c r="E33" s="146" t="str">
        <f>LIDER!$E$33</f>
        <v>GRUPO#5 Crema Capilar NATURAL CROWN S.A.S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Oscar Herrera Himbret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4.3</v>
      </c>
      <c r="E34" s="142">
        <v>4.3</v>
      </c>
      <c r="F34" s="24">
        <v>4.3</v>
      </c>
      <c r="G34" s="24">
        <v>4.3</v>
      </c>
      <c r="H34" s="24">
        <v>4.3</v>
      </c>
      <c r="I34" s="24">
        <v>4.3</v>
      </c>
      <c r="J34" s="24">
        <v>4.3</v>
      </c>
      <c r="K34" s="24"/>
    </row>
    <row r="35" spans="1:11" s="2" customFormat="1" ht="15" customHeight="1">
      <c r="A35" s="12">
        <v>2</v>
      </c>
      <c r="B35" s="28" t="str">
        <f>LIDER!E52</f>
        <v>NEIBILIS ROSA OBESO BORNACHERA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4.3</v>
      </c>
      <c r="E35" s="142"/>
      <c r="F35" s="18">
        <v>4.3</v>
      </c>
      <c r="G35" s="18">
        <v>4.3</v>
      </c>
      <c r="H35" s="18">
        <v>4.3</v>
      </c>
      <c r="I35" s="18">
        <v>4.3</v>
      </c>
      <c r="J35" s="18">
        <v>4.3</v>
      </c>
      <c r="K35" s="18"/>
    </row>
    <row r="36" spans="1:11" s="2" customFormat="1" ht="15" customHeight="1">
      <c r="A36" s="12">
        <v>3</v>
      </c>
      <c r="B36" s="28" t="str">
        <f>LIDER!E53</f>
        <v>AMÉRICA ROJAS BARROS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4.3</v>
      </c>
      <c r="E36" s="142"/>
      <c r="F36" s="18">
        <v>4.3</v>
      </c>
      <c r="G36" s="18">
        <v>4.3</v>
      </c>
      <c r="H36" s="18">
        <v>4.3</v>
      </c>
      <c r="I36" s="18">
        <v>4.3</v>
      </c>
      <c r="J36" s="18">
        <v>4.3</v>
      </c>
      <c r="K36" s="18"/>
    </row>
    <row r="37" spans="1:11" s="2" customFormat="1" ht="15" customHeight="1">
      <c r="A37" s="12">
        <v>4</v>
      </c>
      <c r="B37" s="28" t="str">
        <f>LIDER!E54</f>
        <v>IVAN CAMILO RODRIGUEZ THERAN</v>
      </c>
      <c r="C37" s="33" t="str">
        <f>IF('S-ASIG-04'!D37="","",'S-ASIG-04'!D37)</f>
        <v>N</v>
      </c>
      <c r="D37" s="30" t="str">
        <f>IF(B37=0,"",IF(C37="",$E$34*LIDER!$H$19+F37*LIDER!$H$20+G37*LIDER!$H$21+H37*LIDER!$H$22+I37*LIDER!$H$23+J37*LIDER!$H$24+K37*LIDER!$H$25,"N"))</f>
        <v>N</v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111</v>
      </c>
      <c r="C40" s="32" t="str">
        <f>IF('S-ASIG-04'!D40="","",'S-ASIG-04'!D40)</f>
        <v>LIST</v>
      </c>
      <c r="D40" s="35" t="s">
        <v>102</v>
      </c>
      <c r="E40" s="146" t="str">
        <f>LIDER!$E$34</f>
        <v>GRUPO#6 VELAS FRAGAN'S CO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 t="str">
        <f>LIDER!F51</f>
        <v>BREYNER DUBAN MEDRANO MARTINEZ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4.2</v>
      </c>
      <c r="E41" s="142">
        <v>4.2</v>
      </c>
      <c r="F41" s="24">
        <v>4.2</v>
      </c>
      <c r="G41" s="24">
        <v>4.2</v>
      </c>
      <c r="H41" s="24">
        <v>4.2</v>
      </c>
      <c r="I41" s="24">
        <v>4.2</v>
      </c>
      <c r="J41" s="24">
        <v>4.2</v>
      </c>
      <c r="K41" s="24"/>
    </row>
    <row r="42" spans="1:11" s="2" customFormat="1" ht="15" customHeight="1">
      <c r="A42" s="12">
        <v>2</v>
      </c>
      <c r="B42" s="28" t="str">
        <f>LIDER!F52</f>
        <v>OSCAR ANDRES MONTILLA MUELAS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4.2</v>
      </c>
      <c r="E42" s="142"/>
      <c r="F42" s="18">
        <v>4.2</v>
      </c>
      <c r="G42" s="18">
        <v>4.2</v>
      </c>
      <c r="H42" s="18">
        <v>4.2</v>
      </c>
      <c r="I42" s="18">
        <v>4.2</v>
      </c>
      <c r="J42" s="18">
        <v>4.2</v>
      </c>
      <c r="K42" s="18"/>
    </row>
    <row r="43" spans="1:11" s="2" customFormat="1" ht="15" customHeight="1">
      <c r="A43" s="12">
        <v>3</v>
      </c>
      <c r="B43" s="28" t="str">
        <f>LIDER!F53</f>
        <v>CAMILO ANDRES ZUÑIGA LOPEZ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4.2</v>
      </c>
      <c r="E43" s="142"/>
      <c r="F43" s="18">
        <v>4.2</v>
      </c>
      <c r="G43" s="18">
        <v>4.2</v>
      </c>
      <c r="H43" s="18">
        <v>4.2</v>
      </c>
      <c r="I43" s="18">
        <v>4.2</v>
      </c>
      <c r="J43" s="18">
        <v>4.2</v>
      </c>
      <c r="K43" s="18"/>
    </row>
    <row r="44" spans="1:11" s="2" customFormat="1" ht="15" customHeight="1">
      <c r="A44" s="12">
        <v>4</v>
      </c>
      <c r="B44" s="28" t="str">
        <f>LIDER!F54</f>
        <v>ANGY CAROLINA ZUÑIGA VASQUEZ</v>
      </c>
      <c r="C44" s="33" t="str">
        <f>IF('S-ASIG-04'!D44="","",'S-ASIG-04'!D44)</f>
        <v/>
      </c>
      <c r="D44" s="30">
        <f>IF(B44=0,"",IF(C44="",$E$41*LIDER!$H$19+F44*LIDER!$H$20+G44*LIDER!$H$21+H44*LIDER!$H$22+I44*LIDER!$H$23+J44*LIDER!$H$24+K44*LIDER!$H$25,"N"))</f>
        <v>4.2</v>
      </c>
      <c r="E44" s="142"/>
      <c r="F44" s="18">
        <v>4.2</v>
      </c>
      <c r="G44" s="18">
        <v>4.2</v>
      </c>
      <c r="H44" s="18">
        <v>4.2</v>
      </c>
      <c r="I44" s="18">
        <v>4.2</v>
      </c>
      <c r="J44" s="18">
        <v>4.2</v>
      </c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113</v>
      </c>
      <c r="C47" s="32" t="str">
        <f>IF('S-ASIG-04'!D47="","",'S-ASIG-04'!D47)</f>
        <v>LIST</v>
      </c>
      <c r="D47" s="35" t="s">
        <v>102</v>
      </c>
      <c r="E47" s="146" t="str">
        <f>LIDER!$E$35</f>
        <v>GRUPO#7 NATIVA GOURMET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RANYELYS MARIAN AYOLA PEREZ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4.4000000000000004</v>
      </c>
      <c r="E48" s="142">
        <v>4.4000000000000004</v>
      </c>
      <c r="F48" s="24">
        <v>4.4000000000000004</v>
      </c>
      <c r="G48" s="24">
        <v>4.4000000000000004</v>
      </c>
      <c r="H48" s="24">
        <v>4.4000000000000004</v>
      </c>
      <c r="I48" s="24">
        <v>4.4000000000000004</v>
      </c>
      <c r="J48" s="24">
        <v>4.4000000000000004</v>
      </c>
      <c r="K48" s="24"/>
    </row>
    <row r="49" spans="1:11" s="2" customFormat="1" ht="15" customHeight="1">
      <c r="A49" s="12">
        <v>2</v>
      </c>
      <c r="B49" s="28" t="str">
        <f>LIDER!G52</f>
        <v>NATALIA NARANJO MORRÓN</v>
      </c>
      <c r="C49" s="33" t="str">
        <f>IF('S-ASIG-04'!D49="","",'S-ASIG-04'!D49)</f>
        <v/>
      </c>
      <c r="D49" s="30">
        <f>IF(B49=0,"",IF(C49="",$E$48*LIDER!$H$19+F49*LIDER!$H$20+G49*LIDER!$H$21+H49*LIDER!$H$22+I49*LIDER!$H$23+J49*LIDER!$H$24+K49*LIDER!$H$25,"N"))</f>
        <v>4.4000000000000004</v>
      </c>
      <c r="E49" s="142"/>
      <c r="F49" s="18">
        <v>4.4000000000000004</v>
      </c>
      <c r="G49" s="18">
        <v>4.4000000000000004</v>
      </c>
      <c r="H49" s="18">
        <v>4.4000000000000004</v>
      </c>
      <c r="I49" s="18">
        <v>4.4000000000000004</v>
      </c>
      <c r="J49" s="18">
        <v>4.4000000000000004</v>
      </c>
      <c r="K49" s="18"/>
    </row>
    <row r="50" spans="1:11" s="2" customFormat="1" ht="15" customHeight="1">
      <c r="A50" s="12">
        <v>3</v>
      </c>
      <c r="B50" s="28" t="str">
        <f>LIDER!G53</f>
        <v>YENDER JOSE PUELLO TORRES</v>
      </c>
      <c r="C50" s="33" t="str">
        <f>IF('S-ASIG-04'!D50="","",'S-ASIG-04'!D50)</f>
        <v/>
      </c>
      <c r="D50" s="30">
        <f>IF(B50=0,"",IF(C50="",$E$48*LIDER!$H$19+F50*LIDER!$H$20+G50*LIDER!$H$21+H50*LIDER!$H$22+I50*LIDER!$H$23+J50*LIDER!$H$24+K50*LIDER!$H$25,"N"))</f>
        <v>4.4000000000000004</v>
      </c>
      <c r="E50" s="142"/>
      <c r="F50" s="18">
        <v>4.4000000000000004</v>
      </c>
      <c r="G50" s="18">
        <v>4.4000000000000004</v>
      </c>
      <c r="H50" s="18">
        <v>4.4000000000000004</v>
      </c>
      <c r="I50" s="18">
        <v>4.4000000000000004</v>
      </c>
      <c r="J50" s="18">
        <v>4.4000000000000004</v>
      </c>
      <c r="K50" s="18"/>
    </row>
    <row r="51" spans="1:11" s="2" customFormat="1" ht="15" customHeight="1">
      <c r="A51" s="12">
        <v>4</v>
      </c>
      <c r="B51" s="28" t="str">
        <f>LIDER!G54</f>
        <v>JHONATAN WATTS PINTO</v>
      </c>
      <c r="C51" s="33" t="str">
        <f>IF('S-ASIG-04'!D51="","",'S-ASIG-04'!D51)</f>
        <v/>
      </c>
      <c r="D51" s="30">
        <f>IF(B51=0,"",IF(C51="",$E$48*LIDER!$H$19+F51*LIDER!$H$20+G51*LIDER!$H$21+H51*LIDER!$H$22+I51*LIDER!$H$23+J51*LIDER!$H$24+K51*LIDER!$H$25,"N"))</f>
        <v>4.4000000000000004</v>
      </c>
      <c r="E51" s="142"/>
      <c r="F51" s="18">
        <v>4.4000000000000004</v>
      </c>
      <c r="G51" s="18">
        <v>4.4000000000000004</v>
      </c>
      <c r="H51" s="18">
        <v>4.4000000000000004</v>
      </c>
      <c r="I51" s="18">
        <v>4.4000000000000004</v>
      </c>
      <c r="J51" s="18">
        <v>4.4000000000000004</v>
      </c>
      <c r="K51" s="18"/>
    </row>
    <row r="52" spans="1:11" s="2" customFormat="1" ht="15" customHeight="1">
      <c r="A52" s="12">
        <v>5</v>
      </c>
      <c r="B52" s="28" t="str">
        <f>LIDER!G55</f>
        <v>Edgar Mauricio Zurique Gonzalez</v>
      </c>
      <c r="C52" s="33" t="str">
        <f>IF('S-ASIG-04'!D52="","",'S-ASIG-04'!D52)</f>
        <v/>
      </c>
      <c r="D52" s="30">
        <f>IF(B52=0,"",IF(C52="",$E$48*LIDER!$H$19+F52*LIDER!$H$20+G52*LIDER!$H$21+H52*LIDER!$H$22+I52*LIDER!$H$23+J52*LIDER!$H$24+K52*LIDER!$H$25,"N"))</f>
        <v>4.4000000000000004</v>
      </c>
      <c r="E52" s="142"/>
      <c r="F52" s="18">
        <v>4.4000000000000004</v>
      </c>
      <c r="G52" s="18">
        <v>4.4000000000000004</v>
      </c>
      <c r="H52" s="18">
        <v>4.4000000000000004</v>
      </c>
      <c r="I52" s="18">
        <v>4.4000000000000004</v>
      </c>
      <c r="J52" s="18">
        <v>4.4000000000000004</v>
      </c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IF('S-ASIG-04'!D54="","",'S-ASIG-04'!D54)</f>
        <v>LIST</v>
      </c>
      <c r="D54" s="35" t="s">
        <v>102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IF('S-ASIG-04'!D61="","",'S-ASIG-04'!D61)</f>
        <v>LIST</v>
      </c>
      <c r="D61" s="35" t="s">
        <v>102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IF('S-ASIG-04'!D68="","",'S-ASIG-04'!D68)</f>
        <v>LIST</v>
      </c>
      <c r="D68" s="35" t="s">
        <v>102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IF('S-ASIG-04'!D75="","",'S-ASIG-04'!D75)</f>
        <v>LIST</v>
      </c>
      <c r="D75" s="35" t="s">
        <v>102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IF('S-ASIG-04'!D82="","",'S-ASIG-04'!D82)</f>
        <v>LIST</v>
      </c>
      <c r="D82" s="35" t="s">
        <v>102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39" activePane="bottomRight" state="frozen"/>
      <selection pane="bottomRight" activeCell="A76" sqref="A76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LIDER!G4</f>
        <v>FINANZAS INTERNACIONALES</v>
      </c>
      <c r="C2" s="3"/>
      <c r="E2" s="147" t="s">
        <v>97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98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CONCATENATE(LIDER!G4," - ",LIDER!G6," - ",LIDER!G5)</f>
        <v>FINANZAS INTERNACIONALES - 1487 - JAVIER IGNACIO ALVAREZ OROZCO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99</v>
      </c>
      <c r="C5" s="34" t="str">
        <f>IF('S-ASIG-05'!D5="","",'S-ASIG-05'!D5)</f>
        <v>LIST</v>
      </c>
      <c r="D5" s="35" t="s">
        <v>102</v>
      </c>
      <c r="E5" s="146" t="str">
        <f>LIDER!$E$29</f>
        <v>GRUPO#1  FERTILIZANTES ORGANICOS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ALVARO JOSE BERROCAL NARVAEZ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4.5</v>
      </c>
      <c r="E6" s="142">
        <v>4.5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SAMUEL HERNANDEZ VELEZ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4.5</v>
      </c>
      <c r="E7" s="142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YHON DEIVIS MARTINEZ CONTRERAS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4.5</v>
      </c>
      <c r="E8" s="142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VALERIA NARVAEZ FUENTES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4.5</v>
      </c>
      <c r="E9" s="142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 t="str">
        <f>LIDER!E47</f>
        <v>MICHELL ANDREA RODRIGUEZ HERRERA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4.5</v>
      </c>
      <c r="E10" s="142"/>
      <c r="F10" s="18">
        <v>4.5</v>
      </c>
      <c r="G10" s="18">
        <v>4.5</v>
      </c>
      <c r="H10" s="18">
        <v>4.5</v>
      </c>
      <c r="I10" s="18">
        <v>4.5</v>
      </c>
      <c r="J10" s="18">
        <v>4.5</v>
      </c>
      <c r="K10" s="18"/>
    </row>
    <row r="11" spans="1:11" s="2" customFormat="1" ht="15.75" customHeight="1">
      <c r="A11" s="13">
        <v>6</v>
      </c>
      <c r="B11" s="28" t="str">
        <f>LIDER!E48</f>
        <v>EMMANUEL DE JESUS ROJAS TORRES</v>
      </c>
      <c r="C11" s="33" t="str">
        <f>IF('S-ASIG-05'!D11="","",'S-ASIG-05'!D11)</f>
        <v/>
      </c>
      <c r="D11" s="30">
        <f>IF(B11=0,"",IF(C11="",$E$6*LIDER!$H$19+F11*LIDER!$H$20+G11*LIDER!$H$21+H11*LIDER!$H$22+I11*LIDER!$H$23+J11*LIDER!$H$24+K11*LIDER!$H$25,"N"))</f>
        <v>4.5</v>
      </c>
      <c r="E11" s="142"/>
      <c r="F11" s="26">
        <v>4.5</v>
      </c>
      <c r="G11" s="26">
        <v>4.5</v>
      </c>
      <c r="H11" s="26">
        <v>4.5</v>
      </c>
      <c r="I11" s="26">
        <v>4.5</v>
      </c>
      <c r="J11" s="26">
        <v>4.5</v>
      </c>
      <c r="K11" s="26"/>
    </row>
    <row r="12" spans="1:11" s="2" customFormat="1" ht="15.75" customHeight="1" thickBot="1">
      <c r="A12" s="8"/>
      <c r="B12" s="27" t="s">
        <v>103</v>
      </c>
      <c r="C12" s="32" t="str">
        <f>IF('S-ASIG-05'!D12="","",'S-ASIG-05'!D12)</f>
        <v>LIST</v>
      </c>
      <c r="D12" s="35" t="s">
        <v>102</v>
      </c>
      <c r="E12" s="146" t="str">
        <f>LIDER!$E$30</f>
        <v>GRUPO#2 ROPA SAFI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JARY DANIELA CALLE DONADO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4.5999999999999996</v>
      </c>
      <c r="E13" s="142">
        <v>4.5999999999999996</v>
      </c>
      <c r="F13" s="24">
        <v>4.5999999999999996</v>
      </c>
      <c r="G13" s="24">
        <v>4.5999999999999996</v>
      </c>
      <c r="H13" s="24">
        <v>4.5999999999999996</v>
      </c>
      <c r="I13" s="24">
        <v>4.5999999999999996</v>
      </c>
      <c r="J13" s="24">
        <v>4.5999999999999996</v>
      </c>
      <c r="K13" s="24"/>
    </row>
    <row r="14" spans="1:11" s="2" customFormat="1" ht="15" customHeight="1">
      <c r="A14" s="12">
        <v>2</v>
      </c>
      <c r="B14" s="28" t="str">
        <f>LIDER!F44</f>
        <v>SAID JOSE CASTILLO MORALES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4.5999999999999996</v>
      </c>
      <c r="E14" s="142"/>
      <c r="F14" s="18">
        <v>4.5999999999999996</v>
      </c>
      <c r="G14" s="18">
        <v>4.5999999999999996</v>
      </c>
      <c r="H14" s="18">
        <v>4.5999999999999996</v>
      </c>
      <c r="I14" s="18">
        <v>4.5999999999999996</v>
      </c>
      <c r="J14" s="18">
        <v>4.5999999999999996</v>
      </c>
      <c r="K14" s="18"/>
    </row>
    <row r="15" spans="1:11" s="2" customFormat="1" ht="15" customHeight="1">
      <c r="A15" s="12">
        <v>3</v>
      </c>
      <c r="B15" s="28" t="str">
        <f>LIDER!F45</f>
        <v>DANNA VALENTINA CORTES MENDOZA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4.5999999999999996</v>
      </c>
      <c r="E15" s="142"/>
      <c r="F15" s="18">
        <v>4.5999999999999996</v>
      </c>
      <c r="G15" s="18">
        <v>4.5999999999999996</v>
      </c>
      <c r="H15" s="18">
        <v>4.5999999999999996</v>
      </c>
      <c r="I15" s="18">
        <v>4.5999999999999996</v>
      </c>
      <c r="J15" s="18">
        <v>4.5999999999999996</v>
      </c>
      <c r="K15" s="18"/>
    </row>
    <row r="16" spans="1:11" s="2" customFormat="1" ht="15" customHeight="1">
      <c r="A16" s="12">
        <v>4</v>
      </c>
      <c r="B16" s="28" t="str">
        <f>LIDER!F46</f>
        <v>SEBASTIAN GÖMEZ CASTILLO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4.5999999999999996</v>
      </c>
      <c r="E16" s="142"/>
      <c r="F16" s="18">
        <v>4.5999999999999996</v>
      </c>
      <c r="G16" s="18">
        <v>4.5999999999999996</v>
      </c>
      <c r="H16" s="18">
        <v>4.5999999999999996</v>
      </c>
      <c r="I16" s="18">
        <v>4.5999999999999996</v>
      </c>
      <c r="J16" s="18">
        <v>4.5999999999999996</v>
      </c>
      <c r="K16" s="18"/>
    </row>
    <row r="17" spans="1:11" s="2" customFormat="1" ht="15" customHeight="1">
      <c r="A17" s="12">
        <v>5</v>
      </c>
      <c r="B17" s="28" t="str">
        <f>LIDER!F47</f>
        <v>MARIA PAULA SIMARRA PAEZ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4.5999999999999996</v>
      </c>
      <c r="E17" s="142"/>
      <c r="F17" s="18">
        <v>4.5999999999999996</v>
      </c>
      <c r="G17" s="18">
        <v>4.5999999999999996</v>
      </c>
      <c r="H17" s="18">
        <v>4.5999999999999996</v>
      </c>
      <c r="I17" s="18">
        <v>4.5999999999999996</v>
      </c>
      <c r="J17" s="18">
        <v>4.5999999999999996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>
        <v>4.5999999999999996</v>
      </c>
      <c r="G18" s="26">
        <v>4.5999999999999996</v>
      </c>
      <c r="H18" s="26">
        <v>4.5999999999999996</v>
      </c>
      <c r="I18" s="26">
        <v>4.5999999999999996</v>
      </c>
      <c r="J18" s="26">
        <v>4.5999999999999996</v>
      </c>
      <c r="K18" s="26"/>
    </row>
    <row r="19" spans="1:11" s="2" customFormat="1" ht="15.75" customHeight="1" thickBot="1">
      <c r="A19" s="14"/>
      <c r="B19" s="27" t="s">
        <v>105</v>
      </c>
      <c r="C19" s="32" t="str">
        <f>IF('S-ASIG-05'!D19="","",'S-ASIG-05'!D19)</f>
        <v>LIST</v>
      </c>
      <c r="D19" s="35" t="s">
        <v>102</v>
      </c>
      <c r="E19" s="146" t="str">
        <f>LIDER!$E$31</f>
        <v>GRUPO#3 GORRAS-MERKATEX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JUAN CAMILO CARREAZO BOLAÑOS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4.4000000000000004</v>
      </c>
      <c r="E20" s="142">
        <v>4.4000000000000004</v>
      </c>
      <c r="F20" s="24">
        <v>4.4000000000000004</v>
      </c>
      <c r="G20" s="24">
        <v>4.4000000000000004</v>
      </c>
      <c r="H20" s="24">
        <v>4.4000000000000004</v>
      </c>
      <c r="I20" s="24">
        <v>4.4000000000000004</v>
      </c>
      <c r="J20" s="24">
        <v>4.4000000000000004</v>
      </c>
      <c r="K20" s="24"/>
    </row>
    <row r="21" spans="1:11" s="2" customFormat="1" ht="15" customHeight="1">
      <c r="A21" s="12">
        <v>2</v>
      </c>
      <c r="B21" s="28" t="str">
        <f>LIDER!G44</f>
        <v>FELIPE HERNANDEZ CORREA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4.4000000000000004</v>
      </c>
      <c r="E21" s="142"/>
      <c r="F21" s="18">
        <v>4.4000000000000004</v>
      </c>
      <c r="G21" s="18">
        <v>4.4000000000000004</v>
      </c>
      <c r="H21" s="18">
        <v>4.4000000000000004</v>
      </c>
      <c r="I21" s="18">
        <v>4.4000000000000004</v>
      </c>
      <c r="J21" s="18">
        <v>4.4000000000000004</v>
      </c>
      <c r="K21" s="18"/>
    </row>
    <row r="22" spans="1:11" s="2" customFormat="1" ht="15" customHeight="1">
      <c r="A22" s="12">
        <v>3</v>
      </c>
      <c r="B22" s="28" t="str">
        <f>LIDER!G45</f>
        <v>VICKY SADAY LAGUNA SUÁREZ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4.4000000000000004</v>
      </c>
      <c r="E22" s="142"/>
      <c r="F22" s="18">
        <v>4.4000000000000004</v>
      </c>
      <c r="G22" s="18">
        <v>4.4000000000000004</v>
      </c>
      <c r="H22" s="18">
        <v>4.4000000000000004</v>
      </c>
      <c r="I22" s="18">
        <v>4.4000000000000004</v>
      </c>
      <c r="J22" s="18">
        <v>4.4000000000000004</v>
      </c>
      <c r="K22" s="18"/>
    </row>
    <row r="23" spans="1:11" s="2" customFormat="1" ht="15" customHeight="1">
      <c r="A23" s="12">
        <v>4</v>
      </c>
      <c r="B23" s="28" t="str">
        <f>LIDER!G46</f>
        <v>JHON DEIVER MAZA VALVERDE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4.4000000000000004</v>
      </c>
      <c r="E23" s="142"/>
      <c r="F23" s="18">
        <v>4.4000000000000004</v>
      </c>
      <c r="G23" s="18">
        <v>4.4000000000000004</v>
      </c>
      <c r="H23" s="18">
        <v>4.4000000000000004</v>
      </c>
      <c r="I23" s="18">
        <v>4.4000000000000004</v>
      </c>
      <c r="J23" s="18">
        <v>4.4000000000000004</v>
      </c>
      <c r="K23" s="18"/>
    </row>
    <row r="24" spans="1:11" s="2" customFormat="1" ht="15" customHeight="1">
      <c r="A24" s="12">
        <v>5</v>
      </c>
      <c r="B24" s="28" t="str">
        <f>LIDER!G47</f>
        <v>JHON JAIRO OROZCO BALLESTAS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4.4000000000000004</v>
      </c>
      <c r="E24" s="142"/>
      <c r="F24" s="18">
        <v>4.4000000000000004</v>
      </c>
      <c r="G24" s="18">
        <v>4.4000000000000004</v>
      </c>
      <c r="H24" s="18">
        <v>4.4000000000000004</v>
      </c>
      <c r="I24" s="18">
        <v>4.4000000000000004</v>
      </c>
      <c r="J24" s="18">
        <v>4.4000000000000004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>
        <v>4.4000000000000004</v>
      </c>
      <c r="G25" s="26">
        <v>4.4000000000000004</v>
      </c>
      <c r="H25" s="26">
        <v>4.4000000000000004</v>
      </c>
      <c r="I25" s="26">
        <v>4.4000000000000004</v>
      </c>
      <c r="J25" s="26">
        <v>4.4000000000000004</v>
      </c>
      <c r="K25" s="26"/>
    </row>
    <row r="26" spans="1:11" s="2" customFormat="1" ht="15.75" customHeight="1" thickBot="1">
      <c r="A26" s="14"/>
      <c r="B26" s="27" t="s">
        <v>107</v>
      </c>
      <c r="C26" s="32" t="str">
        <f>IF('S-ASIG-05'!D26="","",'S-ASIG-05'!D26)</f>
        <v>LIST</v>
      </c>
      <c r="D26" s="35" t="s">
        <v>102</v>
      </c>
      <c r="E26" s="146" t="str">
        <f>LIDER!$E$32</f>
        <v>GRUPO#4 CRUNCH DE FRUTAS DESHIDRATADAS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MARIANA ALEJANDRA ARENAS BUSTILLO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4.5</v>
      </c>
      <c r="E27" s="142">
        <v>4.5</v>
      </c>
      <c r="F27" s="24">
        <v>4.5</v>
      </c>
      <c r="G27" s="24">
        <v>4.5</v>
      </c>
      <c r="H27" s="24">
        <v>4.5</v>
      </c>
      <c r="I27" s="24">
        <v>4.5</v>
      </c>
      <c r="J27" s="24">
        <v>4.5</v>
      </c>
      <c r="K27" s="24"/>
    </row>
    <row r="28" spans="1:11" s="2" customFormat="1" ht="15" customHeight="1">
      <c r="A28" s="12">
        <v>2</v>
      </c>
      <c r="B28" s="28" t="str">
        <f>LIDER!H44</f>
        <v>DANIELA FIGUEROA CASTELLAR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4.5</v>
      </c>
      <c r="E28" s="142"/>
      <c r="F28" s="18">
        <v>4.5</v>
      </c>
      <c r="G28" s="18">
        <v>4.5</v>
      </c>
      <c r="H28" s="18">
        <v>4.5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WENDY PAOLA LARA CORTINA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4.5</v>
      </c>
      <c r="E29" s="142"/>
      <c r="F29" s="18">
        <v>4.5</v>
      </c>
      <c r="G29" s="18">
        <v>4.5</v>
      </c>
      <c r="H29" s="18">
        <v>4.5</v>
      </c>
      <c r="I29" s="18">
        <v>4.5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MAYRA ALEJANDRA NAVARRO LOPEZ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4.5</v>
      </c>
      <c r="E30" s="142"/>
      <c r="F30" s="18">
        <v>4.5</v>
      </c>
      <c r="G30" s="18">
        <v>4.5</v>
      </c>
      <c r="H30" s="18">
        <v>4.5</v>
      </c>
      <c r="I30" s="18">
        <v>4.5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>DANIEL DE JESUS VILLADIEGO VELASQUEZ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4.5</v>
      </c>
      <c r="E31" s="142"/>
      <c r="F31" s="18">
        <v>4.5</v>
      </c>
      <c r="G31" s="18">
        <v>4.5</v>
      </c>
      <c r="H31" s="18">
        <v>4.5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>
        <v>4.5</v>
      </c>
      <c r="G32" s="26">
        <v>4.5</v>
      </c>
      <c r="H32" s="26">
        <v>4.5</v>
      </c>
      <c r="I32" s="26">
        <v>4.5</v>
      </c>
      <c r="J32" s="26">
        <v>4.5</v>
      </c>
      <c r="K32" s="26"/>
    </row>
    <row r="33" spans="1:11" s="2" customFormat="1" ht="15.75" customHeight="1" thickBot="1">
      <c r="A33" s="14"/>
      <c r="B33" s="27" t="s">
        <v>109</v>
      </c>
      <c r="C33" s="32" t="str">
        <f>IF('S-ASIG-05'!D33="","",'S-ASIG-05'!D33)</f>
        <v>LIST</v>
      </c>
      <c r="D33" s="35" t="s">
        <v>102</v>
      </c>
      <c r="E33" s="146" t="str">
        <f>LIDER!$E$33</f>
        <v>GRUPO#5 Crema Capilar NATURAL CROWN S.A.S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Oscar Herrera Himbret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4.4000000000000004</v>
      </c>
      <c r="E34" s="142">
        <v>4.4000000000000004</v>
      </c>
      <c r="F34" s="24">
        <v>4.4000000000000004</v>
      </c>
      <c r="G34" s="24">
        <v>4.4000000000000004</v>
      </c>
      <c r="H34" s="24">
        <v>4.4000000000000004</v>
      </c>
      <c r="I34" s="24">
        <v>4.4000000000000004</v>
      </c>
      <c r="J34" s="24">
        <v>4.4000000000000004</v>
      </c>
      <c r="K34" s="24"/>
    </row>
    <row r="35" spans="1:11" s="2" customFormat="1" ht="15" customHeight="1">
      <c r="A35" s="12">
        <v>2</v>
      </c>
      <c r="B35" s="28" t="str">
        <f>LIDER!E52</f>
        <v>NEIBILIS ROSA OBESO BORNACHERA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4.4000000000000004</v>
      </c>
      <c r="E35" s="142"/>
      <c r="F35" s="18">
        <v>4.4000000000000004</v>
      </c>
      <c r="G35" s="18">
        <v>4.4000000000000004</v>
      </c>
      <c r="H35" s="18">
        <v>4.4000000000000004</v>
      </c>
      <c r="I35" s="18">
        <v>4.4000000000000004</v>
      </c>
      <c r="J35" s="18">
        <v>4.4000000000000004</v>
      </c>
      <c r="K35" s="18"/>
    </row>
    <row r="36" spans="1:11" s="2" customFormat="1" ht="15" customHeight="1">
      <c r="A36" s="12">
        <v>3</v>
      </c>
      <c r="B36" s="28" t="str">
        <f>LIDER!E53</f>
        <v>AMÉRICA ROJAS BARROS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4.4000000000000004</v>
      </c>
      <c r="E36" s="142"/>
      <c r="F36" s="18">
        <v>4.4000000000000004</v>
      </c>
      <c r="G36" s="18">
        <v>4.4000000000000004</v>
      </c>
      <c r="H36" s="18">
        <v>4.4000000000000004</v>
      </c>
      <c r="I36" s="18">
        <v>4.4000000000000004</v>
      </c>
      <c r="J36" s="18">
        <v>4.4000000000000004</v>
      </c>
      <c r="K36" s="18"/>
    </row>
    <row r="37" spans="1:11" s="2" customFormat="1" ht="15" customHeight="1">
      <c r="A37" s="12">
        <v>4</v>
      </c>
      <c r="B37" s="28" t="str">
        <f>LIDER!E54</f>
        <v>IVAN CAMILO RODRIGUEZ THERAN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4.4000000000000004</v>
      </c>
      <c r="E37" s="142"/>
      <c r="F37" s="18">
        <v>4.4000000000000004</v>
      </c>
      <c r="G37" s="18">
        <v>4.4000000000000004</v>
      </c>
      <c r="H37" s="18">
        <v>4.4000000000000004</v>
      </c>
      <c r="I37" s="18">
        <v>4.4000000000000004</v>
      </c>
      <c r="J37" s="18">
        <v>4.4000000000000004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>
        <v>4.4000000000000004</v>
      </c>
      <c r="G38" s="18">
        <v>4.4000000000000004</v>
      </c>
      <c r="H38" s="18">
        <v>4.4000000000000004</v>
      </c>
      <c r="I38" s="18">
        <v>4.4000000000000004</v>
      </c>
      <c r="J38" s="18">
        <v>4.4000000000000004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>
        <v>4.4000000000000004</v>
      </c>
      <c r="G39" s="26">
        <v>4.4000000000000004</v>
      </c>
      <c r="H39" s="26">
        <v>4.4000000000000004</v>
      </c>
      <c r="I39" s="26">
        <v>4.4000000000000004</v>
      </c>
      <c r="J39" s="26">
        <v>4.4000000000000004</v>
      </c>
      <c r="K39" s="26"/>
    </row>
    <row r="40" spans="1:11" s="2" customFormat="1" ht="15.75" customHeight="1" thickBot="1">
      <c r="A40" s="14"/>
      <c r="B40" s="27" t="s">
        <v>111</v>
      </c>
      <c r="C40" s="32" t="str">
        <f>IF('S-ASIG-05'!D40="","",'S-ASIG-05'!D40)</f>
        <v>LIST</v>
      </c>
      <c r="D40" s="35" t="s">
        <v>102</v>
      </c>
      <c r="E40" s="146" t="str">
        <f>LIDER!$E$34</f>
        <v>GRUPO#6 VELAS FRAGAN'S CO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 t="str">
        <f>LIDER!F51</f>
        <v>BREYNER DUBAN MEDRANO MARTINEZ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4.5</v>
      </c>
      <c r="E41" s="142">
        <v>4.5</v>
      </c>
      <c r="F41" s="24">
        <v>4.5</v>
      </c>
      <c r="G41" s="24">
        <v>4.5</v>
      </c>
      <c r="H41" s="24">
        <v>4.5</v>
      </c>
      <c r="I41" s="24">
        <v>4.5</v>
      </c>
      <c r="J41" s="24">
        <v>4.5</v>
      </c>
      <c r="K41" s="24"/>
    </row>
    <row r="42" spans="1:11" s="2" customFormat="1" ht="15" customHeight="1">
      <c r="A42" s="12">
        <v>2</v>
      </c>
      <c r="B42" s="28" t="str">
        <f>LIDER!F52</f>
        <v>OSCAR ANDRES MONTILLA MUELAS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4.5</v>
      </c>
      <c r="E42" s="142"/>
      <c r="F42" s="18">
        <v>4.5</v>
      </c>
      <c r="G42" s="18">
        <v>4.5</v>
      </c>
      <c r="H42" s="18">
        <v>4.5</v>
      </c>
      <c r="I42" s="18">
        <v>4.5</v>
      </c>
      <c r="J42" s="18">
        <v>4.5</v>
      </c>
      <c r="K42" s="18"/>
    </row>
    <row r="43" spans="1:11" s="2" customFormat="1" ht="15" customHeight="1">
      <c r="A43" s="12">
        <v>3</v>
      </c>
      <c r="B43" s="28" t="str">
        <f>LIDER!F53</f>
        <v>CAMILO ANDRES ZUÑIGA LOPEZ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4.5</v>
      </c>
      <c r="E43" s="142"/>
      <c r="F43" s="18">
        <v>4.5</v>
      </c>
      <c r="G43" s="18">
        <v>4.5</v>
      </c>
      <c r="H43" s="18">
        <v>4.5</v>
      </c>
      <c r="I43" s="18">
        <v>4.5</v>
      </c>
      <c r="J43" s="18">
        <v>4.5</v>
      </c>
      <c r="K43" s="18"/>
    </row>
    <row r="44" spans="1:11" s="2" customFormat="1" ht="15" customHeight="1">
      <c r="A44" s="12">
        <v>4</v>
      </c>
      <c r="B44" s="28" t="str">
        <f>LIDER!F54</f>
        <v>ANGY CAROLINA ZUÑIGA VASQUEZ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4.5</v>
      </c>
      <c r="E44" s="142"/>
      <c r="F44" s="18">
        <v>4.5</v>
      </c>
      <c r="G44" s="18">
        <v>4.5</v>
      </c>
      <c r="H44" s="18">
        <v>4.5</v>
      </c>
      <c r="I44" s="18">
        <v>4.5</v>
      </c>
      <c r="J44" s="18">
        <v>4.5</v>
      </c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>
        <v>4.5</v>
      </c>
      <c r="G45" s="18">
        <v>4.5</v>
      </c>
      <c r="H45" s="18">
        <v>4.5</v>
      </c>
      <c r="I45" s="18">
        <v>4.5</v>
      </c>
      <c r="J45" s="18">
        <v>4.5</v>
      </c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>
        <v>4.5</v>
      </c>
      <c r="G46" s="26">
        <v>4.5</v>
      </c>
      <c r="H46" s="26">
        <v>4.5</v>
      </c>
      <c r="I46" s="26">
        <v>4.5</v>
      </c>
      <c r="J46" s="26">
        <v>4.5</v>
      </c>
      <c r="K46" s="26"/>
    </row>
    <row r="47" spans="1:11" s="2" customFormat="1" ht="15.75" customHeight="1" thickBot="1">
      <c r="A47" s="14"/>
      <c r="B47" s="27" t="s">
        <v>113</v>
      </c>
      <c r="C47" s="32" t="str">
        <f>IF('S-ASIG-05'!D47="","",'S-ASIG-05'!D47)</f>
        <v>LIST</v>
      </c>
      <c r="D47" s="35" t="s">
        <v>102</v>
      </c>
      <c r="E47" s="146" t="str">
        <f>LIDER!$E$35</f>
        <v>GRUPO#7 NATIVA GOURMET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RANYELYS MARIAN AYOLA PEREZ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4.5999999999999996</v>
      </c>
      <c r="E48" s="142">
        <v>4.5999999999999996</v>
      </c>
      <c r="F48" s="24">
        <v>4.5999999999999996</v>
      </c>
      <c r="G48" s="24">
        <v>4.5999999999999996</v>
      </c>
      <c r="H48" s="24">
        <v>4.5999999999999996</v>
      </c>
      <c r="I48" s="24">
        <v>4.5999999999999996</v>
      </c>
      <c r="J48" s="24">
        <v>4.5999999999999996</v>
      </c>
      <c r="K48" s="24"/>
    </row>
    <row r="49" spans="1:11" s="2" customFormat="1" ht="15" customHeight="1">
      <c r="A49" s="12">
        <v>2</v>
      </c>
      <c r="B49" s="28" t="str">
        <f>LIDER!G52</f>
        <v>NATALIA NARANJO MORRÓN</v>
      </c>
      <c r="C49" s="33" t="str">
        <f>IF('S-ASIG-05'!D49="","",'S-ASIG-05'!D49)</f>
        <v/>
      </c>
      <c r="D49" s="30">
        <f>IF(B49=0,"",IF(C49="",$E$48*LIDER!$H$19+F49*LIDER!$H$20+G49*LIDER!$H$21+H49*LIDER!$H$22+I49*LIDER!$H$23+J49*LIDER!$H$24+K49*LIDER!$H$25,"N"))</f>
        <v>4.5999999999999996</v>
      </c>
      <c r="E49" s="142"/>
      <c r="F49" s="18">
        <v>4.5999999999999996</v>
      </c>
      <c r="G49" s="18">
        <v>4.5999999999999996</v>
      </c>
      <c r="H49" s="18">
        <v>4.5999999999999996</v>
      </c>
      <c r="I49" s="18">
        <v>4.5999999999999996</v>
      </c>
      <c r="J49" s="18">
        <v>4.5999999999999996</v>
      </c>
      <c r="K49" s="18"/>
    </row>
    <row r="50" spans="1:11" s="2" customFormat="1" ht="15" customHeight="1">
      <c r="A50" s="12">
        <v>3</v>
      </c>
      <c r="B50" s="28" t="str">
        <f>LIDER!G53</f>
        <v>YENDER JOSE PUELLO TORRES</v>
      </c>
      <c r="C50" s="33" t="str">
        <f>IF('S-ASIG-05'!D50="","",'S-ASIG-05'!D50)</f>
        <v/>
      </c>
      <c r="D50" s="30">
        <f>IF(B50=0,"",IF(C50="",$E$48*LIDER!$H$19+F50*LIDER!$H$20+G50*LIDER!$H$21+H50*LIDER!$H$22+I50*LIDER!$H$23+J50*LIDER!$H$24+K50*LIDER!$H$25,"N"))</f>
        <v>4.5999999999999996</v>
      </c>
      <c r="E50" s="142"/>
      <c r="F50" s="18">
        <v>4.5999999999999996</v>
      </c>
      <c r="G50" s="18">
        <v>4.5999999999999996</v>
      </c>
      <c r="H50" s="18">
        <v>4.5999999999999996</v>
      </c>
      <c r="I50" s="18">
        <v>4.5999999999999996</v>
      </c>
      <c r="J50" s="18">
        <v>4.5999999999999996</v>
      </c>
      <c r="K50" s="18"/>
    </row>
    <row r="51" spans="1:11" s="2" customFormat="1" ht="15" customHeight="1">
      <c r="A51" s="12">
        <v>4</v>
      </c>
      <c r="B51" s="28" t="str">
        <f>LIDER!G54</f>
        <v>JHONATAN WATTS PINTO</v>
      </c>
      <c r="C51" s="33" t="str">
        <f>IF('S-ASIG-05'!D51="","",'S-ASIG-05'!D51)</f>
        <v/>
      </c>
      <c r="D51" s="30">
        <f>IF(B51=0,"",IF(C51="",$E$48*LIDER!$H$19+F51*LIDER!$H$20+G51*LIDER!$H$21+H51*LIDER!$H$22+I51*LIDER!$H$23+J51*LIDER!$H$24+K51*LIDER!$H$25,"N"))</f>
        <v>4.5999999999999996</v>
      </c>
      <c r="E51" s="142"/>
      <c r="F51" s="18">
        <v>4.5999999999999996</v>
      </c>
      <c r="G51" s="18">
        <v>4.5999999999999996</v>
      </c>
      <c r="H51" s="18">
        <v>4.5999999999999996</v>
      </c>
      <c r="I51" s="18">
        <v>4.5999999999999996</v>
      </c>
      <c r="J51" s="18">
        <v>4.5999999999999996</v>
      </c>
      <c r="K51" s="18"/>
    </row>
    <row r="52" spans="1:11" s="2" customFormat="1" ht="15" customHeight="1">
      <c r="A52" s="12">
        <v>5</v>
      </c>
      <c r="B52" s="28" t="str">
        <f>LIDER!G55</f>
        <v>Edgar Mauricio Zurique Gonzalez</v>
      </c>
      <c r="C52" s="33" t="str">
        <f>IF('S-ASIG-05'!D52="","",'S-ASIG-05'!D52)</f>
        <v/>
      </c>
      <c r="D52" s="30">
        <f>IF(B52=0,"",IF(C52="",$E$48*LIDER!$H$19+F52*LIDER!$H$20+G52*LIDER!$H$21+H52*LIDER!$H$22+I52*LIDER!$H$23+J52*LIDER!$H$24+K52*LIDER!$H$25,"N"))</f>
        <v>4.5999999999999996</v>
      </c>
      <c r="E52" s="142"/>
      <c r="F52" s="18">
        <v>4.5999999999999996</v>
      </c>
      <c r="G52" s="18">
        <v>4.5999999999999996</v>
      </c>
      <c r="H52" s="18">
        <v>4.5999999999999996</v>
      </c>
      <c r="I52" s="18">
        <v>4.5999999999999996</v>
      </c>
      <c r="J52" s="18">
        <v>4.5999999999999996</v>
      </c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>
        <v>4.5999999999999996</v>
      </c>
      <c r="G53" s="26">
        <v>4.5999999999999996</v>
      </c>
      <c r="H53" s="26">
        <v>4.5999999999999996</v>
      </c>
      <c r="I53" s="26">
        <v>4.5999999999999996</v>
      </c>
      <c r="J53" s="26">
        <v>4.5999999999999996</v>
      </c>
      <c r="K53" s="26"/>
    </row>
    <row r="54" spans="1:11" s="2" customFormat="1" ht="15.75" customHeight="1" thickBot="1">
      <c r="A54" s="14"/>
      <c r="B54" s="27" t="s">
        <v>86</v>
      </c>
      <c r="C54" s="32" t="str">
        <f>IF('S-ASIG-05'!D54="","",'S-ASIG-05'!D54)</f>
        <v>LIST</v>
      </c>
      <c r="D54" s="35" t="s">
        <v>102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IF('S-ASIG-05'!D61="","",'S-ASIG-05'!D61)</f>
        <v>LIST</v>
      </c>
      <c r="D61" s="35" t="s">
        <v>102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IF('S-ASIG-05'!D68="","",'S-ASIG-05'!D68)</f>
        <v>LIST</v>
      </c>
      <c r="D68" s="35" t="s">
        <v>102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IF('S-ASIG-05'!D75="","",'S-ASIG-05'!D75)</f>
        <v>LIST</v>
      </c>
      <c r="D75" s="35" t="s">
        <v>102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IF('S-ASIG-05'!D82="","",'S-ASIG-05'!D82)</f>
        <v>LIST</v>
      </c>
      <c r="D82" s="35" t="s">
        <v>102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tabSelected="1" workbookViewId="0">
      <pane xSplit="4" ySplit="3" topLeftCell="E47" activePane="bottomRight" state="frozen"/>
      <selection pane="bottomRight" activeCell="F51" sqref="F51:J52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LIDER!H4</f>
        <v>D.F.I.</v>
      </c>
      <c r="C2" s="3"/>
      <c r="E2" s="147" t="s">
        <v>97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98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CONCATENATE(LIDER!H4," - ",LIDER!H6," - ",LIDER!H5)</f>
        <v>D.F.I. - 1492 - OMAR JOSE CEDIEL TANG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99</v>
      </c>
      <c r="C5" s="34" t="str">
        <f>IF('S-ASIG-06'!D5="","",'S-ASIG-06'!D5)</f>
        <v>LIST</v>
      </c>
      <c r="D5" s="35" t="s">
        <v>102</v>
      </c>
      <c r="E5" s="146" t="str">
        <f>LIDER!$E$29</f>
        <v>GRUPO#1  FERTILIZANTES ORGANICOS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ALVARO JOSE BERROCAL NARVAEZ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4.6000000000000005</v>
      </c>
      <c r="E6" s="142">
        <v>4.7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SAMUEL HERNANDEZ VELEZ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4.6000000000000005</v>
      </c>
      <c r="E7" s="142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YHON DEIVIS MARTINEZ CONTRERAS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4.6000000000000005</v>
      </c>
      <c r="E8" s="142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VALERIA NARVAEZ FUENTES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4.6000000000000005</v>
      </c>
      <c r="E9" s="142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 t="str">
        <f>LIDER!E47</f>
        <v>MICHELL ANDREA RODRIGUEZ HERRERA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4.6000000000000005</v>
      </c>
      <c r="E10" s="142"/>
      <c r="F10" s="18">
        <v>4.5</v>
      </c>
      <c r="G10" s="18">
        <v>4.5</v>
      </c>
      <c r="H10" s="18">
        <v>4.5</v>
      </c>
      <c r="I10" s="18">
        <v>4.5</v>
      </c>
      <c r="J10" s="18">
        <v>4.5</v>
      </c>
      <c r="K10" s="18"/>
    </row>
    <row r="11" spans="1:11" s="2" customFormat="1" ht="15.75" customHeight="1" thickBot="1">
      <c r="A11" s="13">
        <v>6</v>
      </c>
      <c r="B11" s="28" t="str">
        <f>LIDER!E48</f>
        <v>EMMANUEL DE JESUS ROJAS TORRES</v>
      </c>
      <c r="C11" s="33" t="str">
        <f>IF('S-ASIG-06'!D11="","",'S-ASIG-06'!D11)</f>
        <v/>
      </c>
      <c r="D11" s="30">
        <f>IF(B11=0,"",IF(C11="",$E$6*LIDER!$H$19+F11*LIDER!$H$20+G11*LIDER!$H$21+H11*LIDER!$H$22+I11*LIDER!$H$23+J11*LIDER!$H$24+K11*LIDER!$H$25,"N"))</f>
        <v>4.6000000000000005</v>
      </c>
      <c r="E11" s="142"/>
      <c r="F11" s="26">
        <v>4.5</v>
      </c>
      <c r="G11" s="26">
        <v>4.5</v>
      </c>
      <c r="H11" s="26">
        <v>4.5</v>
      </c>
      <c r="I11" s="26">
        <v>4.5</v>
      </c>
      <c r="J11" s="26">
        <v>4.5</v>
      </c>
      <c r="K11" s="26"/>
    </row>
    <row r="12" spans="1:11" s="2" customFormat="1" ht="15.75" customHeight="1" thickBot="1">
      <c r="A12" s="8"/>
      <c r="B12" s="27" t="s">
        <v>103</v>
      </c>
      <c r="C12" s="32" t="str">
        <f>IF('S-ASIG-06'!D12="","",'S-ASIG-06'!D12)</f>
        <v>LIST</v>
      </c>
      <c r="D12" s="35" t="s">
        <v>102</v>
      </c>
      <c r="E12" s="146" t="str">
        <f>LIDER!$E$30</f>
        <v>GRUPO#2 ROPA SAFI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JARY DANIELA CALLE DONADO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4.1000000000000005</v>
      </c>
      <c r="E13" s="142">
        <v>4.2</v>
      </c>
      <c r="F13" s="24">
        <v>4</v>
      </c>
      <c r="G13" s="24">
        <v>4</v>
      </c>
      <c r="H13" s="24">
        <v>4</v>
      </c>
      <c r="I13" s="24">
        <v>4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SAID JOSE CASTILLO MORALES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4.1000000000000005</v>
      </c>
      <c r="E14" s="142"/>
      <c r="F14" s="18">
        <v>4</v>
      </c>
      <c r="G14" s="18">
        <v>4</v>
      </c>
      <c r="H14" s="18">
        <v>4</v>
      </c>
      <c r="I14" s="18">
        <v>4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DANNA VALENTINA CORTES MENDOZA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4.1000000000000005</v>
      </c>
      <c r="E15" s="142"/>
      <c r="F15" s="18">
        <v>4</v>
      </c>
      <c r="G15" s="18">
        <v>4</v>
      </c>
      <c r="H15" s="18">
        <v>4</v>
      </c>
      <c r="I15" s="18">
        <v>4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SEBASTIAN GÖMEZ CASTILLO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4.1000000000000005</v>
      </c>
      <c r="E16" s="142"/>
      <c r="F16" s="18">
        <v>4</v>
      </c>
      <c r="G16" s="18">
        <v>4</v>
      </c>
      <c r="H16" s="18">
        <v>4</v>
      </c>
      <c r="I16" s="18">
        <v>4</v>
      </c>
      <c r="J16" s="18">
        <v>4</v>
      </c>
      <c r="K16" s="18"/>
    </row>
    <row r="17" spans="1:11" s="2" customFormat="1" ht="15" customHeight="1">
      <c r="A17" s="12">
        <v>5</v>
      </c>
      <c r="B17" s="28" t="str">
        <f>LIDER!F47</f>
        <v>MARIA PAULA SIMARRA PAEZ</v>
      </c>
      <c r="C17" s="33" t="str">
        <f>IF('S-ASIG-06'!D17="","",'S-ASIG-06'!D17)</f>
        <v>N</v>
      </c>
      <c r="D17" s="30" t="str">
        <f>IF(B17=0,"",IF(C17="",$E$13*LIDER!$H$19+F17*LIDER!$H$20+G17*LIDER!$H$21+H17*LIDER!$H$22+I17*LIDER!$H$23+J17*LIDER!$H$24+K17*LIDER!$H$25,"N"))</f>
        <v>N</v>
      </c>
      <c r="E17" s="14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105</v>
      </c>
      <c r="C19" s="32" t="str">
        <f>IF('S-ASIG-06'!D19="","",'S-ASIG-06'!D19)</f>
        <v>LIST</v>
      </c>
      <c r="D19" s="35" t="s">
        <v>102</v>
      </c>
      <c r="E19" s="146" t="str">
        <f>LIDER!$E$31</f>
        <v>GRUPO#3 GORRAS-MERKATEX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JUAN CAMILO CARREAZO BOLAÑOS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4.1500000000000004</v>
      </c>
      <c r="E20" s="142">
        <v>3.8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FELIPE HERNANDEZ CORREA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4.1500000000000004</v>
      </c>
      <c r="E21" s="142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VICKY SADAY LAGUNA SUÁREZ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4.1500000000000004</v>
      </c>
      <c r="E22" s="142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JHON DEIVER MAZA VALVERDE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4.1500000000000004</v>
      </c>
      <c r="E23" s="142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JHON JAIRO OROZCO BALLESTAS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4.1500000000000004</v>
      </c>
      <c r="E24" s="142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107</v>
      </c>
      <c r="C26" s="32" t="str">
        <f>IF('S-ASIG-06'!D26="","",'S-ASIG-06'!D26)</f>
        <v>LIST</v>
      </c>
      <c r="D26" s="35" t="s">
        <v>102</v>
      </c>
      <c r="E26" s="146" t="str">
        <f>LIDER!$E$32</f>
        <v>GRUPO#4 CRUNCH DE FRUTAS DESHIDRATADAS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MARIANA ALEJANDRA ARENAS BUSTILLO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4.8500000000000005</v>
      </c>
      <c r="E27" s="142">
        <v>5</v>
      </c>
      <c r="F27" s="24">
        <v>4.7</v>
      </c>
      <c r="G27" s="24">
        <v>4.7</v>
      </c>
      <c r="H27" s="24">
        <v>4.7</v>
      </c>
      <c r="I27" s="24">
        <v>4.7</v>
      </c>
      <c r="J27" s="24">
        <v>4.7</v>
      </c>
      <c r="K27" s="24"/>
    </row>
    <row r="28" spans="1:11" s="2" customFormat="1" ht="15" customHeight="1">
      <c r="A28" s="12">
        <v>2</v>
      </c>
      <c r="B28" s="28" t="str">
        <f>LIDER!H44</f>
        <v>DANIELA FIGUEROA CASTELLAR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4.8500000000000005</v>
      </c>
      <c r="E28" s="142"/>
      <c r="F28" s="18">
        <v>4.7</v>
      </c>
      <c r="G28" s="18">
        <v>4.7</v>
      </c>
      <c r="H28" s="18">
        <v>4.7</v>
      </c>
      <c r="I28" s="18">
        <v>4.7</v>
      </c>
      <c r="J28" s="18">
        <v>4.7</v>
      </c>
      <c r="K28" s="18"/>
    </row>
    <row r="29" spans="1:11" s="2" customFormat="1" ht="15" customHeight="1">
      <c r="A29" s="12">
        <v>3</v>
      </c>
      <c r="B29" s="28" t="str">
        <f>LIDER!H45</f>
        <v>WENDY PAOLA LARA CORTINA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4.8500000000000005</v>
      </c>
      <c r="E29" s="142"/>
      <c r="F29" s="18">
        <v>4.7</v>
      </c>
      <c r="G29" s="18">
        <v>4.7</v>
      </c>
      <c r="H29" s="18">
        <v>4.7</v>
      </c>
      <c r="I29" s="18">
        <v>4.7</v>
      </c>
      <c r="J29" s="18">
        <v>4.7</v>
      </c>
      <c r="K29" s="18"/>
    </row>
    <row r="30" spans="1:11" s="2" customFormat="1" ht="15" customHeight="1">
      <c r="A30" s="12">
        <v>4</v>
      </c>
      <c r="B30" s="28" t="str">
        <f>LIDER!H46</f>
        <v>MAYRA ALEJANDRA NAVARRO LOPEZ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4.8500000000000005</v>
      </c>
      <c r="E30" s="142"/>
      <c r="F30" s="18">
        <v>4.7</v>
      </c>
      <c r="G30" s="18">
        <v>4.7</v>
      </c>
      <c r="H30" s="18">
        <v>4.7</v>
      </c>
      <c r="I30" s="18">
        <v>4.7</v>
      </c>
      <c r="J30" s="18">
        <v>4.7</v>
      </c>
      <c r="K30" s="18"/>
    </row>
    <row r="31" spans="1:11" s="2" customFormat="1" ht="15" customHeight="1">
      <c r="A31" s="12">
        <v>5</v>
      </c>
      <c r="B31" s="28" t="str">
        <f>LIDER!H47</f>
        <v>DANIEL DE JESUS VILLADIEGO VELASQUEZ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4.8500000000000005</v>
      </c>
      <c r="E31" s="142"/>
      <c r="F31" s="18">
        <v>4.7</v>
      </c>
      <c r="G31" s="18">
        <v>4.7</v>
      </c>
      <c r="H31" s="18">
        <v>4.7</v>
      </c>
      <c r="I31" s="18">
        <v>4.7</v>
      </c>
      <c r="J31" s="18">
        <v>4.7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109</v>
      </c>
      <c r="C33" s="32" t="str">
        <f>IF('S-ASIG-06'!D33="","",'S-ASIG-06'!D33)</f>
        <v>LIST</v>
      </c>
      <c r="D33" s="35" t="s">
        <v>102</v>
      </c>
      <c r="E33" s="146" t="str">
        <f>LIDER!$E$33</f>
        <v>GRUPO#5 Crema Capilar NATURAL CROWN S.A.S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Oscar Herrera Himbret</v>
      </c>
      <c r="C34" s="33" t="str">
        <f>IF('S-ASIG-06'!D34="","",'S-ASIG-06'!D34)</f>
        <v>N</v>
      </c>
      <c r="D34" s="30" t="str">
        <f>IF(B34=0,"",IF(C34="",$E$34*LIDER!$H$19+F34*LIDER!$H$20+G34*LIDER!$H$21+H34*LIDER!$H$22+I34*LIDER!$H$23+J34*LIDER!$H$24+K34*LIDER!$H$25,"N"))</f>
        <v>N</v>
      </c>
      <c r="E34" s="142">
        <v>4</v>
      </c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NEIBILIS ROSA OBESO BORNACHERA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3.8500000000000005</v>
      </c>
      <c r="E35" s="142"/>
      <c r="F35" s="18">
        <v>3.7</v>
      </c>
      <c r="G35" s="18">
        <v>3.7</v>
      </c>
      <c r="H35" s="18">
        <v>3.7</v>
      </c>
      <c r="I35" s="18">
        <v>3.7</v>
      </c>
      <c r="J35" s="18">
        <v>3.7</v>
      </c>
      <c r="K35" s="18"/>
    </row>
    <row r="36" spans="1:11" s="2" customFormat="1" ht="15" customHeight="1">
      <c r="A36" s="12">
        <v>3</v>
      </c>
      <c r="B36" s="28" t="str">
        <f>LIDER!E53</f>
        <v>AMÉRICA ROJAS BARROS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3.8500000000000005</v>
      </c>
      <c r="E36" s="142"/>
      <c r="F36" s="18">
        <v>3.7</v>
      </c>
      <c r="G36" s="18">
        <v>3.7</v>
      </c>
      <c r="H36" s="18">
        <v>3.7</v>
      </c>
      <c r="I36" s="18">
        <v>3.7</v>
      </c>
      <c r="J36" s="18">
        <v>3.7</v>
      </c>
      <c r="K36" s="18"/>
    </row>
    <row r="37" spans="1:11" s="2" customFormat="1" ht="15" customHeight="1">
      <c r="A37" s="12">
        <v>4</v>
      </c>
      <c r="B37" s="28" t="str">
        <f>LIDER!E54</f>
        <v>IVAN CAMILO RODRIGUEZ THERAN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3.8500000000000005</v>
      </c>
      <c r="E37" s="142"/>
      <c r="F37" s="18">
        <v>3.7</v>
      </c>
      <c r="G37" s="18">
        <v>3.7</v>
      </c>
      <c r="H37" s="18">
        <v>3.7</v>
      </c>
      <c r="I37" s="18">
        <v>3.7</v>
      </c>
      <c r="J37" s="18">
        <v>3.7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111</v>
      </c>
      <c r="C40" s="32" t="str">
        <f>IF('S-ASIG-06'!D40="","",'S-ASIG-06'!D40)</f>
        <v>LIST</v>
      </c>
      <c r="D40" s="35" t="s">
        <v>102</v>
      </c>
      <c r="E40" s="146" t="str">
        <f>LIDER!$E$34</f>
        <v>GRUPO#6 VELAS FRAGAN'S CO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 t="str">
        <f>LIDER!F51</f>
        <v>BREYNER DUBAN MEDRANO MARTINEZ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3.8500000000000005</v>
      </c>
      <c r="E41" s="142">
        <v>3.7</v>
      </c>
      <c r="F41" s="24">
        <v>4</v>
      </c>
      <c r="G41" s="24">
        <v>4</v>
      </c>
      <c r="H41" s="24">
        <v>4</v>
      </c>
      <c r="I41" s="24">
        <v>4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>OSCAR ANDRES MONTILLA MUELAS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3.8500000000000005</v>
      </c>
      <c r="E42" s="142"/>
      <c r="F42" s="18">
        <v>4</v>
      </c>
      <c r="G42" s="18">
        <v>4</v>
      </c>
      <c r="H42" s="18">
        <v>4</v>
      </c>
      <c r="I42" s="18">
        <v>4</v>
      </c>
      <c r="J42" s="18">
        <v>4</v>
      </c>
      <c r="K42" s="18"/>
    </row>
    <row r="43" spans="1:11" s="2" customFormat="1" ht="15" customHeight="1">
      <c r="A43" s="12">
        <v>3</v>
      </c>
      <c r="B43" s="28" t="str">
        <f>LIDER!F53</f>
        <v>CAMILO ANDRES ZUÑIGA LOPEZ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3.8500000000000005</v>
      </c>
      <c r="E43" s="142"/>
      <c r="F43" s="18">
        <v>4</v>
      </c>
      <c r="G43" s="18">
        <v>4</v>
      </c>
      <c r="H43" s="18">
        <v>4</v>
      </c>
      <c r="I43" s="18">
        <v>4</v>
      </c>
      <c r="J43" s="18">
        <v>4</v>
      </c>
      <c r="K43" s="18"/>
    </row>
    <row r="44" spans="1:11" s="2" customFormat="1" ht="15" customHeight="1">
      <c r="A44" s="12">
        <v>4</v>
      </c>
      <c r="B44" s="28" t="str">
        <f>LIDER!F54</f>
        <v>ANGY CAROLINA ZUÑIGA VASQUEZ</v>
      </c>
      <c r="C44" s="33" t="str">
        <f>IF('S-ASIG-06'!D44="","",'S-ASIG-06'!D44)</f>
        <v/>
      </c>
      <c r="D44" s="30">
        <f>IF(B44=0,"",IF(C44="",$E$41*LIDER!$H$19+F44*LIDER!$H$20+G44*LIDER!$H$21+H44*LIDER!$H$22+I44*LIDER!$H$23+J44*LIDER!$H$24+K44*LIDER!$H$25,"N"))</f>
        <v>3.8500000000000005</v>
      </c>
      <c r="E44" s="142"/>
      <c r="F44" s="18">
        <v>4</v>
      </c>
      <c r="G44" s="18">
        <v>4</v>
      </c>
      <c r="H44" s="18">
        <v>4</v>
      </c>
      <c r="I44" s="18">
        <v>4</v>
      </c>
      <c r="J44" s="18">
        <v>4</v>
      </c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113</v>
      </c>
      <c r="C47" s="32" t="str">
        <f>IF('S-ASIG-06'!D47="","",'S-ASIG-06'!D47)</f>
        <v>LIST</v>
      </c>
      <c r="D47" s="35" t="s">
        <v>102</v>
      </c>
      <c r="E47" s="146" t="str">
        <f>LIDER!$E$35</f>
        <v>GRUPO#7 NATIVA GOURMET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RANYELYS MARIAN AYOLA PEREZ</v>
      </c>
      <c r="C48" s="33" t="str">
        <f>IF('S-ASIG-06'!D48="","",'S-ASIG-06'!D48)</f>
        <v/>
      </c>
      <c r="D48" s="30">
        <f>IF(B48=0,"",IF(C48="",$E$48*LIDER!$H$19+F48*LIDER!$H$20+G48*LIDER!$H$21+H48*LIDER!$H$22+I48*LIDER!$H$23+J48*LIDER!$H$24+K48*LIDER!$H$25,"N"))</f>
        <v>4.75</v>
      </c>
      <c r="E48" s="142">
        <v>4.5</v>
      </c>
      <c r="F48" s="24">
        <v>5</v>
      </c>
      <c r="G48" s="24">
        <v>5</v>
      </c>
      <c r="H48" s="24">
        <v>5</v>
      </c>
      <c r="I48" s="24">
        <v>5</v>
      </c>
      <c r="J48" s="24">
        <v>5</v>
      </c>
      <c r="K48" s="24"/>
    </row>
    <row r="49" spans="1:11" s="2" customFormat="1" ht="15" customHeight="1">
      <c r="A49" s="12">
        <v>2</v>
      </c>
      <c r="B49" s="28" t="str">
        <f>LIDER!G52</f>
        <v>NATALIA NARANJO MORRÓN</v>
      </c>
      <c r="C49" s="33" t="str">
        <f>IF('S-ASIG-06'!D49="","",'S-ASIG-06'!D49)</f>
        <v/>
      </c>
      <c r="D49" s="30">
        <f>IF(B49=0,"",IF(C49="",$E$48*LIDER!$H$19+F49*LIDER!$H$20+G49*LIDER!$H$21+H49*LIDER!$H$22+I49*LIDER!$H$23+J49*LIDER!$H$24+K49*LIDER!$H$25,"N"))</f>
        <v>4.75</v>
      </c>
      <c r="E49" s="142"/>
      <c r="F49" s="18">
        <v>5</v>
      </c>
      <c r="G49" s="18">
        <v>5</v>
      </c>
      <c r="H49" s="18">
        <v>5</v>
      </c>
      <c r="I49" s="18">
        <v>5</v>
      </c>
      <c r="J49" s="18">
        <v>5</v>
      </c>
      <c r="K49" s="18"/>
    </row>
    <row r="50" spans="1:11" s="2" customFormat="1" ht="15" customHeight="1">
      <c r="A50" s="12">
        <v>3</v>
      </c>
      <c r="B50" s="28" t="str">
        <f>LIDER!G53</f>
        <v>YENDER JOSE PUELLO TORRES</v>
      </c>
      <c r="C50" s="33" t="str">
        <f>IF('S-ASIG-06'!D50="","",'S-ASIG-06'!D50)</f>
        <v>N</v>
      </c>
      <c r="D50" s="30" t="str">
        <f>IF(B50=0,"",IF(C50="",$E$48*LIDER!$H$19+F50*LIDER!$H$20+G50*LIDER!$H$21+H50*LIDER!$H$22+I50*LIDER!$H$23+J50*LIDER!$H$24+K50*LIDER!$H$25,"N"))</f>
        <v>N</v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JHONATAN WATTS PINTO</v>
      </c>
      <c r="C51" s="33" t="str">
        <f>IF('S-ASIG-06'!D51="","",'S-ASIG-06'!D51)</f>
        <v/>
      </c>
      <c r="D51" s="30">
        <f>IF(B51=0,"",IF(C51="",$E$48*LIDER!$H$19+F51*LIDER!$H$20+G51*LIDER!$H$21+H51*LIDER!$H$22+I51*LIDER!$H$23+J51*LIDER!$H$24+K51*LIDER!$H$25,"N"))</f>
        <v>4.75</v>
      </c>
      <c r="E51" s="142"/>
      <c r="F51" s="18">
        <v>5</v>
      </c>
      <c r="G51" s="18">
        <v>5</v>
      </c>
      <c r="H51" s="18">
        <v>5</v>
      </c>
      <c r="I51" s="18">
        <v>5</v>
      </c>
      <c r="J51" s="18">
        <v>5</v>
      </c>
      <c r="K51" s="18"/>
    </row>
    <row r="52" spans="1:11" s="2" customFormat="1" ht="15" customHeight="1">
      <c r="A52" s="12">
        <v>5</v>
      </c>
      <c r="B52" s="28" t="str">
        <f>LIDER!G55</f>
        <v>Edgar Mauricio Zurique Gonzalez</v>
      </c>
      <c r="C52" s="33" t="str">
        <f>IF('S-ASIG-06'!D52="","",'S-ASIG-06'!D52)</f>
        <v/>
      </c>
      <c r="D52" s="30">
        <f>IF(B52=0,"",IF(C52="",$E$48*LIDER!$H$19+F52*LIDER!$H$20+G52*LIDER!$H$21+H52*LIDER!$H$22+I52*LIDER!$H$23+J52*LIDER!$H$24+K52*LIDER!$H$25,"N"))</f>
        <v>4.75</v>
      </c>
      <c r="E52" s="142"/>
      <c r="F52" s="18">
        <v>5</v>
      </c>
      <c r="G52" s="18">
        <v>5</v>
      </c>
      <c r="H52" s="18">
        <v>5</v>
      </c>
      <c r="I52" s="18">
        <v>5</v>
      </c>
      <c r="J52" s="18">
        <v>5</v>
      </c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IF('S-ASIG-06'!D54="","",'S-ASIG-06'!D54)</f>
        <v>LIST</v>
      </c>
      <c r="D54" s="35" t="s">
        <v>102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IF('S-ASIG-06'!D61="","",'S-ASIG-06'!D61)</f>
        <v>LIST</v>
      </c>
      <c r="D61" s="35" t="s">
        <v>102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IF('S-ASIG-06'!D68="","",'S-ASIG-06'!D68)</f>
        <v>LIST</v>
      </c>
      <c r="D68" s="35" t="s">
        <v>102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IF('S-ASIG-06'!D75="","",'S-ASIG-06'!D75)</f>
        <v>LIST</v>
      </c>
      <c r="D75" s="35" t="s">
        <v>102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IF('S-ASIG-06'!D82="","",'S-ASIG-06'!D82)</f>
        <v>LIST</v>
      </c>
      <c r="D82" s="35" t="s">
        <v>102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>
        <f>LIDER!I4</f>
        <v>0</v>
      </c>
      <c r="C2" s="3"/>
      <c r="E2" s="147" t="s">
        <v>97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98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CONCATENATE(LIDER!I4," - ",LIDER!I6," - ",LIDER!I5)</f>
        <v xml:space="preserve"> -  - 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99</v>
      </c>
      <c r="C5" s="34" t="str">
        <f>IF('S-ASIG-07'!D5="","",'S-ASIG-07'!D5)</f>
        <v>LIST</v>
      </c>
      <c r="D5" s="35" t="s">
        <v>102</v>
      </c>
      <c r="E5" s="146" t="str">
        <f>LIDER!$E$29</f>
        <v>GRUPO#1  FERTILIZANTES ORGANICOS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ALVARO JOSE BERROCAL NARVAEZ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4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SAMUEL HERNANDEZ VELEZ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YHON DEIVIS MARTINEZ CONTRERAS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VALERIA NARVAEZ FUENTES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4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MICHELL ANDREA RODRIGUEZ HERRERA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4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EMMANUEL DE JESUS ROJAS TORRES</v>
      </c>
      <c r="C11" s="33" t="str">
        <f>IF('S-ASIG-07'!D11="","",'S-ASIG-07'!D11)</f>
        <v/>
      </c>
      <c r="D11" s="30">
        <f>IF(B11=0,"",IF(C11="",$E$6*LIDER!$H$19+F11*LIDER!$H$20+G11*LIDER!$H$21+H11*LIDER!$H$22+I11*LIDER!$H$23+J11*LIDER!$H$24+K11*LIDER!$H$25,"N"))</f>
        <v>0</v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103</v>
      </c>
      <c r="C12" s="32" t="str">
        <f>IF('S-ASIG-07'!D12="","",'S-ASIG-07'!D12)</f>
        <v>LIST</v>
      </c>
      <c r="D12" s="35" t="s">
        <v>102</v>
      </c>
      <c r="E12" s="146" t="str">
        <f>LIDER!$E$30</f>
        <v>GRUPO#2 ROPA SAFI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JARY DANIELA CALLE DONADO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2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SAID JOSE CASTILLO MORALES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DANNA VALENTINA CORTES MENDOZA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SEBASTIAN GÖMEZ CASTILLO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4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MARIA PAULA SIMARRA PAEZ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4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105</v>
      </c>
      <c r="C19" s="32" t="str">
        <f>IF('S-ASIG-07'!D19="","",'S-ASIG-07'!D19)</f>
        <v>LIST</v>
      </c>
      <c r="D19" s="35" t="s">
        <v>102</v>
      </c>
      <c r="E19" s="146" t="str">
        <f>LIDER!$E$31</f>
        <v>GRUPO#3 GORRAS-MERKATEX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JUAN CAMILO CARREAZO BOLAÑOS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42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FELIPE HERNANDEZ CORREA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4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VICKY SADAY LAGUNA SUÁREZ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4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JHON DEIVER MAZA VALVERDE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4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JHON JAIRO OROZCO BALLESTAS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107</v>
      </c>
      <c r="C26" s="32" t="str">
        <f>IF('S-ASIG-07'!D26="","",'S-ASIG-07'!D26)</f>
        <v>LIST</v>
      </c>
      <c r="D26" s="35" t="s">
        <v>102</v>
      </c>
      <c r="E26" s="146" t="str">
        <f>LIDER!$E$32</f>
        <v>GRUPO#4 CRUNCH DE FRUTAS DESHIDRATADAS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MARIANA ALEJANDRA ARENAS BUSTILLO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4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DANIELA FIGUEROA CASTELLAR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4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WENDY PAOLA LARA CORTINA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4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MAYRA ALEJANDRA NAVARRO LOPEZ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DANIEL DE JESUS VILLADIEGO VELASQUEZ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109</v>
      </c>
      <c r="C33" s="32" t="str">
        <f>IF('S-ASIG-07'!D33="","",'S-ASIG-07'!D33)</f>
        <v>LIST</v>
      </c>
      <c r="D33" s="35" t="s">
        <v>102</v>
      </c>
      <c r="E33" s="146" t="str">
        <f>LIDER!$E$33</f>
        <v>GRUPO#5 Crema Capilar NATURAL CROWN S.A.S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Oscar Herrera Himbret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NEIBILIS ROSA OBESO BORNACHERA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AMÉRICA ROJAS BARROS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IVAN CAMILO RODRIGUEZ THERAN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111</v>
      </c>
      <c r="C40" s="32" t="str">
        <f>IF('S-ASIG-07'!D40="","",'S-ASIG-07'!D40)</f>
        <v>LIST</v>
      </c>
      <c r="D40" s="35" t="s">
        <v>102</v>
      </c>
      <c r="E40" s="146" t="str">
        <f>LIDER!$E$34</f>
        <v>GRUPO#6 VELAS FRAGAN'S CO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 t="str">
        <f>LIDER!F51</f>
        <v>BREYNER DUBAN MEDRANO MARTINEZ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OSCAR ANDRES MONTILLA MUELAS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CAMILO ANDRES ZUÑIGA LOPEZ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ANGY CAROLINA ZUÑIGA VASQUEZ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0</v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113</v>
      </c>
      <c r="C47" s="32" t="str">
        <f>IF('S-ASIG-07'!D47="","",'S-ASIG-07'!D47)</f>
        <v>LIST</v>
      </c>
      <c r="D47" s="35" t="s">
        <v>102</v>
      </c>
      <c r="E47" s="146" t="str">
        <f>LIDER!$E$35</f>
        <v>GRUPO#7 NATIVA GOURMET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RANYELYS MARIAN AYOLA PEREZ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0</v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NATALIA NARANJO MORRÓN</v>
      </c>
      <c r="C49" s="33" t="str">
        <f>IF('S-ASIG-07'!D49="","",'S-ASIG-07'!D49)</f>
        <v/>
      </c>
      <c r="D49" s="30">
        <f>IF(B49=0,"",IF(C49="",$E$48*LIDER!$H$19+F49*LIDER!$H$20+G49*LIDER!$H$21+H49*LIDER!$H$22+I49*LIDER!$H$23+J49*LIDER!$H$24+K49*LIDER!$H$25,"N"))</f>
        <v>0</v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YENDER JOSE PUELLO TORRES</v>
      </c>
      <c r="C50" s="33" t="str">
        <f>IF('S-ASIG-07'!D50="","",'S-ASIG-07'!D50)</f>
        <v/>
      </c>
      <c r="D50" s="30">
        <f>IF(B50=0,"",IF(C50="",$E$48*LIDER!$H$19+F50*LIDER!$H$20+G50*LIDER!$H$21+H50*LIDER!$H$22+I50*LIDER!$H$23+J50*LIDER!$H$24+K50*LIDER!$H$25,"N"))</f>
        <v>0</v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JHONATAN WATTS PINTO</v>
      </c>
      <c r="C51" s="33" t="str">
        <f>IF('S-ASIG-07'!D51="","",'S-ASIG-07'!D51)</f>
        <v/>
      </c>
      <c r="D51" s="30">
        <f>IF(B51=0,"",IF(C51="",$E$48*LIDER!$H$19+F51*LIDER!$H$20+G51*LIDER!$H$21+H51*LIDER!$H$22+I51*LIDER!$H$23+J51*LIDER!$H$24+K51*LIDER!$H$25,"N"))</f>
        <v>0</v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Edgar Mauricio Zurique Gonzalez</v>
      </c>
      <c r="C52" s="33" t="str">
        <f>IF('S-ASIG-07'!D52="","",'S-ASIG-07'!D52)</f>
        <v/>
      </c>
      <c r="D52" s="30">
        <f>IF(B52=0,"",IF(C52="",$E$48*LIDER!$H$19+F52*LIDER!$H$20+G52*LIDER!$H$21+H52*LIDER!$H$22+I52*LIDER!$H$23+J52*LIDER!$H$24+K52*LIDER!$H$25,"N"))</f>
        <v>0</v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IF('S-ASIG-07'!D54="","",'S-ASIG-07'!D54)</f>
        <v>LIST</v>
      </c>
      <c r="D54" s="35" t="s">
        <v>102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IF('S-ASIG-07'!D61="","",'S-ASIG-07'!D61)</f>
        <v>LIST</v>
      </c>
      <c r="D61" s="35" t="s">
        <v>102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IF('S-ASIG-07'!D68="","",'S-ASIG-07'!D68)</f>
        <v>LIST</v>
      </c>
      <c r="D68" s="35" t="s">
        <v>102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IF('S-ASIG-07'!D75="","",'S-ASIG-07'!D75)</f>
        <v>LIST</v>
      </c>
      <c r="D75" s="35" t="s">
        <v>102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IF('S-ASIG-07'!D82="","",'S-ASIG-07'!D82)</f>
        <v>LIST</v>
      </c>
      <c r="D82" s="35" t="s">
        <v>102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J5" activePane="bottomRight" state="frozen"/>
      <selection pane="bottomRight"/>
      <selection pane="bottomLeft" activeCell="F62" sqref="F62:J67"/>
      <selection pane="topRight" activeCell="F62" sqref="F62:J67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8" t="str">
        <f>LIDER!B2</f>
        <v>TECNOLOGÍA EN GESTIÓN DE NEGOCIOS INTERN</v>
      </c>
      <c r="H1" s="218"/>
      <c r="I1" s="218"/>
      <c r="J1" s="218"/>
      <c r="K1" s="218"/>
      <c r="L1" s="218"/>
      <c r="M1" s="218"/>
      <c r="N1" s="217" t="str">
        <f>LIDER!E2</f>
        <v>SEMESTRE:</v>
      </c>
      <c r="O1" s="217"/>
      <c r="P1" s="44" t="str">
        <f>LIDER!F2</f>
        <v>SEM-06</v>
      </c>
      <c r="Q1" s="43" t="str">
        <f>LIDER!G2</f>
        <v>SECCIÓN:</v>
      </c>
      <c r="R1" s="44">
        <f>LIDER!H2</f>
        <v>3</v>
      </c>
      <c r="S1" s="42"/>
      <c r="T1" s="42"/>
      <c r="U1" s="45"/>
    </row>
    <row r="2" spans="1:22" ht="20.100000000000001" customHeight="1" thickBot="1">
      <c r="G2" s="214" t="s">
        <v>121</v>
      </c>
      <c r="H2" s="215"/>
      <c r="I2" s="215"/>
      <c r="J2" s="215"/>
      <c r="K2" s="215"/>
      <c r="L2" s="215"/>
      <c r="M2" s="216"/>
      <c r="N2" s="2"/>
      <c r="O2" s="219" t="s">
        <v>122</v>
      </c>
      <c r="P2" s="220"/>
      <c r="Q2" s="220"/>
      <c r="R2" s="220"/>
      <c r="S2" s="220"/>
      <c r="T2" s="220"/>
      <c r="U2" s="221"/>
    </row>
    <row r="3" spans="1:22" ht="20.100000000000001" customHeight="1" thickBot="1">
      <c r="G3" s="48" t="str">
        <f>CONCATENATE("N° : ",LIDER!C6)</f>
        <v>N° : 2444</v>
      </c>
      <c r="H3" s="49" t="str">
        <f>CONCATENATE("N° : ",LIDER!D6)</f>
        <v>N° : 2246</v>
      </c>
      <c r="I3" s="49" t="str">
        <f>CONCATENATE("N° : ",LIDER!E6)</f>
        <v>N° : 2457</v>
      </c>
      <c r="J3" s="49" t="str">
        <f>CONCATENATE("N° : ",LIDER!F6)</f>
        <v>N° : 1118</v>
      </c>
      <c r="K3" s="49" t="str">
        <f>CONCATENATE("N° : ",LIDER!G6)</f>
        <v>N° : 1487</v>
      </c>
      <c r="L3" s="49" t="str">
        <f>CONCATENATE("N° : ",LIDER!H6)</f>
        <v>N° : 1492</v>
      </c>
      <c r="M3" s="50" t="str">
        <f>CONCATENATE("N° : ",LIDER!I6)</f>
        <v xml:space="preserve">N° : </v>
      </c>
      <c r="O3" s="48" t="str">
        <f>G3</f>
        <v>N° : 2444</v>
      </c>
      <c r="P3" s="49" t="str">
        <f t="shared" ref="P3:U3" si="0">H3</f>
        <v>N° : 2246</v>
      </c>
      <c r="Q3" s="49" t="str">
        <f t="shared" si="0"/>
        <v>N° : 2457</v>
      </c>
      <c r="R3" s="49" t="str">
        <f t="shared" si="0"/>
        <v>N° : 1118</v>
      </c>
      <c r="S3" s="49" t="str">
        <f t="shared" si="0"/>
        <v>N° : 1487</v>
      </c>
      <c r="T3" s="49" t="str">
        <f t="shared" si="0"/>
        <v>N° : 1492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123</v>
      </c>
      <c r="D4" s="54" t="s">
        <v>124</v>
      </c>
      <c r="E4" s="55" t="s">
        <v>125</v>
      </c>
      <c r="G4" s="56" t="str">
        <f>MID(LIDER!C4,1,9)</f>
        <v>INNOVACIO</v>
      </c>
      <c r="H4" s="57" t="str">
        <f>MID(LIDER!D4,1,9)</f>
        <v xml:space="preserve">ELECTIVA </v>
      </c>
      <c r="I4" s="57" t="str">
        <f>MID(LIDER!E4,1,9)</f>
        <v xml:space="preserve">ELECTIVA </v>
      </c>
      <c r="J4" s="57" t="str">
        <f>MID(LIDER!F4,1,9)</f>
        <v xml:space="preserve">AMBIENTE </v>
      </c>
      <c r="K4" s="57" t="str">
        <f>MID(LIDER!G4,1,9)</f>
        <v xml:space="preserve">FINANZAS </v>
      </c>
      <c r="L4" s="57" t="str">
        <f>MID(LIDER!H4,1,9)</f>
        <v>D.F.I.</v>
      </c>
      <c r="M4" s="58" t="str">
        <f>MID(LIDER!I4,1,9)</f>
        <v/>
      </c>
      <c r="N4" s="59" t="s">
        <v>126</v>
      </c>
      <c r="O4" s="60" t="str">
        <f t="shared" ref="O4:U4" si="1">G4</f>
        <v>INNOVACIO</v>
      </c>
      <c r="P4" s="61" t="str">
        <f t="shared" si="1"/>
        <v xml:space="preserve">ELECTIVA </v>
      </c>
      <c r="Q4" s="61" t="str">
        <f t="shared" si="1"/>
        <v xml:space="preserve">ELECTIVA </v>
      </c>
      <c r="R4" s="61" t="str">
        <f t="shared" si="1"/>
        <v xml:space="preserve">AMBIENTE </v>
      </c>
      <c r="S4" s="61" t="str">
        <f t="shared" si="1"/>
        <v xml:space="preserve">FINANZAS </v>
      </c>
      <c r="T4" s="61" t="str">
        <f t="shared" si="1"/>
        <v>D.F.I.</v>
      </c>
      <c r="U4" s="62" t="str">
        <f t="shared" si="1"/>
        <v/>
      </c>
      <c r="V4" s="59" t="s">
        <v>127</v>
      </c>
    </row>
    <row r="5" spans="1:22" ht="15" customHeight="1">
      <c r="A5" s="12">
        <v>1</v>
      </c>
      <c r="B5" s="63" t="str">
        <f>LIDER!C9</f>
        <v>ALVARO JOSE BERROCAL NARVAEZ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4.3283333333333331</v>
      </c>
      <c r="E5" s="66">
        <f>IF(B5=0,"",IFERROR(SUMIF(O5:U5,"&gt;0",O5:U5)/COUNTIF(O5:U5,"&gt;0"),0))</f>
        <v>4.6175000000000006</v>
      </c>
      <c r="F5" s="47"/>
      <c r="G5" s="67">
        <f>IF(B5=0,"",IFERROR(VLOOKUP(B5,'S-ASIG-01'!$B$5:$E$88,4,0),0))</f>
        <v>4.28</v>
      </c>
      <c r="H5" s="65">
        <f>IF(B5=0,"",IFERROR(VLOOKUP(B5,'S-ASIG-02'!$B$5:$E$88,4,0),0))</f>
        <v>3.9999999999999996</v>
      </c>
      <c r="I5" s="65">
        <f>IF(B5=0,"",IFERROR(VLOOKUP(B5,'S-ASIG-03'!$B$5:$E$88,4,0),0))</f>
        <v>4.7300000000000004</v>
      </c>
      <c r="J5" s="65">
        <f>IF(B5=0,"",IFERROR(VLOOKUP(B5,'S-ASIG-04'!$B$5:$E$88,4,0),0))</f>
        <v>4</v>
      </c>
      <c r="K5" s="65">
        <f>IF(B5=0,"",IFERROR(VLOOKUP(B5,'S-ASIG-05'!$B$5:$E$88,4,0),0))</f>
        <v>4.3600000000000003</v>
      </c>
      <c r="L5" s="65">
        <f>IF(B5=0,"",IFERROR(VLOOKUP(B5,'S-ASIG-06'!$B$5:$E$88,4,0),0))</f>
        <v>4.5999999999999996</v>
      </c>
      <c r="M5" s="66">
        <f>IF(B5=0,"",IFERROR(VLOOKUP(B5,'S-ASIG-07'!$B$5:$E$88,4,0),0))</f>
        <v>0</v>
      </c>
      <c r="N5" s="68" t="s">
        <v>128</v>
      </c>
      <c r="O5" s="67">
        <f>IF(B5=0,"",IFERROR(VLOOKUP(B5,'T-ASIG-01'!$B$5:$D$88,3,0),0))</f>
        <v>4.9000000000000004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4.47</v>
      </c>
      <c r="S5" s="65">
        <f>IF(B5=0,"",IFERROR(VLOOKUP(B5,'T-ASIG-05'!$B$5:$D$88,3,0),0))</f>
        <v>4.5</v>
      </c>
      <c r="T5" s="65">
        <f>IF(B5=0,"",IFERROR(VLOOKUP(B5,'T-ASIG-06'!$B$5:$D$88,3,0),0))</f>
        <v>4.6000000000000005</v>
      </c>
      <c r="U5" s="66">
        <f>IF(B5=0,"",IFERROR(VLOOKUP(B5,'T-ASIG-07'!$B$5:$D$88,3,0),0))</f>
        <v>0</v>
      </c>
      <c r="V5" s="69" t="s">
        <v>129</v>
      </c>
    </row>
    <row r="6" spans="1:22" ht="15" customHeight="1">
      <c r="A6" s="12">
        <v>2</v>
      </c>
      <c r="B6" s="70" t="str">
        <f>LIDER!C10</f>
        <v>SAMUEL HERNANDEZ VELEZ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4.3283333333333331</v>
      </c>
      <c r="E6" s="66">
        <f t="shared" ref="E6:E54" si="3">IF(B6=0,"",IFERROR(SUMIF(O6:U6,"&gt;0",O6:U6)/COUNTIF(O6:U6,"&gt;0"),0))</f>
        <v>4.6175000000000006</v>
      </c>
      <c r="F6" s="47"/>
      <c r="G6" s="71">
        <f>IF(B6=0,"",IFERROR(VLOOKUP(B6,'S-ASIG-01'!$B$5:$E$88,4,0),0))</f>
        <v>4.28</v>
      </c>
      <c r="H6" s="72">
        <f>IF(B6=0,"",IFERROR(VLOOKUP(B6,'S-ASIG-02'!$B$5:$E$88,4,0),0))</f>
        <v>3.9999999999999996</v>
      </c>
      <c r="I6" s="72">
        <f>IF(B6=0,"",IFERROR(VLOOKUP(B6,'S-ASIG-03'!$B$5:$E$88,4,0),0))</f>
        <v>4.7300000000000004</v>
      </c>
      <c r="J6" s="72">
        <f>IF(B6=0,"",IFERROR(VLOOKUP(B6,'S-ASIG-04'!$B$5:$E$88,4,0),0))</f>
        <v>4</v>
      </c>
      <c r="K6" s="72">
        <f>IF(B6=0,"",IFERROR(VLOOKUP(B6,'S-ASIG-05'!$B$5:$E$88,4,0),0))</f>
        <v>4.3600000000000003</v>
      </c>
      <c r="L6" s="72">
        <f>IF(B6=0,"",IFERROR(VLOOKUP(B6,'S-ASIG-06'!$B$5:$E$88,4,0),0))</f>
        <v>4.5999999999999996</v>
      </c>
      <c r="M6" s="73">
        <f>IF(B6=0,"",IFERROR(VLOOKUP(B6,'S-ASIG-07'!$B$5:$E$88,4,0),0))</f>
        <v>0</v>
      </c>
      <c r="N6" s="68" t="s">
        <v>128</v>
      </c>
      <c r="O6" s="71">
        <f>IF(B6=0,"",IFERROR(VLOOKUP(B6,'T-ASIG-01'!$B$5:$D$88,3,0),0))</f>
        <v>4.9000000000000004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4.47</v>
      </c>
      <c r="S6" s="72">
        <f>IF(B6=0,"",IFERROR(VLOOKUP(B6,'T-ASIG-05'!$B$5:$D$88,3,0),0))</f>
        <v>4.5</v>
      </c>
      <c r="T6" s="72">
        <f>IF(B6=0,"",IFERROR(VLOOKUP(B6,'T-ASIG-06'!$B$5:$D$88,3,0),0))</f>
        <v>4.6000000000000005</v>
      </c>
      <c r="U6" s="73">
        <f>IF(B6=0,"",IFERROR(VLOOKUP(B6,'T-ASIG-07'!$B$5:$D$88,3,0),0))</f>
        <v>0</v>
      </c>
      <c r="V6" s="69" t="s">
        <v>129</v>
      </c>
    </row>
    <row r="7" spans="1:22" ht="15" customHeight="1">
      <c r="A7" s="12">
        <v>3</v>
      </c>
      <c r="B7" s="70" t="str">
        <f>LIDER!C11</f>
        <v>YHON DEIVIS MARTINEZ CONTRERAS</v>
      </c>
      <c r="C7" s="64" t="str">
        <f>IF(B7=0,"",IFERROR(VLOOKUP(B7,'S-ASIG-01'!$B$5:$E$88,2,0),0))</f>
        <v>G01</v>
      </c>
      <c r="D7" s="65">
        <f t="shared" si="2"/>
        <v>4.3283333333333331</v>
      </c>
      <c r="E7" s="66">
        <f t="shared" si="3"/>
        <v>4.6175000000000006</v>
      </c>
      <c r="F7" s="47"/>
      <c r="G7" s="71">
        <f>IF(B7=0,"",IFERROR(VLOOKUP(B7,'S-ASIG-01'!$B$5:$E$88,4,0),0))</f>
        <v>4.28</v>
      </c>
      <c r="H7" s="72">
        <f>IF(B7=0,"",IFERROR(VLOOKUP(B7,'S-ASIG-02'!$B$5:$E$88,4,0),0))</f>
        <v>3.9999999999999996</v>
      </c>
      <c r="I7" s="72">
        <f>IF(B7=0,"",IFERROR(VLOOKUP(B7,'S-ASIG-03'!$B$5:$E$88,4,0),0))</f>
        <v>4.7300000000000004</v>
      </c>
      <c r="J7" s="72">
        <f>IF(B7=0,"",IFERROR(VLOOKUP(B7,'S-ASIG-04'!$B$5:$E$88,4,0),0))</f>
        <v>4</v>
      </c>
      <c r="K7" s="72">
        <f>IF(B7=0,"",IFERROR(VLOOKUP(B7,'S-ASIG-05'!$B$5:$E$88,4,0),0))</f>
        <v>4.3600000000000003</v>
      </c>
      <c r="L7" s="72">
        <f>IF(B7=0,"",IFERROR(VLOOKUP(B7,'S-ASIG-06'!$B$5:$E$88,4,0),0))</f>
        <v>4.5999999999999996</v>
      </c>
      <c r="M7" s="73">
        <f>IF(B7=0,"",IFERROR(VLOOKUP(B7,'S-ASIG-07'!$B$5:$E$88,4,0),0))</f>
        <v>0</v>
      </c>
      <c r="N7" s="68" t="s">
        <v>128</v>
      </c>
      <c r="O7" s="71">
        <f>IF(B7=0,"",IFERROR(VLOOKUP(B7,'T-ASIG-01'!$B$5:$D$88,3,0),0))</f>
        <v>4.9000000000000004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4.47</v>
      </c>
      <c r="S7" s="72">
        <f>IF(B7=0,"",IFERROR(VLOOKUP(B7,'T-ASIG-05'!$B$5:$D$88,3,0),0))</f>
        <v>4.5</v>
      </c>
      <c r="T7" s="72">
        <f>IF(B7=0,"",IFERROR(VLOOKUP(B7,'T-ASIG-06'!$B$5:$D$88,3,0),0))</f>
        <v>4.6000000000000005</v>
      </c>
      <c r="U7" s="73">
        <f>IF(B7=0,"",IFERROR(VLOOKUP(B7,'T-ASIG-07'!$B$5:$D$88,3,0),0))</f>
        <v>0</v>
      </c>
      <c r="V7" s="69" t="s">
        <v>129</v>
      </c>
    </row>
    <row r="8" spans="1:22" ht="15" customHeight="1">
      <c r="A8" s="12">
        <v>4</v>
      </c>
      <c r="B8" s="70" t="str">
        <f>LIDER!C12</f>
        <v>VALERIA NARVAEZ FUENTES</v>
      </c>
      <c r="C8" s="64" t="str">
        <f>IF(B8=0,"",IFERROR(VLOOKUP(B8,'S-ASIG-01'!$B$5:$E$88,2,0),0))</f>
        <v>G01</v>
      </c>
      <c r="D8" s="65">
        <f t="shared" si="2"/>
        <v>4.3283333333333331</v>
      </c>
      <c r="E8" s="66">
        <f t="shared" si="3"/>
        <v>4.6175000000000006</v>
      </c>
      <c r="F8" s="47"/>
      <c r="G8" s="71">
        <f>IF(B8=0,"",IFERROR(VLOOKUP(B8,'S-ASIG-01'!$B$5:$E$88,4,0),0))</f>
        <v>4.28</v>
      </c>
      <c r="H8" s="72">
        <f>IF(B8=0,"",IFERROR(VLOOKUP(B8,'S-ASIG-02'!$B$5:$E$88,4,0),0))</f>
        <v>3.9999999999999996</v>
      </c>
      <c r="I8" s="72">
        <f>IF(B8=0,"",IFERROR(VLOOKUP(B8,'S-ASIG-03'!$B$5:$E$88,4,0),0))</f>
        <v>4.7300000000000004</v>
      </c>
      <c r="J8" s="72">
        <f>IF(B8=0,"",IFERROR(VLOOKUP(B8,'S-ASIG-04'!$B$5:$E$88,4,0),0))</f>
        <v>4</v>
      </c>
      <c r="K8" s="72">
        <f>IF(B8=0,"",IFERROR(VLOOKUP(B8,'S-ASIG-05'!$B$5:$E$88,4,0),0))</f>
        <v>4.3600000000000003</v>
      </c>
      <c r="L8" s="72">
        <f>IF(B8=0,"",IFERROR(VLOOKUP(B8,'S-ASIG-06'!$B$5:$E$88,4,0),0))</f>
        <v>4.5999999999999996</v>
      </c>
      <c r="M8" s="73">
        <f>IF(B8=0,"",IFERROR(VLOOKUP(B8,'S-ASIG-07'!$B$5:$E$88,4,0),0))</f>
        <v>0</v>
      </c>
      <c r="N8" s="68" t="s">
        <v>128</v>
      </c>
      <c r="O8" s="71">
        <f>IF(B8=0,"",IFERROR(VLOOKUP(B8,'T-ASIG-01'!$B$5:$D$88,3,0),0))</f>
        <v>4.9000000000000004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4.47</v>
      </c>
      <c r="S8" s="72">
        <f>IF(B8=0,"",IFERROR(VLOOKUP(B8,'T-ASIG-05'!$B$5:$D$88,3,0),0))</f>
        <v>4.5</v>
      </c>
      <c r="T8" s="72">
        <f>IF(B8=0,"",IFERROR(VLOOKUP(B8,'T-ASIG-06'!$B$5:$D$88,3,0),0))</f>
        <v>4.6000000000000005</v>
      </c>
      <c r="U8" s="73">
        <f>IF(B8=0,"",IFERROR(VLOOKUP(B8,'T-ASIG-07'!$B$5:$D$88,3,0),0))</f>
        <v>0</v>
      </c>
      <c r="V8" s="69" t="s">
        <v>129</v>
      </c>
    </row>
    <row r="9" spans="1:22" ht="15" customHeight="1">
      <c r="A9" s="12">
        <v>5</v>
      </c>
      <c r="B9" s="70" t="str">
        <f>LIDER!C13</f>
        <v>MICHELL ANDREA RODRIGUEZ HERRERA</v>
      </c>
      <c r="C9" s="64" t="str">
        <f>IF(B9=0,"",IFERROR(VLOOKUP(B9,'S-ASIG-01'!$B$5:$E$88,2,0),0))</f>
        <v>G01</v>
      </c>
      <c r="D9" s="65">
        <f t="shared" si="2"/>
        <v>4.3283333333333331</v>
      </c>
      <c r="E9" s="66">
        <f t="shared" si="3"/>
        <v>4.6175000000000006</v>
      </c>
      <c r="F9" s="47"/>
      <c r="G9" s="71">
        <f>IF(B9=0,"",IFERROR(VLOOKUP(B9,'S-ASIG-01'!$B$5:$E$88,4,0),0))</f>
        <v>4.28</v>
      </c>
      <c r="H9" s="72">
        <f>IF(B9=0,"",IFERROR(VLOOKUP(B9,'S-ASIG-02'!$B$5:$E$88,4,0),0))</f>
        <v>3.9999999999999996</v>
      </c>
      <c r="I9" s="72">
        <f>IF(B9=0,"",IFERROR(VLOOKUP(B9,'S-ASIG-03'!$B$5:$E$88,4,0),0))</f>
        <v>4.7300000000000004</v>
      </c>
      <c r="J9" s="72">
        <f>IF(B9=0,"",IFERROR(VLOOKUP(B9,'S-ASIG-04'!$B$5:$E$88,4,0),0))</f>
        <v>4</v>
      </c>
      <c r="K9" s="72">
        <f>IF(B9=0,"",IFERROR(VLOOKUP(B9,'S-ASIG-05'!$B$5:$E$88,4,0),0))</f>
        <v>4.3600000000000003</v>
      </c>
      <c r="L9" s="72">
        <f>IF(B9=0,"",IFERROR(VLOOKUP(B9,'S-ASIG-06'!$B$5:$E$88,4,0),0))</f>
        <v>4.5999999999999996</v>
      </c>
      <c r="M9" s="73">
        <f>IF(B9=0,"",IFERROR(VLOOKUP(B9,'S-ASIG-07'!$B$5:$E$88,4,0),0))</f>
        <v>0</v>
      </c>
      <c r="N9" s="68" t="s">
        <v>128</v>
      </c>
      <c r="O9" s="71">
        <f>IF(B9=0,"",IFERROR(VLOOKUP(B9,'T-ASIG-01'!$B$5:$D$88,3,0),0))</f>
        <v>4.9000000000000004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4.47</v>
      </c>
      <c r="S9" s="72">
        <f>IF(B9=0,"",IFERROR(VLOOKUP(B9,'T-ASIG-05'!$B$5:$D$88,3,0),0))</f>
        <v>4.5</v>
      </c>
      <c r="T9" s="72">
        <f>IF(B9=0,"",IFERROR(VLOOKUP(B9,'T-ASIG-06'!$B$5:$D$88,3,0),0))</f>
        <v>4.6000000000000005</v>
      </c>
      <c r="U9" s="73">
        <f>IF(B9=0,"",IFERROR(VLOOKUP(B9,'T-ASIG-07'!$B$5:$D$88,3,0),0))</f>
        <v>0</v>
      </c>
      <c r="V9" s="69" t="s">
        <v>129</v>
      </c>
    </row>
    <row r="10" spans="1:22" ht="15" customHeight="1">
      <c r="A10" s="12">
        <v>6</v>
      </c>
      <c r="B10" s="70" t="str">
        <f>LIDER!C14</f>
        <v>EMMANUEL DE JESUS ROJAS TORRES</v>
      </c>
      <c r="C10" s="64" t="str">
        <f>IF(B10=0,"",IFERROR(VLOOKUP(B10,'S-ASIG-01'!$B$5:$E$88,2,0),0))</f>
        <v>G01</v>
      </c>
      <c r="D10" s="65">
        <f t="shared" si="2"/>
        <v>4.3283333333333331</v>
      </c>
      <c r="E10" s="66">
        <f t="shared" si="3"/>
        <v>4.6175000000000006</v>
      </c>
      <c r="F10" s="47"/>
      <c r="G10" s="71">
        <f>IF(B10=0,"",IFERROR(VLOOKUP(B10,'S-ASIG-01'!$B$5:$E$88,4,0),0))</f>
        <v>4.28</v>
      </c>
      <c r="H10" s="72">
        <f>IF(B10=0,"",IFERROR(VLOOKUP(B10,'S-ASIG-02'!$B$5:$E$88,4,0),0))</f>
        <v>3.9999999999999996</v>
      </c>
      <c r="I10" s="72">
        <f>IF(B10=0,"",IFERROR(VLOOKUP(B10,'S-ASIG-03'!$B$5:$E$88,4,0),0))</f>
        <v>4.7300000000000004</v>
      </c>
      <c r="J10" s="72">
        <f>IF(B10=0,"",IFERROR(VLOOKUP(B10,'S-ASIG-04'!$B$5:$E$88,4,0),0))</f>
        <v>4</v>
      </c>
      <c r="K10" s="72">
        <f>IF(B10=0,"",IFERROR(VLOOKUP(B10,'S-ASIG-05'!$B$5:$E$88,4,0),0))</f>
        <v>4.3600000000000003</v>
      </c>
      <c r="L10" s="72">
        <f>IF(B10=0,"",IFERROR(VLOOKUP(B10,'S-ASIG-06'!$B$5:$E$88,4,0),0))</f>
        <v>4.5999999999999996</v>
      </c>
      <c r="M10" s="73">
        <f>IF(B10=0,"",IFERROR(VLOOKUP(B10,'S-ASIG-07'!$B$5:$E$88,4,0),0))</f>
        <v>0</v>
      </c>
      <c r="N10" s="68" t="s">
        <v>128</v>
      </c>
      <c r="O10" s="71">
        <f>IF(B10=0,"",IFERROR(VLOOKUP(B10,'T-ASIG-01'!$B$5:$D$88,3,0),0))</f>
        <v>4.9000000000000004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4.47</v>
      </c>
      <c r="S10" s="72">
        <f>IF(B10=0,"",IFERROR(VLOOKUP(B10,'T-ASIG-05'!$B$5:$D$88,3,0),0))</f>
        <v>4.5</v>
      </c>
      <c r="T10" s="72">
        <f>IF(B10=0,"",IFERROR(VLOOKUP(B10,'T-ASIG-06'!$B$5:$D$88,3,0),0))</f>
        <v>4.6000000000000005</v>
      </c>
      <c r="U10" s="73">
        <f>IF(B10=0,"",IFERROR(VLOOKUP(B10,'T-ASIG-07'!$B$5:$D$88,3,0),0))</f>
        <v>0</v>
      </c>
      <c r="V10" s="69" t="s">
        <v>129</v>
      </c>
    </row>
    <row r="11" spans="1:22" ht="15" customHeight="1">
      <c r="A11" s="12">
        <v>7</v>
      </c>
      <c r="B11" s="70" t="str">
        <f>LIDER!C15</f>
        <v>JARY DANIELA CALLE DONADO</v>
      </c>
      <c r="C11" s="64" t="str">
        <f>IF(B11=0,"",IFERROR(VLOOKUP(B11,'S-ASIG-01'!$B$5:$E$88,2,0),0))</f>
        <v>G02</v>
      </c>
      <c r="D11" s="65">
        <f t="shared" si="2"/>
        <v>4.2749999999999995</v>
      </c>
      <c r="E11" s="66">
        <f t="shared" si="3"/>
        <v>4.5250000000000004</v>
      </c>
      <c r="F11" s="47"/>
      <c r="G11" s="71">
        <f>IF(B11=0,"",IFERROR(VLOOKUP(B11,'S-ASIG-01'!$B$5:$E$88,4,0),0))</f>
        <v>3.97</v>
      </c>
      <c r="H11" s="72">
        <f>IF(B11=0,"",IFERROR(VLOOKUP(B11,'S-ASIG-02'!$B$5:$E$88,4,0),0))</f>
        <v>3.9999999999999996</v>
      </c>
      <c r="I11" s="72">
        <f>IF(B11=0,"",IFERROR(VLOOKUP(B11,'S-ASIG-03'!$B$5:$E$88,4,0),0))</f>
        <v>4.7</v>
      </c>
      <c r="J11" s="72">
        <f>IF(B11=0,"",IFERROR(VLOOKUP(B11,'S-ASIG-04'!$B$5:$E$88,4,0),0))</f>
        <v>4.0199999999999996</v>
      </c>
      <c r="K11" s="72">
        <f>IF(B11=0,"",IFERROR(VLOOKUP(B11,'S-ASIG-05'!$B$5:$E$88,4,0),0))</f>
        <v>4.41</v>
      </c>
      <c r="L11" s="72">
        <f>IF(B11=0,"",IFERROR(VLOOKUP(B11,'S-ASIG-06'!$B$5:$E$88,4,0),0))</f>
        <v>4.5500000000000007</v>
      </c>
      <c r="M11" s="73">
        <f>IF(B11=0,"",IFERROR(VLOOKUP(B11,'S-ASIG-07'!$B$5:$E$88,4,0),0))</f>
        <v>0</v>
      </c>
      <c r="N11" s="68" t="s">
        <v>128</v>
      </c>
      <c r="O11" s="71">
        <f>IF(B11=0,"",IFERROR(VLOOKUP(B11,'T-ASIG-01'!$B$5:$D$88,3,0),0))</f>
        <v>4.9000000000000004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4.5</v>
      </c>
      <c r="S11" s="72">
        <f>IF(B11=0,"",IFERROR(VLOOKUP(B11,'T-ASIG-05'!$B$5:$D$88,3,0),0))</f>
        <v>4.5999999999999996</v>
      </c>
      <c r="T11" s="72">
        <f>IF(B11=0,"",IFERROR(VLOOKUP(B11,'T-ASIG-06'!$B$5:$D$88,3,0),0))</f>
        <v>4.1000000000000005</v>
      </c>
      <c r="U11" s="73">
        <f>IF(B11=0,"",IFERROR(VLOOKUP(B11,'T-ASIG-07'!$B$5:$D$88,3,0),0))</f>
        <v>0</v>
      </c>
      <c r="V11" s="69" t="s">
        <v>129</v>
      </c>
    </row>
    <row r="12" spans="1:22" ht="15" customHeight="1">
      <c r="A12" s="12">
        <v>8</v>
      </c>
      <c r="B12" s="70" t="str">
        <f>LIDER!C16</f>
        <v>SAID JOSE CASTILLO MORALES</v>
      </c>
      <c r="C12" s="64" t="str">
        <f>IF(B12=0,"",IFERROR(VLOOKUP(B12,'S-ASIG-01'!$B$5:$E$88,2,0),0))</f>
        <v>G02</v>
      </c>
      <c r="D12" s="65">
        <f t="shared" si="2"/>
        <v>4.2749999999999995</v>
      </c>
      <c r="E12" s="66">
        <f t="shared" si="3"/>
        <v>4.5250000000000004</v>
      </c>
      <c r="F12" s="47"/>
      <c r="G12" s="71">
        <f>IF(B12=0,"",IFERROR(VLOOKUP(B12,'S-ASIG-01'!$B$5:$E$88,4,0),0))</f>
        <v>3.97</v>
      </c>
      <c r="H12" s="72">
        <f>IF(B12=0,"",IFERROR(VLOOKUP(B12,'S-ASIG-02'!$B$5:$E$88,4,0),0))</f>
        <v>3.9999999999999996</v>
      </c>
      <c r="I12" s="72">
        <f>IF(B12=0,"",IFERROR(VLOOKUP(B12,'S-ASIG-03'!$B$5:$E$88,4,0),0))</f>
        <v>4.7</v>
      </c>
      <c r="J12" s="72">
        <f>IF(B12=0,"",IFERROR(VLOOKUP(B12,'S-ASIG-04'!$B$5:$E$88,4,0),0))</f>
        <v>4.0199999999999996</v>
      </c>
      <c r="K12" s="72">
        <f>IF(B12=0,"",IFERROR(VLOOKUP(B12,'S-ASIG-05'!$B$5:$E$88,4,0),0))</f>
        <v>4.41</v>
      </c>
      <c r="L12" s="72">
        <f>IF(B12=0,"",IFERROR(VLOOKUP(B12,'S-ASIG-06'!$B$5:$E$88,4,0),0))</f>
        <v>4.5500000000000007</v>
      </c>
      <c r="M12" s="73">
        <f>IF(B12=0,"",IFERROR(VLOOKUP(B12,'S-ASIG-07'!$B$5:$E$88,4,0),0))</f>
        <v>0</v>
      </c>
      <c r="N12" s="68" t="s">
        <v>128</v>
      </c>
      <c r="O12" s="71">
        <f>IF(B12=0,"",IFERROR(VLOOKUP(B12,'T-ASIG-01'!$B$5:$D$88,3,0),0))</f>
        <v>4.9000000000000004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4.5</v>
      </c>
      <c r="S12" s="72">
        <f>IF(B12=0,"",IFERROR(VLOOKUP(B12,'T-ASIG-05'!$B$5:$D$88,3,0),0))</f>
        <v>4.5999999999999996</v>
      </c>
      <c r="T12" s="72">
        <f>IF(B12=0,"",IFERROR(VLOOKUP(B12,'T-ASIG-06'!$B$5:$D$88,3,0),0))</f>
        <v>4.1000000000000005</v>
      </c>
      <c r="U12" s="73">
        <f>IF(B12=0,"",IFERROR(VLOOKUP(B12,'T-ASIG-07'!$B$5:$D$88,3,0),0))</f>
        <v>0</v>
      </c>
      <c r="V12" s="69" t="s">
        <v>129</v>
      </c>
    </row>
    <row r="13" spans="1:22" ht="15" customHeight="1">
      <c r="A13" s="12">
        <v>9</v>
      </c>
      <c r="B13" s="70" t="str">
        <f>LIDER!C17</f>
        <v>DANNA VALENTINA CORTES MENDOZA</v>
      </c>
      <c r="C13" s="64" t="str">
        <f>IF(B13=0,"",IFERROR(VLOOKUP(B13,'S-ASIG-01'!$B$5:$E$88,2,0),0))</f>
        <v>G02</v>
      </c>
      <c r="D13" s="65">
        <f t="shared" si="2"/>
        <v>4.2749999999999995</v>
      </c>
      <c r="E13" s="66">
        <f t="shared" si="3"/>
        <v>4.5250000000000004</v>
      </c>
      <c r="F13" s="47"/>
      <c r="G13" s="71">
        <f>IF(B13=0,"",IFERROR(VLOOKUP(B13,'S-ASIG-01'!$B$5:$E$88,4,0),0))</f>
        <v>3.97</v>
      </c>
      <c r="H13" s="72">
        <f>IF(B13=0,"",IFERROR(VLOOKUP(B13,'S-ASIG-02'!$B$5:$E$88,4,0),0))</f>
        <v>3.9999999999999996</v>
      </c>
      <c r="I13" s="72">
        <f>IF(B13=0,"",IFERROR(VLOOKUP(B13,'S-ASIG-03'!$B$5:$E$88,4,0),0))</f>
        <v>4.7</v>
      </c>
      <c r="J13" s="72">
        <f>IF(B13=0,"",IFERROR(VLOOKUP(B13,'S-ASIG-04'!$B$5:$E$88,4,0),0))</f>
        <v>4.0199999999999996</v>
      </c>
      <c r="K13" s="72">
        <f>IF(B13=0,"",IFERROR(VLOOKUP(B13,'S-ASIG-05'!$B$5:$E$88,4,0),0))</f>
        <v>4.41</v>
      </c>
      <c r="L13" s="72">
        <f>IF(B13=0,"",IFERROR(VLOOKUP(B13,'S-ASIG-06'!$B$5:$E$88,4,0),0))</f>
        <v>4.5500000000000007</v>
      </c>
      <c r="M13" s="73">
        <f>IF(B13=0,"",IFERROR(VLOOKUP(B13,'S-ASIG-07'!$B$5:$E$88,4,0),0))</f>
        <v>0</v>
      </c>
      <c r="N13" s="68" t="s">
        <v>128</v>
      </c>
      <c r="O13" s="71">
        <f>IF(B13=0,"",IFERROR(VLOOKUP(B13,'T-ASIG-01'!$B$5:$D$88,3,0),0))</f>
        <v>4.9000000000000004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4.5</v>
      </c>
      <c r="S13" s="72">
        <f>IF(B13=0,"",IFERROR(VLOOKUP(B13,'T-ASIG-05'!$B$5:$D$88,3,0),0))</f>
        <v>4.5999999999999996</v>
      </c>
      <c r="T13" s="72">
        <f>IF(B13=0,"",IFERROR(VLOOKUP(B13,'T-ASIG-06'!$B$5:$D$88,3,0),0))</f>
        <v>4.1000000000000005</v>
      </c>
      <c r="U13" s="73">
        <f>IF(B13=0,"",IFERROR(VLOOKUP(B13,'T-ASIG-07'!$B$5:$D$88,3,0),0))</f>
        <v>0</v>
      </c>
      <c r="V13" s="69" t="s">
        <v>129</v>
      </c>
    </row>
    <row r="14" spans="1:22" ht="15" customHeight="1">
      <c r="A14" s="12">
        <v>10</v>
      </c>
      <c r="B14" s="70" t="str">
        <f>LIDER!C18</f>
        <v>SEBASTIAN GÖMEZ CASTILLO</v>
      </c>
      <c r="C14" s="64" t="str">
        <f>IF(B14=0,"",IFERROR(VLOOKUP(B14,'S-ASIG-01'!$B$5:$E$88,2,0),0))</f>
        <v>G02</v>
      </c>
      <c r="D14" s="65">
        <f t="shared" si="2"/>
        <v>4.2749999999999995</v>
      </c>
      <c r="E14" s="66">
        <f t="shared" si="3"/>
        <v>4.5250000000000004</v>
      </c>
      <c r="F14" s="47"/>
      <c r="G14" s="71">
        <f>IF(B14=0,"",IFERROR(VLOOKUP(B14,'S-ASIG-01'!$B$5:$E$88,4,0),0))</f>
        <v>3.97</v>
      </c>
      <c r="H14" s="72">
        <f>IF(B14=0,"",IFERROR(VLOOKUP(B14,'S-ASIG-02'!$B$5:$E$88,4,0),0))</f>
        <v>3.9999999999999996</v>
      </c>
      <c r="I14" s="72">
        <f>IF(B14=0,"",IFERROR(VLOOKUP(B14,'S-ASIG-03'!$B$5:$E$88,4,0),0))</f>
        <v>4.7</v>
      </c>
      <c r="J14" s="72">
        <f>IF(B14=0,"",IFERROR(VLOOKUP(B14,'S-ASIG-04'!$B$5:$E$88,4,0),0))</f>
        <v>4.0199999999999996</v>
      </c>
      <c r="K14" s="72">
        <f>IF(B14=0,"",IFERROR(VLOOKUP(B14,'S-ASIG-05'!$B$5:$E$88,4,0),0))</f>
        <v>4.41</v>
      </c>
      <c r="L14" s="72">
        <f>IF(B14=0,"",IFERROR(VLOOKUP(B14,'S-ASIG-06'!$B$5:$E$88,4,0),0))</f>
        <v>4.5500000000000007</v>
      </c>
      <c r="M14" s="73">
        <f>IF(B14=0,"",IFERROR(VLOOKUP(B14,'S-ASIG-07'!$B$5:$E$88,4,0),0))</f>
        <v>0</v>
      </c>
      <c r="N14" s="68" t="s">
        <v>128</v>
      </c>
      <c r="O14" s="71">
        <f>IF(B14=0,"",IFERROR(VLOOKUP(B14,'T-ASIG-01'!$B$5:$D$88,3,0),0))</f>
        <v>4.9000000000000004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4.5</v>
      </c>
      <c r="S14" s="72">
        <f>IF(B14=0,"",IFERROR(VLOOKUP(B14,'T-ASIG-05'!$B$5:$D$88,3,0),0))</f>
        <v>4.5999999999999996</v>
      </c>
      <c r="T14" s="72">
        <f>IF(B14=0,"",IFERROR(VLOOKUP(B14,'T-ASIG-06'!$B$5:$D$88,3,0),0))</f>
        <v>4.1000000000000005</v>
      </c>
      <c r="U14" s="73">
        <f>IF(B14=0,"",IFERROR(VLOOKUP(B14,'T-ASIG-07'!$B$5:$D$88,3,0),0))</f>
        <v>0</v>
      </c>
      <c r="V14" s="69" t="s">
        <v>129</v>
      </c>
    </row>
    <row r="15" spans="1:22" ht="15" customHeight="1">
      <c r="A15" s="12">
        <v>11</v>
      </c>
      <c r="B15" s="70" t="str">
        <f>LIDER!C19</f>
        <v>MARIA PAULA SIMARRA PAEZ</v>
      </c>
      <c r="C15" s="64" t="str">
        <f>IF(B15=0,"",IFERROR(VLOOKUP(B15,'S-ASIG-01'!$B$5:$E$88,2,0),0))</f>
        <v>G02</v>
      </c>
      <c r="D15" s="65">
        <f t="shared" si="2"/>
        <v>4.22</v>
      </c>
      <c r="E15" s="66">
        <f t="shared" si="3"/>
        <v>4.666666666666667</v>
      </c>
      <c r="F15" s="47"/>
      <c r="G15" s="71">
        <f>IF(B15=0,"",IFERROR(VLOOKUP(B15,'S-ASIG-01'!$B$5:$E$88,4,0),0))</f>
        <v>3.97</v>
      </c>
      <c r="H15" s="72">
        <f>IF(B15=0,"",IFERROR(VLOOKUP(B15,'S-ASIG-02'!$B$5:$E$88,4,0),0))</f>
        <v>3.9999999999999996</v>
      </c>
      <c r="I15" s="72">
        <f>IF(B15=0,"",IFERROR(VLOOKUP(B15,'S-ASIG-03'!$B$5:$E$88,4,0),0))</f>
        <v>4.7</v>
      </c>
      <c r="J15" s="72">
        <f>IF(B15=0,"",IFERROR(VLOOKUP(B15,'S-ASIG-04'!$B$5:$E$88,4,0),0))</f>
        <v>4.0199999999999996</v>
      </c>
      <c r="K15" s="72">
        <f>IF(B15=0,"",IFERROR(VLOOKUP(B15,'S-ASIG-05'!$B$5:$E$88,4,0),0))</f>
        <v>4.41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128</v>
      </c>
      <c r="O15" s="71">
        <f>IF(B15=0,"",IFERROR(VLOOKUP(B15,'T-ASIG-01'!$B$5:$D$88,3,0),0))</f>
        <v>4.9000000000000004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4.5</v>
      </c>
      <c r="S15" s="72">
        <f>IF(B15=0,"",IFERROR(VLOOKUP(B15,'T-ASIG-05'!$B$5:$D$88,3,0),0))</f>
        <v>4.5999999999999996</v>
      </c>
      <c r="T15" s="72" t="str">
        <f>IF(B15=0,"",IFERROR(VLOOKUP(B15,'T-ASIG-06'!$B$5:$D$88,3,0),0))</f>
        <v>N</v>
      </c>
      <c r="U15" s="73">
        <f>IF(B15=0,"",IFERROR(VLOOKUP(B15,'T-ASIG-07'!$B$5:$D$88,3,0),0))</f>
        <v>0</v>
      </c>
      <c r="V15" s="69" t="s">
        <v>129</v>
      </c>
    </row>
    <row r="16" spans="1:22" ht="15" customHeight="1">
      <c r="A16" s="12">
        <v>12</v>
      </c>
      <c r="B16" s="70" t="str">
        <f>LIDER!C20</f>
        <v>JUAN CAMILO CARREAZO BOLAÑOS</v>
      </c>
      <c r="C16" s="64" t="str">
        <f>IF(B16=0,"",IFERROR(VLOOKUP(B16,'S-ASIG-01'!$B$5:$E$88,2,0),0))</f>
        <v>G03</v>
      </c>
      <c r="D16" s="65">
        <f t="shared" si="2"/>
        <v>4.2733333333333334</v>
      </c>
      <c r="E16" s="66">
        <f t="shared" si="3"/>
        <v>4.4375</v>
      </c>
      <c r="F16" s="47"/>
      <c r="G16" s="71">
        <f>IF(B16=0,"",IFERROR(VLOOKUP(B16,'S-ASIG-01'!$B$5:$E$88,4,0),0))</f>
        <v>4.1500000000000004</v>
      </c>
      <c r="H16" s="72">
        <f>IF(B16=0,"",IFERROR(VLOOKUP(B16,'S-ASIG-02'!$B$5:$E$88,4,0),0))</f>
        <v>3.9999999999999996</v>
      </c>
      <c r="I16" s="72">
        <f>IF(B16=0,"",IFERROR(VLOOKUP(B16,'S-ASIG-03'!$B$5:$E$88,4,0),0))</f>
        <v>4.6000000000000005</v>
      </c>
      <c r="J16" s="72">
        <f>IF(B16=0,"",IFERROR(VLOOKUP(B16,'S-ASIG-04'!$B$5:$E$88,4,0),0))</f>
        <v>4.0900000000000007</v>
      </c>
      <c r="K16" s="72">
        <f>IF(B16=0,"",IFERROR(VLOOKUP(B16,'S-ASIG-05'!$B$5:$E$88,4,0),0))</f>
        <v>4.3499999999999996</v>
      </c>
      <c r="L16" s="72">
        <f>IF(B16=0,"",IFERROR(VLOOKUP(B16,'S-ASIG-06'!$B$5:$E$88,4,0),0))</f>
        <v>4.4500000000000011</v>
      </c>
      <c r="M16" s="73">
        <f>IF(B16=0,"",IFERROR(VLOOKUP(B16,'S-ASIG-07'!$B$5:$E$88,4,0),0))</f>
        <v>0</v>
      </c>
      <c r="N16" s="68" t="s">
        <v>128</v>
      </c>
      <c r="O16" s="71">
        <f>IF(B16=0,"",IFERROR(VLOOKUP(B16,'T-ASIG-01'!$B$5:$D$88,3,0),0))</f>
        <v>4.75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4.45</v>
      </c>
      <c r="S16" s="72">
        <f>IF(B16=0,"",IFERROR(VLOOKUP(B16,'T-ASIG-05'!$B$5:$D$88,3,0),0))</f>
        <v>4.4000000000000004</v>
      </c>
      <c r="T16" s="72">
        <f>IF(B16=0,"",IFERROR(VLOOKUP(B16,'T-ASIG-06'!$B$5:$D$88,3,0),0))</f>
        <v>4.1500000000000004</v>
      </c>
      <c r="U16" s="73">
        <f>IF(B16=0,"",IFERROR(VLOOKUP(B16,'T-ASIG-07'!$B$5:$D$88,3,0),0))</f>
        <v>0</v>
      </c>
      <c r="V16" s="69" t="s">
        <v>129</v>
      </c>
    </row>
    <row r="17" spans="1:22" ht="15" customHeight="1">
      <c r="A17" s="12">
        <v>13</v>
      </c>
      <c r="B17" s="70" t="str">
        <f>LIDER!C21</f>
        <v>FELIPE HERNANDEZ CORREA</v>
      </c>
      <c r="C17" s="64" t="str">
        <f>IF(B17=0,"",IFERROR(VLOOKUP(B17,'S-ASIG-01'!$B$5:$E$88,2,0),0))</f>
        <v>G03</v>
      </c>
      <c r="D17" s="65">
        <f t="shared" si="2"/>
        <v>4.2733333333333334</v>
      </c>
      <c r="E17" s="66">
        <f t="shared" si="3"/>
        <v>4.4375</v>
      </c>
      <c r="F17" s="47"/>
      <c r="G17" s="71">
        <f>IF(B17=0,"",IFERROR(VLOOKUP(B17,'S-ASIG-01'!$B$5:$E$88,4,0),0))</f>
        <v>4.1500000000000004</v>
      </c>
      <c r="H17" s="72">
        <f>IF(B17=0,"",IFERROR(VLOOKUP(B17,'S-ASIG-02'!$B$5:$E$88,4,0),0))</f>
        <v>3.9999999999999996</v>
      </c>
      <c r="I17" s="72">
        <f>IF(B17=0,"",IFERROR(VLOOKUP(B17,'S-ASIG-03'!$B$5:$E$88,4,0),0))</f>
        <v>4.6000000000000005</v>
      </c>
      <c r="J17" s="72">
        <f>IF(B17=0,"",IFERROR(VLOOKUP(B17,'S-ASIG-04'!$B$5:$E$88,4,0),0))</f>
        <v>4.0900000000000007</v>
      </c>
      <c r="K17" s="72">
        <f>IF(B17=0,"",IFERROR(VLOOKUP(B17,'S-ASIG-05'!$B$5:$E$88,4,0),0))</f>
        <v>4.3499999999999996</v>
      </c>
      <c r="L17" s="72">
        <f>IF(B17=0,"",IFERROR(VLOOKUP(B17,'S-ASIG-06'!$B$5:$E$88,4,0),0))</f>
        <v>4.4500000000000011</v>
      </c>
      <c r="M17" s="73">
        <f>IF(B17=0,"",IFERROR(VLOOKUP(B17,'S-ASIG-07'!$B$5:$E$88,4,0),0))</f>
        <v>0</v>
      </c>
      <c r="N17" s="68" t="s">
        <v>128</v>
      </c>
      <c r="O17" s="71">
        <f>IF(B17=0,"",IFERROR(VLOOKUP(B17,'T-ASIG-01'!$B$5:$D$88,3,0),0))</f>
        <v>4.75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4.45</v>
      </c>
      <c r="S17" s="72">
        <f>IF(B17=0,"",IFERROR(VLOOKUP(B17,'T-ASIG-05'!$B$5:$D$88,3,0),0))</f>
        <v>4.4000000000000004</v>
      </c>
      <c r="T17" s="72">
        <f>IF(B17=0,"",IFERROR(VLOOKUP(B17,'T-ASIG-06'!$B$5:$D$88,3,0),0))</f>
        <v>4.1500000000000004</v>
      </c>
      <c r="U17" s="73">
        <f>IF(B17=0,"",IFERROR(VLOOKUP(B17,'T-ASIG-07'!$B$5:$D$88,3,0),0))</f>
        <v>0</v>
      </c>
      <c r="V17" s="69" t="s">
        <v>129</v>
      </c>
    </row>
    <row r="18" spans="1:22" ht="15" customHeight="1">
      <c r="A18" s="12">
        <v>14</v>
      </c>
      <c r="B18" s="70" t="str">
        <f>LIDER!C22</f>
        <v>VICKY SADAY LAGUNA SUÁREZ</v>
      </c>
      <c r="C18" s="64" t="str">
        <f>IF(B18=0,"",IFERROR(VLOOKUP(B18,'S-ASIG-01'!$B$5:$E$88,2,0),0))</f>
        <v>G03</v>
      </c>
      <c r="D18" s="65">
        <f t="shared" si="2"/>
        <v>4.2733333333333334</v>
      </c>
      <c r="E18" s="66">
        <f t="shared" si="3"/>
        <v>4.4375</v>
      </c>
      <c r="F18" s="47"/>
      <c r="G18" s="71">
        <f>IF(B18=0,"",IFERROR(VLOOKUP(B18,'S-ASIG-01'!$B$5:$E$88,4,0),0))</f>
        <v>4.1500000000000004</v>
      </c>
      <c r="H18" s="72">
        <f>IF(B18=0,"",IFERROR(VLOOKUP(B18,'S-ASIG-02'!$B$5:$E$88,4,0),0))</f>
        <v>3.9999999999999996</v>
      </c>
      <c r="I18" s="72">
        <f>IF(B18=0,"",IFERROR(VLOOKUP(B18,'S-ASIG-03'!$B$5:$E$88,4,0),0))</f>
        <v>4.6000000000000005</v>
      </c>
      <c r="J18" s="72">
        <f>IF(B18=0,"",IFERROR(VLOOKUP(B18,'S-ASIG-04'!$B$5:$E$88,4,0),0))</f>
        <v>4.0900000000000007</v>
      </c>
      <c r="K18" s="72">
        <f>IF(B18=0,"",IFERROR(VLOOKUP(B18,'S-ASIG-05'!$B$5:$E$88,4,0),0))</f>
        <v>4.3499999999999996</v>
      </c>
      <c r="L18" s="72">
        <f>IF(B18=0,"",IFERROR(VLOOKUP(B18,'S-ASIG-06'!$B$5:$E$88,4,0),0))</f>
        <v>4.4500000000000011</v>
      </c>
      <c r="M18" s="73">
        <f>IF(B18=0,"",IFERROR(VLOOKUP(B18,'S-ASIG-07'!$B$5:$E$88,4,0),0))</f>
        <v>0</v>
      </c>
      <c r="N18" s="68" t="s">
        <v>128</v>
      </c>
      <c r="O18" s="71">
        <f>IF(B18=0,"",IFERROR(VLOOKUP(B18,'T-ASIG-01'!$B$5:$D$88,3,0),0))</f>
        <v>4.75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4.45</v>
      </c>
      <c r="S18" s="72">
        <f>IF(B18=0,"",IFERROR(VLOOKUP(B18,'T-ASIG-05'!$B$5:$D$88,3,0),0))</f>
        <v>4.4000000000000004</v>
      </c>
      <c r="T18" s="72">
        <f>IF(B18=0,"",IFERROR(VLOOKUP(B18,'T-ASIG-06'!$B$5:$D$88,3,0),0))</f>
        <v>4.1500000000000004</v>
      </c>
      <c r="U18" s="73">
        <f>IF(B18=0,"",IFERROR(VLOOKUP(B18,'T-ASIG-07'!$B$5:$D$88,3,0),0))</f>
        <v>0</v>
      </c>
      <c r="V18" s="69" t="s">
        <v>129</v>
      </c>
    </row>
    <row r="19" spans="1:22" ht="15" customHeight="1">
      <c r="A19" s="12">
        <v>15</v>
      </c>
      <c r="B19" s="70" t="str">
        <f>LIDER!C23</f>
        <v>JHON DEIVER MAZA VALVERDE</v>
      </c>
      <c r="C19" s="64" t="str">
        <f>IF(B19=0,"",IFERROR(VLOOKUP(B19,'S-ASIG-01'!$B$5:$E$88,2,0),0))</f>
        <v>G03</v>
      </c>
      <c r="D19" s="65">
        <f t="shared" si="2"/>
        <v>4.2733333333333334</v>
      </c>
      <c r="E19" s="66">
        <f t="shared" si="3"/>
        <v>4.4375</v>
      </c>
      <c r="F19" s="47"/>
      <c r="G19" s="71">
        <f>IF(B19=0,"",IFERROR(VLOOKUP(B19,'S-ASIG-01'!$B$5:$E$88,4,0),0))</f>
        <v>4.1500000000000004</v>
      </c>
      <c r="H19" s="72">
        <f>IF(B19=0,"",IFERROR(VLOOKUP(B19,'S-ASIG-02'!$B$5:$E$88,4,0),0))</f>
        <v>3.9999999999999996</v>
      </c>
      <c r="I19" s="72">
        <f>IF(B19=0,"",IFERROR(VLOOKUP(B19,'S-ASIG-03'!$B$5:$E$88,4,0),0))</f>
        <v>4.6000000000000005</v>
      </c>
      <c r="J19" s="72">
        <f>IF(B19=0,"",IFERROR(VLOOKUP(B19,'S-ASIG-04'!$B$5:$E$88,4,0),0))</f>
        <v>4.0900000000000007</v>
      </c>
      <c r="K19" s="72">
        <f>IF(B19=0,"",IFERROR(VLOOKUP(B19,'S-ASIG-05'!$B$5:$E$88,4,0),0))</f>
        <v>4.3499999999999996</v>
      </c>
      <c r="L19" s="72">
        <f>IF(B19=0,"",IFERROR(VLOOKUP(B19,'S-ASIG-06'!$B$5:$E$88,4,0),0))</f>
        <v>4.4500000000000011</v>
      </c>
      <c r="M19" s="73">
        <f>IF(B19=0,"",IFERROR(VLOOKUP(B19,'S-ASIG-07'!$B$5:$E$88,4,0),0))</f>
        <v>0</v>
      </c>
      <c r="N19" s="68" t="s">
        <v>128</v>
      </c>
      <c r="O19" s="71">
        <f>IF(B19=0,"",IFERROR(VLOOKUP(B19,'T-ASIG-01'!$B$5:$D$88,3,0),0))</f>
        <v>4.75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4.45</v>
      </c>
      <c r="S19" s="72">
        <f>IF(B19=0,"",IFERROR(VLOOKUP(B19,'T-ASIG-05'!$B$5:$D$88,3,0),0))</f>
        <v>4.4000000000000004</v>
      </c>
      <c r="T19" s="72">
        <f>IF(B19=0,"",IFERROR(VLOOKUP(B19,'T-ASIG-06'!$B$5:$D$88,3,0),0))</f>
        <v>4.1500000000000004</v>
      </c>
      <c r="U19" s="73">
        <f>IF(B19=0,"",IFERROR(VLOOKUP(B19,'T-ASIG-07'!$B$5:$D$88,3,0),0))</f>
        <v>0</v>
      </c>
      <c r="V19" s="69" t="s">
        <v>129</v>
      </c>
    </row>
    <row r="20" spans="1:22" ht="15" customHeight="1">
      <c r="A20" s="12">
        <v>16</v>
      </c>
      <c r="B20" s="70" t="str">
        <f>LIDER!C24</f>
        <v>JHON JAIRO OROZCO BALLESTAS</v>
      </c>
      <c r="C20" s="64" t="str">
        <f>IF(B20=0,"",IFERROR(VLOOKUP(B20,'S-ASIG-01'!$B$5:$E$88,2,0),0))</f>
        <v>G03</v>
      </c>
      <c r="D20" s="65">
        <f t="shared" si="2"/>
        <v>4.2733333333333334</v>
      </c>
      <c r="E20" s="66">
        <f t="shared" si="3"/>
        <v>4.4375</v>
      </c>
      <c r="F20" s="47"/>
      <c r="G20" s="71">
        <f>IF(B20=0,"",IFERROR(VLOOKUP(B20,'S-ASIG-01'!$B$5:$E$88,4,0),0))</f>
        <v>4.1500000000000004</v>
      </c>
      <c r="H20" s="72">
        <f>IF(B20=0,"",IFERROR(VLOOKUP(B20,'S-ASIG-02'!$B$5:$E$88,4,0),0))</f>
        <v>3.9999999999999996</v>
      </c>
      <c r="I20" s="72">
        <f>IF(B20=0,"",IFERROR(VLOOKUP(B20,'S-ASIG-03'!$B$5:$E$88,4,0),0))</f>
        <v>4.6000000000000005</v>
      </c>
      <c r="J20" s="72">
        <f>IF(B20=0,"",IFERROR(VLOOKUP(B20,'S-ASIG-04'!$B$5:$E$88,4,0),0))</f>
        <v>4.0900000000000007</v>
      </c>
      <c r="K20" s="72">
        <f>IF(B20=0,"",IFERROR(VLOOKUP(B20,'S-ASIG-05'!$B$5:$E$88,4,0),0))</f>
        <v>4.3499999999999996</v>
      </c>
      <c r="L20" s="72">
        <f>IF(B20=0,"",IFERROR(VLOOKUP(B20,'S-ASIG-06'!$B$5:$E$88,4,0),0))</f>
        <v>4.4500000000000011</v>
      </c>
      <c r="M20" s="73">
        <f>IF(B20=0,"",IFERROR(VLOOKUP(B20,'S-ASIG-07'!$B$5:$E$88,4,0),0))</f>
        <v>0</v>
      </c>
      <c r="N20" s="68" t="s">
        <v>128</v>
      </c>
      <c r="O20" s="71">
        <f>IF(B20=0,"",IFERROR(VLOOKUP(B20,'T-ASIG-01'!$B$5:$D$88,3,0),0))</f>
        <v>4.75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4.45</v>
      </c>
      <c r="S20" s="72">
        <f>IF(B20=0,"",IFERROR(VLOOKUP(B20,'T-ASIG-05'!$B$5:$D$88,3,0),0))</f>
        <v>4.4000000000000004</v>
      </c>
      <c r="T20" s="72">
        <f>IF(B20=0,"",IFERROR(VLOOKUP(B20,'T-ASIG-06'!$B$5:$D$88,3,0),0))</f>
        <v>4.1500000000000004</v>
      </c>
      <c r="U20" s="73">
        <f>IF(B20=0,"",IFERROR(VLOOKUP(B20,'T-ASIG-07'!$B$5:$D$88,3,0),0))</f>
        <v>0</v>
      </c>
      <c r="V20" s="69" t="s">
        <v>129</v>
      </c>
    </row>
    <row r="21" spans="1:22" ht="15" customHeight="1">
      <c r="A21" s="12">
        <v>17</v>
      </c>
      <c r="B21" s="70" t="str">
        <f>LIDER!C25</f>
        <v>MARIANA ALEJANDRA ARENAS BUSTILLO</v>
      </c>
      <c r="C21" s="64" t="str">
        <f>IF(B21=0,"",IFERROR(VLOOKUP(B21,'S-ASIG-01'!$B$5:$E$88,2,0),0))</f>
        <v>G04</v>
      </c>
      <c r="D21" s="65">
        <f t="shared" si="2"/>
        <v>4.3266666666666671</v>
      </c>
      <c r="E21" s="66">
        <f t="shared" si="3"/>
        <v>4.7</v>
      </c>
      <c r="F21" s="47"/>
      <c r="G21" s="71">
        <f>IF(B21=0,"",IFERROR(VLOOKUP(B21,'S-ASIG-01'!$B$5:$E$88,4,0),0))</f>
        <v>4.5500000000000007</v>
      </c>
      <c r="H21" s="72">
        <f>IF(B21=0,"",IFERROR(VLOOKUP(B21,'S-ASIG-02'!$B$5:$E$88,4,0),0))</f>
        <v>3.5000000000000004</v>
      </c>
      <c r="I21" s="72">
        <f>IF(B21=0,"",IFERROR(VLOOKUP(B21,'S-ASIG-03'!$B$5:$E$88,4,0),0))</f>
        <v>4.76</v>
      </c>
      <c r="J21" s="72">
        <f>IF(B21=0,"",IFERROR(VLOOKUP(B21,'S-ASIG-04'!$B$5:$E$88,4,0),0))</f>
        <v>4.3000000000000007</v>
      </c>
      <c r="K21" s="72">
        <f>IF(B21=0,"",IFERROR(VLOOKUP(B21,'S-ASIG-05'!$B$5:$E$88,4,0),0))</f>
        <v>4.3000000000000007</v>
      </c>
      <c r="L21" s="72">
        <f>IF(B21=0,"",IFERROR(VLOOKUP(B21,'S-ASIG-06'!$B$5:$E$88,4,0),0))</f>
        <v>4.5500000000000007</v>
      </c>
      <c r="M21" s="73">
        <f>IF(B21=0,"",IFERROR(VLOOKUP(B21,'S-ASIG-07'!$B$5:$E$88,4,0),0))</f>
        <v>0</v>
      </c>
      <c r="N21" s="68" t="s">
        <v>128</v>
      </c>
      <c r="O21" s="71">
        <f>IF(B21=0,"",IFERROR(VLOOKUP(B21,'T-ASIG-01'!$B$5:$D$88,3,0),0))</f>
        <v>4.75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4.7</v>
      </c>
      <c r="S21" s="72">
        <f>IF(B21=0,"",IFERROR(VLOOKUP(B21,'T-ASIG-05'!$B$5:$D$88,3,0),0))</f>
        <v>4.5</v>
      </c>
      <c r="T21" s="72">
        <f>IF(B21=0,"",IFERROR(VLOOKUP(B21,'T-ASIG-06'!$B$5:$D$88,3,0),0))</f>
        <v>4.8500000000000005</v>
      </c>
      <c r="U21" s="73">
        <f>IF(B21=0,"",IFERROR(VLOOKUP(B21,'T-ASIG-07'!$B$5:$D$88,3,0),0))</f>
        <v>0</v>
      </c>
      <c r="V21" s="69" t="s">
        <v>129</v>
      </c>
    </row>
    <row r="22" spans="1:22" ht="15" customHeight="1">
      <c r="A22" s="12">
        <v>18</v>
      </c>
      <c r="B22" s="70" t="str">
        <f>LIDER!C26</f>
        <v>DANIELA FIGUEROA CASTELLAR</v>
      </c>
      <c r="C22" s="64" t="str">
        <f>IF(B22=0,"",IFERROR(VLOOKUP(B22,'S-ASIG-01'!$B$5:$E$88,2,0),0))</f>
        <v>G04</v>
      </c>
      <c r="D22" s="65">
        <f t="shared" si="2"/>
        <v>4.3266666666666671</v>
      </c>
      <c r="E22" s="66">
        <f t="shared" si="3"/>
        <v>4.7</v>
      </c>
      <c r="F22" s="47"/>
      <c r="G22" s="71">
        <f>IF(B22=0,"",IFERROR(VLOOKUP(B22,'S-ASIG-01'!$B$5:$E$88,4,0),0))</f>
        <v>4.5500000000000007</v>
      </c>
      <c r="H22" s="72">
        <f>IF(B22=0,"",IFERROR(VLOOKUP(B22,'S-ASIG-02'!$B$5:$E$88,4,0),0))</f>
        <v>3.5000000000000004</v>
      </c>
      <c r="I22" s="72">
        <f>IF(B22=0,"",IFERROR(VLOOKUP(B22,'S-ASIG-03'!$B$5:$E$88,4,0),0))</f>
        <v>4.76</v>
      </c>
      <c r="J22" s="72">
        <f>IF(B22=0,"",IFERROR(VLOOKUP(B22,'S-ASIG-04'!$B$5:$E$88,4,0),0))</f>
        <v>4.3000000000000007</v>
      </c>
      <c r="K22" s="72">
        <f>IF(B22=0,"",IFERROR(VLOOKUP(B22,'S-ASIG-05'!$B$5:$E$88,4,0),0))</f>
        <v>4.3000000000000007</v>
      </c>
      <c r="L22" s="72">
        <f>IF(B22=0,"",IFERROR(VLOOKUP(B22,'S-ASIG-06'!$B$5:$E$88,4,0),0))</f>
        <v>4.5500000000000007</v>
      </c>
      <c r="M22" s="73">
        <f>IF(B22=0,"",IFERROR(VLOOKUP(B22,'S-ASIG-07'!$B$5:$E$88,4,0),0))</f>
        <v>0</v>
      </c>
      <c r="N22" s="68" t="s">
        <v>128</v>
      </c>
      <c r="O22" s="71">
        <f>IF(B22=0,"",IFERROR(VLOOKUP(B22,'T-ASIG-01'!$B$5:$D$88,3,0),0))</f>
        <v>4.75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4.7</v>
      </c>
      <c r="S22" s="72">
        <f>IF(B22=0,"",IFERROR(VLOOKUP(B22,'T-ASIG-05'!$B$5:$D$88,3,0),0))</f>
        <v>4.5</v>
      </c>
      <c r="T22" s="72">
        <f>IF(B22=0,"",IFERROR(VLOOKUP(B22,'T-ASIG-06'!$B$5:$D$88,3,0),0))</f>
        <v>4.8500000000000005</v>
      </c>
      <c r="U22" s="73">
        <f>IF(B22=0,"",IFERROR(VLOOKUP(B22,'T-ASIG-07'!$B$5:$D$88,3,0),0))</f>
        <v>0</v>
      </c>
      <c r="V22" s="69" t="s">
        <v>129</v>
      </c>
    </row>
    <row r="23" spans="1:22" ht="15" customHeight="1">
      <c r="A23" s="12">
        <v>19</v>
      </c>
      <c r="B23" s="70" t="str">
        <f>LIDER!C27</f>
        <v>WENDY PAOLA LARA CORTINA</v>
      </c>
      <c r="C23" s="64" t="str">
        <f>IF(B23=0,"",IFERROR(VLOOKUP(B23,'S-ASIG-01'!$B$5:$E$88,2,0),0))</f>
        <v>G04</v>
      </c>
      <c r="D23" s="65">
        <f t="shared" si="2"/>
        <v>4.3266666666666671</v>
      </c>
      <c r="E23" s="66">
        <f t="shared" si="3"/>
        <v>4.7</v>
      </c>
      <c r="F23" s="47"/>
      <c r="G23" s="71">
        <f>IF(B23=0,"",IFERROR(VLOOKUP(B23,'S-ASIG-01'!$B$5:$E$88,4,0),0))</f>
        <v>4.5500000000000007</v>
      </c>
      <c r="H23" s="72">
        <f>IF(B23=0,"",IFERROR(VLOOKUP(B23,'S-ASIG-02'!$B$5:$E$88,4,0),0))</f>
        <v>3.5000000000000004</v>
      </c>
      <c r="I23" s="72">
        <f>IF(B23=0,"",IFERROR(VLOOKUP(B23,'S-ASIG-03'!$B$5:$E$88,4,0),0))</f>
        <v>4.76</v>
      </c>
      <c r="J23" s="72">
        <f>IF(B23=0,"",IFERROR(VLOOKUP(B23,'S-ASIG-04'!$B$5:$E$88,4,0),0))</f>
        <v>4.3000000000000007</v>
      </c>
      <c r="K23" s="72">
        <f>IF(B23=0,"",IFERROR(VLOOKUP(B23,'S-ASIG-05'!$B$5:$E$88,4,0),0))</f>
        <v>4.3000000000000007</v>
      </c>
      <c r="L23" s="72">
        <f>IF(B23=0,"",IFERROR(VLOOKUP(B23,'S-ASIG-06'!$B$5:$E$88,4,0),0))</f>
        <v>4.5500000000000007</v>
      </c>
      <c r="M23" s="73">
        <f>IF(B23=0,"",IFERROR(VLOOKUP(B23,'S-ASIG-07'!$B$5:$E$88,4,0),0))</f>
        <v>0</v>
      </c>
      <c r="N23" s="68" t="s">
        <v>128</v>
      </c>
      <c r="O23" s="71">
        <f>IF(B23=0,"",IFERROR(VLOOKUP(B23,'T-ASIG-01'!$B$5:$D$88,3,0),0))</f>
        <v>4.75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4.7</v>
      </c>
      <c r="S23" s="72">
        <f>IF(B23=0,"",IFERROR(VLOOKUP(B23,'T-ASIG-05'!$B$5:$D$88,3,0),0))</f>
        <v>4.5</v>
      </c>
      <c r="T23" s="72">
        <f>IF(B23=0,"",IFERROR(VLOOKUP(B23,'T-ASIG-06'!$B$5:$D$88,3,0),0))</f>
        <v>4.8500000000000005</v>
      </c>
      <c r="U23" s="73">
        <f>IF(B23=0,"",IFERROR(VLOOKUP(B23,'T-ASIG-07'!$B$5:$D$88,3,0),0))</f>
        <v>0</v>
      </c>
      <c r="V23" s="69" t="s">
        <v>129</v>
      </c>
    </row>
    <row r="24" spans="1:22" ht="15" customHeight="1">
      <c r="A24" s="12">
        <v>20</v>
      </c>
      <c r="B24" s="70" t="str">
        <f>LIDER!C28</f>
        <v>MAYRA ALEJANDRA NAVARRO LOPEZ</v>
      </c>
      <c r="C24" s="64" t="str">
        <f>IF(B24=0,"",IFERROR(VLOOKUP(B24,'S-ASIG-01'!$B$5:$E$88,2,0),0))</f>
        <v>G04</v>
      </c>
      <c r="D24" s="65">
        <f t="shared" si="2"/>
        <v>4.3266666666666671</v>
      </c>
      <c r="E24" s="66">
        <f t="shared" si="3"/>
        <v>4.7</v>
      </c>
      <c r="F24" s="47"/>
      <c r="G24" s="71">
        <f>IF(B24=0,"",IFERROR(VLOOKUP(B24,'S-ASIG-01'!$B$5:$E$88,4,0),0))</f>
        <v>4.5500000000000007</v>
      </c>
      <c r="H24" s="72">
        <f>IF(B24=0,"",IFERROR(VLOOKUP(B24,'S-ASIG-02'!$B$5:$E$88,4,0),0))</f>
        <v>3.5000000000000004</v>
      </c>
      <c r="I24" s="72">
        <f>IF(B24=0,"",IFERROR(VLOOKUP(B24,'S-ASIG-03'!$B$5:$E$88,4,0),0))</f>
        <v>4.76</v>
      </c>
      <c r="J24" s="72">
        <f>IF(B24=0,"",IFERROR(VLOOKUP(B24,'S-ASIG-04'!$B$5:$E$88,4,0),0))</f>
        <v>4.3000000000000007</v>
      </c>
      <c r="K24" s="72">
        <f>IF(B24=0,"",IFERROR(VLOOKUP(B24,'S-ASIG-05'!$B$5:$E$88,4,0),0))</f>
        <v>4.3000000000000007</v>
      </c>
      <c r="L24" s="72">
        <f>IF(B24=0,"",IFERROR(VLOOKUP(B24,'S-ASIG-06'!$B$5:$E$88,4,0),0))</f>
        <v>4.5500000000000007</v>
      </c>
      <c r="M24" s="73">
        <f>IF(B24=0,"",IFERROR(VLOOKUP(B24,'S-ASIG-07'!$B$5:$E$88,4,0),0))</f>
        <v>0</v>
      </c>
      <c r="N24" s="68" t="s">
        <v>128</v>
      </c>
      <c r="O24" s="71">
        <f>IF(B24=0,"",IFERROR(VLOOKUP(B24,'T-ASIG-01'!$B$5:$D$88,3,0),0))</f>
        <v>4.75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>
        <f>IF(B24=0,"",IFERROR(VLOOKUP(B24,'T-ASIG-04'!$B$5:$D$88,3,0),0))</f>
        <v>4.7</v>
      </c>
      <c r="S24" s="72">
        <f>IF(B24=0,"",IFERROR(VLOOKUP(B24,'T-ASIG-05'!$B$5:$D$88,3,0),0))</f>
        <v>4.5</v>
      </c>
      <c r="T24" s="72">
        <f>IF(B24=0,"",IFERROR(VLOOKUP(B24,'T-ASIG-06'!$B$5:$D$88,3,0),0))</f>
        <v>4.8500000000000005</v>
      </c>
      <c r="U24" s="73">
        <f>IF(B24=0,"",IFERROR(VLOOKUP(B24,'T-ASIG-07'!$B$5:$D$88,3,0),0))</f>
        <v>0</v>
      </c>
      <c r="V24" s="69" t="s">
        <v>129</v>
      </c>
    </row>
    <row r="25" spans="1:22" ht="15" customHeight="1">
      <c r="A25" s="12">
        <v>21</v>
      </c>
      <c r="B25" s="70" t="str">
        <f>LIDER!C29</f>
        <v>DANIEL DE JESUS VILLADIEGO VELASQUEZ</v>
      </c>
      <c r="C25" s="64" t="str">
        <f>IF(B25=0,"",IFERROR(VLOOKUP(B25,'S-ASIG-01'!$B$5:$E$88,2,0),0))</f>
        <v>G04</v>
      </c>
      <c r="D25" s="65">
        <f t="shared" si="2"/>
        <v>4.3266666666666671</v>
      </c>
      <c r="E25" s="66">
        <f t="shared" si="3"/>
        <v>4.7</v>
      </c>
      <c r="F25" s="47"/>
      <c r="G25" s="71">
        <f>IF(B25=0,"",IFERROR(VLOOKUP(B25,'S-ASIG-01'!$B$5:$E$88,4,0),0))</f>
        <v>4.5500000000000007</v>
      </c>
      <c r="H25" s="72">
        <f>IF(B25=0,"",IFERROR(VLOOKUP(B25,'S-ASIG-02'!$B$5:$E$88,4,0),0))</f>
        <v>3.5000000000000004</v>
      </c>
      <c r="I25" s="72">
        <f>IF(B25=0,"",IFERROR(VLOOKUP(B25,'S-ASIG-03'!$B$5:$E$88,4,0),0))</f>
        <v>4.76</v>
      </c>
      <c r="J25" s="72">
        <f>IF(B25=0,"",IFERROR(VLOOKUP(B25,'S-ASIG-04'!$B$5:$E$88,4,0),0))</f>
        <v>4.3000000000000007</v>
      </c>
      <c r="K25" s="72">
        <f>IF(B25=0,"",IFERROR(VLOOKUP(B25,'S-ASIG-05'!$B$5:$E$88,4,0),0))</f>
        <v>4.3000000000000007</v>
      </c>
      <c r="L25" s="72">
        <f>IF(B25=0,"",IFERROR(VLOOKUP(B25,'S-ASIG-06'!$B$5:$E$88,4,0),0))</f>
        <v>4.5500000000000007</v>
      </c>
      <c r="M25" s="73">
        <f>IF(B25=0,"",IFERROR(VLOOKUP(B25,'S-ASIG-07'!$B$5:$E$88,4,0),0))</f>
        <v>0</v>
      </c>
      <c r="N25" s="68" t="s">
        <v>128</v>
      </c>
      <c r="O25" s="71">
        <f>IF(B25=0,"",IFERROR(VLOOKUP(B25,'T-ASIG-01'!$B$5:$D$88,3,0),0))</f>
        <v>4.75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>
        <f>IF(B25=0,"",IFERROR(VLOOKUP(B25,'T-ASIG-04'!$B$5:$D$88,3,0),0))</f>
        <v>4.7</v>
      </c>
      <c r="S25" s="72">
        <f>IF(B25=0,"",IFERROR(VLOOKUP(B25,'T-ASIG-05'!$B$5:$D$88,3,0),0))</f>
        <v>4.5</v>
      </c>
      <c r="T25" s="72">
        <f>IF(B25=0,"",IFERROR(VLOOKUP(B25,'T-ASIG-06'!$B$5:$D$88,3,0),0))</f>
        <v>4.8500000000000005</v>
      </c>
      <c r="U25" s="73">
        <f>IF(B25=0,"",IFERROR(VLOOKUP(B25,'T-ASIG-07'!$B$5:$D$88,3,0),0))</f>
        <v>0</v>
      </c>
      <c r="V25" s="69" t="s">
        <v>129</v>
      </c>
    </row>
    <row r="26" spans="1:22" ht="15" customHeight="1">
      <c r="A26" s="12">
        <v>22</v>
      </c>
      <c r="B26" s="70" t="str">
        <f>LIDER!C30</f>
        <v>Oscar Herrera Himbret</v>
      </c>
      <c r="C26" s="64" t="str">
        <f>IF(B26=0,"",IFERROR(VLOOKUP(B26,'S-ASIG-01'!$B$5:$E$88,2,0),0))</f>
        <v>G05</v>
      </c>
      <c r="D26" s="65">
        <f t="shared" si="2"/>
        <v>4.3320000000000007</v>
      </c>
      <c r="E26" s="66">
        <f t="shared" si="3"/>
        <v>4.4666666666666668</v>
      </c>
      <c r="F26" s="47"/>
      <c r="G26" s="71">
        <f>IF(B26=0,"",IFERROR(VLOOKUP(B26,'S-ASIG-01'!$B$5:$E$88,4,0),0))</f>
        <v>4.4000000000000004</v>
      </c>
      <c r="H26" s="72">
        <f>IF(B26=0,"",IFERROR(VLOOKUP(B26,'S-ASIG-02'!$B$5:$E$88,4,0),0))</f>
        <v>3.9999999999999996</v>
      </c>
      <c r="I26" s="72">
        <f>IF(B26=0,"",IFERROR(VLOOKUP(B26,'S-ASIG-03'!$B$5:$E$88,4,0),0))</f>
        <v>4.67</v>
      </c>
      <c r="J26" s="72">
        <f>IF(B26=0,"",IFERROR(VLOOKUP(B26,'S-ASIG-04'!$B$5:$E$88,4,0),0))</f>
        <v>4.4400000000000004</v>
      </c>
      <c r="K26" s="72">
        <f>IF(B26=0,"",IFERROR(VLOOKUP(B26,'S-ASIG-05'!$B$5:$E$88,4,0),0))</f>
        <v>4.1500000000000004</v>
      </c>
      <c r="L26" s="72">
        <f>IF(B26=0,"",IFERROR(VLOOKUP(B26,'S-ASIG-06'!$B$5:$E$88,4,0),0))</f>
        <v>0</v>
      </c>
      <c r="M26" s="73">
        <f>IF(B26=0,"",IFERROR(VLOOKUP(B26,'S-ASIG-07'!$B$5:$E$88,4,0),0))</f>
        <v>0</v>
      </c>
      <c r="N26" s="68" t="s">
        <v>128</v>
      </c>
      <c r="O26" s="71">
        <f>IF(B26=0,"",IFERROR(VLOOKUP(B26,'T-ASIG-01'!$B$5:$D$88,3,0),0))</f>
        <v>4.7</v>
      </c>
      <c r="P26" s="72">
        <f>IF(B26=0,"",IFERROR(VLOOKUP(B26,'T-ASIG-02'!$B$5:$D$88,3,0),0))</f>
        <v>0</v>
      </c>
      <c r="Q26" s="72">
        <f>IF(B26=0,"",IFERROR(VLOOKUP(B26,'T-ASIG-03'!$B$5:$D$88,3,0),0))</f>
        <v>0</v>
      </c>
      <c r="R26" s="72">
        <f>IF(B26=0,"",IFERROR(VLOOKUP(B26,'T-ASIG-04'!$B$5:$D$88,3,0),0))</f>
        <v>4.3</v>
      </c>
      <c r="S26" s="72">
        <f>IF(B26=0,"",IFERROR(VLOOKUP(B26,'T-ASIG-05'!$B$5:$D$88,3,0),0))</f>
        <v>4.4000000000000004</v>
      </c>
      <c r="T26" s="72" t="str">
        <f>IF(B26=0,"",IFERROR(VLOOKUP(B26,'T-ASIG-06'!$B$5:$D$88,3,0),0))</f>
        <v>N</v>
      </c>
      <c r="U26" s="73">
        <f>IF(B26=0,"",IFERROR(VLOOKUP(B26,'T-ASIG-07'!$B$5:$D$88,3,0),0))</f>
        <v>0</v>
      </c>
      <c r="V26" s="69" t="s">
        <v>129</v>
      </c>
    </row>
    <row r="27" spans="1:22" ht="15" customHeight="1">
      <c r="A27" s="12">
        <v>23</v>
      </c>
      <c r="B27" s="70" t="str">
        <f>LIDER!C31</f>
        <v>NEIBILIS ROSA OBESO BORNACHERA</v>
      </c>
      <c r="C27" s="64" t="str">
        <f>IF(B27=0,"",IFERROR(VLOOKUP(B27,'S-ASIG-01'!$B$5:$E$88,2,0),0))</f>
        <v>G05</v>
      </c>
      <c r="D27" s="65">
        <f t="shared" si="2"/>
        <v>4.3100000000000005</v>
      </c>
      <c r="E27" s="66">
        <f t="shared" si="3"/>
        <v>4.3125</v>
      </c>
      <c r="F27" s="47"/>
      <c r="G27" s="71">
        <f>IF(B27=0,"",IFERROR(VLOOKUP(B27,'S-ASIG-01'!$B$5:$E$88,4,0),0))</f>
        <v>4.4000000000000004</v>
      </c>
      <c r="H27" s="72">
        <f>IF(B27=0,"",IFERROR(VLOOKUP(B27,'S-ASIG-02'!$B$5:$E$88,4,0),0))</f>
        <v>3.9999999999999996</v>
      </c>
      <c r="I27" s="72">
        <f>IF(B27=0,"",IFERROR(VLOOKUP(B27,'S-ASIG-03'!$B$5:$E$88,4,0),0))</f>
        <v>4.67</v>
      </c>
      <c r="J27" s="72">
        <f>IF(B27=0,"",IFERROR(VLOOKUP(B27,'S-ASIG-04'!$B$5:$E$88,4,0),0))</f>
        <v>4.4400000000000004</v>
      </c>
      <c r="K27" s="72">
        <f>IF(B27=0,"",IFERROR(VLOOKUP(B27,'S-ASIG-05'!$B$5:$E$88,4,0),0))</f>
        <v>4.1500000000000004</v>
      </c>
      <c r="L27" s="72">
        <f>IF(B27=0,"",IFERROR(VLOOKUP(B27,'S-ASIG-06'!$B$5:$E$88,4,0),0))</f>
        <v>4.1999999999999993</v>
      </c>
      <c r="M27" s="73">
        <f>IF(B27=0,"",IFERROR(VLOOKUP(B27,'S-ASIG-07'!$B$5:$E$88,4,0),0))</f>
        <v>0</v>
      </c>
      <c r="N27" s="68" t="s">
        <v>128</v>
      </c>
      <c r="O27" s="71">
        <f>IF(B27=0,"",IFERROR(VLOOKUP(B27,'T-ASIG-01'!$B$5:$D$88,3,0),0))</f>
        <v>4.7</v>
      </c>
      <c r="P27" s="72">
        <f>IF(B27=0,"",IFERROR(VLOOKUP(B27,'T-ASIG-02'!$B$5:$D$88,3,0),0))</f>
        <v>0</v>
      </c>
      <c r="Q27" s="72">
        <f>IF(B27=0,"",IFERROR(VLOOKUP(B27,'T-ASIG-03'!$B$5:$D$88,3,0),0))</f>
        <v>0</v>
      </c>
      <c r="R27" s="72">
        <f>IF(B27=0,"",IFERROR(VLOOKUP(B27,'T-ASIG-04'!$B$5:$D$88,3,0),0))</f>
        <v>4.3</v>
      </c>
      <c r="S27" s="72">
        <f>IF(B27=0,"",IFERROR(VLOOKUP(B27,'T-ASIG-05'!$B$5:$D$88,3,0),0))</f>
        <v>4.4000000000000004</v>
      </c>
      <c r="T27" s="72">
        <f>IF(B27=0,"",IFERROR(VLOOKUP(B27,'T-ASIG-06'!$B$5:$D$88,3,0),0))</f>
        <v>3.8500000000000005</v>
      </c>
      <c r="U27" s="73">
        <f>IF(B27=0,"",IFERROR(VLOOKUP(B27,'T-ASIG-07'!$B$5:$D$88,3,0),0))</f>
        <v>0</v>
      </c>
      <c r="V27" s="69" t="s">
        <v>129</v>
      </c>
    </row>
    <row r="28" spans="1:22" ht="15" customHeight="1">
      <c r="A28" s="12">
        <v>24</v>
      </c>
      <c r="B28" s="70" t="str">
        <f>LIDER!C32</f>
        <v>AMÉRICA ROJAS BARROS</v>
      </c>
      <c r="C28" s="64" t="str">
        <f>IF(B28=0,"",IFERROR(VLOOKUP(B28,'S-ASIG-01'!$B$5:$E$88,2,0),0))</f>
        <v>G05</v>
      </c>
      <c r="D28" s="65">
        <f t="shared" si="2"/>
        <v>4.3100000000000005</v>
      </c>
      <c r="E28" s="66">
        <f t="shared" si="3"/>
        <v>4.3125</v>
      </c>
      <c r="F28" s="47"/>
      <c r="G28" s="71">
        <f>IF(B28=0,"",IFERROR(VLOOKUP(B28,'S-ASIG-01'!$B$5:$E$88,4,0),0))</f>
        <v>4.4000000000000004</v>
      </c>
      <c r="H28" s="72">
        <f>IF(B28=0,"",IFERROR(VLOOKUP(B28,'S-ASIG-02'!$B$5:$E$88,4,0),0))</f>
        <v>3.9999999999999996</v>
      </c>
      <c r="I28" s="72">
        <f>IF(B28=0,"",IFERROR(VLOOKUP(B28,'S-ASIG-03'!$B$5:$E$88,4,0),0))</f>
        <v>4.67</v>
      </c>
      <c r="J28" s="72">
        <f>IF(B28=0,"",IFERROR(VLOOKUP(B28,'S-ASIG-04'!$B$5:$E$88,4,0),0))</f>
        <v>4.4400000000000004</v>
      </c>
      <c r="K28" s="72">
        <f>IF(B28=0,"",IFERROR(VLOOKUP(B28,'S-ASIG-05'!$B$5:$E$88,4,0),0))</f>
        <v>4.1500000000000004</v>
      </c>
      <c r="L28" s="72">
        <f>IF(B28=0,"",IFERROR(VLOOKUP(B28,'S-ASIG-06'!$B$5:$E$88,4,0),0))</f>
        <v>4.1999999999999993</v>
      </c>
      <c r="M28" s="73">
        <f>IF(B28=0,"",IFERROR(VLOOKUP(B28,'S-ASIG-07'!$B$5:$E$88,4,0),0))</f>
        <v>0</v>
      </c>
      <c r="N28" s="68" t="s">
        <v>128</v>
      </c>
      <c r="O28" s="71">
        <f>IF(B28=0,"",IFERROR(VLOOKUP(B28,'T-ASIG-01'!$B$5:$D$88,3,0),0))</f>
        <v>4.7</v>
      </c>
      <c r="P28" s="72">
        <f>IF(B28=0,"",IFERROR(VLOOKUP(B28,'T-ASIG-02'!$B$5:$D$88,3,0),0))</f>
        <v>0</v>
      </c>
      <c r="Q28" s="72">
        <f>IF(B28=0,"",IFERROR(VLOOKUP(B28,'T-ASIG-03'!$B$5:$D$88,3,0),0))</f>
        <v>0</v>
      </c>
      <c r="R28" s="72">
        <f>IF(B28=0,"",IFERROR(VLOOKUP(B28,'T-ASIG-04'!$B$5:$D$88,3,0),0))</f>
        <v>4.3</v>
      </c>
      <c r="S28" s="72">
        <f>IF(B28=0,"",IFERROR(VLOOKUP(B28,'T-ASIG-05'!$B$5:$D$88,3,0),0))</f>
        <v>4.4000000000000004</v>
      </c>
      <c r="T28" s="72">
        <f>IF(B28=0,"",IFERROR(VLOOKUP(B28,'T-ASIG-06'!$B$5:$D$88,3,0),0))</f>
        <v>3.8500000000000005</v>
      </c>
      <c r="U28" s="73">
        <f>IF(B28=0,"",IFERROR(VLOOKUP(B28,'T-ASIG-07'!$B$5:$D$88,3,0),0))</f>
        <v>0</v>
      </c>
      <c r="V28" s="69" t="s">
        <v>129</v>
      </c>
    </row>
    <row r="29" spans="1:22" ht="15" customHeight="1">
      <c r="A29" s="12">
        <v>25</v>
      </c>
      <c r="B29" s="70" t="str">
        <f>LIDER!C33</f>
        <v>BREYNER DUBAN MEDRANO MARTINEZ</v>
      </c>
      <c r="C29" s="64" t="str">
        <f>IF(B29=0,"",IFERROR(VLOOKUP(B29,'S-ASIG-01'!$B$5:$E$88,2,0),0))</f>
        <v>G06</v>
      </c>
      <c r="D29" s="65">
        <f t="shared" si="2"/>
        <v>3.6283333333333334</v>
      </c>
      <c r="E29" s="66">
        <f t="shared" si="3"/>
        <v>4.2625000000000002</v>
      </c>
      <c r="F29" s="47"/>
      <c r="G29" s="71">
        <f>IF(B29=0,"",IFERROR(VLOOKUP(B29,'S-ASIG-01'!$B$5:$E$88,4,0),0))</f>
        <v>3.4700000000000006</v>
      </c>
      <c r="H29" s="72">
        <f>IF(B29=0,"",IFERROR(VLOOKUP(B29,'S-ASIG-02'!$B$5:$E$88,4,0),0))</f>
        <v>3.6</v>
      </c>
      <c r="I29" s="72">
        <f>IF(B29=0,"",IFERROR(VLOOKUP(B29,'S-ASIG-03'!$B$5:$E$88,4,0),0))</f>
        <v>3.5</v>
      </c>
      <c r="J29" s="72">
        <f>IF(B29=0,"",IFERROR(VLOOKUP(B29,'S-ASIG-04'!$B$5:$E$88,4,0),0))</f>
        <v>3.3500000000000005</v>
      </c>
      <c r="K29" s="72">
        <f>IF(B29=0,"",IFERROR(VLOOKUP(B29,'S-ASIG-05'!$B$5:$E$88,4,0),0))</f>
        <v>4.1500000000000004</v>
      </c>
      <c r="L29" s="72">
        <f>IF(B29=0,"",IFERROR(VLOOKUP(B29,'S-ASIG-06'!$B$5:$E$88,4,0),0))</f>
        <v>3.6999999999999997</v>
      </c>
      <c r="M29" s="73">
        <f>IF(B29=0,"",IFERROR(VLOOKUP(B29,'S-ASIG-07'!$B$5:$E$88,4,0),0))</f>
        <v>0</v>
      </c>
      <c r="N29" s="68" t="s">
        <v>128</v>
      </c>
      <c r="O29" s="71">
        <f>IF(B29=0,"",IFERROR(VLOOKUP(B29,'T-ASIG-01'!$B$5:$D$88,3,0),0))</f>
        <v>4.5</v>
      </c>
      <c r="P29" s="72">
        <f>IF(B29=0,"",IFERROR(VLOOKUP(B29,'T-ASIG-02'!$B$5:$D$88,3,0),0))</f>
        <v>0</v>
      </c>
      <c r="Q29" s="72">
        <f>IF(B29=0,"",IFERROR(VLOOKUP(B29,'T-ASIG-03'!$B$5:$D$88,3,0),0))</f>
        <v>0</v>
      </c>
      <c r="R29" s="72">
        <f>IF(B29=0,"",IFERROR(VLOOKUP(B29,'T-ASIG-04'!$B$5:$D$88,3,0),0))</f>
        <v>4.2</v>
      </c>
      <c r="S29" s="72">
        <f>IF(B29=0,"",IFERROR(VLOOKUP(B29,'T-ASIG-05'!$B$5:$D$88,3,0),0))</f>
        <v>4.5</v>
      </c>
      <c r="T29" s="72">
        <f>IF(B29=0,"",IFERROR(VLOOKUP(B29,'T-ASIG-06'!$B$5:$D$88,3,0),0))</f>
        <v>3.8500000000000005</v>
      </c>
      <c r="U29" s="73">
        <f>IF(B29=0,"",IFERROR(VLOOKUP(B29,'T-ASIG-07'!$B$5:$D$88,3,0),0))</f>
        <v>0</v>
      </c>
      <c r="V29" s="69" t="s">
        <v>129</v>
      </c>
    </row>
    <row r="30" spans="1:22" ht="15" customHeight="1">
      <c r="A30" s="12">
        <v>26</v>
      </c>
      <c r="B30" s="70" t="str">
        <f>LIDER!C34</f>
        <v>IVAN CAMILO RODRIGUEZ THERAN</v>
      </c>
      <c r="C30" s="64" t="str">
        <f>IF(B30=0,"",IFERROR(VLOOKUP(B30,'S-ASIG-01'!$B$5:$E$88,2,0),0))</f>
        <v>G05</v>
      </c>
      <c r="D30" s="65">
        <f t="shared" si="2"/>
        <v>4.2839999999999998</v>
      </c>
      <c r="E30" s="66">
        <f t="shared" si="3"/>
        <v>4.3166666666666673</v>
      </c>
      <c r="F30" s="47"/>
      <c r="G30" s="71">
        <f>IF(B30=0,"",IFERROR(VLOOKUP(B30,'S-ASIG-01'!$B$5:$E$88,4,0),0))</f>
        <v>4.4000000000000004</v>
      </c>
      <c r="H30" s="72">
        <f>IF(B30=0,"",IFERROR(VLOOKUP(B30,'S-ASIG-02'!$B$5:$E$88,4,0),0))</f>
        <v>3.9999999999999996</v>
      </c>
      <c r="I30" s="72">
        <f>IF(B30=0,"",IFERROR(VLOOKUP(B30,'S-ASIG-03'!$B$5:$E$88,4,0),0))</f>
        <v>4.67</v>
      </c>
      <c r="J30" s="72" t="str">
        <f>IF(B30=0,"",IFERROR(VLOOKUP(B30,'S-ASIG-04'!$B$5:$E$88,4,0),0))</f>
        <v>N</v>
      </c>
      <c r="K30" s="72">
        <f>IF(B30=0,"",IFERROR(VLOOKUP(B30,'S-ASIG-05'!$B$5:$E$88,4,0),0))</f>
        <v>4.1500000000000004</v>
      </c>
      <c r="L30" s="72">
        <f>IF(B30=0,"",IFERROR(VLOOKUP(B30,'S-ASIG-06'!$B$5:$E$88,4,0),0))</f>
        <v>4.1999999999999993</v>
      </c>
      <c r="M30" s="73">
        <f>IF(B30=0,"",IFERROR(VLOOKUP(B30,'S-ASIG-07'!$B$5:$E$88,4,0),0))</f>
        <v>0</v>
      </c>
      <c r="N30" s="68" t="s">
        <v>128</v>
      </c>
      <c r="O30" s="71">
        <f>IF(B30=0,"",IFERROR(VLOOKUP(B30,'T-ASIG-01'!$B$5:$D$88,3,0),0))</f>
        <v>4.7</v>
      </c>
      <c r="P30" s="72">
        <f>IF(B30=0,"",IFERROR(VLOOKUP(B30,'T-ASIG-02'!$B$5:$D$88,3,0),0))</f>
        <v>0</v>
      </c>
      <c r="Q30" s="72">
        <f>IF(B30=0,"",IFERROR(VLOOKUP(B30,'T-ASIG-03'!$B$5:$D$88,3,0),0))</f>
        <v>0</v>
      </c>
      <c r="R30" s="72" t="str">
        <f>IF(B30=0,"",IFERROR(VLOOKUP(B30,'T-ASIG-04'!$B$5:$D$88,3,0),0))</f>
        <v>N</v>
      </c>
      <c r="S30" s="72">
        <f>IF(B30=0,"",IFERROR(VLOOKUP(B30,'T-ASIG-05'!$B$5:$D$88,3,0),0))</f>
        <v>4.4000000000000004</v>
      </c>
      <c r="T30" s="72">
        <f>IF(B30=0,"",IFERROR(VLOOKUP(B30,'T-ASIG-06'!$B$5:$D$88,3,0),0))</f>
        <v>3.8500000000000005</v>
      </c>
      <c r="U30" s="73">
        <f>IF(B30=0,"",IFERROR(VLOOKUP(B30,'T-ASIG-07'!$B$5:$D$88,3,0),0))</f>
        <v>0</v>
      </c>
      <c r="V30" s="69" t="s">
        <v>129</v>
      </c>
    </row>
    <row r="31" spans="1:22" ht="15" customHeight="1">
      <c r="A31" s="12">
        <v>27</v>
      </c>
      <c r="B31" s="70" t="str">
        <f>LIDER!C35</f>
        <v>OSCAR ANDRES MONTILLA MUELAS</v>
      </c>
      <c r="C31" s="64" t="str">
        <f>IF(B31=0,"",IFERROR(VLOOKUP(B31,'S-ASIG-01'!$B$5:$E$88,2,0),0))</f>
        <v>G06</v>
      </c>
      <c r="D31" s="65">
        <f t="shared" si="2"/>
        <v>3.6283333333333334</v>
      </c>
      <c r="E31" s="66">
        <f t="shared" si="3"/>
        <v>4.2625000000000002</v>
      </c>
      <c r="F31" s="47"/>
      <c r="G31" s="71">
        <f>IF(B31=0,"",IFERROR(VLOOKUP(B31,'S-ASIG-01'!$B$5:$E$88,4,0),0))</f>
        <v>3.4700000000000006</v>
      </c>
      <c r="H31" s="72">
        <f>IF(B31=0,"",IFERROR(VLOOKUP(B31,'S-ASIG-02'!$B$5:$E$88,4,0),0))</f>
        <v>3.6</v>
      </c>
      <c r="I31" s="72">
        <f>IF(B31=0,"",IFERROR(VLOOKUP(B31,'S-ASIG-03'!$B$5:$E$88,4,0),0))</f>
        <v>3.5</v>
      </c>
      <c r="J31" s="72">
        <f>IF(B31=0,"",IFERROR(VLOOKUP(B31,'S-ASIG-04'!$B$5:$E$88,4,0),0))</f>
        <v>3.3500000000000005</v>
      </c>
      <c r="K31" s="72">
        <f>IF(B31=0,"",IFERROR(VLOOKUP(B31,'S-ASIG-05'!$B$5:$E$88,4,0),0))</f>
        <v>4.1500000000000004</v>
      </c>
      <c r="L31" s="72">
        <f>IF(B31=0,"",IFERROR(VLOOKUP(B31,'S-ASIG-06'!$B$5:$E$88,4,0),0))</f>
        <v>3.6999999999999997</v>
      </c>
      <c r="M31" s="73">
        <f>IF(B31=0,"",IFERROR(VLOOKUP(B31,'S-ASIG-07'!$B$5:$E$88,4,0),0))</f>
        <v>0</v>
      </c>
      <c r="N31" s="68" t="s">
        <v>128</v>
      </c>
      <c r="O31" s="71">
        <f>IF(B31=0,"",IFERROR(VLOOKUP(B31,'T-ASIG-01'!$B$5:$D$88,3,0),0))</f>
        <v>4.5</v>
      </c>
      <c r="P31" s="72">
        <f>IF(B31=0,"",IFERROR(VLOOKUP(B31,'T-ASIG-02'!$B$5:$D$88,3,0),0))</f>
        <v>0</v>
      </c>
      <c r="Q31" s="72">
        <f>IF(B31=0,"",IFERROR(VLOOKUP(B31,'T-ASIG-03'!$B$5:$D$88,3,0),0))</f>
        <v>0</v>
      </c>
      <c r="R31" s="72">
        <f>IF(B31=0,"",IFERROR(VLOOKUP(B31,'T-ASIG-04'!$B$5:$D$88,3,0),0))</f>
        <v>4.2</v>
      </c>
      <c r="S31" s="72">
        <f>IF(B31=0,"",IFERROR(VLOOKUP(B31,'T-ASIG-05'!$B$5:$D$88,3,0),0))</f>
        <v>4.5</v>
      </c>
      <c r="T31" s="72">
        <f>IF(B31=0,"",IFERROR(VLOOKUP(B31,'T-ASIG-06'!$B$5:$D$88,3,0),0))</f>
        <v>3.8500000000000005</v>
      </c>
      <c r="U31" s="73">
        <f>IF(B31=0,"",IFERROR(VLOOKUP(B31,'T-ASIG-07'!$B$5:$D$88,3,0),0))</f>
        <v>0</v>
      </c>
      <c r="V31" s="69" t="s">
        <v>129</v>
      </c>
    </row>
    <row r="32" spans="1:22" ht="15" customHeight="1">
      <c r="A32" s="12">
        <v>28</v>
      </c>
      <c r="B32" s="70" t="str">
        <f>LIDER!C36</f>
        <v>CAMILO ANDRES ZUÑIGA LOPEZ</v>
      </c>
      <c r="C32" s="64" t="str">
        <f>IF(B32=0,"",IFERROR(VLOOKUP(B32,'S-ASIG-01'!$B$5:$E$88,2,0),0))</f>
        <v>G06</v>
      </c>
      <c r="D32" s="65">
        <f t="shared" si="2"/>
        <v>3.6283333333333334</v>
      </c>
      <c r="E32" s="66">
        <f t="shared" si="3"/>
        <v>4.2625000000000002</v>
      </c>
      <c r="F32" s="47"/>
      <c r="G32" s="71">
        <f>IF(B32=0,"",IFERROR(VLOOKUP(B32,'S-ASIG-01'!$B$5:$E$88,4,0),0))</f>
        <v>3.4700000000000006</v>
      </c>
      <c r="H32" s="72">
        <f>IF(B32=0,"",IFERROR(VLOOKUP(B32,'S-ASIG-02'!$B$5:$E$88,4,0),0))</f>
        <v>3.6</v>
      </c>
      <c r="I32" s="72">
        <f>IF(B32=0,"",IFERROR(VLOOKUP(B32,'S-ASIG-03'!$B$5:$E$88,4,0),0))</f>
        <v>3.5</v>
      </c>
      <c r="J32" s="72">
        <f>IF(B32=0,"",IFERROR(VLOOKUP(B32,'S-ASIG-04'!$B$5:$E$88,4,0),0))</f>
        <v>3.3500000000000005</v>
      </c>
      <c r="K32" s="72">
        <f>IF(B32=0,"",IFERROR(VLOOKUP(B32,'S-ASIG-05'!$B$5:$E$88,4,0),0))</f>
        <v>4.1500000000000004</v>
      </c>
      <c r="L32" s="72">
        <f>IF(B32=0,"",IFERROR(VLOOKUP(B32,'S-ASIG-06'!$B$5:$E$88,4,0),0))</f>
        <v>3.6999999999999997</v>
      </c>
      <c r="M32" s="73">
        <f>IF(B32=0,"",IFERROR(VLOOKUP(B32,'S-ASIG-07'!$B$5:$E$88,4,0),0))</f>
        <v>0</v>
      </c>
      <c r="N32" s="68" t="s">
        <v>128</v>
      </c>
      <c r="O32" s="71">
        <f>IF(B32=0,"",IFERROR(VLOOKUP(B32,'T-ASIG-01'!$B$5:$D$88,3,0),0))</f>
        <v>4.5</v>
      </c>
      <c r="P32" s="72">
        <f>IF(B32=0,"",IFERROR(VLOOKUP(B32,'T-ASIG-02'!$B$5:$D$88,3,0),0))</f>
        <v>0</v>
      </c>
      <c r="Q32" s="72">
        <f>IF(B32=0,"",IFERROR(VLOOKUP(B32,'T-ASIG-03'!$B$5:$D$88,3,0),0))</f>
        <v>0</v>
      </c>
      <c r="R32" s="72">
        <f>IF(B32=0,"",IFERROR(VLOOKUP(B32,'T-ASIG-04'!$B$5:$D$88,3,0),0))</f>
        <v>4.2</v>
      </c>
      <c r="S32" s="72">
        <f>IF(B32=0,"",IFERROR(VLOOKUP(B32,'T-ASIG-05'!$B$5:$D$88,3,0),0))</f>
        <v>4.5</v>
      </c>
      <c r="T32" s="72">
        <f>IF(B32=0,"",IFERROR(VLOOKUP(B32,'T-ASIG-06'!$B$5:$D$88,3,0),0))</f>
        <v>3.8500000000000005</v>
      </c>
      <c r="U32" s="73">
        <f>IF(B32=0,"",IFERROR(VLOOKUP(B32,'T-ASIG-07'!$B$5:$D$88,3,0),0))</f>
        <v>0</v>
      </c>
      <c r="V32" s="69" t="s">
        <v>129</v>
      </c>
    </row>
    <row r="33" spans="1:22" ht="15" customHeight="1">
      <c r="A33" s="12">
        <v>29</v>
      </c>
      <c r="B33" s="70" t="str">
        <f>LIDER!C37</f>
        <v>ANGY CAROLINA ZUÑIGA VASQUEZ</v>
      </c>
      <c r="C33" s="64" t="str">
        <f>IF(B33=0,"",IFERROR(VLOOKUP(B33,'S-ASIG-01'!$B$5:$E$88,2,0),0))</f>
        <v>G06</v>
      </c>
      <c r="D33" s="65">
        <f t="shared" si="2"/>
        <v>3.6283333333333334</v>
      </c>
      <c r="E33" s="66">
        <f t="shared" si="3"/>
        <v>4.2625000000000002</v>
      </c>
      <c r="F33" s="47"/>
      <c r="G33" s="71">
        <f>IF(B33=0,"",IFERROR(VLOOKUP(B33,'S-ASIG-01'!$B$5:$E$88,4,0),0))</f>
        <v>3.4700000000000006</v>
      </c>
      <c r="H33" s="72">
        <f>IF(B33=0,"",IFERROR(VLOOKUP(B33,'S-ASIG-02'!$B$5:$E$88,4,0),0))</f>
        <v>3.6</v>
      </c>
      <c r="I33" s="72">
        <f>IF(B33=0,"",IFERROR(VLOOKUP(B33,'S-ASIG-03'!$B$5:$E$88,4,0),0))</f>
        <v>3.5</v>
      </c>
      <c r="J33" s="72">
        <f>IF(B33=0,"",IFERROR(VLOOKUP(B33,'S-ASIG-04'!$B$5:$E$88,4,0),0))</f>
        <v>3.3500000000000005</v>
      </c>
      <c r="K33" s="72">
        <f>IF(B33=0,"",IFERROR(VLOOKUP(B33,'S-ASIG-05'!$B$5:$E$88,4,0),0))</f>
        <v>4.1500000000000004</v>
      </c>
      <c r="L33" s="72">
        <f>IF(B33=0,"",IFERROR(VLOOKUP(B33,'S-ASIG-06'!$B$5:$E$88,4,0),0))</f>
        <v>3.6999999999999997</v>
      </c>
      <c r="M33" s="73">
        <f>IF(B33=0,"",IFERROR(VLOOKUP(B33,'S-ASIG-07'!$B$5:$E$88,4,0),0))</f>
        <v>0</v>
      </c>
      <c r="N33" s="68" t="s">
        <v>128</v>
      </c>
      <c r="O33" s="71">
        <f>IF(B33=0,"",IFERROR(VLOOKUP(B33,'T-ASIG-01'!$B$5:$D$88,3,0),0))</f>
        <v>4.5</v>
      </c>
      <c r="P33" s="72">
        <f>IF(B33=0,"",IFERROR(VLOOKUP(B33,'T-ASIG-02'!$B$5:$D$88,3,0),0))</f>
        <v>0</v>
      </c>
      <c r="Q33" s="72">
        <f>IF(B33=0,"",IFERROR(VLOOKUP(B33,'T-ASIG-03'!$B$5:$D$88,3,0),0))</f>
        <v>0</v>
      </c>
      <c r="R33" s="72">
        <f>IF(B33=0,"",IFERROR(VLOOKUP(B33,'T-ASIG-04'!$B$5:$D$88,3,0),0))</f>
        <v>4.2</v>
      </c>
      <c r="S33" s="72">
        <f>IF(B33=0,"",IFERROR(VLOOKUP(B33,'T-ASIG-05'!$B$5:$D$88,3,0),0))</f>
        <v>4.5</v>
      </c>
      <c r="T33" s="72">
        <f>IF(B33=0,"",IFERROR(VLOOKUP(B33,'T-ASIG-06'!$B$5:$D$88,3,0),0))</f>
        <v>3.8500000000000005</v>
      </c>
      <c r="U33" s="73">
        <f>IF(B33=0,"",IFERROR(VLOOKUP(B33,'T-ASIG-07'!$B$5:$D$88,3,0),0))</f>
        <v>0</v>
      </c>
      <c r="V33" s="69" t="s">
        <v>129</v>
      </c>
    </row>
    <row r="34" spans="1:22" ht="15" customHeight="1">
      <c r="A34" s="12">
        <v>30</v>
      </c>
      <c r="B34" s="70" t="str">
        <f>LIDER!C38</f>
        <v>RANYELYS MARIAN AYOLA PEREZ</v>
      </c>
      <c r="C34" s="64" t="str">
        <f>IF(B34=0,"",IFERROR(VLOOKUP(B34,'S-ASIG-01'!$B$5:$E$88,2,0),0))</f>
        <v>G07</v>
      </c>
      <c r="D34" s="65">
        <f t="shared" si="2"/>
        <v>4.4016666666666664</v>
      </c>
      <c r="E34" s="66">
        <f t="shared" si="3"/>
        <v>4.6500000000000004</v>
      </c>
      <c r="F34" s="47"/>
      <c r="G34" s="71">
        <f>IF(B34=0,"",IFERROR(VLOOKUP(B34,'S-ASIG-01'!$B$5:$E$88,4,0),0))</f>
        <v>4.2699999999999996</v>
      </c>
      <c r="H34" s="72">
        <f>IF(B34=0,"",IFERROR(VLOOKUP(B34,'S-ASIG-02'!$B$5:$E$88,4,0),0))</f>
        <v>4.2</v>
      </c>
      <c r="I34" s="72">
        <f>IF(B34=0,"",IFERROR(VLOOKUP(B34,'S-ASIG-03'!$B$5:$E$88,4,0),0))</f>
        <v>4.8499999999999996</v>
      </c>
      <c r="J34" s="72">
        <f>IF(B34=0,"",IFERROR(VLOOKUP(B34,'S-ASIG-04'!$B$5:$E$88,4,0),0))</f>
        <v>4.3000000000000007</v>
      </c>
      <c r="K34" s="72">
        <f>IF(B34=0,"",IFERROR(VLOOKUP(B34,'S-ASIG-05'!$B$5:$E$88,4,0),0))</f>
        <v>4.1399999999999997</v>
      </c>
      <c r="L34" s="72">
        <f>IF(B34=0,"",IFERROR(VLOOKUP(B34,'S-ASIG-06'!$B$5:$E$88,4,0),0))</f>
        <v>4.6500000000000004</v>
      </c>
      <c r="M34" s="73">
        <f>IF(B34=0,"",IFERROR(VLOOKUP(B34,'S-ASIG-07'!$B$5:$E$88,4,0),0))</f>
        <v>0</v>
      </c>
      <c r="N34" s="68" t="s">
        <v>128</v>
      </c>
      <c r="O34" s="71">
        <f>IF(B34=0,"",IFERROR(VLOOKUP(B34,'T-ASIG-01'!$B$5:$D$88,3,0),0))</f>
        <v>4.8499999999999996</v>
      </c>
      <c r="P34" s="72">
        <f>IF(B34=0,"",IFERROR(VLOOKUP(B34,'T-ASIG-02'!$B$5:$D$88,3,0),0))</f>
        <v>0</v>
      </c>
      <c r="Q34" s="72">
        <f>IF(B34=0,"",IFERROR(VLOOKUP(B34,'T-ASIG-03'!$B$5:$D$88,3,0),0))</f>
        <v>0</v>
      </c>
      <c r="R34" s="72">
        <f>IF(B34=0,"",IFERROR(VLOOKUP(B34,'T-ASIG-04'!$B$5:$D$88,3,0),0))</f>
        <v>4.4000000000000004</v>
      </c>
      <c r="S34" s="72">
        <f>IF(B34=0,"",IFERROR(VLOOKUP(B34,'T-ASIG-05'!$B$5:$D$88,3,0),0))</f>
        <v>4.5999999999999996</v>
      </c>
      <c r="T34" s="72">
        <f>IF(B34=0,"",IFERROR(VLOOKUP(B34,'T-ASIG-06'!$B$5:$D$88,3,0),0))</f>
        <v>4.75</v>
      </c>
      <c r="U34" s="73">
        <f>IF(B34=0,"",IFERROR(VLOOKUP(B34,'T-ASIG-07'!$B$5:$D$88,3,0),0))</f>
        <v>0</v>
      </c>
      <c r="V34" s="69" t="s">
        <v>129</v>
      </c>
    </row>
    <row r="35" spans="1:22" ht="15" customHeight="1">
      <c r="A35" s="12">
        <v>31</v>
      </c>
      <c r="B35" s="70" t="str">
        <f>LIDER!C39</f>
        <v>NATALIA NARANJO MORRÓN</v>
      </c>
      <c r="C35" s="64" t="str">
        <f>IF(B35=0,"",IFERROR(VLOOKUP(B35,'S-ASIG-01'!$B$5:$E$88,2,0),0))</f>
        <v>G07</v>
      </c>
      <c r="D35" s="65">
        <f t="shared" si="2"/>
        <v>4.4016666666666664</v>
      </c>
      <c r="E35" s="66">
        <f t="shared" si="3"/>
        <v>4.6500000000000004</v>
      </c>
      <c r="F35" s="47"/>
      <c r="G35" s="71">
        <f>IF(B35=0,"",IFERROR(VLOOKUP(B35,'S-ASIG-01'!$B$5:$E$88,4,0),0))</f>
        <v>4.2699999999999996</v>
      </c>
      <c r="H35" s="72">
        <f>IF(B35=0,"",IFERROR(VLOOKUP(B35,'S-ASIG-02'!$B$5:$E$88,4,0),0))</f>
        <v>4.2</v>
      </c>
      <c r="I35" s="72">
        <f>IF(B35=0,"",IFERROR(VLOOKUP(B35,'S-ASIG-03'!$B$5:$E$88,4,0),0))</f>
        <v>4.8499999999999996</v>
      </c>
      <c r="J35" s="72">
        <f>IF(B35=0,"",IFERROR(VLOOKUP(B35,'S-ASIG-04'!$B$5:$E$88,4,0),0))</f>
        <v>4.3000000000000007</v>
      </c>
      <c r="K35" s="72">
        <f>IF(B35=0,"",IFERROR(VLOOKUP(B35,'S-ASIG-05'!$B$5:$E$88,4,0),0))</f>
        <v>4.1399999999999997</v>
      </c>
      <c r="L35" s="72">
        <f>IF(B35=0,"",IFERROR(VLOOKUP(B35,'S-ASIG-06'!$B$5:$E$88,4,0),0))</f>
        <v>4.6500000000000004</v>
      </c>
      <c r="M35" s="73">
        <f>IF(B35=0,"",IFERROR(VLOOKUP(B35,'S-ASIG-07'!$B$5:$E$88,4,0),0))</f>
        <v>0</v>
      </c>
      <c r="N35" s="68" t="s">
        <v>128</v>
      </c>
      <c r="O35" s="71">
        <f>IF(B35=0,"",IFERROR(VLOOKUP(B35,'T-ASIG-01'!$B$5:$D$88,3,0),0))</f>
        <v>4.8499999999999996</v>
      </c>
      <c r="P35" s="72">
        <f>IF(B35=0,"",IFERROR(VLOOKUP(B35,'T-ASIG-02'!$B$5:$D$88,3,0),0))</f>
        <v>0</v>
      </c>
      <c r="Q35" s="72">
        <f>IF(B35=0,"",IFERROR(VLOOKUP(B35,'T-ASIG-03'!$B$5:$D$88,3,0),0))</f>
        <v>0</v>
      </c>
      <c r="R35" s="72">
        <f>IF(B35=0,"",IFERROR(VLOOKUP(B35,'T-ASIG-04'!$B$5:$D$88,3,0),0))</f>
        <v>4.4000000000000004</v>
      </c>
      <c r="S35" s="72">
        <f>IF(B35=0,"",IFERROR(VLOOKUP(B35,'T-ASIG-05'!$B$5:$D$88,3,0),0))</f>
        <v>4.5999999999999996</v>
      </c>
      <c r="T35" s="72">
        <f>IF(B35=0,"",IFERROR(VLOOKUP(B35,'T-ASIG-06'!$B$5:$D$88,3,0),0))</f>
        <v>4.75</v>
      </c>
      <c r="U35" s="73">
        <f>IF(B35=0,"",IFERROR(VLOOKUP(B35,'T-ASIG-07'!$B$5:$D$88,3,0),0))</f>
        <v>0</v>
      </c>
      <c r="V35" s="69" t="s">
        <v>129</v>
      </c>
    </row>
    <row r="36" spans="1:22" ht="15" customHeight="1">
      <c r="A36" s="12">
        <v>32</v>
      </c>
      <c r="B36" s="70" t="str">
        <f>LIDER!C40</f>
        <v>YENDER JOSE PUELLO TORRES</v>
      </c>
      <c r="C36" s="64" t="str">
        <f>IF(B36=0,"",IFERROR(VLOOKUP(B36,'S-ASIG-01'!$B$5:$E$88,2,0),0))</f>
        <v>G07</v>
      </c>
      <c r="D36" s="65">
        <f t="shared" si="2"/>
        <v>4.3519999999999994</v>
      </c>
      <c r="E36" s="66">
        <f t="shared" si="3"/>
        <v>4.6166666666666663</v>
      </c>
      <c r="F36" s="47"/>
      <c r="G36" s="71">
        <f>IF(B36=0,"",IFERROR(VLOOKUP(B36,'S-ASIG-01'!$B$5:$E$88,4,0),0))</f>
        <v>4.2699999999999996</v>
      </c>
      <c r="H36" s="72">
        <f>IF(B36=0,"",IFERROR(VLOOKUP(B36,'S-ASIG-02'!$B$5:$E$88,4,0),0))</f>
        <v>4.2</v>
      </c>
      <c r="I36" s="72">
        <f>IF(B36=0,"",IFERROR(VLOOKUP(B36,'S-ASIG-03'!$B$5:$E$88,4,0),0))</f>
        <v>4.8499999999999996</v>
      </c>
      <c r="J36" s="72">
        <f>IF(B36=0,"",IFERROR(VLOOKUP(B36,'S-ASIG-04'!$B$5:$E$88,4,0),0))</f>
        <v>4.3000000000000007</v>
      </c>
      <c r="K36" s="72">
        <f>IF(B36=0,"",IFERROR(VLOOKUP(B36,'S-ASIG-05'!$B$5:$E$88,4,0),0))</f>
        <v>4.1399999999999997</v>
      </c>
      <c r="L36" s="72">
        <f>IF(B36=0,"",IFERROR(VLOOKUP(B36,'S-ASIG-06'!$B$5:$E$88,4,0),0))</f>
        <v>0</v>
      </c>
      <c r="M36" s="73">
        <f>IF(B36=0,"",IFERROR(VLOOKUP(B36,'S-ASIG-07'!$B$5:$E$88,4,0),0))</f>
        <v>0</v>
      </c>
      <c r="N36" s="68" t="s">
        <v>128</v>
      </c>
      <c r="O36" s="71">
        <f>IF(B36=0,"",IFERROR(VLOOKUP(B36,'T-ASIG-01'!$B$5:$D$88,3,0),0))</f>
        <v>4.8499999999999996</v>
      </c>
      <c r="P36" s="72">
        <f>IF(B36=0,"",IFERROR(VLOOKUP(B36,'T-ASIG-02'!$B$5:$D$88,3,0),0))</f>
        <v>0</v>
      </c>
      <c r="Q36" s="72">
        <f>IF(B36=0,"",IFERROR(VLOOKUP(B36,'T-ASIG-03'!$B$5:$D$88,3,0),0))</f>
        <v>0</v>
      </c>
      <c r="R36" s="72">
        <f>IF(B36=0,"",IFERROR(VLOOKUP(B36,'T-ASIG-04'!$B$5:$D$88,3,0),0))</f>
        <v>4.4000000000000004</v>
      </c>
      <c r="S36" s="72">
        <f>IF(B36=0,"",IFERROR(VLOOKUP(B36,'T-ASIG-05'!$B$5:$D$88,3,0),0))</f>
        <v>4.5999999999999996</v>
      </c>
      <c r="T36" s="72" t="str">
        <f>IF(B36=0,"",IFERROR(VLOOKUP(B36,'T-ASIG-06'!$B$5:$D$88,3,0),0))</f>
        <v>N</v>
      </c>
      <c r="U36" s="73">
        <f>IF(B36=0,"",IFERROR(VLOOKUP(B36,'T-ASIG-07'!$B$5:$D$88,3,0),0))</f>
        <v>0</v>
      </c>
      <c r="V36" s="69" t="s">
        <v>129</v>
      </c>
    </row>
    <row r="37" spans="1:22" ht="15" customHeight="1">
      <c r="A37" s="12">
        <v>33</v>
      </c>
      <c r="B37" s="70" t="str">
        <f>LIDER!C41</f>
        <v>JHONATAN WATTS PINTO</v>
      </c>
      <c r="C37" s="64" t="str">
        <f>IF(B37=0,"",IFERROR(VLOOKUP(B37,'S-ASIG-01'!$B$5:$E$88,2,0),0))</f>
        <v>G07</v>
      </c>
      <c r="D37" s="65">
        <f t="shared" si="2"/>
        <v>4.4016666666666664</v>
      </c>
      <c r="E37" s="66">
        <f t="shared" si="3"/>
        <v>4.6500000000000004</v>
      </c>
      <c r="F37" s="47"/>
      <c r="G37" s="71">
        <f>IF(B37=0,"",IFERROR(VLOOKUP(B37,'S-ASIG-01'!$B$5:$E$88,4,0),0))</f>
        <v>4.2699999999999996</v>
      </c>
      <c r="H37" s="72">
        <f>IF(B37=0,"",IFERROR(VLOOKUP(B37,'S-ASIG-02'!$B$5:$E$88,4,0),0))</f>
        <v>4.2</v>
      </c>
      <c r="I37" s="72">
        <f>IF(B37=0,"",IFERROR(VLOOKUP(B37,'S-ASIG-03'!$B$5:$E$88,4,0),0))</f>
        <v>4.8499999999999996</v>
      </c>
      <c r="J37" s="72">
        <f>IF(B37=0,"",IFERROR(VLOOKUP(B37,'S-ASIG-04'!$B$5:$E$88,4,0),0))</f>
        <v>4.3000000000000007</v>
      </c>
      <c r="K37" s="72">
        <f>IF(B37=0,"",IFERROR(VLOOKUP(B37,'S-ASIG-05'!$B$5:$E$88,4,0),0))</f>
        <v>4.1399999999999997</v>
      </c>
      <c r="L37" s="72">
        <f>IF(B37=0,"",IFERROR(VLOOKUP(B37,'S-ASIG-06'!$B$5:$E$88,4,0),0))</f>
        <v>4.6500000000000004</v>
      </c>
      <c r="M37" s="73">
        <f>IF(B37=0,"",IFERROR(VLOOKUP(B37,'S-ASIG-07'!$B$5:$E$88,4,0),0))</f>
        <v>0</v>
      </c>
      <c r="N37" s="68" t="s">
        <v>128</v>
      </c>
      <c r="O37" s="71">
        <f>IF(B37=0,"",IFERROR(VLOOKUP(B37,'T-ASIG-01'!$B$5:$D$88,3,0),0))</f>
        <v>4.8499999999999996</v>
      </c>
      <c r="P37" s="72">
        <f>IF(B37=0,"",IFERROR(VLOOKUP(B37,'T-ASIG-02'!$B$5:$D$88,3,0),0))</f>
        <v>0</v>
      </c>
      <c r="Q37" s="72">
        <f>IF(B37=0,"",IFERROR(VLOOKUP(B37,'T-ASIG-03'!$B$5:$D$88,3,0),0))</f>
        <v>0</v>
      </c>
      <c r="R37" s="72">
        <f>IF(B37=0,"",IFERROR(VLOOKUP(B37,'T-ASIG-04'!$B$5:$D$88,3,0),0))</f>
        <v>4.4000000000000004</v>
      </c>
      <c r="S37" s="72">
        <f>IF(B37=0,"",IFERROR(VLOOKUP(B37,'T-ASIG-05'!$B$5:$D$88,3,0),0))</f>
        <v>4.5999999999999996</v>
      </c>
      <c r="T37" s="72">
        <f>IF(B37=0,"",IFERROR(VLOOKUP(B37,'T-ASIG-06'!$B$5:$D$88,3,0),0))</f>
        <v>4.75</v>
      </c>
      <c r="U37" s="73">
        <f>IF(B37=0,"",IFERROR(VLOOKUP(B37,'T-ASIG-07'!$B$5:$D$88,3,0),0))</f>
        <v>0</v>
      </c>
      <c r="V37" s="69" t="s">
        <v>129</v>
      </c>
    </row>
    <row r="38" spans="1:22" ht="15" customHeight="1">
      <c r="A38" s="12">
        <v>34</v>
      </c>
      <c r="B38" s="70" t="str">
        <f>LIDER!C42</f>
        <v>Edgar Mauricio Zurique Gonzalez</v>
      </c>
      <c r="C38" s="64" t="str">
        <f>IF(B38=0,"",IFERROR(VLOOKUP(B38,'S-ASIG-01'!$B$5:$E$88,2,0),0))</f>
        <v>G07</v>
      </c>
      <c r="D38" s="65">
        <f t="shared" si="2"/>
        <v>4.4016666666666664</v>
      </c>
      <c r="E38" s="66">
        <f t="shared" si="3"/>
        <v>4.6500000000000004</v>
      </c>
      <c r="F38" s="47"/>
      <c r="G38" s="71">
        <f>IF(B38=0,"",IFERROR(VLOOKUP(B38,'S-ASIG-01'!$B$5:$E$88,4,0),0))</f>
        <v>4.2699999999999996</v>
      </c>
      <c r="H38" s="72">
        <f>IF(B38=0,"",IFERROR(VLOOKUP(B38,'S-ASIG-02'!$B$5:$E$88,4,0),0))</f>
        <v>4.2</v>
      </c>
      <c r="I38" s="72">
        <f>IF(B38=0,"",IFERROR(VLOOKUP(B38,'S-ASIG-03'!$B$5:$E$88,4,0),0))</f>
        <v>4.8499999999999996</v>
      </c>
      <c r="J38" s="72">
        <f>IF(B38=0,"",IFERROR(VLOOKUP(B38,'S-ASIG-04'!$B$5:$E$88,4,0),0))</f>
        <v>4.3000000000000007</v>
      </c>
      <c r="K38" s="72">
        <f>IF(B38=0,"",IFERROR(VLOOKUP(B38,'S-ASIG-05'!$B$5:$E$88,4,0),0))</f>
        <v>4.1399999999999997</v>
      </c>
      <c r="L38" s="72">
        <f>IF(B38=0,"",IFERROR(VLOOKUP(B38,'S-ASIG-06'!$B$5:$E$88,4,0),0))</f>
        <v>4.6500000000000004</v>
      </c>
      <c r="M38" s="73">
        <f>IF(B38=0,"",IFERROR(VLOOKUP(B38,'S-ASIG-07'!$B$5:$E$88,4,0),0))</f>
        <v>0</v>
      </c>
      <c r="N38" s="68" t="s">
        <v>128</v>
      </c>
      <c r="O38" s="71">
        <f>IF(B38=0,"",IFERROR(VLOOKUP(B38,'T-ASIG-01'!$B$5:$D$88,3,0),0))</f>
        <v>4.8499999999999996</v>
      </c>
      <c r="P38" s="72">
        <f>IF(B38=0,"",IFERROR(VLOOKUP(B38,'T-ASIG-02'!$B$5:$D$88,3,0),0))</f>
        <v>0</v>
      </c>
      <c r="Q38" s="72">
        <f>IF(B38=0,"",IFERROR(VLOOKUP(B38,'T-ASIG-03'!$B$5:$D$88,3,0),0))</f>
        <v>0</v>
      </c>
      <c r="R38" s="72">
        <f>IF(B38=0,"",IFERROR(VLOOKUP(B38,'T-ASIG-04'!$B$5:$D$88,3,0),0))</f>
        <v>4.4000000000000004</v>
      </c>
      <c r="S38" s="72">
        <f>IF(B38=0,"",IFERROR(VLOOKUP(B38,'T-ASIG-05'!$B$5:$D$88,3,0),0))</f>
        <v>4.5999999999999996</v>
      </c>
      <c r="T38" s="72">
        <f>IF(B38=0,"",IFERROR(VLOOKUP(B38,'T-ASIG-06'!$B$5:$D$88,3,0),0))</f>
        <v>4.75</v>
      </c>
      <c r="U38" s="73">
        <f>IF(B38=0,"",IFERROR(VLOOKUP(B38,'T-ASIG-07'!$B$5:$D$88,3,0),0))</f>
        <v>0</v>
      </c>
      <c r="V38" s="69" t="s">
        <v>129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128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129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128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129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128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129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128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129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128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129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128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129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128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129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128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129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128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129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128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129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128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129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128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129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128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129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128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129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128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129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128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129</v>
      </c>
    </row>
  </sheetData>
  <sheetProtection algorithmName="SHA-512" hashValue="af7SUoMueM048XcYKG83nUp/rGA1nKK7QSitZN1V00LGhmj97V1XBrk1rfgCZ4AjArviGAS3wzwKoxStIW0Enw==" saltValue="DtKFD+DJfvljpmq7eZF1UA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OMAR JOSE CEDIEL TANG</cp:lastModifiedBy>
  <cp:revision/>
  <dcterms:created xsi:type="dcterms:W3CDTF">2025-09-29T20:45:44Z</dcterms:created>
  <dcterms:modified xsi:type="dcterms:W3CDTF">2026-06-01T17:46:09Z</dcterms:modified>
  <cp:category/>
  <cp:contentStatus/>
</cp:coreProperties>
</file>