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W I L F R A N\Desktop\TECNOLOGICO COMFENALCO\2026-2\GESTION DE PROYECTOS DE AULA\TGNI\GUIAS PA TGNI\SEMESTRE-5\PRIMERA ENTREGA\"/>
    </mc:Choice>
  </mc:AlternateContent>
  <xr:revisionPtr revIDLastSave="277" documentId="13_ncr:1_{62E8A051-5E83-475D-AB80-91065B3CC6A1}" xr6:coauthVersionLast="47" xr6:coauthVersionMax="47" xr10:uidLastSave="{229B053A-A4DA-41BE-9BB2-145541C9EDE3}"/>
  <bookViews>
    <workbookView xWindow="-120" yWindow="-120" windowWidth="20730" windowHeight="11040" tabRatio="815" firstSheet="15" activeTab="2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B53" i="16"/>
  <c r="D53" i="16" s="1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D9" i="16"/>
  <c r="B9" i="16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B59" i="7"/>
  <c r="D59" i="7" s="1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D17" i="7"/>
  <c r="B17" i="7"/>
  <c r="B16" i="7"/>
  <c r="D16" i="7" s="1"/>
  <c r="B15" i="7"/>
  <c r="D15" i="7" s="1"/>
  <c r="B14" i="7"/>
  <c r="D14" i="7" s="1"/>
  <c r="B13" i="7"/>
  <c r="D13" i="7" s="1"/>
  <c r="D11" i="7"/>
  <c r="B11" i="7"/>
  <c r="D10" i="7"/>
  <c r="B10" i="7"/>
  <c r="D9" i="7"/>
  <c r="B9" i="7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D9" i="6"/>
  <c r="B9" i="6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B53" i="5"/>
  <c r="D53" i="5" s="1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D9" i="5"/>
  <c r="B9" i="5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B53" i="4"/>
  <c r="D53" i="4" s="1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D9" i="4"/>
  <c r="B9" i="4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B59" i="3"/>
  <c r="D59" i="3" s="1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B53" i="15"/>
  <c r="E53" i="15" s="1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E10" i="15"/>
  <c r="B10" i="15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E17" i="14"/>
  <c r="B17" i="14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E10" i="14"/>
  <c r="B10" i="14"/>
  <c r="B9" i="14"/>
  <c r="E9" i="14" s="1"/>
  <c r="E8" i="14"/>
  <c r="B8" i="14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B59" i="13"/>
  <c r="E59" i="13" s="1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E38" i="13"/>
  <c r="B38" i="13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E10" i="13"/>
  <c r="B10" i="13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B53" i="12"/>
  <c r="E53" i="12" s="1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E10" i="12"/>
  <c r="B10" i="12"/>
  <c r="E9" i="12"/>
  <c r="B9" i="12"/>
  <c r="E8" i="12"/>
  <c r="B8" i="12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B52" i="11"/>
  <c r="E52" i="11" s="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E10" i="10"/>
  <c r="B10" i="10"/>
  <c r="E9" i="10"/>
  <c r="B9" i="10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8" i="4" l="1"/>
  <c r="D49" i="6"/>
  <c r="D48" i="7"/>
  <c r="D42" i="3"/>
  <c r="D37" i="4"/>
  <c r="D36" i="6"/>
  <c r="D37" i="16"/>
  <c r="D21" i="4"/>
  <c r="D22" i="5"/>
  <c r="D22" i="7"/>
  <c r="D21" i="16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M42" i="8"/>
  <c r="I42" i="8"/>
  <c r="L42" i="8"/>
  <c r="G42" i="8"/>
  <c r="K42" i="8"/>
  <c r="R42" i="8"/>
  <c r="E42" i="8" s="1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42" i="8" l="1"/>
  <c r="E41" i="8"/>
  <c r="D41" i="8"/>
  <c r="E40" i="8"/>
  <c r="D40" i="8"/>
  <c r="D22" i="8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<sst xmlns="http://schemas.openxmlformats.org/spreadsheetml/2006/main" count="715" uniqueCount="123">
  <si>
    <t>TECNOLOGÍA EN GESTIÓN DE NEGOCIOS INTERN</t>
  </si>
  <si>
    <t>SEMESTRE:</t>
  </si>
  <si>
    <t>SEM-05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</si>
  <si>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</si>
  <si>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</si>
  <si>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</si>
  <si>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</si>
  <si>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</si>
  <si>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</si>
  <si>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</si>
  <si>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</si>
  <si>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ELECTIVA LIBRE SOCIOHUMANÍS I</t>
  </si>
  <si>
    <t>TALENTO HUMANO</t>
  </si>
  <si>
    <t>ELECTIVA DE PROFUNDIZACION II</t>
  </si>
  <si>
    <t>MARKETING INTERNACIONAL</t>
  </si>
  <si>
    <t>ORGANIZACIÓN Y MÉTODOS DE TRAB</t>
  </si>
  <si>
    <t>ALBEIRO YESITH PÉREZ CHIQUILLO</t>
  </si>
  <si>
    <t>ARIEL ALFONSO ACEVEDO GARZON</t>
  </si>
  <si>
    <t>JEYSSON STEEVEN ANILLO CARRANZA</t>
  </si>
  <si>
    <t>SABY CRISTINA MARRUGO CASTAÑO</t>
  </si>
  <si>
    <t>YESSICA PAOLA JIMENEZ SUAREZ</t>
  </si>
  <si>
    <t>LISTA DE ESTUDIANTES</t>
  </si>
  <si>
    <t>SEGUNDA ENTREGA - CRITERIO DE EVALUACIÓN DOCUMENTO - SEGUNDO CORTE</t>
  </si>
  <si>
    <t>PONDERACIÓN</t>
  </si>
  <si>
    <t>ADMINISTRACIÓN DE EMPRESAS C.I</t>
  </si>
  <si>
    <t>EVELYN SHARY CHAVEZ ARRIETA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</si>
  <si>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</si>
  <si>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</si>
  <si>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ANGELA ISABEL PÁJARO DE LA PEÑA</t>
  </si>
  <si>
    <t>ANTEPROYECTO: Portada, planteamiento del problema, justificacion del trabajo o proyecto de aula, objetivos, marco teorico, diseño metodologico.</t>
  </si>
  <si>
    <t>CONTADURÍA PÚBLICA</t>
  </si>
  <si>
    <t>BAYRON BARON BELEÑO</t>
  </si>
  <si>
    <t>RESULTADOS:  Analiza y aplica de manera coherente los Aspectos a tener en cuenta para la construcción de la marca empresarial, así mismo define el plan de distribución y el	análisis ambiental y social.</t>
  </si>
  <si>
    <t>NEGOCIOS INTERNACIONALES PROFESIONAL</t>
  </si>
  <si>
    <t>LUIS FRANCISCO CANTILLO CANO</t>
  </si>
  <si>
    <t>BILIOGRAFIA: Las referencias bibliograficas: adoptan las normas APA. El documento es producto de un rastreo bibliografico que muestra analisis y sistensis.</t>
  </si>
  <si>
    <t>WILYER ANDRES RUIZ ROMERO</t>
  </si>
  <si>
    <t>ASESORIAS: Anexó la hoja de tutoria firmada ( 3 fimas minmimo).</t>
  </si>
  <si>
    <t>TECNOLOGíA EN GESTION CONTABLE</t>
  </si>
  <si>
    <t>ROBERTO ENRIQUE VASQUEZ RAMBAUTH</t>
  </si>
  <si>
    <t>TECNOLOGÍA EN GESTIÓN DE MARKETING</t>
  </si>
  <si>
    <t>MARIA CAMILA AGUDELO ORTIZ</t>
  </si>
  <si>
    <t>TECNOLOGÍA EN GESTIÓN DEL TALENTO HUMANO</t>
  </si>
  <si>
    <t>LIZ ANDREA JIMENEZ THERAN</t>
  </si>
  <si>
    <t>TECNOLOGÍA EN GESTIÓN FINANCIERA</t>
  </si>
  <si>
    <t>JUAN CAMILO MARTELO CASTRO</t>
  </si>
  <si>
    <t>TECNOLOGÍA EN GESTIÓN LOGISTICA Y PORTUARIA</t>
  </si>
  <si>
    <t>JOSE ANDRES PALENCIA CASTRO</t>
  </si>
  <si>
    <t>ENTREGA FINAL - CRITERIO DE EVALUACIÓN SUSTENTACIÓN - TERCER CORTE</t>
  </si>
  <si>
    <t>TECNOLOGÍA EN GESTIÓN TURISTICA Y HOTELERA</t>
  </si>
  <si>
    <t>VALENTINA TERAN DE AVILA</t>
  </si>
  <si>
    <t>Evaluación del Documento Final</t>
  </si>
  <si>
    <t>EMILY BARRIOS BENITEZ</t>
  </si>
  <si>
    <t>Sustentación de los Resultados: Se refleja un dominio del tema, la  información está delimitada y es clara. Hay una jerarquía y fluidez en las ideas que presenta.</t>
  </si>
  <si>
    <t>NELDA SOFIA CASTILLO VILLA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</si>
  <si>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</si>
  <si>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BRENDIS VANESA HERRERA TEJEDOR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</si>
  <si>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</si>
  <si>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SOFIA DEL PILAR JULIO ROSSO</t>
  </si>
  <si>
    <t>Tiempo: El uso del tiempo fue apropiado, se ajusta al previsto.
Ofrece una conclusión donde condensa las ideas principales del objetivo general y los específicos.</t>
  </si>
  <si>
    <t>HEILEEN CAROLINA RUIZ RIVERO</t>
  </si>
  <si>
    <t>Uso de Recursos Audiovisuales Tecnológicos: La sustentación se acompaña de recursos visuales pertinentes, atractivos y de gran calidad</t>
  </si>
  <si>
    <t>HEILIN TATIANA BARRIOS CUADRADO</t>
  </si>
  <si>
    <t>VALERIE GARCIA MATUTE</t>
  </si>
  <si>
    <t>PAULA ANDREA MANJARRES CORREA</t>
  </si>
  <si>
    <t>YEMILY ALBANIS MARTINEZ JULIO</t>
  </si>
  <si>
    <t>TITULOS DE LOS PROYECTOS DE AULA</t>
  </si>
  <si>
    <t>YEN ENRIQUE GONZALEZ ORTIZ</t>
  </si>
  <si>
    <t>GRUPO#1</t>
  </si>
  <si>
    <t>NEIDER CAMILO HIDALGO GUZMAN</t>
  </si>
  <si>
    <t>GRUPO#2</t>
  </si>
  <si>
    <t>MARTHA SUSANA LEON DE LAS AGUAS</t>
  </si>
  <si>
    <t>GRUPO#3</t>
  </si>
  <si>
    <t>MELIDA ISABEL MACIAS COA</t>
  </si>
  <si>
    <t>GRUPO#4</t>
  </si>
  <si>
    <t>ANDREA CAROLINA MARTINEZ RUZ</t>
  </si>
  <si>
    <t>GRUPO#5</t>
  </si>
  <si>
    <t>ARMANDO FABIO MIRANDA SIERRA</t>
  </si>
  <si>
    <t>GRUPO#6</t>
  </si>
  <si>
    <t>JENNIFER JOHANNA ANGULO ARRIETA</t>
  </si>
  <si>
    <t>GRUPO#7</t>
  </si>
  <si>
    <t>YAMILEISIS BOLAÑO GONZALEZ</t>
  </si>
  <si>
    <t>GRUPO#8</t>
  </si>
  <si>
    <t>NICOLL VALENTINA VILLALOBOS SARMIENTO</t>
  </si>
  <si>
    <t>GRUPO#9</t>
  </si>
  <si>
    <t>MARIA JOSE HERRERA DAZA</t>
  </si>
  <si>
    <t>GRUPO#10</t>
  </si>
  <si>
    <t>ELIANA MARGARITA LAMBIS ALTAMAR</t>
  </si>
  <si>
    <t>GRUPO#11</t>
  </si>
  <si>
    <t>KEIVIN JESUS PEREZ BATISTA</t>
  </si>
  <si>
    <t>GRUPO#12</t>
  </si>
  <si>
    <t>ANDRES FELIPE VALIENTE GONZALEZ</t>
  </si>
  <si>
    <t>NICOLAS ZUÑIGA ARANGO</t>
  </si>
  <si>
    <t>NAVARRO CHAVEZ ANGELO ANDRES</t>
  </si>
  <si>
    <t>MONTERROSA ANGEL JESUS DAVID</t>
  </si>
  <si>
    <t>CRESPO PEREIRA SANTIAGO ALEJANDRO</t>
  </si>
  <si>
    <t>TAMARA GARCIA MARIA JOSE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</si>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</sst>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80" zoomScaleNormal="80" workbookViewId="0">
      <selection activeCell="H67" sqref="H67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0" t="s">
        <v>0</v>
      </c>
      <c r="C2" s="151"/>
      <c r="D2" s="152"/>
      <c r="E2" s="101" t="s">
        <v>1</v>
      </c>
      <c r="F2" s="102" t="s">
        <v>2</v>
      </c>
      <c r="G2" s="101" t="s">
        <v>3</v>
      </c>
      <c r="H2" s="41">
        <v>2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/>
      <c r="I4" s="131"/>
    </row>
    <row r="5" spans="2:9" ht="24.95" customHeight="1" thickBot="1">
      <c r="C5" s="132" t="s">
        <v>16</v>
      </c>
      <c r="D5" s="132" t="s">
        <v>17</v>
      </c>
      <c r="E5" s="132" t="s">
        <v>18</v>
      </c>
      <c r="F5" s="132" t="s">
        <v>19</v>
      </c>
      <c r="G5" s="132" t="s">
        <v>20</v>
      </c>
      <c r="H5" s="133"/>
      <c r="I5" s="133"/>
    </row>
    <row r="6" spans="2:9" ht="24.95" customHeight="1" thickBot="1">
      <c r="C6" s="134">
        <v>2099</v>
      </c>
      <c r="D6" s="134">
        <v>2290</v>
      </c>
      <c r="E6" s="134">
        <v>3346</v>
      </c>
      <c r="F6" s="134">
        <v>1379</v>
      </c>
      <c r="G6" s="134">
        <v>1455</v>
      </c>
      <c r="H6" s="134"/>
      <c r="I6" s="134"/>
    </row>
    <row r="7" spans="2:9" ht="13.5" thickBot="1"/>
    <row r="8" spans="2:9" ht="20.100000000000001" customHeight="1">
      <c r="B8" s="108"/>
      <c r="C8" s="109" t="s">
        <v>21</v>
      </c>
      <c r="E8" s="153" t="s">
        <v>22</v>
      </c>
      <c r="F8" s="154"/>
      <c r="G8" s="155"/>
      <c r="H8" s="110" t="s">
        <v>23</v>
      </c>
      <c r="I8" s="69" t="s">
        <v>24</v>
      </c>
    </row>
    <row r="9" spans="2:9" ht="15" customHeight="1">
      <c r="B9" s="108">
        <v>1</v>
      </c>
      <c r="C9" s="111" t="s">
        <v>25</v>
      </c>
      <c r="E9" s="156" t="s">
        <v>26</v>
      </c>
      <c r="F9" s="157"/>
      <c r="G9" s="158"/>
      <c r="H9" s="135">
        <v>0.2</v>
      </c>
      <c r="I9" s="69" t="s">
        <v>27</v>
      </c>
    </row>
    <row r="10" spans="2:9" ht="15" customHeight="1">
      <c r="B10" s="108">
        <v>2</v>
      </c>
      <c r="C10" s="111" t="s">
        <v>28</v>
      </c>
      <c r="E10" s="159" t="s">
        <v>29</v>
      </c>
      <c r="F10" s="160"/>
      <c r="G10" s="161"/>
      <c r="H10" s="136">
        <v>0.2</v>
      </c>
      <c r="I10" s="69" t="s">
        <v>30</v>
      </c>
    </row>
    <row r="11" spans="2:9" ht="15" customHeight="1">
      <c r="B11" s="108">
        <v>3</v>
      </c>
      <c r="C11" s="111" t="s">
        <v>31</v>
      </c>
      <c r="E11" s="156" t="s">
        <v>32</v>
      </c>
      <c r="F11" s="157"/>
      <c r="G11" s="158"/>
      <c r="H11" s="135">
        <v>0.3</v>
      </c>
      <c r="I11" s="69" t="s">
        <v>33</v>
      </c>
    </row>
    <row r="12" spans="2:9" ht="15" customHeight="1">
      <c r="B12" s="108">
        <v>4</v>
      </c>
      <c r="C12" s="111" t="s">
        <v>34</v>
      </c>
      <c r="E12" s="159" t="s">
        <v>35</v>
      </c>
      <c r="F12" s="160"/>
      <c r="G12" s="161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36</v>
      </c>
      <c r="E13" s="162" t="s">
        <v>37</v>
      </c>
      <c r="F13" s="163"/>
      <c r="G13" s="164"/>
      <c r="H13" s="135">
        <v>0.1</v>
      </c>
      <c r="I13" s="69" t="s">
        <v>38</v>
      </c>
    </row>
    <row r="14" spans="2:9" ht="15" customHeight="1">
      <c r="B14" s="108">
        <v>6</v>
      </c>
      <c r="C14" s="111" t="s">
        <v>39</v>
      </c>
      <c r="E14" s="165"/>
      <c r="F14" s="166"/>
      <c r="G14" s="167"/>
      <c r="H14" s="136">
        <v>0</v>
      </c>
      <c r="I14" s="69" t="s">
        <v>40</v>
      </c>
    </row>
    <row r="15" spans="2:9" ht="15" customHeight="1" thickBot="1">
      <c r="B15" s="108">
        <v>7</v>
      </c>
      <c r="C15" s="111" t="s">
        <v>41</v>
      </c>
      <c r="E15" s="174"/>
      <c r="F15" s="175"/>
      <c r="G15" s="176"/>
      <c r="H15" s="135">
        <v>0</v>
      </c>
      <c r="I15" s="69" t="s">
        <v>42</v>
      </c>
    </row>
    <row r="16" spans="2:9" ht="15" customHeight="1" thickBot="1">
      <c r="B16" s="108">
        <v>8</v>
      </c>
      <c r="C16" s="111" t="s">
        <v>43</v>
      </c>
      <c r="E16" s="112"/>
      <c r="F16" s="112"/>
      <c r="G16" s="112"/>
      <c r="H16" s="137">
        <f>IF(SUM(H9:H15)&gt;1,"Más del 100%",SUM(H9:H15))</f>
        <v>0.99999999999999989</v>
      </c>
      <c r="I16" s="69" t="s">
        <v>44</v>
      </c>
    </row>
    <row r="17" spans="2:9" ht="15" customHeight="1" thickBot="1">
      <c r="B17" s="108">
        <v>9</v>
      </c>
      <c r="C17" s="111" t="s">
        <v>45</v>
      </c>
      <c r="E17" s="183"/>
      <c r="F17" s="183"/>
      <c r="G17" s="183"/>
      <c r="H17" s="183"/>
      <c r="I17" s="69" t="s">
        <v>46</v>
      </c>
    </row>
    <row r="18" spans="2:9" ht="15" customHeight="1" thickBot="1">
      <c r="B18" s="108">
        <v>10</v>
      </c>
      <c r="C18" s="111" t="s">
        <v>47</v>
      </c>
      <c r="E18" s="190" t="s">
        <v>48</v>
      </c>
      <c r="F18" s="191"/>
      <c r="G18" s="191"/>
      <c r="H18" s="113" t="s">
        <v>23</v>
      </c>
      <c r="I18" s="69" t="s">
        <v>49</v>
      </c>
    </row>
    <row r="19" spans="2:9" ht="15" customHeight="1">
      <c r="B19" s="108">
        <v>11</v>
      </c>
      <c r="C19" s="111" t="s">
        <v>50</v>
      </c>
      <c r="E19" s="180" t="s">
        <v>51</v>
      </c>
      <c r="F19" s="181"/>
      <c r="G19" s="182"/>
      <c r="H19" s="138">
        <v>0.5</v>
      </c>
    </row>
    <row r="20" spans="2:9" ht="15" customHeight="1">
      <c r="B20" s="108">
        <v>12</v>
      </c>
      <c r="C20" s="111" t="s">
        <v>52</v>
      </c>
      <c r="E20" s="184" t="s">
        <v>53</v>
      </c>
      <c r="F20" s="185"/>
      <c r="G20" s="186"/>
      <c r="H20" s="139">
        <v>0.2</v>
      </c>
    </row>
    <row r="21" spans="2:9" ht="15" customHeight="1">
      <c r="B21" s="108">
        <v>13</v>
      </c>
      <c r="C21" s="111" t="s">
        <v>54</v>
      </c>
      <c r="E21" s="192" t="s">
        <v>55</v>
      </c>
      <c r="F21" s="193"/>
      <c r="G21" s="194"/>
      <c r="H21" s="140">
        <v>0.1</v>
      </c>
    </row>
    <row r="22" spans="2:9" ht="15" customHeight="1">
      <c r="B22" s="108">
        <v>14</v>
      </c>
      <c r="C22" s="111" t="s">
        <v>56</v>
      </c>
      <c r="E22" s="184" t="s">
        <v>57</v>
      </c>
      <c r="F22" s="166"/>
      <c r="G22" s="167"/>
      <c r="H22" s="139">
        <v>0.05</v>
      </c>
    </row>
    <row r="23" spans="2:9" ht="15" customHeight="1">
      <c r="B23" s="108">
        <v>15</v>
      </c>
      <c r="C23" s="111" t="s">
        <v>58</v>
      </c>
      <c r="E23" s="192" t="s">
        <v>59</v>
      </c>
      <c r="F23" s="193"/>
      <c r="G23" s="194"/>
      <c r="H23" s="141">
        <v>0.05</v>
      </c>
    </row>
    <row r="24" spans="2:9" ht="15" customHeight="1">
      <c r="B24" s="108">
        <v>16</v>
      </c>
      <c r="C24" s="111" t="s">
        <v>60</v>
      </c>
      <c r="E24" s="184" t="s">
        <v>61</v>
      </c>
      <c r="F24" s="185"/>
      <c r="G24" s="186"/>
      <c r="H24" s="139">
        <v>0.1</v>
      </c>
    </row>
    <row r="25" spans="2:9" ht="15" customHeight="1" thickBot="1">
      <c r="B25" s="108">
        <v>17</v>
      </c>
      <c r="C25" s="111" t="s">
        <v>62</v>
      </c>
      <c r="E25" s="177"/>
      <c r="F25" s="178"/>
      <c r="G25" s="179"/>
      <c r="H25" s="140"/>
    </row>
    <row r="26" spans="2:9" ht="15" customHeight="1" thickBot="1">
      <c r="B26" s="108">
        <v>18</v>
      </c>
      <c r="C26" s="111" t="s">
        <v>63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 t="s">
        <v>64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65</v>
      </c>
      <c r="E28" s="187" t="s">
        <v>66</v>
      </c>
      <c r="F28" s="188"/>
      <c r="G28" s="188"/>
      <c r="H28" s="189"/>
    </row>
    <row r="29" spans="2:9" ht="15" customHeight="1" thickBot="1">
      <c r="B29" s="108">
        <v>21</v>
      </c>
      <c r="C29" s="111" t="s">
        <v>67</v>
      </c>
      <c r="E29" s="171" t="s">
        <v>68</v>
      </c>
      <c r="F29" s="172"/>
      <c r="G29" s="172"/>
      <c r="H29" s="173"/>
    </row>
    <row r="30" spans="2:9" ht="15" customHeight="1" thickBot="1">
      <c r="B30" s="108">
        <v>22</v>
      </c>
      <c r="C30" s="111" t="s">
        <v>69</v>
      </c>
      <c r="E30" s="168" t="s">
        <v>70</v>
      </c>
      <c r="F30" s="169"/>
      <c r="G30" s="169"/>
      <c r="H30" s="170"/>
    </row>
    <row r="31" spans="2:9" ht="15" customHeight="1" thickBot="1">
      <c r="B31" s="108">
        <v>23</v>
      </c>
      <c r="C31" s="111" t="s">
        <v>71</v>
      </c>
      <c r="E31" s="171" t="s">
        <v>72</v>
      </c>
      <c r="F31" s="172"/>
      <c r="G31" s="172"/>
      <c r="H31" s="173"/>
    </row>
    <row r="32" spans="2:9" ht="15" customHeight="1" thickBot="1">
      <c r="B32" s="108">
        <v>24</v>
      </c>
      <c r="C32" s="111" t="s">
        <v>73</v>
      </c>
      <c r="E32" s="168" t="s">
        <v>74</v>
      </c>
      <c r="F32" s="169"/>
      <c r="G32" s="169"/>
      <c r="H32" s="170"/>
    </row>
    <row r="33" spans="2:8" ht="15" customHeight="1" thickBot="1">
      <c r="B33" s="108">
        <v>25</v>
      </c>
      <c r="C33" s="111" t="s">
        <v>75</v>
      </c>
      <c r="E33" s="171" t="s">
        <v>76</v>
      </c>
      <c r="F33" s="172"/>
      <c r="G33" s="172"/>
      <c r="H33" s="173"/>
    </row>
    <row r="34" spans="2:8" ht="15" customHeight="1" thickBot="1">
      <c r="B34" s="108">
        <v>26</v>
      </c>
      <c r="C34" s="111" t="s">
        <v>77</v>
      </c>
      <c r="E34" s="168" t="s">
        <v>78</v>
      </c>
      <c r="F34" s="169"/>
      <c r="G34" s="169"/>
      <c r="H34" s="170"/>
    </row>
    <row r="35" spans="2:8" ht="15" customHeight="1" thickBot="1">
      <c r="B35" s="108">
        <v>27</v>
      </c>
      <c r="C35" s="111" t="s">
        <v>79</v>
      </c>
      <c r="E35" s="171" t="s">
        <v>80</v>
      </c>
      <c r="F35" s="172"/>
      <c r="G35" s="172"/>
      <c r="H35" s="173"/>
    </row>
    <row r="36" spans="2:8" ht="15" customHeight="1" thickBot="1">
      <c r="B36" s="108">
        <v>28</v>
      </c>
      <c r="C36" s="111" t="s">
        <v>81</v>
      </c>
      <c r="E36" s="168" t="s">
        <v>82</v>
      </c>
      <c r="F36" s="169"/>
      <c r="G36" s="169"/>
      <c r="H36" s="170"/>
    </row>
    <row r="37" spans="2:8" ht="15" customHeight="1" thickBot="1">
      <c r="B37" s="108">
        <v>29</v>
      </c>
      <c r="C37" s="111" t="s">
        <v>83</v>
      </c>
      <c r="E37" s="171" t="s">
        <v>84</v>
      </c>
      <c r="F37" s="172"/>
      <c r="G37" s="172"/>
      <c r="H37" s="173"/>
    </row>
    <row r="38" spans="2:8" ht="15" customHeight="1" thickBot="1">
      <c r="B38" s="108">
        <v>30</v>
      </c>
      <c r="C38" s="111" t="s">
        <v>85</v>
      </c>
      <c r="E38" s="168" t="s">
        <v>86</v>
      </c>
      <c r="F38" s="169"/>
      <c r="G38" s="169"/>
      <c r="H38" s="170"/>
    </row>
    <row r="39" spans="2:8" ht="15" customHeight="1" thickBot="1">
      <c r="B39" s="108">
        <v>31</v>
      </c>
      <c r="C39" s="111" t="s">
        <v>87</v>
      </c>
      <c r="E39" s="171" t="s">
        <v>88</v>
      </c>
      <c r="F39" s="172"/>
      <c r="G39" s="172"/>
      <c r="H39" s="173"/>
    </row>
    <row r="40" spans="2:8" ht="15" customHeight="1" thickBot="1">
      <c r="B40" s="108">
        <v>32</v>
      </c>
      <c r="C40" s="111" t="s">
        <v>89</v>
      </c>
      <c r="E40" s="168" t="s">
        <v>90</v>
      </c>
      <c r="F40" s="169"/>
      <c r="G40" s="169"/>
      <c r="H40" s="170"/>
    </row>
    <row r="41" spans="2:8" ht="15" customHeight="1" thickBot="1">
      <c r="B41" s="108">
        <v>33</v>
      </c>
      <c r="C41" s="111" t="s">
        <v>91</v>
      </c>
      <c r="E41" s="114"/>
      <c r="F41" s="114"/>
      <c r="G41" s="114"/>
      <c r="H41" s="114"/>
    </row>
    <row r="42" spans="2:8" ht="15" customHeight="1" thickBot="1">
      <c r="B42" s="108">
        <v>34</v>
      </c>
      <c r="C42" s="111" t="s">
        <v>92</v>
      </c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 t="s">
        <v>93</v>
      </c>
      <c r="E43" s="118" t="s">
        <v>25</v>
      </c>
      <c r="F43" s="119" t="s">
        <v>31</v>
      </c>
      <c r="G43" s="119" t="s">
        <v>41</v>
      </c>
      <c r="H43" s="120" t="s">
        <v>52</v>
      </c>
    </row>
    <row r="44" spans="2:8" ht="15" customHeight="1">
      <c r="B44" s="108">
        <v>36</v>
      </c>
      <c r="C44" s="111" t="s">
        <v>94</v>
      </c>
      <c r="E44" s="121" t="s">
        <v>28</v>
      </c>
      <c r="F44" s="122" t="s">
        <v>34</v>
      </c>
      <c r="G44" s="122" t="s">
        <v>43</v>
      </c>
      <c r="H44" s="123" t="s">
        <v>54</v>
      </c>
    </row>
    <row r="45" spans="2:8" ht="15" customHeight="1">
      <c r="B45" s="108">
        <v>37</v>
      </c>
      <c r="C45" s="111" t="s">
        <v>95</v>
      </c>
      <c r="E45" s="124"/>
      <c r="F45" s="125" t="s">
        <v>36</v>
      </c>
      <c r="G45" s="125" t="s">
        <v>45</v>
      </c>
      <c r="H45" s="126" t="s">
        <v>56</v>
      </c>
    </row>
    <row r="46" spans="2:8" ht="15" customHeight="1">
      <c r="B46" s="108">
        <v>38</v>
      </c>
      <c r="C46" s="111" t="s">
        <v>96</v>
      </c>
      <c r="E46" s="121"/>
      <c r="F46" s="122" t="s">
        <v>39</v>
      </c>
      <c r="G46" s="122" t="s">
        <v>47</v>
      </c>
      <c r="H46" s="123" t="s">
        <v>58</v>
      </c>
    </row>
    <row r="47" spans="2:8" ht="15" customHeight="1">
      <c r="B47" s="108">
        <v>39</v>
      </c>
      <c r="C47" s="111"/>
      <c r="E47" s="124"/>
      <c r="F47" s="125"/>
      <c r="G47" s="125" t="s">
        <v>50</v>
      </c>
      <c r="H47" s="126" t="s">
        <v>60</v>
      </c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62</v>
      </c>
      <c r="F51" s="119" t="s">
        <v>67</v>
      </c>
      <c r="G51" s="119" t="s">
        <v>79</v>
      </c>
      <c r="H51" s="120" t="s">
        <v>85</v>
      </c>
    </row>
    <row r="52" spans="2:8" ht="15" customHeight="1">
      <c r="B52" s="108">
        <v>44</v>
      </c>
      <c r="C52" s="111"/>
      <c r="E52" s="121" t="s">
        <v>63</v>
      </c>
      <c r="F52" s="122" t="s">
        <v>69</v>
      </c>
      <c r="G52" s="122" t="s">
        <v>81</v>
      </c>
      <c r="H52" s="123" t="s">
        <v>87</v>
      </c>
    </row>
    <row r="53" spans="2:8" ht="15" customHeight="1">
      <c r="B53" s="108">
        <v>45</v>
      </c>
      <c r="C53" s="111"/>
      <c r="E53" s="124" t="s">
        <v>64</v>
      </c>
      <c r="F53" s="125" t="s">
        <v>71</v>
      </c>
      <c r="G53" s="125" t="s">
        <v>83</v>
      </c>
      <c r="H53" s="126" t="s">
        <v>89</v>
      </c>
    </row>
    <row r="54" spans="2:8" ht="15" customHeight="1">
      <c r="B54" s="108">
        <v>46</v>
      </c>
      <c r="C54" s="111"/>
      <c r="E54" s="121" t="s">
        <v>65</v>
      </c>
      <c r="F54" s="122" t="s">
        <v>73</v>
      </c>
      <c r="G54" s="122" t="s">
        <v>93</v>
      </c>
      <c r="H54" s="123" t="s">
        <v>91</v>
      </c>
    </row>
    <row r="55" spans="2:8" ht="15" customHeight="1">
      <c r="B55" s="108">
        <v>47</v>
      </c>
      <c r="C55" s="111"/>
      <c r="E55" s="124"/>
      <c r="F55" s="125" t="s">
        <v>75</v>
      </c>
      <c r="G55" s="125" t="s">
        <v>94</v>
      </c>
      <c r="H55" s="126" t="s">
        <v>92</v>
      </c>
    </row>
    <row r="56" spans="2:8" ht="15" customHeight="1" thickBot="1">
      <c r="B56" s="108">
        <v>48</v>
      </c>
      <c r="C56" s="111"/>
      <c r="E56" s="127"/>
      <c r="F56" s="128" t="s">
        <v>77</v>
      </c>
      <c r="G56" s="128" t="s">
        <v>95</v>
      </c>
      <c r="H56" s="129" t="s">
        <v>96</v>
      </c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Sc/gK2MOgriO3NrNuAk1a/8TNI5E0Y1ujeO9w8ATaQFoejhHbSMeNexJzNE9Z66TK38qgaZP6JwjKfEsQTox3A==" saltValue="yQjkEFXJfI6jPBXW43nDqg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F55" activePane="bottomRight" state="frozen"/>
      <selection pane="bottomRight" activeCell="K55" sqref="K55:K6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LIDER!C4</f>
        <v>ELECTIVA LIBRE SOCIOHUMANÍS I</v>
      </c>
      <c r="C2" s="82"/>
      <c r="D2" s="3"/>
      <c r="F2" s="205" t="s">
        <v>97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98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CONCATENATE(LIDER!C4," - ",LIDER!C6," - ",LIDER!C5)</f>
        <v>ELECTIVA LIBRE SOCIOHUMANÍS I - 2099 - ALBEIRO YESITH PÉREZ CHIQUILLO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68</v>
      </c>
      <c r="C5" s="88" t="s">
        <v>99</v>
      </c>
      <c r="D5" s="32" t="s">
        <v>100</v>
      </c>
      <c r="E5" s="89" t="s">
        <v>101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EVELYN SHARY CHAVEZ ARRIETA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2.75</v>
      </c>
      <c r="F6" s="200">
        <v>1.5</v>
      </c>
      <c r="G6" s="197">
        <v>3.5</v>
      </c>
      <c r="H6" s="195">
        <v>3.5</v>
      </c>
      <c r="I6" s="197">
        <v>1</v>
      </c>
      <c r="J6" s="195">
        <v>5</v>
      </c>
      <c r="K6" s="197"/>
      <c r="L6" s="195"/>
    </row>
    <row r="7" spans="1:12" s="2" customFormat="1" ht="15" customHeight="1">
      <c r="A7" s="12">
        <v>2</v>
      </c>
      <c r="B7" s="10" t="str">
        <f>LIDER!E44</f>
        <v>ANGELA ISABEL PÁJARO DE LA PEÑA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2.75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>
        <f>LIDER!E45</f>
        <v>0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70</v>
      </c>
      <c r="C12" s="88" t="s">
        <v>102</v>
      </c>
      <c r="D12" s="32" t="str">
        <f>D5</f>
        <v>LIST</v>
      </c>
      <c r="E12" s="89" t="s">
        <v>101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BAYRON BARON BELEÑO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2.75</v>
      </c>
      <c r="F13" s="200">
        <v>1.5</v>
      </c>
      <c r="G13" s="197">
        <v>3.5</v>
      </c>
      <c r="H13" s="195">
        <v>3.5</v>
      </c>
      <c r="I13" s="197">
        <v>1</v>
      </c>
      <c r="J13" s="195">
        <v>5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LUIS FRANCISCO CANTILLO CANO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2.75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WILYER ANDRES RUIZ ROMERO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2.75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ROBERTO ENRIQUE VASQUEZ RAMBAUTH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2.75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72</v>
      </c>
      <c r="C19" s="88" t="s">
        <v>103</v>
      </c>
      <c r="D19" s="32" t="str">
        <f>D12</f>
        <v>LIST</v>
      </c>
      <c r="E19" s="89" t="s">
        <v>101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MARIA CAMILA AGUDELO ORTIZ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4.3</v>
      </c>
      <c r="F20" s="200">
        <v>4.5</v>
      </c>
      <c r="G20" s="197">
        <v>4.5</v>
      </c>
      <c r="H20" s="195">
        <v>4</v>
      </c>
      <c r="I20" s="197">
        <v>4</v>
      </c>
      <c r="J20" s="195">
        <v>5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LIZ ANDREA JIMENEZ THERAN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4.3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JUAN CAMILO MARTELO CASTRO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4.3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JOSE ANDRES PALENCIA CASTRO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4.3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 t="str">
        <f>LIDER!G47</f>
        <v>VALENTINA TERAN DE AVILA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4.3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74</v>
      </c>
      <c r="C26" s="88" t="s">
        <v>104</v>
      </c>
      <c r="D26" s="32" t="str">
        <f>D19</f>
        <v>LIST</v>
      </c>
      <c r="E26" s="89" t="s">
        <v>101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EMILY BARRIOS BENITEZ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3.7</v>
      </c>
      <c r="F27" s="200">
        <v>4.5</v>
      </c>
      <c r="G27" s="197">
        <v>4.5</v>
      </c>
      <c r="H27" s="195">
        <v>4</v>
      </c>
      <c r="I27" s="197">
        <v>1</v>
      </c>
      <c r="J27" s="195">
        <v>5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NELDA SOFIA CASTILLO VILLA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3.7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BRENDIS VANESA HERRERA TEJEDOR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3.7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SOFIA DEL PILAR JULIO ROSSO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3.7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HEILEEN CAROLINA RUIZ RIVERO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3.7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76</v>
      </c>
      <c r="C33" s="88" t="s">
        <v>105</v>
      </c>
      <c r="D33" s="32" t="str">
        <f>D26</f>
        <v>LIST</v>
      </c>
      <c r="E33" s="89" t="s">
        <v>101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HEILIN TATIANA BARRIOS CUADRADO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4.59</v>
      </c>
      <c r="F34" s="200">
        <v>4.5</v>
      </c>
      <c r="G34" s="197">
        <v>4.5</v>
      </c>
      <c r="H34" s="195">
        <v>4.5</v>
      </c>
      <c r="I34" s="197">
        <v>4.7</v>
      </c>
      <c r="J34" s="195">
        <v>5</v>
      </c>
      <c r="K34" s="197"/>
      <c r="L34" s="195"/>
    </row>
    <row r="35" spans="1:12" s="2" customFormat="1" ht="15" customHeight="1">
      <c r="A35" s="12">
        <v>2</v>
      </c>
      <c r="B35" s="10" t="str">
        <f>LIDER!E52</f>
        <v>VALERIE GARCIA MATUTE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4.59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PAULA ANDREA MANJARRES CORREA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4.59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YEMILY ALBANIS MARTINEZ JULIO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4.59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78</v>
      </c>
      <c r="C40" s="88" t="s">
        <v>106</v>
      </c>
      <c r="D40" s="32" t="str">
        <f>D33</f>
        <v>LIST</v>
      </c>
      <c r="E40" s="89" t="s">
        <v>101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YEN ENRIQUE GONZALEZ ORTIZ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</v>
      </c>
      <c r="F41" s="200">
        <v>3</v>
      </c>
      <c r="G41" s="197">
        <v>3</v>
      </c>
      <c r="H41" s="195">
        <v>3</v>
      </c>
      <c r="I41" s="197">
        <v>2</v>
      </c>
      <c r="J41" s="195">
        <v>5</v>
      </c>
      <c r="K41" s="197"/>
      <c r="L41" s="195"/>
    </row>
    <row r="42" spans="1:12" s="2" customFormat="1" ht="15" customHeight="1">
      <c r="A42" s="12">
        <v>2</v>
      </c>
      <c r="B42" s="10" t="str">
        <f>LIDER!F52</f>
        <v>NEIDER CAMILO HIDALGO GUZMAN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MARTHA SUSANA LEON DE LAS AGUAS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MELIDA ISABEL MACIAS COA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ANDREA CAROLINA MARTINEZ RUZ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 t="str">
        <f>LIDER!F56</f>
        <v>ARMANDO FABIO MIRANDA SIERRA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3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80</v>
      </c>
      <c r="C47" s="88" t="s">
        <v>107</v>
      </c>
      <c r="D47" s="32" t="str">
        <f>D40</f>
        <v>LIST</v>
      </c>
      <c r="E47" s="89" t="s">
        <v>101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JENNIFER JOHANNA ANGULO ARRIETA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3.5399999999999996</v>
      </c>
      <c r="F48" s="200">
        <v>3.5</v>
      </c>
      <c r="G48" s="197">
        <v>4</v>
      </c>
      <c r="H48" s="195">
        <v>3.8</v>
      </c>
      <c r="I48" s="197">
        <v>2</v>
      </c>
      <c r="J48" s="195">
        <v>5</v>
      </c>
      <c r="K48" s="197"/>
      <c r="L48" s="195"/>
    </row>
    <row r="49" spans="1:12" s="2" customFormat="1" ht="15" customHeight="1">
      <c r="A49" s="12">
        <v>2</v>
      </c>
      <c r="B49" s="10" t="str">
        <f>LIDER!G52</f>
        <v>YAMILEISIS BOLAÑO GONZALEZ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3.5399999999999996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NICOLL VALENTINA VILLALOBOS SARMIENTO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3.5399999999999996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 t="str">
        <f>LIDER!G54</f>
        <v>NAVARRO CHAVEZ ANGELO ANDRES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3.5399999999999996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 t="str">
        <f>LIDER!G55</f>
        <v>MONTERROSA ANGEL JESUS DAVID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3.5399999999999996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 t="str">
        <f>LIDER!G56</f>
        <v>CRESPO PEREIRA SANTIAGO ALEJANDRO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3.5399999999999996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82</v>
      </c>
      <c r="C54" s="88" t="s">
        <v>108</v>
      </c>
      <c r="D54" s="32" t="str">
        <f>D47</f>
        <v>LIST</v>
      </c>
      <c r="E54" s="89" t="s">
        <v>101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MARIA JOSE HERRERA DAZA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3.0500000000000007</v>
      </c>
      <c r="F55" s="200">
        <v>3.5</v>
      </c>
      <c r="G55" s="197">
        <v>3</v>
      </c>
      <c r="H55" s="195">
        <v>3.5</v>
      </c>
      <c r="I55" s="197">
        <v>1</v>
      </c>
      <c r="J55" s="195">
        <v>5</v>
      </c>
      <c r="K55" s="197"/>
      <c r="L55" s="195"/>
    </row>
    <row r="56" spans="1:12" s="2" customFormat="1" ht="15" customHeight="1">
      <c r="A56" s="12">
        <v>2</v>
      </c>
      <c r="B56" s="10" t="str">
        <f>LIDER!H52</f>
        <v>ELIANA MARGARITA LAMBIS ALTAMAR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3.0500000000000007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KEIVIN JESUS PEREZ BATISTA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3.0500000000000007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ANDRES FELIPE VALIENTE GONZALEZ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3.0500000000000007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NICOLAS ZUÑIGA ARANGO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3.0500000000000007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 t="str">
        <f>LIDER!H56</f>
        <v>TAMARA GARCIA MARIA JOSE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3.0500000000000007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84</v>
      </c>
      <c r="C61" s="88" t="s">
        <v>109</v>
      </c>
      <c r="D61" s="32" t="str">
        <f>D54</f>
        <v>LIST</v>
      </c>
      <c r="E61" s="89" t="s">
        <v>101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86</v>
      </c>
      <c r="C68" s="88" t="s">
        <v>110</v>
      </c>
      <c r="D68" s="32" t="str">
        <f>D61</f>
        <v>LIST</v>
      </c>
      <c r="E68" s="89" t="s">
        <v>101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88</v>
      </c>
      <c r="C75" s="88" t="s">
        <v>111</v>
      </c>
      <c r="D75" s="32" t="str">
        <f>D68</f>
        <v>LIST</v>
      </c>
      <c r="E75" s="89" t="s">
        <v>101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90</v>
      </c>
      <c r="C82" s="88" t="s">
        <v>112</v>
      </c>
      <c r="D82" s="32" t="str">
        <f>D75</f>
        <v>LIST</v>
      </c>
      <c r="E82" s="89" t="s">
        <v>101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tabSelected="1" workbookViewId="0">
      <pane xSplit="5" ySplit="3" topLeftCell="F53" activePane="bottomRight" state="frozen"/>
      <selection pane="bottomRight" activeCell="K55" sqref="K55:K6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LIDER!D4</f>
        <v>TALENTO HUMANO</v>
      </c>
      <c r="C2" s="82"/>
      <c r="D2" s="3"/>
      <c r="F2" s="205" t="s">
        <v>97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98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CONCATENATE(LIDER!D4," - ",LIDER!D6," - ",LIDER!D5)</f>
        <v>TALENTO HUMANO - 2290 - ARIEL ALFONSO ACEVEDO GARZON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68</v>
      </c>
      <c r="C5" s="88" t="s">
        <v>99</v>
      </c>
      <c r="D5" s="32" t="s">
        <v>100</v>
      </c>
      <c r="E5" s="89" t="s">
        <v>101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EVELYN SHARY CHAVEZ ARRIETA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3.7</v>
      </c>
      <c r="F6" s="200">
        <v>3.5</v>
      </c>
      <c r="G6" s="197">
        <v>3.5</v>
      </c>
      <c r="H6" s="195">
        <v>3.5</v>
      </c>
      <c r="I6" s="197">
        <v>4</v>
      </c>
      <c r="J6" s="195">
        <v>4.5</v>
      </c>
      <c r="K6" s="197"/>
      <c r="L6" s="195"/>
    </row>
    <row r="7" spans="1:12" s="2" customFormat="1" ht="15" customHeight="1">
      <c r="A7" s="12">
        <v>2</v>
      </c>
      <c r="B7" s="10" t="str">
        <f>LIDER!E44</f>
        <v>ANGELA ISABEL PÁJARO DE LA PEÑA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3.7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>
        <f>LIDER!E45</f>
        <v>0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70</v>
      </c>
      <c r="C12" s="88" t="s">
        <v>102</v>
      </c>
      <c r="D12" s="32" t="str">
        <f>D5</f>
        <v>LIST</v>
      </c>
      <c r="E12" s="89" t="s">
        <v>101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BAYRON BARON BELEÑO</v>
      </c>
      <c r="C13" s="90" t="str">
        <f>C12</f>
        <v>G02</v>
      </c>
      <c r="D13" s="95" t="s">
        <v>113</v>
      </c>
      <c r="E13" s="11" t="str">
        <f>IF(B13=0,0,IF(D13="",$F$13*LIDER!$H$9+$G$13*LIDER!$H$10+$H$13*LIDER!$H$11+$I$13*LIDER!$H$12+$J$13*LIDER!$H$13+$K$13*LIDER!$H$14+$L$13*LIDER!$H$15,"N"))</f>
        <v>N</v>
      </c>
      <c r="F13" s="200">
        <v>3</v>
      </c>
      <c r="G13" s="197">
        <v>3</v>
      </c>
      <c r="H13" s="195">
        <v>3</v>
      </c>
      <c r="I13" s="197">
        <v>4</v>
      </c>
      <c r="J13" s="195">
        <v>5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LUIS FRANCISCO CANTILLO CANO</v>
      </c>
      <c r="C14" s="90" t="str">
        <f t="shared" ref="C14:C18" si="1">C13</f>
        <v>G02</v>
      </c>
      <c r="D14" s="96" t="s">
        <v>113</v>
      </c>
      <c r="E14" s="11" t="str">
        <f>IF(B14=0,0,IF(D14="",$F$13*LIDER!$H$9+$G$13*LIDER!$H$10+$H$13*LIDER!$H$11+$I$13*LIDER!$H$12+$J$13*LIDER!$H$13+$K$13*LIDER!$H$14+$L$13*LIDER!$H$15,"N"))</f>
        <v>N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WILYER ANDRES RUIZ ROMERO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3.4000000000000004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ROBERTO ENRIQUE VASQUEZ RAMBAUTH</v>
      </c>
      <c r="C16" s="90" t="str">
        <f t="shared" si="1"/>
        <v>G02</v>
      </c>
      <c r="D16" s="96" t="s">
        <v>113</v>
      </c>
      <c r="E16" s="11" t="str">
        <f>IF(B16=0,0,IF(D16="",$F$13*LIDER!$H$9+$G$13*LIDER!$H$10+$H$13*LIDER!$H$11+$I$13*LIDER!$H$12+$J$13*LIDER!$H$13+$K$13*LIDER!$H$14+$L$13*LIDER!$H$15,"N"))</f>
        <v>N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72</v>
      </c>
      <c r="C19" s="88" t="s">
        <v>103</v>
      </c>
      <c r="D19" s="32" t="str">
        <f>D12</f>
        <v>LIST</v>
      </c>
      <c r="E19" s="89" t="s">
        <v>101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MARIA CAMILA AGUDELO ORTIZ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4.6999999999999993</v>
      </c>
      <c r="F20" s="200">
        <v>4.5</v>
      </c>
      <c r="G20" s="197">
        <v>4.5999999999999996</v>
      </c>
      <c r="H20" s="195">
        <v>4.5999999999999996</v>
      </c>
      <c r="I20" s="197">
        <v>5</v>
      </c>
      <c r="J20" s="195">
        <v>5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LIZ ANDREA JIMENEZ THERAN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4.6999999999999993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JUAN CAMILO MARTELO CASTRO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4.6999999999999993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JOSE ANDRES PALENCIA CASTRO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4.6999999999999993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 t="str">
        <f>LIDER!G47</f>
        <v>VALENTINA TERAN DE AVILA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4.6999999999999993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74</v>
      </c>
      <c r="C26" s="88" t="s">
        <v>104</v>
      </c>
      <c r="D26" s="32" t="str">
        <f>D19</f>
        <v>LIST</v>
      </c>
      <c r="E26" s="89" t="s">
        <v>101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EMILY BARRIOS BENITEZ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4.07</v>
      </c>
      <c r="F27" s="200">
        <v>4.5</v>
      </c>
      <c r="G27" s="197">
        <v>4.5999999999999996</v>
      </c>
      <c r="H27" s="195">
        <v>4.5</v>
      </c>
      <c r="I27" s="197">
        <v>2</v>
      </c>
      <c r="J27" s="195">
        <v>5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NELDA SOFIA CASTILLO VILLA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4.07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BRENDIS VANESA HERRERA TEJEDOR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4.07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SOFIA DEL PILAR JULIO ROSSO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4.07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HEILEEN CAROLINA RUIZ RIVERO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4.07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76</v>
      </c>
      <c r="C33" s="88" t="s">
        <v>105</v>
      </c>
      <c r="D33" s="32" t="str">
        <f>D26</f>
        <v>LIST</v>
      </c>
      <c r="E33" s="89" t="s">
        <v>101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HEILIN TATIANA BARRIOS CUADRADO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4.6500000000000004</v>
      </c>
      <c r="F34" s="200">
        <v>4.5</v>
      </c>
      <c r="G34" s="197">
        <v>4.5</v>
      </c>
      <c r="H34" s="195">
        <v>4.5</v>
      </c>
      <c r="I34" s="197">
        <v>5</v>
      </c>
      <c r="J34" s="195">
        <v>5</v>
      </c>
      <c r="K34" s="197"/>
      <c r="L34" s="195"/>
    </row>
    <row r="35" spans="1:12" s="2" customFormat="1" ht="15" customHeight="1">
      <c r="A35" s="12">
        <v>2</v>
      </c>
      <c r="B35" s="10" t="str">
        <f>LIDER!E52</f>
        <v>VALERIE GARCIA MATUTE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4.6500000000000004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PAULA ANDREA MANJARRES CORREA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4.6500000000000004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YEMILY ALBANIS MARTINEZ JULIO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4.6500000000000004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78</v>
      </c>
      <c r="C40" s="88" t="s">
        <v>106</v>
      </c>
      <c r="D40" s="32" t="str">
        <f>D33</f>
        <v>LIST</v>
      </c>
      <c r="E40" s="89" t="s">
        <v>101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YEN ENRIQUE GONZALEZ ORTIZ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3.7</v>
      </c>
      <c r="F41" s="200">
        <v>3.5</v>
      </c>
      <c r="G41" s="197">
        <v>3.5</v>
      </c>
      <c r="H41" s="195">
        <v>3.5</v>
      </c>
      <c r="I41" s="197">
        <v>4</v>
      </c>
      <c r="J41" s="195">
        <v>4.5</v>
      </c>
      <c r="K41" s="197"/>
      <c r="L41" s="195"/>
    </row>
    <row r="42" spans="1:12" s="2" customFormat="1" ht="15" customHeight="1">
      <c r="A42" s="12">
        <v>2</v>
      </c>
      <c r="B42" s="10" t="str">
        <f>LIDER!F52</f>
        <v>NEIDER CAMILO HIDALGO GUZMAN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3.7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MARTHA SUSANA LEON DE LAS AGUAS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3.7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MELIDA ISABEL MACIAS COA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3.7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ANDREA CAROLINA MARTINEZ RUZ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3.7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 t="str">
        <f>LIDER!F56</f>
        <v>ARMANDO FABIO MIRANDA SIERRA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3.7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80</v>
      </c>
      <c r="C47" s="88" t="s">
        <v>107</v>
      </c>
      <c r="D47" s="32" t="str">
        <f>D40</f>
        <v>LIST</v>
      </c>
      <c r="E47" s="89" t="s">
        <v>101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JENNIFER JOHANNA ANGULO ARRIETA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3.55</v>
      </c>
      <c r="F48" s="200">
        <v>3.5</v>
      </c>
      <c r="G48" s="197">
        <v>4</v>
      </c>
      <c r="H48" s="195">
        <v>3.5</v>
      </c>
      <c r="I48" s="197">
        <v>3</v>
      </c>
      <c r="J48" s="195">
        <v>4</v>
      </c>
      <c r="K48" s="197"/>
      <c r="L48" s="195"/>
    </row>
    <row r="49" spans="1:12" s="2" customFormat="1" ht="15" customHeight="1">
      <c r="A49" s="12">
        <v>2</v>
      </c>
      <c r="B49" s="10" t="str">
        <f>LIDER!G52</f>
        <v>YAMILEISIS BOLAÑO GONZALEZ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3.55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NICOLL VALENTINA VILLALOBOS SARMIENTO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3.55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 t="str">
        <f>LIDER!G54</f>
        <v>NAVARRO CHAVEZ ANGELO ANDRES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3.55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 t="str">
        <f>LIDER!G55</f>
        <v>MONTERROSA ANGEL JESUS DAVID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3.55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 t="str">
        <f>LIDER!G56</f>
        <v>CRESPO PEREIRA SANTIAGO ALEJANDRO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3.55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82</v>
      </c>
      <c r="C54" s="88" t="s">
        <v>108</v>
      </c>
      <c r="D54" s="32" t="str">
        <f>D47</f>
        <v>LIST</v>
      </c>
      <c r="E54" s="89" t="s">
        <v>101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MARIA JOSE HERRERA DAZA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3.6</v>
      </c>
      <c r="F55" s="200">
        <v>4</v>
      </c>
      <c r="G55" s="197">
        <v>4</v>
      </c>
      <c r="H55" s="195">
        <v>3</v>
      </c>
      <c r="I55" s="197">
        <v>3</v>
      </c>
      <c r="J55" s="195">
        <v>5</v>
      </c>
      <c r="K55" s="197"/>
      <c r="L55" s="195"/>
    </row>
    <row r="56" spans="1:12" s="2" customFormat="1" ht="15" customHeight="1">
      <c r="A56" s="12">
        <v>2</v>
      </c>
      <c r="B56" s="10" t="str">
        <f>LIDER!H52</f>
        <v>ELIANA MARGARITA LAMBIS ALTAMAR</v>
      </c>
      <c r="C56" s="90" t="str">
        <f t="shared" ref="C56:C60" si="7">C55</f>
        <v>G08</v>
      </c>
      <c r="D56" s="96" t="s">
        <v>113</v>
      </c>
      <c r="E56" s="11" t="str">
        <f>IF(B56=0,0,IF(D56="",$F$55*LIDER!$H$9+$G$55*LIDER!$H$10+$H$55*LIDER!$H$11+$I$55*LIDER!$H$12+$J$55*LIDER!$H$13+$K$55*LIDER!$H$14+$L$55*LIDER!$H$15,"N"))</f>
        <v>N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KEIVIN JESUS PEREZ BATISTA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3.6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ANDRES FELIPE VALIENTE GONZALEZ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3.6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NICOLAS ZUÑIGA ARANGO</v>
      </c>
      <c r="C59" s="90" t="str">
        <f t="shared" si="7"/>
        <v>G08</v>
      </c>
      <c r="D59" s="96" t="s">
        <v>113</v>
      </c>
      <c r="E59" s="11" t="str">
        <f>IF(B59=0,0,IF(D59="",$F$55*LIDER!$H$9+$G$55*LIDER!$H$10+$H$55*LIDER!$H$11+$I$55*LIDER!$H$12+$J$55*LIDER!$H$13+$K$55*LIDER!$H$14+$L$55*LIDER!$H$15,"N"))</f>
        <v>N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 t="str">
        <f>LIDER!H56</f>
        <v>TAMARA GARCIA MARIA JOSE</v>
      </c>
      <c r="C60" s="92" t="str">
        <f t="shared" si="7"/>
        <v>G08</v>
      </c>
      <c r="D60" s="97" t="s">
        <v>113</v>
      </c>
      <c r="E60" s="93" t="str">
        <f>IF(B60=0,0,IF(D60="",$F$55*LIDER!$H$9+$G$55*LIDER!$H$10+$H$55*LIDER!$H$11+$I$55*LIDER!$H$12+$J$55*LIDER!$H$13+$K$55*LIDER!$H$14+$L$55*LIDER!$H$15,"N"))</f>
        <v>N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84</v>
      </c>
      <c r="C61" s="88" t="s">
        <v>109</v>
      </c>
      <c r="D61" s="32" t="str">
        <f>D54</f>
        <v>LIST</v>
      </c>
      <c r="E61" s="89" t="s">
        <v>101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86</v>
      </c>
      <c r="C68" s="88" t="s">
        <v>110</v>
      </c>
      <c r="D68" s="32" t="str">
        <f>D61</f>
        <v>LIST</v>
      </c>
      <c r="E68" s="89" t="s">
        <v>101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88</v>
      </c>
      <c r="C75" s="88" t="s">
        <v>111</v>
      </c>
      <c r="D75" s="32" t="str">
        <f>D68</f>
        <v>LIST</v>
      </c>
      <c r="E75" s="89" t="s">
        <v>101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90</v>
      </c>
      <c r="C82" s="88" t="s">
        <v>112</v>
      </c>
      <c r="D82" s="32" t="str">
        <f>D75</f>
        <v>LIST</v>
      </c>
      <c r="E82" s="89" t="s">
        <v>101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50" activePane="bottomRight" state="frozen"/>
      <selection pane="bottomRight" activeCell="F55" sqref="F55:F6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LIDER!E4</f>
        <v>ELECTIVA DE PROFUNDIZACION II</v>
      </c>
      <c r="C2" s="82"/>
      <c r="D2" s="3"/>
      <c r="F2" s="205" t="s">
        <v>97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98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CONCATENATE(LIDER!E4," - ",LIDER!E6," - ",LIDER!E5)</f>
        <v>ELECTIVA DE PROFUNDIZACION II - 3346 - JEYSSON STEEVEN ANILLO CARRANZA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68</v>
      </c>
      <c r="C5" s="88" t="s">
        <v>99</v>
      </c>
      <c r="D5" s="32" t="s">
        <v>100</v>
      </c>
      <c r="E5" s="89" t="s">
        <v>101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EVELYN SHARY CHAVEZ ARRIETA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3.73</v>
      </c>
      <c r="F6" s="200">
        <v>3.4</v>
      </c>
      <c r="G6" s="197">
        <v>4</v>
      </c>
      <c r="H6" s="195">
        <v>4</v>
      </c>
      <c r="I6" s="197">
        <v>3</v>
      </c>
      <c r="J6" s="195">
        <v>4.5</v>
      </c>
      <c r="K6" s="197"/>
      <c r="L6" s="195"/>
    </row>
    <row r="7" spans="1:12" s="2" customFormat="1" ht="15" customHeight="1">
      <c r="A7" s="12">
        <v>2</v>
      </c>
      <c r="B7" s="10" t="str">
        <f>LIDER!E44</f>
        <v>ANGELA ISABEL PÁJARO DE LA PEÑA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3.73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>
        <f>LIDER!E45</f>
        <v>0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70</v>
      </c>
      <c r="C12" s="88" t="s">
        <v>102</v>
      </c>
      <c r="D12" s="32" t="str">
        <f>D5</f>
        <v>LIST</v>
      </c>
      <c r="E12" s="89" t="s">
        <v>101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BAYRON BARON BELEÑO</v>
      </c>
      <c r="C13" s="90" t="str">
        <f>C12</f>
        <v>G02</v>
      </c>
      <c r="D13" s="95" t="s">
        <v>113</v>
      </c>
      <c r="E13" s="11" t="str">
        <f>IF(B13=0,0,IF(D13="",$F$13*LIDER!$H$9+$G$13*LIDER!$H$10+$H$13*LIDER!$H$11+$I$13*LIDER!$H$12+$J$13*LIDER!$H$13+$K$13*LIDER!$H$14+$L$13*LIDER!$H$15,"N"))</f>
        <v>N</v>
      </c>
      <c r="F13" s="200"/>
      <c r="G13" s="197"/>
      <c r="H13" s="195"/>
      <c r="I13" s="197"/>
      <c r="J13" s="195"/>
      <c r="K13" s="197"/>
      <c r="L13" s="195"/>
    </row>
    <row r="14" spans="1:12" s="2" customFormat="1" ht="15" customHeight="1">
      <c r="A14" s="12">
        <v>2</v>
      </c>
      <c r="B14" s="10" t="str">
        <f>LIDER!F44</f>
        <v>LUIS FRANCISCO CANTILLO CANO</v>
      </c>
      <c r="C14" s="90" t="str">
        <f t="shared" ref="C14:C18" si="1">C13</f>
        <v>G02</v>
      </c>
      <c r="D14" s="96" t="s">
        <v>113</v>
      </c>
      <c r="E14" s="11" t="str">
        <f>IF(B14=0,0,IF(D14="",$F$13*LIDER!$H$9+$G$13*LIDER!$H$10+$H$13*LIDER!$H$11+$I$13*LIDER!$H$12+$J$13*LIDER!$H$13+$K$13*LIDER!$H$14+$L$13*LIDER!$H$15,"N"))</f>
        <v>N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WILYER ANDRES RUIZ ROMERO</v>
      </c>
      <c r="C15" s="90" t="str">
        <f t="shared" si="1"/>
        <v>G02</v>
      </c>
      <c r="D15" s="96" t="s">
        <v>113</v>
      </c>
      <c r="E15" s="11" t="str">
        <f>IF(B15=0,0,IF(D15="",$F$13*LIDER!$H$9+$G$13*LIDER!$H$10+$H$13*LIDER!$H$11+$I$13*LIDER!$H$12+$J$13*LIDER!$H$13+$K$13*LIDER!$H$14+$L$13*LIDER!$H$15,"N"))</f>
        <v>N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ROBERTO ENRIQUE VASQUEZ RAMBAUTH</v>
      </c>
      <c r="C16" s="90" t="str">
        <f t="shared" si="1"/>
        <v>G02</v>
      </c>
      <c r="D16" s="96" t="s">
        <v>113</v>
      </c>
      <c r="E16" s="11" t="str">
        <f>IF(B16=0,0,IF(D16="",$F$13*LIDER!$H$9+$G$13*LIDER!$H$10+$H$13*LIDER!$H$11+$I$13*LIDER!$H$12+$J$13*LIDER!$H$13+$K$13*LIDER!$H$14+$L$13*LIDER!$H$15,"N"))</f>
        <v>N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72</v>
      </c>
      <c r="C19" s="88" t="s">
        <v>103</v>
      </c>
      <c r="D19" s="32" t="str">
        <f>D12</f>
        <v>LIST</v>
      </c>
      <c r="E19" s="89" t="s">
        <v>101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MARIA CAMILA AGUDELO ORTIZ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4.55</v>
      </c>
      <c r="F20" s="200">
        <v>4.5999999999999996</v>
      </c>
      <c r="G20" s="197">
        <v>4.5999999999999996</v>
      </c>
      <c r="H20" s="195">
        <v>4.5</v>
      </c>
      <c r="I20" s="197">
        <v>4.5</v>
      </c>
      <c r="J20" s="195">
        <v>4.5999999999999996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LIZ ANDREA JIMENEZ THERAN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4.55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JUAN CAMILO MARTELO CASTRO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4.55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JOSE ANDRES PALENCIA CASTRO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4.55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 t="str">
        <f>LIDER!G47</f>
        <v>VALENTINA TERAN DE AVILA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4.55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74</v>
      </c>
      <c r="C26" s="88" t="s">
        <v>104</v>
      </c>
      <c r="D26" s="32" t="str">
        <f>D19</f>
        <v>LIST</v>
      </c>
      <c r="E26" s="89" t="s">
        <v>101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EMILY BARRIOS BENITEZ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3.87</v>
      </c>
      <c r="F27" s="200">
        <v>4.5</v>
      </c>
      <c r="G27" s="197">
        <v>4.5</v>
      </c>
      <c r="H27" s="195">
        <v>4.7</v>
      </c>
      <c r="I27" s="197">
        <v>1</v>
      </c>
      <c r="J27" s="195">
        <v>4.5999999999999996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NELDA SOFIA CASTILLO VILLA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3.87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BRENDIS VANESA HERRERA TEJEDOR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3.87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SOFIA DEL PILAR JULIO ROSSO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3.87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HEILEEN CAROLINA RUIZ RIVERO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3.87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76</v>
      </c>
      <c r="C33" s="88" t="s">
        <v>105</v>
      </c>
      <c r="D33" s="32" t="str">
        <f>D26</f>
        <v>LIST</v>
      </c>
      <c r="E33" s="89" t="s">
        <v>101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HEILIN TATIANA BARRIOS CUADRADO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4.57</v>
      </c>
      <c r="F34" s="200">
        <v>4.5</v>
      </c>
      <c r="G34" s="197">
        <v>4.7</v>
      </c>
      <c r="H34" s="195">
        <v>4.5999999999999996</v>
      </c>
      <c r="I34" s="197">
        <v>4.5</v>
      </c>
      <c r="J34" s="195">
        <v>4.5</v>
      </c>
      <c r="K34" s="197"/>
      <c r="L34" s="195"/>
    </row>
    <row r="35" spans="1:12" s="2" customFormat="1" ht="15" customHeight="1">
      <c r="A35" s="12">
        <v>2</v>
      </c>
      <c r="B35" s="10" t="str">
        <f>LIDER!E52</f>
        <v>VALERIE GARCIA MATUTE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4.57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PAULA ANDREA MANJARRES CORREA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4.57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YEMILY ALBANIS MARTINEZ JULIO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4.57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78</v>
      </c>
      <c r="C40" s="88" t="s">
        <v>106</v>
      </c>
      <c r="D40" s="32" t="str">
        <f>D33</f>
        <v>LIST</v>
      </c>
      <c r="E40" s="89" t="s">
        <v>101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YEN ENRIQUE GONZALEZ ORTIZ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3.8400000000000003</v>
      </c>
      <c r="F41" s="200">
        <v>3.5</v>
      </c>
      <c r="G41" s="197">
        <v>3.5</v>
      </c>
      <c r="H41" s="195">
        <v>4</v>
      </c>
      <c r="I41" s="197">
        <v>3.7</v>
      </c>
      <c r="J41" s="195">
        <v>5</v>
      </c>
      <c r="K41" s="197"/>
      <c r="L41" s="195"/>
    </row>
    <row r="42" spans="1:12" s="2" customFormat="1" ht="15" customHeight="1">
      <c r="A42" s="12">
        <v>2</v>
      </c>
      <c r="B42" s="10" t="str">
        <f>LIDER!F52</f>
        <v>NEIDER CAMILO HIDALGO GUZMAN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3.8400000000000003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MARTHA SUSANA LEON DE LAS AGUAS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3.8400000000000003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MELIDA ISABEL MACIAS COA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3.8400000000000003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ANDREA CAROLINA MARTINEZ RUZ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3.8400000000000003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 t="str">
        <f>LIDER!F56</f>
        <v>ARMANDO FABIO MIRANDA SIERRA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3.8400000000000003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80</v>
      </c>
      <c r="C47" s="88" t="s">
        <v>107</v>
      </c>
      <c r="D47" s="32" t="str">
        <f>D40</f>
        <v>LIST</v>
      </c>
      <c r="E47" s="89" t="s">
        <v>101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JENNIFER JOHANNA ANGULO ARRIETA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3.3099999999999996</v>
      </c>
      <c r="F48" s="200">
        <v>3.3</v>
      </c>
      <c r="G48" s="197">
        <v>4</v>
      </c>
      <c r="H48" s="195">
        <v>3.5</v>
      </c>
      <c r="I48" s="197">
        <v>2</v>
      </c>
      <c r="J48" s="195">
        <v>4</v>
      </c>
      <c r="K48" s="197"/>
      <c r="L48" s="195"/>
    </row>
    <row r="49" spans="1:12" s="2" customFormat="1" ht="15" customHeight="1">
      <c r="A49" s="12">
        <v>2</v>
      </c>
      <c r="B49" s="10" t="str">
        <f>LIDER!G52</f>
        <v>YAMILEISIS BOLAÑO GONZALEZ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3.3099999999999996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NICOLL VALENTINA VILLALOBOS SARMIENTO</v>
      </c>
      <c r="C50" s="90" t="str">
        <f t="shared" si="6"/>
        <v>G07</v>
      </c>
      <c r="D50" s="96" t="s">
        <v>113</v>
      </c>
      <c r="E50" s="11" t="str">
        <f>IF(B50=0,0,IF(D50="",$F$48*LIDER!$H$9+$G$48*LIDER!$H$10+$H$48*LIDER!$H$11+$I$48*LIDER!$H$12+$J$48*LIDER!$H$13+$K$48*LIDER!$H$14+$L$48*LIDER!$H$15,"N"))</f>
        <v>N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 t="str">
        <f>LIDER!G54</f>
        <v>NAVARRO CHAVEZ ANGELO ANDRES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3.3099999999999996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 t="str">
        <f>LIDER!G55</f>
        <v>MONTERROSA ANGEL JESUS DAVID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3.3099999999999996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 t="str">
        <f>LIDER!G56</f>
        <v>CRESPO PEREIRA SANTIAGO ALEJANDRO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3.3099999999999996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82</v>
      </c>
      <c r="C54" s="88" t="s">
        <v>108</v>
      </c>
      <c r="D54" s="32" t="str">
        <f>D47</f>
        <v>LIST</v>
      </c>
      <c r="E54" s="89" t="s">
        <v>101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MARIA JOSE HERRERA DAZA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 t="str">
        <f>LIDER!H52</f>
        <v>ELIANA MARGARITA LAMBIS ALTAMAR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KEIVIN JESUS PEREZ BATISTA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ANDRES FELIPE VALIENTE GONZALEZ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NICOLAS ZUÑIGA ARANGO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 t="str">
        <f>LIDER!H56</f>
        <v>TAMARA GARCIA MARIA JOSE</v>
      </c>
      <c r="C60" s="92" t="str">
        <f t="shared" si="7"/>
        <v>G08</v>
      </c>
      <c r="D60" s="97" t="s">
        <v>113</v>
      </c>
      <c r="E60" s="93" t="str">
        <f>IF(B60=0,0,IF(D60="",$F$55*LIDER!$H$9+$G$55*LIDER!$H$10+$H$55*LIDER!$H$11+$I$55*LIDER!$H$12+$J$55*LIDER!$H$13+$K$55*LIDER!$H$14+$L$55*LIDER!$H$15,"N"))</f>
        <v>N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84</v>
      </c>
      <c r="C61" s="88" t="s">
        <v>109</v>
      </c>
      <c r="D61" s="32" t="str">
        <f>D54</f>
        <v>LIST</v>
      </c>
      <c r="E61" s="89" t="s">
        <v>101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86</v>
      </c>
      <c r="C68" s="88" t="s">
        <v>110</v>
      </c>
      <c r="D68" s="32" t="str">
        <f>D61</f>
        <v>LIST</v>
      </c>
      <c r="E68" s="89" t="s">
        <v>101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88</v>
      </c>
      <c r="C75" s="88" t="s">
        <v>111</v>
      </c>
      <c r="D75" s="32" t="str">
        <f>D68</f>
        <v>LIST</v>
      </c>
      <c r="E75" s="89" t="s">
        <v>101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90</v>
      </c>
      <c r="C82" s="88" t="s">
        <v>112</v>
      </c>
      <c r="D82" s="32" t="str">
        <f>D75</f>
        <v>LIST</v>
      </c>
      <c r="E82" s="89" t="s">
        <v>101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55" activePane="bottomRight" state="frozen"/>
      <selection pane="bottomRight" activeCell="B60" sqref="B6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LIDER!F4</f>
        <v>MARKETING INTERNACIONAL</v>
      </c>
      <c r="C2" s="82"/>
      <c r="D2" s="3"/>
      <c r="F2" s="205" t="s">
        <v>97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98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CONCATENATE(LIDER!F4," - ",LIDER!F6," - ",LIDER!F5)</f>
        <v>MARKETING INTERNACIONAL - 1379 - SABY CRISTINA MARRUGO CASTAÑO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68</v>
      </c>
      <c r="C5" s="88" t="s">
        <v>99</v>
      </c>
      <c r="D5" s="32" t="s">
        <v>100</v>
      </c>
      <c r="E5" s="89" t="s">
        <v>101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EVELYN SHARY CHAVEZ ARRIETA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3.5</v>
      </c>
      <c r="F6" s="200">
        <v>3</v>
      </c>
      <c r="G6" s="197">
        <v>4</v>
      </c>
      <c r="H6" s="195">
        <v>2</v>
      </c>
      <c r="I6" s="197">
        <v>5</v>
      </c>
      <c r="J6" s="195">
        <v>5</v>
      </c>
      <c r="K6" s="197"/>
      <c r="L6" s="195"/>
    </row>
    <row r="7" spans="1:12" s="2" customFormat="1" ht="15" customHeight="1">
      <c r="A7" s="12">
        <v>2</v>
      </c>
      <c r="B7" s="10" t="str">
        <f>LIDER!E44</f>
        <v>ANGELA ISABEL PÁJARO DE LA PEÑA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3.5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>
        <f>LIDER!E45</f>
        <v>0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70</v>
      </c>
      <c r="C12" s="88" t="s">
        <v>102</v>
      </c>
      <c r="D12" s="32" t="str">
        <f>D5</f>
        <v>LIST</v>
      </c>
      <c r="E12" s="89" t="s">
        <v>101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BAYRON BARON BELEÑO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3.6</v>
      </c>
      <c r="F13" s="200">
        <v>2</v>
      </c>
      <c r="G13" s="197">
        <v>2.5</v>
      </c>
      <c r="H13" s="195">
        <v>4</v>
      </c>
      <c r="I13" s="197">
        <v>5</v>
      </c>
      <c r="J13" s="195">
        <v>5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LUIS FRANCISCO CANTILLO CANO</v>
      </c>
      <c r="C14" s="90" t="str">
        <f t="shared" ref="C14:C18" si="1">C13</f>
        <v>G02</v>
      </c>
      <c r="D14" s="96" t="s">
        <v>113</v>
      </c>
      <c r="E14" s="11" t="str">
        <f>IF(B14=0,0,IF(D14="",$F$13*LIDER!$H$9+$G$13*LIDER!$H$10+$H$13*LIDER!$H$11+$I$13*LIDER!$H$12+$J$13*LIDER!$H$13+$K$13*LIDER!$H$14+$L$13*LIDER!$H$15,"N"))</f>
        <v>N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WILYER ANDRES RUIZ ROMERO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3.6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ROBERTO ENRIQUE VASQUEZ RAMBAUTH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3.6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72</v>
      </c>
      <c r="C19" s="88" t="s">
        <v>103</v>
      </c>
      <c r="D19" s="32" t="str">
        <f>D12</f>
        <v>LIST</v>
      </c>
      <c r="E19" s="89" t="s">
        <v>101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MARIA CAMILA AGUDELO ORTIZ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</v>
      </c>
      <c r="F20" s="200">
        <v>4.5</v>
      </c>
      <c r="G20" s="197">
        <v>4.5</v>
      </c>
      <c r="H20" s="195">
        <v>4</v>
      </c>
      <c r="I20" s="197">
        <v>5</v>
      </c>
      <c r="J20" s="195">
        <v>5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LIZ ANDREA JIMENEZ THERAN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JUAN CAMILO MARTELO CASTRO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4.5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JOSE ANDRES PALENCIA CASTRO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4.5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 t="str">
        <f>LIDER!G47</f>
        <v>VALENTINA TERAN DE AVILA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4.5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74</v>
      </c>
      <c r="C26" s="88" t="s">
        <v>104</v>
      </c>
      <c r="D26" s="32" t="str">
        <f>D19</f>
        <v>LIST</v>
      </c>
      <c r="E26" s="89" t="s">
        <v>101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EMILY BARRIOS BENITEZ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4.4799999999999995</v>
      </c>
      <c r="F27" s="200">
        <v>4.5</v>
      </c>
      <c r="G27" s="197">
        <v>4.5</v>
      </c>
      <c r="H27" s="195">
        <v>4.5999999999999996</v>
      </c>
      <c r="I27" s="197">
        <v>4</v>
      </c>
      <c r="J27" s="195">
        <v>5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NELDA SOFIA CASTILLO VILLA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4.4799999999999995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BRENDIS VANESA HERRERA TEJEDOR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4.4799999999999995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SOFIA DEL PILAR JULIO ROSSO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4.4799999999999995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HEILEEN CAROLINA RUIZ RIVERO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4.4799999999999995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76</v>
      </c>
      <c r="C33" s="88" t="s">
        <v>105</v>
      </c>
      <c r="D33" s="32" t="str">
        <f>D26</f>
        <v>LIST</v>
      </c>
      <c r="E33" s="89" t="s">
        <v>101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HEILIN TATIANA BARRIOS CUADRADO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4.6500000000000004</v>
      </c>
      <c r="F34" s="200">
        <v>4.5</v>
      </c>
      <c r="G34" s="197">
        <v>4.5</v>
      </c>
      <c r="H34" s="195">
        <v>4.5</v>
      </c>
      <c r="I34" s="197">
        <v>5</v>
      </c>
      <c r="J34" s="195">
        <v>5</v>
      </c>
      <c r="K34" s="197"/>
      <c r="L34" s="195"/>
    </row>
    <row r="35" spans="1:12" s="2" customFormat="1" ht="15" customHeight="1">
      <c r="A35" s="12">
        <v>2</v>
      </c>
      <c r="B35" s="10" t="str">
        <f>LIDER!E52</f>
        <v>VALERIE GARCIA MATUTE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4.6500000000000004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PAULA ANDREA MANJARRES CORREA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4.6500000000000004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YEMILY ALBANIS MARTINEZ JULIO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4.6500000000000004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78</v>
      </c>
      <c r="C40" s="88" t="s">
        <v>106</v>
      </c>
      <c r="D40" s="32" t="str">
        <f>D33</f>
        <v>LIST</v>
      </c>
      <c r="E40" s="89" t="s">
        <v>101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YEN ENRIQUE GONZALEZ ORTIZ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3.75</v>
      </c>
      <c r="F41" s="200">
        <v>3</v>
      </c>
      <c r="G41" s="197">
        <v>4</v>
      </c>
      <c r="H41" s="195">
        <v>3.5</v>
      </c>
      <c r="I41" s="197">
        <v>4</v>
      </c>
      <c r="J41" s="195">
        <v>5</v>
      </c>
      <c r="K41" s="197"/>
      <c r="L41" s="195"/>
    </row>
    <row r="42" spans="1:12" s="2" customFormat="1" ht="15" customHeight="1">
      <c r="A42" s="12">
        <v>2</v>
      </c>
      <c r="B42" s="10" t="str">
        <f>LIDER!F52</f>
        <v>NEIDER CAMILO HIDALGO GUZMAN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3.75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MARTHA SUSANA LEON DE LAS AGUAS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3.75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MELIDA ISABEL MACIAS COA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3.75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ANDREA CAROLINA MARTINEZ RUZ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3.75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 t="str">
        <f>LIDER!F56</f>
        <v>ARMANDO FABIO MIRANDA SIERRA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3.75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80</v>
      </c>
      <c r="C47" s="88" t="s">
        <v>107</v>
      </c>
      <c r="D47" s="32" t="str">
        <f>D40</f>
        <v>LIST</v>
      </c>
      <c r="E47" s="89" t="s">
        <v>101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JENNIFER JOHANNA ANGULO ARRIETA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2.7</v>
      </c>
      <c r="F48" s="200">
        <v>3.5</v>
      </c>
      <c r="G48" s="197">
        <v>3</v>
      </c>
      <c r="H48" s="195">
        <v>1</v>
      </c>
      <c r="I48" s="197">
        <v>3</v>
      </c>
      <c r="J48" s="195">
        <v>5</v>
      </c>
      <c r="K48" s="197"/>
      <c r="L48" s="195"/>
    </row>
    <row r="49" spans="1:12" s="2" customFormat="1" ht="15" customHeight="1">
      <c r="A49" s="12">
        <v>2</v>
      </c>
      <c r="B49" s="10" t="str">
        <f>LIDER!G52</f>
        <v>YAMILEISIS BOLAÑO GONZALEZ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2.7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NICOLL VALENTINA VILLALOBOS SARMIENTO</v>
      </c>
      <c r="C50" s="90" t="str">
        <f t="shared" si="6"/>
        <v>G07</v>
      </c>
      <c r="D50" s="96" t="s">
        <v>113</v>
      </c>
      <c r="E50" s="11" t="str">
        <f>IF(B50=0,0,IF(D50="",$F$48*LIDER!$H$9+$G$48*LIDER!$H$10+$H$48*LIDER!$H$11+$I$48*LIDER!$H$12+$J$48*LIDER!$H$13+$K$48*LIDER!$H$14+$L$48*LIDER!$H$15,"N"))</f>
        <v>N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 t="str">
        <f>LIDER!G54</f>
        <v>NAVARRO CHAVEZ ANGELO ANDRES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2.7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 t="str">
        <f>LIDER!G55</f>
        <v>MONTERROSA ANGEL JESUS DAVID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2.7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 t="str">
        <f>LIDER!G56</f>
        <v>CRESPO PEREIRA SANTIAGO ALEJANDRO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2.7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82</v>
      </c>
      <c r="C54" s="88" t="s">
        <v>108</v>
      </c>
      <c r="D54" s="32" t="str">
        <f>D47</f>
        <v>LIST</v>
      </c>
      <c r="E54" s="89" t="s">
        <v>101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MARIA JOSE HERRERA DAZA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3.45</v>
      </c>
      <c r="F55" s="200">
        <v>4</v>
      </c>
      <c r="G55" s="197">
        <v>4</v>
      </c>
      <c r="H55" s="195">
        <v>2.5</v>
      </c>
      <c r="I55" s="197">
        <v>3</v>
      </c>
      <c r="J55" s="195">
        <v>5</v>
      </c>
      <c r="K55" s="197"/>
      <c r="L55" s="195"/>
    </row>
    <row r="56" spans="1:12" s="2" customFormat="1" ht="15" customHeight="1">
      <c r="A56" s="12">
        <v>2</v>
      </c>
      <c r="B56" s="10" t="str">
        <f>LIDER!H52</f>
        <v>ELIANA MARGARITA LAMBIS ALTAMAR</v>
      </c>
      <c r="C56" s="90" t="str">
        <f t="shared" ref="C56:C60" si="7">C55</f>
        <v>G08</v>
      </c>
      <c r="D56" s="96" t="s">
        <v>113</v>
      </c>
      <c r="E56" s="11" t="str">
        <f>IF(B56=0,0,IF(D56="",$F$55*LIDER!$H$9+$G$55*LIDER!$H$10+$H$55*LIDER!$H$11+$I$55*LIDER!$H$12+$J$55*LIDER!$H$13+$K$55*LIDER!$H$14+$L$55*LIDER!$H$15,"N"))</f>
        <v>N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KEIVIN JESUS PEREZ BATISTA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3.45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ANDRES FELIPE VALIENTE GONZALEZ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3.45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NICOLAS ZUÑIGA ARANGO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3.45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 t="str">
        <f>LIDER!H56</f>
        <v>TAMARA GARCIA MARIA JOSE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3.45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84</v>
      </c>
      <c r="C61" s="88" t="s">
        <v>109</v>
      </c>
      <c r="D61" s="32" t="str">
        <f>D54</f>
        <v>LIST</v>
      </c>
      <c r="E61" s="89" t="s">
        <v>101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86</v>
      </c>
      <c r="C68" s="88" t="s">
        <v>110</v>
      </c>
      <c r="D68" s="32" t="str">
        <f>D61</f>
        <v>LIST</v>
      </c>
      <c r="E68" s="89" t="s">
        <v>101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88</v>
      </c>
      <c r="C75" s="88" t="s">
        <v>111</v>
      </c>
      <c r="D75" s="32" t="str">
        <f>D68</f>
        <v>LIST</v>
      </c>
      <c r="E75" s="89" t="s">
        <v>101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90</v>
      </c>
      <c r="C82" s="88" t="s">
        <v>112</v>
      </c>
      <c r="D82" s="32" t="str">
        <f>D75</f>
        <v>LIST</v>
      </c>
      <c r="E82" s="89" t="s">
        <v>101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8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LIDER!G4</f>
        <v>ORGANIZACIÓN Y MÉTODOS DE TRAB</v>
      </c>
      <c r="C2" s="82"/>
      <c r="D2" s="3"/>
      <c r="F2" s="205" t="s">
        <v>97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98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CONCATENATE(LIDER!G4," - ",LIDER!G6," - ",LIDER!G5)</f>
        <v>ORGANIZACIÓN Y MÉTODOS DE TRAB - 1455 - YESSICA PAOLA JIMENEZ SUAREZ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68</v>
      </c>
      <c r="C5" s="88" t="s">
        <v>99</v>
      </c>
      <c r="D5" s="32" t="s">
        <v>100</v>
      </c>
      <c r="E5" s="89" t="s">
        <v>101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EVELYN SHARY CHAVEZ ARRIETA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3.9599999999999995</v>
      </c>
      <c r="F6" s="200">
        <v>4</v>
      </c>
      <c r="G6" s="197">
        <v>3.8</v>
      </c>
      <c r="H6" s="195">
        <v>4</v>
      </c>
      <c r="I6" s="197">
        <v>4</v>
      </c>
      <c r="J6" s="195">
        <v>4</v>
      </c>
      <c r="K6" s="197"/>
      <c r="L6" s="195"/>
    </row>
    <row r="7" spans="1:12" s="2" customFormat="1" ht="15" customHeight="1">
      <c r="A7" s="12">
        <v>2</v>
      </c>
      <c r="B7" s="10" t="str">
        <f>LIDER!E44</f>
        <v>ANGELA ISABEL PÁJARO DE LA PEÑA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3.9599999999999995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>
        <f>LIDER!E45</f>
        <v>0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70</v>
      </c>
      <c r="C12" s="88" t="s">
        <v>102</v>
      </c>
      <c r="D12" s="32" t="str">
        <f>D5</f>
        <v>LIST</v>
      </c>
      <c r="E12" s="89" t="s">
        <v>101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BAYRON BARON BELEÑO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3.5000000000000004</v>
      </c>
      <c r="F13" s="200">
        <v>3.5</v>
      </c>
      <c r="G13" s="197">
        <v>3.5</v>
      </c>
      <c r="H13" s="195">
        <v>3.5</v>
      </c>
      <c r="I13" s="197">
        <v>3.5</v>
      </c>
      <c r="J13" s="195">
        <v>3.5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LUIS FRANCISCO CANTILLO CANO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3.5000000000000004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WILYER ANDRES RUIZ ROMERO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3.5000000000000004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ROBERTO ENRIQUE VASQUEZ RAMBAUTH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3.5000000000000004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72</v>
      </c>
      <c r="C19" s="88" t="s">
        <v>103</v>
      </c>
      <c r="D19" s="32" t="str">
        <f>D12</f>
        <v>LIST</v>
      </c>
      <c r="E19" s="89" t="s">
        <v>101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MARIA CAMILA AGUDELO ORTIZ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3.9999999999999996</v>
      </c>
      <c r="F20" s="200">
        <v>4</v>
      </c>
      <c r="G20" s="197">
        <v>4</v>
      </c>
      <c r="H20" s="195">
        <v>4</v>
      </c>
      <c r="I20" s="197">
        <v>4</v>
      </c>
      <c r="J20" s="195">
        <v>4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LIZ ANDREA JIMENEZ THERAN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3.9999999999999996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JUAN CAMILO MARTELO CASTRO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3.9999999999999996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JOSE ANDRES PALENCIA CASTRO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3.9999999999999996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 t="str">
        <f>LIDER!G47</f>
        <v>VALENTINA TERAN DE AVILA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3.9999999999999996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74</v>
      </c>
      <c r="C26" s="88" t="s">
        <v>104</v>
      </c>
      <c r="D26" s="32" t="str">
        <f>D19</f>
        <v>LIST</v>
      </c>
      <c r="E26" s="89" t="s">
        <v>101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EMILY BARRIOS BENITEZ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3.9999999999999996</v>
      </c>
      <c r="F27" s="200">
        <v>4</v>
      </c>
      <c r="G27" s="197">
        <v>4</v>
      </c>
      <c r="H27" s="195">
        <v>4</v>
      </c>
      <c r="I27" s="197">
        <v>4</v>
      </c>
      <c r="J27" s="195">
        <v>4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NELDA SOFIA CASTILLO VILLA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3.9999999999999996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BRENDIS VANESA HERRERA TEJEDOR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3.9999999999999996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SOFIA DEL PILAR JULIO ROSSO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3.9999999999999996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HEILEEN CAROLINA RUIZ RIVERO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3.9999999999999996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76</v>
      </c>
      <c r="C33" s="88" t="s">
        <v>105</v>
      </c>
      <c r="D33" s="32" t="str">
        <f>D26</f>
        <v>LIST</v>
      </c>
      <c r="E33" s="89" t="s">
        <v>101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HEILIN TATIANA BARRIOS CUADRADO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3.9999999999999996</v>
      </c>
      <c r="F34" s="200">
        <v>4</v>
      </c>
      <c r="G34" s="197">
        <v>4</v>
      </c>
      <c r="H34" s="195">
        <v>4</v>
      </c>
      <c r="I34" s="197">
        <v>4</v>
      </c>
      <c r="J34" s="195">
        <v>4</v>
      </c>
      <c r="K34" s="197"/>
      <c r="L34" s="195"/>
    </row>
    <row r="35" spans="1:12" s="2" customFormat="1" ht="15" customHeight="1">
      <c r="A35" s="12">
        <v>2</v>
      </c>
      <c r="B35" s="10" t="str">
        <f>LIDER!E52</f>
        <v>VALERIE GARCIA MATUTE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3.9999999999999996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PAULA ANDREA MANJARRES CORREA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3.9999999999999996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YEMILY ALBANIS MARTINEZ JULIO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3.9999999999999996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78</v>
      </c>
      <c r="C40" s="88" t="s">
        <v>106</v>
      </c>
      <c r="D40" s="32" t="str">
        <f>D33</f>
        <v>LIST</v>
      </c>
      <c r="E40" s="89" t="s">
        <v>101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YEN ENRIQUE GONZALEZ ORTIZ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3.9999999999999996</v>
      </c>
      <c r="F41" s="200">
        <v>4</v>
      </c>
      <c r="G41" s="197">
        <v>4</v>
      </c>
      <c r="H41" s="195">
        <v>4</v>
      </c>
      <c r="I41" s="197">
        <v>4</v>
      </c>
      <c r="J41" s="195">
        <v>4</v>
      </c>
      <c r="K41" s="197"/>
      <c r="L41" s="195"/>
    </row>
    <row r="42" spans="1:12" s="2" customFormat="1" ht="15" customHeight="1">
      <c r="A42" s="12">
        <v>2</v>
      </c>
      <c r="B42" s="10" t="str">
        <f>LIDER!F52</f>
        <v>NEIDER CAMILO HIDALGO GUZMAN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3.9999999999999996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MARTHA SUSANA LEON DE LAS AGUAS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3.9999999999999996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MELIDA ISABEL MACIAS COA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3.9999999999999996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ANDREA CAROLINA MARTINEZ RUZ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3.9999999999999996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 t="str">
        <f>LIDER!F56</f>
        <v>ARMANDO FABIO MIRANDA SIERRA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3.9999999999999996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80</v>
      </c>
      <c r="C47" s="88" t="s">
        <v>107</v>
      </c>
      <c r="D47" s="32" t="str">
        <f>D40</f>
        <v>LIST</v>
      </c>
      <c r="E47" s="89" t="s">
        <v>101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JENNIFER JOHANNA ANGULO ARRIETA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3.3000000000000007</v>
      </c>
      <c r="F48" s="200">
        <v>3.5</v>
      </c>
      <c r="G48" s="197">
        <v>3</v>
      </c>
      <c r="H48" s="195">
        <v>3.5</v>
      </c>
      <c r="I48" s="197">
        <v>3.5</v>
      </c>
      <c r="J48" s="195">
        <v>2.5</v>
      </c>
      <c r="K48" s="197"/>
      <c r="L48" s="195"/>
    </row>
    <row r="49" spans="1:12" s="2" customFormat="1" ht="15" customHeight="1">
      <c r="A49" s="12">
        <v>2</v>
      </c>
      <c r="B49" s="10" t="str">
        <f>LIDER!G52</f>
        <v>YAMILEISIS BOLAÑO GONZALEZ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3.3000000000000007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NICOLL VALENTINA VILLALOBOS SARMIENTO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3.3000000000000007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 t="str">
        <f>LIDER!G54</f>
        <v>NAVARRO CHAVEZ ANGELO ANDRES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3.3000000000000007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 t="str">
        <f>LIDER!G55</f>
        <v>MONTERROSA ANGEL JESUS DAVID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3.3000000000000007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 t="str">
        <f>LIDER!G56</f>
        <v>CRESPO PEREIRA SANTIAGO ALEJANDRO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3.3000000000000007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82</v>
      </c>
      <c r="C54" s="88" t="s">
        <v>108</v>
      </c>
      <c r="D54" s="32" t="str">
        <f>D47</f>
        <v>LIST</v>
      </c>
      <c r="E54" s="89" t="s">
        <v>101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MARIA JOSE HERRERA DAZA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3.3500000000000005</v>
      </c>
      <c r="F55" s="200">
        <v>3.5</v>
      </c>
      <c r="G55" s="197">
        <v>3.5</v>
      </c>
      <c r="H55" s="195">
        <v>3.5</v>
      </c>
      <c r="I55" s="197">
        <v>3</v>
      </c>
      <c r="J55" s="195">
        <v>3</v>
      </c>
      <c r="K55" s="197"/>
      <c r="L55" s="195"/>
    </row>
    <row r="56" spans="1:12" s="2" customFormat="1" ht="15" customHeight="1">
      <c r="A56" s="12">
        <v>2</v>
      </c>
      <c r="B56" s="10" t="str">
        <f>LIDER!H52</f>
        <v>ELIANA MARGARITA LAMBIS ALTAMAR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3.3500000000000005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KEIVIN JESUS PEREZ BATISTA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3.3500000000000005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ANDRES FELIPE VALIENTE GONZALEZ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3.3500000000000005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NICOLAS ZUÑIGA ARANGO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3.3500000000000005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 t="str">
        <f>LIDER!H56</f>
        <v>TAMARA GARCIA MARIA JOSE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3.3500000000000005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84</v>
      </c>
      <c r="C61" s="88" t="s">
        <v>109</v>
      </c>
      <c r="D61" s="32" t="str">
        <f>D54</f>
        <v>LIST</v>
      </c>
      <c r="E61" s="89" t="s">
        <v>101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86</v>
      </c>
      <c r="C68" s="88" t="s">
        <v>110</v>
      </c>
      <c r="D68" s="32" t="str">
        <f>D61</f>
        <v>LIST</v>
      </c>
      <c r="E68" s="89" t="s">
        <v>101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88</v>
      </c>
      <c r="C75" s="88" t="s">
        <v>111</v>
      </c>
      <c r="D75" s="32" t="str">
        <f>D68</f>
        <v>LIST</v>
      </c>
      <c r="E75" s="89" t="s">
        <v>101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90</v>
      </c>
      <c r="C82" s="88" t="s">
        <v>112</v>
      </c>
      <c r="D82" s="32" t="str">
        <f>D75</f>
        <v>LIST</v>
      </c>
      <c r="E82" s="89" t="s">
        <v>101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>
        <f>LIDER!H4</f>
        <v>0</v>
      </c>
      <c r="C2" s="82"/>
      <c r="D2" s="3"/>
      <c r="F2" s="205" t="s">
        <v>97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98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CONCATENATE(LIDER!H4," - ",LIDER!H6," - ",LIDER!H5)</f>
        <v xml:space="preserve"> -  - 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68</v>
      </c>
      <c r="C5" s="88" t="s">
        <v>99</v>
      </c>
      <c r="D5" s="32" t="s">
        <v>100</v>
      </c>
      <c r="E5" s="89" t="s">
        <v>101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EVELYN SHARY CHAVEZ ARRIETA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97"/>
      <c r="H6" s="195"/>
      <c r="I6" s="197"/>
      <c r="J6" s="195"/>
      <c r="K6" s="197"/>
      <c r="L6" s="195"/>
    </row>
    <row r="7" spans="1:12" s="2" customFormat="1" ht="15" customHeight="1">
      <c r="A7" s="12">
        <v>2</v>
      </c>
      <c r="B7" s="10" t="str">
        <f>LIDER!E44</f>
        <v>ANGELA ISABEL PÁJARO DE LA PEÑA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>
        <f>LIDER!E45</f>
        <v>0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70</v>
      </c>
      <c r="C12" s="88" t="s">
        <v>102</v>
      </c>
      <c r="D12" s="32" t="str">
        <f>D5</f>
        <v>LIST</v>
      </c>
      <c r="E12" s="89" t="s">
        <v>101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BAYRON BARON BELEÑO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97"/>
      <c r="H13" s="195"/>
      <c r="I13" s="197"/>
      <c r="J13" s="195"/>
      <c r="K13" s="197"/>
      <c r="L13" s="195"/>
    </row>
    <row r="14" spans="1:12" s="2" customFormat="1" ht="15" customHeight="1">
      <c r="A14" s="12">
        <v>2</v>
      </c>
      <c r="B14" s="10" t="str">
        <f>LIDER!F44</f>
        <v>LUIS FRANCISCO CANTILLO CANO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WILYER ANDRES RUIZ ROMERO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ROBERTO ENRIQUE VASQUEZ RAMBAUTH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72</v>
      </c>
      <c r="C19" s="88" t="s">
        <v>103</v>
      </c>
      <c r="D19" s="32" t="str">
        <f>D12</f>
        <v>LIST</v>
      </c>
      <c r="E19" s="89" t="s">
        <v>101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MARIA CAMILA AGUDELO ORTIZ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97"/>
      <c r="H20" s="195"/>
      <c r="I20" s="197"/>
      <c r="J20" s="195"/>
      <c r="K20" s="197"/>
      <c r="L20" s="195"/>
    </row>
    <row r="21" spans="1:12" s="2" customFormat="1" ht="15" customHeight="1">
      <c r="A21" s="12">
        <v>2</v>
      </c>
      <c r="B21" s="10" t="str">
        <f>LIDER!G44</f>
        <v>LIZ ANDREA JIMENEZ THERAN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JUAN CAMILO MARTELO CASTRO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JOSE ANDRES PALENCIA CASTRO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 t="str">
        <f>LIDER!G47</f>
        <v>VALENTINA TERAN DE AVILA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74</v>
      </c>
      <c r="C26" s="88" t="s">
        <v>104</v>
      </c>
      <c r="D26" s="32" t="str">
        <f>D19</f>
        <v>LIST</v>
      </c>
      <c r="E26" s="89" t="s">
        <v>101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EMILY BARRIOS BENITEZ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97"/>
      <c r="H27" s="195"/>
      <c r="I27" s="197"/>
      <c r="J27" s="195"/>
      <c r="K27" s="197"/>
      <c r="L27" s="195"/>
    </row>
    <row r="28" spans="1:12" s="2" customFormat="1" ht="15" customHeight="1">
      <c r="A28" s="12">
        <v>2</v>
      </c>
      <c r="B28" s="10" t="str">
        <f>LIDER!H44</f>
        <v>NELDA SOFIA CASTILLO VILLA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BRENDIS VANESA HERRERA TEJEDOR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SOFIA DEL PILAR JULIO ROSSO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HEILEEN CAROLINA RUIZ RIVERO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76</v>
      </c>
      <c r="C33" s="88" t="s">
        <v>105</v>
      </c>
      <c r="D33" s="32" t="str">
        <f>D26</f>
        <v>LIST</v>
      </c>
      <c r="E33" s="89" t="s">
        <v>101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HEILIN TATIANA BARRIOS CUADRADO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 t="str">
        <f>LIDER!E52</f>
        <v>VALERIE GARCIA MATUTE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PAULA ANDREA MANJARRES CORREA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YEMILY ALBANIS MARTINEZ JULIO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78</v>
      </c>
      <c r="C40" s="88" t="s">
        <v>106</v>
      </c>
      <c r="D40" s="32" t="str">
        <f>D33</f>
        <v>LIST</v>
      </c>
      <c r="E40" s="89" t="s">
        <v>101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YEN ENRIQUE GONZALEZ ORTIZ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 t="str">
        <f>LIDER!F52</f>
        <v>NEIDER CAMILO HIDALGO GUZMAN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MARTHA SUSANA LEON DE LAS AGUAS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MELIDA ISABEL MACIAS COA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ANDREA CAROLINA MARTINEZ RUZ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 t="str">
        <f>LIDER!F56</f>
        <v>ARMANDO FABIO MIRANDA SIERRA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80</v>
      </c>
      <c r="C47" s="88" t="s">
        <v>107</v>
      </c>
      <c r="D47" s="32" t="str">
        <f>D40</f>
        <v>LIST</v>
      </c>
      <c r="E47" s="89" t="s">
        <v>101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JENNIFER JOHANNA ANGULO ARRIETA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 t="str">
        <f>LIDER!G52</f>
        <v>YAMILEISIS BOLAÑO GONZALEZ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NICOLL VALENTINA VILLALOBOS SARMIENTO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 t="str">
        <f>LIDER!G54</f>
        <v>NAVARRO CHAVEZ ANGELO ANDRES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 t="str">
        <f>LIDER!G55</f>
        <v>MONTERROSA ANGEL JESUS DAVID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 t="str">
        <f>LIDER!G56</f>
        <v>CRESPO PEREIRA SANTIAGO ALEJANDRO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82</v>
      </c>
      <c r="C54" s="88" t="s">
        <v>108</v>
      </c>
      <c r="D54" s="32" t="str">
        <f>D47</f>
        <v>LIST</v>
      </c>
      <c r="E54" s="89" t="s">
        <v>101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MARIA JOSE HERRERA DAZA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 t="str">
        <f>LIDER!H52</f>
        <v>ELIANA MARGARITA LAMBIS ALTAMAR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KEIVIN JESUS PEREZ BATISTA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ANDRES FELIPE VALIENTE GONZALEZ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NICOLAS ZUÑIGA ARANGO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 t="str">
        <f>LIDER!H56</f>
        <v>TAMARA GARCIA MARIA JOSE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84</v>
      </c>
      <c r="C61" s="88" t="s">
        <v>109</v>
      </c>
      <c r="D61" s="32" t="str">
        <f>D54</f>
        <v>LIST</v>
      </c>
      <c r="E61" s="89" t="s">
        <v>101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86</v>
      </c>
      <c r="C68" s="88" t="s">
        <v>110</v>
      </c>
      <c r="D68" s="32" t="str">
        <f>D61</f>
        <v>LIST</v>
      </c>
      <c r="E68" s="89" t="s">
        <v>101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88</v>
      </c>
      <c r="C75" s="88" t="s">
        <v>111</v>
      </c>
      <c r="D75" s="32" t="str">
        <f>D68</f>
        <v>LIST</v>
      </c>
      <c r="E75" s="89" t="s">
        <v>101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90</v>
      </c>
      <c r="C82" s="88" t="s">
        <v>112</v>
      </c>
      <c r="D82" s="32" t="str">
        <f>D75</f>
        <v>LIST</v>
      </c>
      <c r="E82" s="89" t="s">
        <v>101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10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>
        <f>LIDER!I4</f>
        <v>0</v>
      </c>
      <c r="C2" s="82"/>
      <c r="D2" s="3"/>
      <c r="F2" s="205" t="s">
        <v>97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98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CONCATENATE(LIDER!I4," - ",LIDER!I6," - ",LIDER!I5)</f>
        <v xml:space="preserve"> -  - 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68</v>
      </c>
      <c r="C5" s="88" t="s">
        <v>99</v>
      </c>
      <c r="D5" s="32" t="s">
        <v>100</v>
      </c>
      <c r="E5" s="89" t="s">
        <v>101</v>
      </c>
      <c r="F5" s="199" t="str">
        <f>LIDER!$E$29</f>
        <v>GRUPO#1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EVELYN SHARY CHAVEZ ARRIETA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97"/>
      <c r="H6" s="195"/>
      <c r="I6" s="197"/>
      <c r="J6" s="195"/>
      <c r="K6" s="197"/>
      <c r="L6" s="195"/>
    </row>
    <row r="7" spans="1:12" s="2" customFormat="1" ht="15" customHeight="1">
      <c r="A7" s="12">
        <v>2</v>
      </c>
      <c r="B7" s="10" t="str">
        <f>LIDER!E44</f>
        <v>ANGELA ISABEL PÁJARO DE LA PEÑA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>
        <f>LIDER!E45</f>
        <v>0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70</v>
      </c>
      <c r="C12" s="88" t="s">
        <v>102</v>
      </c>
      <c r="D12" s="32" t="str">
        <f>D5</f>
        <v>LIST</v>
      </c>
      <c r="E12" s="89" t="s">
        <v>101</v>
      </c>
      <c r="F12" s="199" t="str">
        <f>LIDER!$E$30</f>
        <v>GRUPO#2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BAYRON BARON BELEÑO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97"/>
      <c r="H13" s="195"/>
      <c r="I13" s="197"/>
      <c r="J13" s="195"/>
      <c r="K13" s="197"/>
      <c r="L13" s="195"/>
    </row>
    <row r="14" spans="1:12" s="2" customFormat="1" ht="15" customHeight="1">
      <c r="A14" s="12">
        <v>2</v>
      </c>
      <c r="B14" s="10" t="str">
        <f>LIDER!F44</f>
        <v>LUIS FRANCISCO CANTILLO CANO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WILYER ANDRES RUIZ ROMERO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ROBERTO ENRIQUE VASQUEZ RAMBAUTH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72</v>
      </c>
      <c r="C19" s="88" t="s">
        <v>103</v>
      </c>
      <c r="D19" s="32" t="str">
        <f>D12</f>
        <v>LIST</v>
      </c>
      <c r="E19" s="89" t="s">
        <v>101</v>
      </c>
      <c r="F19" s="199" t="str">
        <f>LIDER!$E$31</f>
        <v>GRUPO#3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MARIA CAMILA AGUDELO ORTIZ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97"/>
      <c r="H20" s="195"/>
      <c r="I20" s="197"/>
      <c r="J20" s="195"/>
      <c r="K20" s="197"/>
      <c r="L20" s="195"/>
    </row>
    <row r="21" spans="1:12" s="2" customFormat="1" ht="15" customHeight="1">
      <c r="A21" s="12">
        <v>2</v>
      </c>
      <c r="B21" s="10" t="str">
        <f>LIDER!G44</f>
        <v>LIZ ANDREA JIMENEZ THERAN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JUAN CAMILO MARTELO CASTRO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JOSE ANDRES PALENCIA CASTRO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 t="str">
        <f>LIDER!G47</f>
        <v>VALENTINA TERAN DE AVILA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74</v>
      </c>
      <c r="C26" s="88" t="s">
        <v>104</v>
      </c>
      <c r="D26" s="32" t="str">
        <f>D19</f>
        <v>LIST</v>
      </c>
      <c r="E26" s="89" t="s">
        <v>101</v>
      </c>
      <c r="F26" s="199" t="str">
        <f>LIDER!$E$32</f>
        <v>GRUPO#4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EMILY BARRIOS BENITEZ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97"/>
      <c r="H27" s="195"/>
      <c r="I27" s="197"/>
      <c r="J27" s="195"/>
      <c r="K27" s="197"/>
      <c r="L27" s="195"/>
    </row>
    <row r="28" spans="1:12" s="2" customFormat="1" ht="15" customHeight="1">
      <c r="A28" s="12">
        <v>2</v>
      </c>
      <c r="B28" s="10" t="str">
        <f>LIDER!H44</f>
        <v>NELDA SOFIA CASTILLO VILLA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BRENDIS VANESA HERRERA TEJEDOR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SOFIA DEL PILAR JULIO ROSSO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 t="str">
        <f>LIDER!H47</f>
        <v>HEILEEN CAROLINA RUIZ RIVERO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76</v>
      </c>
      <c r="C33" s="88" t="s">
        <v>105</v>
      </c>
      <c r="D33" s="32" t="str">
        <f>D26</f>
        <v>LIST</v>
      </c>
      <c r="E33" s="89" t="s">
        <v>101</v>
      </c>
      <c r="F33" s="199" t="str">
        <f>LIDER!$E$33</f>
        <v>GRUPO#5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HEILIN TATIANA BARRIOS CUADRADO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 t="str">
        <f>LIDER!E52</f>
        <v>VALERIE GARCIA MATUTE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PAULA ANDREA MANJARRES CORREA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YEMILY ALBANIS MARTINEZ JULIO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78</v>
      </c>
      <c r="C40" s="88" t="s">
        <v>106</v>
      </c>
      <c r="D40" s="32" t="str">
        <f>D33</f>
        <v>LIST</v>
      </c>
      <c r="E40" s="89" t="s">
        <v>101</v>
      </c>
      <c r="F40" s="199" t="str">
        <f>LIDER!$E$34</f>
        <v>GRUPO#6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YEN ENRIQUE GONZALEZ ORTIZ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 t="str">
        <f>LIDER!F52</f>
        <v>NEIDER CAMILO HIDALGO GUZMAN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MARTHA SUSANA LEON DE LAS AGUAS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MELIDA ISABEL MACIAS COA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 t="str">
        <f>LIDER!F55</f>
        <v>ANDREA CAROLINA MARTINEZ RUZ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 t="str">
        <f>LIDER!F56</f>
        <v>ARMANDO FABIO MIRANDA SIERRA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80</v>
      </c>
      <c r="C47" s="88" t="s">
        <v>107</v>
      </c>
      <c r="D47" s="32" t="str">
        <f>D40</f>
        <v>LIST</v>
      </c>
      <c r="E47" s="89" t="s">
        <v>101</v>
      </c>
      <c r="F47" s="199" t="str">
        <f>LIDER!$E$35</f>
        <v>GRUPO#7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JENNIFER JOHANNA ANGULO ARRIETA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 t="str">
        <f>LIDER!G52</f>
        <v>YAMILEISIS BOLAÑO GONZALEZ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NICOLL VALENTINA VILLALOBOS SARMIENTO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 t="str">
        <f>LIDER!G54</f>
        <v>NAVARRO CHAVEZ ANGELO ANDRES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 t="str">
        <f>LIDER!G55</f>
        <v>MONTERROSA ANGEL JESUS DAVID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 t="str">
        <f>LIDER!G56</f>
        <v>CRESPO PEREIRA SANTIAGO ALEJANDRO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82</v>
      </c>
      <c r="C54" s="88" t="s">
        <v>108</v>
      </c>
      <c r="D54" s="32" t="str">
        <f>D47</f>
        <v>LIST</v>
      </c>
      <c r="E54" s="89" t="s">
        <v>101</v>
      </c>
      <c r="F54" s="199" t="str">
        <f>LIDER!$E$36</f>
        <v>GRUPO#8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MARIA JOSE HERRERA DAZA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 t="str">
        <f>LIDER!H52</f>
        <v>ELIANA MARGARITA LAMBIS ALTAMAR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KEIVIN JESUS PEREZ BATISTA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 t="str">
        <f>LIDER!H54</f>
        <v>ANDRES FELIPE VALIENTE GONZALEZ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 t="str">
        <f>LIDER!H55</f>
        <v>NICOLAS ZUÑIGA ARANGO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 t="str">
        <f>LIDER!H56</f>
        <v>TAMARA GARCIA MARIA JOSE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84</v>
      </c>
      <c r="C61" s="88" t="s">
        <v>109</v>
      </c>
      <c r="D61" s="32" t="str">
        <f>D54</f>
        <v>LIST</v>
      </c>
      <c r="E61" s="89" t="s">
        <v>101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86</v>
      </c>
      <c r="C68" s="88" t="s">
        <v>110</v>
      </c>
      <c r="D68" s="32" t="str">
        <f>D61</f>
        <v>LIST</v>
      </c>
      <c r="E68" s="89" t="s">
        <v>101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88</v>
      </c>
      <c r="C75" s="88" t="s">
        <v>111</v>
      </c>
      <c r="D75" s="32" t="str">
        <f>D68</f>
        <v>LIST</v>
      </c>
      <c r="E75" s="89" t="s">
        <v>101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90</v>
      </c>
      <c r="C82" s="88" t="s">
        <v>112</v>
      </c>
      <c r="D82" s="32" t="str">
        <f>D75</f>
        <v>LIST</v>
      </c>
      <c r="E82" s="89" t="s">
        <v>101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LIDER!C4</f>
        <v>ELECTIVA LIBRE SOCIOHUMANÍS I</v>
      </c>
      <c r="C2" s="3"/>
      <c r="E2" s="210" t="s">
        <v>97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98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CONCATENATE(LIDER!C4," - ",LIDER!C6," - ",LIDER!C5)</f>
        <v>ELECTIVA LIBRE SOCIOHUMANÍS I - 2099 - ALBEIRO YESITH PÉREZ CHIQUILLO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68</v>
      </c>
      <c r="C5" s="32" t="str">
        <f>IF('S-ASIG-01'!D5="","",'S-ASIG-01'!D5)</f>
        <v>LIST</v>
      </c>
      <c r="D5" s="35" t="s">
        <v>101</v>
      </c>
      <c r="E5" s="213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EVELYN SHARY CHAVEZ ARRIETA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ANGELA ISABEL PÁJARO DE LA PEÑA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>
        <f>LIDER!E45</f>
        <v>0</v>
      </c>
      <c r="C8" s="33" t="str">
        <f>IF('S-ASIG-01'!D8="","",'S-ASIG-01'!D8)</f>
        <v/>
      </c>
      <c r="D8" s="30" t="str">
        <f>IF(B8=0,"",IF(C8="",$E$6*LIDER!$H$19+F8*LIDER!$H$20+G8*LIDER!$H$21+H8*LIDER!$H$22+I8*LIDER!$H$23+J8*LIDER!$H$24+K8*LIDER!$H$25,"N"))</f>
        <v/>
      </c>
      <c r="E8" s="20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IF('S-ASIG-01'!D9="","",'S-ASIG-01'!D9)</f>
        <v/>
      </c>
      <c r="D9" s="30" t="str">
        <f>IF(B9=0,"",IF(C9="",$E$6*LIDER!$H$19+F9*LIDER!$H$20+G9*LIDER!$H$21+H9*LIDER!$H$22+I9*LIDER!$H$23+J9*LIDER!$H$24+K9*LIDER!$H$25,"N"))</f>
        <v/>
      </c>
      <c r="E9" s="20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0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70</v>
      </c>
      <c r="C12" s="32" t="str">
        <f>IF('S-ASIG-01'!D12="","",'S-ASIG-01'!D12)</f>
        <v>LIST</v>
      </c>
      <c r="D12" s="35" t="s">
        <v>101</v>
      </c>
      <c r="E12" s="213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BAYRON BARON BELEÑO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LUIS FRANCISCO CANTILLO CANO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WILYER ANDRES RUIZ ROMERO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ROBERTO ENRIQUE VASQUEZ RAMBAUTH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0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72</v>
      </c>
      <c r="C19" s="32" t="str">
        <f>IF('S-ASIG-01'!D19="","",'S-ASIG-01'!D19)</f>
        <v>LIST</v>
      </c>
      <c r="D19" s="35" t="s">
        <v>101</v>
      </c>
      <c r="E19" s="213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MARIA CAMILA AGUDELO ORTIZ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LIZ ANDREA JIMENEZ THERAN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JUAN CAMILO MARTELO CASTRO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JOSE ANDRES PALENCIA CASTRO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0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VALENTINA TERAN DE AVILA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0</v>
      </c>
      <c r="E24" s="20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74</v>
      </c>
      <c r="C26" s="32" t="str">
        <f>IF('S-ASIG-01'!D26="","",'S-ASIG-01'!D26)</f>
        <v>LIST</v>
      </c>
      <c r="D26" s="35" t="s">
        <v>101</v>
      </c>
      <c r="E26" s="213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EMILY BARRIOS BENITEZ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NELDA SOFIA CASTILLO VILLA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BRENDIS VANESA HERRERA TEJEDOR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SOFIA DEL PILAR JULIO ROSSO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0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HEILEEN CAROLINA RUIZ RIVERO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0</v>
      </c>
      <c r="E31" s="20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76</v>
      </c>
      <c r="C33" s="32" t="str">
        <f>IF('S-ASIG-01'!D33="","",'S-ASIG-01'!D33)</f>
        <v>LIST</v>
      </c>
      <c r="D33" s="35" t="s">
        <v>101</v>
      </c>
      <c r="E33" s="213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HEILIN TATIANA BARRIOS CUADRADO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0</v>
      </c>
      <c r="E34" s="20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VALERIE GARCIA MATUTE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0</v>
      </c>
      <c r="E35" s="20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PAULA ANDREA MANJARRES CORREA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0</v>
      </c>
      <c r="E36" s="20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YEMILY ALBANIS MARTINEZ JULIO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0</v>
      </c>
      <c r="E37" s="20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IF('S-ASIG-01'!D40="","",'S-ASIG-01'!D40)</f>
        <v>LIST</v>
      </c>
      <c r="D40" s="35" t="s">
        <v>101</v>
      </c>
      <c r="E40" s="213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YEN ENRIQUE GONZALEZ ORTIZ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0</v>
      </c>
      <c r="E41" s="20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NEIDER CAMILO HIDALGO GUZMAN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0</v>
      </c>
      <c r="E42" s="20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MARTHA SUSANA LEON DE LAS AGUAS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0</v>
      </c>
      <c r="E43" s="20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MELIDA ISABEL MACIAS COA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0</v>
      </c>
      <c r="E44" s="20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ANDREA CAROLINA MARTINEZ RUZ</v>
      </c>
      <c r="C45" s="33" t="str">
        <f>IF('S-ASIG-01'!D45="","",'S-ASIG-01'!D45)</f>
        <v/>
      </c>
      <c r="D45" s="30">
        <f>IF(B45=0,"",IF(C45="",$E$41*LIDER!$H$19+F45*LIDER!$H$20+G45*LIDER!$H$21+H45*LIDER!$H$22+I45*LIDER!$H$23+J45*LIDER!$H$24+K45*LIDER!$H$25,"N"))</f>
        <v>0</v>
      </c>
      <c r="E45" s="20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>ARMANDO FABIO MIRANDA SIERRA</v>
      </c>
      <c r="C46" s="33" t="str">
        <f>IF('S-ASIG-01'!D46="","",'S-ASIG-01'!D46)</f>
        <v/>
      </c>
      <c r="D46" s="30">
        <f>IF(B46=0,"",IF(C46="",$E$41*LIDER!$H$19+F46*LIDER!$H$20+G46*LIDER!$H$21+H46*LIDER!$H$22+I46*LIDER!$H$23+J46*LIDER!$H$24+K46*LIDER!$H$25,"N"))</f>
        <v>0</v>
      </c>
      <c r="E46" s="20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80</v>
      </c>
      <c r="C47" s="32" t="str">
        <f>IF('S-ASIG-01'!D47="","",'S-ASIG-01'!D47)</f>
        <v>LIST</v>
      </c>
      <c r="D47" s="35" t="s">
        <v>101</v>
      </c>
      <c r="E47" s="213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JENNIFER JOHANNA ANGULO ARRIETA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0</v>
      </c>
      <c r="E48" s="20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YAMILEISIS BOLAÑO GONZALEZ</v>
      </c>
      <c r="C49" s="33" t="str">
        <f>IF('S-ASIG-01'!D49="","",'S-ASIG-01'!D49)</f>
        <v/>
      </c>
      <c r="D49" s="30">
        <f>IF(B49=0,"",IF(C49="",$E$48*LIDER!$H$19+F49*LIDER!$H$20+G49*LIDER!$H$21+H49*LIDER!$H$22+I49*LIDER!$H$23+J49*LIDER!$H$24+K49*LIDER!$H$25,"N"))</f>
        <v>0</v>
      </c>
      <c r="E49" s="20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NICOLL VALENTINA VILLALOBOS SARMIENTO</v>
      </c>
      <c r="C50" s="33" t="str">
        <f>IF('S-ASIG-01'!D50="","",'S-ASIG-01'!D50)</f>
        <v/>
      </c>
      <c r="D50" s="30">
        <f>IF(B50=0,"",IF(C50="",$E$48*LIDER!$H$19+F50*LIDER!$H$20+G50*LIDER!$H$21+H50*LIDER!$H$22+I50*LIDER!$H$23+J50*LIDER!$H$24+K50*LIDER!$H$25,"N"))</f>
        <v>0</v>
      </c>
      <c r="E50" s="20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NAVARRO CHAVEZ ANGELO ANDRES</v>
      </c>
      <c r="C51" s="33" t="str">
        <f>IF('S-ASIG-01'!D51="","",'S-ASIG-01'!D51)</f>
        <v/>
      </c>
      <c r="D51" s="30">
        <f>IF(B51=0,"",IF(C51="",$E$48*LIDER!$H$19+F51*LIDER!$H$20+G51*LIDER!$H$21+H51*LIDER!$H$22+I51*LIDER!$H$23+J51*LIDER!$H$24+K51*LIDER!$H$25,"N"))</f>
        <v>0</v>
      </c>
      <c r="E51" s="20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MONTERROSA ANGEL JESUS DAVID</v>
      </c>
      <c r="C52" s="33" t="str">
        <f>IF('S-ASIG-01'!D52="","",'S-ASIG-01'!D52)</f>
        <v/>
      </c>
      <c r="D52" s="30">
        <f>IF(B52=0,"",IF(C52="",$E$48*LIDER!$H$19+F52*LIDER!$H$20+G52*LIDER!$H$21+H52*LIDER!$H$22+I52*LIDER!$H$23+J52*LIDER!$H$24+K52*LIDER!$H$25,"N"))</f>
        <v>0</v>
      </c>
      <c r="E52" s="20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 t="str">
        <f>LIDER!G56</f>
        <v>CRESPO PEREIRA SANTIAGO ALEJANDRO</v>
      </c>
      <c r="C53" s="33" t="str">
        <f>IF('S-ASIG-01'!D53="","",'S-ASIG-01'!D53)</f>
        <v/>
      </c>
      <c r="D53" s="30">
        <f>IF(B53=0,"",IF(C53="",$E$48*LIDER!$H$19+F53*LIDER!$H$20+G53*LIDER!$H$21+H53*LIDER!$H$22+I53*LIDER!$H$23+J53*LIDER!$H$24+K53*LIDER!$H$25,"N"))</f>
        <v>0</v>
      </c>
      <c r="E53" s="20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IF('S-ASIG-01'!D54="","",'S-ASIG-01'!D54)</f>
        <v>LIST</v>
      </c>
      <c r="D54" s="35" t="s">
        <v>101</v>
      </c>
      <c r="E54" s="213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MARIA JOSE HERRERA DAZA</v>
      </c>
      <c r="C55" s="33" t="str">
        <f>IF('S-ASIG-01'!D55="","",'S-ASIG-01'!D55)</f>
        <v/>
      </c>
      <c r="D55" s="30">
        <f>IF(B55=0,"",IF(C55="",$E$55*LIDER!$H$19+F55*LIDER!$H$20+G55*LIDER!$H$21+H55*LIDER!$H$22+I55*LIDER!$H$23+J55*LIDER!$H$24+K55*LIDER!$H$25,"N"))</f>
        <v>0</v>
      </c>
      <c r="E55" s="20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ELIANA MARGARITA LAMBIS ALTAMAR</v>
      </c>
      <c r="C56" s="33" t="str">
        <f>IF('S-ASIG-01'!D56="","",'S-ASIG-01'!D56)</f>
        <v/>
      </c>
      <c r="D56" s="30">
        <f>IF(B56=0,"",IF(C56="",$E$55*LIDER!$H$19+F56*LIDER!$H$20+G56*LIDER!$H$21+H56*LIDER!$H$22+I56*LIDER!$H$23+J56*LIDER!$H$24+K56*LIDER!$H$25,"N"))</f>
        <v>0</v>
      </c>
      <c r="E56" s="20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KEIVIN JESUS PEREZ BATISTA</v>
      </c>
      <c r="C57" s="33" t="str">
        <f>IF('S-ASIG-01'!D57="","",'S-ASIG-01'!D57)</f>
        <v/>
      </c>
      <c r="D57" s="30">
        <f>IF(B57=0,"",IF(C57="",$E$55*LIDER!$H$19+F57*LIDER!$H$20+G57*LIDER!$H$21+H57*LIDER!$H$22+I57*LIDER!$H$23+J57*LIDER!$H$24+K57*LIDER!$H$25,"N"))</f>
        <v>0</v>
      </c>
      <c r="E57" s="20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ANDRES FELIPE VALIENTE GONZALEZ</v>
      </c>
      <c r="C58" s="33" t="str">
        <f>IF('S-ASIG-01'!D58="","",'S-ASIG-01'!D58)</f>
        <v/>
      </c>
      <c r="D58" s="30">
        <f>IF(B58=0,"",IF(C58="",$E$55*LIDER!$H$19+F58*LIDER!$H$20+G58*LIDER!$H$21+H58*LIDER!$H$22+I58*LIDER!$H$23+J58*LIDER!$H$24+K58*LIDER!$H$25,"N"))</f>
        <v>0</v>
      </c>
      <c r="E58" s="20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NICOLAS ZUÑIGA ARANGO</v>
      </c>
      <c r="C59" s="33" t="str">
        <f>IF('S-ASIG-01'!D59="","",'S-ASIG-01'!D59)</f>
        <v/>
      </c>
      <c r="D59" s="30">
        <f>IF(B59=0,"",IF(C59="",$E$55*LIDER!$H$19+F59*LIDER!$H$20+G59*LIDER!$H$21+H59*LIDER!$H$22+I59*LIDER!$H$23+J59*LIDER!$H$24+K59*LIDER!$H$25,"N"))</f>
        <v>0</v>
      </c>
      <c r="E59" s="20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TAMARA GARCIA MARIA JOSE</v>
      </c>
      <c r="C60" s="33" t="str">
        <f>IF('S-ASIG-01'!D60="","",'S-ASIG-01'!D60)</f>
        <v/>
      </c>
      <c r="D60" s="30">
        <f>IF(B60=0,"",IF(C60="",$E$55*LIDER!$H$19+F60*LIDER!$H$20+G60*LIDER!$H$21+H60*LIDER!$H$22+I60*LIDER!$H$23+J60*LIDER!$H$24+K60*LIDER!$H$25,"N"))</f>
        <v>0</v>
      </c>
      <c r="E60" s="20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IF('S-ASIG-01'!D61="","",'S-ASIG-01'!D61)</f>
        <v>LIST</v>
      </c>
      <c r="D61" s="35" t="s">
        <v>101</v>
      </c>
      <c r="E61" s="213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IF('S-ASIG-01'!D68="","",'S-ASIG-01'!D68)</f>
        <v>LIST</v>
      </c>
      <c r="D68" s="35" t="s">
        <v>101</v>
      </c>
      <c r="E68" s="213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IF('S-ASIG-01'!D75="","",'S-ASIG-01'!D75)</f>
        <v>LIST</v>
      </c>
      <c r="D75" s="35" t="s">
        <v>101</v>
      </c>
      <c r="E75" s="213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IF('S-ASIG-01'!D82="","",'S-ASIG-01'!D82)</f>
        <v>LIST</v>
      </c>
      <c r="D82" s="35" t="s">
        <v>101</v>
      </c>
      <c r="E82" s="213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4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8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LIDER!D4</f>
        <v>TALENTO HUMANO</v>
      </c>
      <c r="C2" s="3"/>
      <c r="E2" s="210" t="s">
        <v>97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98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CONCATENATE(LIDER!D4," - ",LIDER!D6," - ",LIDER!D5)</f>
        <v>TALENTO HUMANO - 2290 - ARIEL ALFONSO ACEVEDO GARZON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68</v>
      </c>
      <c r="C5" s="34" t="str">
        <f>IF('S-ASIG-02'!D5="","",'S-ASIG-02'!D5)</f>
        <v>LIST</v>
      </c>
      <c r="D5" s="35" t="s">
        <v>101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EVELYN SHARY CHAVEZ ARRIETA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ANGELA ISABEL PÁJARO DE LA PEÑA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>
        <f>LIDER!E45</f>
        <v>0</v>
      </c>
      <c r="C8" s="33" t="str">
        <f>IF('S-ASIG-02'!D8="","",'S-ASIG-02'!D8)</f>
        <v/>
      </c>
      <c r="D8" s="30" t="str">
        <f>IF(B8=0,"",IF(C8="",$E$6*LIDER!$H$19+F8*LIDER!$H$20+G8*LIDER!$H$21+H8*LIDER!$H$22+I8*LIDER!$H$23+J8*LIDER!$H$24+K8*LIDER!$H$25,"N"))</f>
        <v/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IF('S-ASIG-02'!D9="","",'S-ASIG-02'!D9)</f>
        <v/>
      </c>
      <c r="D9" s="30" t="str">
        <f>IF(B9=0,"",IF(C9="",$E$6*LIDER!$H$19+F9*LIDER!$H$20+G9*LIDER!$H$21+H9*LIDER!$H$22+I9*LIDER!$H$23+J9*LIDER!$H$24+K9*LIDER!$H$25,"N"))</f>
        <v/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70</v>
      </c>
      <c r="C12" s="32" t="str">
        <f>IF('S-ASIG-02'!D12="","",'S-ASIG-02'!D12)</f>
        <v>LIST</v>
      </c>
      <c r="D12" s="35" t="s">
        <v>101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BAYRON BARON BELEÑO</v>
      </c>
      <c r="C13" s="33" t="str">
        <f>IF('S-ASIG-02'!D13="","",'S-ASIG-02'!D13)</f>
        <v>N</v>
      </c>
      <c r="D13" s="30" t="str">
        <f>IF(B13=0,"",IF(C13="",$E$13*LIDER!$H$19+F13*LIDER!$H$20+G13*LIDER!$H$21+H13*LIDER!$H$22+I13*LIDER!$H$23+J13*LIDER!$H$24+K13*LIDER!$H$25,"N"))</f>
        <v>N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LUIS FRANCISCO CANTILLO CANO</v>
      </c>
      <c r="C14" s="33" t="str">
        <f>IF('S-ASIG-02'!D14="","",'S-ASIG-02'!D14)</f>
        <v>N</v>
      </c>
      <c r="D14" s="30" t="str">
        <f>IF(B14=0,"",IF(C14="",$E$13*LIDER!$H$19+F14*LIDER!$H$20+G14*LIDER!$H$21+H14*LIDER!$H$22+I14*LIDER!$H$23+J14*LIDER!$H$24+K14*LIDER!$H$25,"N"))</f>
        <v>N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WILYER ANDRES RUIZ ROMERO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ROBERTO ENRIQUE VASQUEZ RAMBAUTH</v>
      </c>
      <c r="C16" s="33" t="str">
        <f>IF('S-ASIG-02'!D16="","",'S-ASIG-02'!D16)</f>
        <v>N</v>
      </c>
      <c r="D16" s="30" t="str">
        <f>IF(B16=0,"",IF(C16="",$E$13*LIDER!$H$19+F16*LIDER!$H$20+G16*LIDER!$H$21+H16*LIDER!$H$22+I16*LIDER!$H$23+J16*LIDER!$H$24+K16*LIDER!$H$25,"N"))</f>
        <v>N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72</v>
      </c>
      <c r="C19" s="32" t="str">
        <f>IF('S-ASIG-02'!D19="","",'S-ASIG-02'!D19)</f>
        <v>LIST</v>
      </c>
      <c r="D19" s="35" t="s">
        <v>101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MARIA CAMILA AGUDELO ORTIZ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LIZ ANDREA JIMENEZ THERAN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JUAN CAMILO MARTELO CASTRO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JOSE ANDRES PALENCIA CASTRO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VALENTINA TERAN DE AVILA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74</v>
      </c>
      <c r="C26" s="32" t="str">
        <f>IF('S-ASIG-02'!D26="","",'S-ASIG-02'!D26)</f>
        <v>LIST</v>
      </c>
      <c r="D26" s="35" t="s">
        <v>101</v>
      </c>
      <c r="E26" s="199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EMILY BARRIOS BENITEZ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NELDA SOFIA CASTILLO VILLA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BRENDIS VANESA HERRERA TEJEDOR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SOFIA DEL PILAR JULIO ROSSO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HEILEEN CAROLINA RUIZ RIVERO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76</v>
      </c>
      <c r="C33" s="32" t="str">
        <f>IF('S-ASIG-02'!D33="","",'S-ASIG-02'!D33)</f>
        <v>LIST</v>
      </c>
      <c r="D33" s="35" t="s">
        <v>101</v>
      </c>
      <c r="E33" s="199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HEILIN TATIANA BARRIOS CUADRADO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VALERIE GARCIA MATUTE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PAULA ANDREA MANJARRES CORREA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YEMILY ALBANIS MARTINEZ JULIO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IF('S-ASIG-02'!D40="","",'S-ASIG-02'!D40)</f>
        <v>LIST</v>
      </c>
      <c r="D40" s="35" t="s">
        <v>101</v>
      </c>
      <c r="E40" s="199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YEN ENRIQUE GONZALEZ ORTIZ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NEIDER CAMILO HIDALGO GUZMAN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MARTHA SUSANA LEON DE LAS AGUAS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MELIDA ISABEL MACIAS COA</v>
      </c>
      <c r="C44" s="33" t="str">
        <f>IF('S-ASIG-02'!D44="","",'S-ASIG-02'!D44)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ANDREA CAROLINA MARTINEZ RUZ</v>
      </c>
      <c r="C45" s="33" t="str">
        <f>IF('S-ASIG-02'!D45="","",'S-ASIG-02'!D45)</f>
        <v/>
      </c>
      <c r="D45" s="30">
        <f>IF(B45=0,"",IF(C45="",$E$41*LIDER!$H$19+F45*LIDER!$H$20+G45*LIDER!$H$21+H45*LIDER!$H$22+I45*LIDER!$H$23+J45*LIDER!$H$24+K45*LIDER!$H$25,"N"))</f>
        <v>0</v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>ARMANDO FABIO MIRANDA SIERRA</v>
      </c>
      <c r="C46" s="33" t="str">
        <f>IF('S-ASIG-02'!D46="","",'S-ASIG-02'!D46)</f>
        <v/>
      </c>
      <c r="D46" s="30">
        <f>IF(B46=0,"",IF(C46="",$E$41*LIDER!$H$19+F46*LIDER!$H$20+G46*LIDER!$H$21+H46*LIDER!$H$22+I46*LIDER!$H$23+J46*LIDER!$H$24+K46*LIDER!$H$25,"N"))</f>
        <v>0</v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80</v>
      </c>
      <c r="C47" s="32" t="str">
        <f>IF('S-ASIG-02'!D47="","",'S-ASIG-02'!D47)</f>
        <v>LIST</v>
      </c>
      <c r="D47" s="35" t="s">
        <v>101</v>
      </c>
      <c r="E47" s="199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JENNIFER JOHANNA ANGULO ARRIETA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YAMILEISIS BOLAÑO GONZALEZ</v>
      </c>
      <c r="C49" s="33" t="str">
        <f>IF('S-ASIG-02'!D49="","",'S-ASIG-02'!D49)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NICOLL VALENTINA VILLALOBOS SARMIENTO</v>
      </c>
      <c r="C50" s="33" t="str">
        <f>IF('S-ASIG-02'!D50="","",'S-ASIG-02'!D50)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NAVARRO CHAVEZ ANGELO ANDRES</v>
      </c>
      <c r="C51" s="33" t="str">
        <f>IF('S-ASIG-02'!D51="","",'S-ASIG-02'!D51)</f>
        <v/>
      </c>
      <c r="D51" s="30">
        <f>IF(B51=0,"",IF(C51="",$E$48*LIDER!$H$19+F51*LIDER!$H$20+G51*LIDER!$H$21+H51*LIDER!$H$22+I51*LIDER!$H$23+J51*LIDER!$H$24+K51*LIDER!$H$25,"N"))</f>
        <v>0</v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MONTERROSA ANGEL JESUS DAVID</v>
      </c>
      <c r="C52" s="33" t="str">
        <f>IF('S-ASIG-02'!D52="","",'S-ASIG-02'!D52)</f>
        <v/>
      </c>
      <c r="D52" s="30">
        <f>IF(B52=0,"",IF(C52="",$E$48*LIDER!$H$19+F52*LIDER!$H$20+G52*LIDER!$H$21+H52*LIDER!$H$22+I52*LIDER!$H$23+J52*LIDER!$H$24+K52*LIDER!$H$25,"N"))</f>
        <v>0</v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 t="str">
        <f>LIDER!G56</f>
        <v>CRESPO PEREIRA SANTIAGO ALEJANDRO</v>
      </c>
      <c r="C53" s="33" t="str">
        <f>IF('S-ASIG-02'!D53="","",'S-ASIG-02'!D53)</f>
        <v/>
      </c>
      <c r="D53" s="30">
        <f>IF(B53=0,"",IF(C53="",$E$48*LIDER!$H$19+F53*LIDER!$H$20+G53*LIDER!$H$21+H53*LIDER!$H$22+I53*LIDER!$H$23+J53*LIDER!$H$24+K53*LIDER!$H$25,"N"))</f>
        <v>0</v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IF('S-ASIG-02'!D54="","",'S-ASIG-02'!D54)</f>
        <v>LIST</v>
      </c>
      <c r="D54" s="35" t="s">
        <v>101</v>
      </c>
      <c r="E54" s="199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MARIA JOSE HERRERA DAZA</v>
      </c>
      <c r="C55" s="33" t="str">
        <f>IF('S-ASIG-02'!D55="","",'S-ASIG-02'!D55)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ELIANA MARGARITA LAMBIS ALTAMAR</v>
      </c>
      <c r="C56" s="33" t="str">
        <f>IF('S-ASIG-02'!D56="","",'S-ASIG-02'!D56)</f>
        <v>N</v>
      </c>
      <c r="D56" s="30" t="str">
        <f>IF(B56=0,"",IF(C56="",$E$55*LIDER!$H$19+F56*LIDER!$H$20+G56*LIDER!$H$21+H56*LIDER!$H$22+I56*LIDER!$H$23+J56*LIDER!$H$24+K56*LIDER!$H$25,"N"))</f>
        <v>N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KEIVIN JESUS PEREZ BATISTA</v>
      </c>
      <c r="C57" s="33" t="str">
        <f>IF('S-ASIG-02'!D57="","",'S-ASIG-02'!D57)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ANDRES FELIPE VALIENTE GONZALEZ</v>
      </c>
      <c r="C58" s="33" t="str">
        <f>IF('S-ASIG-02'!D58="","",'S-ASIG-02'!D58)</f>
        <v/>
      </c>
      <c r="D58" s="30">
        <f>IF(B58=0,"",IF(C58="",$E$55*LIDER!$H$19+F58*LIDER!$H$20+G58*LIDER!$H$21+H58*LIDER!$H$22+I58*LIDER!$H$23+J58*LIDER!$H$24+K58*LIDER!$H$25,"N"))</f>
        <v>0</v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NICOLAS ZUÑIGA ARANGO</v>
      </c>
      <c r="C59" s="33" t="str">
        <f>IF('S-ASIG-02'!D59="","",'S-ASIG-02'!D59)</f>
        <v>N</v>
      </c>
      <c r="D59" s="30" t="str">
        <f>IF(B59=0,"",IF(C59="",$E$55*LIDER!$H$19+F59*LIDER!$H$20+G59*LIDER!$H$21+H59*LIDER!$H$22+I59*LIDER!$H$23+J59*LIDER!$H$24+K59*LIDER!$H$25,"N"))</f>
        <v>N</v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TAMARA GARCIA MARIA JOSE</v>
      </c>
      <c r="C60" s="33" t="str">
        <f>IF('S-ASIG-02'!D60="","",'S-ASIG-02'!D60)</f>
        <v>N</v>
      </c>
      <c r="D60" s="30" t="str">
        <f>IF(B60=0,"",IF(C60="",$E$55*LIDER!$H$19+F60*LIDER!$H$20+G60*LIDER!$H$21+H60*LIDER!$H$22+I60*LIDER!$H$23+J60*LIDER!$H$24+K60*LIDER!$H$25,"N"))</f>
        <v>N</v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IF('S-ASIG-02'!D61="","",'S-ASIG-02'!D61)</f>
        <v>LIST</v>
      </c>
      <c r="D61" s="35" t="s">
        <v>101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IF('S-ASIG-02'!D68="","",'S-ASIG-02'!D68)</f>
        <v>LIST</v>
      </c>
      <c r="D68" s="35" t="s">
        <v>101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IF('S-ASIG-02'!D75="","",'S-ASIG-02'!D75)</f>
        <v>LIST</v>
      </c>
      <c r="D75" s="35" t="s">
        <v>101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IF('S-ASIG-02'!D82="","",'S-ASIG-02'!D82)</f>
        <v>LIST</v>
      </c>
      <c r="D82" s="35" t="s">
        <v>101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108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LIDER!E4</f>
        <v>ELECTIVA DE PROFUNDIZACION II</v>
      </c>
      <c r="C2" s="3"/>
      <c r="E2" s="210" t="s">
        <v>97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98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CONCATENATE(LIDER!E4," - ",LIDER!E6," - ",LIDER!E5)</f>
        <v>ELECTIVA DE PROFUNDIZACION II - 3346 - JEYSSON STEEVEN ANILLO CARRANZA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68</v>
      </c>
      <c r="C5" s="34" t="str">
        <f>IF('S-ASIG-03'!D5="","",'S-ASIG-03'!D5)</f>
        <v>LIST</v>
      </c>
      <c r="D5" s="35" t="s">
        <v>101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EVELYN SHARY CHAVEZ ARRIETA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ANGELA ISABEL PÁJARO DE LA PEÑA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>
        <f>LIDER!E45</f>
        <v>0</v>
      </c>
      <c r="C8" s="33" t="str">
        <f>IF('S-ASIG-03'!D8="","",'S-ASIG-03'!D8)</f>
        <v/>
      </c>
      <c r="D8" s="30" t="str">
        <f>IF(B8=0,"",IF(C8="",$E$6*LIDER!$H$19+F8*LIDER!$H$20+G8*LIDER!$H$21+H8*LIDER!$H$22+I8*LIDER!$H$23+J8*LIDER!$H$24+K8*LIDER!$H$25,"N"))</f>
        <v/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IF('S-ASIG-03'!D9="","",'S-ASIG-03'!D9)</f>
        <v/>
      </c>
      <c r="D9" s="30" t="str">
        <f>IF(B9=0,"",IF(C9="",$E$6*LIDER!$H$19+F9*LIDER!$H$20+G9*LIDER!$H$21+H9*LIDER!$H$22+I9*LIDER!$H$23+J9*LIDER!$H$24+K9*LIDER!$H$25,"N"))</f>
        <v/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70</v>
      </c>
      <c r="C12" s="32" t="str">
        <f>IF('S-ASIG-03'!D12="","",'S-ASIG-03'!D12)</f>
        <v>LIST</v>
      </c>
      <c r="D12" s="35" t="s">
        <v>101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BAYRON BARON BELEÑO</v>
      </c>
      <c r="C13" s="33" t="str">
        <f>IF('S-ASIG-03'!D13="","",'S-ASIG-03'!D13)</f>
        <v>N</v>
      </c>
      <c r="D13" s="30" t="str">
        <f>IF(B13=0,"",IF(C13="",$E$13*LIDER!$H$19+F13*LIDER!$H$20+G13*LIDER!$H$21+H13*LIDER!$H$22+I13*LIDER!$H$23+J13*LIDER!$H$24+K13*LIDER!$H$25,"N"))</f>
        <v>N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LUIS FRANCISCO CANTILLO CANO</v>
      </c>
      <c r="C14" s="33" t="str">
        <f>IF('S-ASIG-03'!D14="","",'S-ASIG-03'!D14)</f>
        <v>N</v>
      </c>
      <c r="D14" s="30" t="str">
        <f>IF(B14=0,"",IF(C14="",$E$13*LIDER!$H$19+F14*LIDER!$H$20+G14*LIDER!$H$21+H14*LIDER!$H$22+I14*LIDER!$H$23+J14*LIDER!$H$24+K14*LIDER!$H$25,"N"))</f>
        <v>N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WILYER ANDRES RUIZ ROMERO</v>
      </c>
      <c r="C15" s="33" t="str">
        <f>IF('S-ASIG-03'!D15="","",'S-ASIG-03'!D15)</f>
        <v>N</v>
      </c>
      <c r="D15" s="30" t="str">
        <f>IF(B15=0,"",IF(C15="",$E$13*LIDER!$H$19+F15*LIDER!$H$20+G15*LIDER!$H$21+H15*LIDER!$H$22+I15*LIDER!$H$23+J15*LIDER!$H$24+K15*LIDER!$H$25,"N"))</f>
        <v>N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ROBERTO ENRIQUE VASQUEZ RAMBAUTH</v>
      </c>
      <c r="C16" s="33" t="str">
        <f>IF('S-ASIG-03'!D16="","",'S-ASIG-03'!D16)</f>
        <v>N</v>
      </c>
      <c r="D16" s="30" t="str">
        <f>IF(B16=0,"",IF(C16="",$E$13*LIDER!$H$19+F16*LIDER!$H$20+G16*LIDER!$H$21+H16*LIDER!$H$22+I16*LIDER!$H$23+J16*LIDER!$H$24+K16*LIDER!$H$25,"N"))</f>
        <v>N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72</v>
      </c>
      <c r="C19" s="32" t="str">
        <f>IF('S-ASIG-03'!D19="","",'S-ASIG-03'!D19)</f>
        <v>LIST</v>
      </c>
      <c r="D19" s="35" t="s">
        <v>101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MARIA CAMILA AGUDELO ORTIZ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LIZ ANDREA JIMENEZ THERAN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JUAN CAMILO MARTELO CASTRO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JOSE ANDRES PALENCIA CASTRO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VALENTINA TERAN DE AVILA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74</v>
      </c>
      <c r="C26" s="32" t="str">
        <f>IF('S-ASIG-03'!D26="","",'S-ASIG-03'!D26)</f>
        <v>LIST</v>
      </c>
      <c r="D26" s="35" t="s">
        <v>101</v>
      </c>
      <c r="E26" s="199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EMILY BARRIOS BENITEZ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NELDA SOFIA CASTILLO VILLA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BRENDIS VANESA HERRERA TEJEDOR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SOFIA DEL PILAR JULIO ROSSO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HEILEEN CAROLINA RUIZ RIVERO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76</v>
      </c>
      <c r="C33" s="32" t="str">
        <f>IF('S-ASIG-03'!D33="","",'S-ASIG-03'!D33)</f>
        <v>LIST</v>
      </c>
      <c r="D33" s="35" t="s">
        <v>101</v>
      </c>
      <c r="E33" s="199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HEILIN TATIANA BARRIOS CUADRADO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VALERIE GARCIA MATUTE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PAULA ANDREA MANJARRES CORREA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YEMILY ALBANIS MARTINEZ JULIO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IF('S-ASIG-03'!D40="","",'S-ASIG-03'!D40)</f>
        <v>LIST</v>
      </c>
      <c r="D40" s="35" t="s">
        <v>101</v>
      </c>
      <c r="E40" s="199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YEN ENRIQUE GONZALEZ ORTIZ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NEIDER CAMILO HIDALGO GUZMAN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MARTHA SUSANA LEON DE LAS AGUAS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MELIDA ISABEL MACIAS COA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ANDREA CAROLINA MARTINEZ RUZ</v>
      </c>
      <c r="C45" s="33" t="str">
        <f>IF('S-ASIG-03'!D45="","",'S-ASIG-03'!D45)</f>
        <v/>
      </c>
      <c r="D45" s="30">
        <f>IF(B45=0,"",IF(C45="",$E$41*LIDER!$H$19+F45*LIDER!$H$20+G45*LIDER!$H$21+H45*LIDER!$H$22+I45*LIDER!$H$23+J45*LIDER!$H$24+K45*LIDER!$H$25,"N"))</f>
        <v>0</v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>ARMANDO FABIO MIRANDA SIERRA</v>
      </c>
      <c r="C46" s="33" t="str">
        <f>IF('S-ASIG-03'!D46="","",'S-ASIG-03'!D46)</f>
        <v/>
      </c>
      <c r="D46" s="30">
        <f>IF(B46=0,"",IF(C46="",$E$41*LIDER!$H$19+F46*LIDER!$H$20+G46*LIDER!$H$21+H46*LIDER!$H$22+I46*LIDER!$H$23+J46*LIDER!$H$24+K46*LIDER!$H$25,"N"))</f>
        <v>0</v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80</v>
      </c>
      <c r="C47" s="32" t="str">
        <f>IF('S-ASIG-03'!D47="","",'S-ASIG-03'!D47)</f>
        <v>LIST</v>
      </c>
      <c r="D47" s="35" t="s">
        <v>101</v>
      </c>
      <c r="E47" s="199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JENNIFER JOHANNA ANGULO ARRIETA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YAMILEISIS BOLAÑO GONZALEZ</v>
      </c>
      <c r="C49" s="33" t="str">
        <f>IF('S-ASIG-03'!D49="","",'S-ASIG-03'!D49)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NICOLL VALENTINA VILLALOBOS SARMIENTO</v>
      </c>
      <c r="C50" s="33" t="str">
        <f>IF('S-ASIG-03'!D50="","",'S-ASIG-03'!D50)</f>
        <v>N</v>
      </c>
      <c r="D50" s="30" t="str">
        <f>IF(B50=0,"",IF(C50="",$E$48*LIDER!$H$19+F50*LIDER!$H$20+G50*LIDER!$H$21+H50*LIDER!$H$22+I50*LIDER!$H$23+J50*LIDER!$H$24+K50*LIDER!$H$25,"N"))</f>
        <v>N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NAVARRO CHAVEZ ANGELO ANDRES</v>
      </c>
      <c r="C51" s="33" t="str">
        <f>IF('S-ASIG-03'!D51="","",'S-ASIG-03'!D51)</f>
        <v/>
      </c>
      <c r="D51" s="30">
        <f>IF(B51=0,"",IF(C51="",$E$48*LIDER!$H$19+F51*LIDER!$H$20+G51*LIDER!$H$21+H51*LIDER!$H$22+I51*LIDER!$H$23+J51*LIDER!$H$24+K51*LIDER!$H$25,"N"))</f>
        <v>0</v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MONTERROSA ANGEL JESUS DAVID</v>
      </c>
      <c r="C52" s="33" t="str">
        <f>IF('S-ASIG-03'!D52="","",'S-ASIG-03'!D52)</f>
        <v/>
      </c>
      <c r="D52" s="30">
        <f>IF(B52=0,"",IF(C52="",$E$48*LIDER!$H$19+F52*LIDER!$H$20+G52*LIDER!$H$21+H52*LIDER!$H$22+I52*LIDER!$H$23+J52*LIDER!$H$24+K52*LIDER!$H$25,"N"))</f>
        <v>0</v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 t="str">
        <f>LIDER!G56</f>
        <v>CRESPO PEREIRA SANTIAGO ALEJANDRO</v>
      </c>
      <c r="C53" s="33" t="str">
        <f>IF('S-ASIG-03'!D53="","",'S-ASIG-03'!D53)</f>
        <v/>
      </c>
      <c r="D53" s="30">
        <f>IF(B53=0,"",IF(C53="",$E$48*LIDER!$H$19+F53*LIDER!$H$20+G53*LIDER!$H$21+H53*LIDER!$H$22+I53*LIDER!$H$23+J53*LIDER!$H$24+K53*LIDER!$H$25,"N"))</f>
        <v>0</v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IF('S-ASIG-03'!D54="","",'S-ASIG-03'!D54)</f>
        <v>LIST</v>
      </c>
      <c r="D54" s="35" t="s">
        <v>101</v>
      </c>
      <c r="E54" s="199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MARIA JOSE HERRERA DAZA</v>
      </c>
      <c r="C55" s="33" t="str">
        <f>IF('S-ASIG-03'!D55="","",'S-ASIG-03'!D55)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ELIANA MARGARITA LAMBIS ALTAMAR</v>
      </c>
      <c r="C56" s="33" t="str">
        <f>IF('S-ASIG-03'!D56="","",'S-ASIG-03'!D56)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KEIVIN JESUS PEREZ BATISTA</v>
      </c>
      <c r="C57" s="33" t="str">
        <f>IF('S-ASIG-03'!D57="","",'S-ASIG-03'!D57)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ANDRES FELIPE VALIENTE GONZALEZ</v>
      </c>
      <c r="C58" s="33" t="str">
        <f>IF('S-ASIG-03'!D58="","",'S-ASIG-03'!D58)</f>
        <v/>
      </c>
      <c r="D58" s="30">
        <f>IF(B58=0,"",IF(C58="",$E$55*LIDER!$H$19+F58*LIDER!$H$20+G58*LIDER!$H$21+H58*LIDER!$H$22+I58*LIDER!$H$23+J58*LIDER!$H$24+K58*LIDER!$H$25,"N"))</f>
        <v>0</v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NICOLAS ZUÑIGA ARANGO</v>
      </c>
      <c r="C59" s="33" t="str">
        <f>IF('S-ASIG-03'!D59="","",'S-ASIG-03'!D59)</f>
        <v/>
      </c>
      <c r="D59" s="30">
        <f>IF(B59=0,"",IF(C59="",$E$55*LIDER!$H$19+F59*LIDER!$H$20+G59*LIDER!$H$21+H59*LIDER!$H$22+I59*LIDER!$H$23+J59*LIDER!$H$24+K59*LIDER!$H$25,"N"))</f>
        <v>0</v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TAMARA GARCIA MARIA JOSE</v>
      </c>
      <c r="C60" s="33" t="str">
        <f>IF('S-ASIG-03'!D60="","",'S-ASIG-03'!D60)</f>
        <v>N</v>
      </c>
      <c r="D60" s="30" t="str">
        <f>IF(B60=0,"",IF(C60="",$E$55*LIDER!$H$19+F60*LIDER!$H$20+G60*LIDER!$H$21+H60*LIDER!$H$22+I60*LIDER!$H$23+J60*LIDER!$H$24+K60*LIDER!$H$25,"N"))</f>
        <v>N</v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IF('S-ASIG-03'!D61="","",'S-ASIG-03'!D61)</f>
        <v>LIST</v>
      </c>
      <c r="D61" s="35" t="s">
        <v>101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IF('S-ASIG-03'!D68="","",'S-ASIG-03'!D68)</f>
        <v>LIST</v>
      </c>
      <c r="D68" s="35" t="s">
        <v>101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IF('S-ASIG-03'!D75="","",'S-ASIG-03'!D75)</f>
        <v>LIST</v>
      </c>
      <c r="D75" s="35" t="s">
        <v>101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IF('S-ASIG-03'!D82="","",'S-ASIG-03'!D82)</f>
        <v>LIST</v>
      </c>
      <c r="D82" s="35" t="s">
        <v>101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LIDER!F4</f>
        <v>MARKETING INTERNACIONAL</v>
      </c>
      <c r="C2" s="3"/>
      <c r="E2" s="210" t="s">
        <v>97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98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CONCATENATE(LIDER!F4," - ",LIDER!F6," - ",LIDER!F5)</f>
        <v>MARKETING INTERNACIONAL - 1379 - SABY CRISTINA MARRUGO CASTAÑO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68</v>
      </c>
      <c r="C5" s="34" t="str">
        <f>IF('S-ASIG-04'!D5="","",'S-ASIG-04'!D5)</f>
        <v>LIST</v>
      </c>
      <c r="D5" s="35" t="s">
        <v>101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EVELYN SHARY CHAVEZ ARRIETA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ANGELA ISABEL PÁJARO DE LA PEÑA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>
        <f>LIDER!E45</f>
        <v>0</v>
      </c>
      <c r="C8" s="33" t="str">
        <f>IF('S-ASIG-04'!D8="","",'S-ASIG-04'!D8)</f>
        <v/>
      </c>
      <c r="D8" s="30" t="str">
        <f>IF(B8=0,"",IF(C8="",$E$6*LIDER!$H$19+F8*LIDER!$H$20+G8*LIDER!$H$21+H8*LIDER!$H$22+I8*LIDER!$H$23+J8*LIDER!$H$24+K8*LIDER!$H$25,"N"))</f>
        <v/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IF('S-ASIG-04'!D9="","",'S-ASIG-04'!D9)</f>
        <v/>
      </c>
      <c r="D9" s="30" t="str">
        <f>IF(B9=0,"",IF(C9="",$E$6*LIDER!$H$19+F9*LIDER!$H$20+G9*LIDER!$H$21+H9*LIDER!$H$22+I9*LIDER!$H$23+J9*LIDER!$H$24+K9*LIDER!$H$25,"N"))</f>
        <v/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70</v>
      </c>
      <c r="C12" s="32" t="str">
        <f>IF('S-ASIG-04'!D12="","",'S-ASIG-04'!D12)</f>
        <v>LIST</v>
      </c>
      <c r="D12" s="35" t="s">
        <v>101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BAYRON BARON BELEÑO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LUIS FRANCISCO CANTILLO CANO</v>
      </c>
      <c r="C14" s="33" t="str">
        <f>IF('S-ASIG-04'!D14="","",'S-ASIG-04'!D14)</f>
        <v>N</v>
      </c>
      <c r="D14" s="30" t="str">
        <f>IF(B14=0,"",IF(C14="",$E$13*LIDER!$H$19+F14*LIDER!$H$20+G14*LIDER!$H$21+H14*LIDER!$H$22+I14*LIDER!$H$23+J14*LIDER!$H$24+K14*LIDER!$H$25,"N"))</f>
        <v>N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WILYER ANDRES RUIZ ROMERO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ROBERTO ENRIQUE VASQUEZ RAMBAUTH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72</v>
      </c>
      <c r="C19" s="32" t="str">
        <f>IF('S-ASIG-04'!D19="","",'S-ASIG-04'!D19)</f>
        <v>LIST</v>
      </c>
      <c r="D19" s="35" t="s">
        <v>101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MARIA CAMILA AGUDELO ORTIZ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LIZ ANDREA JIMENEZ THERAN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JUAN CAMILO MARTELO CASTRO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JOSE ANDRES PALENCIA CASTRO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VALENTINA TERAN DE AVILA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74</v>
      </c>
      <c r="C26" s="32" t="str">
        <f>IF('S-ASIG-04'!D26="","",'S-ASIG-04'!D26)</f>
        <v>LIST</v>
      </c>
      <c r="D26" s="35" t="s">
        <v>101</v>
      </c>
      <c r="E26" s="199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EMILY BARRIOS BENITEZ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NELDA SOFIA CASTILLO VILLA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BRENDIS VANESA HERRERA TEJEDOR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SOFIA DEL PILAR JULIO ROSSO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HEILEEN CAROLINA RUIZ RIVERO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76</v>
      </c>
      <c r="C33" s="32" t="str">
        <f>IF('S-ASIG-04'!D33="","",'S-ASIG-04'!D33)</f>
        <v>LIST</v>
      </c>
      <c r="D33" s="35" t="s">
        <v>101</v>
      </c>
      <c r="E33" s="199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HEILIN TATIANA BARRIOS CUADRADO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VALERIE GARCIA MATUTE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PAULA ANDREA MANJARRES CORREA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YEMILY ALBANIS MARTINEZ JULIO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IF('S-ASIG-04'!D40="","",'S-ASIG-04'!D40)</f>
        <v>LIST</v>
      </c>
      <c r="D40" s="35" t="s">
        <v>101</v>
      </c>
      <c r="E40" s="199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YEN ENRIQUE GONZALEZ ORTIZ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NEIDER CAMILO HIDALGO GUZMAN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MARTHA SUSANA LEON DE LAS AGUAS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MELIDA ISABEL MACIAS COA</v>
      </c>
      <c r="C44" s="33" t="str">
        <f>IF('S-ASIG-04'!D44="","",'S-ASIG-04'!D44)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ANDREA CAROLINA MARTINEZ RUZ</v>
      </c>
      <c r="C45" s="33" t="str">
        <f>IF('S-ASIG-04'!D45="","",'S-ASIG-04'!D45)</f>
        <v/>
      </c>
      <c r="D45" s="30">
        <f>IF(B45=0,"",IF(C45="",$E$41*LIDER!$H$19+F45*LIDER!$H$20+G45*LIDER!$H$21+H45*LIDER!$H$22+I45*LIDER!$H$23+J45*LIDER!$H$24+K45*LIDER!$H$25,"N"))</f>
        <v>0</v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>ARMANDO FABIO MIRANDA SIERRA</v>
      </c>
      <c r="C46" s="33" t="str">
        <f>IF('S-ASIG-04'!D46="","",'S-ASIG-04'!D46)</f>
        <v/>
      </c>
      <c r="D46" s="30">
        <f>IF(B46=0,"",IF(C46="",$E$41*LIDER!$H$19+F46*LIDER!$H$20+G46*LIDER!$H$21+H46*LIDER!$H$22+I46*LIDER!$H$23+J46*LIDER!$H$24+K46*LIDER!$H$25,"N"))</f>
        <v>0</v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80</v>
      </c>
      <c r="C47" s="32" t="str">
        <f>IF('S-ASIG-04'!D47="","",'S-ASIG-04'!D47)</f>
        <v>LIST</v>
      </c>
      <c r="D47" s="35" t="s">
        <v>101</v>
      </c>
      <c r="E47" s="199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JENNIFER JOHANNA ANGULO ARRIETA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YAMILEISIS BOLAÑO GONZALEZ</v>
      </c>
      <c r="C49" s="33" t="str">
        <f>IF('S-ASIG-04'!D49="","",'S-ASIG-04'!D49)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NICOLL VALENTINA VILLALOBOS SARMIENTO</v>
      </c>
      <c r="C50" s="33" t="str">
        <f>IF('S-ASIG-04'!D50="","",'S-ASIG-04'!D50)</f>
        <v>N</v>
      </c>
      <c r="D50" s="30" t="str">
        <f>IF(B50=0,"",IF(C50="",$E$48*LIDER!$H$19+F50*LIDER!$H$20+G50*LIDER!$H$21+H50*LIDER!$H$22+I50*LIDER!$H$23+J50*LIDER!$H$24+K50*LIDER!$H$25,"N"))</f>
        <v>N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NAVARRO CHAVEZ ANGELO ANDRES</v>
      </c>
      <c r="C51" s="33" t="str">
        <f>IF('S-ASIG-04'!D51="","",'S-ASIG-04'!D51)</f>
        <v/>
      </c>
      <c r="D51" s="30">
        <f>IF(B51=0,"",IF(C51="",$E$48*LIDER!$H$19+F51*LIDER!$H$20+G51*LIDER!$H$21+H51*LIDER!$H$22+I51*LIDER!$H$23+J51*LIDER!$H$24+K51*LIDER!$H$25,"N"))</f>
        <v>0</v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MONTERROSA ANGEL JESUS DAVID</v>
      </c>
      <c r="C52" s="33" t="str">
        <f>IF('S-ASIG-04'!D52="","",'S-ASIG-04'!D52)</f>
        <v/>
      </c>
      <c r="D52" s="30">
        <f>IF(B52=0,"",IF(C52="",$E$48*LIDER!$H$19+F52*LIDER!$H$20+G52*LIDER!$H$21+H52*LIDER!$H$22+I52*LIDER!$H$23+J52*LIDER!$H$24+K52*LIDER!$H$25,"N"))</f>
        <v>0</v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 t="str">
        <f>LIDER!G56</f>
        <v>CRESPO PEREIRA SANTIAGO ALEJANDRO</v>
      </c>
      <c r="C53" s="33" t="str">
        <f>IF('S-ASIG-04'!D53="","",'S-ASIG-04'!D53)</f>
        <v/>
      </c>
      <c r="D53" s="30">
        <f>IF(B53=0,"",IF(C53="",$E$48*LIDER!$H$19+F53*LIDER!$H$20+G53*LIDER!$H$21+H53*LIDER!$H$22+I53*LIDER!$H$23+J53*LIDER!$H$24+K53*LIDER!$H$25,"N"))</f>
        <v>0</v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IF('S-ASIG-04'!D54="","",'S-ASIG-04'!D54)</f>
        <v>LIST</v>
      </c>
      <c r="D54" s="35" t="s">
        <v>101</v>
      </c>
      <c r="E54" s="199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MARIA JOSE HERRERA DAZA</v>
      </c>
      <c r="C55" s="33" t="str">
        <f>IF('S-ASIG-04'!D55="","",'S-ASIG-04'!D55)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ELIANA MARGARITA LAMBIS ALTAMAR</v>
      </c>
      <c r="C56" s="33" t="str">
        <f>IF('S-ASIG-04'!D56="","",'S-ASIG-04'!D56)</f>
        <v>N</v>
      </c>
      <c r="D56" s="30" t="str">
        <f>IF(B56=0,"",IF(C56="",$E$55*LIDER!$H$19+F56*LIDER!$H$20+G56*LIDER!$H$21+H56*LIDER!$H$22+I56*LIDER!$H$23+J56*LIDER!$H$24+K56*LIDER!$H$25,"N"))</f>
        <v>N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KEIVIN JESUS PEREZ BATISTA</v>
      </c>
      <c r="C57" s="33" t="str">
        <f>IF('S-ASIG-04'!D57="","",'S-ASIG-04'!D57)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ANDRES FELIPE VALIENTE GONZALEZ</v>
      </c>
      <c r="C58" s="33" t="str">
        <f>IF('S-ASIG-04'!D58="","",'S-ASIG-04'!D58)</f>
        <v/>
      </c>
      <c r="D58" s="30">
        <f>IF(B58=0,"",IF(C58="",$E$55*LIDER!$H$19+F58*LIDER!$H$20+G58*LIDER!$H$21+H58*LIDER!$H$22+I58*LIDER!$H$23+J58*LIDER!$H$24+K58*LIDER!$H$25,"N"))</f>
        <v>0</v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NICOLAS ZUÑIGA ARANGO</v>
      </c>
      <c r="C59" s="33" t="str">
        <f>IF('S-ASIG-04'!D59="","",'S-ASIG-04'!D59)</f>
        <v/>
      </c>
      <c r="D59" s="30">
        <f>IF(B59=0,"",IF(C59="",$E$55*LIDER!$H$19+F59*LIDER!$H$20+G59*LIDER!$H$21+H59*LIDER!$H$22+I59*LIDER!$H$23+J59*LIDER!$H$24+K59*LIDER!$H$25,"N"))</f>
        <v>0</v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TAMARA GARCIA MARIA JOSE</v>
      </c>
      <c r="C60" s="33" t="str">
        <f>IF('S-ASIG-04'!D60="","",'S-ASIG-04'!D60)</f>
        <v/>
      </c>
      <c r="D60" s="30">
        <f>IF(B60=0,"",IF(C60="",$E$55*LIDER!$H$19+F60*LIDER!$H$20+G60*LIDER!$H$21+H60*LIDER!$H$22+I60*LIDER!$H$23+J60*LIDER!$H$24+K60*LIDER!$H$25,"N"))</f>
        <v>0</v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IF('S-ASIG-04'!D61="","",'S-ASIG-04'!D61)</f>
        <v>LIST</v>
      </c>
      <c r="D61" s="35" t="s">
        <v>101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IF('S-ASIG-04'!D68="","",'S-ASIG-04'!D68)</f>
        <v>LIST</v>
      </c>
      <c r="D68" s="35" t="s">
        <v>101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IF('S-ASIG-04'!D75="","",'S-ASIG-04'!D75)</f>
        <v>LIST</v>
      </c>
      <c r="D75" s="35" t="s">
        <v>101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IF('S-ASIG-04'!D82="","",'S-ASIG-04'!D82)</f>
        <v>LIST</v>
      </c>
      <c r="D82" s="35" t="s">
        <v>101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9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LIDER!G4</f>
        <v>ORGANIZACIÓN Y MÉTODOS DE TRAB</v>
      </c>
      <c r="C2" s="3"/>
      <c r="E2" s="210" t="s">
        <v>97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98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CONCATENATE(LIDER!G4," - ",LIDER!G6," - ",LIDER!G5)</f>
        <v>ORGANIZACIÓN Y MÉTODOS DE TRAB - 1455 - YESSICA PAOLA JIMENEZ SUAREZ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68</v>
      </c>
      <c r="C5" s="34" t="str">
        <f>IF('S-ASIG-05'!D5="","",'S-ASIG-05'!D5)</f>
        <v>LIST</v>
      </c>
      <c r="D5" s="35" t="s">
        <v>101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EVELYN SHARY CHAVEZ ARRIETA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ANGELA ISABEL PÁJARO DE LA PEÑA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>
        <f>LIDER!E45</f>
        <v>0</v>
      </c>
      <c r="C8" s="33" t="str">
        <f>IF('S-ASIG-05'!D8="","",'S-ASIG-05'!D8)</f>
        <v/>
      </c>
      <c r="D8" s="30" t="str">
        <f>IF(B8=0,"",IF(C8="",$E$6*LIDER!$H$19+F8*LIDER!$H$20+G8*LIDER!$H$21+H8*LIDER!$H$22+I8*LIDER!$H$23+J8*LIDER!$H$24+K8*LIDER!$H$25,"N"))</f>
        <v/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IF('S-ASIG-05'!D9="","",'S-ASIG-05'!D9)</f>
        <v/>
      </c>
      <c r="D9" s="30" t="str">
        <f>IF(B9=0,"",IF(C9="",$E$6*LIDER!$H$19+F9*LIDER!$H$20+G9*LIDER!$H$21+H9*LIDER!$H$22+I9*LIDER!$H$23+J9*LIDER!$H$24+K9*LIDER!$H$25,"N"))</f>
        <v/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70</v>
      </c>
      <c r="C12" s="32" t="str">
        <f>IF('S-ASIG-05'!D12="","",'S-ASIG-05'!D12)</f>
        <v>LIST</v>
      </c>
      <c r="D12" s="35" t="s">
        <v>101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BAYRON BARON BELEÑO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LUIS FRANCISCO CANTILLO CANO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WILYER ANDRES RUIZ ROMERO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ROBERTO ENRIQUE VASQUEZ RAMBAUTH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72</v>
      </c>
      <c r="C19" s="32" t="str">
        <f>IF('S-ASIG-05'!D19="","",'S-ASIG-05'!D19)</f>
        <v>LIST</v>
      </c>
      <c r="D19" s="35" t="s">
        <v>101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MARIA CAMILA AGUDELO ORTIZ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LIZ ANDREA JIMENEZ THERAN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JUAN CAMILO MARTELO CASTRO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JOSE ANDRES PALENCIA CASTRO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VALENTINA TERAN DE AVILA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74</v>
      </c>
      <c r="C26" s="32" t="str">
        <f>IF('S-ASIG-05'!D26="","",'S-ASIG-05'!D26)</f>
        <v>LIST</v>
      </c>
      <c r="D26" s="35" t="s">
        <v>101</v>
      </c>
      <c r="E26" s="199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EMILY BARRIOS BENITEZ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NELDA SOFIA CASTILLO VILLA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BRENDIS VANESA HERRERA TEJEDOR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SOFIA DEL PILAR JULIO ROSSO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HEILEEN CAROLINA RUIZ RIVERO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76</v>
      </c>
      <c r="C33" s="32" t="str">
        <f>IF('S-ASIG-05'!D33="","",'S-ASIG-05'!D33)</f>
        <v>LIST</v>
      </c>
      <c r="D33" s="35" t="s">
        <v>101</v>
      </c>
      <c r="E33" s="199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HEILIN TATIANA BARRIOS CUADRADO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VALERIE GARCIA MATUTE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PAULA ANDREA MANJARRES CORREA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YEMILY ALBANIS MARTINEZ JULIO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IF('S-ASIG-05'!D40="","",'S-ASIG-05'!D40)</f>
        <v>LIST</v>
      </c>
      <c r="D40" s="35" t="s">
        <v>101</v>
      </c>
      <c r="E40" s="199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YEN ENRIQUE GONZALEZ ORTIZ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NEIDER CAMILO HIDALGO GUZMAN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MARTHA SUSANA LEON DE LAS AGUAS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MELIDA ISABEL MACIAS COA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ANDREA CAROLINA MARTINEZ RUZ</v>
      </c>
      <c r="C45" s="33" t="str">
        <f>IF('S-ASIG-05'!D45="","",'S-ASIG-05'!D45)</f>
        <v/>
      </c>
      <c r="D45" s="30">
        <f>IF(B45=0,"",IF(C45="",$E$41*LIDER!$H$19+F45*LIDER!$H$20+G45*LIDER!$H$21+H45*LIDER!$H$22+I45*LIDER!$H$23+J45*LIDER!$H$24+K45*LIDER!$H$25,"N"))</f>
        <v>0</v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>ARMANDO FABIO MIRANDA SIERRA</v>
      </c>
      <c r="C46" s="33" t="str">
        <f>IF('S-ASIG-05'!D46="","",'S-ASIG-05'!D46)</f>
        <v/>
      </c>
      <c r="D46" s="30">
        <f>IF(B46=0,"",IF(C46="",$E$41*LIDER!$H$19+F46*LIDER!$H$20+G46*LIDER!$H$21+H46*LIDER!$H$22+I46*LIDER!$H$23+J46*LIDER!$H$24+K46*LIDER!$H$25,"N"))</f>
        <v>0</v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80</v>
      </c>
      <c r="C47" s="32" t="str">
        <f>IF('S-ASIG-05'!D47="","",'S-ASIG-05'!D47)</f>
        <v>LIST</v>
      </c>
      <c r="D47" s="35" t="s">
        <v>101</v>
      </c>
      <c r="E47" s="199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JENNIFER JOHANNA ANGULO ARRIETA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YAMILEISIS BOLAÑO GONZALEZ</v>
      </c>
      <c r="C49" s="33" t="str">
        <f>IF('S-ASIG-05'!D49="","",'S-ASIG-05'!D49)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NICOLL VALENTINA VILLALOBOS SARMIENTO</v>
      </c>
      <c r="C50" s="33" t="str">
        <f>IF('S-ASIG-05'!D50="","",'S-ASIG-05'!D50)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NAVARRO CHAVEZ ANGELO ANDRES</v>
      </c>
      <c r="C51" s="33" t="str">
        <f>IF('S-ASIG-05'!D51="","",'S-ASIG-05'!D51)</f>
        <v/>
      </c>
      <c r="D51" s="30">
        <f>IF(B51=0,"",IF(C51="",$E$48*LIDER!$H$19+F51*LIDER!$H$20+G51*LIDER!$H$21+H51*LIDER!$H$22+I51*LIDER!$H$23+J51*LIDER!$H$24+K51*LIDER!$H$25,"N"))</f>
        <v>0</v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MONTERROSA ANGEL JESUS DAVID</v>
      </c>
      <c r="C52" s="33" t="str">
        <f>IF('S-ASIG-05'!D52="","",'S-ASIG-05'!D52)</f>
        <v/>
      </c>
      <c r="D52" s="30">
        <f>IF(B52=0,"",IF(C52="",$E$48*LIDER!$H$19+F52*LIDER!$H$20+G52*LIDER!$H$21+H52*LIDER!$H$22+I52*LIDER!$H$23+J52*LIDER!$H$24+K52*LIDER!$H$25,"N"))</f>
        <v>0</v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 t="str">
        <f>LIDER!G56</f>
        <v>CRESPO PEREIRA SANTIAGO ALEJANDRO</v>
      </c>
      <c r="C53" s="33" t="str">
        <f>IF('S-ASIG-05'!D53="","",'S-ASIG-05'!D53)</f>
        <v/>
      </c>
      <c r="D53" s="30">
        <f>IF(B53=0,"",IF(C53="",$E$48*LIDER!$H$19+F53*LIDER!$H$20+G53*LIDER!$H$21+H53*LIDER!$H$22+I53*LIDER!$H$23+J53*LIDER!$H$24+K53*LIDER!$H$25,"N"))</f>
        <v>0</v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IF('S-ASIG-05'!D54="","",'S-ASIG-05'!D54)</f>
        <v>LIST</v>
      </c>
      <c r="D54" s="35" t="s">
        <v>101</v>
      </c>
      <c r="E54" s="199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MARIA JOSE HERRERA DAZA</v>
      </c>
      <c r="C55" s="33" t="str">
        <f>IF('S-ASIG-05'!D55="","",'S-ASIG-05'!D55)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ELIANA MARGARITA LAMBIS ALTAMAR</v>
      </c>
      <c r="C56" s="33" t="str">
        <f>IF('S-ASIG-05'!D56="","",'S-ASIG-05'!D56)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KEIVIN JESUS PEREZ BATISTA</v>
      </c>
      <c r="C57" s="33" t="str">
        <f>IF('S-ASIG-05'!D57="","",'S-ASIG-05'!D57)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ANDRES FELIPE VALIENTE GONZALEZ</v>
      </c>
      <c r="C58" s="33" t="str">
        <f>IF('S-ASIG-05'!D58="","",'S-ASIG-05'!D58)</f>
        <v/>
      </c>
      <c r="D58" s="30">
        <f>IF(B58=0,"",IF(C58="",$E$55*LIDER!$H$19+F58*LIDER!$H$20+G58*LIDER!$H$21+H58*LIDER!$H$22+I58*LIDER!$H$23+J58*LIDER!$H$24+K58*LIDER!$H$25,"N"))</f>
        <v>0</v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NICOLAS ZUÑIGA ARANGO</v>
      </c>
      <c r="C59" s="33" t="str">
        <f>IF('S-ASIG-05'!D59="","",'S-ASIG-05'!D59)</f>
        <v/>
      </c>
      <c r="D59" s="30">
        <f>IF(B59=0,"",IF(C59="",$E$55*LIDER!$H$19+F59*LIDER!$H$20+G59*LIDER!$H$21+H59*LIDER!$H$22+I59*LIDER!$H$23+J59*LIDER!$H$24+K59*LIDER!$H$25,"N"))</f>
        <v>0</v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TAMARA GARCIA MARIA JOSE</v>
      </c>
      <c r="C60" s="33" t="str">
        <f>IF('S-ASIG-05'!D60="","",'S-ASIG-05'!D60)</f>
        <v/>
      </c>
      <c r="D60" s="30">
        <f>IF(B60=0,"",IF(C60="",$E$55*LIDER!$H$19+F60*LIDER!$H$20+G60*LIDER!$H$21+H60*LIDER!$H$22+I60*LIDER!$H$23+J60*LIDER!$H$24+K60*LIDER!$H$25,"N"))</f>
        <v>0</v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IF('S-ASIG-05'!D61="","",'S-ASIG-05'!D61)</f>
        <v>LIST</v>
      </c>
      <c r="D61" s="35" t="s">
        <v>101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IF('S-ASIG-05'!D68="","",'S-ASIG-05'!D68)</f>
        <v>LIST</v>
      </c>
      <c r="D68" s="35" t="s">
        <v>101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IF('S-ASIG-05'!D75="","",'S-ASIG-05'!D75)</f>
        <v>LIST</v>
      </c>
      <c r="D75" s="35" t="s">
        <v>101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IF('S-ASIG-05'!D82="","",'S-ASIG-05'!D82)</f>
        <v>LIST</v>
      </c>
      <c r="D82" s="35" t="s">
        <v>101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>
        <f>LIDER!H4</f>
        <v>0</v>
      </c>
      <c r="C2" s="3"/>
      <c r="E2" s="210" t="s">
        <v>97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98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CONCATENATE(LIDER!H4," - ",LIDER!H6," - ",LIDER!H5)</f>
        <v xml:space="preserve"> -  - 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68</v>
      </c>
      <c r="C5" s="34" t="str">
        <f>IF('S-ASIG-06'!D5="","",'S-ASIG-06'!D5)</f>
        <v>LIST</v>
      </c>
      <c r="D5" s="35" t="s">
        <v>101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EVELYN SHARY CHAVEZ ARRIETA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ANGELA ISABEL PÁJARO DE LA PEÑA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>
        <f>LIDER!E45</f>
        <v>0</v>
      </c>
      <c r="C8" s="33" t="str">
        <f>IF('S-ASIG-06'!D8="","",'S-ASIG-06'!D8)</f>
        <v/>
      </c>
      <c r="D8" s="30" t="str">
        <f>IF(B8=0,"",IF(C8="",$E$6*LIDER!$H$19+F8*LIDER!$H$20+G8*LIDER!$H$21+H8*LIDER!$H$22+I8*LIDER!$H$23+J8*LIDER!$H$24+K8*LIDER!$H$25,"N"))</f>
        <v/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IF('S-ASIG-06'!D9="","",'S-ASIG-06'!D9)</f>
        <v/>
      </c>
      <c r="D9" s="30" t="str">
        <f>IF(B9=0,"",IF(C9="",$E$6*LIDER!$H$19+F9*LIDER!$H$20+G9*LIDER!$H$21+H9*LIDER!$H$22+I9*LIDER!$H$23+J9*LIDER!$H$24+K9*LIDER!$H$25,"N"))</f>
        <v/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70</v>
      </c>
      <c r="C12" s="32" t="str">
        <f>IF('S-ASIG-06'!D12="","",'S-ASIG-06'!D12)</f>
        <v>LIST</v>
      </c>
      <c r="D12" s="35" t="s">
        <v>101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BAYRON BARON BELEÑO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LUIS FRANCISCO CANTILLO CANO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WILYER ANDRES RUIZ ROMERO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ROBERTO ENRIQUE VASQUEZ RAMBAUTH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72</v>
      </c>
      <c r="C19" s="32" t="str">
        <f>IF('S-ASIG-06'!D19="","",'S-ASIG-06'!D19)</f>
        <v>LIST</v>
      </c>
      <c r="D19" s="35" t="s">
        <v>101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MARIA CAMILA AGUDELO ORTIZ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LIZ ANDREA JIMENEZ THERAN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JUAN CAMILO MARTELO CASTRO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JOSE ANDRES PALENCIA CASTRO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VALENTINA TERAN DE AVILA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74</v>
      </c>
      <c r="C26" s="32" t="str">
        <f>IF('S-ASIG-06'!D26="","",'S-ASIG-06'!D26)</f>
        <v>LIST</v>
      </c>
      <c r="D26" s="35" t="s">
        <v>101</v>
      </c>
      <c r="E26" s="199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EMILY BARRIOS BENITEZ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NELDA SOFIA CASTILLO VILLA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BRENDIS VANESA HERRERA TEJEDOR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SOFIA DEL PILAR JULIO ROSSO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HEILEEN CAROLINA RUIZ RIVERO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76</v>
      </c>
      <c r="C33" s="32" t="str">
        <f>IF('S-ASIG-06'!D33="","",'S-ASIG-06'!D33)</f>
        <v>LIST</v>
      </c>
      <c r="D33" s="35" t="s">
        <v>101</v>
      </c>
      <c r="E33" s="199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HEILIN TATIANA BARRIOS CUADRADO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VALERIE GARCIA MATUTE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PAULA ANDREA MANJARRES CORREA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YEMILY ALBANIS MARTINEZ JULIO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IF('S-ASIG-06'!D40="","",'S-ASIG-06'!D40)</f>
        <v>LIST</v>
      </c>
      <c r="D40" s="35" t="s">
        <v>101</v>
      </c>
      <c r="E40" s="199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YEN ENRIQUE GONZALEZ ORTIZ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NEIDER CAMILO HIDALGO GUZMAN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MARTHA SUSANA LEON DE LAS AGUAS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MELIDA ISABEL MACIAS COA</v>
      </c>
      <c r="C44" s="33" t="str">
        <f>IF('S-ASIG-06'!D44="","",'S-ASIG-06'!D44)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ANDREA CAROLINA MARTINEZ RUZ</v>
      </c>
      <c r="C45" s="33" t="str">
        <f>IF('S-ASIG-06'!D45="","",'S-ASIG-06'!D45)</f>
        <v/>
      </c>
      <c r="D45" s="30">
        <f>IF(B45=0,"",IF(C45="",$E$41*LIDER!$H$19+F45*LIDER!$H$20+G45*LIDER!$H$21+H45*LIDER!$H$22+I45*LIDER!$H$23+J45*LIDER!$H$24+K45*LIDER!$H$25,"N"))</f>
        <v>0</v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>ARMANDO FABIO MIRANDA SIERRA</v>
      </c>
      <c r="C46" s="33" t="str">
        <f>IF('S-ASIG-06'!D46="","",'S-ASIG-06'!D46)</f>
        <v/>
      </c>
      <c r="D46" s="30">
        <f>IF(B46=0,"",IF(C46="",$E$41*LIDER!$H$19+F46*LIDER!$H$20+G46*LIDER!$H$21+H46*LIDER!$H$22+I46*LIDER!$H$23+J46*LIDER!$H$24+K46*LIDER!$H$25,"N"))</f>
        <v>0</v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80</v>
      </c>
      <c r="C47" s="32" t="str">
        <f>IF('S-ASIG-06'!D47="","",'S-ASIG-06'!D47)</f>
        <v>LIST</v>
      </c>
      <c r="D47" s="35" t="s">
        <v>101</v>
      </c>
      <c r="E47" s="199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JENNIFER JOHANNA ANGULO ARRIETA</v>
      </c>
      <c r="C48" s="33" t="str">
        <f>IF('S-ASIG-06'!D48="","",'S-ASIG-06'!D48)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YAMILEISIS BOLAÑO GONZALEZ</v>
      </c>
      <c r="C49" s="33" t="str">
        <f>IF('S-ASIG-06'!D49="","",'S-ASIG-06'!D49)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NICOLL VALENTINA VILLALOBOS SARMIENTO</v>
      </c>
      <c r="C50" s="33" t="str">
        <f>IF('S-ASIG-06'!D50="","",'S-ASIG-06'!D50)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NAVARRO CHAVEZ ANGELO ANDRES</v>
      </c>
      <c r="C51" s="33" t="str">
        <f>IF('S-ASIG-06'!D51="","",'S-ASIG-06'!D51)</f>
        <v/>
      </c>
      <c r="D51" s="30">
        <f>IF(B51=0,"",IF(C51="",$E$48*LIDER!$H$19+F51*LIDER!$H$20+G51*LIDER!$H$21+H51*LIDER!$H$22+I51*LIDER!$H$23+J51*LIDER!$H$24+K51*LIDER!$H$25,"N"))</f>
        <v>0</v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MONTERROSA ANGEL JESUS DAVID</v>
      </c>
      <c r="C52" s="33" t="str">
        <f>IF('S-ASIG-06'!D52="","",'S-ASIG-06'!D52)</f>
        <v/>
      </c>
      <c r="D52" s="30">
        <f>IF(B52=0,"",IF(C52="",$E$48*LIDER!$H$19+F52*LIDER!$H$20+G52*LIDER!$H$21+H52*LIDER!$H$22+I52*LIDER!$H$23+J52*LIDER!$H$24+K52*LIDER!$H$25,"N"))</f>
        <v>0</v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 t="str">
        <f>LIDER!G56</f>
        <v>CRESPO PEREIRA SANTIAGO ALEJANDRO</v>
      </c>
      <c r="C53" s="33" t="str">
        <f>IF('S-ASIG-06'!D53="","",'S-ASIG-06'!D53)</f>
        <v/>
      </c>
      <c r="D53" s="30">
        <f>IF(B53=0,"",IF(C53="",$E$48*LIDER!$H$19+F53*LIDER!$H$20+G53*LIDER!$H$21+H53*LIDER!$H$22+I53*LIDER!$H$23+J53*LIDER!$H$24+K53*LIDER!$H$25,"N"))</f>
        <v>0</v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IF('S-ASIG-06'!D54="","",'S-ASIG-06'!D54)</f>
        <v>LIST</v>
      </c>
      <c r="D54" s="35" t="s">
        <v>101</v>
      </c>
      <c r="E54" s="199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MARIA JOSE HERRERA DAZA</v>
      </c>
      <c r="C55" s="33" t="str">
        <f>IF('S-ASIG-06'!D55="","",'S-ASIG-06'!D55)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ELIANA MARGARITA LAMBIS ALTAMAR</v>
      </c>
      <c r="C56" s="33" t="str">
        <f>IF('S-ASIG-06'!D56="","",'S-ASIG-06'!D56)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KEIVIN JESUS PEREZ BATISTA</v>
      </c>
      <c r="C57" s="33" t="str">
        <f>IF('S-ASIG-06'!D57="","",'S-ASIG-06'!D57)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ANDRES FELIPE VALIENTE GONZALEZ</v>
      </c>
      <c r="C58" s="33" t="str">
        <f>IF('S-ASIG-06'!D58="","",'S-ASIG-06'!D58)</f>
        <v/>
      </c>
      <c r="D58" s="30">
        <f>IF(B58=0,"",IF(C58="",$E$55*LIDER!$H$19+F58*LIDER!$H$20+G58*LIDER!$H$21+H58*LIDER!$H$22+I58*LIDER!$H$23+J58*LIDER!$H$24+K58*LIDER!$H$25,"N"))</f>
        <v>0</v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NICOLAS ZUÑIGA ARANGO</v>
      </c>
      <c r="C59" s="33" t="str">
        <f>IF('S-ASIG-06'!D59="","",'S-ASIG-06'!D59)</f>
        <v/>
      </c>
      <c r="D59" s="30">
        <f>IF(B59=0,"",IF(C59="",$E$55*LIDER!$H$19+F59*LIDER!$H$20+G59*LIDER!$H$21+H59*LIDER!$H$22+I59*LIDER!$H$23+J59*LIDER!$H$24+K59*LIDER!$H$25,"N"))</f>
        <v>0</v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TAMARA GARCIA MARIA JOSE</v>
      </c>
      <c r="C60" s="33" t="str">
        <f>IF('S-ASIG-06'!D60="","",'S-ASIG-06'!D60)</f>
        <v/>
      </c>
      <c r="D60" s="30">
        <f>IF(B60=0,"",IF(C60="",$E$55*LIDER!$H$19+F60*LIDER!$H$20+G60*LIDER!$H$21+H60*LIDER!$H$22+I60*LIDER!$H$23+J60*LIDER!$H$24+K60*LIDER!$H$25,"N"))</f>
        <v>0</v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IF('S-ASIG-06'!D61="","",'S-ASIG-06'!D61)</f>
        <v>LIST</v>
      </c>
      <c r="D61" s="35" t="s">
        <v>101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IF('S-ASIG-06'!D68="","",'S-ASIG-06'!D68)</f>
        <v>LIST</v>
      </c>
      <c r="D68" s="35" t="s">
        <v>101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IF('S-ASIG-06'!D75="","",'S-ASIG-06'!D75)</f>
        <v>LIST</v>
      </c>
      <c r="D75" s="35" t="s">
        <v>101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IF('S-ASIG-06'!D82="","",'S-ASIG-06'!D82)</f>
        <v>LIST</v>
      </c>
      <c r="D82" s="35" t="s">
        <v>101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>
        <f>LIDER!I4</f>
        <v>0</v>
      </c>
      <c r="C2" s="3"/>
      <c r="E2" s="210" t="s">
        <v>97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98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CONCATENATE(LIDER!I4," - ",LIDER!I6," - ",LIDER!I5)</f>
        <v xml:space="preserve"> -  - 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68</v>
      </c>
      <c r="C5" s="34" t="str">
        <f>IF('S-ASIG-07'!D5="","",'S-ASIG-07'!D5)</f>
        <v>LIST</v>
      </c>
      <c r="D5" s="35" t="s">
        <v>101</v>
      </c>
      <c r="E5" s="199" t="str">
        <f>LIDER!$E$29</f>
        <v>GRUPO#1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EVELYN SHARY CHAVEZ ARRIETA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ANGELA ISABEL PÁJARO DE LA PEÑA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>
        <f>LIDER!E45</f>
        <v>0</v>
      </c>
      <c r="C8" s="33" t="str">
        <f>IF('S-ASIG-07'!D8="","",'S-ASIG-07'!D8)</f>
        <v/>
      </c>
      <c r="D8" s="30" t="str">
        <f>IF(B8=0,"",IF(C8="",$E$6*LIDER!$H$19+F8*LIDER!$H$20+G8*LIDER!$H$21+H8*LIDER!$H$22+I8*LIDER!$H$23+J8*LIDER!$H$24+K8*LIDER!$H$25,"N"))</f>
        <v/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IF('S-ASIG-07'!D9="","",'S-ASIG-07'!D9)</f>
        <v/>
      </c>
      <c r="D9" s="30" t="str">
        <f>IF(B9=0,"",IF(C9="",$E$6*LIDER!$H$19+F9*LIDER!$H$20+G9*LIDER!$H$21+H9*LIDER!$H$22+I9*LIDER!$H$23+J9*LIDER!$H$24+K9*LIDER!$H$25,"N"))</f>
        <v/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70</v>
      </c>
      <c r="C12" s="32" t="str">
        <f>IF('S-ASIG-07'!D12="","",'S-ASIG-07'!D12)</f>
        <v>LIST</v>
      </c>
      <c r="D12" s="35" t="s">
        <v>101</v>
      </c>
      <c r="E12" s="199" t="str">
        <f>LIDER!$E$30</f>
        <v>GRUPO#2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BAYRON BARON BELEÑO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LUIS FRANCISCO CANTILLO CANO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WILYER ANDRES RUIZ ROMERO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ROBERTO ENRIQUE VASQUEZ RAMBAUTH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72</v>
      </c>
      <c r="C19" s="32" t="str">
        <f>IF('S-ASIG-07'!D19="","",'S-ASIG-07'!D19)</f>
        <v>LIST</v>
      </c>
      <c r="D19" s="35" t="s">
        <v>101</v>
      </c>
      <c r="E19" s="199" t="str">
        <f>LIDER!$E$31</f>
        <v>GRUPO#3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MARIA CAMILA AGUDELO ORTIZ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LIZ ANDREA JIMENEZ THERAN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JUAN CAMILO MARTELO CASTRO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JOSE ANDRES PALENCIA CASTRO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VALENTINA TERAN DE AVILA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74</v>
      </c>
      <c r="C26" s="32" t="str">
        <f>IF('S-ASIG-07'!D26="","",'S-ASIG-07'!D26)</f>
        <v>LIST</v>
      </c>
      <c r="D26" s="35" t="s">
        <v>101</v>
      </c>
      <c r="E26" s="199" t="str">
        <f>LIDER!$E$32</f>
        <v>GRUPO#4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EMILY BARRIOS BENITEZ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NELDA SOFIA CASTILLO VILLA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BRENDIS VANESA HERRERA TEJEDOR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SOFIA DEL PILAR JULIO ROSSO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HEILEEN CAROLINA RUIZ RIVERO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76</v>
      </c>
      <c r="C33" s="32" t="str">
        <f>IF('S-ASIG-07'!D33="","",'S-ASIG-07'!D33)</f>
        <v>LIST</v>
      </c>
      <c r="D33" s="35" t="s">
        <v>101</v>
      </c>
      <c r="E33" s="199" t="str">
        <f>LIDER!$E$33</f>
        <v>GRUPO#5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HEILIN TATIANA BARRIOS CUADRADO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VALERIE GARCIA MATUTE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PAULA ANDREA MANJARRES CORREA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YEMILY ALBANIS MARTINEZ JULIO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IF('S-ASIG-07'!D40="","",'S-ASIG-07'!D40)</f>
        <v>LIST</v>
      </c>
      <c r="D40" s="35" t="s">
        <v>101</v>
      </c>
      <c r="E40" s="199" t="str">
        <f>LIDER!$E$34</f>
        <v>GRUPO#6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YEN ENRIQUE GONZALEZ ORTIZ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NEIDER CAMILO HIDALGO GUZMAN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MARTHA SUSANA LEON DE LAS AGUAS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MELIDA ISABEL MACIAS COA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ANDREA CAROLINA MARTINEZ RUZ</v>
      </c>
      <c r="C45" s="33" t="str">
        <f>IF('S-ASIG-07'!D45="","",'S-ASIG-07'!D45)</f>
        <v/>
      </c>
      <c r="D45" s="30">
        <f>IF(B45=0,"",IF(C45="",$E$41*LIDER!$H$19+F45*LIDER!$H$20+G45*LIDER!$H$21+H45*LIDER!$H$22+I45*LIDER!$H$23+J45*LIDER!$H$24+K45*LIDER!$H$25,"N"))</f>
        <v>0</v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>ARMANDO FABIO MIRANDA SIERRA</v>
      </c>
      <c r="C46" s="33" t="str">
        <f>IF('S-ASIG-07'!D46="","",'S-ASIG-07'!D46)</f>
        <v/>
      </c>
      <c r="D46" s="30">
        <f>IF(B46=0,"",IF(C46="",$E$41*LIDER!$H$19+F46*LIDER!$H$20+G46*LIDER!$H$21+H46*LIDER!$H$22+I46*LIDER!$H$23+J46*LIDER!$H$24+K46*LIDER!$H$25,"N"))</f>
        <v>0</v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80</v>
      </c>
      <c r="C47" s="32" t="str">
        <f>IF('S-ASIG-07'!D47="","",'S-ASIG-07'!D47)</f>
        <v>LIST</v>
      </c>
      <c r="D47" s="35" t="s">
        <v>101</v>
      </c>
      <c r="E47" s="199" t="str">
        <f>LIDER!$E$35</f>
        <v>GRUPO#7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JENNIFER JOHANNA ANGULO ARRIETA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YAMILEISIS BOLAÑO GONZALEZ</v>
      </c>
      <c r="C49" s="33" t="str">
        <f>IF('S-ASIG-07'!D49="","",'S-ASIG-07'!D49)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NICOLL VALENTINA VILLALOBOS SARMIENTO</v>
      </c>
      <c r="C50" s="33" t="str">
        <f>IF('S-ASIG-07'!D50="","",'S-ASIG-07'!D50)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NAVARRO CHAVEZ ANGELO ANDRES</v>
      </c>
      <c r="C51" s="33" t="str">
        <f>IF('S-ASIG-07'!D51="","",'S-ASIG-07'!D51)</f>
        <v/>
      </c>
      <c r="D51" s="30">
        <f>IF(B51=0,"",IF(C51="",$E$48*LIDER!$H$19+F51*LIDER!$H$20+G51*LIDER!$H$21+H51*LIDER!$H$22+I51*LIDER!$H$23+J51*LIDER!$H$24+K51*LIDER!$H$25,"N"))</f>
        <v>0</v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MONTERROSA ANGEL JESUS DAVID</v>
      </c>
      <c r="C52" s="33" t="str">
        <f>IF('S-ASIG-07'!D52="","",'S-ASIG-07'!D52)</f>
        <v/>
      </c>
      <c r="D52" s="30">
        <f>IF(B52=0,"",IF(C52="",$E$48*LIDER!$H$19+F52*LIDER!$H$20+G52*LIDER!$H$21+H52*LIDER!$H$22+I52*LIDER!$H$23+J52*LIDER!$H$24+K52*LIDER!$H$25,"N"))</f>
        <v>0</v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 t="str">
        <f>LIDER!G56</f>
        <v>CRESPO PEREIRA SANTIAGO ALEJANDRO</v>
      </c>
      <c r="C53" s="33" t="str">
        <f>IF('S-ASIG-07'!D53="","",'S-ASIG-07'!D53)</f>
        <v/>
      </c>
      <c r="D53" s="30">
        <f>IF(B53=0,"",IF(C53="",$E$48*LIDER!$H$19+F53*LIDER!$H$20+G53*LIDER!$H$21+H53*LIDER!$H$22+I53*LIDER!$H$23+J53*LIDER!$H$24+K53*LIDER!$H$25,"N"))</f>
        <v>0</v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82</v>
      </c>
      <c r="C54" s="32" t="str">
        <f>IF('S-ASIG-07'!D54="","",'S-ASIG-07'!D54)</f>
        <v>LIST</v>
      </c>
      <c r="D54" s="35" t="s">
        <v>101</v>
      </c>
      <c r="E54" s="199" t="str">
        <f>LIDER!$E$36</f>
        <v>GRUPO#8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MARIA JOSE HERRERA DAZA</v>
      </c>
      <c r="C55" s="33" t="str">
        <f>IF('S-ASIG-07'!D55="","",'S-ASIG-07'!D55)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ELIANA MARGARITA LAMBIS ALTAMAR</v>
      </c>
      <c r="C56" s="33" t="str">
        <f>IF('S-ASIG-07'!D56="","",'S-ASIG-07'!D56)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KEIVIN JESUS PEREZ BATISTA</v>
      </c>
      <c r="C57" s="33" t="str">
        <f>IF('S-ASIG-07'!D57="","",'S-ASIG-07'!D57)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ANDRES FELIPE VALIENTE GONZALEZ</v>
      </c>
      <c r="C58" s="33" t="str">
        <f>IF('S-ASIG-07'!D58="","",'S-ASIG-07'!D58)</f>
        <v/>
      </c>
      <c r="D58" s="30">
        <f>IF(B58=0,"",IF(C58="",$E$55*LIDER!$H$19+F58*LIDER!$H$20+G58*LIDER!$H$21+H58*LIDER!$H$22+I58*LIDER!$H$23+J58*LIDER!$H$24+K58*LIDER!$H$25,"N"))</f>
        <v>0</v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NICOLAS ZUÑIGA ARANGO</v>
      </c>
      <c r="C59" s="33" t="str">
        <f>IF('S-ASIG-07'!D59="","",'S-ASIG-07'!D59)</f>
        <v/>
      </c>
      <c r="D59" s="30">
        <f>IF(B59=0,"",IF(C59="",$E$55*LIDER!$H$19+F59*LIDER!$H$20+G59*LIDER!$H$21+H59*LIDER!$H$22+I59*LIDER!$H$23+J59*LIDER!$H$24+K59*LIDER!$H$25,"N"))</f>
        <v>0</v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 t="str">
        <f>LIDER!H56</f>
        <v>TAMARA GARCIA MARIA JOSE</v>
      </c>
      <c r="C60" s="33" t="str">
        <f>IF('S-ASIG-07'!D60="","",'S-ASIG-07'!D60)</f>
        <v/>
      </c>
      <c r="D60" s="30">
        <f>IF(B60=0,"",IF(C60="",$E$55*LIDER!$H$19+F60*LIDER!$H$20+G60*LIDER!$H$21+H60*LIDER!$H$22+I60*LIDER!$H$23+J60*LIDER!$H$24+K60*LIDER!$H$25,"N"))</f>
        <v>0</v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IF('S-ASIG-07'!D61="","",'S-ASIG-07'!D61)</f>
        <v>LIST</v>
      </c>
      <c r="D61" s="35" t="s">
        <v>101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IF('S-ASIG-07'!D68="","",'S-ASIG-07'!D68)</f>
        <v>LIST</v>
      </c>
      <c r="D68" s="35" t="s">
        <v>101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IF('S-ASIG-07'!D75="","",'S-ASIG-07'!D75)</f>
        <v>LIST</v>
      </c>
      <c r="D75" s="35" t="s">
        <v>101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IF('S-ASIG-07'!D82="","",'S-ASIG-07'!D82)</f>
        <v>LIST</v>
      </c>
      <c r="D82" s="35" t="s">
        <v>101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25" activePane="bottomRight" state="frozen"/>
      <selection pane="bottomRight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6" t="str">
        <f>LIDER!B2</f>
        <v>TECNOLOGÍA EN GESTIÓN DE NEGOCIOS INTERN</v>
      </c>
      <c r="H1" s="146"/>
      <c r="I1" s="146"/>
      <c r="J1" s="146"/>
      <c r="K1" s="146"/>
      <c r="L1" s="146"/>
      <c r="M1" s="146"/>
      <c r="N1" s="145" t="str">
        <f>LIDER!E2</f>
        <v>SEMESTRE:</v>
      </c>
      <c r="O1" s="145"/>
      <c r="P1" s="44" t="str">
        <f>LIDER!F2</f>
        <v>SEM-05</v>
      </c>
      <c r="Q1" s="43" t="str">
        <f>LIDER!G2</f>
        <v>SECCIÓN:</v>
      </c>
      <c r="R1" s="44">
        <f>LIDER!H2</f>
        <v>2</v>
      </c>
      <c r="S1" s="42"/>
      <c r="T1" s="42"/>
      <c r="U1" s="45"/>
    </row>
    <row r="2" spans="1:22" ht="20.100000000000001" customHeight="1" thickBot="1">
      <c r="G2" s="142" t="s">
        <v>114</v>
      </c>
      <c r="H2" s="143"/>
      <c r="I2" s="143"/>
      <c r="J2" s="143"/>
      <c r="K2" s="143"/>
      <c r="L2" s="143"/>
      <c r="M2" s="144"/>
      <c r="N2" s="2"/>
      <c r="O2" s="147" t="s">
        <v>115</v>
      </c>
      <c r="P2" s="148"/>
      <c r="Q2" s="148"/>
      <c r="R2" s="148"/>
      <c r="S2" s="148"/>
      <c r="T2" s="148"/>
      <c r="U2" s="149"/>
    </row>
    <row r="3" spans="1:22" ht="20.100000000000001" customHeight="1" thickBot="1">
      <c r="G3" s="48" t="str">
        <f>CONCATENATE("N° : ",LIDER!C6)</f>
        <v>N° : 2099</v>
      </c>
      <c r="H3" s="49" t="str">
        <f>CONCATENATE("N° : ",LIDER!D6)</f>
        <v>N° : 2290</v>
      </c>
      <c r="I3" s="49" t="str">
        <f>CONCATENATE("N° : ",LIDER!E6)</f>
        <v>N° : 3346</v>
      </c>
      <c r="J3" s="49" t="str">
        <f>CONCATENATE("N° : ",LIDER!F6)</f>
        <v>N° : 1379</v>
      </c>
      <c r="K3" s="49" t="str">
        <f>CONCATENATE("N° : ",LIDER!G6)</f>
        <v>N° : 1455</v>
      </c>
      <c r="L3" s="49" t="str">
        <f>CONCATENATE("N° : ",LIDER!H6)</f>
        <v xml:space="preserve">N° : </v>
      </c>
      <c r="M3" s="50" t="str">
        <f>CONCATENATE("N° : ",LIDER!I6)</f>
        <v xml:space="preserve">N° : </v>
      </c>
      <c r="O3" s="48" t="str">
        <f>G3</f>
        <v>N° : 2099</v>
      </c>
      <c r="P3" s="49" t="str">
        <f t="shared" ref="P3:U3" si="0">H3</f>
        <v>N° : 2290</v>
      </c>
      <c r="Q3" s="49" t="str">
        <f t="shared" si="0"/>
        <v>N° : 3346</v>
      </c>
      <c r="R3" s="49" t="str">
        <f t="shared" si="0"/>
        <v>N° : 1379</v>
      </c>
      <c r="S3" s="49" t="str">
        <f t="shared" si="0"/>
        <v>N° : 1455</v>
      </c>
      <c r="T3" s="49" t="str">
        <f t="shared" si="0"/>
        <v xml:space="preserve">N° : </v>
      </c>
      <c r="U3" s="50" t="str">
        <f t="shared" si="0"/>
        <v xml:space="preserve">N° : </v>
      </c>
    </row>
    <row r="4" spans="1:22" ht="30" customHeight="1" thickBot="1">
      <c r="A4" s="51"/>
      <c r="B4" s="52" t="s">
        <v>21</v>
      </c>
      <c r="C4" s="53" t="s">
        <v>116</v>
      </c>
      <c r="D4" s="54" t="s">
        <v>117</v>
      </c>
      <c r="E4" s="55" t="s">
        <v>118</v>
      </c>
      <c r="G4" s="56" t="str">
        <f>MID(LIDER!C4,1,9)</f>
        <v xml:space="preserve">ELECTIVA </v>
      </c>
      <c r="H4" s="57" t="str">
        <f>MID(LIDER!D4,1,9)</f>
        <v>TALENTO H</v>
      </c>
      <c r="I4" s="57" t="str">
        <f>MID(LIDER!E4,1,9)</f>
        <v xml:space="preserve">ELECTIVA </v>
      </c>
      <c r="J4" s="57" t="str">
        <f>MID(LIDER!F4,1,9)</f>
        <v>MARKETING</v>
      </c>
      <c r="K4" s="57" t="str">
        <f>MID(LIDER!G4,1,9)</f>
        <v>ORGANIZAC</v>
      </c>
      <c r="L4" s="57" t="str">
        <f>MID(LIDER!H4,1,9)</f>
        <v/>
      </c>
      <c r="M4" s="58" t="str">
        <f>MID(LIDER!I4,1,9)</f>
        <v/>
      </c>
      <c r="N4" s="59" t="s">
        <v>119</v>
      </c>
      <c r="O4" s="60" t="str">
        <f t="shared" ref="O4:U4" si="1">G4</f>
        <v xml:space="preserve">ELECTIVA </v>
      </c>
      <c r="P4" s="61" t="str">
        <f t="shared" si="1"/>
        <v>TALENTO H</v>
      </c>
      <c r="Q4" s="61" t="str">
        <f t="shared" si="1"/>
        <v xml:space="preserve">ELECTIVA </v>
      </c>
      <c r="R4" s="61" t="str">
        <f t="shared" si="1"/>
        <v>MARKETING</v>
      </c>
      <c r="S4" s="61" t="str">
        <f t="shared" si="1"/>
        <v>ORGANIZAC</v>
      </c>
      <c r="T4" s="61" t="str">
        <f t="shared" si="1"/>
        <v/>
      </c>
      <c r="U4" s="62" t="str">
        <f t="shared" si="1"/>
        <v/>
      </c>
      <c r="V4" s="59" t="s">
        <v>120</v>
      </c>
    </row>
    <row r="5" spans="1:22" ht="15" customHeight="1">
      <c r="A5" s="12">
        <v>1</v>
      </c>
      <c r="B5" s="63" t="str">
        <f>LIDER!C9</f>
        <v>EVELYN SHARY CHAVEZ ARRIETA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3.528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2.75</v>
      </c>
      <c r="H5" s="65">
        <f>IF(B5=0,"",IFERROR(VLOOKUP(B5,'S-ASIG-02'!$B$5:$E$88,4,0),0))</f>
        <v>3.7</v>
      </c>
      <c r="I5" s="65">
        <f>IF(B5=0,"",IFERROR(VLOOKUP(B5,'S-ASIG-03'!$B$5:$E$88,4,0),0))</f>
        <v>3.73</v>
      </c>
      <c r="J5" s="65">
        <f>IF(B5=0,"",IFERROR(VLOOKUP(B5,'S-ASIG-04'!$B$5:$E$88,4,0),0))</f>
        <v>3.5</v>
      </c>
      <c r="K5" s="65">
        <f>IF(B5=0,"",IFERROR(VLOOKUP(B5,'S-ASIG-05'!$B$5:$E$88,4,0),0))</f>
        <v>3.9599999999999995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121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122</v>
      </c>
    </row>
    <row r="6" spans="1:22" ht="15" customHeight="1">
      <c r="A6" s="12">
        <v>2</v>
      </c>
      <c r="B6" s="70" t="str">
        <f>LIDER!C10</f>
        <v>ANGELA ISABEL PÁJARO DE LA PEÑA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3.528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2.75</v>
      </c>
      <c r="H6" s="72">
        <f>IF(B6=0,"",IFERROR(VLOOKUP(B6,'S-ASIG-02'!$B$5:$E$88,4,0),0))</f>
        <v>3.7</v>
      </c>
      <c r="I6" s="72">
        <f>IF(B6=0,"",IFERROR(VLOOKUP(B6,'S-ASIG-03'!$B$5:$E$88,4,0),0))</f>
        <v>3.73</v>
      </c>
      <c r="J6" s="72">
        <f>IF(B6=0,"",IFERROR(VLOOKUP(B6,'S-ASIG-04'!$B$5:$E$88,4,0),0))</f>
        <v>3.5</v>
      </c>
      <c r="K6" s="72">
        <f>IF(B6=0,"",IFERROR(VLOOKUP(B6,'S-ASIG-05'!$B$5:$E$88,4,0),0))</f>
        <v>3.9599999999999995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121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122</v>
      </c>
    </row>
    <row r="7" spans="1:22" ht="15" customHeight="1">
      <c r="A7" s="12">
        <v>3</v>
      </c>
      <c r="B7" s="70" t="str">
        <f>LIDER!C11</f>
        <v>BAYRON BARON BELEÑO</v>
      </c>
      <c r="C7" s="64" t="str">
        <f>IF(B7=0,"",IFERROR(VLOOKUP(B7,'S-ASIG-01'!$B$5:$E$88,2,0),0))</f>
        <v>G02</v>
      </c>
      <c r="D7" s="65">
        <f t="shared" si="2"/>
        <v>3.2833333333333332</v>
      </c>
      <c r="E7" s="66">
        <f t="shared" si="3"/>
        <v>0</v>
      </c>
      <c r="F7" s="47"/>
      <c r="G7" s="71">
        <f>IF(B7=0,"",IFERROR(VLOOKUP(B7,'S-ASIG-01'!$B$5:$E$88,4,0),0))</f>
        <v>2.75</v>
      </c>
      <c r="H7" s="72" t="str">
        <f>IF(B7=0,"",IFERROR(VLOOKUP(B7,'S-ASIG-02'!$B$5:$E$88,4,0),0))</f>
        <v>N</v>
      </c>
      <c r="I7" s="72" t="str">
        <f>IF(B7=0,"",IFERROR(VLOOKUP(B7,'S-ASIG-03'!$B$5:$E$88,4,0),0))</f>
        <v>N</v>
      </c>
      <c r="J7" s="72">
        <f>IF(B7=0,"",IFERROR(VLOOKUP(B7,'S-ASIG-04'!$B$5:$E$88,4,0),0))</f>
        <v>3.6</v>
      </c>
      <c r="K7" s="72">
        <f>IF(B7=0,"",IFERROR(VLOOKUP(B7,'S-ASIG-05'!$B$5:$E$88,4,0),0))</f>
        <v>3.5000000000000004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121</v>
      </c>
      <c r="O7" s="71">
        <f>IF(B7=0,"",IFERROR(VLOOKUP(B7,'T-ASIG-01'!$B$5:$D$88,3,0),0))</f>
        <v>0</v>
      </c>
      <c r="P7" s="72" t="str">
        <f>IF(B7=0,"",IFERROR(VLOOKUP(B7,'T-ASIG-02'!$B$5:$D$88,3,0),0))</f>
        <v>N</v>
      </c>
      <c r="Q7" s="72" t="str">
        <f>IF(B7=0,"",IFERROR(VLOOKUP(B7,'T-ASIG-03'!$B$5:$D$88,3,0),0))</f>
        <v>N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122</v>
      </c>
    </row>
    <row r="8" spans="1:22" ht="15" customHeight="1">
      <c r="A8" s="12">
        <v>4</v>
      </c>
      <c r="B8" s="70" t="str">
        <f>LIDER!C12</f>
        <v>LUIS FRANCISCO CANTILLO CANO</v>
      </c>
      <c r="C8" s="64" t="str">
        <f>IF(B8=0,"",IFERROR(VLOOKUP(B8,'S-ASIG-01'!$B$5:$E$88,2,0),0))</f>
        <v>G02</v>
      </c>
      <c r="D8" s="65">
        <f t="shared" si="2"/>
        <v>3.125</v>
      </c>
      <c r="E8" s="66">
        <f t="shared" si="3"/>
        <v>0</v>
      </c>
      <c r="F8" s="47"/>
      <c r="G8" s="71">
        <f>IF(B8=0,"",IFERROR(VLOOKUP(B8,'S-ASIG-01'!$B$5:$E$88,4,0),0))</f>
        <v>2.75</v>
      </c>
      <c r="H8" s="72" t="str">
        <f>IF(B8=0,"",IFERROR(VLOOKUP(B8,'S-ASIG-02'!$B$5:$E$88,4,0),0))</f>
        <v>N</v>
      </c>
      <c r="I8" s="72" t="str">
        <f>IF(B8=0,"",IFERROR(VLOOKUP(B8,'S-ASIG-03'!$B$5:$E$88,4,0),0))</f>
        <v>N</v>
      </c>
      <c r="J8" s="72" t="str">
        <f>IF(B8=0,"",IFERROR(VLOOKUP(B8,'S-ASIG-04'!$B$5:$E$88,4,0),0))</f>
        <v>N</v>
      </c>
      <c r="K8" s="72">
        <f>IF(B8=0,"",IFERROR(VLOOKUP(B8,'S-ASIG-05'!$B$5:$E$88,4,0),0))</f>
        <v>3.5000000000000004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121</v>
      </c>
      <c r="O8" s="71">
        <f>IF(B8=0,"",IFERROR(VLOOKUP(B8,'T-ASIG-01'!$B$5:$D$88,3,0),0))</f>
        <v>0</v>
      </c>
      <c r="P8" s="72" t="str">
        <f>IF(B8=0,"",IFERROR(VLOOKUP(B8,'T-ASIG-02'!$B$5:$D$88,3,0),0))</f>
        <v>N</v>
      </c>
      <c r="Q8" s="72" t="str">
        <f>IF(B8=0,"",IFERROR(VLOOKUP(B8,'T-ASIG-03'!$B$5:$D$88,3,0),0))</f>
        <v>N</v>
      </c>
      <c r="R8" s="72" t="str">
        <f>IF(B8=0,"",IFERROR(VLOOKUP(B8,'T-ASIG-04'!$B$5:$D$88,3,0),0))</f>
        <v>N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122</v>
      </c>
    </row>
    <row r="9" spans="1:22" ht="15" customHeight="1">
      <c r="A9" s="12">
        <v>5</v>
      </c>
      <c r="B9" s="70" t="str">
        <f>LIDER!C13</f>
        <v>WILYER ANDRES RUIZ ROMERO</v>
      </c>
      <c r="C9" s="64" t="str">
        <f>IF(B9=0,"",IFERROR(VLOOKUP(B9,'S-ASIG-01'!$B$5:$E$88,2,0),0))</f>
        <v>G02</v>
      </c>
      <c r="D9" s="65">
        <f t="shared" si="2"/>
        <v>3.3125</v>
      </c>
      <c r="E9" s="66">
        <f t="shared" si="3"/>
        <v>0</v>
      </c>
      <c r="F9" s="47"/>
      <c r="G9" s="71">
        <f>IF(B9=0,"",IFERROR(VLOOKUP(B9,'S-ASIG-01'!$B$5:$E$88,4,0),0))</f>
        <v>2.75</v>
      </c>
      <c r="H9" s="72">
        <f>IF(B9=0,"",IFERROR(VLOOKUP(B9,'S-ASIG-02'!$B$5:$E$88,4,0),0))</f>
        <v>3.4000000000000004</v>
      </c>
      <c r="I9" s="72" t="str">
        <f>IF(B9=0,"",IFERROR(VLOOKUP(B9,'S-ASIG-03'!$B$5:$E$88,4,0),0))</f>
        <v>N</v>
      </c>
      <c r="J9" s="72">
        <f>IF(B9=0,"",IFERROR(VLOOKUP(B9,'S-ASIG-04'!$B$5:$E$88,4,0),0))</f>
        <v>3.6</v>
      </c>
      <c r="K9" s="72">
        <f>IF(B9=0,"",IFERROR(VLOOKUP(B9,'S-ASIG-05'!$B$5:$E$88,4,0),0))</f>
        <v>3.5000000000000004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121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 t="str">
        <f>IF(B9=0,"",IFERROR(VLOOKUP(B9,'T-ASIG-03'!$B$5:$D$88,3,0),0))</f>
        <v>N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122</v>
      </c>
    </row>
    <row r="10" spans="1:22" ht="15" customHeight="1">
      <c r="A10" s="12">
        <v>6</v>
      </c>
      <c r="B10" s="70" t="str">
        <f>LIDER!C14</f>
        <v>ROBERTO ENRIQUE VASQUEZ RAMBAUTH</v>
      </c>
      <c r="C10" s="64" t="str">
        <f>IF(B10=0,"",IFERROR(VLOOKUP(B10,'S-ASIG-01'!$B$5:$E$88,2,0),0))</f>
        <v>G02</v>
      </c>
      <c r="D10" s="65">
        <f t="shared" si="2"/>
        <v>3.2833333333333332</v>
      </c>
      <c r="E10" s="66">
        <f t="shared" si="3"/>
        <v>0</v>
      </c>
      <c r="F10" s="47"/>
      <c r="G10" s="71">
        <f>IF(B10=0,"",IFERROR(VLOOKUP(B10,'S-ASIG-01'!$B$5:$E$88,4,0),0))</f>
        <v>2.75</v>
      </c>
      <c r="H10" s="72" t="str">
        <f>IF(B10=0,"",IFERROR(VLOOKUP(B10,'S-ASIG-02'!$B$5:$E$88,4,0),0))</f>
        <v>N</v>
      </c>
      <c r="I10" s="72" t="str">
        <f>IF(B10=0,"",IFERROR(VLOOKUP(B10,'S-ASIG-03'!$B$5:$E$88,4,0),0))</f>
        <v>N</v>
      </c>
      <c r="J10" s="72">
        <f>IF(B10=0,"",IFERROR(VLOOKUP(B10,'S-ASIG-04'!$B$5:$E$88,4,0),0))</f>
        <v>3.6</v>
      </c>
      <c r="K10" s="72">
        <f>IF(B10=0,"",IFERROR(VLOOKUP(B10,'S-ASIG-05'!$B$5:$E$88,4,0),0))</f>
        <v>3.5000000000000004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121</v>
      </c>
      <c r="O10" s="71">
        <f>IF(B10=0,"",IFERROR(VLOOKUP(B10,'T-ASIG-01'!$B$5:$D$88,3,0),0))</f>
        <v>0</v>
      </c>
      <c r="P10" s="72" t="str">
        <f>IF(B10=0,"",IFERROR(VLOOKUP(B10,'T-ASIG-02'!$B$5:$D$88,3,0),0))</f>
        <v>N</v>
      </c>
      <c r="Q10" s="72" t="str">
        <f>IF(B10=0,"",IFERROR(VLOOKUP(B10,'T-ASIG-03'!$B$5:$D$88,3,0),0))</f>
        <v>N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122</v>
      </c>
    </row>
    <row r="11" spans="1:22" ht="15" customHeight="1">
      <c r="A11" s="12">
        <v>7</v>
      </c>
      <c r="B11" s="70" t="str">
        <f>LIDER!C15</f>
        <v>MARIA CAMILA AGUDELO ORTIZ</v>
      </c>
      <c r="C11" s="64" t="str">
        <f>IF(B11=0,"",IFERROR(VLOOKUP(B11,'S-ASIG-01'!$B$5:$E$88,2,0),0))</f>
        <v>G03</v>
      </c>
      <c r="D11" s="65">
        <f t="shared" si="2"/>
        <v>4.41</v>
      </c>
      <c r="E11" s="66">
        <f t="shared" si="3"/>
        <v>0</v>
      </c>
      <c r="F11" s="47"/>
      <c r="G11" s="71">
        <f>IF(B11=0,"",IFERROR(VLOOKUP(B11,'S-ASIG-01'!$B$5:$E$88,4,0),0))</f>
        <v>4.3</v>
      </c>
      <c r="H11" s="72">
        <f>IF(B11=0,"",IFERROR(VLOOKUP(B11,'S-ASIG-02'!$B$5:$E$88,4,0),0))</f>
        <v>4.6999999999999993</v>
      </c>
      <c r="I11" s="72">
        <f>IF(B11=0,"",IFERROR(VLOOKUP(B11,'S-ASIG-03'!$B$5:$E$88,4,0),0))</f>
        <v>4.55</v>
      </c>
      <c r="J11" s="72">
        <f>IF(B11=0,"",IFERROR(VLOOKUP(B11,'S-ASIG-04'!$B$5:$E$88,4,0),0))</f>
        <v>4.5</v>
      </c>
      <c r="K11" s="72">
        <f>IF(B11=0,"",IFERROR(VLOOKUP(B11,'S-ASIG-05'!$B$5:$E$88,4,0),0))</f>
        <v>3.9999999999999996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121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122</v>
      </c>
    </row>
    <row r="12" spans="1:22" ht="15" customHeight="1">
      <c r="A12" s="12">
        <v>8</v>
      </c>
      <c r="B12" s="70" t="str">
        <f>LIDER!C16</f>
        <v>LIZ ANDREA JIMENEZ THERAN</v>
      </c>
      <c r="C12" s="64" t="str">
        <f>IF(B12=0,"",IFERROR(VLOOKUP(B12,'S-ASIG-01'!$B$5:$E$88,2,0),0))</f>
        <v>G03</v>
      </c>
      <c r="D12" s="65">
        <f t="shared" si="2"/>
        <v>4.41</v>
      </c>
      <c r="E12" s="66">
        <f t="shared" si="3"/>
        <v>0</v>
      </c>
      <c r="F12" s="47"/>
      <c r="G12" s="71">
        <f>IF(B12=0,"",IFERROR(VLOOKUP(B12,'S-ASIG-01'!$B$5:$E$88,4,0),0))</f>
        <v>4.3</v>
      </c>
      <c r="H12" s="72">
        <f>IF(B12=0,"",IFERROR(VLOOKUP(B12,'S-ASIG-02'!$B$5:$E$88,4,0),0))</f>
        <v>4.6999999999999993</v>
      </c>
      <c r="I12" s="72">
        <f>IF(B12=0,"",IFERROR(VLOOKUP(B12,'S-ASIG-03'!$B$5:$E$88,4,0),0))</f>
        <v>4.55</v>
      </c>
      <c r="J12" s="72">
        <f>IF(B12=0,"",IFERROR(VLOOKUP(B12,'S-ASIG-04'!$B$5:$E$88,4,0),0))</f>
        <v>4.5</v>
      </c>
      <c r="K12" s="72">
        <f>IF(B12=0,"",IFERROR(VLOOKUP(B12,'S-ASIG-05'!$B$5:$E$88,4,0),0))</f>
        <v>3.9999999999999996</v>
      </c>
      <c r="L12" s="72">
        <f>IF(B12=0,"",IFERROR(VLOOKUP(B12,'S-ASIG-06'!$B$5:$E$88,4,0),0))</f>
        <v>0</v>
      </c>
      <c r="M12" s="73">
        <f>IF(B12=0,"",IFERROR(VLOOKUP(B12,'S-ASIG-07'!$B$5:$E$88,4,0),0))</f>
        <v>0</v>
      </c>
      <c r="N12" s="68" t="s">
        <v>121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122</v>
      </c>
    </row>
    <row r="13" spans="1:22" ht="15" customHeight="1">
      <c r="A13" s="12">
        <v>9</v>
      </c>
      <c r="B13" s="70" t="str">
        <f>LIDER!C17</f>
        <v>JUAN CAMILO MARTELO CASTRO</v>
      </c>
      <c r="C13" s="64" t="str">
        <f>IF(B13=0,"",IFERROR(VLOOKUP(B13,'S-ASIG-01'!$B$5:$E$88,2,0),0))</f>
        <v>G03</v>
      </c>
      <c r="D13" s="65">
        <f t="shared" si="2"/>
        <v>4.41</v>
      </c>
      <c r="E13" s="66">
        <f t="shared" si="3"/>
        <v>0</v>
      </c>
      <c r="F13" s="47"/>
      <c r="G13" s="71">
        <f>IF(B13=0,"",IFERROR(VLOOKUP(B13,'S-ASIG-01'!$B$5:$E$88,4,0),0))</f>
        <v>4.3</v>
      </c>
      <c r="H13" s="72">
        <f>IF(B13=0,"",IFERROR(VLOOKUP(B13,'S-ASIG-02'!$B$5:$E$88,4,0),0))</f>
        <v>4.6999999999999993</v>
      </c>
      <c r="I13" s="72">
        <f>IF(B13=0,"",IFERROR(VLOOKUP(B13,'S-ASIG-03'!$B$5:$E$88,4,0),0))</f>
        <v>4.55</v>
      </c>
      <c r="J13" s="72">
        <f>IF(B13=0,"",IFERROR(VLOOKUP(B13,'S-ASIG-04'!$B$5:$E$88,4,0),0))</f>
        <v>4.5</v>
      </c>
      <c r="K13" s="72">
        <f>IF(B13=0,"",IFERROR(VLOOKUP(B13,'S-ASIG-05'!$B$5:$E$88,4,0),0))</f>
        <v>3.9999999999999996</v>
      </c>
      <c r="L13" s="72">
        <f>IF(B13=0,"",IFERROR(VLOOKUP(B13,'S-ASIG-06'!$B$5:$E$88,4,0),0))</f>
        <v>0</v>
      </c>
      <c r="M13" s="73">
        <f>IF(B13=0,"",IFERROR(VLOOKUP(B13,'S-ASIG-07'!$B$5:$E$88,4,0),0))</f>
        <v>0</v>
      </c>
      <c r="N13" s="68" t="s">
        <v>121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122</v>
      </c>
    </row>
    <row r="14" spans="1:22" ht="15" customHeight="1">
      <c r="A14" s="12">
        <v>10</v>
      </c>
      <c r="B14" s="70" t="str">
        <f>LIDER!C18</f>
        <v>JOSE ANDRES PALENCIA CASTRO</v>
      </c>
      <c r="C14" s="64" t="str">
        <f>IF(B14=0,"",IFERROR(VLOOKUP(B14,'S-ASIG-01'!$B$5:$E$88,2,0),0))</f>
        <v>G03</v>
      </c>
      <c r="D14" s="65">
        <f t="shared" si="2"/>
        <v>4.41</v>
      </c>
      <c r="E14" s="66">
        <f t="shared" si="3"/>
        <v>0</v>
      </c>
      <c r="F14" s="47"/>
      <c r="G14" s="71">
        <f>IF(B14=0,"",IFERROR(VLOOKUP(B14,'S-ASIG-01'!$B$5:$E$88,4,0),0))</f>
        <v>4.3</v>
      </c>
      <c r="H14" s="72">
        <f>IF(B14=0,"",IFERROR(VLOOKUP(B14,'S-ASIG-02'!$B$5:$E$88,4,0),0))</f>
        <v>4.6999999999999993</v>
      </c>
      <c r="I14" s="72">
        <f>IF(B14=0,"",IFERROR(VLOOKUP(B14,'S-ASIG-03'!$B$5:$E$88,4,0),0))</f>
        <v>4.55</v>
      </c>
      <c r="J14" s="72">
        <f>IF(B14=0,"",IFERROR(VLOOKUP(B14,'S-ASIG-04'!$B$5:$E$88,4,0),0))</f>
        <v>4.5</v>
      </c>
      <c r="K14" s="72">
        <f>IF(B14=0,"",IFERROR(VLOOKUP(B14,'S-ASIG-05'!$B$5:$E$88,4,0),0))</f>
        <v>3.9999999999999996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121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122</v>
      </c>
    </row>
    <row r="15" spans="1:22" ht="15" customHeight="1">
      <c r="A15" s="12">
        <v>11</v>
      </c>
      <c r="B15" s="70" t="str">
        <f>LIDER!C19</f>
        <v>VALENTINA TERAN DE AVILA</v>
      </c>
      <c r="C15" s="64" t="str">
        <f>IF(B15=0,"",IFERROR(VLOOKUP(B15,'S-ASIG-01'!$B$5:$E$88,2,0),0))</f>
        <v>G03</v>
      </c>
      <c r="D15" s="65">
        <f t="shared" si="2"/>
        <v>4.41</v>
      </c>
      <c r="E15" s="66">
        <f t="shared" si="3"/>
        <v>0</v>
      </c>
      <c r="F15" s="47"/>
      <c r="G15" s="71">
        <f>IF(B15=0,"",IFERROR(VLOOKUP(B15,'S-ASIG-01'!$B$5:$E$88,4,0),0))</f>
        <v>4.3</v>
      </c>
      <c r="H15" s="72">
        <f>IF(B15=0,"",IFERROR(VLOOKUP(B15,'S-ASIG-02'!$B$5:$E$88,4,0),0))</f>
        <v>4.6999999999999993</v>
      </c>
      <c r="I15" s="72">
        <f>IF(B15=0,"",IFERROR(VLOOKUP(B15,'S-ASIG-03'!$B$5:$E$88,4,0),0))</f>
        <v>4.55</v>
      </c>
      <c r="J15" s="72">
        <f>IF(B15=0,"",IFERROR(VLOOKUP(B15,'S-ASIG-04'!$B$5:$E$88,4,0),0))</f>
        <v>4.5</v>
      </c>
      <c r="K15" s="72">
        <f>IF(B15=0,"",IFERROR(VLOOKUP(B15,'S-ASIG-05'!$B$5:$E$88,4,0),0))</f>
        <v>3.9999999999999996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121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122</v>
      </c>
    </row>
    <row r="16" spans="1:22" ht="15" customHeight="1">
      <c r="A16" s="12">
        <v>12</v>
      </c>
      <c r="B16" s="70" t="str">
        <f>LIDER!C20</f>
        <v>EMILY BARRIOS BENITEZ</v>
      </c>
      <c r="C16" s="64" t="str">
        <f>IF(B16=0,"",IFERROR(VLOOKUP(B16,'S-ASIG-01'!$B$5:$E$88,2,0),0))</f>
        <v>G04</v>
      </c>
      <c r="D16" s="65">
        <f t="shared" si="2"/>
        <v>4.024</v>
      </c>
      <c r="E16" s="66">
        <f t="shared" si="3"/>
        <v>0</v>
      </c>
      <c r="F16" s="47"/>
      <c r="G16" s="71">
        <f>IF(B16=0,"",IFERROR(VLOOKUP(B16,'S-ASIG-01'!$B$5:$E$88,4,0),0))</f>
        <v>3.7</v>
      </c>
      <c r="H16" s="72">
        <f>IF(B16=0,"",IFERROR(VLOOKUP(B16,'S-ASIG-02'!$B$5:$E$88,4,0),0))</f>
        <v>4.07</v>
      </c>
      <c r="I16" s="72">
        <f>IF(B16=0,"",IFERROR(VLOOKUP(B16,'S-ASIG-03'!$B$5:$E$88,4,0),0))</f>
        <v>3.87</v>
      </c>
      <c r="J16" s="72">
        <f>IF(B16=0,"",IFERROR(VLOOKUP(B16,'S-ASIG-04'!$B$5:$E$88,4,0),0))</f>
        <v>4.4799999999999995</v>
      </c>
      <c r="K16" s="72">
        <f>IF(B16=0,"",IFERROR(VLOOKUP(B16,'S-ASIG-05'!$B$5:$E$88,4,0),0))</f>
        <v>3.9999999999999996</v>
      </c>
      <c r="L16" s="72">
        <f>IF(B16=0,"",IFERROR(VLOOKUP(B16,'S-ASIG-06'!$B$5:$E$88,4,0),0))</f>
        <v>0</v>
      </c>
      <c r="M16" s="73">
        <f>IF(B16=0,"",IFERROR(VLOOKUP(B16,'S-ASIG-07'!$B$5:$E$88,4,0),0))</f>
        <v>0</v>
      </c>
      <c r="N16" s="68" t="s">
        <v>121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122</v>
      </c>
    </row>
    <row r="17" spans="1:22" ht="15" customHeight="1">
      <c r="A17" s="12">
        <v>13</v>
      </c>
      <c r="B17" s="70" t="str">
        <f>LIDER!C21</f>
        <v>NELDA SOFIA CASTILLO VILLA</v>
      </c>
      <c r="C17" s="64" t="str">
        <f>IF(B17=0,"",IFERROR(VLOOKUP(B17,'S-ASIG-01'!$B$5:$E$88,2,0),0))</f>
        <v>G04</v>
      </c>
      <c r="D17" s="65">
        <f t="shared" si="2"/>
        <v>4.024</v>
      </c>
      <c r="E17" s="66">
        <f t="shared" si="3"/>
        <v>0</v>
      </c>
      <c r="F17" s="47"/>
      <c r="G17" s="71">
        <f>IF(B17=0,"",IFERROR(VLOOKUP(B17,'S-ASIG-01'!$B$5:$E$88,4,0),0))</f>
        <v>3.7</v>
      </c>
      <c r="H17" s="72">
        <f>IF(B17=0,"",IFERROR(VLOOKUP(B17,'S-ASIG-02'!$B$5:$E$88,4,0),0))</f>
        <v>4.07</v>
      </c>
      <c r="I17" s="72">
        <f>IF(B17=0,"",IFERROR(VLOOKUP(B17,'S-ASIG-03'!$B$5:$E$88,4,0),0))</f>
        <v>3.87</v>
      </c>
      <c r="J17" s="72">
        <f>IF(B17=0,"",IFERROR(VLOOKUP(B17,'S-ASIG-04'!$B$5:$E$88,4,0),0))</f>
        <v>4.4799999999999995</v>
      </c>
      <c r="K17" s="72">
        <f>IF(B17=0,"",IFERROR(VLOOKUP(B17,'S-ASIG-05'!$B$5:$E$88,4,0),0))</f>
        <v>3.9999999999999996</v>
      </c>
      <c r="L17" s="72">
        <f>IF(B17=0,"",IFERROR(VLOOKUP(B17,'S-ASIG-06'!$B$5:$E$88,4,0),0))</f>
        <v>0</v>
      </c>
      <c r="M17" s="73">
        <f>IF(B17=0,"",IFERROR(VLOOKUP(B17,'S-ASIG-07'!$B$5:$E$88,4,0),0))</f>
        <v>0</v>
      </c>
      <c r="N17" s="68" t="s">
        <v>121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122</v>
      </c>
    </row>
    <row r="18" spans="1:22" ht="15" customHeight="1">
      <c r="A18" s="12">
        <v>14</v>
      </c>
      <c r="B18" s="70" t="str">
        <f>LIDER!C22</f>
        <v>BRENDIS VANESA HERRERA TEJEDOR</v>
      </c>
      <c r="C18" s="64" t="str">
        <f>IF(B18=0,"",IFERROR(VLOOKUP(B18,'S-ASIG-01'!$B$5:$E$88,2,0),0))</f>
        <v>G04</v>
      </c>
      <c r="D18" s="65">
        <f t="shared" si="2"/>
        <v>4.024</v>
      </c>
      <c r="E18" s="66">
        <f t="shared" si="3"/>
        <v>0</v>
      </c>
      <c r="F18" s="47"/>
      <c r="G18" s="71">
        <f>IF(B18=0,"",IFERROR(VLOOKUP(B18,'S-ASIG-01'!$B$5:$E$88,4,0),0))</f>
        <v>3.7</v>
      </c>
      <c r="H18" s="72">
        <f>IF(B18=0,"",IFERROR(VLOOKUP(B18,'S-ASIG-02'!$B$5:$E$88,4,0),0))</f>
        <v>4.07</v>
      </c>
      <c r="I18" s="72">
        <f>IF(B18=0,"",IFERROR(VLOOKUP(B18,'S-ASIG-03'!$B$5:$E$88,4,0),0))</f>
        <v>3.87</v>
      </c>
      <c r="J18" s="72">
        <f>IF(B18=0,"",IFERROR(VLOOKUP(B18,'S-ASIG-04'!$B$5:$E$88,4,0),0))</f>
        <v>4.4799999999999995</v>
      </c>
      <c r="K18" s="72">
        <f>IF(B18=0,"",IFERROR(VLOOKUP(B18,'S-ASIG-05'!$B$5:$E$88,4,0),0))</f>
        <v>3.9999999999999996</v>
      </c>
      <c r="L18" s="72">
        <f>IF(B18=0,"",IFERROR(VLOOKUP(B18,'S-ASIG-06'!$B$5:$E$88,4,0),0))</f>
        <v>0</v>
      </c>
      <c r="M18" s="73">
        <f>IF(B18=0,"",IFERROR(VLOOKUP(B18,'S-ASIG-07'!$B$5:$E$88,4,0),0))</f>
        <v>0</v>
      </c>
      <c r="N18" s="68" t="s">
        <v>121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122</v>
      </c>
    </row>
    <row r="19" spans="1:22" ht="15" customHeight="1">
      <c r="A19" s="12">
        <v>15</v>
      </c>
      <c r="B19" s="70" t="str">
        <f>LIDER!C23</f>
        <v>SOFIA DEL PILAR JULIO ROSSO</v>
      </c>
      <c r="C19" s="64" t="str">
        <f>IF(B19=0,"",IFERROR(VLOOKUP(B19,'S-ASIG-01'!$B$5:$E$88,2,0),0))</f>
        <v>G04</v>
      </c>
      <c r="D19" s="65">
        <f t="shared" si="2"/>
        <v>4.024</v>
      </c>
      <c r="E19" s="66">
        <f t="shared" si="3"/>
        <v>0</v>
      </c>
      <c r="F19" s="47"/>
      <c r="G19" s="71">
        <f>IF(B19=0,"",IFERROR(VLOOKUP(B19,'S-ASIG-01'!$B$5:$E$88,4,0),0))</f>
        <v>3.7</v>
      </c>
      <c r="H19" s="72">
        <f>IF(B19=0,"",IFERROR(VLOOKUP(B19,'S-ASIG-02'!$B$5:$E$88,4,0),0))</f>
        <v>4.07</v>
      </c>
      <c r="I19" s="72">
        <f>IF(B19=0,"",IFERROR(VLOOKUP(B19,'S-ASIG-03'!$B$5:$E$88,4,0),0))</f>
        <v>3.87</v>
      </c>
      <c r="J19" s="72">
        <f>IF(B19=0,"",IFERROR(VLOOKUP(B19,'S-ASIG-04'!$B$5:$E$88,4,0),0))</f>
        <v>4.4799999999999995</v>
      </c>
      <c r="K19" s="72">
        <f>IF(B19=0,"",IFERROR(VLOOKUP(B19,'S-ASIG-05'!$B$5:$E$88,4,0),0))</f>
        <v>3.9999999999999996</v>
      </c>
      <c r="L19" s="72">
        <f>IF(B19=0,"",IFERROR(VLOOKUP(B19,'S-ASIG-06'!$B$5:$E$88,4,0),0))</f>
        <v>0</v>
      </c>
      <c r="M19" s="73">
        <f>IF(B19=0,"",IFERROR(VLOOKUP(B19,'S-ASIG-07'!$B$5:$E$88,4,0),0))</f>
        <v>0</v>
      </c>
      <c r="N19" s="68" t="s">
        <v>121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122</v>
      </c>
    </row>
    <row r="20" spans="1:22" ht="15" customHeight="1">
      <c r="A20" s="12">
        <v>16</v>
      </c>
      <c r="B20" s="70" t="str">
        <f>LIDER!C24</f>
        <v>HEILEEN CAROLINA RUIZ RIVERO</v>
      </c>
      <c r="C20" s="64" t="str">
        <f>IF(B20=0,"",IFERROR(VLOOKUP(B20,'S-ASIG-01'!$B$5:$E$88,2,0),0))</f>
        <v>G04</v>
      </c>
      <c r="D20" s="65">
        <f t="shared" si="2"/>
        <v>4.024</v>
      </c>
      <c r="E20" s="66">
        <f t="shared" si="3"/>
        <v>0</v>
      </c>
      <c r="F20" s="47"/>
      <c r="G20" s="71">
        <f>IF(B20=0,"",IFERROR(VLOOKUP(B20,'S-ASIG-01'!$B$5:$E$88,4,0),0))</f>
        <v>3.7</v>
      </c>
      <c r="H20" s="72">
        <f>IF(B20=0,"",IFERROR(VLOOKUP(B20,'S-ASIG-02'!$B$5:$E$88,4,0),0))</f>
        <v>4.07</v>
      </c>
      <c r="I20" s="72">
        <f>IF(B20=0,"",IFERROR(VLOOKUP(B20,'S-ASIG-03'!$B$5:$E$88,4,0),0))</f>
        <v>3.87</v>
      </c>
      <c r="J20" s="72">
        <f>IF(B20=0,"",IFERROR(VLOOKUP(B20,'S-ASIG-04'!$B$5:$E$88,4,0),0))</f>
        <v>4.4799999999999995</v>
      </c>
      <c r="K20" s="72">
        <f>IF(B20=0,"",IFERROR(VLOOKUP(B20,'S-ASIG-05'!$B$5:$E$88,4,0),0))</f>
        <v>3.9999999999999996</v>
      </c>
      <c r="L20" s="72">
        <f>IF(B20=0,"",IFERROR(VLOOKUP(B20,'S-ASIG-06'!$B$5:$E$88,4,0),0))</f>
        <v>0</v>
      </c>
      <c r="M20" s="73">
        <f>IF(B20=0,"",IFERROR(VLOOKUP(B20,'S-ASIG-07'!$B$5:$E$88,4,0),0))</f>
        <v>0</v>
      </c>
      <c r="N20" s="68" t="s">
        <v>121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122</v>
      </c>
    </row>
    <row r="21" spans="1:22" ht="15" customHeight="1">
      <c r="A21" s="12">
        <v>17</v>
      </c>
      <c r="B21" s="70" t="str">
        <f>LIDER!C25</f>
        <v>HEILIN TATIANA BARRIOS CUADRADO</v>
      </c>
      <c r="C21" s="64" t="str">
        <f>IF(B21=0,"",IFERROR(VLOOKUP(B21,'S-ASIG-01'!$B$5:$E$88,2,0),0))</f>
        <v>G05</v>
      </c>
      <c r="D21" s="65">
        <f t="shared" si="2"/>
        <v>4.492</v>
      </c>
      <c r="E21" s="66">
        <f t="shared" si="3"/>
        <v>0</v>
      </c>
      <c r="F21" s="47"/>
      <c r="G21" s="71">
        <f>IF(B21=0,"",IFERROR(VLOOKUP(B21,'S-ASIG-01'!$B$5:$E$88,4,0),0))</f>
        <v>4.59</v>
      </c>
      <c r="H21" s="72">
        <f>IF(B21=0,"",IFERROR(VLOOKUP(B21,'S-ASIG-02'!$B$5:$E$88,4,0),0))</f>
        <v>4.6500000000000004</v>
      </c>
      <c r="I21" s="72">
        <f>IF(B21=0,"",IFERROR(VLOOKUP(B21,'S-ASIG-03'!$B$5:$E$88,4,0),0))</f>
        <v>4.57</v>
      </c>
      <c r="J21" s="72">
        <f>IF(B21=0,"",IFERROR(VLOOKUP(B21,'S-ASIG-04'!$B$5:$E$88,4,0),0))</f>
        <v>4.6500000000000004</v>
      </c>
      <c r="K21" s="72">
        <f>IF(B21=0,"",IFERROR(VLOOKUP(B21,'S-ASIG-05'!$B$5:$E$88,4,0),0))</f>
        <v>3.9999999999999996</v>
      </c>
      <c r="L21" s="72">
        <f>IF(B21=0,"",IFERROR(VLOOKUP(B21,'S-ASIG-06'!$B$5:$E$88,4,0),0))</f>
        <v>0</v>
      </c>
      <c r="M21" s="73">
        <f>IF(B21=0,"",IFERROR(VLOOKUP(B21,'S-ASIG-07'!$B$5:$E$88,4,0),0))</f>
        <v>0</v>
      </c>
      <c r="N21" s="68" t="s">
        <v>121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122</v>
      </c>
    </row>
    <row r="22" spans="1:22" ht="15" customHeight="1">
      <c r="A22" s="12">
        <v>18</v>
      </c>
      <c r="B22" s="70" t="str">
        <f>LIDER!C26</f>
        <v>VALERIE GARCIA MATUTE</v>
      </c>
      <c r="C22" s="64" t="str">
        <f>IF(B22=0,"",IFERROR(VLOOKUP(B22,'S-ASIG-01'!$B$5:$E$88,2,0),0))</f>
        <v>G05</v>
      </c>
      <c r="D22" s="65">
        <f t="shared" si="2"/>
        <v>4.492</v>
      </c>
      <c r="E22" s="66">
        <f t="shared" si="3"/>
        <v>0</v>
      </c>
      <c r="F22" s="47"/>
      <c r="G22" s="71">
        <f>IF(B22=0,"",IFERROR(VLOOKUP(B22,'S-ASIG-01'!$B$5:$E$88,4,0),0))</f>
        <v>4.59</v>
      </c>
      <c r="H22" s="72">
        <f>IF(B22=0,"",IFERROR(VLOOKUP(B22,'S-ASIG-02'!$B$5:$E$88,4,0),0))</f>
        <v>4.6500000000000004</v>
      </c>
      <c r="I22" s="72">
        <f>IF(B22=0,"",IFERROR(VLOOKUP(B22,'S-ASIG-03'!$B$5:$E$88,4,0),0))</f>
        <v>4.57</v>
      </c>
      <c r="J22" s="72">
        <f>IF(B22=0,"",IFERROR(VLOOKUP(B22,'S-ASIG-04'!$B$5:$E$88,4,0),0))</f>
        <v>4.6500000000000004</v>
      </c>
      <c r="K22" s="72">
        <f>IF(B22=0,"",IFERROR(VLOOKUP(B22,'S-ASIG-05'!$B$5:$E$88,4,0),0))</f>
        <v>3.9999999999999996</v>
      </c>
      <c r="L22" s="72">
        <f>IF(B22=0,"",IFERROR(VLOOKUP(B22,'S-ASIG-06'!$B$5:$E$88,4,0),0))</f>
        <v>0</v>
      </c>
      <c r="M22" s="73">
        <f>IF(B22=0,"",IFERROR(VLOOKUP(B22,'S-ASIG-07'!$B$5:$E$88,4,0),0))</f>
        <v>0</v>
      </c>
      <c r="N22" s="68" t="s">
        <v>121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122</v>
      </c>
    </row>
    <row r="23" spans="1:22" ht="15" customHeight="1">
      <c r="A23" s="12">
        <v>19</v>
      </c>
      <c r="B23" s="70" t="str">
        <f>LIDER!C27</f>
        <v>PAULA ANDREA MANJARRES CORREA</v>
      </c>
      <c r="C23" s="64" t="str">
        <f>IF(B23=0,"",IFERROR(VLOOKUP(B23,'S-ASIG-01'!$B$5:$E$88,2,0),0))</f>
        <v>G05</v>
      </c>
      <c r="D23" s="65">
        <f t="shared" si="2"/>
        <v>4.492</v>
      </c>
      <c r="E23" s="66">
        <f t="shared" si="3"/>
        <v>0</v>
      </c>
      <c r="F23" s="47"/>
      <c r="G23" s="71">
        <f>IF(B23=0,"",IFERROR(VLOOKUP(B23,'S-ASIG-01'!$B$5:$E$88,4,0),0))</f>
        <v>4.59</v>
      </c>
      <c r="H23" s="72">
        <f>IF(B23=0,"",IFERROR(VLOOKUP(B23,'S-ASIG-02'!$B$5:$E$88,4,0),0))</f>
        <v>4.6500000000000004</v>
      </c>
      <c r="I23" s="72">
        <f>IF(B23=0,"",IFERROR(VLOOKUP(B23,'S-ASIG-03'!$B$5:$E$88,4,0),0))</f>
        <v>4.57</v>
      </c>
      <c r="J23" s="72">
        <f>IF(B23=0,"",IFERROR(VLOOKUP(B23,'S-ASIG-04'!$B$5:$E$88,4,0),0))</f>
        <v>4.6500000000000004</v>
      </c>
      <c r="K23" s="72">
        <f>IF(B23=0,"",IFERROR(VLOOKUP(B23,'S-ASIG-05'!$B$5:$E$88,4,0),0))</f>
        <v>3.9999999999999996</v>
      </c>
      <c r="L23" s="72">
        <f>IF(B23=0,"",IFERROR(VLOOKUP(B23,'S-ASIG-06'!$B$5:$E$88,4,0),0))</f>
        <v>0</v>
      </c>
      <c r="M23" s="73">
        <f>IF(B23=0,"",IFERROR(VLOOKUP(B23,'S-ASIG-07'!$B$5:$E$88,4,0),0))</f>
        <v>0</v>
      </c>
      <c r="N23" s="68" t="s">
        <v>121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122</v>
      </c>
    </row>
    <row r="24" spans="1:22" ht="15" customHeight="1">
      <c r="A24" s="12">
        <v>20</v>
      </c>
      <c r="B24" s="70" t="str">
        <f>LIDER!C28</f>
        <v>YEMILY ALBANIS MARTINEZ JULIO</v>
      </c>
      <c r="C24" s="64" t="str">
        <f>IF(B24=0,"",IFERROR(VLOOKUP(B24,'S-ASIG-01'!$B$5:$E$88,2,0),0))</f>
        <v>G05</v>
      </c>
      <c r="D24" s="65">
        <f t="shared" si="2"/>
        <v>4.492</v>
      </c>
      <c r="E24" s="66">
        <f t="shared" si="3"/>
        <v>0</v>
      </c>
      <c r="F24" s="47"/>
      <c r="G24" s="71">
        <f>IF(B24=0,"",IFERROR(VLOOKUP(B24,'S-ASIG-01'!$B$5:$E$88,4,0),0))</f>
        <v>4.59</v>
      </c>
      <c r="H24" s="72">
        <f>IF(B24=0,"",IFERROR(VLOOKUP(B24,'S-ASIG-02'!$B$5:$E$88,4,0),0))</f>
        <v>4.6500000000000004</v>
      </c>
      <c r="I24" s="72">
        <f>IF(B24=0,"",IFERROR(VLOOKUP(B24,'S-ASIG-03'!$B$5:$E$88,4,0),0))</f>
        <v>4.57</v>
      </c>
      <c r="J24" s="72">
        <f>IF(B24=0,"",IFERROR(VLOOKUP(B24,'S-ASIG-04'!$B$5:$E$88,4,0),0))</f>
        <v>4.6500000000000004</v>
      </c>
      <c r="K24" s="72">
        <f>IF(B24=0,"",IFERROR(VLOOKUP(B24,'S-ASIG-05'!$B$5:$E$88,4,0),0))</f>
        <v>3.9999999999999996</v>
      </c>
      <c r="L24" s="72">
        <f>IF(B24=0,"",IFERROR(VLOOKUP(B24,'S-ASIG-06'!$B$5:$E$88,4,0),0))</f>
        <v>0</v>
      </c>
      <c r="M24" s="73">
        <f>IF(B24=0,"",IFERROR(VLOOKUP(B24,'S-ASIG-07'!$B$5:$E$88,4,0),0))</f>
        <v>0</v>
      </c>
      <c r="N24" s="68" t="s">
        <v>121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122</v>
      </c>
    </row>
    <row r="25" spans="1:22" ht="15" customHeight="1">
      <c r="A25" s="12">
        <v>21</v>
      </c>
      <c r="B25" s="70" t="str">
        <f>LIDER!C29</f>
        <v>YEN ENRIQUE GONZALEZ ORTIZ</v>
      </c>
      <c r="C25" s="64" t="str">
        <f>IF(B25=0,"",IFERROR(VLOOKUP(B25,'S-ASIG-01'!$B$5:$E$88,2,0),0))</f>
        <v>G06</v>
      </c>
      <c r="D25" s="65">
        <f t="shared" si="2"/>
        <v>3.6579999999999999</v>
      </c>
      <c r="E25" s="66">
        <f t="shared" si="3"/>
        <v>0</v>
      </c>
      <c r="F25" s="47"/>
      <c r="G25" s="71">
        <f>IF(B25=0,"",IFERROR(VLOOKUP(B25,'S-ASIG-01'!$B$5:$E$88,4,0),0))</f>
        <v>3</v>
      </c>
      <c r="H25" s="72">
        <f>IF(B25=0,"",IFERROR(VLOOKUP(B25,'S-ASIG-02'!$B$5:$E$88,4,0),0))</f>
        <v>3.7</v>
      </c>
      <c r="I25" s="72">
        <f>IF(B25=0,"",IFERROR(VLOOKUP(B25,'S-ASIG-03'!$B$5:$E$88,4,0),0))</f>
        <v>3.8400000000000003</v>
      </c>
      <c r="J25" s="72">
        <f>IF(B25=0,"",IFERROR(VLOOKUP(B25,'S-ASIG-04'!$B$5:$E$88,4,0),0))</f>
        <v>3.75</v>
      </c>
      <c r="K25" s="72">
        <f>IF(B25=0,"",IFERROR(VLOOKUP(B25,'S-ASIG-05'!$B$5:$E$88,4,0),0))</f>
        <v>3.9999999999999996</v>
      </c>
      <c r="L25" s="72">
        <f>IF(B25=0,"",IFERROR(VLOOKUP(B25,'S-ASIG-06'!$B$5:$E$88,4,0),0))</f>
        <v>0</v>
      </c>
      <c r="M25" s="73">
        <f>IF(B25=0,"",IFERROR(VLOOKUP(B25,'S-ASIG-07'!$B$5:$E$88,4,0),0))</f>
        <v>0</v>
      </c>
      <c r="N25" s="68" t="s">
        <v>121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122</v>
      </c>
    </row>
    <row r="26" spans="1:22" ht="15" customHeight="1">
      <c r="A26" s="12">
        <v>22</v>
      </c>
      <c r="B26" s="70" t="str">
        <f>LIDER!C30</f>
        <v>NEIDER CAMILO HIDALGO GUZMAN</v>
      </c>
      <c r="C26" s="64" t="str">
        <f>IF(B26=0,"",IFERROR(VLOOKUP(B26,'S-ASIG-01'!$B$5:$E$88,2,0),0))</f>
        <v>G06</v>
      </c>
      <c r="D26" s="65">
        <f t="shared" si="2"/>
        <v>3.6579999999999999</v>
      </c>
      <c r="E26" s="66">
        <f t="shared" si="3"/>
        <v>0</v>
      </c>
      <c r="F26" s="47"/>
      <c r="G26" s="71">
        <f>IF(B26=0,"",IFERROR(VLOOKUP(B26,'S-ASIG-01'!$B$5:$E$88,4,0),0))</f>
        <v>3</v>
      </c>
      <c r="H26" s="72">
        <f>IF(B26=0,"",IFERROR(VLOOKUP(B26,'S-ASIG-02'!$B$5:$E$88,4,0),0))</f>
        <v>3.7</v>
      </c>
      <c r="I26" s="72">
        <f>IF(B26=0,"",IFERROR(VLOOKUP(B26,'S-ASIG-03'!$B$5:$E$88,4,0),0))</f>
        <v>3.8400000000000003</v>
      </c>
      <c r="J26" s="72">
        <f>IF(B26=0,"",IFERROR(VLOOKUP(B26,'S-ASIG-04'!$B$5:$E$88,4,0),0))</f>
        <v>3.75</v>
      </c>
      <c r="K26" s="72">
        <f>IF(B26=0,"",IFERROR(VLOOKUP(B26,'S-ASIG-05'!$B$5:$E$88,4,0),0))</f>
        <v>3.9999999999999996</v>
      </c>
      <c r="L26" s="72">
        <f>IF(B26=0,"",IFERROR(VLOOKUP(B26,'S-ASIG-06'!$B$5:$E$88,4,0),0))</f>
        <v>0</v>
      </c>
      <c r="M26" s="73">
        <f>IF(B26=0,"",IFERROR(VLOOKUP(B26,'S-ASIG-07'!$B$5:$E$88,4,0),0))</f>
        <v>0</v>
      </c>
      <c r="N26" s="68" t="s">
        <v>121</v>
      </c>
      <c r="O26" s="71">
        <f>IF(B26=0,"",IFERROR(VLOOKUP(B26,'T-ASIG-01'!$B$5:$D$88,3,0),0))</f>
        <v>0</v>
      </c>
      <c r="P26" s="72">
        <f>IF(B26=0,"",IFERROR(VLOOKUP(B26,'T-ASIG-02'!$B$5:$D$88,3,0),0))</f>
        <v>0</v>
      </c>
      <c r="Q26" s="72">
        <f>IF(B26=0,"",IFERROR(VLOOKUP(B26,'T-ASIG-03'!$B$5:$D$88,3,0),0))</f>
        <v>0</v>
      </c>
      <c r="R26" s="72">
        <f>IF(B26=0,"",IFERROR(VLOOKUP(B26,'T-ASIG-04'!$B$5:$D$88,3,0),0))</f>
        <v>0</v>
      </c>
      <c r="S26" s="72">
        <f>IF(B26=0,"",IFERROR(VLOOKUP(B26,'T-ASIG-05'!$B$5:$D$88,3,0),0))</f>
        <v>0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122</v>
      </c>
    </row>
    <row r="27" spans="1:22" ht="15" customHeight="1">
      <c r="A27" s="12">
        <v>23</v>
      </c>
      <c r="B27" s="70" t="str">
        <f>LIDER!C31</f>
        <v>MARTHA SUSANA LEON DE LAS AGUAS</v>
      </c>
      <c r="C27" s="64" t="str">
        <f>IF(B27=0,"",IFERROR(VLOOKUP(B27,'S-ASIG-01'!$B$5:$E$88,2,0),0))</f>
        <v>G06</v>
      </c>
      <c r="D27" s="65">
        <f t="shared" si="2"/>
        <v>3.6579999999999999</v>
      </c>
      <c r="E27" s="66">
        <f t="shared" si="3"/>
        <v>0</v>
      </c>
      <c r="F27" s="47"/>
      <c r="G27" s="71">
        <f>IF(B27=0,"",IFERROR(VLOOKUP(B27,'S-ASIG-01'!$B$5:$E$88,4,0),0))</f>
        <v>3</v>
      </c>
      <c r="H27" s="72">
        <f>IF(B27=0,"",IFERROR(VLOOKUP(B27,'S-ASIG-02'!$B$5:$E$88,4,0),0))</f>
        <v>3.7</v>
      </c>
      <c r="I27" s="72">
        <f>IF(B27=0,"",IFERROR(VLOOKUP(B27,'S-ASIG-03'!$B$5:$E$88,4,0),0))</f>
        <v>3.8400000000000003</v>
      </c>
      <c r="J27" s="72">
        <f>IF(B27=0,"",IFERROR(VLOOKUP(B27,'S-ASIG-04'!$B$5:$E$88,4,0),0))</f>
        <v>3.75</v>
      </c>
      <c r="K27" s="72">
        <f>IF(B27=0,"",IFERROR(VLOOKUP(B27,'S-ASIG-05'!$B$5:$E$88,4,0),0))</f>
        <v>3.9999999999999996</v>
      </c>
      <c r="L27" s="72">
        <f>IF(B27=0,"",IFERROR(VLOOKUP(B27,'S-ASIG-06'!$B$5:$E$88,4,0),0))</f>
        <v>0</v>
      </c>
      <c r="M27" s="73">
        <f>IF(B27=0,"",IFERROR(VLOOKUP(B27,'S-ASIG-07'!$B$5:$E$88,4,0),0))</f>
        <v>0</v>
      </c>
      <c r="N27" s="68" t="s">
        <v>121</v>
      </c>
      <c r="O27" s="71">
        <f>IF(B27=0,"",IFERROR(VLOOKUP(B27,'T-ASIG-01'!$B$5:$D$88,3,0),0))</f>
        <v>0</v>
      </c>
      <c r="P27" s="72">
        <f>IF(B27=0,"",IFERROR(VLOOKUP(B27,'T-ASIG-02'!$B$5:$D$88,3,0),0))</f>
        <v>0</v>
      </c>
      <c r="Q27" s="72">
        <f>IF(B27=0,"",IFERROR(VLOOKUP(B27,'T-ASIG-03'!$B$5:$D$88,3,0),0))</f>
        <v>0</v>
      </c>
      <c r="R27" s="72">
        <f>IF(B27=0,"",IFERROR(VLOOKUP(B27,'T-ASIG-04'!$B$5:$D$88,3,0),0))</f>
        <v>0</v>
      </c>
      <c r="S27" s="72">
        <f>IF(B27=0,"",IFERROR(VLOOKUP(B27,'T-ASIG-05'!$B$5:$D$88,3,0),0))</f>
        <v>0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122</v>
      </c>
    </row>
    <row r="28" spans="1:22" ht="15" customHeight="1">
      <c r="A28" s="12">
        <v>24</v>
      </c>
      <c r="B28" s="70" t="str">
        <f>LIDER!C32</f>
        <v>MELIDA ISABEL MACIAS COA</v>
      </c>
      <c r="C28" s="64" t="str">
        <f>IF(B28=0,"",IFERROR(VLOOKUP(B28,'S-ASIG-01'!$B$5:$E$88,2,0),0))</f>
        <v>G06</v>
      </c>
      <c r="D28" s="65">
        <f t="shared" si="2"/>
        <v>3.6579999999999999</v>
      </c>
      <c r="E28" s="66">
        <f t="shared" si="3"/>
        <v>0</v>
      </c>
      <c r="F28" s="47"/>
      <c r="G28" s="71">
        <f>IF(B28=0,"",IFERROR(VLOOKUP(B28,'S-ASIG-01'!$B$5:$E$88,4,0),0))</f>
        <v>3</v>
      </c>
      <c r="H28" s="72">
        <f>IF(B28=0,"",IFERROR(VLOOKUP(B28,'S-ASIG-02'!$B$5:$E$88,4,0),0))</f>
        <v>3.7</v>
      </c>
      <c r="I28" s="72">
        <f>IF(B28=0,"",IFERROR(VLOOKUP(B28,'S-ASIG-03'!$B$5:$E$88,4,0),0))</f>
        <v>3.8400000000000003</v>
      </c>
      <c r="J28" s="72">
        <f>IF(B28=0,"",IFERROR(VLOOKUP(B28,'S-ASIG-04'!$B$5:$E$88,4,0),0))</f>
        <v>3.75</v>
      </c>
      <c r="K28" s="72">
        <f>IF(B28=0,"",IFERROR(VLOOKUP(B28,'S-ASIG-05'!$B$5:$E$88,4,0),0))</f>
        <v>3.9999999999999996</v>
      </c>
      <c r="L28" s="72">
        <f>IF(B28=0,"",IFERROR(VLOOKUP(B28,'S-ASIG-06'!$B$5:$E$88,4,0),0))</f>
        <v>0</v>
      </c>
      <c r="M28" s="73">
        <f>IF(B28=0,"",IFERROR(VLOOKUP(B28,'S-ASIG-07'!$B$5:$E$88,4,0),0))</f>
        <v>0</v>
      </c>
      <c r="N28" s="68" t="s">
        <v>121</v>
      </c>
      <c r="O28" s="71">
        <f>IF(B28=0,"",IFERROR(VLOOKUP(B28,'T-ASIG-01'!$B$5:$D$88,3,0),0))</f>
        <v>0</v>
      </c>
      <c r="P28" s="72">
        <f>IF(B28=0,"",IFERROR(VLOOKUP(B28,'T-ASIG-02'!$B$5:$D$88,3,0),0))</f>
        <v>0</v>
      </c>
      <c r="Q28" s="72">
        <f>IF(B28=0,"",IFERROR(VLOOKUP(B28,'T-ASIG-03'!$B$5:$D$88,3,0),0))</f>
        <v>0</v>
      </c>
      <c r="R28" s="72">
        <f>IF(B28=0,"",IFERROR(VLOOKUP(B28,'T-ASIG-04'!$B$5:$D$88,3,0),0))</f>
        <v>0</v>
      </c>
      <c r="S28" s="72">
        <f>IF(B28=0,"",IFERROR(VLOOKUP(B28,'T-ASIG-05'!$B$5:$D$88,3,0),0))</f>
        <v>0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122</v>
      </c>
    </row>
    <row r="29" spans="1:22" ht="15" customHeight="1">
      <c r="A29" s="12">
        <v>25</v>
      </c>
      <c r="B29" s="70" t="str">
        <f>LIDER!C33</f>
        <v>ANDREA CAROLINA MARTINEZ RUZ</v>
      </c>
      <c r="C29" s="64" t="str">
        <f>IF(B29=0,"",IFERROR(VLOOKUP(B29,'S-ASIG-01'!$B$5:$E$88,2,0),0))</f>
        <v>G06</v>
      </c>
      <c r="D29" s="65">
        <f t="shared" si="2"/>
        <v>3.6579999999999999</v>
      </c>
      <c r="E29" s="66">
        <f t="shared" si="3"/>
        <v>0</v>
      </c>
      <c r="F29" s="47"/>
      <c r="G29" s="71">
        <f>IF(B29=0,"",IFERROR(VLOOKUP(B29,'S-ASIG-01'!$B$5:$E$88,4,0),0))</f>
        <v>3</v>
      </c>
      <c r="H29" s="72">
        <f>IF(B29=0,"",IFERROR(VLOOKUP(B29,'S-ASIG-02'!$B$5:$E$88,4,0),0))</f>
        <v>3.7</v>
      </c>
      <c r="I29" s="72">
        <f>IF(B29=0,"",IFERROR(VLOOKUP(B29,'S-ASIG-03'!$B$5:$E$88,4,0),0))</f>
        <v>3.8400000000000003</v>
      </c>
      <c r="J29" s="72">
        <f>IF(B29=0,"",IFERROR(VLOOKUP(B29,'S-ASIG-04'!$B$5:$E$88,4,0),0))</f>
        <v>3.75</v>
      </c>
      <c r="K29" s="72">
        <f>IF(B29=0,"",IFERROR(VLOOKUP(B29,'S-ASIG-05'!$B$5:$E$88,4,0),0))</f>
        <v>3.9999999999999996</v>
      </c>
      <c r="L29" s="72">
        <f>IF(B29=0,"",IFERROR(VLOOKUP(B29,'S-ASIG-06'!$B$5:$E$88,4,0),0))</f>
        <v>0</v>
      </c>
      <c r="M29" s="73">
        <f>IF(B29=0,"",IFERROR(VLOOKUP(B29,'S-ASIG-07'!$B$5:$E$88,4,0),0))</f>
        <v>0</v>
      </c>
      <c r="N29" s="68" t="s">
        <v>121</v>
      </c>
      <c r="O29" s="71">
        <f>IF(B29=0,"",IFERROR(VLOOKUP(B29,'T-ASIG-01'!$B$5:$D$88,3,0),0))</f>
        <v>0</v>
      </c>
      <c r="P29" s="72">
        <f>IF(B29=0,"",IFERROR(VLOOKUP(B29,'T-ASIG-02'!$B$5:$D$88,3,0),0))</f>
        <v>0</v>
      </c>
      <c r="Q29" s="72">
        <f>IF(B29=0,"",IFERROR(VLOOKUP(B29,'T-ASIG-03'!$B$5:$D$88,3,0),0))</f>
        <v>0</v>
      </c>
      <c r="R29" s="72">
        <f>IF(B29=0,"",IFERROR(VLOOKUP(B29,'T-ASIG-04'!$B$5:$D$88,3,0),0))</f>
        <v>0</v>
      </c>
      <c r="S29" s="72">
        <f>IF(B29=0,"",IFERROR(VLOOKUP(B29,'T-ASIG-05'!$B$5:$D$88,3,0),0))</f>
        <v>0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122</v>
      </c>
    </row>
    <row r="30" spans="1:22" ht="15" customHeight="1">
      <c r="A30" s="12">
        <v>26</v>
      </c>
      <c r="B30" s="70" t="str">
        <f>LIDER!C34</f>
        <v>ARMANDO FABIO MIRANDA SIERRA</v>
      </c>
      <c r="C30" s="64" t="str">
        <f>IF(B30=0,"",IFERROR(VLOOKUP(B30,'S-ASIG-01'!$B$5:$E$88,2,0),0))</f>
        <v>G06</v>
      </c>
      <c r="D30" s="65">
        <f t="shared" si="2"/>
        <v>3.6579999999999999</v>
      </c>
      <c r="E30" s="66">
        <f t="shared" si="3"/>
        <v>0</v>
      </c>
      <c r="F30" s="47"/>
      <c r="G30" s="71">
        <f>IF(B30=0,"",IFERROR(VLOOKUP(B30,'S-ASIG-01'!$B$5:$E$88,4,0),0))</f>
        <v>3</v>
      </c>
      <c r="H30" s="72">
        <f>IF(B30=0,"",IFERROR(VLOOKUP(B30,'S-ASIG-02'!$B$5:$E$88,4,0),0))</f>
        <v>3.7</v>
      </c>
      <c r="I30" s="72">
        <f>IF(B30=0,"",IFERROR(VLOOKUP(B30,'S-ASIG-03'!$B$5:$E$88,4,0),0))</f>
        <v>3.8400000000000003</v>
      </c>
      <c r="J30" s="72">
        <f>IF(B30=0,"",IFERROR(VLOOKUP(B30,'S-ASIG-04'!$B$5:$E$88,4,0),0))</f>
        <v>3.75</v>
      </c>
      <c r="K30" s="72">
        <f>IF(B30=0,"",IFERROR(VLOOKUP(B30,'S-ASIG-05'!$B$5:$E$88,4,0),0))</f>
        <v>3.9999999999999996</v>
      </c>
      <c r="L30" s="72">
        <f>IF(B30=0,"",IFERROR(VLOOKUP(B30,'S-ASIG-06'!$B$5:$E$88,4,0),0))</f>
        <v>0</v>
      </c>
      <c r="M30" s="73">
        <f>IF(B30=0,"",IFERROR(VLOOKUP(B30,'S-ASIG-07'!$B$5:$E$88,4,0),0))</f>
        <v>0</v>
      </c>
      <c r="N30" s="68" t="s">
        <v>121</v>
      </c>
      <c r="O30" s="71">
        <f>IF(B30=0,"",IFERROR(VLOOKUP(B30,'T-ASIG-01'!$B$5:$D$88,3,0),0))</f>
        <v>0</v>
      </c>
      <c r="P30" s="72">
        <f>IF(B30=0,"",IFERROR(VLOOKUP(B30,'T-ASIG-02'!$B$5:$D$88,3,0),0))</f>
        <v>0</v>
      </c>
      <c r="Q30" s="72">
        <f>IF(B30=0,"",IFERROR(VLOOKUP(B30,'T-ASIG-03'!$B$5:$D$88,3,0),0))</f>
        <v>0</v>
      </c>
      <c r="R30" s="72">
        <f>IF(B30=0,"",IFERROR(VLOOKUP(B30,'T-ASIG-04'!$B$5:$D$88,3,0),0))</f>
        <v>0</v>
      </c>
      <c r="S30" s="72">
        <f>IF(B30=0,"",IFERROR(VLOOKUP(B30,'T-ASIG-05'!$B$5:$D$88,3,0),0))</f>
        <v>0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122</v>
      </c>
    </row>
    <row r="31" spans="1:22" ht="15" customHeight="1">
      <c r="A31" s="12">
        <v>27</v>
      </c>
      <c r="B31" s="70" t="str">
        <f>LIDER!C35</f>
        <v>JENNIFER JOHANNA ANGULO ARRIETA</v>
      </c>
      <c r="C31" s="64" t="str">
        <f>IF(B31=0,"",IFERROR(VLOOKUP(B31,'S-ASIG-01'!$B$5:$E$88,2,0),0))</f>
        <v>G07</v>
      </c>
      <c r="D31" s="65">
        <f t="shared" si="2"/>
        <v>3.28</v>
      </c>
      <c r="E31" s="66">
        <f t="shared" si="3"/>
        <v>0</v>
      </c>
      <c r="F31" s="47"/>
      <c r="G31" s="71">
        <f>IF(B31=0,"",IFERROR(VLOOKUP(B31,'S-ASIG-01'!$B$5:$E$88,4,0),0))</f>
        <v>3.5399999999999996</v>
      </c>
      <c r="H31" s="72">
        <f>IF(B31=0,"",IFERROR(VLOOKUP(B31,'S-ASIG-02'!$B$5:$E$88,4,0),0))</f>
        <v>3.55</v>
      </c>
      <c r="I31" s="72">
        <f>IF(B31=0,"",IFERROR(VLOOKUP(B31,'S-ASIG-03'!$B$5:$E$88,4,0),0))</f>
        <v>3.3099999999999996</v>
      </c>
      <c r="J31" s="72">
        <f>IF(B31=0,"",IFERROR(VLOOKUP(B31,'S-ASIG-04'!$B$5:$E$88,4,0),0))</f>
        <v>2.7</v>
      </c>
      <c r="K31" s="72">
        <f>IF(B31=0,"",IFERROR(VLOOKUP(B31,'S-ASIG-05'!$B$5:$E$88,4,0),0))</f>
        <v>3.3000000000000007</v>
      </c>
      <c r="L31" s="72">
        <f>IF(B31=0,"",IFERROR(VLOOKUP(B31,'S-ASIG-06'!$B$5:$E$88,4,0),0))</f>
        <v>0</v>
      </c>
      <c r="M31" s="73">
        <f>IF(B31=0,"",IFERROR(VLOOKUP(B31,'S-ASIG-07'!$B$5:$E$88,4,0),0))</f>
        <v>0</v>
      </c>
      <c r="N31" s="68" t="s">
        <v>121</v>
      </c>
      <c r="O31" s="71">
        <f>IF(B31=0,"",IFERROR(VLOOKUP(B31,'T-ASIG-01'!$B$5:$D$88,3,0),0))</f>
        <v>0</v>
      </c>
      <c r="P31" s="72">
        <f>IF(B31=0,"",IFERROR(VLOOKUP(B31,'T-ASIG-02'!$B$5:$D$88,3,0),0))</f>
        <v>0</v>
      </c>
      <c r="Q31" s="72">
        <f>IF(B31=0,"",IFERROR(VLOOKUP(B31,'T-ASIG-03'!$B$5:$D$88,3,0),0))</f>
        <v>0</v>
      </c>
      <c r="R31" s="72">
        <f>IF(B31=0,"",IFERROR(VLOOKUP(B31,'T-ASIG-04'!$B$5:$D$88,3,0),0))</f>
        <v>0</v>
      </c>
      <c r="S31" s="72">
        <f>IF(B31=0,"",IFERROR(VLOOKUP(B31,'T-ASIG-05'!$B$5:$D$88,3,0),0))</f>
        <v>0</v>
      </c>
      <c r="T31" s="72">
        <f>IF(B31=0,"",IFERROR(VLOOKUP(B31,'T-ASIG-06'!$B$5:$D$88,3,0),0))</f>
        <v>0</v>
      </c>
      <c r="U31" s="73">
        <f>IF(B31=0,"",IFERROR(VLOOKUP(B31,'T-ASIG-07'!$B$5:$D$88,3,0),0))</f>
        <v>0</v>
      </c>
      <c r="V31" s="69" t="s">
        <v>122</v>
      </c>
    </row>
    <row r="32" spans="1:22" ht="15" customHeight="1">
      <c r="A32" s="12">
        <v>28</v>
      </c>
      <c r="B32" s="70" t="str">
        <f>LIDER!C36</f>
        <v>YAMILEISIS BOLAÑO GONZALEZ</v>
      </c>
      <c r="C32" s="64" t="str">
        <f>IF(B32=0,"",IFERROR(VLOOKUP(B32,'S-ASIG-01'!$B$5:$E$88,2,0),0))</f>
        <v>G07</v>
      </c>
      <c r="D32" s="65">
        <f t="shared" si="2"/>
        <v>3.28</v>
      </c>
      <c r="E32" s="66">
        <f t="shared" si="3"/>
        <v>0</v>
      </c>
      <c r="F32" s="47"/>
      <c r="G32" s="71">
        <f>IF(B32=0,"",IFERROR(VLOOKUP(B32,'S-ASIG-01'!$B$5:$E$88,4,0),0))</f>
        <v>3.5399999999999996</v>
      </c>
      <c r="H32" s="72">
        <f>IF(B32=0,"",IFERROR(VLOOKUP(B32,'S-ASIG-02'!$B$5:$E$88,4,0),0))</f>
        <v>3.55</v>
      </c>
      <c r="I32" s="72">
        <f>IF(B32=0,"",IFERROR(VLOOKUP(B32,'S-ASIG-03'!$B$5:$E$88,4,0),0))</f>
        <v>3.3099999999999996</v>
      </c>
      <c r="J32" s="72">
        <f>IF(B32=0,"",IFERROR(VLOOKUP(B32,'S-ASIG-04'!$B$5:$E$88,4,0),0))</f>
        <v>2.7</v>
      </c>
      <c r="K32" s="72">
        <f>IF(B32=0,"",IFERROR(VLOOKUP(B32,'S-ASIG-05'!$B$5:$E$88,4,0),0))</f>
        <v>3.3000000000000007</v>
      </c>
      <c r="L32" s="72">
        <f>IF(B32=0,"",IFERROR(VLOOKUP(B32,'S-ASIG-06'!$B$5:$E$88,4,0),0))</f>
        <v>0</v>
      </c>
      <c r="M32" s="73">
        <f>IF(B32=0,"",IFERROR(VLOOKUP(B32,'S-ASIG-07'!$B$5:$E$88,4,0),0))</f>
        <v>0</v>
      </c>
      <c r="N32" s="68" t="s">
        <v>121</v>
      </c>
      <c r="O32" s="71">
        <f>IF(B32=0,"",IFERROR(VLOOKUP(B32,'T-ASIG-01'!$B$5:$D$88,3,0),0))</f>
        <v>0</v>
      </c>
      <c r="P32" s="72">
        <f>IF(B32=0,"",IFERROR(VLOOKUP(B32,'T-ASIG-02'!$B$5:$D$88,3,0),0))</f>
        <v>0</v>
      </c>
      <c r="Q32" s="72">
        <f>IF(B32=0,"",IFERROR(VLOOKUP(B32,'T-ASIG-03'!$B$5:$D$88,3,0),0))</f>
        <v>0</v>
      </c>
      <c r="R32" s="72">
        <f>IF(B32=0,"",IFERROR(VLOOKUP(B32,'T-ASIG-04'!$B$5:$D$88,3,0),0))</f>
        <v>0</v>
      </c>
      <c r="S32" s="72">
        <f>IF(B32=0,"",IFERROR(VLOOKUP(B32,'T-ASIG-05'!$B$5:$D$88,3,0),0))</f>
        <v>0</v>
      </c>
      <c r="T32" s="72">
        <f>IF(B32=0,"",IFERROR(VLOOKUP(B32,'T-ASIG-06'!$B$5:$D$88,3,0),0))</f>
        <v>0</v>
      </c>
      <c r="U32" s="73">
        <f>IF(B32=0,"",IFERROR(VLOOKUP(B32,'T-ASIG-07'!$B$5:$D$88,3,0),0))</f>
        <v>0</v>
      </c>
      <c r="V32" s="69" t="s">
        <v>122</v>
      </c>
    </row>
    <row r="33" spans="1:22" ht="15" customHeight="1">
      <c r="A33" s="12">
        <v>29</v>
      </c>
      <c r="B33" s="70" t="str">
        <f>LIDER!C37</f>
        <v>NICOLL VALENTINA VILLALOBOS SARMIENTO</v>
      </c>
      <c r="C33" s="64" t="str">
        <f>IF(B33=0,"",IFERROR(VLOOKUP(B33,'S-ASIG-01'!$B$5:$E$88,2,0),0))</f>
        <v>G07</v>
      </c>
      <c r="D33" s="65">
        <f t="shared" si="2"/>
        <v>3.4633333333333334</v>
      </c>
      <c r="E33" s="66">
        <f t="shared" si="3"/>
        <v>0</v>
      </c>
      <c r="F33" s="47"/>
      <c r="G33" s="71">
        <f>IF(B33=0,"",IFERROR(VLOOKUP(B33,'S-ASIG-01'!$B$5:$E$88,4,0),0))</f>
        <v>3.5399999999999996</v>
      </c>
      <c r="H33" s="72">
        <f>IF(B33=0,"",IFERROR(VLOOKUP(B33,'S-ASIG-02'!$B$5:$E$88,4,0),0))</f>
        <v>3.55</v>
      </c>
      <c r="I33" s="72" t="str">
        <f>IF(B33=0,"",IFERROR(VLOOKUP(B33,'S-ASIG-03'!$B$5:$E$88,4,0),0))</f>
        <v>N</v>
      </c>
      <c r="J33" s="72" t="str">
        <f>IF(B33=0,"",IFERROR(VLOOKUP(B33,'S-ASIG-04'!$B$5:$E$88,4,0),0))</f>
        <v>N</v>
      </c>
      <c r="K33" s="72">
        <f>IF(B33=0,"",IFERROR(VLOOKUP(B33,'S-ASIG-05'!$B$5:$E$88,4,0),0))</f>
        <v>3.3000000000000007</v>
      </c>
      <c r="L33" s="72">
        <f>IF(B33=0,"",IFERROR(VLOOKUP(B33,'S-ASIG-06'!$B$5:$E$88,4,0),0))</f>
        <v>0</v>
      </c>
      <c r="M33" s="73">
        <f>IF(B33=0,"",IFERROR(VLOOKUP(B33,'S-ASIG-07'!$B$5:$E$88,4,0),0))</f>
        <v>0</v>
      </c>
      <c r="N33" s="68" t="s">
        <v>121</v>
      </c>
      <c r="O33" s="71">
        <f>IF(B33=0,"",IFERROR(VLOOKUP(B33,'T-ASIG-01'!$B$5:$D$88,3,0),0))</f>
        <v>0</v>
      </c>
      <c r="P33" s="72">
        <f>IF(B33=0,"",IFERROR(VLOOKUP(B33,'T-ASIG-02'!$B$5:$D$88,3,0),0))</f>
        <v>0</v>
      </c>
      <c r="Q33" s="72" t="str">
        <f>IF(B33=0,"",IFERROR(VLOOKUP(B33,'T-ASIG-03'!$B$5:$D$88,3,0),0))</f>
        <v>N</v>
      </c>
      <c r="R33" s="72" t="str">
        <f>IF(B33=0,"",IFERROR(VLOOKUP(B33,'T-ASIG-04'!$B$5:$D$88,3,0),0))</f>
        <v>N</v>
      </c>
      <c r="S33" s="72">
        <f>IF(B33=0,"",IFERROR(VLOOKUP(B33,'T-ASIG-05'!$B$5:$D$88,3,0),0))</f>
        <v>0</v>
      </c>
      <c r="T33" s="72">
        <f>IF(B33=0,"",IFERROR(VLOOKUP(B33,'T-ASIG-06'!$B$5:$D$88,3,0),0))</f>
        <v>0</v>
      </c>
      <c r="U33" s="73">
        <f>IF(B33=0,"",IFERROR(VLOOKUP(B33,'T-ASIG-07'!$B$5:$D$88,3,0),0))</f>
        <v>0</v>
      </c>
      <c r="V33" s="69" t="s">
        <v>122</v>
      </c>
    </row>
    <row r="34" spans="1:22" ht="15" customHeight="1">
      <c r="A34" s="12">
        <v>30</v>
      </c>
      <c r="B34" s="70" t="str">
        <f>LIDER!C38</f>
        <v>MARIA JOSE HERRERA DAZA</v>
      </c>
      <c r="C34" s="64" t="str">
        <f>IF(B34=0,"",IFERROR(VLOOKUP(B34,'S-ASIG-01'!$B$5:$E$88,2,0),0))</f>
        <v>G08</v>
      </c>
      <c r="D34" s="65">
        <f t="shared" si="2"/>
        <v>3.3625000000000007</v>
      </c>
      <c r="E34" s="66">
        <f t="shared" si="3"/>
        <v>0</v>
      </c>
      <c r="F34" s="47"/>
      <c r="G34" s="71">
        <f>IF(B34=0,"",IFERROR(VLOOKUP(B34,'S-ASIG-01'!$B$5:$E$88,4,0),0))</f>
        <v>3.0500000000000007</v>
      </c>
      <c r="H34" s="72">
        <f>IF(B34=0,"",IFERROR(VLOOKUP(B34,'S-ASIG-02'!$B$5:$E$88,4,0),0))</f>
        <v>3.6</v>
      </c>
      <c r="I34" s="72">
        <f>IF(B34=0,"",IFERROR(VLOOKUP(B34,'S-ASIG-03'!$B$5:$E$88,4,0),0))</f>
        <v>0</v>
      </c>
      <c r="J34" s="72">
        <f>IF(B34=0,"",IFERROR(VLOOKUP(B34,'S-ASIG-04'!$B$5:$E$88,4,0),0))</f>
        <v>3.45</v>
      </c>
      <c r="K34" s="72">
        <f>IF(B34=0,"",IFERROR(VLOOKUP(B34,'S-ASIG-05'!$B$5:$E$88,4,0),0))</f>
        <v>3.3500000000000005</v>
      </c>
      <c r="L34" s="72">
        <f>IF(B34=0,"",IFERROR(VLOOKUP(B34,'S-ASIG-06'!$B$5:$E$88,4,0),0))</f>
        <v>0</v>
      </c>
      <c r="M34" s="73">
        <f>IF(B34=0,"",IFERROR(VLOOKUP(B34,'S-ASIG-07'!$B$5:$E$88,4,0),0))</f>
        <v>0</v>
      </c>
      <c r="N34" s="68" t="s">
        <v>121</v>
      </c>
      <c r="O34" s="71">
        <f>IF(B34=0,"",IFERROR(VLOOKUP(B34,'T-ASIG-01'!$B$5:$D$88,3,0),0))</f>
        <v>0</v>
      </c>
      <c r="P34" s="72">
        <f>IF(B34=0,"",IFERROR(VLOOKUP(B34,'T-ASIG-02'!$B$5:$D$88,3,0),0))</f>
        <v>0</v>
      </c>
      <c r="Q34" s="72">
        <f>IF(B34=0,"",IFERROR(VLOOKUP(B34,'T-ASIG-03'!$B$5:$D$88,3,0),0))</f>
        <v>0</v>
      </c>
      <c r="R34" s="72">
        <f>IF(B34=0,"",IFERROR(VLOOKUP(B34,'T-ASIG-04'!$B$5:$D$88,3,0),0))</f>
        <v>0</v>
      </c>
      <c r="S34" s="72">
        <f>IF(B34=0,"",IFERROR(VLOOKUP(B34,'T-ASIG-05'!$B$5:$D$88,3,0),0))</f>
        <v>0</v>
      </c>
      <c r="T34" s="72">
        <f>IF(B34=0,"",IFERROR(VLOOKUP(B34,'T-ASIG-06'!$B$5:$D$88,3,0),0))</f>
        <v>0</v>
      </c>
      <c r="U34" s="73">
        <f>IF(B34=0,"",IFERROR(VLOOKUP(B34,'T-ASIG-07'!$B$5:$D$88,3,0),0))</f>
        <v>0</v>
      </c>
      <c r="V34" s="69" t="s">
        <v>122</v>
      </c>
    </row>
    <row r="35" spans="1:22" ht="15" customHeight="1">
      <c r="A35" s="12">
        <v>31</v>
      </c>
      <c r="B35" s="70" t="str">
        <f>LIDER!C39</f>
        <v>ELIANA MARGARITA LAMBIS ALTAMAR</v>
      </c>
      <c r="C35" s="64" t="str">
        <f>IF(B35=0,"",IFERROR(VLOOKUP(B35,'S-ASIG-01'!$B$5:$E$88,2,0),0))</f>
        <v>G08</v>
      </c>
      <c r="D35" s="65">
        <f t="shared" si="2"/>
        <v>3.2000000000000006</v>
      </c>
      <c r="E35" s="66">
        <f t="shared" si="3"/>
        <v>0</v>
      </c>
      <c r="F35" s="47"/>
      <c r="G35" s="71">
        <f>IF(B35=0,"",IFERROR(VLOOKUP(B35,'S-ASIG-01'!$B$5:$E$88,4,0),0))</f>
        <v>3.0500000000000007</v>
      </c>
      <c r="H35" s="72" t="str">
        <f>IF(B35=0,"",IFERROR(VLOOKUP(B35,'S-ASIG-02'!$B$5:$E$88,4,0),0))</f>
        <v>N</v>
      </c>
      <c r="I35" s="72">
        <f>IF(B35=0,"",IFERROR(VLOOKUP(B35,'S-ASIG-03'!$B$5:$E$88,4,0),0))</f>
        <v>0</v>
      </c>
      <c r="J35" s="72" t="str">
        <f>IF(B35=0,"",IFERROR(VLOOKUP(B35,'S-ASIG-04'!$B$5:$E$88,4,0),0))</f>
        <v>N</v>
      </c>
      <c r="K35" s="72">
        <f>IF(B35=0,"",IFERROR(VLOOKUP(B35,'S-ASIG-05'!$B$5:$E$88,4,0),0))</f>
        <v>3.3500000000000005</v>
      </c>
      <c r="L35" s="72">
        <f>IF(B35=0,"",IFERROR(VLOOKUP(B35,'S-ASIG-06'!$B$5:$E$88,4,0),0))</f>
        <v>0</v>
      </c>
      <c r="M35" s="73">
        <f>IF(B35=0,"",IFERROR(VLOOKUP(B35,'S-ASIG-07'!$B$5:$E$88,4,0),0))</f>
        <v>0</v>
      </c>
      <c r="N35" s="68" t="s">
        <v>121</v>
      </c>
      <c r="O35" s="71">
        <f>IF(B35=0,"",IFERROR(VLOOKUP(B35,'T-ASIG-01'!$B$5:$D$88,3,0),0))</f>
        <v>0</v>
      </c>
      <c r="P35" s="72" t="str">
        <f>IF(B35=0,"",IFERROR(VLOOKUP(B35,'T-ASIG-02'!$B$5:$D$88,3,0),0))</f>
        <v>N</v>
      </c>
      <c r="Q35" s="72">
        <f>IF(B35=0,"",IFERROR(VLOOKUP(B35,'T-ASIG-03'!$B$5:$D$88,3,0),0))</f>
        <v>0</v>
      </c>
      <c r="R35" s="72" t="str">
        <f>IF(B35=0,"",IFERROR(VLOOKUP(B35,'T-ASIG-04'!$B$5:$D$88,3,0),0))</f>
        <v>N</v>
      </c>
      <c r="S35" s="72">
        <f>IF(B35=0,"",IFERROR(VLOOKUP(B35,'T-ASIG-05'!$B$5:$D$88,3,0),0))</f>
        <v>0</v>
      </c>
      <c r="T35" s="72">
        <f>IF(B35=0,"",IFERROR(VLOOKUP(B35,'T-ASIG-06'!$B$5:$D$88,3,0),0))</f>
        <v>0</v>
      </c>
      <c r="U35" s="73">
        <f>IF(B35=0,"",IFERROR(VLOOKUP(B35,'T-ASIG-07'!$B$5:$D$88,3,0),0))</f>
        <v>0</v>
      </c>
      <c r="V35" s="69" t="s">
        <v>122</v>
      </c>
    </row>
    <row r="36" spans="1:22" ht="15" customHeight="1">
      <c r="A36" s="12">
        <v>32</v>
      </c>
      <c r="B36" s="70" t="str">
        <f>LIDER!C40</f>
        <v>KEIVIN JESUS PEREZ BATISTA</v>
      </c>
      <c r="C36" s="64" t="str">
        <f>IF(B36=0,"",IFERROR(VLOOKUP(B36,'S-ASIG-01'!$B$5:$E$88,2,0),0))</f>
        <v>G08</v>
      </c>
      <c r="D36" s="65">
        <f t="shared" si="2"/>
        <v>3.3625000000000007</v>
      </c>
      <c r="E36" s="66">
        <f t="shared" si="3"/>
        <v>0</v>
      </c>
      <c r="F36" s="47"/>
      <c r="G36" s="71">
        <f>IF(B36=0,"",IFERROR(VLOOKUP(B36,'S-ASIG-01'!$B$5:$E$88,4,0),0))</f>
        <v>3.0500000000000007</v>
      </c>
      <c r="H36" s="72">
        <f>IF(B36=0,"",IFERROR(VLOOKUP(B36,'S-ASIG-02'!$B$5:$E$88,4,0),0))</f>
        <v>3.6</v>
      </c>
      <c r="I36" s="72">
        <f>IF(B36=0,"",IFERROR(VLOOKUP(B36,'S-ASIG-03'!$B$5:$E$88,4,0),0))</f>
        <v>0</v>
      </c>
      <c r="J36" s="72">
        <f>IF(B36=0,"",IFERROR(VLOOKUP(B36,'S-ASIG-04'!$B$5:$E$88,4,0),0))</f>
        <v>3.45</v>
      </c>
      <c r="K36" s="72">
        <f>IF(B36=0,"",IFERROR(VLOOKUP(B36,'S-ASIG-05'!$B$5:$E$88,4,0),0))</f>
        <v>3.3500000000000005</v>
      </c>
      <c r="L36" s="72">
        <f>IF(B36=0,"",IFERROR(VLOOKUP(B36,'S-ASIG-06'!$B$5:$E$88,4,0),0))</f>
        <v>0</v>
      </c>
      <c r="M36" s="73">
        <f>IF(B36=0,"",IFERROR(VLOOKUP(B36,'S-ASIG-07'!$B$5:$E$88,4,0),0))</f>
        <v>0</v>
      </c>
      <c r="N36" s="68" t="s">
        <v>121</v>
      </c>
      <c r="O36" s="71">
        <f>IF(B36=0,"",IFERROR(VLOOKUP(B36,'T-ASIG-01'!$B$5:$D$88,3,0),0))</f>
        <v>0</v>
      </c>
      <c r="P36" s="72">
        <f>IF(B36=0,"",IFERROR(VLOOKUP(B36,'T-ASIG-02'!$B$5:$D$88,3,0),0))</f>
        <v>0</v>
      </c>
      <c r="Q36" s="72">
        <f>IF(B36=0,"",IFERROR(VLOOKUP(B36,'T-ASIG-03'!$B$5:$D$88,3,0),0))</f>
        <v>0</v>
      </c>
      <c r="R36" s="72">
        <f>IF(B36=0,"",IFERROR(VLOOKUP(B36,'T-ASIG-04'!$B$5:$D$88,3,0),0))</f>
        <v>0</v>
      </c>
      <c r="S36" s="72">
        <f>IF(B36=0,"",IFERROR(VLOOKUP(B36,'T-ASIG-05'!$B$5:$D$88,3,0),0))</f>
        <v>0</v>
      </c>
      <c r="T36" s="72">
        <f>IF(B36=0,"",IFERROR(VLOOKUP(B36,'T-ASIG-06'!$B$5:$D$88,3,0),0))</f>
        <v>0</v>
      </c>
      <c r="U36" s="73">
        <f>IF(B36=0,"",IFERROR(VLOOKUP(B36,'T-ASIG-07'!$B$5:$D$88,3,0),0))</f>
        <v>0</v>
      </c>
      <c r="V36" s="69" t="s">
        <v>122</v>
      </c>
    </row>
    <row r="37" spans="1:22" ht="15" customHeight="1">
      <c r="A37" s="12">
        <v>33</v>
      </c>
      <c r="B37" s="70" t="str">
        <f>LIDER!C41</f>
        <v>ANDRES FELIPE VALIENTE GONZALEZ</v>
      </c>
      <c r="C37" s="64" t="str">
        <f>IF(B37=0,"",IFERROR(VLOOKUP(B37,'S-ASIG-01'!$B$5:$E$88,2,0),0))</f>
        <v>G08</v>
      </c>
      <c r="D37" s="65">
        <f t="shared" si="2"/>
        <v>3.3625000000000007</v>
      </c>
      <c r="E37" s="66">
        <f t="shared" si="3"/>
        <v>0</v>
      </c>
      <c r="F37" s="47"/>
      <c r="G37" s="71">
        <f>IF(B37=0,"",IFERROR(VLOOKUP(B37,'S-ASIG-01'!$B$5:$E$88,4,0),0))</f>
        <v>3.0500000000000007</v>
      </c>
      <c r="H37" s="72">
        <f>IF(B37=0,"",IFERROR(VLOOKUP(B37,'S-ASIG-02'!$B$5:$E$88,4,0),0))</f>
        <v>3.6</v>
      </c>
      <c r="I37" s="72">
        <f>IF(B37=0,"",IFERROR(VLOOKUP(B37,'S-ASIG-03'!$B$5:$E$88,4,0),0))</f>
        <v>0</v>
      </c>
      <c r="J37" s="72">
        <f>IF(B37=0,"",IFERROR(VLOOKUP(B37,'S-ASIG-04'!$B$5:$E$88,4,0),0))</f>
        <v>3.45</v>
      </c>
      <c r="K37" s="72">
        <f>IF(B37=0,"",IFERROR(VLOOKUP(B37,'S-ASIG-05'!$B$5:$E$88,4,0),0))</f>
        <v>3.3500000000000005</v>
      </c>
      <c r="L37" s="72">
        <f>IF(B37=0,"",IFERROR(VLOOKUP(B37,'S-ASIG-06'!$B$5:$E$88,4,0),0))</f>
        <v>0</v>
      </c>
      <c r="M37" s="73">
        <f>IF(B37=0,"",IFERROR(VLOOKUP(B37,'S-ASIG-07'!$B$5:$E$88,4,0),0))</f>
        <v>0</v>
      </c>
      <c r="N37" s="68" t="s">
        <v>121</v>
      </c>
      <c r="O37" s="71">
        <f>IF(B37=0,"",IFERROR(VLOOKUP(B37,'T-ASIG-01'!$B$5:$D$88,3,0),0))</f>
        <v>0</v>
      </c>
      <c r="P37" s="72">
        <f>IF(B37=0,"",IFERROR(VLOOKUP(B37,'T-ASIG-02'!$B$5:$D$88,3,0),0))</f>
        <v>0</v>
      </c>
      <c r="Q37" s="72">
        <f>IF(B37=0,"",IFERROR(VLOOKUP(B37,'T-ASIG-03'!$B$5:$D$88,3,0),0))</f>
        <v>0</v>
      </c>
      <c r="R37" s="72">
        <f>IF(B37=0,"",IFERROR(VLOOKUP(B37,'T-ASIG-04'!$B$5:$D$88,3,0),0))</f>
        <v>0</v>
      </c>
      <c r="S37" s="72">
        <f>IF(B37=0,"",IFERROR(VLOOKUP(B37,'T-ASIG-05'!$B$5:$D$88,3,0),0))</f>
        <v>0</v>
      </c>
      <c r="T37" s="72">
        <f>IF(B37=0,"",IFERROR(VLOOKUP(B37,'T-ASIG-06'!$B$5:$D$88,3,0),0))</f>
        <v>0</v>
      </c>
      <c r="U37" s="73">
        <f>IF(B37=0,"",IFERROR(VLOOKUP(B37,'T-ASIG-07'!$B$5:$D$88,3,0),0))</f>
        <v>0</v>
      </c>
      <c r="V37" s="69" t="s">
        <v>122</v>
      </c>
    </row>
    <row r="38" spans="1:22" ht="15" customHeight="1">
      <c r="A38" s="12">
        <v>34</v>
      </c>
      <c r="B38" s="70" t="str">
        <f>LIDER!C42</f>
        <v>NICOLAS ZUÑIGA ARANGO</v>
      </c>
      <c r="C38" s="64" t="str">
        <f>IF(B38=0,"",IFERROR(VLOOKUP(B38,'S-ASIG-01'!$B$5:$E$88,2,0),0))</f>
        <v>G08</v>
      </c>
      <c r="D38" s="65">
        <f t="shared" si="2"/>
        <v>3.2833333333333337</v>
      </c>
      <c r="E38" s="66">
        <f t="shared" si="3"/>
        <v>0</v>
      </c>
      <c r="F38" s="47"/>
      <c r="G38" s="71">
        <f>IF(B38=0,"",IFERROR(VLOOKUP(B38,'S-ASIG-01'!$B$5:$E$88,4,0),0))</f>
        <v>3.0500000000000007</v>
      </c>
      <c r="H38" s="72" t="str">
        <f>IF(B38=0,"",IFERROR(VLOOKUP(B38,'S-ASIG-02'!$B$5:$E$88,4,0),0))</f>
        <v>N</v>
      </c>
      <c r="I38" s="72">
        <f>IF(B38=0,"",IFERROR(VLOOKUP(B38,'S-ASIG-03'!$B$5:$E$88,4,0),0))</f>
        <v>0</v>
      </c>
      <c r="J38" s="72">
        <f>IF(B38=0,"",IFERROR(VLOOKUP(B38,'S-ASIG-04'!$B$5:$E$88,4,0),0))</f>
        <v>3.45</v>
      </c>
      <c r="K38" s="72">
        <f>IF(B38=0,"",IFERROR(VLOOKUP(B38,'S-ASIG-05'!$B$5:$E$88,4,0),0))</f>
        <v>3.3500000000000005</v>
      </c>
      <c r="L38" s="72">
        <f>IF(B38=0,"",IFERROR(VLOOKUP(B38,'S-ASIG-06'!$B$5:$E$88,4,0),0))</f>
        <v>0</v>
      </c>
      <c r="M38" s="73">
        <f>IF(B38=0,"",IFERROR(VLOOKUP(B38,'S-ASIG-07'!$B$5:$E$88,4,0),0))</f>
        <v>0</v>
      </c>
      <c r="N38" s="68" t="s">
        <v>121</v>
      </c>
      <c r="O38" s="71">
        <f>IF(B38=0,"",IFERROR(VLOOKUP(B38,'T-ASIG-01'!$B$5:$D$88,3,0),0))</f>
        <v>0</v>
      </c>
      <c r="P38" s="72" t="str">
        <f>IF(B38=0,"",IFERROR(VLOOKUP(B38,'T-ASIG-02'!$B$5:$D$88,3,0),0))</f>
        <v>N</v>
      </c>
      <c r="Q38" s="72">
        <f>IF(B38=0,"",IFERROR(VLOOKUP(B38,'T-ASIG-03'!$B$5:$D$88,3,0),0))</f>
        <v>0</v>
      </c>
      <c r="R38" s="72">
        <f>IF(B38=0,"",IFERROR(VLOOKUP(B38,'T-ASIG-04'!$B$5:$D$88,3,0),0))</f>
        <v>0</v>
      </c>
      <c r="S38" s="72">
        <f>IF(B38=0,"",IFERROR(VLOOKUP(B38,'T-ASIG-05'!$B$5:$D$88,3,0),0))</f>
        <v>0</v>
      </c>
      <c r="T38" s="72">
        <f>IF(B38=0,"",IFERROR(VLOOKUP(B38,'T-ASIG-06'!$B$5:$D$88,3,0),0))</f>
        <v>0</v>
      </c>
      <c r="U38" s="73">
        <f>IF(B38=0,"",IFERROR(VLOOKUP(B38,'T-ASIG-07'!$B$5:$D$88,3,0),0))</f>
        <v>0</v>
      </c>
      <c r="V38" s="69" t="s">
        <v>122</v>
      </c>
    </row>
    <row r="39" spans="1:22" ht="15" customHeight="1">
      <c r="A39" s="12">
        <v>35</v>
      </c>
      <c r="B39" s="70" t="str">
        <f>LIDER!C43</f>
        <v>NAVARRO CHAVEZ ANGELO ANDRES</v>
      </c>
      <c r="C39" s="64" t="str">
        <f>IF(B39=0,"",IFERROR(VLOOKUP(B39,'S-ASIG-01'!$B$5:$E$88,2,0),0))</f>
        <v>G07</v>
      </c>
      <c r="D39" s="65">
        <f t="shared" si="2"/>
        <v>3.28</v>
      </c>
      <c r="E39" s="66">
        <f t="shared" si="3"/>
        <v>0</v>
      </c>
      <c r="F39" s="47"/>
      <c r="G39" s="71">
        <f>IF(B39=0,"",IFERROR(VLOOKUP(B39,'S-ASIG-01'!$B$5:$E$88,4,0),0))</f>
        <v>3.5399999999999996</v>
      </c>
      <c r="H39" s="72">
        <f>IF(B39=0,"",IFERROR(VLOOKUP(B39,'S-ASIG-02'!$B$5:$E$88,4,0),0))</f>
        <v>3.55</v>
      </c>
      <c r="I39" s="72">
        <f>IF(B39=0,"",IFERROR(VLOOKUP(B39,'S-ASIG-03'!$B$5:$E$88,4,0),0))</f>
        <v>3.3099999999999996</v>
      </c>
      <c r="J39" s="72">
        <f>IF(B39=0,"",IFERROR(VLOOKUP(B39,'S-ASIG-04'!$B$5:$E$88,4,0),0))</f>
        <v>2.7</v>
      </c>
      <c r="K39" s="72">
        <f>IF(B39=0,"",IFERROR(VLOOKUP(B39,'S-ASIG-05'!$B$5:$E$88,4,0),0))</f>
        <v>3.3000000000000007</v>
      </c>
      <c r="L39" s="72">
        <f>IF(B39=0,"",IFERROR(VLOOKUP(B39,'S-ASIG-06'!$B$5:$E$88,4,0),0))</f>
        <v>0</v>
      </c>
      <c r="M39" s="73">
        <f>IF(B39=0,"",IFERROR(VLOOKUP(B39,'S-ASIG-07'!$B$5:$E$88,4,0),0))</f>
        <v>0</v>
      </c>
      <c r="N39" s="68" t="s">
        <v>121</v>
      </c>
      <c r="O39" s="71">
        <f>IF(B39=0,"",IFERROR(VLOOKUP(B39,'T-ASIG-01'!$B$5:$D$88,3,0),0))</f>
        <v>0</v>
      </c>
      <c r="P39" s="72">
        <f>IF(B39=0,"",IFERROR(VLOOKUP(B39,'T-ASIG-02'!$B$5:$D$88,3,0),0))</f>
        <v>0</v>
      </c>
      <c r="Q39" s="72">
        <f>IF(B39=0,"",IFERROR(VLOOKUP(B39,'T-ASIG-03'!$B$5:$D$88,3,0),0))</f>
        <v>0</v>
      </c>
      <c r="R39" s="72">
        <f>IF(B39=0,"",IFERROR(VLOOKUP(B39,'T-ASIG-04'!$B$5:$D$88,3,0),0))</f>
        <v>0</v>
      </c>
      <c r="S39" s="72">
        <f>IF(B39=0,"",IFERROR(VLOOKUP(B39,'T-ASIG-05'!$B$5:$D$88,3,0),0))</f>
        <v>0</v>
      </c>
      <c r="T39" s="72">
        <f>IF(B39=0,"",IFERROR(VLOOKUP(B39,'T-ASIG-06'!$B$5:$D$88,3,0),0))</f>
        <v>0</v>
      </c>
      <c r="U39" s="73">
        <f>IF(B39=0,"",IFERROR(VLOOKUP(B39,'T-ASIG-07'!$B$5:$D$88,3,0),0))</f>
        <v>0</v>
      </c>
      <c r="V39" s="69" t="s">
        <v>122</v>
      </c>
    </row>
    <row r="40" spans="1:22" ht="15" customHeight="1">
      <c r="A40" s="12">
        <v>36</v>
      </c>
      <c r="B40" s="70" t="str">
        <f>LIDER!C44</f>
        <v>MONTERROSA ANGEL JESUS DAVID</v>
      </c>
      <c r="C40" s="64" t="str">
        <f>IF(B40=0,"",IFERROR(VLOOKUP(B40,'S-ASIG-01'!$B$5:$E$88,2,0),0))</f>
        <v>G07</v>
      </c>
      <c r="D40" s="65">
        <f t="shared" si="2"/>
        <v>3.28</v>
      </c>
      <c r="E40" s="66">
        <f t="shared" si="3"/>
        <v>0</v>
      </c>
      <c r="F40" s="47"/>
      <c r="G40" s="71">
        <f>IF(B40=0,"",IFERROR(VLOOKUP(B40,'S-ASIG-01'!$B$5:$E$88,4,0),0))</f>
        <v>3.5399999999999996</v>
      </c>
      <c r="H40" s="72">
        <f>IF(B40=0,"",IFERROR(VLOOKUP(B40,'S-ASIG-02'!$B$5:$E$88,4,0),0))</f>
        <v>3.55</v>
      </c>
      <c r="I40" s="72">
        <f>IF(B40=0,"",IFERROR(VLOOKUP(B40,'S-ASIG-03'!$B$5:$E$88,4,0),0))</f>
        <v>3.3099999999999996</v>
      </c>
      <c r="J40" s="72">
        <f>IF(B40=0,"",IFERROR(VLOOKUP(B40,'S-ASIG-04'!$B$5:$E$88,4,0),0))</f>
        <v>2.7</v>
      </c>
      <c r="K40" s="72">
        <f>IF(B40=0,"",IFERROR(VLOOKUP(B40,'S-ASIG-05'!$B$5:$E$88,4,0),0))</f>
        <v>3.3000000000000007</v>
      </c>
      <c r="L40" s="72">
        <f>IF(B40=0,"",IFERROR(VLOOKUP(B40,'S-ASIG-06'!$B$5:$E$88,4,0),0))</f>
        <v>0</v>
      </c>
      <c r="M40" s="73">
        <f>IF(B40=0,"",IFERROR(VLOOKUP(B40,'S-ASIG-07'!$B$5:$E$88,4,0),0))</f>
        <v>0</v>
      </c>
      <c r="N40" s="68" t="s">
        <v>121</v>
      </c>
      <c r="O40" s="71">
        <f>IF(B40=0,"",IFERROR(VLOOKUP(B40,'T-ASIG-01'!$B$5:$D$88,3,0),0))</f>
        <v>0</v>
      </c>
      <c r="P40" s="72">
        <f>IF(B40=0,"",IFERROR(VLOOKUP(B40,'T-ASIG-02'!$B$5:$D$88,3,0),0))</f>
        <v>0</v>
      </c>
      <c r="Q40" s="72">
        <f>IF(B40=0,"",IFERROR(VLOOKUP(B40,'T-ASIG-03'!$B$5:$D$88,3,0),0))</f>
        <v>0</v>
      </c>
      <c r="R40" s="72">
        <f>IF(B40=0,"",IFERROR(VLOOKUP(B40,'T-ASIG-04'!$B$5:$D$88,3,0),0))</f>
        <v>0</v>
      </c>
      <c r="S40" s="72">
        <f>IF(B40=0,"",IFERROR(VLOOKUP(B40,'T-ASIG-05'!$B$5:$D$88,3,0),0))</f>
        <v>0</v>
      </c>
      <c r="T40" s="72">
        <f>IF(B40=0,"",IFERROR(VLOOKUP(B40,'T-ASIG-06'!$B$5:$D$88,3,0),0))</f>
        <v>0</v>
      </c>
      <c r="U40" s="73">
        <f>IF(B40=0,"",IFERROR(VLOOKUP(B40,'T-ASIG-07'!$B$5:$D$88,3,0),0))</f>
        <v>0</v>
      </c>
      <c r="V40" s="69" t="s">
        <v>122</v>
      </c>
    </row>
    <row r="41" spans="1:22" ht="15" customHeight="1">
      <c r="A41" s="12">
        <v>37</v>
      </c>
      <c r="B41" s="70" t="str">
        <f>LIDER!C45</f>
        <v>CRESPO PEREIRA SANTIAGO ALEJANDRO</v>
      </c>
      <c r="C41" s="64" t="str">
        <f>IF(B41=0,"",IFERROR(VLOOKUP(B41,'S-ASIG-01'!$B$5:$E$88,2,0),0))</f>
        <v>G07</v>
      </c>
      <c r="D41" s="65">
        <f t="shared" si="2"/>
        <v>3.28</v>
      </c>
      <c r="E41" s="66">
        <f t="shared" si="3"/>
        <v>0</v>
      </c>
      <c r="F41" s="47"/>
      <c r="G41" s="71">
        <f>IF(B41=0,"",IFERROR(VLOOKUP(B41,'S-ASIG-01'!$B$5:$E$88,4,0),0))</f>
        <v>3.5399999999999996</v>
      </c>
      <c r="H41" s="72">
        <f>IF(B41=0,"",IFERROR(VLOOKUP(B41,'S-ASIG-02'!$B$5:$E$88,4,0),0))</f>
        <v>3.55</v>
      </c>
      <c r="I41" s="72">
        <f>IF(B41=0,"",IFERROR(VLOOKUP(B41,'S-ASIG-03'!$B$5:$E$88,4,0),0))</f>
        <v>3.3099999999999996</v>
      </c>
      <c r="J41" s="72">
        <f>IF(B41=0,"",IFERROR(VLOOKUP(B41,'S-ASIG-04'!$B$5:$E$88,4,0),0))</f>
        <v>2.7</v>
      </c>
      <c r="K41" s="72">
        <f>IF(B41=0,"",IFERROR(VLOOKUP(B41,'S-ASIG-05'!$B$5:$E$88,4,0),0))</f>
        <v>3.3000000000000007</v>
      </c>
      <c r="L41" s="72">
        <f>IF(B41=0,"",IFERROR(VLOOKUP(B41,'S-ASIG-06'!$B$5:$E$88,4,0),0))</f>
        <v>0</v>
      </c>
      <c r="M41" s="73">
        <f>IF(B41=0,"",IFERROR(VLOOKUP(B41,'S-ASIG-07'!$B$5:$E$88,4,0),0))</f>
        <v>0</v>
      </c>
      <c r="N41" s="68" t="s">
        <v>121</v>
      </c>
      <c r="O41" s="71">
        <f>IF(B41=0,"",IFERROR(VLOOKUP(B41,'T-ASIG-01'!$B$5:$D$88,3,0),0))</f>
        <v>0</v>
      </c>
      <c r="P41" s="72">
        <f>IF(B41=0,"",IFERROR(VLOOKUP(B41,'T-ASIG-02'!$B$5:$D$88,3,0),0))</f>
        <v>0</v>
      </c>
      <c r="Q41" s="72">
        <f>IF(B41=0,"",IFERROR(VLOOKUP(B41,'T-ASIG-03'!$B$5:$D$88,3,0),0))</f>
        <v>0</v>
      </c>
      <c r="R41" s="72">
        <f>IF(B41=0,"",IFERROR(VLOOKUP(B41,'T-ASIG-04'!$B$5:$D$88,3,0),0))</f>
        <v>0</v>
      </c>
      <c r="S41" s="72">
        <f>IF(B41=0,"",IFERROR(VLOOKUP(B41,'T-ASIG-05'!$B$5:$D$88,3,0),0))</f>
        <v>0</v>
      </c>
      <c r="T41" s="72">
        <f>IF(B41=0,"",IFERROR(VLOOKUP(B41,'T-ASIG-06'!$B$5:$D$88,3,0),0))</f>
        <v>0</v>
      </c>
      <c r="U41" s="73">
        <f>IF(B41=0,"",IFERROR(VLOOKUP(B41,'T-ASIG-07'!$B$5:$D$88,3,0),0))</f>
        <v>0</v>
      </c>
      <c r="V41" s="69" t="s">
        <v>122</v>
      </c>
    </row>
    <row r="42" spans="1:22" ht="15" customHeight="1">
      <c r="A42" s="12">
        <v>38</v>
      </c>
      <c r="B42" s="70" t="str">
        <f>LIDER!C46</f>
        <v>TAMARA GARCIA MARIA JOSE</v>
      </c>
      <c r="C42" s="64" t="str">
        <f>IF(B42=0,"",IFERROR(VLOOKUP(B42,'S-ASIG-01'!$B$5:$E$88,2,0),0))</f>
        <v>G08</v>
      </c>
      <c r="D42" s="65">
        <f t="shared" si="2"/>
        <v>3.2833333333333337</v>
      </c>
      <c r="E42" s="66">
        <f t="shared" si="3"/>
        <v>0</v>
      </c>
      <c r="F42" s="47"/>
      <c r="G42" s="71">
        <f>IF(B42=0,"",IFERROR(VLOOKUP(B42,'S-ASIG-01'!$B$5:$E$88,4,0),0))</f>
        <v>3.0500000000000007</v>
      </c>
      <c r="H42" s="72" t="str">
        <f>IF(B42=0,"",IFERROR(VLOOKUP(B42,'S-ASIG-02'!$B$5:$E$88,4,0),0))</f>
        <v>N</v>
      </c>
      <c r="I42" s="72" t="str">
        <f>IF(B42=0,"",IFERROR(VLOOKUP(B42,'S-ASIG-03'!$B$5:$E$88,4,0),0))</f>
        <v>N</v>
      </c>
      <c r="J42" s="72">
        <f>IF(B42=0,"",IFERROR(VLOOKUP(B42,'S-ASIG-04'!$B$5:$E$88,4,0),0))</f>
        <v>3.45</v>
      </c>
      <c r="K42" s="72">
        <f>IF(B42=0,"",IFERROR(VLOOKUP(B42,'S-ASIG-05'!$B$5:$E$88,4,0),0))</f>
        <v>3.3500000000000005</v>
      </c>
      <c r="L42" s="72">
        <f>IF(B42=0,"",IFERROR(VLOOKUP(B42,'S-ASIG-06'!$B$5:$E$88,4,0),0))</f>
        <v>0</v>
      </c>
      <c r="M42" s="73">
        <f>IF(B42=0,"",IFERROR(VLOOKUP(B42,'S-ASIG-07'!$B$5:$E$88,4,0),0))</f>
        <v>0</v>
      </c>
      <c r="N42" s="68" t="s">
        <v>121</v>
      </c>
      <c r="O42" s="71">
        <f>IF(B42=0,"",IFERROR(VLOOKUP(B42,'T-ASIG-01'!$B$5:$D$88,3,0),0))</f>
        <v>0</v>
      </c>
      <c r="P42" s="72" t="str">
        <f>IF(B42=0,"",IFERROR(VLOOKUP(B42,'T-ASIG-02'!$B$5:$D$88,3,0),0))</f>
        <v>N</v>
      </c>
      <c r="Q42" s="72" t="str">
        <f>IF(B42=0,"",IFERROR(VLOOKUP(B42,'T-ASIG-03'!$B$5:$D$88,3,0),0))</f>
        <v>N</v>
      </c>
      <c r="R42" s="72">
        <f>IF(B42=0,"",IFERROR(VLOOKUP(B42,'T-ASIG-04'!$B$5:$D$88,3,0),0))</f>
        <v>0</v>
      </c>
      <c r="S42" s="72">
        <f>IF(B42=0,"",IFERROR(VLOOKUP(B42,'T-ASIG-05'!$B$5:$D$88,3,0),0))</f>
        <v>0</v>
      </c>
      <c r="T42" s="72">
        <f>IF(B42=0,"",IFERROR(VLOOKUP(B42,'T-ASIG-06'!$B$5:$D$88,3,0),0))</f>
        <v>0</v>
      </c>
      <c r="U42" s="73">
        <f>IF(B42=0,"",IFERROR(VLOOKUP(B42,'T-ASIG-07'!$B$5:$D$88,3,0),0))</f>
        <v>0</v>
      </c>
      <c r="V42" s="69" t="s">
        <v>122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121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122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121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122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121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122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121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122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121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122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121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122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121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122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121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122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121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122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121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122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121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122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121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122</v>
      </c>
    </row>
  </sheetData>
  <sheetProtection algorithmName="SHA-512" hashValue="dpkGxXDy3fv6I2PqvxwfCKomMtLYL8HLmYmkDD7vBqGZCRztKpT1c+LCe6iQQ+9mXuQrY2Vi8h5LXh+GIOXMgQ==" saltValue="zH2U6c5K3yRqCGY4dJ7KIg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2026-10-14T16:59:22Z</dcterms:modified>
  <cp:category/>
  <cp:contentStatus/>
</cp:coreProperties>
</file>