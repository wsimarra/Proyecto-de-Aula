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6-OJO\PRIMERA ENTREGA\"/>
    </mc:Choice>
  </mc:AlternateContent>
  <xr:revisionPtr revIDLastSave="145" documentId="13_ncr:1_{CD93B70D-9152-436F-BC78-AEE106844EEC}" xr6:coauthVersionLast="47" xr6:coauthVersionMax="47" xr10:uidLastSave="{0DCB03D0-D57F-4D7D-9120-D00083A50608}"/>
  <bookViews>
    <workbookView xWindow="-120" yWindow="-120" windowWidth="20730" windowHeight="11040" tabRatio="815" firstSheet="3" activeTab="6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D81" i="6"/>
  <c r="B81" i="6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D58" i="6"/>
  <c r="B58" i="6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D83" i="5"/>
  <c r="B83" i="5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D28" i="5"/>
  <c r="B28" i="5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D72" i="4"/>
  <c r="B72" i="4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B85" i="11"/>
  <c r="E85" i="11" s="1"/>
  <c r="C84" i="11"/>
  <c r="C85" i="11" s="1"/>
  <c r="C86" i="11" s="1"/>
  <c r="C87" i="11" s="1"/>
  <c r="C88" i="11" s="1"/>
  <c r="B84" i="11"/>
  <c r="E84" i="11" s="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2" i="3" l="1"/>
  <c r="D36" i="6"/>
  <c r="D37" i="16"/>
  <c r="D21" i="16"/>
  <c r="D48" i="4"/>
  <c r="D49" i="6"/>
  <c r="D22" i="7"/>
  <c r="D37" i="4"/>
  <c r="D21" i="4"/>
  <c r="D22" i="5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<sst xmlns="http://schemas.openxmlformats.org/spreadsheetml/2006/main" count="662" uniqueCount="101">
  <si>
    <t>TECNOLOGÍA EN GESTIÓN DE NEGOCIOS INTERN</t>
  </si>
  <si>
    <t>SEMESTRE:</t>
  </si>
  <si>
    <t>SEM-06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</si>
  <si>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</si>
  <si>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</si>
  <si>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</si>
  <si>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</si>
  <si>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</si>
  <si>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</si>
  <si>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</si>
  <si>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</si>
  <si>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INNOVACION Y EMPRENDIMIENTO</t>
  </si>
  <si>
    <t>ELECTIVA DE PROFUNDIZACION III</t>
  </si>
  <si>
    <t>AMBIENTE Y DESARROLLO</t>
  </si>
  <si>
    <t>FINANZAS INTERNACIONALES</t>
  </si>
  <si>
    <t>D.F.I.</t>
  </si>
  <si>
    <t>ELECTIVA LIBRE SOCIOHUMANÍ II</t>
  </si>
  <si>
    <t>EDUARDO JESUS CARDENAS RODRIGUEZ</t>
  </si>
  <si>
    <t>LUIS CARLOS PUELLO SUÁREZ</t>
  </si>
  <si>
    <t>MARIANO BELTRAN PADILLA</t>
  </si>
  <si>
    <t>JAVIER IGNACIO ALVAREZ OROZCO</t>
  </si>
  <si>
    <t>RAFAEL UGARRIZA DIAZ</t>
  </si>
  <si>
    <t>EBERTO JESUS POSADA AMANTE</t>
  </si>
  <si>
    <t>LISTA DE ESTUDIANTES</t>
  </si>
  <si>
    <t>SEGUNDA ENTREGA - CRITERIO DE EVALUACIÓN DOCUMENTO - SEGUNDO CORTE</t>
  </si>
  <si>
    <t>PONDERACIÓN</t>
  </si>
  <si>
    <t>ADMINISTRACIÓN DE EMPRESAS C.I</t>
  </si>
  <si>
    <t>NICOLE BLANQUICETT GUILLIN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</si>
  <si>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</si>
  <si>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</si>
  <si>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SEBASTIAN JAVIER CASTILLO ALVAREZ</t>
  </si>
  <si>
    <t>ANTEPROYECTO: Portada, planteamiento del problema, justificacion del trabajo o proyecto de aula, objetivos, marco teorico, diseño metodologico.</t>
  </si>
  <si>
    <t>CONTADURÍA PÚBLICA</t>
  </si>
  <si>
    <t>GABRIELA CHING CASTELLAR</t>
  </si>
  <si>
    <t>RESULTADOS:  Analiza, integra y aplica de manera coherente los aspectos para la Construcción de la marca empresarial (Branding)</t>
  </si>
  <si>
    <t>NEGOCIOS INTERNACIONALES PROFESIONAL</t>
  </si>
  <si>
    <t>MARIA ANGELICA LOPEZ SANCHEZ</t>
  </si>
  <si>
    <t>RESULTADOS:  Analiza, integra y aplica de manera coherente los aspectos del  Plan de distribución.</t>
  </si>
  <si>
    <t>SHEREINE MARCELA TOVAR ARIAS</t>
  </si>
  <si>
    <t>RESULTADOS:  Analiza, integra y aplica de manera coherente los aspectos para  el  Análisis ambiental y social.</t>
  </si>
  <si>
    <t>TECNOLOGíA EN GESTION CONTABLE</t>
  </si>
  <si>
    <t>BRAYER DAVID ALTAMIRANDA MORALES</t>
  </si>
  <si>
    <t>BILIOGRAFIA: Las referencias bibliograficas: adoptan las normas APA. El documento es producto de un rastreo bibliografico que muestra analisis y sistensis.</t>
  </si>
  <si>
    <t>TECNOLOGÍA EN GESTIÓN DE MARKETING</t>
  </si>
  <si>
    <t>LUIS ALBERTO CAMPO OSPINO</t>
  </si>
  <si>
    <t>ASESORIAS: Anexó la hoja de tutoria firmada ( 3 fimas minmimo).</t>
  </si>
  <si>
    <t>TECNOLOGÍA EN GESTIÓN DEL TALENTO HUMANO</t>
  </si>
  <si>
    <t>BRAYAN SMITH CANTILLO GONZALEZ</t>
  </si>
  <si>
    <t>TECNOLOGÍA EN GESTIÓN FINANCIERA</t>
  </si>
  <si>
    <t>AYLEEN PATRICIA HERBALES PUERTA</t>
  </si>
  <si>
    <t>TECNOLOGÍA EN GESTIÓN LOGISTICA Y PORTUARIA</t>
  </si>
  <si>
    <t>BILLY OWEN CORREA CABARCAS</t>
  </si>
  <si>
    <t>ENTREGA FINAL - CRITERIO DE EVALUACIÓN SUSTENTACIÓN - TERCER CORTE</t>
  </si>
  <si>
    <t>TECNOLOGÍA EN GESTIÓN TURISTICA Y HOTELERA</t>
  </si>
  <si>
    <t>ANDRES FELIPE HIDALGO MEZA</t>
  </si>
  <si>
    <t>Evaluación del Documento Final</t>
  </si>
  <si>
    <t>DAVID SANTIAGO RODRIGUEZ MARQUEZ</t>
  </si>
  <si>
    <t>Sustentación de los Resultados: Se refleja un dominio del tema, la  información está delimitada y es clara. Hay una jerarquía y fluidez en las ideas que presenta.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</si>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</sst>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21" xfId="0" applyFont="1" applyFill="1" applyBorder="1" applyAlignment="1" applyProtection="1">
      <alignment horizontal="left" vertical="top"/>
      <protection hidden="1"/>
    </xf>
    <xf numFmtId="0" fontId="4" fillId="4" borderId="56" xfId="0" applyFont="1" applyFill="1" applyBorder="1" applyAlignment="1" applyProtection="1">
      <alignment horizontal="left" vertical="top"/>
      <protection hidden="1"/>
    </xf>
    <xf numFmtId="0" fontId="4" fillId="4" borderId="57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2" workbookViewId="0">
      <selection activeCell="G43" sqref="G43:G4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2" t="s">
        <v>0</v>
      </c>
      <c r="C2" s="193"/>
      <c r="D2" s="194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2305</v>
      </c>
      <c r="D6" s="134">
        <v>2321</v>
      </c>
      <c r="E6" s="134">
        <v>1087</v>
      </c>
      <c r="F6" s="134">
        <v>1445</v>
      </c>
      <c r="G6" s="134">
        <v>1451</v>
      </c>
      <c r="H6" s="134">
        <v>2122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95" t="s">
        <v>24</v>
      </c>
      <c r="F8" s="196"/>
      <c r="G8" s="197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8" t="s">
        <v>28</v>
      </c>
      <c r="F9" s="199"/>
      <c r="G9" s="200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72" t="s">
        <v>31</v>
      </c>
      <c r="F10" s="173"/>
      <c r="G10" s="174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98" t="s">
        <v>34</v>
      </c>
      <c r="F11" s="199"/>
      <c r="G11" s="200"/>
      <c r="H11" s="135">
        <v>0.1</v>
      </c>
      <c r="I11" s="69" t="s">
        <v>35</v>
      </c>
    </row>
    <row r="12" spans="2:9" ht="15" customHeight="1">
      <c r="B12" s="108">
        <v>4</v>
      </c>
      <c r="C12" s="111" t="s">
        <v>36</v>
      </c>
      <c r="E12" s="172" t="s">
        <v>37</v>
      </c>
      <c r="F12" s="173"/>
      <c r="G12" s="174"/>
      <c r="H12" s="135">
        <v>0.1</v>
      </c>
      <c r="I12" s="69" t="s">
        <v>0</v>
      </c>
    </row>
    <row r="13" spans="2:9" ht="15" customHeight="1">
      <c r="B13" s="108">
        <v>5</v>
      </c>
      <c r="C13" s="111" t="s">
        <v>38</v>
      </c>
      <c r="E13" s="175" t="s">
        <v>39</v>
      </c>
      <c r="F13" s="176"/>
      <c r="G13" s="177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8" t="s">
        <v>42</v>
      </c>
      <c r="F14" s="170"/>
      <c r="G14" s="171"/>
      <c r="H14" s="136">
        <v>0.2</v>
      </c>
      <c r="I14" s="69" t="s">
        <v>43</v>
      </c>
    </row>
    <row r="15" spans="2:9" ht="15" customHeight="1" thickBot="1">
      <c r="B15" s="108">
        <v>7</v>
      </c>
      <c r="C15" s="111" t="s">
        <v>44</v>
      </c>
      <c r="E15" s="179" t="s">
        <v>45</v>
      </c>
      <c r="F15" s="180"/>
      <c r="G15" s="181"/>
      <c r="H15" s="135">
        <v>0.1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7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8"/>
      <c r="F17" s="188"/>
      <c r="G17" s="188"/>
      <c r="H17" s="188"/>
      <c r="I17" s="69" t="s">
        <v>50</v>
      </c>
    </row>
    <row r="18" spans="2:9" ht="15" customHeight="1" thickBot="1">
      <c r="B18" s="108">
        <v>10</v>
      </c>
      <c r="C18" s="111" t="s">
        <v>51</v>
      </c>
      <c r="E18" s="162" t="s">
        <v>52</v>
      </c>
      <c r="F18" s="163"/>
      <c r="G18" s="163"/>
      <c r="H18" s="113" t="s">
        <v>25</v>
      </c>
      <c r="I18" s="69" t="s">
        <v>53</v>
      </c>
    </row>
    <row r="19" spans="2:9" ht="15" customHeight="1">
      <c r="B19" s="108">
        <v>11</v>
      </c>
      <c r="C19" s="111" t="s">
        <v>54</v>
      </c>
      <c r="E19" s="185" t="s">
        <v>55</v>
      </c>
      <c r="F19" s="186"/>
      <c r="G19" s="187"/>
      <c r="H19" s="138">
        <v>0.5</v>
      </c>
    </row>
    <row r="20" spans="2:9" ht="15" customHeight="1">
      <c r="B20" s="108">
        <v>12</v>
      </c>
      <c r="C20" s="111" t="s">
        <v>56</v>
      </c>
      <c r="E20" s="164" t="s">
        <v>57</v>
      </c>
      <c r="F20" s="165"/>
      <c r="G20" s="166"/>
      <c r="H20" s="139">
        <v>0.2</v>
      </c>
    </row>
    <row r="21" spans="2:9" ht="15" customHeight="1">
      <c r="B21" s="108">
        <v>13</v>
      </c>
      <c r="C21" s="111"/>
      <c r="E21" s="167" t="s">
        <v>58</v>
      </c>
      <c r="F21" s="168"/>
      <c r="G21" s="169"/>
      <c r="H21" s="140">
        <v>0.1</v>
      </c>
    </row>
    <row r="22" spans="2:9" ht="15" customHeight="1">
      <c r="B22" s="108">
        <v>14</v>
      </c>
      <c r="C22" s="111"/>
      <c r="E22" s="164" t="s">
        <v>59</v>
      </c>
      <c r="F22" s="170"/>
      <c r="G22" s="171"/>
      <c r="H22" s="139">
        <v>0.05</v>
      </c>
    </row>
    <row r="23" spans="2:9" ht="15" customHeight="1">
      <c r="B23" s="108">
        <v>15</v>
      </c>
      <c r="C23" s="111"/>
      <c r="E23" s="167" t="s">
        <v>60</v>
      </c>
      <c r="F23" s="168"/>
      <c r="G23" s="169"/>
      <c r="H23" s="141">
        <v>0.05</v>
      </c>
    </row>
    <row r="24" spans="2:9" ht="15" customHeight="1">
      <c r="B24" s="108">
        <v>16</v>
      </c>
      <c r="C24" s="111"/>
      <c r="E24" s="164" t="s">
        <v>61</v>
      </c>
      <c r="F24" s="165"/>
      <c r="G24" s="166"/>
      <c r="H24" s="139">
        <v>0.1</v>
      </c>
    </row>
    <row r="25" spans="2:9" ht="15" customHeight="1" thickBot="1">
      <c r="B25" s="108">
        <v>17</v>
      </c>
      <c r="C25" s="111"/>
      <c r="E25" s="182"/>
      <c r="F25" s="183"/>
      <c r="G25" s="184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9" t="s">
        <v>62</v>
      </c>
      <c r="F28" s="190"/>
      <c r="G28" s="190"/>
      <c r="H28" s="191"/>
    </row>
    <row r="29" spans="2:9" ht="15" customHeight="1" thickBot="1">
      <c r="B29" s="108">
        <v>21</v>
      </c>
      <c r="C29" s="111"/>
      <c r="E29" s="159" t="s">
        <v>63</v>
      </c>
      <c r="F29" s="160"/>
      <c r="G29" s="160"/>
      <c r="H29" s="161"/>
    </row>
    <row r="30" spans="2:9" ht="15" customHeight="1" thickBot="1">
      <c r="B30" s="108">
        <v>22</v>
      </c>
      <c r="C30" s="111"/>
      <c r="E30" s="156" t="s">
        <v>64</v>
      </c>
      <c r="F30" s="157"/>
      <c r="G30" s="157"/>
      <c r="H30" s="158"/>
    </row>
    <row r="31" spans="2:9" ht="15" customHeight="1" thickBot="1">
      <c r="B31" s="108">
        <v>23</v>
      </c>
      <c r="C31" s="111"/>
      <c r="E31" s="159" t="s">
        <v>65</v>
      </c>
      <c r="F31" s="160"/>
      <c r="G31" s="160"/>
      <c r="H31" s="161"/>
    </row>
    <row r="32" spans="2:9" ht="15" customHeight="1" thickBot="1">
      <c r="B32" s="108">
        <v>24</v>
      </c>
      <c r="C32" s="111"/>
      <c r="E32" s="156" t="s">
        <v>66</v>
      </c>
      <c r="F32" s="157"/>
      <c r="G32" s="157"/>
      <c r="H32" s="158"/>
    </row>
    <row r="33" spans="2:8" ht="15" customHeight="1" thickBot="1">
      <c r="B33" s="108">
        <v>25</v>
      </c>
      <c r="C33" s="111"/>
      <c r="E33" s="159" t="s">
        <v>67</v>
      </c>
      <c r="F33" s="160"/>
      <c r="G33" s="160"/>
      <c r="H33" s="161"/>
    </row>
    <row r="34" spans="2:8" ht="15" customHeight="1" thickBot="1">
      <c r="B34" s="108">
        <v>26</v>
      </c>
      <c r="C34" s="111"/>
      <c r="E34" s="156" t="s">
        <v>68</v>
      </c>
      <c r="F34" s="157"/>
      <c r="G34" s="157"/>
      <c r="H34" s="158"/>
    </row>
    <row r="35" spans="2:8" ht="15" customHeight="1" thickBot="1">
      <c r="B35" s="108">
        <v>27</v>
      </c>
      <c r="C35" s="111"/>
      <c r="E35" s="159" t="s">
        <v>69</v>
      </c>
      <c r="F35" s="160"/>
      <c r="G35" s="160"/>
      <c r="H35" s="161"/>
    </row>
    <row r="36" spans="2:8" ht="15" customHeight="1" thickBot="1">
      <c r="B36" s="108">
        <v>28</v>
      </c>
      <c r="C36" s="111"/>
      <c r="E36" s="156" t="s">
        <v>70</v>
      </c>
      <c r="F36" s="157"/>
      <c r="G36" s="157"/>
      <c r="H36" s="158"/>
    </row>
    <row r="37" spans="2:8" ht="15" customHeight="1" thickBot="1">
      <c r="B37" s="108">
        <v>29</v>
      </c>
      <c r="C37" s="111"/>
      <c r="E37" s="159" t="s">
        <v>71</v>
      </c>
      <c r="F37" s="160"/>
      <c r="G37" s="160"/>
      <c r="H37" s="161"/>
    </row>
    <row r="38" spans="2:8" ht="15" customHeight="1" thickBot="1">
      <c r="B38" s="108">
        <v>30</v>
      </c>
      <c r="C38" s="111"/>
      <c r="E38" s="156" t="s">
        <v>72</v>
      </c>
      <c r="F38" s="157"/>
      <c r="G38" s="157"/>
      <c r="H38" s="158"/>
    </row>
    <row r="39" spans="2:8" ht="15" customHeight="1" thickBot="1">
      <c r="B39" s="108">
        <v>31</v>
      </c>
      <c r="C39" s="111"/>
      <c r="E39" s="159" t="s">
        <v>73</v>
      </c>
      <c r="F39" s="160"/>
      <c r="G39" s="160"/>
      <c r="H39" s="161"/>
    </row>
    <row r="40" spans="2:8" ht="15" customHeight="1" thickBot="1">
      <c r="B40" s="108">
        <v>32</v>
      </c>
      <c r="C40" s="111"/>
      <c r="E40" s="156" t="s">
        <v>74</v>
      </c>
      <c r="F40" s="157"/>
      <c r="G40" s="157"/>
      <c r="H40" s="158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41</v>
      </c>
      <c r="G43" s="119" t="s">
        <v>51</v>
      </c>
      <c r="H43" s="120"/>
    </row>
    <row r="44" spans="2:8" ht="15" customHeight="1">
      <c r="B44" s="108">
        <v>36</v>
      </c>
      <c r="C44" s="111"/>
      <c r="E44" s="121" t="s">
        <v>30</v>
      </c>
      <c r="F44" s="122" t="s">
        <v>44</v>
      </c>
      <c r="G44" s="122" t="s">
        <v>54</v>
      </c>
      <c r="H44" s="123"/>
    </row>
    <row r="45" spans="2:8" ht="15" customHeight="1">
      <c r="B45" s="108">
        <v>37</v>
      </c>
      <c r="C45" s="111"/>
      <c r="E45" s="124" t="s">
        <v>33</v>
      </c>
      <c r="F45" s="125" t="s">
        <v>47</v>
      </c>
      <c r="G45" s="125" t="s">
        <v>56</v>
      </c>
      <c r="H45" s="126"/>
    </row>
    <row r="46" spans="2:8" ht="15" customHeight="1">
      <c r="B46" s="108">
        <v>38</v>
      </c>
      <c r="C46" s="111"/>
      <c r="E46" s="121" t="s">
        <v>36</v>
      </c>
      <c r="F46" s="122" t="s">
        <v>49</v>
      </c>
      <c r="G46" s="122"/>
      <c r="H46" s="123"/>
    </row>
    <row r="47" spans="2:8" ht="15" customHeight="1">
      <c r="B47" s="108">
        <v>39</v>
      </c>
      <c r="C47" s="111"/>
      <c r="E47" s="124" t="s">
        <v>38</v>
      </c>
      <c r="F47" s="125"/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a2tN5enVcTUWj6O3MPRMprx98BhERpK5opXvDhgFeDaehrDj4+vS7Bpq75tqVOvcoWtMAmlBrI9iG7sSGyfzMw==" saltValue="ygSLDTdHzwGUOnwlWJGN9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9" activePane="bottomRight" state="frozen"/>
      <selection pane="bottomRight" activeCell="G13" sqref="G13:G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INNOVACION Y EMPRENDIMIENTO</v>
      </c>
      <c r="C2" s="82"/>
      <c r="D2" s="3"/>
      <c r="F2" s="149" t="s">
        <v>75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CONCATENATE(LIDER!C4," - ",LIDER!C6," - ",LIDER!C5)</f>
        <v>INNOVACION Y EMPRENDIMIENTO - 2305 - EDUARDO JESUS CARDENAS RODRIGUEZ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63</v>
      </c>
      <c r="C5" s="88" t="s">
        <v>77</v>
      </c>
      <c r="D5" s="32" t="s">
        <v>78</v>
      </c>
      <c r="E5" s="89" t="s">
        <v>79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NICOLE BLANQUICETT GUILLIN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</v>
      </c>
      <c r="F6" s="143">
        <v>3.7</v>
      </c>
      <c r="G6" s="144">
        <v>4</v>
      </c>
      <c r="H6" s="145">
        <v>4.4000000000000004</v>
      </c>
      <c r="I6" s="144">
        <v>4</v>
      </c>
      <c r="J6" s="145">
        <v>4.5</v>
      </c>
      <c r="K6" s="144">
        <v>3.8</v>
      </c>
      <c r="L6" s="145">
        <v>5</v>
      </c>
    </row>
    <row r="7" spans="1:12" s="2" customFormat="1" ht="15" customHeight="1">
      <c r="A7" s="12">
        <v>2</v>
      </c>
      <c r="B7" s="10" t="str">
        <f>LIDER!E44</f>
        <v>SEBASTIAN JAVIER CASTILLO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GABRIELA CHING CASTELLAR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ANGELICA LOPEZ SANCHEZ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SHEREINE MARCELA TOVAR ARIAS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64</v>
      </c>
      <c r="C12" s="88" t="s">
        <v>80</v>
      </c>
      <c r="D12" s="32" t="str">
        <f>D5</f>
        <v>LIST</v>
      </c>
      <c r="E12" s="89" t="s">
        <v>79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BRAYER DAVID ALTAMIRANDA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4.0300000000000011</v>
      </c>
      <c r="F13" s="143">
        <v>3.8</v>
      </c>
      <c r="G13" s="144">
        <v>4.3</v>
      </c>
      <c r="H13" s="145">
        <v>4.5</v>
      </c>
      <c r="I13" s="144">
        <v>3.5</v>
      </c>
      <c r="J13" s="145">
        <v>4.5</v>
      </c>
      <c r="K13" s="144">
        <v>3.3</v>
      </c>
      <c r="L13" s="145">
        <v>5</v>
      </c>
    </row>
    <row r="14" spans="1:12" s="2" customFormat="1" ht="15" customHeight="1">
      <c r="A14" s="12">
        <v>2</v>
      </c>
      <c r="B14" s="10" t="str">
        <f>LIDER!F44</f>
        <v>LUIS ALBERTO CAMPO OSPINO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4.0300000000000011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BRAYAN SMITH CANTILLO GONZALEZ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4.0300000000000011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AYLEEN PATRICIA HERBALES PUERTA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4.0300000000000011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65</v>
      </c>
      <c r="C19" s="88" t="s">
        <v>81</v>
      </c>
      <c r="D19" s="32" t="str">
        <f>D12</f>
        <v>LIST</v>
      </c>
      <c r="E19" s="89" t="s">
        <v>79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4.120000000000001</v>
      </c>
      <c r="F20" s="143">
        <v>4</v>
      </c>
      <c r="G20" s="144">
        <v>3.8</v>
      </c>
      <c r="H20" s="145">
        <v>4.5999999999999996</v>
      </c>
      <c r="I20" s="144">
        <v>4.3</v>
      </c>
      <c r="J20" s="145">
        <v>4.7</v>
      </c>
      <c r="K20" s="144">
        <v>3.5</v>
      </c>
      <c r="L20" s="145">
        <v>5</v>
      </c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4.120000000000001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4.120000000000001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66</v>
      </c>
      <c r="C26" s="88" t="s">
        <v>82</v>
      </c>
      <c r="D26" s="32" t="str">
        <f>D19</f>
        <v>LIST</v>
      </c>
      <c r="E26" s="89" t="s">
        <v>79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67</v>
      </c>
      <c r="C33" s="88" t="s">
        <v>83</v>
      </c>
      <c r="D33" s="32" t="str">
        <f>D26</f>
        <v>LIST</v>
      </c>
      <c r="E33" s="89" t="s">
        <v>79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84</v>
      </c>
      <c r="D40" s="32" t="str">
        <f>D33</f>
        <v>LIST</v>
      </c>
      <c r="E40" s="89" t="s">
        <v>79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69</v>
      </c>
      <c r="C47" s="88" t="s">
        <v>85</v>
      </c>
      <c r="D47" s="32" t="str">
        <f>D40</f>
        <v>LIST</v>
      </c>
      <c r="E47" s="89" t="s">
        <v>79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70</v>
      </c>
      <c r="C54" s="88" t="s">
        <v>86</v>
      </c>
      <c r="D54" s="32" t="str">
        <f>D47</f>
        <v>LIST</v>
      </c>
      <c r="E54" s="89" t="s">
        <v>79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71</v>
      </c>
      <c r="C61" s="88" t="s">
        <v>87</v>
      </c>
      <c r="D61" s="32" t="str">
        <f>D54</f>
        <v>LIST</v>
      </c>
      <c r="E61" s="89" t="s">
        <v>79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72</v>
      </c>
      <c r="C68" s="88" t="s">
        <v>88</v>
      </c>
      <c r="D68" s="32" t="str">
        <f>D61</f>
        <v>LIST</v>
      </c>
      <c r="E68" s="89" t="s">
        <v>79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73</v>
      </c>
      <c r="C75" s="88" t="s">
        <v>89</v>
      </c>
      <c r="D75" s="32" t="str">
        <f>D68</f>
        <v>LIST</v>
      </c>
      <c r="E75" s="89" t="s">
        <v>79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74</v>
      </c>
      <c r="C82" s="88" t="s">
        <v>90</v>
      </c>
      <c r="D82" s="32" t="str">
        <f>D75</f>
        <v>LIST</v>
      </c>
      <c r="E82" s="89" t="s">
        <v>79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G14" activePane="bottomRight" state="frozen"/>
      <selection pane="bottomRight" activeCell="M20" sqref="M2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ELECTIVA DE PROFUNDIZACION III</v>
      </c>
      <c r="C2" s="82"/>
      <c r="D2" s="3"/>
      <c r="F2" s="149" t="s">
        <v>75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CONCATENATE(LIDER!D4," - ",LIDER!D6," - ",LIDER!D5)</f>
        <v>ELECTIVA DE PROFUNDIZACION III - 2321 - LUIS CARLOS PUELLO SUÁREZ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63</v>
      </c>
      <c r="C5" s="88" t="s">
        <v>77</v>
      </c>
      <c r="D5" s="32" t="s">
        <v>78</v>
      </c>
      <c r="E5" s="89" t="s">
        <v>79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NICOLE BLANQUICETT GUILLIN</v>
      </c>
      <c r="C6" s="90" t="str">
        <f>C5</f>
        <v>G01</v>
      </c>
      <c r="D6" s="95" t="s">
        <v>91</v>
      </c>
      <c r="E6" s="11" t="str">
        <f>IF(B6=0,0,IF(D6="",$F$6*LIDER!$H$9+$G$6*LIDER!$H$10+$H$6*LIDER!$H$11+$I$6*LIDER!$H$12+$J$6*LIDER!$H$13+$K$6*LIDER!$H$14+$L$6*LIDER!$H$15,"N"))</f>
        <v>N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SEBASTIAN JAVIER CASTILLO ALVAREZ</v>
      </c>
      <c r="C7" s="90" t="str">
        <f t="shared" ref="C7:C11" si="0">C6</f>
        <v>G01</v>
      </c>
      <c r="D7" s="96" t="s">
        <v>91</v>
      </c>
      <c r="E7" s="11" t="str">
        <f>IF(B7=0,0,IF(D7="",$F$6*LIDER!$H$9+$G$6*LIDER!$H$10+$H$6*LIDER!$H$11+$I$6*LIDER!$H$12+$J$6*LIDER!$H$13+$K$6*LIDER!$H$14+$L$6*LIDER!$H$15,"N"))</f>
        <v>N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GABRIELA CHING CASTELLAR</v>
      </c>
      <c r="C8" s="90" t="str">
        <f t="shared" si="0"/>
        <v>G01</v>
      </c>
      <c r="D8" s="96" t="s">
        <v>91</v>
      </c>
      <c r="E8" s="11" t="str">
        <f>IF(B8=0,0,IF(D8="",$F$6*LIDER!$H$9+$G$6*LIDER!$H$10+$H$6*LIDER!$H$11+$I$6*LIDER!$H$12+$J$6*LIDER!$H$13+$K$6*LIDER!$H$14+$L$6*LIDER!$H$15,"N"))</f>
        <v>N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ANGELICA LOPEZ SANCHEZ</v>
      </c>
      <c r="C9" s="90" t="str">
        <f t="shared" si="0"/>
        <v>G01</v>
      </c>
      <c r="D9" s="96" t="s">
        <v>91</v>
      </c>
      <c r="E9" s="11" t="str">
        <f>IF(B9=0,0,IF(D9="",$F$6*LIDER!$H$9+$G$6*LIDER!$H$10+$H$6*LIDER!$H$11+$I$6*LIDER!$H$12+$J$6*LIDER!$H$13+$K$6*LIDER!$H$14+$L$6*LIDER!$H$15,"N"))</f>
        <v>N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SHEREINE MARCELA TOVAR ARIAS</v>
      </c>
      <c r="C10" s="90" t="str">
        <f t="shared" si="0"/>
        <v>G01</v>
      </c>
      <c r="D10" s="96" t="s">
        <v>91</v>
      </c>
      <c r="E10" s="11" t="str">
        <f>IF(B10=0,0,IF(D10="",$F$6*LIDER!$H$9+$G$6*LIDER!$H$10+$H$6*LIDER!$H$11+$I$6*LIDER!$H$12+$J$6*LIDER!$H$13+$K$6*LIDER!$H$14+$L$6*LIDER!$H$15,"N"))</f>
        <v>N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64</v>
      </c>
      <c r="C12" s="88" t="s">
        <v>80</v>
      </c>
      <c r="D12" s="32" t="str">
        <f>D5</f>
        <v>LIST</v>
      </c>
      <c r="E12" s="89" t="s">
        <v>79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BRAYER DAVID ALTAMIRANDA MORALES</v>
      </c>
      <c r="C13" s="90" t="str">
        <f>C12</f>
        <v>G02</v>
      </c>
      <c r="D13" s="95" t="s">
        <v>91</v>
      </c>
      <c r="E13" s="11" t="str">
        <f>IF(B13=0,0,IF(D13="",$F$13*LIDER!$H$9+$G$13*LIDER!$H$10+$H$13*LIDER!$H$11+$I$13*LIDER!$H$12+$J$13*LIDER!$H$13+$K$13*LIDER!$H$14+$L$13*LIDER!$H$15,"N"))</f>
        <v>N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LUIS ALBERTO CAMPO OSPINO</v>
      </c>
      <c r="C14" s="90" t="str">
        <f t="shared" ref="C14:C18" si="1">C13</f>
        <v>G02</v>
      </c>
      <c r="D14" s="96" t="s">
        <v>91</v>
      </c>
      <c r="E14" s="11" t="str">
        <f>IF(B14=0,0,IF(D14="",$F$13*LIDER!$H$9+$G$13*LIDER!$H$10+$H$13*LIDER!$H$11+$I$13*LIDER!$H$12+$J$13*LIDER!$H$13+$K$13*LIDER!$H$14+$L$13*LIDER!$H$15,"N"))</f>
        <v>N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BRAYAN SMITH CANTILLO GONZALEZ</v>
      </c>
      <c r="C15" s="90" t="str">
        <f t="shared" si="1"/>
        <v>G02</v>
      </c>
      <c r="D15" s="96" t="s">
        <v>91</v>
      </c>
      <c r="E15" s="11" t="str">
        <f>IF(B15=0,0,IF(D15="",$F$13*LIDER!$H$9+$G$13*LIDER!$H$10+$H$13*LIDER!$H$11+$I$13*LIDER!$H$12+$J$13*LIDER!$H$13+$K$13*LIDER!$H$14+$L$13*LIDER!$H$15,"N"))</f>
        <v>N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AYLEEN PATRICIA HERBALES PUERTA</v>
      </c>
      <c r="C16" s="90" t="str">
        <f t="shared" si="1"/>
        <v>G02</v>
      </c>
      <c r="D16" s="96" t="s">
        <v>91</v>
      </c>
      <c r="E16" s="11" t="str">
        <f>IF(B16=0,0,IF(D16="",$F$13*LIDER!$H$9+$G$13*LIDER!$H$10+$H$13*LIDER!$H$11+$I$13*LIDER!$H$12+$J$13*LIDER!$H$13+$K$13*LIDER!$H$14+$L$13*LIDER!$H$15,"N"))</f>
        <v>N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65</v>
      </c>
      <c r="C19" s="88" t="s">
        <v>81</v>
      </c>
      <c r="D19" s="32" t="str">
        <f>D12</f>
        <v>LIST</v>
      </c>
      <c r="E19" s="89" t="s">
        <v>79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4.3500000000000005</v>
      </c>
      <c r="F20" s="143">
        <v>4.3</v>
      </c>
      <c r="G20" s="144">
        <v>4.4000000000000004</v>
      </c>
      <c r="H20" s="145">
        <v>4.7</v>
      </c>
      <c r="I20" s="144">
        <v>4.2</v>
      </c>
      <c r="J20" s="145">
        <v>4.5999999999999996</v>
      </c>
      <c r="K20" s="144">
        <v>3.8</v>
      </c>
      <c r="L20" s="145">
        <v>5</v>
      </c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4.3500000000000005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4.3500000000000005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66</v>
      </c>
      <c r="C26" s="88" t="s">
        <v>82</v>
      </c>
      <c r="D26" s="32" t="str">
        <f>D19</f>
        <v>LIST</v>
      </c>
      <c r="E26" s="89" t="s">
        <v>79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67</v>
      </c>
      <c r="C33" s="88" t="s">
        <v>83</v>
      </c>
      <c r="D33" s="32" t="str">
        <f>D26</f>
        <v>LIST</v>
      </c>
      <c r="E33" s="89" t="s">
        <v>79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84</v>
      </c>
      <c r="D40" s="32" t="str">
        <f>D33</f>
        <v>LIST</v>
      </c>
      <c r="E40" s="89" t="s">
        <v>79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69</v>
      </c>
      <c r="C47" s="88" t="s">
        <v>85</v>
      </c>
      <c r="D47" s="32" t="str">
        <f>D40</f>
        <v>LIST</v>
      </c>
      <c r="E47" s="89" t="s">
        <v>79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70</v>
      </c>
      <c r="C54" s="88" t="s">
        <v>86</v>
      </c>
      <c r="D54" s="32" t="str">
        <f>D47</f>
        <v>LIST</v>
      </c>
      <c r="E54" s="89" t="s">
        <v>79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71</v>
      </c>
      <c r="C61" s="88" t="s">
        <v>87</v>
      </c>
      <c r="D61" s="32" t="str">
        <f>D54</f>
        <v>LIST</v>
      </c>
      <c r="E61" s="89" t="s">
        <v>79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72</v>
      </c>
      <c r="C68" s="88" t="s">
        <v>88</v>
      </c>
      <c r="D68" s="32" t="str">
        <f>D61</f>
        <v>LIST</v>
      </c>
      <c r="E68" s="89" t="s">
        <v>79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73</v>
      </c>
      <c r="C75" s="88" t="s">
        <v>89</v>
      </c>
      <c r="D75" s="32" t="str">
        <f>D68</f>
        <v>LIST</v>
      </c>
      <c r="E75" s="89" t="s">
        <v>79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74</v>
      </c>
      <c r="C82" s="88" t="s">
        <v>90</v>
      </c>
      <c r="D82" s="32" t="str">
        <f>D75</f>
        <v>LIST</v>
      </c>
      <c r="E82" s="89" t="s">
        <v>79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J15" activePane="bottomRight" state="frozen"/>
      <selection pane="bottomRight" activeCell="D20" sqref="D2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AMBIENTE Y DESARROLLO</v>
      </c>
      <c r="C2" s="82"/>
      <c r="D2" s="3"/>
      <c r="F2" s="149" t="s">
        <v>75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CONCATENATE(LIDER!E4," - ",LIDER!E6," - ",LIDER!E5)</f>
        <v>AMBIENTE Y DESARROLLO - 1087 - MARIANO BELTRAN PADILLA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63</v>
      </c>
      <c r="C5" s="88" t="s">
        <v>77</v>
      </c>
      <c r="D5" s="32" t="s">
        <v>78</v>
      </c>
      <c r="E5" s="89" t="s">
        <v>79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NICOLE BLANQUICETT GUILLIN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4.1100000000000003</v>
      </c>
      <c r="F6" s="143">
        <v>4.2</v>
      </c>
      <c r="G6" s="144">
        <v>4</v>
      </c>
      <c r="H6" s="145">
        <v>4.5</v>
      </c>
      <c r="I6" s="144">
        <v>4.5</v>
      </c>
      <c r="J6" s="145">
        <v>4.2</v>
      </c>
      <c r="K6" s="144">
        <v>4</v>
      </c>
      <c r="L6" s="145">
        <v>3.5</v>
      </c>
    </row>
    <row r="7" spans="1:12" s="2" customFormat="1" ht="15" customHeight="1">
      <c r="A7" s="12">
        <v>2</v>
      </c>
      <c r="B7" s="10" t="str">
        <f>LIDER!E44</f>
        <v>SEBASTIAN JAVIER CASTILLO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4.1100000000000003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GABRIELA CHING CASTELLAR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4.1100000000000003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ANGELICA LOPEZ SANCHEZ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4.1100000000000003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SHEREINE MARCELA TOVAR ARIAS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4.1100000000000003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64</v>
      </c>
      <c r="C12" s="88" t="s">
        <v>80</v>
      </c>
      <c r="D12" s="32" t="str">
        <f>D5</f>
        <v>LIST</v>
      </c>
      <c r="E12" s="89" t="s">
        <v>79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BRAYER DAVID ALTAMIRANDA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4.28</v>
      </c>
      <c r="F13" s="143">
        <v>4.2</v>
      </c>
      <c r="G13" s="144">
        <v>4.2</v>
      </c>
      <c r="H13" s="145">
        <v>4.5</v>
      </c>
      <c r="I13" s="144">
        <v>4.5</v>
      </c>
      <c r="J13" s="145">
        <v>4.5</v>
      </c>
      <c r="K13" s="144">
        <v>4.5</v>
      </c>
      <c r="L13" s="145">
        <v>3.5</v>
      </c>
    </row>
    <row r="14" spans="1:12" s="2" customFormat="1" ht="15" customHeight="1">
      <c r="A14" s="12">
        <v>2</v>
      </c>
      <c r="B14" s="10" t="str">
        <f>LIDER!F44</f>
        <v>LUIS ALBERTO CAMPO OSPINO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4.28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BRAYAN SMITH CANTILLO GONZALEZ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4.28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AYLEEN PATRICIA HERBALES PUERTA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4.28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65</v>
      </c>
      <c r="C19" s="88" t="s">
        <v>81</v>
      </c>
      <c r="D19" s="32" t="str">
        <f>D12</f>
        <v>LIST</v>
      </c>
      <c r="E19" s="89" t="s">
        <v>79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 t="s">
        <v>91</v>
      </c>
      <c r="E20" s="11" t="str">
        <f>IF(B20=0,0,IF(D20="",$F$20*LIDER!$H$9+$G$20*LIDER!$H$10+$H$20*LIDER!$H$11+$I$20*LIDER!$H$12+$J$20*LIDER!$H$13+$K$20*LIDER!$H$14+$L$20*LIDER!$H$15,"N"))</f>
        <v>N</v>
      </c>
      <c r="F20" s="143">
        <v>4</v>
      </c>
      <c r="G20" s="144">
        <v>4</v>
      </c>
      <c r="H20" s="145">
        <v>4.5</v>
      </c>
      <c r="I20" s="144">
        <v>4.5</v>
      </c>
      <c r="J20" s="145">
        <v>4</v>
      </c>
      <c r="K20" s="144">
        <v>4.2</v>
      </c>
      <c r="L20" s="145">
        <v>3</v>
      </c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4.04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4.04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66</v>
      </c>
      <c r="C26" s="88" t="s">
        <v>82</v>
      </c>
      <c r="D26" s="32" t="str">
        <f>D19</f>
        <v>LIST</v>
      </c>
      <c r="E26" s="89" t="s">
        <v>79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67</v>
      </c>
      <c r="C33" s="88" t="s">
        <v>83</v>
      </c>
      <c r="D33" s="32" t="str">
        <f>D26</f>
        <v>LIST</v>
      </c>
      <c r="E33" s="89" t="s">
        <v>79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84</v>
      </c>
      <c r="D40" s="32" t="str">
        <f>D33</f>
        <v>LIST</v>
      </c>
      <c r="E40" s="89" t="s">
        <v>79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69</v>
      </c>
      <c r="C47" s="88" t="s">
        <v>85</v>
      </c>
      <c r="D47" s="32" t="str">
        <f>D40</f>
        <v>LIST</v>
      </c>
      <c r="E47" s="89" t="s">
        <v>79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70</v>
      </c>
      <c r="C54" s="88" t="s">
        <v>86</v>
      </c>
      <c r="D54" s="32" t="str">
        <f>D47</f>
        <v>LIST</v>
      </c>
      <c r="E54" s="89" t="s">
        <v>79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71</v>
      </c>
      <c r="C61" s="88" t="s">
        <v>87</v>
      </c>
      <c r="D61" s="32" t="str">
        <f>D54</f>
        <v>LIST</v>
      </c>
      <c r="E61" s="89" t="s">
        <v>79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72</v>
      </c>
      <c r="C68" s="88" t="s">
        <v>88</v>
      </c>
      <c r="D68" s="32" t="str">
        <f>D61</f>
        <v>LIST</v>
      </c>
      <c r="E68" s="89" t="s">
        <v>79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73</v>
      </c>
      <c r="C75" s="88" t="s">
        <v>89</v>
      </c>
      <c r="D75" s="32" t="str">
        <f>D68</f>
        <v>LIST</v>
      </c>
      <c r="E75" s="89" t="s">
        <v>79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74</v>
      </c>
      <c r="C82" s="88" t="s">
        <v>90</v>
      </c>
      <c r="D82" s="32" t="str">
        <f>D75</f>
        <v>LIST</v>
      </c>
      <c r="E82" s="89" t="s">
        <v>79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7" activePane="bottomRight" state="frozen"/>
      <selection pane="bottomRight" activeCell="L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FINANZAS INTERNACIONALES</v>
      </c>
      <c r="C2" s="82"/>
      <c r="D2" s="3"/>
      <c r="F2" s="149" t="s">
        <v>75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CONCATENATE(LIDER!F4," - ",LIDER!F6," - ",LIDER!F5)</f>
        <v>FINANZAS INTERNACIONALES - 1445 - JAVIER IGNACIO ALVAREZ OROZCO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63</v>
      </c>
      <c r="C5" s="88" t="s">
        <v>77</v>
      </c>
      <c r="D5" s="32" t="s">
        <v>78</v>
      </c>
      <c r="E5" s="89" t="s">
        <v>79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NICOLE BLANQUICETT GUILLIN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4.5999999999999996</v>
      </c>
      <c r="F6" s="143">
        <v>4.5999999999999996</v>
      </c>
      <c r="G6" s="144">
        <v>4.5999999999999996</v>
      </c>
      <c r="H6" s="145">
        <v>4.5999999999999996</v>
      </c>
      <c r="I6" s="144">
        <v>4.5999999999999996</v>
      </c>
      <c r="J6" s="145">
        <v>4.5999999999999996</v>
      </c>
      <c r="K6" s="144">
        <v>4.4000000000000004</v>
      </c>
      <c r="L6" s="145">
        <v>5</v>
      </c>
    </row>
    <row r="7" spans="1:12" s="2" customFormat="1" ht="15" customHeight="1">
      <c r="A7" s="12">
        <v>2</v>
      </c>
      <c r="B7" s="10" t="str">
        <f>LIDER!E44</f>
        <v>SEBASTIAN JAVIER CASTILLO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4.5999999999999996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GABRIELA CHING CASTELLAR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4.5999999999999996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ANGELICA LOPEZ SANCHEZ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4.5999999999999996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SHEREINE MARCELA TOVAR ARIAS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4.5999999999999996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64</v>
      </c>
      <c r="C12" s="88" t="s">
        <v>80</v>
      </c>
      <c r="D12" s="32" t="str">
        <f>D5</f>
        <v>LIST</v>
      </c>
      <c r="E12" s="89" t="s">
        <v>79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BRAYER DAVID ALTAMIRANDA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4.46</v>
      </c>
      <c r="F13" s="143">
        <v>4.5</v>
      </c>
      <c r="G13" s="144">
        <v>4.4000000000000004</v>
      </c>
      <c r="H13" s="145">
        <v>4.4000000000000004</v>
      </c>
      <c r="I13" s="144">
        <v>4.4000000000000004</v>
      </c>
      <c r="J13" s="145">
        <v>4.4000000000000004</v>
      </c>
      <c r="K13" s="144">
        <v>4.3</v>
      </c>
      <c r="L13" s="145">
        <v>5</v>
      </c>
    </row>
    <row r="14" spans="1:12" s="2" customFormat="1" ht="15" customHeight="1">
      <c r="A14" s="12">
        <v>2</v>
      </c>
      <c r="B14" s="10" t="str">
        <f>LIDER!F44</f>
        <v>LUIS ALBERTO CAMPO OSPINO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4.46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BRAYAN SMITH CANTILLO GONZALEZ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4.46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AYLEEN PATRICIA HERBALES PUERTA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4.46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65</v>
      </c>
      <c r="C19" s="88" t="s">
        <v>81</v>
      </c>
      <c r="D19" s="32" t="str">
        <f>D12</f>
        <v>LIST</v>
      </c>
      <c r="E19" s="89" t="s">
        <v>79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4.4700000000000006</v>
      </c>
      <c r="F20" s="143">
        <v>4.5</v>
      </c>
      <c r="G20" s="144">
        <v>4.4000000000000004</v>
      </c>
      <c r="H20" s="145">
        <v>4.5</v>
      </c>
      <c r="I20" s="144">
        <v>4.4000000000000004</v>
      </c>
      <c r="J20" s="145">
        <v>4.4000000000000004</v>
      </c>
      <c r="K20" s="144">
        <v>4.3</v>
      </c>
      <c r="L20" s="145">
        <v>5</v>
      </c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4.4700000000000006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4.4700000000000006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66</v>
      </c>
      <c r="C26" s="88" t="s">
        <v>82</v>
      </c>
      <c r="D26" s="32" t="str">
        <f>D19</f>
        <v>LIST</v>
      </c>
      <c r="E26" s="89" t="s">
        <v>79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67</v>
      </c>
      <c r="C33" s="88" t="s">
        <v>83</v>
      </c>
      <c r="D33" s="32" t="str">
        <f>D26</f>
        <v>LIST</v>
      </c>
      <c r="E33" s="89" t="s">
        <v>79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84</v>
      </c>
      <c r="D40" s="32" t="str">
        <f>D33</f>
        <v>LIST</v>
      </c>
      <c r="E40" s="89" t="s">
        <v>79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69</v>
      </c>
      <c r="C47" s="88" t="s">
        <v>85</v>
      </c>
      <c r="D47" s="32" t="str">
        <f>D40</f>
        <v>LIST</v>
      </c>
      <c r="E47" s="89" t="s">
        <v>79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70</v>
      </c>
      <c r="C54" s="88" t="s">
        <v>86</v>
      </c>
      <c r="D54" s="32" t="str">
        <f>D47</f>
        <v>LIST</v>
      </c>
      <c r="E54" s="89" t="s">
        <v>79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71</v>
      </c>
      <c r="C61" s="88" t="s">
        <v>87</v>
      </c>
      <c r="D61" s="32" t="str">
        <f>D54</f>
        <v>LIST</v>
      </c>
      <c r="E61" s="89" t="s">
        <v>79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72</v>
      </c>
      <c r="C68" s="88" t="s">
        <v>88</v>
      </c>
      <c r="D68" s="32" t="str">
        <f>D61</f>
        <v>LIST</v>
      </c>
      <c r="E68" s="89" t="s">
        <v>79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73</v>
      </c>
      <c r="C75" s="88" t="s">
        <v>89</v>
      </c>
      <c r="D75" s="32" t="str">
        <f>D68</f>
        <v>LIST</v>
      </c>
      <c r="E75" s="89" t="s">
        <v>79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74</v>
      </c>
      <c r="C82" s="88" t="s">
        <v>90</v>
      </c>
      <c r="D82" s="32" t="str">
        <f>D75</f>
        <v>LIST</v>
      </c>
      <c r="E82" s="89" t="s">
        <v>79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D.F.I.</v>
      </c>
      <c r="C2" s="82"/>
      <c r="D2" s="3"/>
      <c r="F2" s="149" t="s">
        <v>75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CONCATENATE(LIDER!G4," - ",LIDER!G6," - ",LIDER!G5)</f>
        <v>D.F.I. - 1451 - RAFAEL UGARRIZA DIAZ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63</v>
      </c>
      <c r="C5" s="88" t="s">
        <v>77</v>
      </c>
      <c r="D5" s="32" t="s">
        <v>78</v>
      </c>
      <c r="E5" s="89" t="s">
        <v>79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NICOLE BLANQUICETT GUILLIN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SEBASTIAN JAVIER CASTILLO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GABRIELA CHING CASTELLAR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ANGELICA LOPEZ SANCHEZ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SHEREINE MARCELA TOVAR ARIAS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64</v>
      </c>
      <c r="C12" s="88" t="s">
        <v>80</v>
      </c>
      <c r="D12" s="32" t="str">
        <f>D5</f>
        <v>LIST</v>
      </c>
      <c r="E12" s="89" t="s">
        <v>79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BRAYER DAVID ALTAMIRANDA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LUIS ALBERTO CAMPO OSPINO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BRAYAN SMITH CANTILLO GONZALEZ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AYLEEN PATRICIA HERBALES PUERTA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65</v>
      </c>
      <c r="C19" s="88" t="s">
        <v>81</v>
      </c>
      <c r="D19" s="32" t="str">
        <f>D12</f>
        <v>LIST</v>
      </c>
      <c r="E19" s="89" t="s">
        <v>79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66</v>
      </c>
      <c r="C26" s="88" t="s">
        <v>82</v>
      </c>
      <c r="D26" s="32" t="str">
        <f>D19</f>
        <v>LIST</v>
      </c>
      <c r="E26" s="89" t="s">
        <v>79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67</v>
      </c>
      <c r="C33" s="88" t="s">
        <v>83</v>
      </c>
      <c r="D33" s="32" t="str">
        <f>D26</f>
        <v>LIST</v>
      </c>
      <c r="E33" s="89" t="s">
        <v>79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84</v>
      </c>
      <c r="D40" s="32" t="str">
        <f>D33</f>
        <v>LIST</v>
      </c>
      <c r="E40" s="89" t="s">
        <v>79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69</v>
      </c>
      <c r="C47" s="88" t="s">
        <v>85</v>
      </c>
      <c r="D47" s="32" t="str">
        <f>D40</f>
        <v>LIST</v>
      </c>
      <c r="E47" s="89" t="s">
        <v>79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70</v>
      </c>
      <c r="C54" s="88" t="s">
        <v>86</v>
      </c>
      <c r="D54" s="32" t="str">
        <f>D47</f>
        <v>LIST</v>
      </c>
      <c r="E54" s="89" t="s">
        <v>79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71</v>
      </c>
      <c r="C61" s="88" t="s">
        <v>87</v>
      </c>
      <c r="D61" s="32" t="str">
        <f>D54</f>
        <v>LIST</v>
      </c>
      <c r="E61" s="89" t="s">
        <v>79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72</v>
      </c>
      <c r="C68" s="88" t="s">
        <v>88</v>
      </c>
      <c r="D68" s="32" t="str">
        <f>D61</f>
        <v>LIST</v>
      </c>
      <c r="E68" s="89" t="s">
        <v>79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73</v>
      </c>
      <c r="C75" s="88" t="s">
        <v>89</v>
      </c>
      <c r="D75" s="32" t="str">
        <f>D68</f>
        <v>LIST</v>
      </c>
      <c r="E75" s="89" t="s">
        <v>79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74</v>
      </c>
      <c r="C82" s="88" t="s">
        <v>90</v>
      </c>
      <c r="D82" s="32" t="str">
        <f>D75</f>
        <v>LIST</v>
      </c>
      <c r="E82" s="89" t="s">
        <v>79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tabSelected="1" workbookViewId="0">
      <pane xSplit="5" ySplit="3" topLeftCell="F17" activePane="bottomRight" state="frozen"/>
      <selection pane="bottomRight" activeCell="L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ELECTIVA LIBRE SOCIOHUMANÍ II</v>
      </c>
      <c r="C2" s="82"/>
      <c r="D2" s="3"/>
      <c r="F2" s="149" t="s">
        <v>75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CONCATENATE(LIDER!H4," - ",LIDER!H6," - ",LIDER!H5)</f>
        <v>ELECTIVA LIBRE SOCIOHUMANÍ II - 2122 - EBERTO JESUS POSADA AMANTE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63</v>
      </c>
      <c r="C5" s="88" t="s">
        <v>77</v>
      </c>
      <c r="D5" s="32" t="s">
        <v>78</v>
      </c>
      <c r="E5" s="89" t="s">
        <v>79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NICOLE BLANQUICETT GUILLIN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4.74</v>
      </c>
      <c r="F6" s="143">
        <v>4.8</v>
      </c>
      <c r="G6" s="144">
        <v>4.8</v>
      </c>
      <c r="H6" s="145">
        <v>4.5</v>
      </c>
      <c r="I6" s="144">
        <v>4.5</v>
      </c>
      <c r="J6" s="145">
        <v>4.8</v>
      </c>
      <c r="K6" s="144">
        <v>4.8</v>
      </c>
      <c r="L6" s="145">
        <v>4.8</v>
      </c>
    </row>
    <row r="7" spans="1:12" s="2" customFormat="1" ht="15" customHeight="1">
      <c r="A7" s="12">
        <v>2</v>
      </c>
      <c r="B7" s="10" t="str">
        <f>LIDER!E44</f>
        <v>SEBASTIAN JAVIER CASTILLO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4.74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GABRIELA CHING CASTELLAR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4.74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ANGELICA LOPEZ SANCHEZ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4.74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SHEREINE MARCELA TOVAR ARIAS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4.74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64</v>
      </c>
      <c r="C12" s="88" t="s">
        <v>80</v>
      </c>
      <c r="D12" s="32" t="str">
        <f>D5</f>
        <v>LIST</v>
      </c>
      <c r="E12" s="89" t="s">
        <v>79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BRAYER DAVID ALTAMIRANDA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4.6000000000000005</v>
      </c>
      <c r="F13" s="143">
        <v>4.5</v>
      </c>
      <c r="G13" s="144">
        <v>4.5</v>
      </c>
      <c r="H13" s="145">
        <v>4.5</v>
      </c>
      <c r="I13" s="144">
        <v>4.5</v>
      </c>
      <c r="J13" s="145">
        <v>5</v>
      </c>
      <c r="K13" s="144">
        <v>4.5</v>
      </c>
      <c r="L13" s="145">
        <v>5</v>
      </c>
    </row>
    <row r="14" spans="1:12" s="2" customFormat="1" ht="15" customHeight="1">
      <c r="A14" s="12">
        <v>2</v>
      </c>
      <c r="B14" s="10" t="str">
        <f>LIDER!F44</f>
        <v>LUIS ALBERTO CAMPO OSPINO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4.6000000000000005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BRAYAN SMITH CANTILLO GONZALEZ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4.6000000000000005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AYLEEN PATRICIA HERBALES PUERTA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4.6000000000000005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65</v>
      </c>
      <c r="C19" s="88" t="s">
        <v>81</v>
      </c>
      <c r="D19" s="32" t="str">
        <f>D12</f>
        <v>LIST</v>
      </c>
      <c r="E19" s="89" t="s">
        <v>79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4.6500000000000004</v>
      </c>
      <c r="F20" s="143">
        <v>4.5</v>
      </c>
      <c r="G20" s="144">
        <v>4.8</v>
      </c>
      <c r="H20" s="145">
        <v>4.8</v>
      </c>
      <c r="I20" s="144">
        <v>4.8</v>
      </c>
      <c r="J20" s="145">
        <v>4.8</v>
      </c>
      <c r="K20" s="144">
        <v>4.5</v>
      </c>
      <c r="L20" s="145">
        <v>4.5</v>
      </c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4.6500000000000004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4.6500000000000004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66</v>
      </c>
      <c r="C26" s="88" t="s">
        <v>82</v>
      </c>
      <c r="D26" s="32" t="str">
        <f>D19</f>
        <v>LIST</v>
      </c>
      <c r="E26" s="89" t="s">
        <v>79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67</v>
      </c>
      <c r="C33" s="88" t="s">
        <v>83</v>
      </c>
      <c r="D33" s="32" t="str">
        <f>D26</f>
        <v>LIST</v>
      </c>
      <c r="E33" s="89" t="s">
        <v>79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84</v>
      </c>
      <c r="D40" s="32" t="str">
        <f>D33</f>
        <v>LIST</v>
      </c>
      <c r="E40" s="89" t="s">
        <v>79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69</v>
      </c>
      <c r="C47" s="88" t="s">
        <v>85</v>
      </c>
      <c r="D47" s="32" t="str">
        <f>D40</f>
        <v>LIST</v>
      </c>
      <c r="E47" s="89" t="s">
        <v>79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70</v>
      </c>
      <c r="C54" s="88" t="s">
        <v>86</v>
      </c>
      <c r="D54" s="32" t="str">
        <f>D47</f>
        <v>LIST</v>
      </c>
      <c r="E54" s="89" t="s">
        <v>79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71</v>
      </c>
      <c r="C61" s="88" t="s">
        <v>87</v>
      </c>
      <c r="D61" s="32" t="str">
        <f>D54</f>
        <v>LIST</v>
      </c>
      <c r="E61" s="89" t="s">
        <v>79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72</v>
      </c>
      <c r="C68" s="88" t="s">
        <v>88</v>
      </c>
      <c r="D68" s="32" t="str">
        <f>D61</f>
        <v>LIST</v>
      </c>
      <c r="E68" s="89" t="s">
        <v>79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73</v>
      </c>
      <c r="C75" s="88" t="s">
        <v>89</v>
      </c>
      <c r="D75" s="32" t="str">
        <f>D68</f>
        <v>LIST</v>
      </c>
      <c r="E75" s="89" t="s">
        <v>79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74</v>
      </c>
      <c r="C82" s="88" t="s">
        <v>90</v>
      </c>
      <c r="D82" s="32" t="str">
        <f>D75</f>
        <v>LIST</v>
      </c>
      <c r="E82" s="89" t="s">
        <v>79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55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149" t="s">
        <v>75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CONCATENATE(LIDER!I4," - ",LIDER!I6," - ",LIDER!I5)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63</v>
      </c>
      <c r="C5" s="88" t="s">
        <v>77</v>
      </c>
      <c r="D5" s="32" t="s">
        <v>78</v>
      </c>
      <c r="E5" s="89" t="s">
        <v>79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NICOLE BLANQUICETT GUILLIN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SEBASTIAN JAVIER CASTILLO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GABRIELA CHING CASTELLAR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MARIA ANGELICA LOPEZ SANCHEZ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SHEREINE MARCELA TOVAR ARIAS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64</v>
      </c>
      <c r="C12" s="88" t="s">
        <v>80</v>
      </c>
      <c r="D12" s="32" t="str">
        <f>D5</f>
        <v>LIST</v>
      </c>
      <c r="E12" s="89" t="s">
        <v>79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BRAYER DAVID ALTAMIRANDA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LUIS ALBERTO CAMPO OSPINO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BRAYAN SMITH CANTILLO GONZALEZ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AYLEEN PATRICIA HERBALES PUERTA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65</v>
      </c>
      <c r="C19" s="88" t="s">
        <v>81</v>
      </c>
      <c r="D19" s="32" t="str">
        <f>D12</f>
        <v>LIST</v>
      </c>
      <c r="E19" s="89" t="s">
        <v>79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66</v>
      </c>
      <c r="C26" s="88" t="s">
        <v>82</v>
      </c>
      <c r="D26" s="32" t="str">
        <f>D19</f>
        <v>LIST</v>
      </c>
      <c r="E26" s="89" t="s">
        <v>79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67</v>
      </c>
      <c r="C33" s="88" t="s">
        <v>83</v>
      </c>
      <c r="D33" s="32" t="str">
        <f>D26</f>
        <v>LIST</v>
      </c>
      <c r="E33" s="89" t="s">
        <v>79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68</v>
      </c>
      <c r="C40" s="88" t="s">
        <v>84</v>
      </c>
      <c r="D40" s="32" t="str">
        <f>D33</f>
        <v>LIST</v>
      </c>
      <c r="E40" s="89" t="s">
        <v>79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69</v>
      </c>
      <c r="C47" s="88" t="s">
        <v>85</v>
      </c>
      <c r="D47" s="32" t="str">
        <f>D40</f>
        <v>LIST</v>
      </c>
      <c r="E47" s="89" t="s">
        <v>79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70</v>
      </c>
      <c r="C54" s="88" t="s">
        <v>86</v>
      </c>
      <c r="D54" s="32" t="str">
        <f>D47</f>
        <v>LIST</v>
      </c>
      <c r="E54" s="89" t="s">
        <v>79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71</v>
      </c>
      <c r="C61" s="88" t="s">
        <v>87</v>
      </c>
      <c r="D61" s="32" t="str">
        <f>D54</f>
        <v>LIST</v>
      </c>
      <c r="E61" s="89" t="s">
        <v>79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72</v>
      </c>
      <c r="C68" s="88" t="s">
        <v>88</v>
      </c>
      <c r="D68" s="32" t="str">
        <f>D61</f>
        <v>LIST</v>
      </c>
      <c r="E68" s="89" t="s">
        <v>79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73</v>
      </c>
      <c r="C75" s="88" t="s">
        <v>89</v>
      </c>
      <c r="D75" s="32" t="str">
        <f>D68</f>
        <v>LIST</v>
      </c>
      <c r="E75" s="89" t="s">
        <v>79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74</v>
      </c>
      <c r="C82" s="88" t="s">
        <v>90</v>
      </c>
      <c r="D82" s="32" t="str">
        <f>D75</f>
        <v>LIST</v>
      </c>
      <c r="E82" s="89" t="s">
        <v>79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INNOVACION Y EMPRENDIMIENTO</v>
      </c>
      <c r="C2" s="3"/>
      <c r="E2" s="207" t="s">
        <v>75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CONCATENATE(LIDER!C4," - ",LIDER!C6," - ",LIDER!C5)</f>
        <v>INNOVACION Y EMPRENDIMIENTO - 2305 - EDUARDO JESUS CARDENAS RODRIGUEZ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63</v>
      </c>
      <c r="C5" s="32" t="str">
        <f>IF('S-ASIG-01'!D5="","",'S-ASIG-01'!D5)</f>
        <v>LIST</v>
      </c>
      <c r="D5" s="35" t="s">
        <v>79</v>
      </c>
      <c r="E5" s="206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NICOLE BLANQUICETT GUILLIN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SEBASTIAN JAVIER CASTILLO ALVAREZ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CHING CASTELLAR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ANGELICA LOPEZ SANCHEZ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SHEREINE MARCELA TOVAR ARIAS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64</v>
      </c>
      <c r="C12" s="32" t="str">
        <f>IF('S-ASIG-01'!D12="","",'S-ASIG-01'!D12)</f>
        <v>LIST</v>
      </c>
      <c r="D12" s="35" t="s">
        <v>79</v>
      </c>
      <c r="E12" s="206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BRAYER DAVID ALTAMIRANDA MORALES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ALBERTO CAMPO OSPINO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BRAYAN SMITH CANTILLO GONZALEZ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AYLEEN PATRICIA HERBALES PUERTA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65</v>
      </c>
      <c r="C19" s="32" t="str">
        <f>IF('S-ASIG-01'!D19="","",'S-ASIG-01'!D19)</f>
        <v>LIST</v>
      </c>
      <c r="D19" s="35" t="s">
        <v>79</v>
      </c>
      <c r="E19" s="206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66</v>
      </c>
      <c r="C26" s="32" t="str">
        <f>IF('S-ASIG-01'!D26="","",'S-ASIG-01'!D26)</f>
        <v>LIST</v>
      </c>
      <c r="D26" s="35" t="s">
        <v>79</v>
      </c>
      <c r="E26" s="206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67</v>
      </c>
      <c r="C33" s="32" t="str">
        <f>IF('S-ASIG-01'!D33="","",'S-ASIG-01'!D33)</f>
        <v>LIST</v>
      </c>
      <c r="D33" s="35" t="s">
        <v>79</v>
      </c>
      <c r="E33" s="206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IF('S-ASIG-01'!D40="","",'S-ASIG-01'!D40)</f>
        <v>LIST</v>
      </c>
      <c r="D40" s="35" t="s">
        <v>79</v>
      </c>
      <c r="E40" s="206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69</v>
      </c>
      <c r="C47" s="32" t="str">
        <f>IF('S-ASIG-01'!D47="","",'S-ASIG-01'!D47)</f>
        <v>LIST</v>
      </c>
      <c r="D47" s="35" t="s">
        <v>79</v>
      </c>
      <c r="E47" s="206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70</v>
      </c>
      <c r="C54" s="32" t="str">
        <f>IF('S-ASIG-01'!D54="","",'S-ASIG-01'!D54)</f>
        <v>LIST</v>
      </c>
      <c r="D54" s="35" t="s">
        <v>79</v>
      </c>
      <c r="E54" s="206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71</v>
      </c>
      <c r="C61" s="32" t="str">
        <f>IF('S-ASIG-01'!D61="","",'S-ASIG-01'!D61)</f>
        <v>LIST</v>
      </c>
      <c r="D61" s="35" t="s">
        <v>79</v>
      </c>
      <c r="E61" s="206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72</v>
      </c>
      <c r="C68" s="32" t="str">
        <f>IF('S-ASIG-01'!D68="","",'S-ASIG-01'!D68)</f>
        <v>LIST</v>
      </c>
      <c r="D68" s="35" t="s">
        <v>79</v>
      </c>
      <c r="E68" s="206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73</v>
      </c>
      <c r="C75" s="32" t="str">
        <f>IF('S-ASIG-01'!D75="","",'S-ASIG-01'!D75)</f>
        <v>LIST</v>
      </c>
      <c r="D75" s="35" t="s">
        <v>79</v>
      </c>
      <c r="E75" s="206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74</v>
      </c>
      <c r="C82" s="32" t="str">
        <f>IF('S-ASIG-01'!D82="","",'S-ASIG-01'!D82)</f>
        <v>LIST</v>
      </c>
      <c r="D82" s="35" t="s">
        <v>79</v>
      </c>
      <c r="E82" s="206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ELECTIVA DE PROFUNDIZACION III</v>
      </c>
      <c r="C2" s="3"/>
      <c r="E2" s="207" t="s">
        <v>75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CONCATENATE(LIDER!D4," - ",LIDER!D6," - ",LIDER!D5)</f>
        <v>ELECTIVA DE PROFUNDIZACION III - 2321 - LUIS CARLOS PUELLO SUÁREZ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63</v>
      </c>
      <c r="C5" s="34" t="str">
        <f>IF('S-ASIG-02'!D5="","",'S-ASIG-02'!D5)</f>
        <v>LIST</v>
      </c>
      <c r="D5" s="35" t="s">
        <v>79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NICOLE BLANQUICETT GUILLIN</v>
      </c>
      <c r="C6" s="33" t="str">
        <f>IF('S-ASIG-02'!D6="","",'S-ASIG-02'!D6)</f>
        <v>N</v>
      </c>
      <c r="D6" s="30" t="str">
        <f>IF(B6=0,"",IF(C6="",$E$6*LIDER!$H$19+F6*LIDER!$H$20+G6*LIDER!$H$21+H6*LIDER!$H$22+I6*LIDER!$H$23+J6*LIDER!$H$24+K6*LIDER!$H$25,"N"))</f>
        <v>N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SEBASTIAN JAVIER CASTILLO ALVAREZ</v>
      </c>
      <c r="C7" s="33" t="str">
        <f>IF('S-ASIG-02'!D7="","",'S-ASIG-02'!D7)</f>
        <v>N</v>
      </c>
      <c r="D7" s="30" t="str">
        <f>IF(B7=0,"",IF(C7="",$E$6*LIDER!$H$19+F7*LIDER!$H$20+G7*LIDER!$H$21+H7*LIDER!$H$22+I7*LIDER!$H$23+J7*LIDER!$H$24+K7*LIDER!$H$25,"N"))</f>
        <v>N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CHING CASTELLAR</v>
      </c>
      <c r="C8" s="33" t="str">
        <f>IF('S-ASIG-02'!D8="","",'S-ASIG-02'!D8)</f>
        <v>N</v>
      </c>
      <c r="D8" s="30" t="str">
        <f>IF(B8=0,"",IF(C8="",$E$6*LIDER!$H$19+F8*LIDER!$H$20+G8*LIDER!$H$21+H8*LIDER!$H$22+I8*LIDER!$H$23+J8*LIDER!$H$24+K8*LIDER!$H$25,"N"))</f>
        <v>N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ANGELICA LOPEZ SANCHEZ</v>
      </c>
      <c r="C9" s="33" t="str">
        <f>IF('S-ASIG-02'!D9="","",'S-ASIG-02'!D9)</f>
        <v>N</v>
      </c>
      <c r="D9" s="30" t="str">
        <f>IF(B9=0,"",IF(C9="",$E$6*LIDER!$H$19+F9*LIDER!$H$20+G9*LIDER!$H$21+H9*LIDER!$H$22+I9*LIDER!$H$23+J9*LIDER!$H$24+K9*LIDER!$H$25,"N"))</f>
        <v>N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SHEREINE MARCELA TOVAR ARIAS</v>
      </c>
      <c r="C10" s="33" t="str">
        <f>IF('S-ASIG-02'!D10="","",'S-ASIG-02'!D10)</f>
        <v>N</v>
      </c>
      <c r="D10" s="30" t="str">
        <f>IF(B10=0,"",IF(C10="",$E$6*LIDER!$H$19+F10*LIDER!$H$20+G10*LIDER!$H$21+H10*LIDER!$H$22+I10*LIDER!$H$23+J10*LIDER!$H$24+K10*LIDER!$H$25,"N"))</f>
        <v>N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64</v>
      </c>
      <c r="C12" s="32" t="str">
        <f>IF('S-ASIG-02'!D12="","",'S-ASIG-02'!D12)</f>
        <v>LIST</v>
      </c>
      <c r="D12" s="35" t="s">
        <v>79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BRAYER DAVID ALTAMIRANDA MORALES</v>
      </c>
      <c r="C13" s="33" t="str">
        <f>IF('S-ASIG-02'!D13="","",'S-ASIG-02'!D13)</f>
        <v>N</v>
      </c>
      <c r="D13" s="30" t="str">
        <f>IF(B13=0,"",IF(C13="",$E$13*LIDER!$H$19+F13*LIDER!$H$20+G13*LIDER!$H$21+H13*LIDER!$H$22+I13*LIDER!$H$23+J13*LIDER!$H$24+K13*LIDER!$H$25,"N"))</f>
        <v>N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ALBERTO CAMPO OSPINO</v>
      </c>
      <c r="C14" s="33" t="str">
        <f>IF('S-ASIG-02'!D14="","",'S-ASIG-02'!D14)</f>
        <v>N</v>
      </c>
      <c r="D14" s="30" t="str">
        <f>IF(B14=0,"",IF(C14="",$E$13*LIDER!$H$19+F14*LIDER!$H$20+G14*LIDER!$H$21+H14*LIDER!$H$22+I14*LIDER!$H$23+J14*LIDER!$H$24+K14*LIDER!$H$25,"N"))</f>
        <v>N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BRAYAN SMITH CANTILLO GONZALEZ</v>
      </c>
      <c r="C15" s="33" t="str">
        <f>IF('S-ASIG-02'!D15="","",'S-ASIG-02'!D15)</f>
        <v>N</v>
      </c>
      <c r="D15" s="30" t="str">
        <f>IF(B15=0,"",IF(C15="",$E$13*LIDER!$H$19+F15*LIDER!$H$20+G15*LIDER!$H$21+H15*LIDER!$H$22+I15*LIDER!$H$23+J15*LIDER!$H$24+K15*LIDER!$H$25,"N"))</f>
        <v>N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AYLEEN PATRICIA HERBALES PUERTA</v>
      </c>
      <c r="C16" s="33" t="str">
        <f>IF('S-ASIG-02'!D16="","",'S-ASIG-02'!D16)</f>
        <v>N</v>
      </c>
      <c r="D16" s="30" t="str">
        <f>IF(B16=0,"",IF(C16="",$E$13*LIDER!$H$19+F16*LIDER!$H$20+G16*LIDER!$H$21+H16*LIDER!$H$22+I16*LIDER!$H$23+J16*LIDER!$H$24+K16*LIDER!$H$25,"N"))</f>
        <v>N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65</v>
      </c>
      <c r="C19" s="32" t="str">
        <f>IF('S-ASIG-02'!D19="","",'S-ASIG-02'!D19)</f>
        <v>LIST</v>
      </c>
      <c r="D19" s="35" t="s">
        <v>79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66</v>
      </c>
      <c r="C26" s="32" t="str">
        <f>IF('S-ASIG-02'!D26="","",'S-ASIG-02'!D26)</f>
        <v>LIST</v>
      </c>
      <c r="D26" s="35" t="s">
        <v>79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67</v>
      </c>
      <c r="C33" s="32" t="str">
        <f>IF('S-ASIG-02'!D33="","",'S-ASIG-02'!D33)</f>
        <v>LIST</v>
      </c>
      <c r="D33" s="35" t="s">
        <v>79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IF('S-ASIG-02'!D40="","",'S-ASIG-02'!D40)</f>
        <v>LIST</v>
      </c>
      <c r="D40" s="35" t="s">
        <v>79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69</v>
      </c>
      <c r="C47" s="32" t="str">
        <f>IF('S-ASIG-02'!D47="","",'S-ASIG-02'!D47)</f>
        <v>LIST</v>
      </c>
      <c r="D47" s="35" t="s">
        <v>79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70</v>
      </c>
      <c r="C54" s="32" t="str">
        <f>IF('S-ASIG-02'!D54="","",'S-ASIG-02'!D54)</f>
        <v>LIST</v>
      </c>
      <c r="D54" s="35" t="s">
        <v>79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71</v>
      </c>
      <c r="C61" s="32" t="str">
        <f>IF('S-ASIG-02'!D61="","",'S-ASIG-02'!D61)</f>
        <v>LIST</v>
      </c>
      <c r="D61" s="35" t="s">
        <v>79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72</v>
      </c>
      <c r="C68" s="32" t="str">
        <f>IF('S-ASIG-02'!D68="","",'S-ASIG-02'!D68)</f>
        <v>LIST</v>
      </c>
      <c r="D68" s="35" t="s">
        <v>79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73</v>
      </c>
      <c r="C75" s="32" t="str">
        <f>IF('S-ASIG-02'!D75="","",'S-ASIG-02'!D75)</f>
        <v>LIST</v>
      </c>
      <c r="D75" s="35" t="s">
        <v>79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74</v>
      </c>
      <c r="C82" s="32" t="str">
        <f>IF('S-ASIG-02'!D82="","",'S-ASIG-02'!D82)</f>
        <v>LIST</v>
      </c>
      <c r="D82" s="35" t="s">
        <v>79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AMBIENTE Y DESARROLLO</v>
      </c>
      <c r="C2" s="3"/>
      <c r="E2" s="207" t="s">
        <v>75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CONCATENATE(LIDER!E4," - ",LIDER!E6," - ",LIDER!E5)</f>
        <v>AMBIENTE Y DESARROLLO - 1087 - MARIANO BELTRAN PADILLA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63</v>
      </c>
      <c r="C5" s="34" t="str">
        <f>IF('S-ASIG-03'!D5="","",'S-ASIG-03'!D5)</f>
        <v>LIST</v>
      </c>
      <c r="D5" s="35" t="s">
        <v>79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NICOLE BLANQUICETT GUILLIN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SEBASTIAN JAVIER CASTILLO ALVAREZ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CHING CASTELLAR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ANGELICA LOPEZ SANCHEZ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SHEREINE MARCELA TOVAR ARIAS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64</v>
      </c>
      <c r="C12" s="32" t="str">
        <f>IF('S-ASIG-03'!D12="","",'S-ASIG-03'!D12)</f>
        <v>LIST</v>
      </c>
      <c r="D12" s="35" t="s">
        <v>79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BRAYER DAVID ALTAMIRANDA MORALES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ALBERTO CAMPO OSPINO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BRAYAN SMITH CANTILLO GONZALEZ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AYLEEN PATRICIA HERBALES PUERTA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65</v>
      </c>
      <c r="C19" s="32" t="str">
        <f>IF('S-ASIG-03'!D19="","",'S-ASIG-03'!D19)</f>
        <v>LIST</v>
      </c>
      <c r="D19" s="35" t="s">
        <v>79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IF('S-ASIG-03'!D20="","",'S-ASIG-03'!D20)</f>
        <v>N</v>
      </c>
      <c r="D20" s="30" t="str">
        <f>IF(B20=0,"",IF(C20="",$E$20*LIDER!$H$19+F20*LIDER!$H$20+G20*LIDER!$H$21+H20*LIDER!$H$22+I20*LIDER!$H$23+J20*LIDER!$H$24+K20*LIDER!$H$25,"N"))</f>
        <v>N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66</v>
      </c>
      <c r="C26" s="32" t="str">
        <f>IF('S-ASIG-03'!D26="","",'S-ASIG-03'!D26)</f>
        <v>LIST</v>
      </c>
      <c r="D26" s="35" t="s">
        <v>79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67</v>
      </c>
      <c r="C33" s="32" t="str">
        <f>IF('S-ASIG-03'!D33="","",'S-ASIG-03'!D33)</f>
        <v>LIST</v>
      </c>
      <c r="D33" s="35" t="s">
        <v>79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IF('S-ASIG-03'!D40="","",'S-ASIG-03'!D40)</f>
        <v>LIST</v>
      </c>
      <c r="D40" s="35" t="s">
        <v>79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69</v>
      </c>
      <c r="C47" s="32" t="str">
        <f>IF('S-ASIG-03'!D47="","",'S-ASIG-03'!D47)</f>
        <v>LIST</v>
      </c>
      <c r="D47" s="35" t="s">
        <v>79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70</v>
      </c>
      <c r="C54" s="32" t="str">
        <f>IF('S-ASIG-03'!D54="","",'S-ASIG-03'!D54)</f>
        <v>LIST</v>
      </c>
      <c r="D54" s="35" t="s">
        <v>79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71</v>
      </c>
      <c r="C61" s="32" t="str">
        <f>IF('S-ASIG-03'!D61="","",'S-ASIG-03'!D61)</f>
        <v>LIST</v>
      </c>
      <c r="D61" s="35" t="s">
        <v>79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72</v>
      </c>
      <c r="C68" s="32" t="str">
        <f>IF('S-ASIG-03'!D68="","",'S-ASIG-03'!D68)</f>
        <v>LIST</v>
      </c>
      <c r="D68" s="35" t="s">
        <v>79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73</v>
      </c>
      <c r="C75" s="32" t="str">
        <f>IF('S-ASIG-03'!D75="","",'S-ASIG-03'!D75)</f>
        <v>LIST</v>
      </c>
      <c r="D75" s="35" t="s">
        <v>79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74</v>
      </c>
      <c r="C82" s="32" t="str">
        <f>IF('S-ASIG-03'!D82="","",'S-ASIG-03'!D82)</f>
        <v>LIST</v>
      </c>
      <c r="D82" s="35" t="s">
        <v>79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FINANZAS INTERNACIONALES</v>
      </c>
      <c r="C2" s="3"/>
      <c r="E2" s="207" t="s">
        <v>75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CONCATENATE(LIDER!F4," - ",LIDER!F6," - ",LIDER!F5)</f>
        <v>FINANZAS INTERNACIONALES - 1445 - JAVIER IGNACIO ALVAREZ OROZCO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63</v>
      </c>
      <c r="C5" s="34" t="str">
        <f>IF('S-ASIG-04'!D5="","",'S-ASIG-04'!D5)</f>
        <v>LIST</v>
      </c>
      <c r="D5" s="35" t="s">
        <v>79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NICOLE BLANQUICETT GUILLIN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SEBASTIAN JAVIER CASTILLO ALVAREZ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CHING CASTELLAR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ANGELICA LOPEZ SANCHEZ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SHEREINE MARCELA TOVAR ARIAS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64</v>
      </c>
      <c r="C12" s="32" t="str">
        <f>IF('S-ASIG-04'!D12="","",'S-ASIG-04'!D12)</f>
        <v>LIST</v>
      </c>
      <c r="D12" s="35" t="s">
        <v>79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BRAYER DAVID ALTAMIRANDA MORALES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ALBERTO CAMPO OSPINO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BRAYAN SMITH CANTILLO GONZALEZ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AYLEEN PATRICIA HERBALES PUERTA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65</v>
      </c>
      <c r="C19" s="32" t="str">
        <f>IF('S-ASIG-04'!D19="","",'S-ASIG-04'!D19)</f>
        <v>LIST</v>
      </c>
      <c r="D19" s="35" t="s">
        <v>79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66</v>
      </c>
      <c r="C26" s="32" t="str">
        <f>IF('S-ASIG-04'!D26="","",'S-ASIG-04'!D26)</f>
        <v>LIST</v>
      </c>
      <c r="D26" s="35" t="s">
        <v>79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67</v>
      </c>
      <c r="C33" s="32" t="str">
        <f>IF('S-ASIG-04'!D33="","",'S-ASIG-04'!D33)</f>
        <v>LIST</v>
      </c>
      <c r="D33" s="35" t="s">
        <v>79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IF('S-ASIG-04'!D40="","",'S-ASIG-04'!D40)</f>
        <v>LIST</v>
      </c>
      <c r="D40" s="35" t="s">
        <v>79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69</v>
      </c>
      <c r="C47" s="32" t="str">
        <f>IF('S-ASIG-04'!D47="","",'S-ASIG-04'!D47)</f>
        <v>LIST</v>
      </c>
      <c r="D47" s="35" t="s">
        <v>79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70</v>
      </c>
      <c r="C54" s="32" t="str">
        <f>IF('S-ASIG-04'!D54="","",'S-ASIG-04'!D54)</f>
        <v>LIST</v>
      </c>
      <c r="D54" s="35" t="s">
        <v>79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71</v>
      </c>
      <c r="C61" s="32" t="str">
        <f>IF('S-ASIG-04'!D61="","",'S-ASIG-04'!D61)</f>
        <v>LIST</v>
      </c>
      <c r="D61" s="35" t="s">
        <v>79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72</v>
      </c>
      <c r="C68" s="32" t="str">
        <f>IF('S-ASIG-04'!D68="","",'S-ASIG-04'!D68)</f>
        <v>LIST</v>
      </c>
      <c r="D68" s="35" t="s">
        <v>79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73</v>
      </c>
      <c r="C75" s="32" t="str">
        <f>IF('S-ASIG-04'!D75="","",'S-ASIG-04'!D75)</f>
        <v>LIST</v>
      </c>
      <c r="D75" s="35" t="s">
        <v>79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74</v>
      </c>
      <c r="C82" s="32" t="str">
        <f>IF('S-ASIG-04'!D82="","",'S-ASIG-04'!D82)</f>
        <v>LIST</v>
      </c>
      <c r="D82" s="35" t="s">
        <v>79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D.F.I.</v>
      </c>
      <c r="C2" s="3"/>
      <c r="E2" s="207" t="s">
        <v>75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CONCATENATE(LIDER!G4," - ",LIDER!G6," - ",LIDER!G5)</f>
        <v>D.F.I. - 1451 - RAFAEL UGARRIZA DIAZ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63</v>
      </c>
      <c r="C5" s="34" t="str">
        <f>IF('S-ASIG-05'!D5="","",'S-ASIG-05'!D5)</f>
        <v>LIST</v>
      </c>
      <c r="D5" s="35" t="s">
        <v>79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NICOLE BLANQUICETT GUILLIN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SEBASTIAN JAVIER CASTILLO ALVAREZ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CHING CASTELLAR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ANGELICA LOPEZ SANCHEZ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SHEREINE MARCELA TOVAR ARIAS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64</v>
      </c>
      <c r="C12" s="32" t="str">
        <f>IF('S-ASIG-05'!D12="","",'S-ASIG-05'!D12)</f>
        <v>LIST</v>
      </c>
      <c r="D12" s="35" t="s">
        <v>79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BRAYER DAVID ALTAMIRANDA MORALES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ALBERTO CAMPO OSPINO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BRAYAN SMITH CANTILLO GONZALEZ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AYLEEN PATRICIA HERBALES PUERTA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65</v>
      </c>
      <c r="C19" s="32" t="str">
        <f>IF('S-ASIG-05'!D19="","",'S-ASIG-05'!D19)</f>
        <v>LIST</v>
      </c>
      <c r="D19" s="35" t="s">
        <v>79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66</v>
      </c>
      <c r="C26" s="32" t="str">
        <f>IF('S-ASIG-05'!D26="","",'S-ASIG-05'!D26)</f>
        <v>LIST</v>
      </c>
      <c r="D26" s="35" t="s">
        <v>79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67</v>
      </c>
      <c r="C33" s="32" t="str">
        <f>IF('S-ASIG-05'!D33="","",'S-ASIG-05'!D33)</f>
        <v>LIST</v>
      </c>
      <c r="D33" s="35" t="s">
        <v>79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IF('S-ASIG-05'!D40="","",'S-ASIG-05'!D40)</f>
        <v>LIST</v>
      </c>
      <c r="D40" s="35" t="s">
        <v>79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69</v>
      </c>
      <c r="C47" s="32" t="str">
        <f>IF('S-ASIG-05'!D47="","",'S-ASIG-05'!D47)</f>
        <v>LIST</v>
      </c>
      <c r="D47" s="35" t="s">
        <v>79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70</v>
      </c>
      <c r="C54" s="32" t="str">
        <f>IF('S-ASIG-05'!D54="","",'S-ASIG-05'!D54)</f>
        <v>LIST</v>
      </c>
      <c r="D54" s="35" t="s">
        <v>79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71</v>
      </c>
      <c r="C61" s="32" t="str">
        <f>IF('S-ASIG-05'!D61="","",'S-ASIG-05'!D61)</f>
        <v>LIST</v>
      </c>
      <c r="D61" s="35" t="s">
        <v>79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72</v>
      </c>
      <c r="C68" s="32" t="str">
        <f>IF('S-ASIG-05'!D68="","",'S-ASIG-05'!D68)</f>
        <v>LIST</v>
      </c>
      <c r="D68" s="35" t="s">
        <v>79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73</v>
      </c>
      <c r="C75" s="32" t="str">
        <f>IF('S-ASIG-05'!D75="","",'S-ASIG-05'!D75)</f>
        <v>LIST</v>
      </c>
      <c r="D75" s="35" t="s">
        <v>79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74</v>
      </c>
      <c r="C82" s="32" t="str">
        <f>IF('S-ASIG-05'!D82="","",'S-ASIG-05'!D82)</f>
        <v>LIST</v>
      </c>
      <c r="D82" s="35" t="s">
        <v>79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ELECTIVA LIBRE SOCIOHUMANÍ II</v>
      </c>
      <c r="C2" s="3"/>
      <c r="E2" s="207" t="s">
        <v>75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CONCATENATE(LIDER!H4," - ",LIDER!H6," - ",LIDER!H5)</f>
        <v>ELECTIVA LIBRE SOCIOHUMANÍ II - 2122 - EBERTO JESUS POSADA AMANTE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63</v>
      </c>
      <c r="C5" s="34" t="str">
        <f>IF('S-ASIG-06'!D5="","",'S-ASIG-06'!D5)</f>
        <v>LIST</v>
      </c>
      <c r="D5" s="35" t="s">
        <v>79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NICOLE BLANQUICETT GUILLIN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SEBASTIAN JAVIER CASTILLO ALVAREZ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CHING CASTELLAR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ANGELICA LOPEZ SANCHEZ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SHEREINE MARCELA TOVAR ARIAS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64</v>
      </c>
      <c r="C12" s="32" t="str">
        <f>IF('S-ASIG-06'!D12="","",'S-ASIG-06'!D12)</f>
        <v>LIST</v>
      </c>
      <c r="D12" s="35" t="s">
        <v>79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BRAYER DAVID ALTAMIRANDA MORALES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ALBERTO CAMPO OSPINO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BRAYAN SMITH CANTILLO GONZALEZ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AYLEEN PATRICIA HERBALES PUERTA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65</v>
      </c>
      <c r="C19" s="32" t="str">
        <f>IF('S-ASIG-06'!D19="","",'S-ASIG-06'!D19)</f>
        <v>LIST</v>
      </c>
      <c r="D19" s="35" t="s">
        <v>79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66</v>
      </c>
      <c r="C26" s="32" t="str">
        <f>IF('S-ASIG-06'!D26="","",'S-ASIG-06'!D26)</f>
        <v>LIST</v>
      </c>
      <c r="D26" s="35" t="s">
        <v>79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67</v>
      </c>
      <c r="C33" s="32" t="str">
        <f>IF('S-ASIG-06'!D33="","",'S-ASIG-06'!D33)</f>
        <v>LIST</v>
      </c>
      <c r="D33" s="35" t="s">
        <v>79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IF('S-ASIG-06'!D40="","",'S-ASIG-06'!D40)</f>
        <v>LIST</v>
      </c>
      <c r="D40" s="35" t="s">
        <v>79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69</v>
      </c>
      <c r="C47" s="32" t="str">
        <f>IF('S-ASIG-06'!D47="","",'S-ASIG-06'!D47)</f>
        <v>LIST</v>
      </c>
      <c r="D47" s="35" t="s">
        <v>79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70</v>
      </c>
      <c r="C54" s="32" t="str">
        <f>IF('S-ASIG-06'!D54="","",'S-ASIG-06'!D54)</f>
        <v>LIST</v>
      </c>
      <c r="D54" s="35" t="s">
        <v>79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71</v>
      </c>
      <c r="C61" s="32" t="str">
        <f>IF('S-ASIG-06'!D61="","",'S-ASIG-06'!D61)</f>
        <v>LIST</v>
      </c>
      <c r="D61" s="35" t="s">
        <v>79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72</v>
      </c>
      <c r="C68" s="32" t="str">
        <f>IF('S-ASIG-06'!D68="","",'S-ASIG-06'!D68)</f>
        <v>LIST</v>
      </c>
      <c r="D68" s="35" t="s">
        <v>79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73</v>
      </c>
      <c r="C75" s="32" t="str">
        <f>IF('S-ASIG-06'!D75="","",'S-ASIG-06'!D75)</f>
        <v>LIST</v>
      </c>
      <c r="D75" s="35" t="s">
        <v>79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74</v>
      </c>
      <c r="C82" s="32" t="str">
        <f>IF('S-ASIG-06'!D82="","",'S-ASIG-06'!D82)</f>
        <v>LIST</v>
      </c>
      <c r="D82" s="35" t="s">
        <v>79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07" t="s">
        <v>75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CONCATENATE(LIDER!I4," - ",LIDER!I6," - ",LIDER!I5)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63</v>
      </c>
      <c r="C5" s="34" t="str">
        <f>IF('S-ASIG-07'!D5="","",'S-ASIG-07'!D5)</f>
        <v>LIST</v>
      </c>
      <c r="D5" s="35" t="s">
        <v>79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NICOLE BLANQUICETT GUILLIN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SEBASTIAN JAVIER CASTILLO ALVAREZ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CHING CASTELLAR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MARIA ANGELICA LOPEZ SANCHEZ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SHEREINE MARCELA TOVAR ARIAS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64</v>
      </c>
      <c r="C12" s="32" t="str">
        <f>IF('S-ASIG-07'!D12="","",'S-ASIG-07'!D12)</f>
        <v>LIST</v>
      </c>
      <c r="D12" s="35" t="s">
        <v>79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BRAYER DAVID ALTAMIRANDA MORALES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ALBERTO CAMPO OSPINO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BRAYAN SMITH CANTILLO GONZALEZ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AYLEEN PATRICIA HERBALES PUERTA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65</v>
      </c>
      <c r="C19" s="32" t="str">
        <f>IF('S-ASIG-07'!D19="","",'S-ASIG-07'!D19)</f>
        <v>LIST</v>
      </c>
      <c r="D19" s="35" t="s">
        <v>79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66</v>
      </c>
      <c r="C26" s="32" t="str">
        <f>IF('S-ASIG-07'!D26="","",'S-ASIG-07'!D26)</f>
        <v>LIST</v>
      </c>
      <c r="D26" s="35" t="s">
        <v>79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67</v>
      </c>
      <c r="C33" s="32" t="str">
        <f>IF('S-ASIG-07'!D33="","",'S-ASIG-07'!D33)</f>
        <v>LIST</v>
      </c>
      <c r="D33" s="35" t="s">
        <v>79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68</v>
      </c>
      <c r="C40" s="32" t="str">
        <f>IF('S-ASIG-07'!D40="","",'S-ASIG-07'!D40)</f>
        <v>LIST</v>
      </c>
      <c r="D40" s="35" t="s">
        <v>79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69</v>
      </c>
      <c r="C47" s="32" t="str">
        <f>IF('S-ASIG-07'!D47="","",'S-ASIG-07'!D47)</f>
        <v>LIST</v>
      </c>
      <c r="D47" s="35" t="s">
        <v>79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70</v>
      </c>
      <c r="C54" s="32" t="str">
        <f>IF('S-ASIG-07'!D54="","",'S-ASIG-07'!D54)</f>
        <v>LIST</v>
      </c>
      <c r="D54" s="35" t="s">
        <v>79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71</v>
      </c>
      <c r="C61" s="32" t="str">
        <f>IF('S-ASIG-07'!D61="","",'S-ASIG-07'!D61)</f>
        <v>LIST</v>
      </c>
      <c r="D61" s="35" t="s">
        <v>79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72</v>
      </c>
      <c r="C68" s="32" t="str">
        <f>IF('S-ASIG-07'!D68="","",'S-ASIG-07'!D68)</f>
        <v>LIST</v>
      </c>
      <c r="D68" s="35" t="s">
        <v>79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73</v>
      </c>
      <c r="C75" s="32" t="str">
        <f>IF('S-ASIG-07'!D75="","",'S-ASIG-07'!D75)</f>
        <v>LIST</v>
      </c>
      <c r="D75" s="35" t="s">
        <v>79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74</v>
      </c>
      <c r="C82" s="32" t="str">
        <f>IF('S-ASIG-07'!D82="","",'S-ASIG-07'!D82)</f>
        <v>LIST</v>
      </c>
      <c r="D82" s="35" t="s">
        <v>79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/>
      <selection pane="bottomLeft" activeCell="F62" sqref="F62:J67"/>
      <selection pane="topRight" activeCell="F62" sqref="F62:J67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SEM-06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0" t="s">
        <v>92</v>
      </c>
      <c r="H2" s="211"/>
      <c r="I2" s="211"/>
      <c r="J2" s="211"/>
      <c r="K2" s="211"/>
      <c r="L2" s="211"/>
      <c r="M2" s="212"/>
      <c r="N2" s="2"/>
      <c r="O2" s="215" t="s">
        <v>93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2305</v>
      </c>
      <c r="H3" s="49" t="str">
        <f>CONCATENATE("N° : ",LIDER!D6)</f>
        <v>N° : 2321</v>
      </c>
      <c r="I3" s="49" t="str">
        <f>CONCATENATE("N° : ",LIDER!E6)</f>
        <v>N° : 1087</v>
      </c>
      <c r="J3" s="49" t="str">
        <f>CONCATENATE("N° : ",LIDER!F6)</f>
        <v>N° : 1445</v>
      </c>
      <c r="K3" s="49" t="str">
        <f>CONCATENATE("N° : ",LIDER!G6)</f>
        <v>N° : 1451</v>
      </c>
      <c r="L3" s="49" t="str">
        <f>CONCATENATE("N° : ",LIDER!H6)</f>
        <v>N° : 2122</v>
      </c>
      <c r="M3" s="50" t="str">
        <f>CONCATENATE("N° : ",LIDER!I6)</f>
        <v xml:space="preserve">N° : </v>
      </c>
      <c r="O3" s="48" t="str">
        <f>G3</f>
        <v>N° : 2305</v>
      </c>
      <c r="P3" s="49" t="str">
        <f t="shared" ref="P3:U3" si="0">H3</f>
        <v>N° : 2321</v>
      </c>
      <c r="Q3" s="49" t="str">
        <f t="shared" si="0"/>
        <v>N° : 1087</v>
      </c>
      <c r="R3" s="49" t="str">
        <f t="shared" si="0"/>
        <v>N° : 1445</v>
      </c>
      <c r="S3" s="49" t="str">
        <f t="shared" si="0"/>
        <v>N° : 1451</v>
      </c>
      <c r="T3" s="49" t="str">
        <f t="shared" si="0"/>
        <v>N° : 2122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94</v>
      </c>
      <c r="D4" s="54" t="s">
        <v>95</v>
      </c>
      <c r="E4" s="55" t="s">
        <v>96</v>
      </c>
      <c r="G4" s="56" t="str">
        <f>MID(LIDER!C4,1,9)</f>
        <v>INNOVACIO</v>
      </c>
      <c r="H4" s="57" t="str">
        <f>MID(LIDER!D4,1,9)</f>
        <v xml:space="preserve">ELECTIVA </v>
      </c>
      <c r="I4" s="57" t="str">
        <f>MID(LIDER!E4,1,9)</f>
        <v xml:space="preserve">AMBIENTE </v>
      </c>
      <c r="J4" s="57" t="str">
        <f>MID(LIDER!F4,1,9)</f>
        <v xml:space="preserve">FINANZAS </v>
      </c>
      <c r="K4" s="57" t="str">
        <f>MID(LIDER!G4,1,9)</f>
        <v>D.F.I.</v>
      </c>
      <c r="L4" s="57" t="str">
        <f>MID(LIDER!H4,1,9)</f>
        <v xml:space="preserve">ELECTIVA </v>
      </c>
      <c r="M4" s="58" t="str">
        <f>MID(LIDER!I4,1,9)</f>
        <v/>
      </c>
      <c r="N4" s="59" t="s">
        <v>97</v>
      </c>
      <c r="O4" s="60" t="str">
        <f t="shared" ref="O4:U4" si="1">G4</f>
        <v>INNOVACIO</v>
      </c>
      <c r="P4" s="61" t="str">
        <f t="shared" si="1"/>
        <v xml:space="preserve">ELECTIVA </v>
      </c>
      <c r="Q4" s="61" t="str">
        <f t="shared" si="1"/>
        <v xml:space="preserve">AMBIENTE </v>
      </c>
      <c r="R4" s="61" t="str">
        <f t="shared" si="1"/>
        <v xml:space="preserve">FINANZAS </v>
      </c>
      <c r="S4" s="61" t="str">
        <f t="shared" si="1"/>
        <v>D.F.I.</v>
      </c>
      <c r="T4" s="61" t="str">
        <f t="shared" si="1"/>
        <v xml:space="preserve">ELECTIVA </v>
      </c>
      <c r="U4" s="62" t="str">
        <f t="shared" si="1"/>
        <v/>
      </c>
      <c r="V4" s="59" t="s">
        <v>98</v>
      </c>
    </row>
    <row r="5" spans="1:22" ht="15" customHeight="1">
      <c r="A5" s="12">
        <v>1</v>
      </c>
      <c r="B5" s="63" t="str">
        <f>LIDER!C9</f>
        <v>NICOLE BLANQUICETT GUILLIN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4.3849999999999998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4.09</v>
      </c>
      <c r="H5" s="65" t="str">
        <f>IF(B5=0,"",IFERROR(VLOOKUP(B5,'S-ASIG-02'!$B$5:$E$88,4,0),0))</f>
        <v>N</v>
      </c>
      <c r="I5" s="65">
        <f>IF(B5=0,"",IFERROR(VLOOKUP(B5,'S-ASIG-03'!$B$5:$E$88,4,0),0))</f>
        <v>4.1100000000000003</v>
      </c>
      <c r="J5" s="65">
        <f>IF(B5=0,"",IFERROR(VLOOKUP(B5,'S-ASIG-04'!$B$5:$E$88,4,0),0))</f>
        <v>4.5999999999999996</v>
      </c>
      <c r="K5" s="65">
        <f>IF(B5=0,"",IFERROR(VLOOKUP(B5,'S-ASIG-05'!$B$5:$E$88,4,0),0))</f>
        <v>0</v>
      </c>
      <c r="L5" s="65">
        <f>IF(B5=0,"",IFERROR(VLOOKUP(B5,'S-ASIG-06'!$B$5:$E$88,4,0),0))</f>
        <v>4.74</v>
      </c>
      <c r="M5" s="66">
        <f>IF(B5=0,"",IFERROR(VLOOKUP(B5,'S-ASIG-07'!$B$5:$E$88,4,0),0))</f>
        <v>0</v>
      </c>
      <c r="N5" s="68" t="s">
        <v>99</v>
      </c>
      <c r="O5" s="67">
        <f>IF(B5=0,"",IFERROR(VLOOKUP(B5,'T-ASIG-01'!$B$5:$D$88,3,0),0))</f>
        <v>0</v>
      </c>
      <c r="P5" s="65" t="str">
        <f>IF(B5=0,"",IFERROR(VLOOKUP(B5,'T-ASIG-02'!$B$5:$D$88,3,0),0))</f>
        <v>N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100</v>
      </c>
    </row>
    <row r="6" spans="1:22" ht="15" customHeight="1">
      <c r="A6" s="12">
        <v>2</v>
      </c>
      <c r="B6" s="70" t="str">
        <f>LIDER!C10</f>
        <v>SEBASTIAN JAVIER CASTILLO ALVAREZ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4.3849999999999998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4.09</v>
      </c>
      <c r="H6" s="72" t="str">
        <f>IF(B6=0,"",IFERROR(VLOOKUP(B6,'S-ASIG-02'!$B$5:$E$88,4,0),0))</f>
        <v>N</v>
      </c>
      <c r="I6" s="72">
        <f>IF(B6=0,"",IFERROR(VLOOKUP(B6,'S-ASIG-03'!$B$5:$E$88,4,0),0))</f>
        <v>4.1100000000000003</v>
      </c>
      <c r="J6" s="72">
        <f>IF(B6=0,"",IFERROR(VLOOKUP(B6,'S-ASIG-04'!$B$5:$E$88,4,0),0))</f>
        <v>4.5999999999999996</v>
      </c>
      <c r="K6" s="72">
        <f>IF(B6=0,"",IFERROR(VLOOKUP(B6,'S-ASIG-05'!$B$5:$E$88,4,0),0))</f>
        <v>0</v>
      </c>
      <c r="L6" s="72">
        <f>IF(B6=0,"",IFERROR(VLOOKUP(B6,'S-ASIG-06'!$B$5:$E$88,4,0),0))</f>
        <v>4.74</v>
      </c>
      <c r="M6" s="73">
        <f>IF(B6=0,"",IFERROR(VLOOKUP(B6,'S-ASIG-07'!$B$5:$E$88,4,0),0))</f>
        <v>0</v>
      </c>
      <c r="N6" s="68" t="s">
        <v>99</v>
      </c>
      <c r="O6" s="71">
        <f>IF(B6=0,"",IFERROR(VLOOKUP(B6,'T-ASIG-01'!$B$5:$D$88,3,0),0))</f>
        <v>0</v>
      </c>
      <c r="P6" s="72" t="str">
        <f>IF(B6=0,"",IFERROR(VLOOKUP(B6,'T-ASIG-02'!$B$5:$D$88,3,0),0))</f>
        <v>N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100</v>
      </c>
    </row>
    <row r="7" spans="1:22" ht="15" customHeight="1">
      <c r="A7" s="12">
        <v>3</v>
      </c>
      <c r="B7" s="70" t="str">
        <f>LIDER!C11</f>
        <v>GABRIELA CHING CASTELLAR</v>
      </c>
      <c r="C7" s="64" t="str">
        <f>IF(B7=0,"",IFERROR(VLOOKUP(B7,'S-ASIG-01'!$B$5:$E$88,2,0),0))</f>
        <v>G01</v>
      </c>
      <c r="D7" s="65">
        <f t="shared" si="2"/>
        <v>4.3849999999999998</v>
      </c>
      <c r="E7" s="66">
        <f t="shared" si="3"/>
        <v>0</v>
      </c>
      <c r="F7" s="47"/>
      <c r="G7" s="71">
        <f>IF(B7=0,"",IFERROR(VLOOKUP(B7,'S-ASIG-01'!$B$5:$E$88,4,0),0))</f>
        <v>4.09</v>
      </c>
      <c r="H7" s="72" t="str">
        <f>IF(B7=0,"",IFERROR(VLOOKUP(B7,'S-ASIG-02'!$B$5:$E$88,4,0),0))</f>
        <v>N</v>
      </c>
      <c r="I7" s="72">
        <f>IF(B7=0,"",IFERROR(VLOOKUP(B7,'S-ASIG-03'!$B$5:$E$88,4,0),0))</f>
        <v>4.1100000000000003</v>
      </c>
      <c r="J7" s="72">
        <f>IF(B7=0,"",IFERROR(VLOOKUP(B7,'S-ASIG-04'!$B$5:$E$88,4,0),0))</f>
        <v>4.5999999999999996</v>
      </c>
      <c r="K7" s="72">
        <f>IF(B7=0,"",IFERROR(VLOOKUP(B7,'S-ASIG-05'!$B$5:$E$88,4,0),0))</f>
        <v>0</v>
      </c>
      <c r="L7" s="72">
        <f>IF(B7=0,"",IFERROR(VLOOKUP(B7,'S-ASIG-06'!$B$5:$E$88,4,0),0))</f>
        <v>4.74</v>
      </c>
      <c r="M7" s="73">
        <f>IF(B7=0,"",IFERROR(VLOOKUP(B7,'S-ASIG-07'!$B$5:$E$88,4,0),0))</f>
        <v>0</v>
      </c>
      <c r="N7" s="68" t="s">
        <v>99</v>
      </c>
      <c r="O7" s="71">
        <f>IF(B7=0,"",IFERROR(VLOOKUP(B7,'T-ASIG-01'!$B$5:$D$88,3,0),0))</f>
        <v>0</v>
      </c>
      <c r="P7" s="72" t="str">
        <f>IF(B7=0,"",IFERROR(VLOOKUP(B7,'T-ASIG-02'!$B$5:$D$88,3,0),0))</f>
        <v>N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100</v>
      </c>
    </row>
    <row r="8" spans="1:22" ht="15" customHeight="1">
      <c r="A8" s="12">
        <v>4</v>
      </c>
      <c r="B8" s="70" t="str">
        <f>LIDER!C12</f>
        <v>MARIA ANGELICA LOPEZ SANCHEZ</v>
      </c>
      <c r="C8" s="64" t="str">
        <f>IF(B8=0,"",IFERROR(VLOOKUP(B8,'S-ASIG-01'!$B$5:$E$88,2,0),0))</f>
        <v>G01</v>
      </c>
      <c r="D8" s="65">
        <f t="shared" si="2"/>
        <v>4.3849999999999998</v>
      </c>
      <c r="E8" s="66">
        <f t="shared" si="3"/>
        <v>0</v>
      </c>
      <c r="F8" s="47"/>
      <c r="G8" s="71">
        <f>IF(B8=0,"",IFERROR(VLOOKUP(B8,'S-ASIG-01'!$B$5:$E$88,4,0),0))</f>
        <v>4.09</v>
      </c>
      <c r="H8" s="72" t="str">
        <f>IF(B8=0,"",IFERROR(VLOOKUP(B8,'S-ASIG-02'!$B$5:$E$88,4,0),0))</f>
        <v>N</v>
      </c>
      <c r="I8" s="72">
        <f>IF(B8=0,"",IFERROR(VLOOKUP(B8,'S-ASIG-03'!$B$5:$E$88,4,0),0))</f>
        <v>4.1100000000000003</v>
      </c>
      <c r="J8" s="72">
        <f>IF(B8=0,"",IFERROR(VLOOKUP(B8,'S-ASIG-04'!$B$5:$E$88,4,0),0))</f>
        <v>4.5999999999999996</v>
      </c>
      <c r="K8" s="72">
        <f>IF(B8=0,"",IFERROR(VLOOKUP(B8,'S-ASIG-05'!$B$5:$E$88,4,0),0))</f>
        <v>0</v>
      </c>
      <c r="L8" s="72">
        <f>IF(B8=0,"",IFERROR(VLOOKUP(B8,'S-ASIG-06'!$B$5:$E$88,4,0),0))</f>
        <v>4.74</v>
      </c>
      <c r="M8" s="73">
        <f>IF(B8=0,"",IFERROR(VLOOKUP(B8,'S-ASIG-07'!$B$5:$E$88,4,0),0))</f>
        <v>0</v>
      </c>
      <c r="N8" s="68" t="s">
        <v>99</v>
      </c>
      <c r="O8" s="71">
        <f>IF(B8=0,"",IFERROR(VLOOKUP(B8,'T-ASIG-01'!$B$5:$D$88,3,0),0))</f>
        <v>0</v>
      </c>
      <c r="P8" s="72" t="str">
        <f>IF(B8=0,"",IFERROR(VLOOKUP(B8,'T-ASIG-02'!$B$5:$D$88,3,0),0))</f>
        <v>N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100</v>
      </c>
    </row>
    <row r="9" spans="1:22" ht="15" customHeight="1">
      <c r="A9" s="12">
        <v>5</v>
      </c>
      <c r="B9" s="70" t="str">
        <f>LIDER!C13</f>
        <v>SHEREINE MARCELA TOVAR ARIAS</v>
      </c>
      <c r="C9" s="64" t="str">
        <f>IF(B9=0,"",IFERROR(VLOOKUP(B9,'S-ASIG-01'!$B$5:$E$88,2,0),0))</f>
        <v>G01</v>
      </c>
      <c r="D9" s="65">
        <f t="shared" si="2"/>
        <v>4.3849999999999998</v>
      </c>
      <c r="E9" s="66">
        <f t="shared" si="3"/>
        <v>0</v>
      </c>
      <c r="F9" s="47"/>
      <c r="G9" s="71">
        <f>IF(B9=0,"",IFERROR(VLOOKUP(B9,'S-ASIG-01'!$B$5:$E$88,4,0),0))</f>
        <v>4.09</v>
      </c>
      <c r="H9" s="72" t="str">
        <f>IF(B9=0,"",IFERROR(VLOOKUP(B9,'S-ASIG-02'!$B$5:$E$88,4,0),0))</f>
        <v>N</v>
      </c>
      <c r="I9" s="72">
        <f>IF(B9=0,"",IFERROR(VLOOKUP(B9,'S-ASIG-03'!$B$5:$E$88,4,0),0))</f>
        <v>4.1100000000000003</v>
      </c>
      <c r="J9" s="72">
        <f>IF(B9=0,"",IFERROR(VLOOKUP(B9,'S-ASIG-04'!$B$5:$E$88,4,0),0))</f>
        <v>4.5999999999999996</v>
      </c>
      <c r="K9" s="72">
        <f>IF(B9=0,"",IFERROR(VLOOKUP(B9,'S-ASIG-05'!$B$5:$E$88,4,0),0))</f>
        <v>0</v>
      </c>
      <c r="L9" s="72">
        <f>IF(B9=0,"",IFERROR(VLOOKUP(B9,'S-ASIG-06'!$B$5:$E$88,4,0),0))</f>
        <v>4.74</v>
      </c>
      <c r="M9" s="73">
        <f>IF(B9=0,"",IFERROR(VLOOKUP(B9,'S-ASIG-07'!$B$5:$E$88,4,0),0))</f>
        <v>0</v>
      </c>
      <c r="N9" s="68" t="s">
        <v>99</v>
      </c>
      <c r="O9" s="71">
        <f>IF(B9=0,"",IFERROR(VLOOKUP(B9,'T-ASIG-01'!$B$5:$D$88,3,0),0))</f>
        <v>0</v>
      </c>
      <c r="P9" s="72" t="str">
        <f>IF(B9=0,"",IFERROR(VLOOKUP(B9,'T-ASIG-02'!$B$5:$D$88,3,0),0))</f>
        <v>N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100</v>
      </c>
    </row>
    <row r="10" spans="1:22" ht="15" customHeight="1">
      <c r="A10" s="12">
        <v>6</v>
      </c>
      <c r="B10" s="70" t="str">
        <f>LIDER!C14</f>
        <v>BRAYER DAVID ALTAMIRANDA MORALES</v>
      </c>
      <c r="C10" s="64" t="str">
        <f>IF(B10=0,"",IFERROR(VLOOKUP(B10,'S-ASIG-01'!$B$5:$E$88,2,0),0))</f>
        <v>G02</v>
      </c>
      <c r="D10" s="65">
        <f t="shared" si="2"/>
        <v>4.3425000000000011</v>
      </c>
      <c r="E10" s="66">
        <f t="shared" si="3"/>
        <v>0</v>
      </c>
      <c r="F10" s="47"/>
      <c r="G10" s="71">
        <f>IF(B10=0,"",IFERROR(VLOOKUP(B10,'S-ASIG-01'!$B$5:$E$88,4,0),0))</f>
        <v>4.0300000000000011</v>
      </c>
      <c r="H10" s="72" t="str">
        <f>IF(B10=0,"",IFERROR(VLOOKUP(B10,'S-ASIG-02'!$B$5:$E$88,4,0),0))</f>
        <v>N</v>
      </c>
      <c r="I10" s="72">
        <f>IF(B10=0,"",IFERROR(VLOOKUP(B10,'S-ASIG-03'!$B$5:$E$88,4,0),0))</f>
        <v>4.28</v>
      </c>
      <c r="J10" s="72">
        <f>IF(B10=0,"",IFERROR(VLOOKUP(B10,'S-ASIG-04'!$B$5:$E$88,4,0),0))</f>
        <v>4.46</v>
      </c>
      <c r="K10" s="72">
        <f>IF(B10=0,"",IFERROR(VLOOKUP(B10,'S-ASIG-05'!$B$5:$E$88,4,0),0))</f>
        <v>0</v>
      </c>
      <c r="L10" s="72">
        <f>IF(B10=0,"",IFERROR(VLOOKUP(B10,'S-ASIG-06'!$B$5:$E$88,4,0),0))</f>
        <v>4.6000000000000005</v>
      </c>
      <c r="M10" s="73">
        <f>IF(B10=0,"",IFERROR(VLOOKUP(B10,'S-ASIG-07'!$B$5:$E$88,4,0),0))</f>
        <v>0</v>
      </c>
      <c r="N10" s="68" t="s">
        <v>99</v>
      </c>
      <c r="O10" s="71">
        <f>IF(B10=0,"",IFERROR(VLOOKUP(B10,'T-ASIG-01'!$B$5:$D$88,3,0),0))</f>
        <v>0</v>
      </c>
      <c r="P10" s="72" t="str">
        <f>IF(B10=0,"",IFERROR(VLOOKUP(B10,'T-ASIG-02'!$B$5:$D$88,3,0),0))</f>
        <v>N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100</v>
      </c>
    </row>
    <row r="11" spans="1:22" ht="15" customHeight="1">
      <c r="A11" s="12">
        <v>7</v>
      </c>
      <c r="B11" s="70" t="str">
        <f>LIDER!C15</f>
        <v>LUIS ALBERTO CAMPO OSPINO</v>
      </c>
      <c r="C11" s="64" t="str">
        <f>IF(B11=0,"",IFERROR(VLOOKUP(B11,'S-ASIG-01'!$B$5:$E$88,2,0),0))</f>
        <v>G02</v>
      </c>
      <c r="D11" s="65">
        <f t="shared" si="2"/>
        <v>4.3425000000000011</v>
      </c>
      <c r="E11" s="66">
        <f t="shared" si="3"/>
        <v>0</v>
      </c>
      <c r="F11" s="47"/>
      <c r="G11" s="71">
        <f>IF(B11=0,"",IFERROR(VLOOKUP(B11,'S-ASIG-01'!$B$5:$E$88,4,0),0))</f>
        <v>4.0300000000000011</v>
      </c>
      <c r="H11" s="72" t="str">
        <f>IF(B11=0,"",IFERROR(VLOOKUP(B11,'S-ASIG-02'!$B$5:$E$88,4,0),0))</f>
        <v>N</v>
      </c>
      <c r="I11" s="72">
        <f>IF(B11=0,"",IFERROR(VLOOKUP(B11,'S-ASIG-03'!$B$5:$E$88,4,0),0))</f>
        <v>4.28</v>
      </c>
      <c r="J11" s="72">
        <f>IF(B11=0,"",IFERROR(VLOOKUP(B11,'S-ASIG-04'!$B$5:$E$88,4,0),0))</f>
        <v>4.46</v>
      </c>
      <c r="K11" s="72">
        <f>IF(B11=0,"",IFERROR(VLOOKUP(B11,'S-ASIG-05'!$B$5:$E$88,4,0),0))</f>
        <v>0</v>
      </c>
      <c r="L11" s="72">
        <f>IF(B11=0,"",IFERROR(VLOOKUP(B11,'S-ASIG-06'!$B$5:$E$88,4,0),0))</f>
        <v>4.6000000000000005</v>
      </c>
      <c r="M11" s="73">
        <f>IF(B11=0,"",IFERROR(VLOOKUP(B11,'S-ASIG-07'!$B$5:$E$88,4,0),0))</f>
        <v>0</v>
      </c>
      <c r="N11" s="68" t="s">
        <v>99</v>
      </c>
      <c r="O11" s="71">
        <f>IF(B11=0,"",IFERROR(VLOOKUP(B11,'T-ASIG-01'!$B$5:$D$88,3,0),0))</f>
        <v>0</v>
      </c>
      <c r="P11" s="72" t="str">
        <f>IF(B11=0,"",IFERROR(VLOOKUP(B11,'T-ASIG-02'!$B$5:$D$88,3,0),0))</f>
        <v>N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100</v>
      </c>
    </row>
    <row r="12" spans="1:22" ht="15" customHeight="1">
      <c r="A12" s="12">
        <v>8</v>
      </c>
      <c r="B12" s="70" t="str">
        <f>LIDER!C16</f>
        <v>BRAYAN SMITH CANTILLO GONZALEZ</v>
      </c>
      <c r="C12" s="64" t="str">
        <f>IF(B12=0,"",IFERROR(VLOOKUP(B12,'S-ASIG-01'!$B$5:$E$88,2,0),0))</f>
        <v>G02</v>
      </c>
      <c r="D12" s="65">
        <f t="shared" si="2"/>
        <v>4.3425000000000011</v>
      </c>
      <c r="E12" s="66">
        <f t="shared" si="3"/>
        <v>0</v>
      </c>
      <c r="F12" s="47"/>
      <c r="G12" s="71">
        <f>IF(B12=0,"",IFERROR(VLOOKUP(B12,'S-ASIG-01'!$B$5:$E$88,4,0),0))</f>
        <v>4.0300000000000011</v>
      </c>
      <c r="H12" s="72" t="str">
        <f>IF(B12=0,"",IFERROR(VLOOKUP(B12,'S-ASIG-02'!$B$5:$E$88,4,0),0))</f>
        <v>N</v>
      </c>
      <c r="I12" s="72">
        <f>IF(B12=0,"",IFERROR(VLOOKUP(B12,'S-ASIG-03'!$B$5:$E$88,4,0),0))</f>
        <v>4.28</v>
      </c>
      <c r="J12" s="72">
        <f>IF(B12=0,"",IFERROR(VLOOKUP(B12,'S-ASIG-04'!$B$5:$E$88,4,0),0))</f>
        <v>4.46</v>
      </c>
      <c r="K12" s="72">
        <f>IF(B12=0,"",IFERROR(VLOOKUP(B12,'S-ASIG-05'!$B$5:$E$88,4,0),0))</f>
        <v>0</v>
      </c>
      <c r="L12" s="72">
        <f>IF(B12=0,"",IFERROR(VLOOKUP(B12,'S-ASIG-06'!$B$5:$E$88,4,0),0))</f>
        <v>4.6000000000000005</v>
      </c>
      <c r="M12" s="73">
        <f>IF(B12=0,"",IFERROR(VLOOKUP(B12,'S-ASIG-07'!$B$5:$E$88,4,0),0))</f>
        <v>0</v>
      </c>
      <c r="N12" s="68" t="s">
        <v>99</v>
      </c>
      <c r="O12" s="71">
        <f>IF(B12=0,"",IFERROR(VLOOKUP(B12,'T-ASIG-01'!$B$5:$D$88,3,0),0))</f>
        <v>0</v>
      </c>
      <c r="P12" s="72" t="str">
        <f>IF(B12=0,"",IFERROR(VLOOKUP(B12,'T-ASIG-02'!$B$5:$D$88,3,0),0))</f>
        <v>N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100</v>
      </c>
    </row>
    <row r="13" spans="1:22" ht="15" customHeight="1">
      <c r="A13" s="12">
        <v>9</v>
      </c>
      <c r="B13" s="70" t="str">
        <f>LIDER!C17</f>
        <v>AYLEEN PATRICIA HERBALES PUERTA</v>
      </c>
      <c r="C13" s="64" t="str">
        <f>IF(B13=0,"",IFERROR(VLOOKUP(B13,'S-ASIG-01'!$B$5:$E$88,2,0),0))</f>
        <v>G02</v>
      </c>
      <c r="D13" s="65">
        <f t="shared" si="2"/>
        <v>4.3425000000000011</v>
      </c>
      <c r="E13" s="66">
        <f t="shared" si="3"/>
        <v>0</v>
      </c>
      <c r="F13" s="47"/>
      <c r="G13" s="71">
        <f>IF(B13=0,"",IFERROR(VLOOKUP(B13,'S-ASIG-01'!$B$5:$E$88,4,0),0))</f>
        <v>4.0300000000000011</v>
      </c>
      <c r="H13" s="72" t="str">
        <f>IF(B13=0,"",IFERROR(VLOOKUP(B13,'S-ASIG-02'!$B$5:$E$88,4,0),0))</f>
        <v>N</v>
      </c>
      <c r="I13" s="72">
        <f>IF(B13=0,"",IFERROR(VLOOKUP(B13,'S-ASIG-03'!$B$5:$E$88,4,0),0))</f>
        <v>4.28</v>
      </c>
      <c r="J13" s="72">
        <f>IF(B13=0,"",IFERROR(VLOOKUP(B13,'S-ASIG-04'!$B$5:$E$88,4,0),0))</f>
        <v>4.46</v>
      </c>
      <c r="K13" s="72">
        <f>IF(B13=0,"",IFERROR(VLOOKUP(B13,'S-ASIG-05'!$B$5:$E$88,4,0),0))</f>
        <v>0</v>
      </c>
      <c r="L13" s="72">
        <f>IF(B13=0,"",IFERROR(VLOOKUP(B13,'S-ASIG-06'!$B$5:$E$88,4,0),0))</f>
        <v>4.6000000000000005</v>
      </c>
      <c r="M13" s="73">
        <f>IF(B13=0,"",IFERROR(VLOOKUP(B13,'S-ASIG-07'!$B$5:$E$88,4,0),0))</f>
        <v>0</v>
      </c>
      <c r="N13" s="68" t="s">
        <v>99</v>
      </c>
      <c r="O13" s="71">
        <f>IF(B13=0,"",IFERROR(VLOOKUP(B13,'T-ASIG-01'!$B$5:$D$88,3,0),0))</f>
        <v>0</v>
      </c>
      <c r="P13" s="72" t="str">
        <f>IF(B13=0,"",IFERROR(VLOOKUP(B13,'T-ASIG-02'!$B$5:$D$88,3,0),0))</f>
        <v>N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100</v>
      </c>
    </row>
    <row r="14" spans="1:22" ht="15" customHeight="1">
      <c r="A14" s="12">
        <v>10</v>
      </c>
      <c r="B14" s="70" t="str">
        <f>LIDER!C18</f>
        <v>BILLY OWEN CORREA CABARCAS</v>
      </c>
      <c r="C14" s="64" t="str">
        <f>IF(B14=0,"",IFERROR(VLOOKUP(B14,'S-ASIG-01'!$B$5:$E$88,2,0),0))</f>
        <v>G03</v>
      </c>
      <c r="D14" s="65">
        <f t="shared" si="2"/>
        <v>4.3975000000000009</v>
      </c>
      <c r="E14" s="66">
        <f t="shared" si="3"/>
        <v>0</v>
      </c>
      <c r="F14" s="47"/>
      <c r="G14" s="71">
        <f>IF(B14=0,"",IFERROR(VLOOKUP(B14,'S-ASIG-01'!$B$5:$E$88,4,0),0))</f>
        <v>4.120000000000001</v>
      </c>
      <c r="H14" s="72">
        <f>IF(B14=0,"",IFERROR(VLOOKUP(B14,'S-ASIG-02'!$B$5:$E$88,4,0),0))</f>
        <v>4.3500000000000005</v>
      </c>
      <c r="I14" s="72" t="str">
        <f>IF(B14=0,"",IFERROR(VLOOKUP(B14,'S-ASIG-03'!$B$5:$E$88,4,0),0))</f>
        <v>N</v>
      </c>
      <c r="J14" s="72">
        <f>IF(B14=0,"",IFERROR(VLOOKUP(B14,'S-ASIG-04'!$B$5:$E$88,4,0),0))</f>
        <v>4.4700000000000006</v>
      </c>
      <c r="K14" s="72">
        <f>IF(B14=0,"",IFERROR(VLOOKUP(B14,'S-ASIG-05'!$B$5:$E$88,4,0),0))</f>
        <v>0</v>
      </c>
      <c r="L14" s="72">
        <f>IF(B14=0,"",IFERROR(VLOOKUP(B14,'S-ASIG-06'!$B$5:$E$88,4,0),0))</f>
        <v>4.6500000000000004</v>
      </c>
      <c r="M14" s="73">
        <f>IF(B14=0,"",IFERROR(VLOOKUP(B14,'S-ASIG-07'!$B$5:$E$88,4,0),0))</f>
        <v>0</v>
      </c>
      <c r="N14" s="68" t="s">
        <v>99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 t="str">
        <f>IF(B14=0,"",IFERROR(VLOOKUP(B14,'T-ASIG-03'!$B$5:$D$88,3,0),0))</f>
        <v>N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100</v>
      </c>
    </row>
    <row r="15" spans="1:22" ht="15" customHeight="1">
      <c r="A15" s="12">
        <v>11</v>
      </c>
      <c r="B15" s="70" t="str">
        <f>LIDER!C19</f>
        <v>ANDRES FELIPE HIDALGO MEZA</v>
      </c>
      <c r="C15" s="64" t="str">
        <f>IF(B15=0,"",IFERROR(VLOOKUP(B15,'S-ASIG-01'!$B$5:$E$88,2,0),0))</f>
        <v>G03</v>
      </c>
      <c r="D15" s="65">
        <f t="shared" si="2"/>
        <v>4.3260000000000005</v>
      </c>
      <c r="E15" s="66">
        <f t="shared" si="3"/>
        <v>0</v>
      </c>
      <c r="F15" s="47"/>
      <c r="G15" s="71">
        <f>IF(B15=0,"",IFERROR(VLOOKUP(B15,'S-ASIG-01'!$B$5:$E$88,4,0),0))</f>
        <v>4.120000000000001</v>
      </c>
      <c r="H15" s="72">
        <f>IF(B15=0,"",IFERROR(VLOOKUP(B15,'S-ASIG-02'!$B$5:$E$88,4,0),0))</f>
        <v>4.3500000000000005</v>
      </c>
      <c r="I15" s="72">
        <f>IF(B15=0,"",IFERROR(VLOOKUP(B15,'S-ASIG-03'!$B$5:$E$88,4,0),0))</f>
        <v>4.04</v>
      </c>
      <c r="J15" s="72">
        <f>IF(B15=0,"",IFERROR(VLOOKUP(B15,'S-ASIG-04'!$B$5:$E$88,4,0),0))</f>
        <v>4.4700000000000006</v>
      </c>
      <c r="K15" s="72">
        <f>IF(B15=0,"",IFERROR(VLOOKUP(B15,'S-ASIG-05'!$B$5:$E$88,4,0),0))</f>
        <v>0</v>
      </c>
      <c r="L15" s="72">
        <f>IF(B15=0,"",IFERROR(VLOOKUP(B15,'S-ASIG-06'!$B$5:$E$88,4,0),0))</f>
        <v>4.6500000000000004</v>
      </c>
      <c r="M15" s="73">
        <f>IF(B15=0,"",IFERROR(VLOOKUP(B15,'S-ASIG-07'!$B$5:$E$88,4,0),0))</f>
        <v>0</v>
      </c>
      <c r="N15" s="68" t="s">
        <v>99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100</v>
      </c>
    </row>
    <row r="16" spans="1:22" ht="15" customHeight="1">
      <c r="A16" s="12">
        <v>12</v>
      </c>
      <c r="B16" s="70" t="str">
        <f>LIDER!C20</f>
        <v>DAVID SANTIAGO RODRIGUEZ MARQUEZ</v>
      </c>
      <c r="C16" s="64" t="str">
        <f>IF(B16=0,"",IFERROR(VLOOKUP(B16,'S-ASIG-01'!$B$5:$E$88,2,0),0))</f>
        <v>G03</v>
      </c>
      <c r="D16" s="65">
        <f t="shared" si="2"/>
        <v>4.3260000000000005</v>
      </c>
      <c r="E16" s="66">
        <f t="shared" si="3"/>
        <v>0</v>
      </c>
      <c r="F16" s="47"/>
      <c r="G16" s="71">
        <f>IF(B16=0,"",IFERROR(VLOOKUP(B16,'S-ASIG-01'!$B$5:$E$88,4,0),0))</f>
        <v>4.120000000000001</v>
      </c>
      <c r="H16" s="72">
        <f>IF(B16=0,"",IFERROR(VLOOKUP(B16,'S-ASIG-02'!$B$5:$E$88,4,0),0))</f>
        <v>4.3500000000000005</v>
      </c>
      <c r="I16" s="72">
        <f>IF(B16=0,"",IFERROR(VLOOKUP(B16,'S-ASIG-03'!$B$5:$E$88,4,0),0))</f>
        <v>4.04</v>
      </c>
      <c r="J16" s="72">
        <f>IF(B16=0,"",IFERROR(VLOOKUP(B16,'S-ASIG-04'!$B$5:$E$88,4,0),0))</f>
        <v>4.4700000000000006</v>
      </c>
      <c r="K16" s="72">
        <f>IF(B16=0,"",IFERROR(VLOOKUP(B16,'S-ASIG-05'!$B$5:$E$88,4,0),0))</f>
        <v>0</v>
      </c>
      <c r="L16" s="72">
        <f>IF(B16=0,"",IFERROR(VLOOKUP(B16,'S-ASIG-06'!$B$5:$E$88,4,0),0))</f>
        <v>4.6500000000000004</v>
      </c>
      <c r="M16" s="73">
        <f>IF(B16=0,"",IFERROR(VLOOKUP(B16,'S-ASIG-07'!$B$5:$E$88,4,0),0))</f>
        <v>0</v>
      </c>
      <c r="N16" s="68" t="s">
        <v>99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100</v>
      </c>
    </row>
    <row r="17" spans="1:22" ht="15" customHeight="1">
      <c r="A17" s="12">
        <v>13</v>
      </c>
      <c r="B17" s="70">
        <f>LIDER!C21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99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100</v>
      </c>
    </row>
    <row r="18" spans="1:22" ht="15" customHeight="1">
      <c r="A18" s="12">
        <v>14</v>
      </c>
      <c r="B18" s="70">
        <f>LIDER!C22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99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100</v>
      </c>
    </row>
    <row r="19" spans="1:22" ht="15" customHeight="1">
      <c r="A19" s="12">
        <v>15</v>
      </c>
      <c r="B19" s="70">
        <f>LIDER!C23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99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100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99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100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99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100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99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100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99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100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99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100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99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100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99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100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99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100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99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100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99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100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99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100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99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100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99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100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99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100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99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100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99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100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99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100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99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100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99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100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99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100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99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100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99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100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99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100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99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100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99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100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99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100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99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100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99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100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99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100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99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100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99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100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99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100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99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100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99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100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99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100</v>
      </c>
    </row>
  </sheetData>
  <sheetProtection algorithmName="SHA-512" hashValue="XMC5Rwa1GZGN6gFar/xdj+MBYz9Fn8gx20Y1YZxCx3mPVJQdTFyUKLc1vq/q6hHid+U+ylEnD7utNB5sa7yuLQ==" saltValue="JEQmspcgDDgE4+tKw5LiJ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2026-10-16T03:44:47Z</dcterms:modified>
  <cp:category/>
  <cp:contentStatus/>
</cp:coreProperties>
</file>