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1/"/>
    </mc:Choice>
  </mc:AlternateContent>
  <xr:revisionPtr revIDLastSave="203" documentId="13_ncr:1_{724E649D-3E14-495F-940F-1E9C69FA1170}" xr6:coauthVersionLast="47" xr6:coauthVersionMax="47" xr10:uidLastSave="{92DE0AAC-4559-4F5B-8B86-E4F71C24323B}"/>
  <bookViews>
    <workbookView xWindow="-120" yWindow="-120" windowWidth="20730" windowHeight="11040" tabRatio="740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5" sheetId="13" r:id="rId5"/>
    <sheet name="S-ASIG-04" sheetId="12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B78" i="16"/>
  <c r="D78" i="16" s="1"/>
  <c r="B77" i="16"/>
  <c r="D77" i="16" s="1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B81" i="6"/>
  <c r="D81" i="6" s="1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D71" i="6"/>
  <c r="B71" i="6"/>
  <c r="B70" i="6"/>
  <c r="D70" i="6" s="1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B83" i="5"/>
  <c r="D83" i="5" s="1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D24" i="3"/>
  <c r="B24" i="3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B85" i="15"/>
  <c r="E85" i="15" s="1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B71" i="15"/>
  <c r="E71" i="15" s="1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C83" i="14"/>
  <c r="B83" i="14"/>
  <c r="E83" i="14" s="1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C76" i="13"/>
  <c r="C77" i="13" s="1"/>
  <c r="C78" i="13" s="1"/>
  <c r="C79" i="13" s="1"/>
  <c r="C80" i="13" s="1"/>
  <c r="C81" i="13" s="1"/>
  <c r="B76" i="13"/>
  <c r="E76" i="13" s="1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E86" i="11"/>
  <c r="B86" i="11"/>
  <c r="B85" i="11"/>
  <c r="E85" i="11" s="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16" l="1"/>
  <c r="D10" i="4"/>
  <c r="D22" i="7"/>
  <c r="D22" i="5"/>
  <c r="D48" i="4"/>
  <c r="D20" i="5"/>
  <c r="D22" i="3"/>
  <c r="D49" i="7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<sst xmlns="http://schemas.openxmlformats.org/spreadsheetml/2006/main" count="673" uniqueCount="111">
  <si>
    <t>TECNOLOGÍA EN GESTIÓN DE NEGOCIOS INTERN</t>
  </si>
  <si>
    <t>SEMESTRE:</t>
  </si>
  <si>
    <t>SEM-01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</si>
  <si>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</si>
  <si>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</si>
  <si>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</si>
  <si>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</si>
  <si>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</si>
  <si>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</si>
  <si>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</si>
  <si>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</si>
  <si>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MATEMATICA</t>
  </si>
  <si>
    <t>CULTURA Y DEPORTE</t>
  </si>
  <si>
    <t>COMUNICACION ORAL Y ESCRITA</t>
  </si>
  <si>
    <t>PROYECTO DE VIDA</t>
  </si>
  <si>
    <t>CONTABILIDAD GENERAL</t>
  </si>
  <si>
    <t>FUNDAMENTOS DE DERECHO</t>
  </si>
  <si>
    <t>FUNDAMENTOS ADMINISTRACIÓN</t>
  </si>
  <si>
    <t>CECILIA PAILLIER GONZALEZ</t>
  </si>
  <si>
    <t>EDWIN FRANCO OSPINO</t>
  </si>
  <si>
    <t>YASMIN GOMEZ MORENO</t>
  </si>
  <si>
    <t>MARINA LLAMAS DURAN</t>
  </si>
  <si>
    <t>ANTONIO CARLOS CANTILLO BELTRAN</t>
  </si>
  <si>
    <t>MELISSA LOPEZ ROMERO</t>
  </si>
  <si>
    <t>AMALIO SEGUNDO OTERO TAPIA</t>
  </si>
  <si>
    <t>LISTA DE ESTUDIANTES</t>
  </si>
  <si>
    <t>SEGUNDA ENTREGA - CRITERIOS DE EVALUACIÓN DOCUMENTO - SEGUNDO CORTE</t>
  </si>
  <si>
    <t>PONDERACIÓN</t>
  </si>
  <si>
    <t>ADMINISTRACIÓN DE EMPRESAS C.I</t>
  </si>
  <si>
    <t>JULIANA SOFIA CARCAMO BLANCO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</si>
  <si>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</si>
  <si>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</si>
  <si>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NATHALY SOFIA SEGOVIA ALVAREZ</t>
  </si>
  <si>
    <t>Estructura del Documento (30%):  El documento debe incluir los siguientes aspectos: Portada, Introducción, cuerpo del resumen, Bibliografía y Anexos.</t>
  </si>
  <si>
    <t>CONTADURÍA PÚBLICA</t>
  </si>
  <si>
    <t>CARLOS ANDRES VERBEL MEDRANO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</si>
  <si>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</si>
  <si>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</si>
  <si>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VALERIA MEZA RODRIGUEZ</t>
  </si>
  <si>
    <t>Coherencia de la información recopilada (20%): Se evaluará la coherencia de la información recopilada a través del rastreo de fichas de revisión bibliográfica para la redacción del resumen.</t>
  </si>
  <si>
    <t>GINA LISSETH RAMIREZ SOTO</t>
  </si>
  <si>
    <t>Asesorias individuales (10%): Anexo de la hoja de tutoria firmada por docentes del colectivo (3 fimas minimo).</t>
  </si>
  <si>
    <t>TECNOLOGíA EN GESTION CONTABLE</t>
  </si>
  <si>
    <t>ANGGELA LUCIA UPARELA RAMIREZ</t>
  </si>
  <si>
    <t>TECNOLOGÍA EN GESTIÓN DE MARKETING</t>
  </si>
  <si>
    <t>YILBER YESID ANGULO ORTEGA</t>
  </si>
  <si>
    <t>TECNOLOGÍA EN GESTIÓN DEL TALENTO HUMANO</t>
  </si>
  <si>
    <t>LINDA SOFIA CANTILLO YANGUEZ</t>
  </si>
  <si>
    <t>TECNOLOGÍA EN GESTIÓN FINANCIERA</t>
  </si>
  <si>
    <t>DAVID SAM SILVA HERNANDEZ</t>
  </si>
  <si>
    <t>TECNOLOGÍA EN GESTIÓN LOGISTICA Y PORTUARIA</t>
  </si>
  <si>
    <t>ADRIAN CAMILO ANGULO LAGARES</t>
  </si>
  <si>
    <t>ENTREGA FINAL - CRITERIO DE EVALUACIÓN SUSTENTACIÓN - TERCER CORTE</t>
  </si>
  <si>
    <t>TECNOLOGÍA EN GESTIÓN TURISTICA Y HOTELERA</t>
  </si>
  <si>
    <t>JEISON SAMUEL BELTRAN PEREZ</t>
  </si>
  <si>
    <t>Evaluación del Documento Final</t>
  </si>
  <si>
    <t>ANDREA CAROLINA BUELVAS GUARDO</t>
  </si>
  <si>
    <t>Sustentación de los Resultados: Se refleja un dominio del tema, la  información está delimitada y es clara. Hay una jerarquía y fluidez en las ideas que presenta.</t>
  </si>
  <si>
    <t>MARIA DEL CARMEN NOEL GARCIA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</si>
  <si>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</si>
  <si>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ANDRY JOSE RUBIO CABEZA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</si>
  <si>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</si>
  <si>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DANETH MICHELL AGAMEZ VIVANCO</t>
  </si>
  <si>
    <t>Tiempo: El uso del tiempo fue apropiado, se ajusta al previsto.
Ofrece una conclusión donde condensa las ideas principales del objetivo general y los específicos.</t>
  </si>
  <si>
    <t>YULEIMIS ALEXANDRA BARÓN SILVA</t>
  </si>
  <si>
    <t>Uso de Recursos Audiovisuales Tecnológicos: La sustentación se acompaña de recursos visuales pertinentes, atractivos y de gran calidad</t>
  </si>
  <si>
    <t>MARIA CARIDAD CASTILLA OROZCO</t>
  </si>
  <si>
    <t>ANDRES CAMILO PAEZ DE LA HOZ</t>
  </si>
  <si>
    <t>KATTY JULIETH BUSTOS MACEA</t>
  </si>
  <si>
    <t>LILIANA PATRICIA PUELLO OROZCO</t>
  </si>
  <si>
    <t>TITULOS DE LOS PROYECTOS DE AULA</t>
  </si>
  <si>
    <t>SEBASTIAN ANDRES RAMOS GALLEGO</t>
  </si>
  <si>
    <t>GRUPO#1</t>
  </si>
  <si>
    <t>HANNA SOFIA ROSALES RODRIGUEZ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</si>
  <si>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</si>
  <si>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</si>
  <si>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</si>
  <si>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</si>
  <si>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</si>
  <si>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</si>
  <si>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</si>
  <si>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</si>
  <si>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</si>
  <si>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</si>
  <si>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</si>
  <si>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</si>
  <si>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</si>
  <si>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</si>
  <si>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</si>
  <si>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</si>
  <si>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</si>
  <si>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</si>
  <si>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N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</si>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</sst>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6" xfId="0" applyNumberFormat="1" applyFont="1" applyBorder="1" applyAlignment="1" applyProtection="1">
      <alignment horizontal="center" vertical="center" wrapText="1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7" zoomScaleNormal="87" workbookViewId="0">
      <selection activeCell="C15" sqref="C1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61" t="s">
        <v>0</v>
      </c>
      <c r="C2" s="162"/>
      <c r="D2" s="163"/>
      <c r="E2" s="101" t="s">
        <v>1</v>
      </c>
      <c r="F2" s="102" t="s">
        <v>2</v>
      </c>
      <c r="G2" s="101" t="s">
        <v>3</v>
      </c>
      <c r="H2" s="41">
        <v>5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2157</v>
      </c>
      <c r="D6" s="141">
        <v>2172</v>
      </c>
      <c r="E6" s="141">
        <v>2196</v>
      </c>
      <c r="F6" s="141">
        <v>3248</v>
      </c>
      <c r="G6" s="141">
        <v>1401</v>
      </c>
      <c r="H6" s="141">
        <v>3243</v>
      </c>
      <c r="I6" s="141">
        <v>1313</v>
      </c>
    </row>
    <row r="7" spans="2:9" ht="13.5" thickBot="1"/>
    <row r="8" spans="2:9" ht="20.100000000000001" customHeight="1">
      <c r="B8" s="108"/>
      <c r="C8" s="109" t="s">
        <v>25</v>
      </c>
      <c r="E8" s="164" t="s">
        <v>26</v>
      </c>
      <c r="F8" s="165"/>
      <c r="G8" s="166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67" t="s">
        <v>30</v>
      </c>
      <c r="F9" s="168"/>
      <c r="G9" s="169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70" t="s">
        <v>33</v>
      </c>
      <c r="F10" s="171"/>
      <c r="G10" s="172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67" t="s">
        <v>36</v>
      </c>
      <c r="F11" s="168"/>
      <c r="G11" s="169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70" t="s">
        <v>39</v>
      </c>
      <c r="F12" s="171"/>
      <c r="G12" s="172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73" t="s">
        <v>41</v>
      </c>
      <c r="F13" s="174"/>
      <c r="G13" s="175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76"/>
      <c r="F14" s="177"/>
      <c r="G14" s="178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42"/>
      <c r="F15" s="143"/>
      <c r="G15" s="144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45"/>
      <c r="F17" s="145"/>
      <c r="G17" s="145"/>
      <c r="H17" s="145"/>
      <c r="I17" s="69" t="s">
        <v>50</v>
      </c>
    </row>
    <row r="18" spans="2:9" ht="15" customHeight="1" thickBot="1">
      <c r="B18" s="108">
        <v>10</v>
      </c>
      <c r="C18" s="111" t="s">
        <v>51</v>
      </c>
      <c r="E18" s="179" t="s">
        <v>52</v>
      </c>
      <c r="F18" s="180"/>
      <c r="G18" s="180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58" t="s">
        <v>55</v>
      </c>
      <c r="F19" s="159"/>
      <c r="G19" s="160"/>
      <c r="H19" s="133">
        <v>0.5</v>
      </c>
    </row>
    <row r="20" spans="2:9" ht="15" customHeight="1">
      <c r="B20" s="108">
        <v>12</v>
      </c>
      <c r="C20" s="111" t="s">
        <v>56</v>
      </c>
      <c r="E20" s="146" t="s">
        <v>57</v>
      </c>
      <c r="F20" s="147"/>
      <c r="G20" s="148"/>
      <c r="H20" s="134">
        <v>0.2</v>
      </c>
    </row>
    <row r="21" spans="2:9" ht="15" customHeight="1">
      <c r="B21" s="108">
        <v>13</v>
      </c>
      <c r="C21" s="111" t="s">
        <v>58</v>
      </c>
      <c r="E21" s="181" t="s">
        <v>59</v>
      </c>
      <c r="F21" s="182"/>
      <c r="G21" s="183"/>
      <c r="H21" s="135">
        <v>0.1</v>
      </c>
    </row>
    <row r="22" spans="2:9" ht="15" customHeight="1">
      <c r="B22" s="108">
        <v>14</v>
      </c>
      <c r="C22" s="111" t="s">
        <v>60</v>
      </c>
      <c r="E22" s="146" t="s">
        <v>61</v>
      </c>
      <c r="F22" s="177"/>
      <c r="G22" s="178"/>
      <c r="H22" s="134">
        <v>0.05</v>
      </c>
    </row>
    <row r="23" spans="2:9" ht="15" customHeight="1">
      <c r="B23" s="108">
        <v>15</v>
      </c>
      <c r="C23" s="111" t="s">
        <v>62</v>
      </c>
      <c r="E23" s="181" t="s">
        <v>63</v>
      </c>
      <c r="F23" s="182"/>
      <c r="G23" s="183"/>
      <c r="H23" s="136">
        <v>0.05</v>
      </c>
    </row>
    <row r="24" spans="2:9" ht="15" customHeight="1">
      <c r="B24" s="108">
        <v>16</v>
      </c>
      <c r="C24" s="111" t="s">
        <v>64</v>
      </c>
      <c r="E24" s="146" t="s">
        <v>65</v>
      </c>
      <c r="F24" s="147"/>
      <c r="G24" s="148"/>
      <c r="H24" s="134">
        <v>0.1</v>
      </c>
    </row>
    <row r="25" spans="2:9" ht="15" customHeight="1" thickBot="1">
      <c r="B25" s="108">
        <v>17</v>
      </c>
      <c r="C25" s="111" t="s">
        <v>66</v>
      </c>
      <c r="E25" s="184"/>
      <c r="F25" s="185"/>
      <c r="G25" s="186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68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69</v>
      </c>
      <c r="E28" s="149" t="s">
        <v>70</v>
      </c>
      <c r="F28" s="150"/>
      <c r="G28" s="150"/>
      <c r="H28" s="151"/>
    </row>
    <row r="29" spans="2:9" ht="15" customHeight="1" thickBot="1">
      <c r="B29" s="108">
        <v>21</v>
      </c>
      <c r="C29" s="111" t="s">
        <v>71</v>
      </c>
      <c r="E29" s="152" t="s">
        <v>72</v>
      </c>
      <c r="F29" s="153"/>
      <c r="G29" s="153"/>
      <c r="H29" s="154"/>
    </row>
    <row r="30" spans="2:9" ht="15" customHeight="1">
      <c r="B30" s="108">
        <v>22</v>
      </c>
      <c r="C30" s="111" t="s">
        <v>73</v>
      </c>
      <c r="E30" s="155" t="s">
        <v>74</v>
      </c>
      <c r="F30" s="156"/>
      <c r="G30" s="156"/>
      <c r="H30" s="157"/>
    </row>
    <row r="31" spans="2:9" ht="15" customHeight="1">
      <c r="B31" s="108">
        <v>23</v>
      </c>
      <c r="C31" s="111"/>
      <c r="E31" s="152" t="s">
        <v>75</v>
      </c>
      <c r="F31" s="153"/>
      <c r="G31" s="153"/>
      <c r="H31" s="154"/>
    </row>
    <row r="32" spans="2:9" ht="15" customHeight="1" thickBot="1">
      <c r="B32" s="108">
        <v>24</v>
      </c>
      <c r="C32" s="111"/>
      <c r="E32" s="155" t="s">
        <v>76</v>
      </c>
      <c r="F32" s="156"/>
      <c r="G32" s="156"/>
      <c r="H32" s="157"/>
    </row>
    <row r="33" spans="2:8" ht="15" customHeight="1" thickBot="1">
      <c r="B33" s="108">
        <v>25</v>
      </c>
      <c r="C33" s="111"/>
      <c r="E33" s="152" t="s">
        <v>77</v>
      </c>
      <c r="F33" s="153"/>
      <c r="G33" s="153"/>
      <c r="H33" s="154"/>
    </row>
    <row r="34" spans="2:8" ht="15" customHeight="1" thickBot="1">
      <c r="B34" s="108">
        <v>26</v>
      </c>
      <c r="C34" s="111"/>
      <c r="E34" s="155" t="s">
        <v>78</v>
      </c>
      <c r="F34" s="156"/>
      <c r="G34" s="156"/>
      <c r="H34" s="157"/>
    </row>
    <row r="35" spans="2:8" ht="15" customHeight="1" thickBot="1">
      <c r="B35" s="108">
        <v>27</v>
      </c>
      <c r="C35" s="111"/>
      <c r="E35" s="152" t="s">
        <v>79</v>
      </c>
      <c r="F35" s="153"/>
      <c r="G35" s="153"/>
      <c r="H35" s="154"/>
    </row>
    <row r="36" spans="2:8" ht="15" customHeight="1" thickBot="1">
      <c r="B36" s="108">
        <v>28</v>
      </c>
      <c r="C36" s="111"/>
      <c r="E36" s="155" t="s">
        <v>80</v>
      </c>
      <c r="F36" s="156"/>
      <c r="G36" s="156"/>
      <c r="H36" s="157"/>
    </row>
    <row r="37" spans="2:8" ht="15" customHeight="1" thickBot="1">
      <c r="B37" s="108">
        <v>29</v>
      </c>
      <c r="C37" s="111"/>
      <c r="E37" s="152" t="s">
        <v>81</v>
      </c>
      <c r="F37" s="153"/>
      <c r="G37" s="153"/>
      <c r="H37" s="154"/>
    </row>
    <row r="38" spans="2:8" ht="15" customHeight="1" thickBot="1">
      <c r="B38" s="108">
        <v>30</v>
      </c>
      <c r="C38" s="111"/>
      <c r="E38" s="155" t="s">
        <v>82</v>
      </c>
      <c r="F38" s="156"/>
      <c r="G38" s="156"/>
      <c r="H38" s="157"/>
    </row>
    <row r="39" spans="2:8" ht="15" customHeight="1" thickBot="1">
      <c r="B39" s="108">
        <v>31</v>
      </c>
      <c r="C39" s="111"/>
      <c r="E39" s="152" t="s">
        <v>83</v>
      </c>
      <c r="F39" s="153"/>
      <c r="G39" s="153"/>
      <c r="H39" s="154"/>
    </row>
    <row r="40" spans="2:8" ht="15" customHeight="1" thickBot="1">
      <c r="B40" s="108">
        <v>32</v>
      </c>
      <c r="C40" s="111"/>
      <c r="E40" s="152" t="s">
        <v>84</v>
      </c>
      <c r="F40" s="153"/>
      <c r="G40" s="153"/>
      <c r="H40" s="154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29</v>
      </c>
      <c r="F43" s="119" t="s">
        <v>38</v>
      </c>
      <c r="G43" s="119" t="s">
        <v>45</v>
      </c>
      <c r="H43" s="120" t="s">
        <v>51</v>
      </c>
    </row>
    <row r="44" spans="2:8" ht="15" customHeight="1">
      <c r="B44" s="108">
        <v>36</v>
      </c>
      <c r="C44" s="111"/>
      <c r="E44" s="121" t="s">
        <v>32</v>
      </c>
      <c r="F44" s="122" t="s">
        <v>40</v>
      </c>
      <c r="G44" s="122" t="s">
        <v>47</v>
      </c>
      <c r="H44" s="123" t="s">
        <v>54</v>
      </c>
    </row>
    <row r="45" spans="2:8" ht="15" customHeight="1">
      <c r="B45" s="108">
        <v>37</v>
      </c>
      <c r="C45" s="111"/>
      <c r="E45" s="124" t="s">
        <v>35</v>
      </c>
      <c r="F45" s="125" t="s">
        <v>43</v>
      </c>
      <c r="G45" s="125" t="s">
        <v>49</v>
      </c>
      <c r="H45" s="126" t="s">
        <v>56</v>
      </c>
    </row>
    <row r="46" spans="2:8" ht="15" customHeight="1">
      <c r="B46" s="108">
        <v>38</v>
      </c>
      <c r="C46" s="111"/>
      <c r="E46" s="121"/>
      <c r="F46" s="122"/>
      <c r="G46" s="122" t="s">
        <v>73</v>
      </c>
      <c r="H46" s="123" t="s">
        <v>58</v>
      </c>
    </row>
    <row r="47" spans="2:8" ht="15" customHeight="1">
      <c r="B47" s="108">
        <v>39</v>
      </c>
      <c r="C47" s="111"/>
      <c r="E47" s="124"/>
      <c r="F47" s="125"/>
      <c r="G47" s="125"/>
      <c r="H47" s="126" t="s">
        <v>60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62</v>
      </c>
      <c r="F51" s="119" t="s">
        <v>68</v>
      </c>
      <c r="G51" s="119"/>
      <c r="H51" s="120"/>
    </row>
    <row r="52" spans="2:8" ht="15" customHeight="1">
      <c r="B52" s="108">
        <v>44</v>
      </c>
      <c r="C52" s="111"/>
      <c r="E52" s="121" t="s">
        <v>64</v>
      </c>
      <c r="F52" s="122" t="s">
        <v>69</v>
      </c>
      <c r="G52" s="122"/>
      <c r="H52" s="123"/>
    </row>
    <row r="53" spans="2:8" ht="15" customHeight="1">
      <c r="B53" s="108">
        <v>45</v>
      </c>
      <c r="C53" s="111"/>
      <c r="E53" s="124" t="s">
        <v>66</v>
      </c>
      <c r="F53" s="125" t="s">
        <v>71</v>
      </c>
      <c r="G53" s="125"/>
      <c r="H53" s="126"/>
    </row>
    <row r="54" spans="2:8" ht="15" customHeight="1">
      <c r="B54" s="108">
        <v>46</v>
      </c>
      <c r="C54" s="111"/>
      <c r="E54" s="121" t="s">
        <v>67</v>
      </c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1hOYrAt87L94HEeqgvAkIySzveD5ey003A6Hx5qXhyB+DKwoYQRdU+jB03rb0tor1nzToyXh1bw/o4Yc5vy1aw==" saltValue="3qt61ykrPkpkZjqnNnAhsg==" spinCount="100000" sheet="1" objects="1" scenarios="1"/>
  <dataConsolidate/>
  <mergeCells count="31">
    <mergeCell ref="E12:G12"/>
    <mergeCell ref="E13:G13"/>
    <mergeCell ref="E14:G14"/>
    <mergeCell ref="E36:H36"/>
    <mergeCell ref="E37:H37"/>
    <mergeCell ref="E35:H35"/>
    <mergeCell ref="E32:H32"/>
    <mergeCell ref="E29:H29"/>
    <mergeCell ref="E18:G18"/>
    <mergeCell ref="E20:G20"/>
    <mergeCell ref="E21:G21"/>
    <mergeCell ref="E22:G22"/>
    <mergeCell ref="E23:G23"/>
    <mergeCell ref="E30:H30"/>
    <mergeCell ref="E31:H31"/>
    <mergeCell ref="E25:G25"/>
    <mergeCell ref="B2:D2"/>
    <mergeCell ref="E8:G8"/>
    <mergeCell ref="E9:G9"/>
    <mergeCell ref="E10:G10"/>
    <mergeCell ref="E11:G11"/>
    <mergeCell ref="E15:G15"/>
    <mergeCell ref="E17:H17"/>
    <mergeCell ref="E24:G24"/>
    <mergeCell ref="E28:H28"/>
    <mergeCell ref="E40:H40"/>
    <mergeCell ref="E38:H38"/>
    <mergeCell ref="E39:H39"/>
    <mergeCell ref="E19:G19"/>
    <mergeCell ref="E33:H33"/>
    <mergeCell ref="E34:H34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37" zoomScale="87" zoomScaleNormal="87" workbookViewId="0">
      <selection activeCell="J41" sqref="J41:J46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LIDER!C4</f>
        <v>MATEMATICA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CONCATENATE(LIDER!C4," - ",LIDER!C6," - ",LIDER!C5)</f>
        <v>MATEMATICA - 2157 - CECILIA PAILLIER GONZALEZ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3.9999999999999996</v>
      </c>
      <c r="F6" s="192">
        <v>4</v>
      </c>
      <c r="G6" s="189">
        <v>4</v>
      </c>
      <c r="H6" s="187">
        <v>4</v>
      </c>
      <c r="I6" s="189">
        <v>4</v>
      </c>
      <c r="J6" s="187">
        <v>4</v>
      </c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3.9999999999999996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3.9999999999999996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192">
        <v>4.0999999999999996</v>
      </c>
      <c r="G13" s="189">
        <v>4.0999999999999996</v>
      </c>
      <c r="H13" s="187">
        <v>4.0999999999999996</v>
      </c>
      <c r="I13" s="189">
        <v>4.0999999999999996</v>
      </c>
      <c r="J13" s="187">
        <v>4.0999999999999996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3.7000000000000006</v>
      </c>
      <c r="F20" s="192">
        <v>3.7</v>
      </c>
      <c r="G20" s="189">
        <v>3.7</v>
      </c>
      <c r="H20" s="187">
        <v>3.7</v>
      </c>
      <c r="I20" s="189">
        <v>3.7</v>
      </c>
      <c r="J20" s="187">
        <v>3.7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3.7000000000000006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3.7000000000000006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 t="s">
        <v>92</v>
      </c>
      <c r="E23" s="11" t="str">
        <f>IF(B23=0,0,IF(D23="",$F$20*LIDER!$H$9+$G$20*LIDER!$H$10+$H$20*LIDER!$H$11+$I$20*LIDER!$H$12+$J$20*LIDER!$H$13+$K$20*LIDER!$H$14+$L$20*LIDER!$H$15,"N"))</f>
        <v>N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3.5000000000000004</v>
      </c>
      <c r="F27" s="192">
        <v>3.5</v>
      </c>
      <c r="G27" s="189">
        <v>3.5</v>
      </c>
      <c r="H27" s="187">
        <v>3.5</v>
      </c>
      <c r="I27" s="189">
        <v>3.5</v>
      </c>
      <c r="J27" s="187">
        <v>3.5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3.5000000000000004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3.5000000000000004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3.5000000000000004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3.5000000000000004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</v>
      </c>
      <c r="F34" s="192">
        <v>4.3</v>
      </c>
      <c r="G34" s="189">
        <v>4.3</v>
      </c>
      <c r="H34" s="187">
        <v>4.3</v>
      </c>
      <c r="I34" s="189">
        <v>4.3</v>
      </c>
      <c r="J34" s="187">
        <v>4.3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</v>
      </c>
      <c r="F41" s="192">
        <v>3.8</v>
      </c>
      <c r="G41" s="189">
        <v>3.8</v>
      </c>
      <c r="H41" s="187">
        <v>3.8</v>
      </c>
      <c r="I41" s="189">
        <v>3.8</v>
      </c>
      <c r="J41" s="187">
        <v>3.8</v>
      </c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D3" sqref="D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LIDER!D4</f>
        <v>CULTURA Y DEPORTE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CONCATENATE(LIDER!D4," - ",LIDER!D6," - ",LIDER!D5)</f>
        <v>CULTURA Y DEPORTE - 2172 - EDWIN FRANCO OSPINO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2"/>
      <c r="G6" s="189"/>
      <c r="H6" s="187"/>
      <c r="I6" s="189"/>
      <c r="J6" s="187"/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2"/>
      <c r="G13" s="189"/>
      <c r="H13" s="187"/>
      <c r="I13" s="189"/>
      <c r="J13" s="187"/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2"/>
      <c r="G20" s="189"/>
      <c r="H20" s="187"/>
      <c r="I20" s="189"/>
      <c r="J20" s="187"/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2"/>
      <c r="G27" s="189"/>
      <c r="H27" s="187"/>
      <c r="I27" s="189"/>
      <c r="J27" s="187"/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2"/>
      <c r="G34" s="189"/>
      <c r="H34" s="187"/>
      <c r="I34" s="189"/>
      <c r="J34" s="187"/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34" sqref="F34:J3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LIDER!E4</f>
        <v>COMUNICACION ORAL Y ESCRITA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CONCATENATE(LIDER!E4," - ",LIDER!E6," - ",LIDER!E5)</f>
        <v>COMUNICACION ORAL Y ESCRITA - 2196 - YASMIN GOMEZ MORENO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92">
        <v>4</v>
      </c>
      <c r="G6" s="189">
        <v>4</v>
      </c>
      <c r="H6" s="187">
        <v>4</v>
      </c>
      <c r="I6" s="189">
        <v>4</v>
      </c>
      <c r="J6" s="187">
        <v>5</v>
      </c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3.5500000000000003</v>
      </c>
      <c r="F13" s="192">
        <v>3.5</v>
      </c>
      <c r="G13" s="189">
        <v>3.5</v>
      </c>
      <c r="H13" s="187">
        <v>3.5</v>
      </c>
      <c r="I13" s="189">
        <v>3.5</v>
      </c>
      <c r="J13" s="187">
        <v>4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3.5500000000000003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3.5500000000000003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3.0500000000000003</v>
      </c>
      <c r="F20" s="192">
        <v>3</v>
      </c>
      <c r="G20" s="189">
        <v>3</v>
      </c>
      <c r="H20" s="187">
        <v>3</v>
      </c>
      <c r="I20" s="189">
        <v>3</v>
      </c>
      <c r="J20" s="187">
        <v>3.5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3.0500000000000003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3.0500000000000003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3.0500000000000003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</v>
      </c>
      <c r="F27" s="192">
        <v>3</v>
      </c>
      <c r="G27" s="189">
        <v>3</v>
      </c>
      <c r="H27" s="187">
        <v>3</v>
      </c>
      <c r="I27" s="189">
        <v>3</v>
      </c>
      <c r="J27" s="187">
        <v>3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192">
        <v>4</v>
      </c>
      <c r="G34" s="189">
        <v>4</v>
      </c>
      <c r="H34" s="187">
        <v>4</v>
      </c>
      <c r="I34" s="189">
        <v>4</v>
      </c>
      <c r="J34" s="187">
        <v>4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3.9999999999999996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3.9999999999999996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2"/>
      <c r="G41" s="189"/>
      <c r="H41" s="187"/>
      <c r="I41" s="189"/>
      <c r="J41" s="187"/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J41" sqref="J41:J4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LIDER!G4</f>
        <v>CONTABILIDAD GENERAL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CONCATENATE(LIDER!G4," - ",LIDER!G6," - ",LIDER!G5)</f>
        <v>CONTABILIDAD GENERAL - 1401 - ANTONIO CARLOS CANTILLO BELTRAN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4.28</v>
      </c>
      <c r="F6" s="192">
        <v>4.2</v>
      </c>
      <c r="G6" s="189">
        <v>4.2</v>
      </c>
      <c r="H6" s="187">
        <v>4.2</v>
      </c>
      <c r="I6" s="189">
        <v>4.2</v>
      </c>
      <c r="J6" s="187">
        <v>5</v>
      </c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4.28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4.28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5</v>
      </c>
      <c r="F13" s="192">
        <v>5</v>
      </c>
      <c r="G13" s="189">
        <v>5</v>
      </c>
      <c r="H13" s="187">
        <v>5</v>
      </c>
      <c r="I13" s="189">
        <v>5</v>
      </c>
      <c r="J13" s="187">
        <v>5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5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5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92">
        <v>4</v>
      </c>
      <c r="G20" s="189">
        <v>4</v>
      </c>
      <c r="H20" s="187">
        <v>4</v>
      </c>
      <c r="I20" s="189">
        <v>4</v>
      </c>
      <c r="J20" s="187">
        <v>5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2.3000000000000003</v>
      </c>
      <c r="F27" s="192">
        <v>3</v>
      </c>
      <c r="G27" s="189">
        <v>0</v>
      </c>
      <c r="H27" s="187">
        <v>3</v>
      </c>
      <c r="I27" s="189">
        <v>3</v>
      </c>
      <c r="J27" s="187">
        <v>5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2.3000000000000003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2.3000000000000003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2.3000000000000003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2.3000000000000003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5</v>
      </c>
      <c r="F34" s="192">
        <v>5</v>
      </c>
      <c r="G34" s="189">
        <v>5</v>
      </c>
      <c r="H34" s="187">
        <v>5</v>
      </c>
      <c r="I34" s="189">
        <v>5</v>
      </c>
      <c r="J34" s="187">
        <v>5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5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5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5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</v>
      </c>
      <c r="F41" s="192">
        <v>4</v>
      </c>
      <c r="G41" s="189">
        <v>3</v>
      </c>
      <c r="H41" s="187">
        <v>4</v>
      </c>
      <c r="I41" s="189">
        <v>4</v>
      </c>
      <c r="J41" s="187">
        <v>5</v>
      </c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K41" sqref="K41:K4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LIDER!F4</f>
        <v>PROYECTO DE VIDA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CONCATENATE(LIDER!F4," - ",LIDER!F6," - ",LIDER!F5)</f>
        <v>PROYECTO DE VIDA - 3248 - MARINA LLAMAS DURAN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4.22</v>
      </c>
      <c r="F6" s="192">
        <v>4.5</v>
      </c>
      <c r="G6" s="189">
        <v>4.2</v>
      </c>
      <c r="H6" s="187">
        <v>4</v>
      </c>
      <c r="I6" s="189">
        <v>4.2</v>
      </c>
      <c r="J6" s="187">
        <v>4.2</v>
      </c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4.22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4.22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4.22</v>
      </c>
      <c r="F13" s="192">
        <v>4.5</v>
      </c>
      <c r="G13" s="189">
        <v>4.2</v>
      </c>
      <c r="H13" s="187">
        <v>4</v>
      </c>
      <c r="I13" s="189">
        <v>4.2</v>
      </c>
      <c r="J13" s="187">
        <v>4.2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4.22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4.22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4.22</v>
      </c>
      <c r="F20" s="192">
        <v>4.5</v>
      </c>
      <c r="G20" s="189">
        <v>4.2</v>
      </c>
      <c r="H20" s="187">
        <v>4</v>
      </c>
      <c r="I20" s="189">
        <v>4.2</v>
      </c>
      <c r="J20" s="187">
        <v>4.2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4.22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4.22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4.22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4.5</v>
      </c>
      <c r="F27" s="192">
        <v>4.5</v>
      </c>
      <c r="G27" s="189">
        <v>4.5</v>
      </c>
      <c r="H27" s="187">
        <v>4.5</v>
      </c>
      <c r="I27" s="189">
        <v>4.5</v>
      </c>
      <c r="J27" s="187">
        <v>4.5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4.5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4.5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4.5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4.5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2"/>
      <c r="G34" s="189"/>
      <c r="H34" s="187"/>
      <c r="I34" s="189"/>
      <c r="J34" s="187"/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3.1999999999999997</v>
      </c>
      <c r="F41" s="192"/>
      <c r="G41" s="189">
        <v>4</v>
      </c>
      <c r="H41" s="187">
        <v>4</v>
      </c>
      <c r="I41" s="189">
        <v>4</v>
      </c>
      <c r="J41" s="187">
        <v>4</v>
      </c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3.1999999999999997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3.1999999999999997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I9" activePane="bottomRight" state="frozen"/>
      <selection pane="bottomRight" activeCell="M15" sqref="M15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LIDER!H4</f>
        <v>FUNDAMENTOS DE DERECHO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CONCATENATE(LIDER!H4," - ",LIDER!H6," - ",LIDER!H5)</f>
        <v>FUNDAMENTOS DE DERECHO - 3243 - MELISSA LOPEZ ROMERO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192">
        <v>4</v>
      </c>
      <c r="G6" s="189">
        <v>4</v>
      </c>
      <c r="H6" s="187">
        <v>4</v>
      </c>
      <c r="I6" s="189">
        <v>4</v>
      </c>
      <c r="J6" s="187">
        <v>5</v>
      </c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3.85</v>
      </c>
      <c r="F13" s="192">
        <v>4</v>
      </c>
      <c r="G13" s="201">
        <v>3.5</v>
      </c>
      <c r="H13" s="187">
        <v>4</v>
      </c>
      <c r="I13" s="189">
        <v>4</v>
      </c>
      <c r="J13" s="187">
        <v>4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3.85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3.85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92">
        <v>4</v>
      </c>
      <c r="G20" s="189">
        <v>4</v>
      </c>
      <c r="H20" s="187">
        <v>4</v>
      </c>
      <c r="I20" s="189">
        <v>4</v>
      </c>
      <c r="J20" s="187">
        <v>5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4.0999999999999996</v>
      </c>
      <c r="F27" s="192">
        <v>4</v>
      </c>
      <c r="G27" s="189">
        <v>4</v>
      </c>
      <c r="H27" s="187">
        <v>4</v>
      </c>
      <c r="I27" s="189">
        <v>4</v>
      </c>
      <c r="J27" s="187">
        <v>5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4.0999999999999996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4.0999999999999996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4.0999999999999996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4.0999999999999996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192">
        <v>4</v>
      </c>
      <c r="G34" s="189">
        <v>4</v>
      </c>
      <c r="H34" s="187">
        <v>4</v>
      </c>
      <c r="I34" s="189">
        <v>4</v>
      </c>
      <c r="J34" s="187">
        <v>5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4.0999999999999996</v>
      </c>
      <c r="F41" s="192">
        <v>4</v>
      </c>
      <c r="G41" s="189">
        <v>4</v>
      </c>
      <c r="H41" s="187">
        <v>4</v>
      </c>
      <c r="I41" s="189">
        <v>4</v>
      </c>
      <c r="J41" s="187">
        <v>5</v>
      </c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4.0999999999999996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4.0999999999999996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28" activePane="bottomRight" state="frozen"/>
      <selection pane="bottomRight" activeCell="I34" sqref="I34:I3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5"/>
      <c r="H1" s="196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LIDER!I4</f>
        <v>FUNDAMENTOS ADMINISTRACIÓN</v>
      </c>
      <c r="C2" s="82"/>
      <c r="D2" s="3"/>
      <c r="F2" s="197" t="s">
        <v>85</v>
      </c>
      <c r="G2" s="198"/>
      <c r="H2" s="198"/>
      <c r="I2" s="198"/>
      <c r="J2" s="198"/>
      <c r="K2" s="198"/>
      <c r="L2" s="199"/>
    </row>
    <row r="3" spans="1:12" s="2" customFormat="1" ht="145.5" customHeight="1">
      <c r="B3" s="83" t="s">
        <v>86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0" t="str">
        <f>CONCATENATE(LIDER!I4," - ",LIDER!I6," - ",LIDER!I5)</f>
        <v>FUNDAMENTOS ADMINISTRACIÓN - 1313 - AMALIO SEGUNDO OTERO TAPIA</v>
      </c>
      <c r="G4" s="200"/>
      <c r="H4" s="200"/>
      <c r="I4" s="200"/>
      <c r="J4" s="200"/>
      <c r="K4" s="200"/>
      <c r="L4" s="200"/>
    </row>
    <row r="5" spans="1:12" s="2" customFormat="1" ht="15.75" customHeight="1" thickBot="1">
      <c r="A5" s="8"/>
      <c r="B5" s="25" t="s">
        <v>72</v>
      </c>
      <c r="C5" s="88" t="s">
        <v>87</v>
      </c>
      <c r="D5" s="32" t="s">
        <v>88</v>
      </c>
      <c r="E5" s="89" t="s">
        <v>89</v>
      </c>
      <c r="F5" s="191" t="str">
        <f>LIDER!$E$29</f>
        <v>GRUPO#1</v>
      </c>
      <c r="G5" s="191"/>
      <c r="H5" s="191"/>
      <c r="I5" s="191"/>
      <c r="J5" s="191"/>
      <c r="K5" s="191"/>
      <c r="L5" s="191"/>
    </row>
    <row r="6" spans="1:12" s="2" customFormat="1" ht="12.75">
      <c r="A6" s="9">
        <v>1</v>
      </c>
      <c r="B6" s="10" t="str">
        <f>LIDER!E43</f>
        <v>JULIANA SOFIA CARCAMO BLANCO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4.2299999999999995</v>
      </c>
      <c r="F6" s="192">
        <v>4</v>
      </c>
      <c r="G6" s="189">
        <v>4.3</v>
      </c>
      <c r="H6" s="187">
        <v>4.2</v>
      </c>
      <c r="I6" s="189">
        <v>4</v>
      </c>
      <c r="J6" s="187">
        <v>5</v>
      </c>
      <c r="K6" s="189"/>
      <c r="L6" s="187"/>
    </row>
    <row r="7" spans="1:12" s="2" customFormat="1" ht="15" customHeight="1">
      <c r="A7" s="12">
        <v>2</v>
      </c>
      <c r="B7" s="10" t="str">
        <f>LIDER!E44</f>
        <v>NATHALY SOFIA SEGOVIA ALVAREZ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4.2299999999999995</v>
      </c>
      <c r="F7" s="192"/>
      <c r="G7" s="189"/>
      <c r="H7" s="187"/>
      <c r="I7" s="189"/>
      <c r="J7" s="187"/>
      <c r="K7" s="189"/>
      <c r="L7" s="187"/>
    </row>
    <row r="8" spans="1:12" s="2" customFormat="1" ht="15" customHeight="1">
      <c r="A8" s="12">
        <v>3</v>
      </c>
      <c r="B8" s="10" t="str">
        <f>LIDER!E45</f>
        <v>CARLOS ANDRES VERBEL MEDRANO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4.2299999999999995</v>
      </c>
      <c r="F8" s="192"/>
      <c r="G8" s="189"/>
      <c r="H8" s="187"/>
      <c r="I8" s="189"/>
      <c r="J8" s="187"/>
      <c r="K8" s="189"/>
      <c r="L8" s="187"/>
    </row>
    <row r="9" spans="1:12" s="2" customFormat="1" ht="15" customHeight="1">
      <c r="A9" s="12">
        <v>4</v>
      </c>
      <c r="B9" s="10">
        <f>LIDER!E46</f>
        <v>0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2"/>
      <c r="G9" s="189"/>
      <c r="H9" s="187"/>
      <c r="I9" s="189"/>
      <c r="J9" s="187"/>
      <c r="K9" s="189"/>
      <c r="L9" s="187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2"/>
      <c r="G10" s="189"/>
      <c r="H10" s="187"/>
      <c r="I10" s="189"/>
      <c r="J10" s="187"/>
      <c r="K10" s="189"/>
      <c r="L10" s="187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2"/>
      <c r="G11" s="189"/>
      <c r="H11" s="187"/>
      <c r="I11" s="189"/>
      <c r="J11" s="187"/>
      <c r="K11" s="189"/>
      <c r="L11" s="187"/>
    </row>
    <row r="12" spans="1:12" s="2" customFormat="1" ht="15.75" customHeight="1" thickBot="1">
      <c r="A12" s="8"/>
      <c r="B12" s="25" t="s">
        <v>74</v>
      </c>
      <c r="C12" s="88" t="s">
        <v>90</v>
      </c>
      <c r="D12" s="32" t="str">
        <f>D5</f>
        <v>LIST</v>
      </c>
      <c r="E12" s="89" t="s">
        <v>89</v>
      </c>
      <c r="F12" s="191" t="str">
        <f>LIDER!$E$30</f>
        <v>GRUPO#2</v>
      </c>
      <c r="G12" s="191"/>
      <c r="H12" s="191"/>
      <c r="I12" s="191"/>
      <c r="J12" s="191"/>
      <c r="K12" s="191"/>
      <c r="L12" s="191"/>
    </row>
    <row r="13" spans="1:12" s="2" customFormat="1" ht="12.75">
      <c r="A13" s="9">
        <v>1</v>
      </c>
      <c r="B13" s="10" t="str">
        <f>LIDER!F43</f>
        <v>VALERIA MEZA RODRIGUEZ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</v>
      </c>
      <c r="F13" s="192">
        <v>4</v>
      </c>
      <c r="G13" s="189">
        <v>4</v>
      </c>
      <c r="H13" s="187">
        <v>4.2</v>
      </c>
      <c r="I13" s="189">
        <v>5</v>
      </c>
      <c r="J13" s="187">
        <v>5</v>
      </c>
      <c r="K13" s="189"/>
      <c r="L13" s="187"/>
    </row>
    <row r="14" spans="1:12" s="2" customFormat="1" ht="15" customHeight="1">
      <c r="A14" s="12">
        <v>2</v>
      </c>
      <c r="B14" s="10" t="str">
        <f>LIDER!F44</f>
        <v>GINA LISSETH RAMIREZ SOTO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</v>
      </c>
      <c r="F14" s="192"/>
      <c r="G14" s="189"/>
      <c r="H14" s="187"/>
      <c r="I14" s="189"/>
      <c r="J14" s="187"/>
      <c r="K14" s="189"/>
      <c r="L14" s="187"/>
    </row>
    <row r="15" spans="1:12" s="2" customFormat="1" ht="15" customHeight="1">
      <c r="A15" s="12">
        <v>3</v>
      </c>
      <c r="B15" s="10" t="str">
        <f>LIDER!F45</f>
        <v>ANGGELA LUCIA UPARELA RAMIREZ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</v>
      </c>
      <c r="F15" s="192"/>
      <c r="G15" s="189"/>
      <c r="H15" s="187"/>
      <c r="I15" s="189"/>
      <c r="J15" s="187"/>
      <c r="K15" s="189"/>
      <c r="L15" s="187"/>
    </row>
    <row r="16" spans="1:12" s="2" customFormat="1" ht="15" customHeight="1">
      <c r="A16" s="12">
        <v>4</v>
      </c>
      <c r="B16" s="10">
        <f>LIDER!F46</f>
        <v>0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2"/>
      <c r="G16" s="189"/>
      <c r="H16" s="187"/>
      <c r="I16" s="189"/>
      <c r="J16" s="187"/>
      <c r="K16" s="189"/>
      <c r="L16" s="187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2"/>
      <c r="G17" s="189"/>
      <c r="H17" s="187"/>
      <c r="I17" s="189"/>
      <c r="J17" s="187"/>
      <c r="K17" s="189"/>
      <c r="L17" s="187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2"/>
      <c r="G18" s="189"/>
      <c r="H18" s="187"/>
      <c r="I18" s="189"/>
      <c r="J18" s="187"/>
      <c r="K18" s="189"/>
      <c r="L18" s="187"/>
    </row>
    <row r="19" spans="1:12" s="2" customFormat="1" ht="15.75" customHeight="1">
      <c r="A19" s="14"/>
      <c r="B19" s="25" t="s">
        <v>75</v>
      </c>
      <c r="C19" s="88" t="s">
        <v>91</v>
      </c>
      <c r="D19" s="32" t="str">
        <f>D12</f>
        <v>LIST</v>
      </c>
      <c r="E19" s="89" t="s">
        <v>89</v>
      </c>
      <c r="F19" s="191" t="str">
        <f>LIDER!$E$31</f>
        <v>GRUPO#3</v>
      </c>
      <c r="G19" s="191"/>
      <c r="H19" s="191"/>
      <c r="I19" s="191"/>
      <c r="J19" s="191"/>
      <c r="K19" s="191"/>
      <c r="L19" s="191"/>
    </row>
    <row r="20" spans="1:12" s="2" customFormat="1" ht="12.75">
      <c r="A20" s="9">
        <v>1</v>
      </c>
      <c r="B20" s="10" t="str">
        <f>LIDER!G43</f>
        <v>YILBER YESID ANGULO ORTEGA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4.01</v>
      </c>
      <c r="F20" s="192">
        <v>3.9</v>
      </c>
      <c r="G20" s="189">
        <v>3.9</v>
      </c>
      <c r="H20" s="187">
        <v>3.5</v>
      </c>
      <c r="I20" s="189">
        <v>4.3</v>
      </c>
      <c r="J20" s="187">
        <v>5</v>
      </c>
      <c r="K20" s="189"/>
      <c r="L20" s="187"/>
    </row>
    <row r="21" spans="1:12" s="2" customFormat="1" ht="15" customHeight="1">
      <c r="A21" s="12">
        <v>2</v>
      </c>
      <c r="B21" s="10" t="str">
        <f>LIDER!G44</f>
        <v>LINDA SOFIA CANTILLO YANGUEZ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4.01</v>
      </c>
      <c r="F21" s="192"/>
      <c r="G21" s="189"/>
      <c r="H21" s="187"/>
      <c r="I21" s="189"/>
      <c r="J21" s="187"/>
      <c r="K21" s="189"/>
      <c r="L21" s="187"/>
    </row>
    <row r="22" spans="1:12" s="2" customFormat="1" ht="15" customHeight="1">
      <c r="A22" s="12">
        <v>3</v>
      </c>
      <c r="B22" s="10" t="str">
        <f>LIDER!G45</f>
        <v>DAVID SAM SILVA HERNANDEZ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4.01</v>
      </c>
      <c r="F22" s="192"/>
      <c r="G22" s="189"/>
      <c r="H22" s="187"/>
      <c r="I22" s="189"/>
      <c r="J22" s="187"/>
      <c r="K22" s="189"/>
      <c r="L22" s="187"/>
    </row>
    <row r="23" spans="1:12" s="2" customFormat="1" ht="15" customHeight="1">
      <c r="A23" s="12">
        <v>4</v>
      </c>
      <c r="B23" s="10" t="str">
        <f>LIDER!G46</f>
        <v>HANNA SOFIA ROSALES RODRIGUEZ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4.01</v>
      </c>
      <c r="F23" s="192"/>
      <c r="G23" s="189"/>
      <c r="H23" s="187"/>
      <c r="I23" s="189"/>
      <c r="J23" s="187"/>
      <c r="K23" s="189"/>
      <c r="L23" s="187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2"/>
      <c r="G24" s="189"/>
      <c r="H24" s="187"/>
      <c r="I24" s="189"/>
      <c r="J24" s="187"/>
      <c r="K24" s="189"/>
      <c r="L24" s="187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2"/>
      <c r="G25" s="189"/>
      <c r="H25" s="187"/>
      <c r="I25" s="189"/>
      <c r="J25" s="187"/>
      <c r="K25" s="189"/>
      <c r="L25" s="187"/>
    </row>
    <row r="26" spans="1:12" s="2" customFormat="1" ht="15.75" customHeight="1">
      <c r="A26" s="14"/>
      <c r="B26" s="25" t="s">
        <v>76</v>
      </c>
      <c r="C26" s="88" t="s">
        <v>93</v>
      </c>
      <c r="D26" s="32" t="str">
        <f>D19</f>
        <v>LIST</v>
      </c>
      <c r="E26" s="89" t="s">
        <v>89</v>
      </c>
      <c r="F26" s="191" t="str">
        <f>LIDER!$E$32</f>
        <v>GRUPO#4</v>
      </c>
      <c r="G26" s="191"/>
      <c r="H26" s="191"/>
      <c r="I26" s="191"/>
      <c r="J26" s="191"/>
      <c r="K26" s="191"/>
      <c r="L26" s="191"/>
    </row>
    <row r="27" spans="1:12" s="2" customFormat="1" ht="12.75">
      <c r="A27" s="9">
        <v>1</v>
      </c>
      <c r="B27" s="10" t="str">
        <f>LIDER!H43</f>
        <v>ADRIAN CAMILO ANGULO LAGARES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3.45</v>
      </c>
      <c r="F27" s="192">
        <v>3</v>
      </c>
      <c r="G27" s="189">
        <v>3</v>
      </c>
      <c r="H27" s="187">
        <v>3</v>
      </c>
      <c r="I27" s="189">
        <v>4.5</v>
      </c>
      <c r="J27" s="187">
        <v>4.5</v>
      </c>
      <c r="K27" s="189"/>
      <c r="L27" s="187"/>
    </row>
    <row r="28" spans="1:12" s="2" customFormat="1" ht="15" customHeight="1">
      <c r="A28" s="12">
        <v>2</v>
      </c>
      <c r="B28" s="10" t="str">
        <f>LIDER!H44</f>
        <v>JEISON SAMUEL BELTRAN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3.45</v>
      </c>
      <c r="F28" s="192"/>
      <c r="G28" s="189"/>
      <c r="H28" s="187"/>
      <c r="I28" s="189"/>
      <c r="J28" s="187"/>
      <c r="K28" s="189"/>
      <c r="L28" s="187"/>
    </row>
    <row r="29" spans="1:12" s="2" customFormat="1" ht="15" customHeight="1">
      <c r="A29" s="12">
        <v>3</v>
      </c>
      <c r="B29" s="10" t="str">
        <f>LIDER!H45</f>
        <v>ANDREA CAROLINA BUELVAS GUARDO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3.45</v>
      </c>
      <c r="F29" s="192"/>
      <c r="G29" s="189"/>
      <c r="H29" s="187"/>
      <c r="I29" s="189"/>
      <c r="J29" s="187"/>
      <c r="K29" s="189"/>
      <c r="L29" s="187"/>
    </row>
    <row r="30" spans="1:12" s="2" customFormat="1" ht="15" customHeight="1">
      <c r="A30" s="12">
        <v>4</v>
      </c>
      <c r="B30" s="10" t="str">
        <f>LIDER!H46</f>
        <v>MARIA DEL CARMEN NOEL GARCIA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3.45</v>
      </c>
      <c r="F30" s="192"/>
      <c r="G30" s="189"/>
      <c r="H30" s="187"/>
      <c r="I30" s="189"/>
      <c r="J30" s="187"/>
      <c r="K30" s="189"/>
      <c r="L30" s="187"/>
    </row>
    <row r="31" spans="1:12" s="2" customFormat="1" ht="15" customHeight="1">
      <c r="A31" s="12">
        <v>5</v>
      </c>
      <c r="B31" s="10" t="str">
        <f>LIDER!H47</f>
        <v>ANDRY JOSE RUBIO CABEZA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3.45</v>
      </c>
      <c r="F31" s="192"/>
      <c r="G31" s="189"/>
      <c r="H31" s="187"/>
      <c r="I31" s="189"/>
      <c r="J31" s="187"/>
      <c r="K31" s="189"/>
      <c r="L31" s="187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2"/>
      <c r="G32" s="189"/>
      <c r="H32" s="187"/>
      <c r="I32" s="189"/>
      <c r="J32" s="187"/>
      <c r="K32" s="189"/>
      <c r="L32" s="187"/>
    </row>
    <row r="33" spans="1:12" s="2" customFormat="1" ht="15.75" customHeight="1">
      <c r="A33" s="14"/>
      <c r="B33" s="25" t="s">
        <v>77</v>
      </c>
      <c r="C33" s="88" t="s">
        <v>94</v>
      </c>
      <c r="D33" s="32" t="str">
        <f>D26</f>
        <v>LIST</v>
      </c>
      <c r="E33" s="89" t="s">
        <v>89</v>
      </c>
      <c r="F33" s="191" t="str">
        <f>LIDER!$E$33</f>
        <v>GRUPO#5</v>
      </c>
      <c r="G33" s="191"/>
      <c r="H33" s="191"/>
      <c r="I33" s="191"/>
      <c r="J33" s="191"/>
      <c r="K33" s="191"/>
      <c r="L33" s="191"/>
    </row>
    <row r="34" spans="1:12" s="2" customFormat="1" ht="12.75">
      <c r="A34" s="9">
        <v>1</v>
      </c>
      <c r="B34" s="10" t="str">
        <f>LIDER!E51</f>
        <v>DANETH MICHELL AGAMEZ VIVANCO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4.37</v>
      </c>
      <c r="F34" s="192">
        <v>4.5</v>
      </c>
      <c r="G34" s="189">
        <v>4.3</v>
      </c>
      <c r="H34" s="187">
        <v>4.2</v>
      </c>
      <c r="I34" s="189">
        <v>4.2</v>
      </c>
      <c r="J34" s="187">
        <v>5</v>
      </c>
      <c r="K34" s="189"/>
      <c r="L34" s="187"/>
    </row>
    <row r="35" spans="1:12" s="2" customFormat="1" ht="15" customHeight="1">
      <c r="A35" s="12">
        <v>2</v>
      </c>
      <c r="B35" s="10" t="str">
        <f>LIDER!E52</f>
        <v>YULEIMIS ALEXANDRA BARÓN SILVA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4.37</v>
      </c>
      <c r="F35" s="192"/>
      <c r="G35" s="189"/>
      <c r="H35" s="187"/>
      <c r="I35" s="189"/>
      <c r="J35" s="187"/>
      <c r="K35" s="189"/>
      <c r="L35" s="187"/>
    </row>
    <row r="36" spans="1:12" s="2" customFormat="1" ht="15" customHeight="1">
      <c r="A36" s="12">
        <v>3</v>
      </c>
      <c r="B36" s="10" t="str">
        <f>LIDER!E53</f>
        <v>MARIA CARIDAD CASTILLA OROZCO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4.37</v>
      </c>
      <c r="F36" s="192"/>
      <c r="G36" s="189"/>
      <c r="H36" s="187"/>
      <c r="I36" s="189"/>
      <c r="J36" s="187"/>
      <c r="K36" s="189"/>
      <c r="L36" s="187"/>
    </row>
    <row r="37" spans="1:12" s="2" customFormat="1" ht="15" customHeight="1">
      <c r="A37" s="12">
        <v>4</v>
      </c>
      <c r="B37" s="10" t="str">
        <f>LIDER!E54</f>
        <v>ANDRES CAMILO PAEZ DE LA HOZ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4.37</v>
      </c>
      <c r="F37" s="192"/>
      <c r="G37" s="189"/>
      <c r="H37" s="187"/>
      <c r="I37" s="189"/>
      <c r="J37" s="187"/>
      <c r="K37" s="189"/>
      <c r="L37" s="187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2"/>
      <c r="G38" s="189"/>
      <c r="H38" s="187"/>
      <c r="I38" s="189"/>
      <c r="J38" s="187"/>
      <c r="K38" s="189"/>
      <c r="L38" s="187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2"/>
      <c r="G39" s="189"/>
      <c r="H39" s="187"/>
      <c r="I39" s="189"/>
      <c r="J39" s="187"/>
      <c r="K39" s="189"/>
      <c r="L39" s="187"/>
    </row>
    <row r="40" spans="1:12" s="2" customFormat="1" ht="15.75" customHeight="1">
      <c r="A40" s="14"/>
      <c r="B40" s="25" t="s">
        <v>78</v>
      </c>
      <c r="C40" s="88" t="s">
        <v>95</v>
      </c>
      <c r="D40" s="32" t="str">
        <f>D33</f>
        <v>LIST</v>
      </c>
      <c r="E40" s="89" t="s">
        <v>89</v>
      </c>
      <c r="F40" s="191" t="str">
        <f>LIDER!$E$34</f>
        <v>GRUPO#6</v>
      </c>
      <c r="G40" s="191"/>
      <c r="H40" s="191"/>
      <c r="I40" s="191"/>
      <c r="J40" s="191"/>
      <c r="K40" s="191"/>
      <c r="L40" s="191"/>
    </row>
    <row r="41" spans="1:12" s="2" customFormat="1" ht="12.75">
      <c r="A41" s="9">
        <v>1</v>
      </c>
      <c r="B41" s="10" t="str">
        <f>LIDER!F51</f>
        <v>KATTY JULIETH BUSTOS MACEA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4.0500000000000007</v>
      </c>
      <c r="F41" s="192">
        <v>4</v>
      </c>
      <c r="G41" s="189">
        <v>3.5</v>
      </c>
      <c r="H41" s="187">
        <v>4</v>
      </c>
      <c r="I41" s="189">
        <v>4.5</v>
      </c>
      <c r="J41" s="187">
        <v>5</v>
      </c>
      <c r="K41" s="189"/>
      <c r="L41" s="187"/>
    </row>
    <row r="42" spans="1:12" s="2" customFormat="1" ht="15" customHeight="1">
      <c r="A42" s="12">
        <v>2</v>
      </c>
      <c r="B42" s="10" t="str">
        <f>LIDER!F52</f>
        <v>LILIANA PATRICIA PUELLO OROZCO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4.0500000000000007</v>
      </c>
      <c r="F42" s="192"/>
      <c r="G42" s="189"/>
      <c r="H42" s="187"/>
      <c r="I42" s="189"/>
      <c r="J42" s="187"/>
      <c r="K42" s="189"/>
      <c r="L42" s="187"/>
    </row>
    <row r="43" spans="1:12" s="2" customFormat="1" ht="15" customHeight="1">
      <c r="A43" s="12">
        <v>3</v>
      </c>
      <c r="B43" s="10" t="str">
        <f>LIDER!F53</f>
        <v>SEBASTIAN ANDRES RAMOS GALLEGO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4.0500000000000007</v>
      </c>
      <c r="F43" s="192"/>
      <c r="G43" s="189"/>
      <c r="H43" s="187"/>
      <c r="I43" s="189"/>
      <c r="J43" s="187"/>
      <c r="K43" s="189"/>
      <c r="L43" s="187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2"/>
      <c r="G44" s="189"/>
      <c r="H44" s="187"/>
      <c r="I44" s="189"/>
      <c r="J44" s="187"/>
      <c r="K44" s="189"/>
      <c r="L44" s="187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2"/>
      <c r="G45" s="189"/>
      <c r="H45" s="187"/>
      <c r="I45" s="189"/>
      <c r="J45" s="187"/>
      <c r="K45" s="189"/>
      <c r="L45" s="187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2"/>
      <c r="G46" s="189"/>
      <c r="H46" s="187"/>
      <c r="I46" s="189"/>
      <c r="J46" s="187"/>
      <c r="K46" s="189"/>
      <c r="L46" s="187"/>
    </row>
    <row r="47" spans="1:12" s="2" customFormat="1" ht="15.75" customHeight="1">
      <c r="A47" s="14"/>
      <c r="B47" s="25" t="s">
        <v>79</v>
      </c>
      <c r="C47" s="88" t="s">
        <v>96</v>
      </c>
      <c r="D47" s="32" t="str">
        <f>D40</f>
        <v>LIST</v>
      </c>
      <c r="E47" s="89" t="s">
        <v>89</v>
      </c>
      <c r="F47" s="191" t="str">
        <f>LIDER!$E$35</f>
        <v>GRUPO#7</v>
      </c>
      <c r="G47" s="191"/>
      <c r="H47" s="191"/>
      <c r="I47" s="191"/>
      <c r="J47" s="191"/>
      <c r="K47" s="191"/>
      <c r="L47" s="191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2"/>
      <c r="G48" s="189"/>
      <c r="H48" s="187"/>
      <c r="I48" s="189"/>
      <c r="J48" s="187"/>
      <c r="K48" s="189"/>
      <c r="L48" s="187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2"/>
      <c r="G49" s="189"/>
      <c r="H49" s="187"/>
      <c r="I49" s="189"/>
      <c r="J49" s="187"/>
      <c r="K49" s="189"/>
      <c r="L49" s="187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2"/>
      <c r="G50" s="189"/>
      <c r="H50" s="187"/>
      <c r="I50" s="189"/>
      <c r="J50" s="187"/>
      <c r="K50" s="189"/>
      <c r="L50" s="187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2"/>
      <c r="G51" s="189"/>
      <c r="H51" s="187"/>
      <c r="I51" s="189"/>
      <c r="J51" s="187"/>
      <c r="K51" s="189"/>
      <c r="L51" s="187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2"/>
      <c r="G52" s="189"/>
      <c r="H52" s="187"/>
      <c r="I52" s="189"/>
      <c r="J52" s="187"/>
      <c r="K52" s="189"/>
      <c r="L52" s="187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2"/>
      <c r="G53" s="189"/>
      <c r="H53" s="187"/>
      <c r="I53" s="189"/>
      <c r="J53" s="187"/>
      <c r="K53" s="189"/>
      <c r="L53" s="187"/>
    </row>
    <row r="54" spans="1:12" s="2" customFormat="1" ht="15.75" customHeight="1">
      <c r="A54" s="14"/>
      <c r="B54" s="25" t="s">
        <v>80</v>
      </c>
      <c r="C54" s="88" t="s">
        <v>97</v>
      </c>
      <c r="D54" s="32" t="str">
        <f>D47</f>
        <v>LIST</v>
      </c>
      <c r="E54" s="89" t="s">
        <v>89</v>
      </c>
      <c r="F54" s="191" t="str">
        <f>LIDER!$E$36</f>
        <v>GRUPO#8</v>
      </c>
      <c r="G54" s="191"/>
      <c r="H54" s="191"/>
      <c r="I54" s="191"/>
      <c r="J54" s="191"/>
      <c r="K54" s="191"/>
      <c r="L54" s="191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2"/>
      <c r="G55" s="189"/>
      <c r="H55" s="187"/>
      <c r="I55" s="189"/>
      <c r="J55" s="187"/>
      <c r="K55" s="189"/>
      <c r="L55" s="187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2"/>
      <c r="G56" s="189"/>
      <c r="H56" s="187"/>
      <c r="I56" s="189"/>
      <c r="J56" s="187"/>
      <c r="K56" s="189"/>
      <c r="L56" s="187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2"/>
      <c r="G57" s="189"/>
      <c r="H57" s="187"/>
      <c r="I57" s="189"/>
      <c r="J57" s="187"/>
      <c r="K57" s="189"/>
      <c r="L57" s="187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2"/>
      <c r="G58" s="189"/>
      <c r="H58" s="187"/>
      <c r="I58" s="189"/>
      <c r="J58" s="187"/>
      <c r="K58" s="189"/>
      <c r="L58" s="187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2"/>
      <c r="G59" s="189"/>
      <c r="H59" s="187"/>
      <c r="I59" s="189"/>
      <c r="J59" s="187"/>
      <c r="K59" s="189"/>
      <c r="L59" s="187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2"/>
      <c r="G60" s="189"/>
      <c r="H60" s="187"/>
      <c r="I60" s="189"/>
      <c r="J60" s="187"/>
      <c r="K60" s="189"/>
      <c r="L60" s="187"/>
    </row>
    <row r="61" spans="1:12" s="2" customFormat="1" ht="15.75" customHeight="1">
      <c r="A61" s="14"/>
      <c r="B61" s="25" t="s">
        <v>81</v>
      </c>
      <c r="C61" s="88" t="s">
        <v>98</v>
      </c>
      <c r="D61" s="32" t="str">
        <f>D54</f>
        <v>LIST</v>
      </c>
      <c r="E61" s="89" t="s">
        <v>89</v>
      </c>
      <c r="F61" s="191" t="str">
        <f>LIDER!$E$37</f>
        <v>GRUPO#9</v>
      </c>
      <c r="G61" s="191"/>
      <c r="H61" s="191"/>
      <c r="I61" s="191"/>
      <c r="J61" s="191"/>
      <c r="K61" s="191"/>
      <c r="L61" s="191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2"/>
      <c r="G62" s="189"/>
      <c r="H62" s="187"/>
      <c r="I62" s="189"/>
      <c r="J62" s="187"/>
      <c r="K62" s="189"/>
      <c r="L62" s="187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2"/>
      <c r="G63" s="189"/>
      <c r="H63" s="187"/>
      <c r="I63" s="189"/>
      <c r="J63" s="187"/>
      <c r="K63" s="189"/>
      <c r="L63" s="187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2"/>
      <c r="G64" s="189"/>
      <c r="H64" s="187"/>
      <c r="I64" s="189"/>
      <c r="J64" s="187"/>
      <c r="K64" s="189"/>
      <c r="L64" s="187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2"/>
      <c r="G65" s="189"/>
      <c r="H65" s="187"/>
      <c r="I65" s="189"/>
      <c r="J65" s="187"/>
      <c r="K65" s="189"/>
      <c r="L65" s="187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2"/>
      <c r="G66" s="189"/>
      <c r="H66" s="187"/>
      <c r="I66" s="189"/>
      <c r="J66" s="187"/>
      <c r="K66" s="189"/>
      <c r="L66" s="187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2"/>
      <c r="G67" s="189"/>
      <c r="H67" s="187"/>
      <c r="I67" s="189"/>
      <c r="J67" s="187"/>
      <c r="K67" s="189"/>
      <c r="L67" s="187"/>
    </row>
    <row r="68" spans="1:12" s="2" customFormat="1" ht="15.75" customHeight="1">
      <c r="A68" s="14"/>
      <c r="B68" s="25" t="s">
        <v>82</v>
      </c>
      <c r="C68" s="88" t="s">
        <v>99</v>
      </c>
      <c r="D68" s="32" t="str">
        <f>D61</f>
        <v>LIST</v>
      </c>
      <c r="E68" s="89" t="s">
        <v>89</v>
      </c>
      <c r="F68" s="191" t="str">
        <f>LIDER!$E$38</f>
        <v>GRUPO#10</v>
      </c>
      <c r="G68" s="191"/>
      <c r="H68" s="191"/>
      <c r="I68" s="191"/>
      <c r="J68" s="191"/>
      <c r="K68" s="191"/>
      <c r="L68" s="191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2"/>
      <c r="G69" s="189"/>
      <c r="H69" s="187"/>
      <c r="I69" s="189"/>
      <c r="J69" s="187"/>
      <c r="K69" s="189"/>
      <c r="L69" s="187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2"/>
      <c r="G70" s="189"/>
      <c r="H70" s="187"/>
      <c r="I70" s="189"/>
      <c r="J70" s="187"/>
      <c r="K70" s="189"/>
      <c r="L70" s="187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2"/>
      <c r="G71" s="189"/>
      <c r="H71" s="187"/>
      <c r="I71" s="189"/>
      <c r="J71" s="187"/>
      <c r="K71" s="189"/>
      <c r="L71" s="187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2"/>
      <c r="G72" s="189"/>
      <c r="H72" s="187"/>
      <c r="I72" s="189"/>
      <c r="J72" s="187"/>
      <c r="K72" s="189"/>
      <c r="L72" s="187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2"/>
      <c r="G73" s="189"/>
      <c r="H73" s="187"/>
      <c r="I73" s="189"/>
      <c r="J73" s="187"/>
      <c r="K73" s="189"/>
      <c r="L73" s="187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2"/>
      <c r="G74" s="189"/>
      <c r="H74" s="187"/>
      <c r="I74" s="189"/>
      <c r="J74" s="187"/>
      <c r="K74" s="189"/>
      <c r="L74" s="187"/>
    </row>
    <row r="75" spans="1:12" s="2" customFormat="1" ht="15.75" customHeight="1">
      <c r="A75" s="14"/>
      <c r="B75" s="25" t="s">
        <v>83</v>
      </c>
      <c r="C75" s="88" t="s">
        <v>100</v>
      </c>
      <c r="D75" s="32" t="str">
        <f>D68</f>
        <v>LIST</v>
      </c>
      <c r="E75" s="89" t="s">
        <v>89</v>
      </c>
      <c r="F75" s="191" t="str">
        <f>LIDER!$E$39</f>
        <v>GRUPO#11</v>
      </c>
      <c r="G75" s="191"/>
      <c r="H75" s="191"/>
      <c r="I75" s="191"/>
      <c r="J75" s="191"/>
      <c r="K75" s="191"/>
      <c r="L75" s="191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2"/>
      <c r="G76" s="189"/>
      <c r="H76" s="187"/>
      <c r="I76" s="189"/>
      <c r="J76" s="187"/>
      <c r="K76" s="189"/>
      <c r="L76" s="187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2"/>
      <c r="G77" s="189"/>
      <c r="H77" s="187"/>
      <c r="I77" s="189"/>
      <c r="J77" s="187"/>
      <c r="K77" s="189"/>
      <c r="L77" s="187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2"/>
      <c r="G78" s="189"/>
      <c r="H78" s="187"/>
      <c r="I78" s="189"/>
      <c r="J78" s="187"/>
      <c r="K78" s="189"/>
      <c r="L78" s="187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2"/>
      <c r="G79" s="189"/>
      <c r="H79" s="187"/>
      <c r="I79" s="189"/>
      <c r="J79" s="187"/>
      <c r="K79" s="189"/>
      <c r="L79" s="187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2"/>
      <c r="G80" s="189"/>
      <c r="H80" s="187"/>
      <c r="I80" s="189"/>
      <c r="J80" s="187"/>
      <c r="K80" s="189"/>
      <c r="L80" s="187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2"/>
      <c r="G81" s="189"/>
      <c r="H81" s="187"/>
      <c r="I81" s="189"/>
      <c r="J81" s="187"/>
      <c r="K81" s="189"/>
      <c r="L81" s="187"/>
    </row>
    <row r="82" spans="1:12" s="2" customFormat="1" ht="15.75" customHeight="1">
      <c r="A82" s="14"/>
      <c r="B82" s="25" t="s">
        <v>84</v>
      </c>
      <c r="C82" s="88" t="s">
        <v>101</v>
      </c>
      <c r="D82" s="32" t="str">
        <f>D75</f>
        <v>LIST</v>
      </c>
      <c r="E82" s="89" t="s">
        <v>89</v>
      </c>
      <c r="F82" s="191" t="str">
        <f>LIDER!$E$40</f>
        <v>GRUPO#12</v>
      </c>
      <c r="G82" s="191"/>
      <c r="H82" s="191"/>
      <c r="I82" s="191"/>
      <c r="J82" s="191"/>
      <c r="K82" s="191"/>
      <c r="L82" s="191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2"/>
      <c r="G83" s="189"/>
      <c r="H83" s="187"/>
      <c r="I83" s="189"/>
      <c r="J83" s="187"/>
      <c r="K83" s="189"/>
      <c r="L83" s="187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2"/>
      <c r="G84" s="189"/>
      <c r="H84" s="187"/>
      <c r="I84" s="189"/>
      <c r="J84" s="187"/>
      <c r="K84" s="189"/>
      <c r="L84" s="187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2"/>
      <c r="G85" s="189"/>
      <c r="H85" s="187"/>
      <c r="I85" s="189"/>
      <c r="J85" s="187"/>
      <c r="K85" s="189"/>
      <c r="L85" s="187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2"/>
      <c r="G86" s="189"/>
      <c r="H86" s="187"/>
      <c r="I86" s="189"/>
      <c r="J86" s="187"/>
      <c r="K86" s="189"/>
      <c r="L86" s="187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2"/>
      <c r="G87" s="189"/>
      <c r="H87" s="187"/>
      <c r="I87" s="189"/>
      <c r="J87" s="187"/>
      <c r="K87" s="189"/>
      <c r="L87" s="187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93"/>
      <c r="G88" s="190"/>
      <c r="H88" s="188"/>
      <c r="I88" s="190"/>
      <c r="J88" s="188"/>
      <c r="K88" s="190"/>
      <c r="L88" s="18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80" zoomScaleNormal="8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LIDER!C4</f>
        <v>MATEMATICA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CONCATENATE(LIDER!C4," - ",LIDER!C6," - ",LIDER!C5)</f>
        <v>MATEMATICA - 2157 - CECILIA PAILLIER GONZALEZ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2" t="str">
        <f>IF('S-ASIG-01'!D5="","",'S-ASIG-01'!D5)</f>
        <v>LIST</v>
      </c>
      <c r="D5" s="35" t="s">
        <v>89</v>
      </c>
      <c r="E5" s="206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IF('S-ASIG-01'!D9="","",'S-ASIG-01'!D9)</f>
        <v/>
      </c>
      <c r="D9" s="30" t="str">
        <f>IF(B9=0,"",IF(C9="",$E$6*LIDER!$H$19+F9*LIDER!$H$20+G9*LIDER!$H$21+H9*LIDER!$H$22+I9*LIDER!$H$23+J9*LIDER!$H$24+K9*LIDER!$H$25,"N"))</f>
        <v/>
      </c>
      <c r="E9" s="20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IF('S-ASIG-01'!D12="","",'S-ASIG-01'!D12)</f>
        <v>LIST</v>
      </c>
      <c r="D12" s="35" t="s">
        <v>89</v>
      </c>
      <c r="E12" s="206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IF('S-ASIG-01'!D16="","",'S-ASIG-01'!D16)</f>
        <v/>
      </c>
      <c r="D16" s="30" t="str">
        <f>IF(B16=0,"",IF(C16="",$E$13*LIDER!$H$19+F16*LIDER!$H$20+G16*LIDER!$H$21+H16*LIDER!$H$22+I16*LIDER!$H$23+J16*LIDER!$H$24+K16*LIDER!$H$25,"N"))</f>
        <v/>
      </c>
      <c r="E16" s="20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IF('S-ASIG-01'!D19="","",'S-ASIG-01'!D19)</f>
        <v>LIST</v>
      </c>
      <c r="D19" s="35" t="s">
        <v>89</v>
      </c>
      <c r="E19" s="206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IF('S-ASIG-01'!D23="","",'S-ASIG-01'!D23)</f>
        <v>N</v>
      </c>
      <c r="D23" s="30" t="str">
        <f>IF(B23=0,"",IF(C23="",$E$20*LIDER!$H$19+F23*LIDER!$H$20+G23*LIDER!$H$21+H23*LIDER!$H$22+I23*LIDER!$H$23+J23*LIDER!$H$24+K23*LIDER!$H$25,"N"))</f>
        <v>N</v>
      </c>
      <c r="E23" s="20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IF('S-ASIG-01'!D26="","",'S-ASIG-01'!D26)</f>
        <v>LIST</v>
      </c>
      <c r="D26" s="35" t="s">
        <v>89</v>
      </c>
      <c r="E26" s="206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IF('S-ASIG-01'!D33="","",'S-ASIG-01'!D33)</f>
        <v>LIST</v>
      </c>
      <c r="D33" s="35" t="s">
        <v>89</v>
      </c>
      <c r="E33" s="206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IF('S-ASIG-01'!D40="","",'S-ASIG-01'!D40)</f>
        <v>LIST</v>
      </c>
      <c r="D40" s="35" t="s">
        <v>89</v>
      </c>
      <c r="E40" s="206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IF('S-ASIG-01'!D47="","",'S-ASIG-01'!D47)</f>
        <v>LIST</v>
      </c>
      <c r="D47" s="35" t="s">
        <v>89</v>
      </c>
      <c r="E47" s="206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IF('S-ASIG-01'!D54="","",'S-ASIG-01'!D54)</f>
        <v>LIST</v>
      </c>
      <c r="D54" s="35" t="s">
        <v>89</v>
      </c>
      <c r="E54" s="206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IF('S-ASIG-01'!D61="","",'S-ASIG-01'!D61)</f>
        <v>LIST</v>
      </c>
      <c r="D61" s="35" t="s">
        <v>89</v>
      </c>
      <c r="E61" s="206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IF('S-ASIG-01'!D68="","",'S-ASIG-01'!D68)</f>
        <v>LIST</v>
      </c>
      <c r="D68" s="35" t="s">
        <v>89</v>
      </c>
      <c r="E68" s="206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IF('S-ASIG-01'!D75="","",'S-ASIG-01'!D75)</f>
        <v>LIST</v>
      </c>
      <c r="D75" s="35" t="s">
        <v>89</v>
      </c>
      <c r="E75" s="206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IF('S-ASIG-01'!D82="","",'S-ASIG-01'!D82)</f>
        <v>LIST</v>
      </c>
      <c r="D82" s="35" t="s">
        <v>89</v>
      </c>
      <c r="E82" s="206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80" zoomScaleNormal="8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LIDER!D4</f>
        <v>CULTURA Y DEPORTE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CONCATENATE(LIDER!D4," - ",LIDER!D6," - ",LIDER!D5)</f>
        <v>CULTURA Y DEPORTE - 2172 - EDWIN FRANCO OSPINO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4" t="str">
        <f>IF('S-ASIG-02'!D5="","",'S-ASIG-02'!D5)</f>
        <v>LIST</v>
      </c>
      <c r="D5" s="35" t="s">
        <v>89</v>
      </c>
      <c r="E5" s="191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IF('S-ASIG-02'!D9="","",'S-ASIG-02'!D9)</f>
        <v/>
      </c>
      <c r="D9" s="30" t="str">
        <f>IF(B9=0,"",IF(C9="",$E$6*LIDER!$H$19+F9*LIDER!$H$20+G9*LIDER!$H$21+H9*LIDER!$H$22+I9*LIDER!$H$23+J9*LIDER!$H$24+K9*LIDER!$H$25,"N"))</f>
        <v/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IF('S-ASIG-02'!D12="","",'S-ASIG-02'!D12)</f>
        <v>LIST</v>
      </c>
      <c r="D12" s="35" t="s">
        <v>89</v>
      </c>
      <c r="E12" s="191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IF('S-ASIG-02'!D16="","",'S-ASIG-02'!D16)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IF('S-ASIG-02'!D19="","",'S-ASIG-02'!D19)</f>
        <v>LIST</v>
      </c>
      <c r="D19" s="35" t="s">
        <v>89</v>
      </c>
      <c r="E19" s="191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IF('S-ASIG-02'!D26="","",'S-ASIG-02'!D26)</f>
        <v>LIST</v>
      </c>
      <c r="D26" s="35" t="s">
        <v>89</v>
      </c>
      <c r="E26" s="191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IF('S-ASIG-02'!D33="","",'S-ASIG-02'!D33)</f>
        <v>LIST</v>
      </c>
      <c r="D33" s="35" t="s">
        <v>89</v>
      </c>
      <c r="E33" s="191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IF('S-ASIG-02'!D40="","",'S-ASIG-02'!D40)</f>
        <v>LIST</v>
      </c>
      <c r="D40" s="35" t="s">
        <v>89</v>
      </c>
      <c r="E40" s="191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IF('S-ASIG-02'!D47="","",'S-ASIG-02'!D47)</f>
        <v>LIST</v>
      </c>
      <c r="D47" s="35" t="s">
        <v>89</v>
      </c>
      <c r="E47" s="191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IF('S-ASIG-02'!D54="","",'S-ASIG-02'!D54)</f>
        <v>LIST</v>
      </c>
      <c r="D54" s="35" t="s">
        <v>89</v>
      </c>
      <c r="E54" s="191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IF('S-ASIG-02'!D61="","",'S-ASIG-02'!D61)</f>
        <v>LIST</v>
      </c>
      <c r="D61" s="35" t="s">
        <v>89</v>
      </c>
      <c r="E61" s="191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IF('S-ASIG-02'!D68="","",'S-ASIG-02'!D68)</f>
        <v>LIST</v>
      </c>
      <c r="D68" s="35" t="s">
        <v>89</v>
      </c>
      <c r="E68" s="191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IF('S-ASIG-02'!D75="","",'S-ASIG-02'!D75)</f>
        <v>LIST</v>
      </c>
      <c r="D75" s="35" t="s">
        <v>89</v>
      </c>
      <c r="E75" s="191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IF('S-ASIG-02'!D82="","",'S-ASIG-02'!D82)</f>
        <v>LIST</v>
      </c>
      <c r="D82" s="35" t="s">
        <v>89</v>
      </c>
      <c r="E82" s="191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LIDER!E4</f>
        <v>COMUNICACION ORAL Y ESCRITA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CONCATENATE(LIDER!E4," - ",LIDER!E6," - ",LIDER!E5)</f>
        <v>COMUNICACION ORAL Y ESCRITA - 2196 - YASMIN GOMEZ MORENO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4" t="str">
        <f>IF('S-ASIG-03'!D5="","",'S-ASIG-03'!D5)</f>
        <v>LIST</v>
      </c>
      <c r="D5" s="35" t="s">
        <v>89</v>
      </c>
      <c r="E5" s="191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IF('S-ASIG-03'!D9="","",'S-ASIG-03'!D9)</f>
        <v/>
      </c>
      <c r="D9" s="30" t="str">
        <f>IF(B9=0,"",IF(C9="",$E$6*LIDER!$H$19+F9*LIDER!$H$20+G9*LIDER!$H$21+H9*LIDER!$H$22+I9*LIDER!$H$23+J9*LIDER!$H$24+K9*LIDER!$H$25,"N"))</f>
        <v/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IF('S-ASIG-03'!D12="","",'S-ASIG-03'!D12)</f>
        <v>LIST</v>
      </c>
      <c r="D12" s="35" t="s">
        <v>89</v>
      </c>
      <c r="E12" s="191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IF('S-ASIG-03'!D16="","",'S-ASIG-03'!D16)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IF('S-ASIG-03'!D19="","",'S-ASIG-03'!D19)</f>
        <v>LIST</v>
      </c>
      <c r="D19" s="35" t="s">
        <v>89</v>
      </c>
      <c r="E19" s="191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IF('S-ASIG-03'!D26="","",'S-ASIG-03'!D26)</f>
        <v>LIST</v>
      </c>
      <c r="D26" s="35" t="s">
        <v>89</v>
      </c>
      <c r="E26" s="191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IF('S-ASIG-03'!D33="","",'S-ASIG-03'!D33)</f>
        <v>LIST</v>
      </c>
      <c r="D33" s="35" t="s">
        <v>89</v>
      </c>
      <c r="E33" s="191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IF('S-ASIG-03'!D40="","",'S-ASIG-03'!D40)</f>
        <v>LIST</v>
      </c>
      <c r="D40" s="35" t="s">
        <v>89</v>
      </c>
      <c r="E40" s="191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IF('S-ASIG-03'!D47="","",'S-ASIG-03'!D47)</f>
        <v>LIST</v>
      </c>
      <c r="D47" s="35" t="s">
        <v>89</v>
      </c>
      <c r="E47" s="191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IF('S-ASIG-03'!D54="","",'S-ASIG-03'!D54)</f>
        <v>LIST</v>
      </c>
      <c r="D54" s="35" t="s">
        <v>89</v>
      </c>
      <c r="E54" s="191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IF('S-ASIG-03'!D61="","",'S-ASIG-03'!D61)</f>
        <v>LIST</v>
      </c>
      <c r="D61" s="35" t="s">
        <v>89</v>
      </c>
      <c r="E61" s="191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IF('S-ASIG-03'!D68="","",'S-ASIG-03'!D68)</f>
        <v>LIST</v>
      </c>
      <c r="D68" s="35" t="s">
        <v>89</v>
      </c>
      <c r="E68" s="191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IF('S-ASIG-03'!D75="","",'S-ASIG-03'!D75)</f>
        <v>LIST</v>
      </c>
      <c r="D75" s="35" t="s">
        <v>89</v>
      </c>
      <c r="E75" s="191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IF('S-ASIG-03'!D82="","",'S-ASIG-03'!D82)</f>
        <v>LIST</v>
      </c>
      <c r="D82" s="35" t="s">
        <v>89</v>
      </c>
      <c r="E82" s="191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LIDER!F4</f>
        <v>PROYECTO DE VIDA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CONCATENATE(LIDER!F4," - ",LIDER!F6," - ",LIDER!F5)</f>
        <v>PROYECTO DE VIDA - 3248 - MARINA LLAMAS DURAN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4" t="str">
        <f>IF('S-ASIG-04'!D5="","",'S-ASIG-04'!D5)</f>
        <v>LIST</v>
      </c>
      <c r="D5" s="35" t="s">
        <v>89</v>
      </c>
      <c r="E5" s="191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IF('S-ASIG-04'!D9="","",'S-ASIG-04'!D9)</f>
        <v/>
      </c>
      <c r="D9" s="30" t="str">
        <f>IF(B9=0,"",IF(C9="",$E$6*LIDER!$H$19+F9*LIDER!$H$20+G9*LIDER!$H$21+H9*LIDER!$H$22+I9*LIDER!$H$23+J9*LIDER!$H$24+K9*LIDER!$H$25,"N"))</f>
        <v/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IF('S-ASIG-04'!D12="","",'S-ASIG-04'!D12)</f>
        <v>LIST</v>
      </c>
      <c r="D12" s="35" t="s">
        <v>89</v>
      </c>
      <c r="E12" s="191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IF('S-ASIG-04'!D16="","",'S-ASIG-04'!D16)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IF('S-ASIG-04'!D19="","",'S-ASIG-04'!D19)</f>
        <v>LIST</v>
      </c>
      <c r="D19" s="35" t="s">
        <v>89</v>
      </c>
      <c r="E19" s="191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IF('S-ASIG-04'!D26="","",'S-ASIG-04'!D26)</f>
        <v>LIST</v>
      </c>
      <c r="D26" s="35" t="s">
        <v>89</v>
      </c>
      <c r="E26" s="191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IF('S-ASIG-04'!D33="","",'S-ASIG-04'!D33)</f>
        <v>LIST</v>
      </c>
      <c r="D33" s="35" t="s">
        <v>89</v>
      </c>
      <c r="E33" s="191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IF('S-ASIG-04'!D40="","",'S-ASIG-04'!D40)</f>
        <v>LIST</v>
      </c>
      <c r="D40" s="35" t="s">
        <v>89</v>
      </c>
      <c r="E40" s="191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IF('S-ASIG-04'!D47="","",'S-ASIG-04'!D47)</f>
        <v>LIST</v>
      </c>
      <c r="D47" s="35" t="s">
        <v>89</v>
      </c>
      <c r="E47" s="191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IF('S-ASIG-04'!D54="","",'S-ASIG-04'!D54)</f>
        <v>LIST</v>
      </c>
      <c r="D54" s="35" t="s">
        <v>89</v>
      </c>
      <c r="E54" s="191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IF('S-ASIG-04'!D61="","",'S-ASIG-04'!D61)</f>
        <v>LIST</v>
      </c>
      <c r="D61" s="35" t="s">
        <v>89</v>
      </c>
      <c r="E61" s="191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IF('S-ASIG-04'!D68="","",'S-ASIG-04'!D68)</f>
        <v>LIST</v>
      </c>
      <c r="D68" s="35" t="s">
        <v>89</v>
      </c>
      <c r="E68" s="191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IF('S-ASIG-04'!D75="","",'S-ASIG-04'!D75)</f>
        <v>LIST</v>
      </c>
      <c r="D75" s="35" t="s">
        <v>89</v>
      </c>
      <c r="E75" s="191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IF('S-ASIG-04'!D82="","",'S-ASIG-04'!D82)</f>
        <v>LIST</v>
      </c>
      <c r="D82" s="35" t="s">
        <v>89</v>
      </c>
      <c r="E82" s="191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LIDER!G4</f>
        <v>CONTABILIDAD GENERAL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CONCATENATE(LIDER!G4," - ",LIDER!G6," - ",LIDER!G5)</f>
        <v>CONTABILIDAD GENERAL - 1401 - ANTONIO CARLOS CANTILLO BELTRAN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4" t="str">
        <f>IF('S-ASIG-05'!D5="","",'S-ASIG-05'!D5)</f>
        <v>LIST</v>
      </c>
      <c r="D5" s="35" t="s">
        <v>89</v>
      </c>
      <c r="E5" s="191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IF('S-ASIG-05'!D9="","",'S-ASIG-05'!D9)</f>
        <v/>
      </c>
      <c r="D9" s="30" t="str">
        <f>IF(B9=0,"",IF(C9="",$E$6*LIDER!$H$19+F9*LIDER!$H$20+G9*LIDER!$H$21+H9*LIDER!$H$22+I9*LIDER!$H$23+J9*LIDER!$H$24+K9*LIDER!$H$25,"N"))</f>
        <v/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IF('S-ASIG-05'!D12="","",'S-ASIG-05'!D12)</f>
        <v>LIST</v>
      </c>
      <c r="D12" s="35" t="s">
        <v>89</v>
      </c>
      <c r="E12" s="191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IF('S-ASIG-05'!D16="","",'S-ASIG-05'!D16)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IF('S-ASIG-05'!D19="","",'S-ASIG-05'!D19)</f>
        <v>LIST</v>
      </c>
      <c r="D19" s="35" t="s">
        <v>89</v>
      </c>
      <c r="E19" s="191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IF('S-ASIG-05'!D26="","",'S-ASIG-05'!D26)</f>
        <v>LIST</v>
      </c>
      <c r="D26" s="35" t="s">
        <v>89</v>
      </c>
      <c r="E26" s="191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IF('S-ASIG-05'!D33="","",'S-ASIG-05'!D33)</f>
        <v>LIST</v>
      </c>
      <c r="D33" s="35" t="s">
        <v>89</v>
      </c>
      <c r="E33" s="191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IF('S-ASIG-05'!D40="","",'S-ASIG-05'!D40)</f>
        <v>LIST</v>
      </c>
      <c r="D40" s="35" t="s">
        <v>89</v>
      </c>
      <c r="E40" s="191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IF('S-ASIG-05'!D47="","",'S-ASIG-05'!D47)</f>
        <v>LIST</v>
      </c>
      <c r="D47" s="35" t="s">
        <v>89</v>
      </c>
      <c r="E47" s="191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IF('S-ASIG-05'!D54="","",'S-ASIG-05'!D54)</f>
        <v>LIST</v>
      </c>
      <c r="D54" s="35" t="s">
        <v>89</v>
      </c>
      <c r="E54" s="191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IF('S-ASIG-05'!D61="","",'S-ASIG-05'!D61)</f>
        <v>LIST</v>
      </c>
      <c r="D61" s="35" t="s">
        <v>89</v>
      </c>
      <c r="E61" s="191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IF('S-ASIG-05'!D68="","",'S-ASIG-05'!D68)</f>
        <v>LIST</v>
      </c>
      <c r="D68" s="35" t="s">
        <v>89</v>
      </c>
      <c r="E68" s="191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IF('S-ASIG-05'!D75="","",'S-ASIG-05'!D75)</f>
        <v>LIST</v>
      </c>
      <c r="D75" s="35" t="s">
        <v>89</v>
      </c>
      <c r="E75" s="191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IF('S-ASIG-05'!D82="","",'S-ASIG-05'!D82)</f>
        <v>LIST</v>
      </c>
      <c r="D82" s="35" t="s">
        <v>89</v>
      </c>
      <c r="E82" s="191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80" zoomScaleNormal="80" workbookViewId="0">
      <pane xSplit="4" ySplit="3" topLeftCell="E33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LIDER!H4</f>
        <v>FUNDAMENTOS DE DERECHO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CONCATENATE(LIDER!H4," - ",LIDER!H6," - ",LIDER!H5)</f>
        <v>FUNDAMENTOS DE DERECHO - 3243 - MELISSA LOPEZ ROMERO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4" t="str">
        <f>IF('S-ASIG-06'!D5="","",'S-ASIG-06'!D5)</f>
        <v>LIST</v>
      </c>
      <c r="D5" s="35" t="s">
        <v>89</v>
      </c>
      <c r="E5" s="191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IF('S-ASIG-06'!D9="","",'S-ASIG-06'!D9)</f>
        <v/>
      </c>
      <c r="D9" s="30" t="str">
        <f>IF(B9=0,"",IF(C9="",$E$6*LIDER!$H$19+F9*LIDER!$H$20+G9*LIDER!$H$21+H9*LIDER!$H$22+I9*LIDER!$H$23+J9*LIDER!$H$24+K9*LIDER!$H$25,"N"))</f>
        <v/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IF('S-ASIG-06'!D12="","",'S-ASIG-06'!D12)</f>
        <v>LIST</v>
      </c>
      <c r="D12" s="35" t="s">
        <v>89</v>
      </c>
      <c r="E12" s="191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IF('S-ASIG-06'!D16="","",'S-ASIG-06'!D16)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IF('S-ASIG-06'!D19="","",'S-ASIG-06'!D19)</f>
        <v>LIST</v>
      </c>
      <c r="D19" s="35" t="s">
        <v>89</v>
      </c>
      <c r="E19" s="191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IF('S-ASIG-06'!D26="","",'S-ASIG-06'!D26)</f>
        <v>LIST</v>
      </c>
      <c r="D26" s="35" t="s">
        <v>89</v>
      </c>
      <c r="E26" s="191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IF('S-ASIG-06'!D33="","",'S-ASIG-06'!D33)</f>
        <v>LIST</v>
      </c>
      <c r="D33" s="35" t="s">
        <v>89</v>
      </c>
      <c r="E33" s="191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IF('S-ASIG-06'!D40="","",'S-ASIG-06'!D40)</f>
        <v>LIST</v>
      </c>
      <c r="D40" s="35" t="s">
        <v>89</v>
      </c>
      <c r="E40" s="191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IF('S-ASIG-06'!D47="","",'S-ASIG-06'!D47)</f>
        <v>LIST</v>
      </c>
      <c r="D47" s="35" t="s">
        <v>89</v>
      </c>
      <c r="E47" s="191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IF('S-ASIG-06'!D54="","",'S-ASIG-06'!D54)</f>
        <v>LIST</v>
      </c>
      <c r="D54" s="35" t="s">
        <v>89</v>
      </c>
      <c r="E54" s="191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IF('S-ASIG-06'!D61="","",'S-ASIG-06'!D61)</f>
        <v>LIST</v>
      </c>
      <c r="D61" s="35" t="s">
        <v>89</v>
      </c>
      <c r="E61" s="191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IF('S-ASIG-06'!D68="","",'S-ASIG-06'!D68)</f>
        <v>LIST</v>
      </c>
      <c r="D68" s="35" t="s">
        <v>89</v>
      </c>
      <c r="E68" s="191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IF('S-ASIG-06'!D75="","",'S-ASIG-06'!D75)</f>
        <v>LIST</v>
      </c>
      <c r="D75" s="35" t="s">
        <v>89</v>
      </c>
      <c r="E75" s="191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IF('S-ASIG-06'!D82="","",'S-ASIG-06'!D82)</f>
        <v>LIST</v>
      </c>
      <c r="D82" s="35" t="s">
        <v>89</v>
      </c>
      <c r="E82" s="191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4" t="str">
        <f>LIDER!B2</f>
        <v>TECNOLOGÍA EN GESTIÓN DE NEGOCIOS INTERN</v>
      </c>
      <c r="B1" s="195"/>
      <c r="C1" s="195"/>
      <c r="D1" s="195"/>
      <c r="E1" s="195"/>
      <c r="F1" s="195"/>
      <c r="G1" s="196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LIDER!I4</f>
        <v>FUNDAMENTOS ADMINISTRACIÓN</v>
      </c>
      <c r="C2" s="3"/>
      <c r="E2" s="203" t="s">
        <v>85</v>
      </c>
      <c r="F2" s="204"/>
      <c r="G2" s="204"/>
      <c r="H2" s="204"/>
      <c r="I2" s="204"/>
      <c r="J2" s="204"/>
      <c r="K2" s="205"/>
    </row>
    <row r="3" spans="1:11" s="2" customFormat="1" ht="145.5" customHeight="1" thickBot="1">
      <c r="B3" s="4" t="s">
        <v>86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8" t="str">
        <f>CONCATENATE(LIDER!I4," - ",LIDER!I6," - ",LIDER!I5)</f>
        <v>FUNDAMENTOS ADMINISTRACIÓN - 1313 - AMALIO SEGUNDO OTERO TAPIA</v>
      </c>
      <c r="F4" s="209"/>
      <c r="G4" s="209"/>
      <c r="H4" s="209"/>
      <c r="I4" s="209"/>
      <c r="J4" s="209"/>
      <c r="K4" s="210"/>
    </row>
    <row r="5" spans="1:11" s="2" customFormat="1" ht="15.75" customHeight="1" thickBot="1">
      <c r="A5" s="8"/>
      <c r="B5" s="27" t="s">
        <v>72</v>
      </c>
      <c r="C5" s="34" t="str">
        <f>IF('S-ASIG-07'!D5="","",'S-ASIG-07'!D5)</f>
        <v>LIST</v>
      </c>
      <c r="D5" s="35" t="s">
        <v>89</v>
      </c>
      <c r="E5" s="191" t="str">
        <f>LIDER!$E$29</f>
        <v>GRUPO#1</v>
      </c>
      <c r="F5" s="191"/>
      <c r="G5" s="191"/>
      <c r="H5" s="191"/>
      <c r="I5" s="191"/>
      <c r="J5" s="191"/>
      <c r="K5" s="191"/>
    </row>
    <row r="6" spans="1:11" s="2" customFormat="1" ht="12.75">
      <c r="A6" s="9">
        <v>1</v>
      </c>
      <c r="B6" s="28" t="str">
        <f>LIDER!E43</f>
        <v>JULIANA SOFIA CARCAMO BLANCO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8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NATHALY SOFIA SEGOVIA ALVAREZ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8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CARLOS ANDRES VERBEL MEDRANO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8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>
        <f>LIDER!E46</f>
        <v>0</v>
      </c>
      <c r="C9" s="33" t="str">
        <f>IF('S-ASIG-07'!D9="","",'S-ASIG-07'!D9)</f>
        <v/>
      </c>
      <c r="D9" s="30" t="str">
        <f>IF(B9=0,"",IF(C9="",$E$6*LIDER!$H$19+F9*LIDER!$H$20+G9*LIDER!$H$21+H9*LIDER!$H$22+I9*LIDER!$H$23+J9*LIDER!$H$24+K9*LIDER!$H$25,"N"))</f>
        <v/>
      </c>
      <c r="E9" s="18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8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8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74</v>
      </c>
      <c r="C12" s="32" t="str">
        <f>IF('S-ASIG-07'!D12="","",'S-ASIG-07'!D12)</f>
        <v>LIST</v>
      </c>
      <c r="D12" s="35" t="s">
        <v>89</v>
      </c>
      <c r="E12" s="191" t="str">
        <f>LIDER!$E$30</f>
        <v>GRUPO#2</v>
      </c>
      <c r="F12" s="191"/>
      <c r="G12" s="191"/>
      <c r="H12" s="191"/>
      <c r="I12" s="191"/>
      <c r="J12" s="191"/>
      <c r="K12" s="191"/>
    </row>
    <row r="13" spans="1:11" s="2" customFormat="1" ht="12.75">
      <c r="A13" s="9">
        <v>1</v>
      </c>
      <c r="B13" s="28" t="str">
        <f>LIDER!F43</f>
        <v>VALERIA MEZA RODRIGUEZ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8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GINA LISSETH RAMIREZ SOTO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8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ANGGELA LUCIA UPARELA RAMIREZ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8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>
        <f>LIDER!F46</f>
        <v>0</v>
      </c>
      <c r="C16" s="33" t="str">
        <f>IF('S-ASIG-07'!D16="","",'S-ASIG-07'!D16)</f>
        <v/>
      </c>
      <c r="D16" s="30" t="str">
        <f>IF(B16=0,"",IF(C16="",$E$13*LIDER!$H$19+F16*LIDER!$H$20+G16*LIDER!$H$21+H16*LIDER!$H$22+I16*LIDER!$H$23+J16*LIDER!$H$24+K16*LIDER!$H$25,"N"))</f>
        <v/>
      </c>
      <c r="E16" s="18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8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8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75</v>
      </c>
      <c r="C19" s="32" t="str">
        <f>IF('S-ASIG-07'!D19="","",'S-ASIG-07'!D19)</f>
        <v>LIST</v>
      </c>
      <c r="D19" s="35" t="s">
        <v>89</v>
      </c>
      <c r="E19" s="191" t="str">
        <f>LIDER!$E$31</f>
        <v>GRUPO#3</v>
      </c>
      <c r="F19" s="191"/>
      <c r="G19" s="191"/>
      <c r="H19" s="191"/>
      <c r="I19" s="191"/>
      <c r="J19" s="191"/>
      <c r="K19" s="191"/>
    </row>
    <row r="20" spans="1:11" s="2" customFormat="1" ht="12.75">
      <c r="A20" s="9">
        <v>1</v>
      </c>
      <c r="B20" s="28" t="str">
        <f>LIDER!G43</f>
        <v>YILBER YESID ANGULO ORTEGA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8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LINDA SOFIA CANTILLO YANGUEZ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8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DAVID SAM SILVA HERNANDEZ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8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HANNA SOFIA ROSALES RODRIGUEZ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8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8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8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76</v>
      </c>
      <c r="C26" s="32" t="str">
        <f>IF('S-ASIG-07'!D26="","",'S-ASIG-07'!D26)</f>
        <v>LIST</v>
      </c>
      <c r="D26" s="35" t="s">
        <v>89</v>
      </c>
      <c r="E26" s="191" t="str">
        <f>LIDER!$E$32</f>
        <v>GRUPO#4</v>
      </c>
      <c r="F26" s="191"/>
      <c r="G26" s="191"/>
      <c r="H26" s="191"/>
      <c r="I26" s="191"/>
      <c r="J26" s="191"/>
      <c r="K26" s="191"/>
    </row>
    <row r="27" spans="1:11" s="2" customFormat="1" ht="12.75">
      <c r="A27" s="9">
        <v>1</v>
      </c>
      <c r="B27" s="28" t="str">
        <f>LIDER!H43</f>
        <v>ADRIAN CAMILO ANGULO LAGARES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8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JEISON SAMUEL BELTRAN PEREZ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8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CAROLINA BUELVAS GUARDO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8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DEL CARMEN NOEL GARCIA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8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ANDRY JOSE RUBIO CABEZA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8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8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77</v>
      </c>
      <c r="C33" s="32" t="str">
        <f>IF('S-ASIG-07'!D33="","",'S-ASIG-07'!D33)</f>
        <v>LIST</v>
      </c>
      <c r="D33" s="35" t="s">
        <v>89</v>
      </c>
      <c r="E33" s="191" t="str">
        <f>LIDER!$E$33</f>
        <v>GRUPO#5</v>
      </c>
      <c r="F33" s="191"/>
      <c r="G33" s="191"/>
      <c r="H33" s="191"/>
      <c r="I33" s="191"/>
      <c r="J33" s="191"/>
      <c r="K33" s="191"/>
    </row>
    <row r="34" spans="1:11" s="2" customFormat="1" ht="12.75">
      <c r="A34" s="9">
        <v>1</v>
      </c>
      <c r="B34" s="28" t="str">
        <f>LIDER!E51</f>
        <v>DANETH MICHELL AGAMEZ VIVANCO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8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YULEIMIS ALEXANDRA BARÓN SILVA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8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MARIA CARIDAD CASTILLA OROZCO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8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ANDRES CAMILO PAEZ DE LA HOZ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8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8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8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78</v>
      </c>
      <c r="C40" s="32" t="str">
        <f>IF('S-ASIG-07'!D40="","",'S-ASIG-07'!D40)</f>
        <v>LIST</v>
      </c>
      <c r="D40" s="35" t="s">
        <v>89</v>
      </c>
      <c r="E40" s="191" t="str">
        <f>LIDER!$E$34</f>
        <v>GRUPO#6</v>
      </c>
      <c r="F40" s="191"/>
      <c r="G40" s="191"/>
      <c r="H40" s="191"/>
      <c r="I40" s="191"/>
      <c r="J40" s="191"/>
      <c r="K40" s="191"/>
    </row>
    <row r="41" spans="1:11" s="2" customFormat="1" ht="12.75">
      <c r="A41" s="9">
        <v>1</v>
      </c>
      <c r="B41" s="28" t="str">
        <f>LIDER!F51</f>
        <v>KATTY JULIETH BUSTOS MACEA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8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LILIANA PATRICIA PUELLO OROZCO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8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SEBASTIAN ANDRES RAMOS GALLEGO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8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8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8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8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79</v>
      </c>
      <c r="C47" s="32" t="str">
        <f>IF('S-ASIG-07'!D47="","",'S-ASIG-07'!D47)</f>
        <v>LIST</v>
      </c>
      <c r="D47" s="35" t="s">
        <v>89</v>
      </c>
      <c r="E47" s="191" t="str">
        <f>LIDER!$E$35</f>
        <v>GRUPO#7</v>
      </c>
      <c r="F47" s="191"/>
      <c r="G47" s="191"/>
      <c r="H47" s="191"/>
      <c r="I47" s="191"/>
      <c r="J47" s="191"/>
      <c r="K47" s="191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8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8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8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8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8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8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80</v>
      </c>
      <c r="C54" s="32" t="str">
        <f>IF('S-ASIG-07'!D54="","",'S-ASIG-07'!D54)</f>
        <v>LIST</v>
      </c>
      <c r="D54" s="35" t="s">
        <v>89</v>
      </c>
      <c r="E54" s="191" t="str">
        <f>LIDER!$E$36</f>
        <v>GRUPO#8</v>
      </c>
      <c r="F54" s="191"/>
      <c r="G54" s="191"/>
      <c r="H54" s="191"/>
      <c r="I54" s="191"/>
      <c r="J54" s="191"/>
      <c r="K54" s="191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8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8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8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8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8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8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81</v>
      </c>
      <c r="C61" s="32" t="str">
        <f>IF('S-ASIG-07'!D61="","",'S-ASIG-07'!D61)</f>
        <v>LIST</v>
      </c>
      <c r="D61" s="35" t="s">
        <v>89</v>
      </c>
      <c r="E61" s="191" t="str">
        <f>LIDER!$E$37</f>
        <v>GRUPO#9</v>
      </c>
      <c r="F61" s="191"/>
      <c r="G61" s="191"/>
      <c r="H61" s="191"/>
      <c r="I61" s="191"/>
      <c r="J61" s="191"/>
      <c r="K61" s="191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8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8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8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8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8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8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82</v>
      </c>
      <c r="C68" s="32" t="str">
        <f>IF('S-ASIG-07'!D68="","",'S-ASIG-07'!D68)</f>
        <v>LIST</v>
      </c>
      <c r="D68" s="35" t="s">
        <v>89</v>
      </c>
      <c r="E68" s="191" t="str">
        <f>LIDER!$E$38</f>
        <v>GRUPO#10</v>
      </c>
      <c r="F68" s="191"/>
      <c r="G68" s="191"/>
      <c r="H68" s="191"/>
      <c r="I68" s="191"/>
      <c r="J68" s="191"/>
      <c r="K68" s="191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8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8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8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8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8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8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83</v>
      </c>
      <c r="C75" s="32" t="str">
        <f>IF('S-ASIG-07'!D75="","",'S-ASIG-07'!D75)</f>
        <v>LIST</v>
      </c>
      <c r="D75" s="35" t="s">
        <v>89</v>
      </c>
      <c r="E75" s="191" t="str">
        <f>LIDER!$E$39</f>
        <v>GRUPO#11</v>
      </c>
      <c r="F75" s="191"/>
      <c r="G75" s="191"/>
      <c r="H75" s="191"/>
      <c r="I75" s="191"/>
      <c r="J75" s="191"/>
      <c r="K75" s="191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8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8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8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8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8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8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84</v>
      </c>
      <c r="C82" s="32" t="str">
        <f>IF('S-ASIG-07'!D82="","",'S-ASIG-07'!D82)</f>
        <v>LIST</v>
      </c>
      <c r="D82" s="35" t="s">
        <v>89</v>
      </c>
      <c r="E82" s="191" t="str">
        <f>LIDER!$E$40</f>
        <v>GRUPO#12</v>
      </c>
      <c r="F82" s="191"/>
      <c r="G82" s="191"/>
      <c r="H82" s="191"/>
      <c r="I82" s="191"/>
      <c r="J82" s="191"/>
      <c r="K82" s="191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8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8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8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8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8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0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8" width="12.140625" style="47" customWidth="1"/>
    <col min="9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5" t="str">
        <f>LIDER!B2</f>
        <v>TECNOLOGÍA EN GESTIÓN DE NEGOCIOS INTERN</v>
      </c>
      <c r="H1" s="215"/>
      <c r="I1" s="215"/>
      <c r="J1" s="215"/>
      <c r="K1" s="215"/>
      <c r="L1" s="215"/>
      <c r="M1" s="215"/>
      <c r="N1" s="214" t="str">
        <f>LIDER!E2</f>
        <v>SEMESTRE:</v>
      </c>
      <c r="O1" s="214"/>
      <c r="P1" s="44" t="str">
        <f>LIDER!F2</f>
        <v>SEM-01</v>
      </c>
      <c r="Q1" s="43" t="str">
        <f>LIDER!G2</f>
        <v>SECCIÓN:</v>
      </c>
      <c r="R1" s="44">
        <f>LIDER!H2</f>
        <v>5</v>
      </c>
      <c r="S1" s="42"/>
      <c r="T1" s="42"/>
      <c r="U1" s="45"/>
    </row>
    <row r="2" spans="1:22" ht="20.100000000000001" customHeight="1" thickBot="1">
      <c r="G2" s="211" t="s">
        <v>102</v>
      </c>
      <c r="H2" s="212"/>
      <c r="I2" s="212"/>
      <c r="J2" s="212"/>
      <c r="K2" s="212"/>
      <c r="L2" s="212"/>
      <c r="M2" s="213"/>
      <c r="N2" s="2"/>
      <c r="O2" s="216" t="s">
        <v>103</v>
      </c>
      <c r="P2" s="217"/>
      <c r="Q2" s="217"/>
      <c r="R2" s="217"/>
      <c r="S2" s="217"/>
      <c r="T2" s="217"/>
      <c r="U2" s="218"/>
    </row>
    <row r="3" spans="1:22" ht="20.100000000000001" customHeight="1" thickBot="1">
      <c r="G3" s="48" t="str">
        <f>CONCATENATE("N° : ",LIDER!C6)</f>
        <v>N° : 2157</v>
      </c>
      <c r="H3" s="49" t="str">
        <f>CONCATENATE("N° : ",LIDER!D6)</f>
        <v>N° : 2172</v>
      </c>
      <c r="I3" s="49" t="str">
        <f>CONCATENATE("N° : ",LIDER!E6)</f>
        <v>N° : 2196</v>
      </c>
      <c r="J3" s="49" t="str">
        <f>CONCATENATE("N° : ",LIDER!F6)</f>
        <v>N° : 3248</v>
      </c>
      <c r="K3" s="49" t="str">
        <f>CONCATENATE("N° : ",LIDER!G6)</f>
        <v>N° : 1401</v>
      </c>
      <c r="L3" s="49" t="str">
        <f>CONCATENATE("N° : ",LIDER!H6)</f>
        <v>N° : 3243</v>
      </c>
      <c r="M3" s="50" t="str">
        <f>CONCATENATE("N° : ",LIDER!I6)</f>
        <v>N° : 1313</v>
      </c>
      <c r="O3" s="48" t="str">
        <f>G3</f>
        <v>N° : 2157</v>
      </c>
      <c r="P3" s="49" t="str">
        <f t="shared" ref="P3:U3" si="0">H3</f>
        <v>N° : 2172</v>
      </c>
      <c r="Q3" s="49" t="str">
        <f t="shared" si="0"/>
        <v>N° : 2196</v>
      </c>
      <c r="R3" s="49" t="str">
        <f t="shared" si="0"/>
        <v>N° : 3248</v>
      </c>
      <c r="S3" s="49" t="str">
        <f t="shared" si="0"/>
        <v>N° : 1401</v>
      </c>
      <c r="T3" s="49" t="str">
        <f t="shared" si="0"/>
        <v>N° : 3243</v>
      </c>
      <c r="U3" s="50" t="str">
        <f t="shared" si="0"/>
        <v>N° : 1313</v>
      </c>
    </row>
    <row r="4" spans="1:22" ht="30" customHeight="1" thickBot="1">
      <c r="A4" s="51"/>
      <c r="B4" s="52" t="s">
        <v>25</v>
      </c>
      <c r="C4" s="53" t="s">
        <v>104</v>
      </c>
      <c r="D4" s="54" t="s">
        <v>105</v>
      </c>
      <c r="E4" s="55" t="s">
        <v>106</v>
      </c>
      <c r="G4" s="56" t="str">
        <f>MID(LIDER!C4,1,9)</f>
        <v>MATEMATIC</v>
      </c>
      <c r="H4" s="57" t="str">
        <f>MID(LIDER!D4,1,9)</f>
        <v>CULTURA Y</v>
      </c>
      <c r="I4" s="57" t="str">
        <f>MID(LIDER!E4,1,9)</f>
        <v>COMUNICAC</v>
      </c>
      <c r="J4" s="57" t="str">
        <f>MID(LIDER!F4,1,9)</f>
        <v xml:space="preserve">PROYECTO </v>
      </c>
      <c r="K4" s="57" t="str">
        <f>MID(LIDER!G4,1,9)</f>
        <v>CONTABILI</v>
      </c>
      <c r="L4" s="57" t="str">
        <f>MID(LIDER!H4,1,9)</f>
        <v>FUNDAMENT</v>
      </c>
      <c r="M4" s="58" t="str">
        <f>MID(LIDER!I4,1,9)</f>
        <v>FUNDAMENT</v>
      </c>
      <c r="N4" s="59" t="s">
        <v>107</v>
      </c>
      <c r="O4" s="60" t="str">
        <f t="shared" ref="O4:U4" si="1">G4</f>
        <v>MATEMATIC</v>
      </c>
      <c r="P4" s="61" t="str">
        <f t="shared" si="1"/>
        <v>CULTURA Y</v>
      </c>
      <c r="Q4" s="61" t="str">
        <f t="shared" si="1"/>
        <v>COMUNICAC</v>
      </c>
      <c r="R4" s="61" t="str">
        <f t="shared" si="1"/>
        <v xml:space="preserve">PROYECTO </v>
      </c>
      <c r="S4" s="61" t="str">
        <f t="shared" si="1"/>
        <v>CONTABILI</v>
      </c>
      <c r="T4" s="61" t="str">
        <f t="shared" si="1"/>
        <v>FUNDAMENT</v>
      </c>
      <c r="U4" s="62" t="str">
        <f t="shared" si="1"/>
        <v>FUNDAMENT</v>
      </c>
      <c r="V4" s="59" t="s">
        <v>108</v>
      </c>
    </row>
    <row r="5" spans="1:22" ht="15" customHeight="1">
      <c r="A5" s="12">
        <v>1</v>
      </c>
      <c r="B5" s="63" t="str">
        <f>LIDER!C9</f>
        <v>JULIANA SOFIA CARCAMO BLANCO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4.1550000000000002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3.9999999999999996</v>
      </c>
      <c r="H5" s="65">
        <f>IF(B5=0,"",IFERROR(VLOOKUP(B5,'S-ASIG-02'!$B$5:$E$88,4,0),0))</f>
        <v>0</v>
      </c>
      <c r="I5" s="65">
        <f>IF(B5=0,"",IFERROR(VLOOKUP(B5,'S-ASIG-03'!$B$5:$E$88,4,0),0))</f>
        <v>4.0999999999999996</v>
      </c>
      <c r="J5" s="65">
        <f>IF(B5=0,"",IFERROR(VLOOKUP(B5,'S-ASIG-04'!$B$5:$E$88,4,0),0))</f>
        <v>4.22</v>
      </c>
      <c r="K5" s="65">
        <f>IF(B5=0,"",IFERROR(VLOOKUP(B5,'S-ASIG-05'!$B$5:$E$88,4,0),0))</f>
        <v>4.28</v>
      </c>
      <c r="L5" s="65">
        <f>IF(B5=0,"",IFERROR(VLOOKUP(B5,'S-ASIG-06'!$B$5:$E$88,4,0),0))</f>
        <v>4.0999999999999996</v>
      </c>
      <c r="M5" s="66">
        <f>IF(B5=0,"",IFERROR(VLOOKUP(B5,'S-ASIG-07'!$B$5:$E$88,4,0),0))</f>
        <v>4.2299999999999995</v>
      </c>
      <c r="N5" s="68" t="s">
        <v>109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110</v>
      </c>
    </row>
    <row r="6" spans="1:22" ht="15" customHeight="1">
      <c r="A6" s="12">
        <v>2</v>
      </c>
      <c r="B6" s="70" t="str">
        <f>LIDER!C10</f>
        <v>NATHALY SOFIA SEGOVIA ALVAREZ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4.1550000000000002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3.9999999999999996</v>
      </c>
      <c r="H6" s="72">
        <f>IF(B6=0,"",IFERROR(VLOOKUP(B6,'S-ASIG-02'!$B$5:$E$88,4,0),0))</f>
        <v>0</v>
      </c>
      <c r="I6" s="72">
        <f>IF(B6=0,"",IFERROR(VLOOKUP(B6,'S-ASIG-03'!$B$5:$E$88,4,0),0))</f>
        <v>4.0999999999999996</v>
      </c>
      <c r="J6" s="72">
        <f>IF(B6=0,"",IFERROR(VLOOKUP(B6,'S-ASIG-04'!$B$5:$E$88,4,0),0))</f>
        <v>4.22</v>
      </c>
      <c r="K6" s="72">
        <f>IF(B6=0,"",IFERROR(VLOOKUP(B6,'S-ASIG-05'!$B$5:$E$88,4,0),0))</f>
        <v>4.28</v>
      </c>
      <c r="L6" s="72">
        <f>IF(B6=0,"",IFERROR(VLOOKUP(B6,'S-ASIG-06'!$B$5:$E$88,4,0),0))</f>
        <v>4.0999999999999996</v>
      </c>
      <c r="M6" s="73">
        <f>IF(B6=0,"",IFERROR(VLOOKUP(B6,'S-ASIG-07'!$B$5:$E$88,4,0),0))</f>
        <v>4.2299999999999995</v>
      </c>
      <c r="N6" s="68" t="s">
        <v>109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110</v>
      </c>
    </row>
    <row r="7" spans="1:22" ht="15" customHeight="1">
      <c r="A7" s="12">
        <v>3</v>
      </c>
      <c r="B7" s="70" t="str">
        <f>LIDER!C11</f>
        <v>CARLOS ANDRES VERBEL MEDRANO</v>
      </c>
      <c r="C7" s="64" t="str">
        <f>IF(B7=0,"",IFERROR(VLOOKUP(B7,'S-ASIG-01'!$B$5:$E$88,2,0),0))</f>
        <v>G01</v>
      </c>
      <c r="D7" s="65">
        <f t="shared" si="2"/>
        <v>4.1550000000000002</v>
      </c>
      <c r="E7" s="66">
        <f t="shared" si="3"/>
        <v>0</v>
      </c>
      <c r="F7" s="47"/>
      <c r="G7" s="71">
        <f>IF(B7=0,"",IFERROR(VLOOKUP(B7,'S-ASIG-01'!$B$5:$E$88,4,0),0))</f>
        <v>3.9999999999999996</v>
      </c>
      <c r="H7" s="72">
        <f>IF(B7=0,"",IFERROR(VLOOKUP(B7,'S-ASIG-02'!$B$5:$E$88,4,0),0))</f>
        <v>0</v>
      </c>
      <c r="I7" s="72">
        <f>IF(B7=0,"",IFERROR(VLOOKUP(B7,'S-ASIG-03'!$B$5:$E$88,4,0),0))</f>
        <v>4.0999999999999996</v>
      </c>
      <c r="J7" s="72">
        <f>IF(B7=0,"",IFERROR(VLOOKUP(B7,'S-ASIG-04'!$B$5:$E$88,4,0),0))</f>
        <v>4.22</v>
      </c>
      <c r="K7" s="72">
        <f>IF(B7=0,"",IFERROR(VLOOKUP(B7,'S-ASIG-05'!$B$5:$E$88,4,0),0))</f>
        <v>4.28</v>
      </c>
      <c r="L7" s="72">
        <f>IF(B7=0,"",IFERROR(VLOOKUP(B7,'S-ASIG-06'!$B$5:$E$88,4,0),0))</f>
        <v>4.0999999999999996</v>
      </c>
      <c r="M7" s="73">
        <f>IF(B7=0,"",IFERROR(VLOOKUP(B7,'S-ASIG-07'!$B$5:$E$88,4,0),0))</f>
        <v>4.2299999999999995</v>
      </c>
      <c r="N7" s="68" t="s">
        <v>109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110</v>
      </c>
    </row>
    <row r="8" spans="1:22" ht="15" customHeight="1">
      <c r="A8" s="12">
        <v>4</v>
      </c>
      <c r="B8" s="70" t="str">
        <f>LIDER!C12</f>
        <v>VALERIA MEZA RODRIGUEZ</v>
      </c>
      <c r="C8" s="64" t="str">
        <f>IF(B8=0,"",IFERROR(VLOOKUP(B8,'S-ASIG-01'!$B$5:$E$88,2,0),0))</f>
        <v>G02</v>
      </c>
      <c r="D8" s="65">
        <f t="shared" si="2"/>
        <v>4.1766666666666667</v>
      </c>
      <c r="E8" s="66">
        <f t="shared" si="3"/>
        <v>0</v>
      </c>
      <c r="F8" s="47"/>
      <c r="G8" s="71">
        <f>IF(B8=0,"",IFERROR(VLOOKUP(B8,'S-ASIG-01'!$B$5:$E$88,4,0),0))</f>
        <v>4.0999999999999996</v>
      </c>
      <c r="H8" s="72">
        <f>IF(B8=0,"",IFERROR(VLOOKUP(B8,'S-ASIG-02'!$B$5:$E$88,4,0),0))</f>
        <v>0</v>
      </c>
      <c r="I8" s="72">
        <f>IF(B8=0,"",IFERROR(VLOOKUP(B8,'S-ASIG-03'!$B$5:$E$88,4,0),0))</f>
        <v>3.5500000000000003</v>
      </c>
      <c r="J8" s="72">
        <f>IF(B8=0,"",IFERROR(VLOOKUP(B8,'S-ASIG-04'!$B$5:$E$88,4,0),0))</f>
        <v>4.22</v>
      </c>
      <c r="K8" s="72">
        <f>IF(B8=0,"",IFERROR(VLOOKUP(B8,'S-ASIG-05'!$B$5:$E$88,4,0),0))</f>
        <v>5</v>
      </c>
      <c r="L8" s="72">
        <f>IF(B8=0,"",IFERROR(VLOOKUP(B8,'S-ASIG-06'!$B$5:$E$88,4,0),0))</f>
        <v>3.85</v>
      </c>
      <c r="M8" s="73">
        <f>IF(B8=0,"",IFERROR(VLOOKUP(B8,'S-ASIG-07'!$B$5:$E$88,4,0),0))</f>
        <v>4.34</v>
      </c>
      <c r="N8" s="68" t="s">
        <v>109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110</v>
      </c>
    </row>
    <row r="9" spans="1:22" ht="15" customHeight="1">
      <c r="A9" s="12">
        <v>5</v>
      </c>
      <c r="B9" s="70" t="str">
        <f>LIDER!C13</f>
        <v>GINA LISSETH RAMIREZ SOTO</v>
      </c>
      <c r="C9" s="64" t="str">
        <f>IF(B9=0,"",IFERROR(VLOOKUP(B9,'S-ASIG-01'!$B$5:$E$88,2,0),0))</f>
        <v>G02</v>
      </c>
      <c r="D9" s="65">
        <f t="shared" si="2"/>
        <v>4.1766666666666667</v>
      </c>
      <c r="E9" s="66">
        <f t="shared" si="3"/>
        <v>0</v>
      </c>
      <c r="F9" s="47"/>
      <c r="G9" s="71">
        <f>IF(B9=0,"",IFERROR(VLOOKUP(B9,'S-ASIG-01'!$B$5:$E$88,4,0),0))</f>
        <v>4.0999999999999996</v>
      </c>
      <c r="H9" s="72">
        <f>IF(B9=0,"",IFERROR(VLOOKUP(B9,'S-ASIG-02'!$B$5:$E$88,4,0),0))</f>
        <v>0</v>
      </c>
      <c r="I9" s="72">
        <f>IF(B9=0,"",IFERROR(VLOOKUP(B9,'S-ASIG-03'!$B$5:$E$88,4,0),0))</f>
        <v>3.5500000000000003</v>
      </c>
      <c r="J9" s="72">
        <f>IF(B9=0,"",IFERROR(VLOOKUP(B9,'S-ASIG-04'!$B$5:$E$88,4,0),0))</f>
        <v>4.22</v>
      </c>
      <c r="K9" s="72">
        <f>IF(B9=0,"",IFERROR(VLOOKUP(B9,'S-ASIG-05'!$B$5:$E$88,4,0),0))</f>
        <v>5</v>
      </c>
      <c r="L9" s="72">
        <f>IF(B9=0,"",IFERROR(VLOOKUP(B9,'S-ASIG-06'!$B$5:$E$88,4,0),0))</f>
        <v>3.85</v>
      </c>
      <c r="M9" s="73">
        <f>IF(B9=0,"",IFERROR(VLOOKUP(B9,'S-ASIG-07'!$B$5:$E$88,4,0),0))</f>
        <v>4.34</v>
      </c>
      <c r="N9" s="68" t="s">
        <v>109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110</v>
      </c>
    </row>
    <row r="10" spans="1:22" ht="15" customHeight="1">
      <c r="A10" s="12">
        <v>6</v>
      </c>
      <c r="B10" s="70" t="str">
        <f>LIDER!C14</f>
        <v>ANGGELA LUCIA UPARELA RAMIREZ</v>
      </c>
      <c r="C10" s="64" t="str">
        <f>IF(B10=0,"",IFERROR(VLOOKUP(B10,'S-ASIG-01'!$B$5:$E$88,2,0),0))</f>
        <v>G02</v>
      </c>
      <c r="D10" s="65">
        <f t="shared" si="2"/>
        <v>4.1766666666666667</v>
      </c>
      <c r="E10" s="66">
        <f t="shared" si="3"/>
        <v>0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0</v>
      </c>
      <c r="I10" s="72">
        <f>IF(B10=0,"",IFERROR(VLOOKUP(B10,'S-ASIG-03'!$B$5:$E$88,4,0),0))</f>
        <v>3.5500000000000003</v>
      </c>
      <c r="J10" s="72">
        <f>IF(B10=0,"",IFERROR(VLOOKUP(B10,'S-ASIG-04'!$B$5:$E$88,4,0),0))</f>
        <v>4.22</v>
      </c>
      <c r="K10" s="72">
        <f>IF(B10=0,"",IFERROR(VLOOKUP(B10,'S-ASIG-05'!$B$5:$E$88,4,0),0))</f>
        <v>5</v>
      </c>
      <c r="L10" s="72">
        <f>IF(B10=0,"",IFERROR(VLOOKUP(B10,'S-ASIG-06'!$B$5:$E$88,4,0),0))</f>
        <v>3.85</v>
      </c>
      <c r="M10" s="73">
        <f>IF(B10=0,"",IFERROR(VLOOKUP(B10,'S-ASIG-07'!$B$5:$E$88,4,0),0))</f>
        <v>4.34</v>
      </c>
      <c r="N10" s="68" t="s">
        <v>109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110</v>
      </c>
    </row>
    <row r="11" spans="1:22" ht="15" customHeight="1">
      <c r="A11" s="12">
        <v>7</v>
      </c>
      <c r="B11" s="70" t="str">
        <f>LIDER!C15</f>
        <v>YILBER YESID ANGULO ORTEGA</v>
      </c>
      <c r="C11" s="64" t="str">
        <f>IF(B11=0,"",IFERROR(VLOOKUP(B11,'S-ASIG-01'!$B$5:$E$88,2,0),0))</f>
        <v>G03</v>
      </c>
      <c r="D11" s="65">
        <f t="shared" si="2"/>
        <v>3.8633333333333333</v>
      </c>
      <c r="E11" s="66">
        <f t="shared" si="3"/>
        <v>0</v>
      </c>
      <c r="F11" s="47"/>
      <c r="G11" s="71">
        <f>IF(B11=0,"",IFERROR(VLOOKUP(B11,'S-ASIG-01'!$B$5:$E$88,4,0),0))</f>
        <v>3.7000000000000006</v>
      </c>
      <c r="H11" s="72">
        <f>IF(B11=0,"",IFERROR(VLOOKUP(B11,'S-ASIG-02'!$B$5:$E$88,4,0),0))</f>
        <v>0</v>
      </c>
      <c r="I11" s="72">
        <f>IF(B11=0,"",IFERROR(VLOOKUP(B11,'S-ASIG-03'!$B$5:$E$88,4,0),0))</f>
        <v>3.0500000000000003</v>
      </c>
      <c r="J11" s="72">
        <f>IF(B11=0,"",IFERROR(VLOOKUP(B11,'S-ASIG-04'!$B$5:$E$88,4,0),0))</f>
        <v>4.22</v>
      </c>
      <c r="K11" s="72">
        <f>IF(B11=0,"",IFERROR(VLOOKUP(B11,'S-ASIG-05'!$B$5:$E$88,4,0),0))</f>
        <v>4.0999999999999996</v>
      </c>
      <c r="L11" s="72">
        <f>IF(B11=0,"",IFERROR(VLOOKUP(B11,'S-ASIG-06'!$B$5:$E$88,4,0),0))</f>
        <v>4.0999999999999996</v>
      </c>
      <c r="M11" s="73">
        <f>IF(B11=0,"",IFERROR(VLOOKUP(B11,'S-ASIG-07'!$B$5:$E$88,4,0),0))</f>
        <v>4.01</v>
      </c>
      <c r="N11" s="68" t="s">
        <v>109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110</v>
      </c>
    </row>
    <row r="12" spans="1:22" ht="15" customHeight="1">
      <c r="A12" s="12">
        <v>8</v>
      </c>
      <c r="B12" s="70" t="str">
        <f>LIDER!C16</f>
        <v>LINDA SOFIA CANTILLO YANGUEZ</v>
      </c>
      <c r="C12" s="64" t="str">
        <f>IF(B12=0,"",IFERROR(VLOOKUP(B12,'S-ASIG-01'!$B$5:$E$88,2,0),0))</f>
        <v>G03</v>
      </c>
      <c r="D12" s="65">
        <f t="shared" si="2"/>
        <v>3.8633333333333333</v>
      </c>
      <c r="E12" s="66">
        <f t="shared" si="3"/>
        <v>0</v>
      </c>
      <c r="F12" s="47"/>
      <c r="G12" s="71">
        <f>IF(B12=0,"",IFERROR(VLOOKUP(B12,'S-ASIG-01'!$B$5:$E$88,4,0),0))</f>
        <v>3.7000000000000006</v>
      </c>
      <c r="H12" s="72">
        <f>IF(B12=0,"",IFERROR(VLOOKUP(B12,'S-ASIG-02'!$B$5:$E$88,4,0),0))</f>
        <v>0</v>
      </c>
      <c r="I12" s="72">
        <f>IF(B12=0,"",IFERROR(VLOOKUP(B12,'S-ASIG-03'!$B$5:$E$88,4,0),0))</f>
        <v>3.0500000000000003</v>
      </c>
      <c r="J12" s="72">
        <f>IF(B12=0,"",IFERROR(VLOOKUP(B12,'S-ASIG-04'!$B$5:$E$88,4,0),0))</f>
        <v>4.22</v>
      </c>
      <c r="K12" s="72">
        <f>IF(B12=0,"",IFERROR(VLOOKUP(B12,'S-ASIG-05'!$B$5:$E$88,4,0),0))</f>
        <v>4.0999999999999996</v>
      </c>
      <c r="L12" s="72">
        <f>IF(B12=0,"",IFERROR(VLOOKUP(B12,'S-ASIG-06'!$B$5:$E$88,4,0),0))</f>
        <v>4.0999999999999996</v>
      </c>
      <c r="M12" s="73">
        <f>IF(B12=0,"",IFERROR(VLOOKUP(B12,'S-ASIG-07'!$B$5:$E$88,4,0),0))</f>
        <v>4.01</v>
      </c>
      <c r="N12" s="68" t="s">
        <v>109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110</v>
      </c>
    </row>
    <row r="13" spans="1:22" ht="15" customHeight="1">
      <c r="A13" s="12">
        <v>9</v>
      </c>
      <c r="B13" s="70" t="str">
        <f>LIDER!C17</f>
        <v>DAVID SAM SILVA HERNANDEZ</v>
      </c>
      <c r="C13" s="64" t="str">
        <f>IF(B13=0,"",IFERROR(VLOOKUP(B13,'S-ASIG-01'!$B$5:$E$88,2,0),0))</f>
        <v>G03</v>
      </c>
      <c r="D13" s="65">
        <f t="shared" si="2"/>
        <v>3.8633333333333333</v>
      </c>
      <c r="E13" s="66">
        <f t="shared" si="3"/>
        <v>0</v>
      </c>
      <c r="F13" s="47"/>
      <c r="G13" s="71">
        <f>IF(B13=0,"",IFERROR(VLOOKUP(B13,'S-ASIG-01'!$B$5:$E$88,4,0),0))</f>
        <v>3.7000000000000006</v>
      </c>
      <c r="H13" s="72">
        <f>IF(B13=0,"",IFERROR(VLOOKUP(B13,'S-ASIG-02'!$B$5:$E$88,4,0),0))</f>
        <v>0</v>
      </c>
      <c r="I13" s="72">
        <f>IF(B13=0,"",IFERROR(VLOOKUP(B13,'S-ASIG-03'!$B$5:$E$88,4,0),0))</f>
        <v>3.0500000000000003</v>
      </c>
      <c r="J13" s="72">
        <f>IF(B13=0,"",IFERROR(VLOOKUP(B13,'S-ASIG-04'!$B$5:$E$88,4,0),0))</f>
        <v>4.22</v>
      </c>
      <c r="K13" s="72">
        <f>IF(B13=0,"",IFERROR(VLOOKUP(B13,'S-ASIG-05'!$B$5:$E$88,4,0),0))</f>
        <v>4.0999999999999996</v>
      </c>
      <c r="L13" s="72">
        <f>IF(B13=0,"",IFERROR(VLOOKUP(B13,'S-ASIG-06'!$B$5:$E$88,4,0),0))</f>
        <v>4.0999999999999996</v>
      </c>
      <c r="M13" s="73">
        <f>IF(B13=0,"",IFERROR(VLOOKUP(B13,'S-ASIG-07'!$B$5:$E$88,4,0),0))</f>
        <v>4.01</v>
      </c>
      <c r="N13" s="68" t="s">
        <v>109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110</v>
      </c>
    </row>
    <row r="14" spans="1:22" ht="15" customHeight="1">
      <c r="A14" s="12">
        <v>10</v>
      </c>
      <c r="B14" s="70" t="str">
        <f>LIDER!C18</f>
        <v>ADRIAN CAMILO ANGULO LAGARES</v>
      </c>
      <c r="C14" s="64" t="str">
        <f>IF(B14=0,"",IFERROR(VLOOKUP(B14,'S-ASIG-01'!$B$5:$E$88,2,0),0))</f>
        <v>G04</v>
      </c>
      <c r="D14" s="65">
        <f t="shared" si="2"/>
        <v>3.4749999999999996</v>
      </c>
      <c r="E14" s="66">
        <f t="shared" si="3"/>
        <v>0</v>
      </c>
      <c r="F14" s="47"/>
      <c r="G14" s="71">
        <f>IF(B14=0,"",IFERROR(VLOOKUP(B14,'S-ASIG-01'!$B$5:$E$88,4,0),0))</f>
        <v>3.5000000000000004</v>
      </c>
      <c r="H14" s="72">
        <f>IF(B14=0,"",IFERROR(VLOOKUP(B14,'S-ASIG-02'!$B$5:$E$88,4,0),0))</f>
        <v>0</v>
      </c>
      <c r="I14" s="72">
        <f>IF(B14=0,"",IFERROR(VLOOKUP(B14,'S-ASIG-03'!$B$5:$E$88,4,0),0))</f>
        <v>3</v>
      </c>
      <c r="J14" s="72">
        <f>IF(B14=0,"",IFERROR(VLOOKUP(B14,'S-ASIG-04'!$B$5:$E$88,4,0),0))</f>
        <v>4.5</v>
      </c>
      <c r="K14" s="72">
        <f>IF(B14=0,"",IFERROR(VLOOKUP(B14,'S-ASIG-05'!$B$5:$E$88,4,0),0))</f>
        <v>2.3000000000000003</v>
      </c>
      <c r="L14" s="72">
        <f>IF(B14=0,"",IFERROR(VLOOKUP(B14,'S-ASIG-06'!$B$5:$E$88,4,0),0))</f>
        <v>4.0999999999999996</v>
      </c>
      <c r="M14" s="73">
        <f>IF(B14=0,"",IFERROR(VLOOKUP(B14,'S-ASIG-07'!$B$5:$E$88,4,0),0))</f>
        <v>3.45</v>
      </c>
      <c r="N14" s="68" t="s">
        <v>109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110</v>
      </c>
    </row>
    <row r="15" spans="1:22" ht="15" customHeight="1">
      <c r="A15" s="12">
        <v>11</v>
      </c>
      <c r="B15" s="70" t="str">
        <f>LIDER!C19</f>
        <v>JEISON SAMUEL BELTRAN PEREZ</v>
      </c>
      <c r="C15" s="64" t="str">
        <f>IF(B15=0,"",IFERROR(VLOOKUP(B15,'S-ASIG-01'!$B$5:$E$88,2,0),0))</f>
        <v>G04</v>
      </c>
      <c r="D15" s="65">
        <f t="shared" si="2"/>
        <v>3.4749999999999996</v>
      </c>
      <c r="E15" s="66">
        <f t="shared" si="3"/>
        <v>0</v>
      </c>
      <c r="F15" s="47"/>
      <c r="G15" s="71">
        <f>IF(B15=0,"",IFERROR(VLOOKUP(B15,'S-ASIG-01'!$B$5:$E$88,4,0),0))</f>
        <v>3.5000000000000004</v>
      </c>
      <c r="H15" s="72">
        <f>IF(B15=0,"",IFERROR(VLOOKUP(B15,'S-ASIG-02'!$B$5:$E$88,4,0),0))</f>
        <v>0</v>
      </c>
      <c r="I15" s="72">
        <f>IF(B15=0,"",IFERROR(VLOOKUP(B15,'S-ASIG-03'!$B$5:$E$88,4,0),0))</f>
        <v>3</v>
      </c>
      <c r="J15" s="72">
        <f>IF(B15=0,"",IFERROR(VLOOKUP(B15,'S-ASIG-04'!$B$5:$E$88,4,0),0))</f>
        <v>4.5</v>
      </c>
      <c r="K15" s="72">
        <f>IF(B15=0,"",IFERROR(VLOOKUP(B15,'S-ASIG-05'!$B$5:$E$88,4,0),0))</f>
        <v>2.3000000000000003</v>
      </c>
      <c r="L15" s="72">
        <f>IF(B15=0,"",IFERROR(VLOOKUP(B15,'S-ASIG-06'!$B$5:$E$88,4,0),0))</f>
        <v>4.0999999999999996</v>
      </c>
      <c r="M15" s="73">
        <f>IF(B15=0,"",IFERROR(VLOOKUP(B15,'S-ASIG-07'!$B$5:$E$88,4,0),0))</f>
        <v>3.45</v>
      </c>
      <c r="N15" s="68" t="s">
        <v>109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110</v>
      </c>
    </row>
    <row r="16" spans="1:22" ht="15" customHeight="1">
      <c r="A16" s="12">
        <v>12</v>
      </c>
      <c r="B16" s="70" t="str">
        <f>LIDER!C20</f>
        <v>ANDREA CAROLINA BUELVAS GUARDO</v>
      </c>
      <c r="C16" s="64" t="str">
        <f>IF(B16=0,"",IFERROR(VLOOKUP(B16,'S-ASIG-01'!$B$5:$E$88,2,0),0))</f>
        <v>G04</v>
      </c>
      <c r="D16" s="65">
        <f t="shared" si="2"/>
        <v>3.4749999999999996</v>
      </c>
      <c r="E16" s="66">
        <f t="shared" si="3"/>
        <v>0</v>
      </c>
      <c r="F16" s="47"/>
      <c r="G16" s="71">
        <f>IF(B16=0,"",IFERROR(VLOOKUP(B16,'S-ASIG-01'!$B$5:$E$88,4,0),0))</f>
        <v>3.5000000000000004</v>
      </c>
      <c r="H16" s="72">
        <f>IF(B16=0,"",IFERROR(VLOOKUP(B16,'S-ASIG-02'!$B$5:$E$88,4,0),0))</f>
        <v>0</v>
      </c>
      <c r="I16" s="72">
        <f>IF(B16=0,"",IFERROR(VLOOKUP(B16,'S-ASIG-03'!$B$5:$E$88,4,0),0))</f>
        <v>3</v>
      </c>
      <c r="J16" s="72">
        <f>IF(B16=0,"",IFERROR(VLOOKUP(B16,'S-ASIG-04'!$B$5:$E$88,4,0),0))</f>
        <v>4.5</v>
      </c>
      <c r="K16" s="72">
        <f>IF(B16=0,"",IFERROR(VLOOKUP(B16,'S-ASIG-05'!$B$5:$E$88,4,0),0))</f>
        <v>2.3000000000000003</v>
      </c>
      <c r="L16" s="72">
        <f>IF(B16=0,"",IFERROR(VLOOKUP(B16,'S-ASIG-06'!$B$5:$E$88,4,0),0))</f>
        <v>4.0999999999999996</v>
      </c>
      <c r="M16" s="73">
        <f>IF(B16=0,"",IFERROR(VLOOKUP(B16,'S-ASIG-07'!$B$5:$E$88,4,0),0))</f>
        <v>3.45</v>
      </c>
      <c r="N16" s="68" t="s">
        <v>109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110</v>
      </c>
    </row>
    <row r="17" spans="1:22" ht="15" customHeight="1">
      <c r="A17" s="12">
        <v>13</v>
      </c>
      <c r="B17" s="70" t="str">
        <f>LIDER!C21</f>
        <v>MARIA DEL CARMEN NOEL GARCIA</v>
      </c>
      <c r="C17" s="64" t="str">
        <f>IF(B17=0,"",IFERROR(VLOOKUP(B17,'S-ASIG-01'!$B$5:$E$88,2,0),0))</f>
        <v>G04</v>
      </c>
      <c r="D17" s="65">
        <f t="shared" si="2"/>
        <v>3.4749999999999996</v>
      </c>
      <c r="E17" s="66">
        <f t="shared" si="3"/>
        <v>0</v>
      </c>
      <c r="F17" s="47"/>
      <c r="G17" s="71">
        <f>IF(B17=0,"",IFERROR(VLOOKUP(B17,'S-ASIG-01'!$B$5:$E$88,4,0),0))</f>
        <v>3.5000000000000004</v>
      </c>
      <c r="H17" s="72">
        <f>IF(B17=0,"",IFERROR(VLOOKUP(B17,'S-ASIG-02'!$B$5:$E$88,4,0),0))</f>
        <v>0</v>
      </c>
      <c r="I17" s="72">
        <f>IF(B17=0,"",IFERROR(VLOOKUP(B17,'S-ASIG-03'!$B$5:$E$88,4,0),0))</f>
        <v>3</v>
      </c>
      <c r="J17" s="72">
        <f>IF(B17=0,"",IFERROR(VLOOKUP(B17,'S-ASIG-04'!$B$5:$E$88,4,0),0))</f>
        <v>4.5</v>
      </c>
      <c r="K17" s="72">
        <f>IF(B17=0,"",IFERROR(VLOOKUP(B17,'S-ASIG-05'!$B$5:$E$88,4,0),0))</f>
        <v>2.3000000000000003</v>
      </c>
      <c r="L17" s="72">
        <f>IF(B17=0,"",IFERROR(VLOOKUP(B17,'S-ASIG-06'!$B$5:$E$88,4,0),0))</f>
        <v>4.0999999999999996</v>
      </c>
      <c r="M17" s="73">
        <f>IF(B17=0,"",IFERROR(VLOOKUP(B17,'S-ASIG-07'!$B$5:$E$88,4,0),0))</f>
        <v>3.45</v>
      </c>
      <c r="N17" s="68" t="s">
        <v>109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110</v>
      </c>
    </row>
    <row r="18" spans="1:22" ht="15" customHeight="1">
      <c r="A18" s="12">
        <v>14</v>
      </c>
      <c r="B18" s="70" t="str">
        <f>LIDER!C22</f>
        <v>ANDRY JOSE RUBIO CABEZA</v>
      </c>
      <c r="C18" s="64" t="str">
        <f>IF(B18=0,"",IFERROR(VLOOKUP(B18,'S-ASIG-01'!$B$5:$E$88,2,0),0))</f>
        <v>G04</v>
      </c>
      <c r="D18" s="65">
        <f t="shared" si="2"/>
        <v>3.4749999999999996</v>
      </c>
      <c r="E18" s="66">
        <f t="shared" si="3"/>
        <v>0</v>
      </c>
      <c r="F18" s="47"/>
      <c r="G18" s="71">
        <f>IF(B18=0,"",IFERROR(VLOOKUP(B18,'S-ASIG-01'!$B$5:$E$88,4,0),0))</f>
        <v>3.5000000000000004</v>
      </c>
      <c r="H18" s="72">
        <f>IF(B18=0,"",IFERROR(VLOOKUP(B18,'S-ASIG-02'!$B$5:$E$88,4,0),0))</f>
        <v>0</v>
      </c>
      <c r="I18" s="72">
        <f>IF(B18=0,"",IFERROR(VLOOKUP(B18,'S-ASIG-03'!$B$5:$E$88,4,0),0))</f>
        <v>3</v>
      </c>
      <c r="J18" s="72">
        <f>IF(B18=0,"",IFERROR(VLOOKUP(B18,'S-ASIG-04'!$B$5:$E$88,4,0),0))</f>
        <v>4.5</v>
      </c>
      <c r="K18" s="72">
        <f>IF(B18=0,"",IFERROR(VLOOKUP(B18,'S-ASIG-05'!$B$5:$E$88,4,0),0))</f>
        <v>2.3000000000000003</v>
      </c>
      <c r="L18" s="72">
        <f>IF(B18=0,"",IFERROR(VLOOKUP(B18,'S-ASIG-06'!$B$5:$E$88,4,0),0))</f>
        <v>4.0999999999999996</v>
      </c>
      <c r="M18" s="73">
        <f>IF(B18=0,"",IFERROR(VLOOKUP(B18,'S-ASIG-07'!$B$5:$E$88,4,0),0))</f>
        <v>3.45</v>
      </c>
      <c r="N18" s="68" t="s">
        <v>109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110</v>
      </c>
    </row>
    <row r="19" spans="1:22" ht="15" customHeight="1">
      <c r="A19" s="12">
        <v>15</v>
      </c>
      <c r="B19" s="70" t="str">
        <f>LIDER!C23</f>
        <v>DANETH MICHELL AGAMEZ VIVANCO</v>
      </c>
      <c r="C19" s="64" t="str">
        <f>IF(B19=0,"",IFERROR(VLOOKUP(B19,'S-ASIG-01'!$B$5:$E$88,2,0),0))</f>
        <v>G05</v>
      </c>
      <c r="D19" s="65">
        <f t="shared" si="2"/>
        <v>4.3540000000000001</v>
      </c>
      <c r="E19" s="66">
        <f t="shared" si="3"/>
        <v>0</v>
      </c>
      <c r="F19" s="47"/>
      <c r="G19" s="71">
        <f>IF(B19=0,"",IFERROR(VLOOKUP(B19,'S-ASIG-01'!$B$5:$E$88,4,0),0))</f>
        <v>4.3</v>
      </c>
      <c r="H19" s="72">
        <f>IF(B19=0,"",IFERROR(VLOOKUP(B19,'S-ASIG-02'!$B$5:$E$88,4,0),0))</f>
        <v>0</v>
      </c>
      <c r="I19" s="72">
        <f>IF(B19=0,"",IFERROR(VLOOKUP(B19,'S-ASIG-03'!$B$5:$E$88,4,0),0))</f>
        <v>3.9999999999999996</v>
      </c>
      <c r="J19" s="72">
        <f>IF(B19=0,"",IFERROR(VLOOKUP(B19,'S-ASIG-04'!$B$5:$E$88,4,0),0))</f>
        <v>0</v>
      </c>
      <c r="K19" s="72">
        <f>IF(B19=0,"",IFERROR(VLOOKUP(B19,'S-ASIG-05'!$B$5:$E$88,4,0),0))</f>
        <v>5</v>
      </c>
      <c r="L19" s="72">
        <f>IF(B19=0,"",IFERROR(VLOOKUP(B19,'S-ASIG-06'!$B$5:$E$88,4,0),0))</f>
        <v>4.0999999999999996</v>
      </c>
      <c r="M19" s="73">
        <f>IF(B19=0,"",IFERROR(VLOOKUP(B19,'S-ASIG-07'!$B$5:$E$88,4,0),0))</f>
        <v>4.37</v>
      </c>
      <c r="N19" s="68" t="s">
        <v>109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110</v>
      </c>
    </row>
    <row r="20" spans="1:22" ht="15" customHeight="1">
      <c r="A20" s="12">
        <v>16</v>
      </c>
      <c r="B20" s="70" t="str">
        <f>LIDER!C24</f>
        <v>YULEIMIS ALEXANDRA BARÓN SILVA</v>
      </c>
      <c r="C20" s="64" t="str">
        <f>IF(B20=0,"",IFERROR(VLOOKUP(B20,'S-ASIG-01'!$B$5:$E$88,2,0),0))</f>
        <v>G05</v>
      </c>
      <c r="D20" s="65">
        <f t="shared" si="2"/>
        <v>4.3540000000000001</v>
      </c>
      <c r="E20" s="66">
        <f t="shared" si="3"/>
        <v>0</v>
      </c>
      <c r="F20" s="47"/>
      <c r="G20" s="71">
        <f>IF(B20=0,"",IFERROR(VLOOKUP(B20,'S-ASIG-01'!$B$5:$E$88,4,0),0))</f>
        <v>4.3</v>
      </c>
      <c r="H20" s="72">
        <f>IF(B20=0,"",IFERROR(VLOOKUP(B20,'S-ASIG-02'!$B$5:$E$88,4,0),0))</f>
        <v>0</v>
      </c>
      <c r="I20" s="72">
        <f>IF(B20=0,"",IFERROR(VLOOKUP(B20,'S-ASIG-03'!$B$5:$E$88,4,0),0))</f>
        <v>3.9999999999999996</v>
      </c>
      <c r="J20" s="72">
        <f>IF(B20=0,"",IFERROR(VLOOKUP(B20,'S-ASIG-04'!$B$5:$E$88,4,0),0))</f>
        <v>0</v>
      </c>
      <c r="K20" s="72">
        <f>IF(B20=0,"",IFERROR(VLOOKUP(B20,'S-ASIG-05'!$B$5:$E$88,4,0),0))</f>
        <v>5</v>
      </c>
      <c r="L20" s="72">
        <f>IF(B20=0,"",IFERROR(VLOOKUP(B20,'S-ASIG-06'!$B$5:$E$88,4,0),0))</f>
        <v>4.0999999999999996</v>
      </c>
      <c r="M20" s="73">
        <f>IF(B20=0,"",IFERROR(VLOOKUP(B20,'S-ASIG-07'!$B$5:$E$88,4,0),0))</f>
        <v>4.37</v>
      </c>
      <c r="N20" s="68" t="s">
        <v>109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110</v>
      </c>
    </row>
    <row r="21" spans="1:22" ht="15" customHeight="1">
      <c r="A21" s="12">
        <v>17</v>
      </c>
      <c r="B21" s="70" t="str">
        <f>LIDER!C25</f>
        <v>MARIA CARIDAD CASTILLA OROZCO</v>
      </c>
      <c r="C21" s="64" t="str">
        <f>IF(B21=0,"",IFERROR(VLOOKUP(B21,'S-ASIG-01'!$B$5:$E$88,2,0),0))</f>
        <v>G05</v>
      </c>
      <c r="D21" s="65">
        <f t="shared" si="2"/>
        <v>4.3540000000000001</v>
      </c>
      <c r="E21" s="66">
        <f t="shared" si="3"/>
        <v>0</v>
      </c>
      <c r="F21" s="47"/>
      <c r="G21" s="71">
        <f>IF(B21=0,"",IFERROR(VLOOKUP(B21,'S-ASIG-01'!$B$5:$E$88,4,0),0))</f>
        <v>4.3</v>
      </c>
      <c r="H21" s="72">
        <f>IF(B21=0,"",IFERROR(VLOOKUP(B21,'S-ASIG-02'!$B$5:$E$88,4,0),0))</f>
        <v>0</v>
      </c>
      <c r="I21" s="72">
        <f>IF(B21=0,"",IFERROR(VLOOKUP(B21,'S-ASIG-03'!$B$5:$E$88,4,0),0))</f>
        <v>3.9999999999999996</v>
      </c>
      <c r="J21" s="72">
        <f>IF(B21=0,"",IFERROR(VLOOKUP(B21,'S-ASIG-04'!$B$5:$E$88,4,0),0))</f>
        <v>0</v>
      </c>
      <c r="K21" s="72">
        <f>IF(B21=0,"",IFERROR(VLOOKUP(B21,'S-ASIG-05'!$B$5:$E$88,4,0),0))</f>
        <v>5</v>
      </c>
      <c r="L21" s="72">
        <f>IF(B21=0,"",IFERROR(VLOOKUP(B21,'S-ASIG-06'!$B$5:$E$88,4,0),0))</f>
        <v>4.0999999999999996</v>
      </c>
      <c r="M21" s="73">
        <f>IF(B21=0,"",IFERROR(VLOOKUP(B21,'S-ASIG-07'!$B$5:$E$88,4,0),0))</f>
        <v>4.37</v>
      </c>
      <c r="N21" s="68" t="s">
        <v>109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110</v>
      </c>
    </row>
    <row r="22" spans="1:22" ht="15" customHeight="1">
      <c r="A22" s="12">
        <v>18</v>
      </c>
      <c r="B22" s="70" t="str">
        <f>LIDER!C26</f>
        <v>ANDRES CAMILO PAEZ DE LA HOZ</v>
      </c>
      <c r="C22" s="64" t="str">
        <f>IF(B22=0,"",IFERROR(VLOOKUP(B22,'S-ASIG-01'!$B$5:$E$88,2,0),0))</f>
        <v>G05</v>
      </c>
      <c r="D22" s="65">
        <f t="shared" si="2"/>
        <v>4.3540000000000001</v>
      </c>
      <c r="E22" s="66">
        <f t="shared" si="3"/>
        <v>0</v>
      </c>
      <c r="F22" s="47"/>
      <c r="G22" s="71">
        <f>IF(B22=0,"",IFERROR(VLOOKUP(B22,'S-ASIG-01'!$B$5:$E$88,4,0),0))</f>
        <v>4.3</v>
      </c>
      <c r="H22" s="72">
        <f>IF(B22=0,"",IFERROR(VLOOKUP(B22,'S-ASIG-02'!$B$5:$E$88,4,0),0))</f>
        <v>0</v>
      </c>
      <c r="I22" s="72">
        <f>IF(B22=0,"",IFERROR(VLOOKUP(B22,'S-ASIG-03'!$B$5:$E$88,4,0),0))</f>
        <v>3.9999999999999996</v>
      </c>
      <c r="J22" s="72">
        <f>IF(B22=0,"",IFERROR(VLOOKUP(B22,'S-ASIG-04'!$B$5:$E$88,4,0),0))</f>
        <v>0</v>
      </c>
      <c r="K22" s="72">
        <f>IF(B22=0,"",IFERROR(VLOOKUP(B22,'S-ASIG-05'!$B$5:$E$88,4,0),0))</f>
        <v>5</v>
      </c>
      <c r="L22" s="72">
        <f>IF(B22=0,"",IFERROR(VLOOKUP(B22,'S-ASIG-06'!$B$5:$E$88,4,0),0))</f>
        <v>4.0999999999999996</v>
      </c>
      <c r="M22" s="73">
        <f>IF(B22=0,"",IFERROR(VLOOKUP(B22,'S-ASIG-07'!$B$5:$E$88,4,0),0))</f>
        <v>4.37</v>
      </c>
      <c r="N22" s="68" t="s">
        <v>109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110</v>
      </c>
    </row>
    <row r="23" spans="1:22" ht="15" customHeight="1">
      <c r="A23" s="12">
        <v>19</v>
      </c>
      <c r="B23" s="70" t="str">
        <f>LIDER!C27</f>
        <v>KATTY JULIETH BUSTOS MACEA</v>
      </c>
      <c r="C23" s="64" t="str">
        <f>IF(B23=0,"",IFERROR(VLOOKUP(B23,'S-ASIG-01'!$B$5:$E$88,2,0),0))</f>
        <v>G06</v>
      </c>
      <c r="D23" s="65">
        <f t="shared" si="2"/>
        <v>3.7900000000000005</v>
      </c>
      <c r="E23" s="66">
        <f t="shared" si="3"/>
        <v>0</v>
      </c>
      <c r="F23" s="47"/>
      <c r="G23" s="71">
        <f>IF(B23=0,"",IFERROR(VLOOKUP(B23,'S-ASIG-01'!$B$5:$E$88,4,0),0))</f>
        <v>3.8</v>
      </c>
      <c r="H23" s="72">
        <f>IF(B23=0,"",IFERROR(VLOOKUP(B23,'S-ASIG-02'!$B$5:$E$88,4,0),0))</f>
        <v>0</v>
      </c>
      <c r="I23" s="72">
        <f>IF(B23=0,"",IFERROR(VLOOKUP(B23,'S-ASIG-03'!$B$5:$E$88,4,0),0))</f>
        <v>0</v>
      </c>
      <c r="J23" s="72">
        <f>IF(B23=0,"",IFERROR(VLOOKUP(B23,'S-ASIG-04'!$B$5:$E$88,4,0),0))</f>
        <v>3.1999999999999997</v>
      </c>
      <c r="K23" s="72">
        <f>IF(B23=0,"",IFERROR(VLOOKUP(B23,'S-ASIG-05'!$B$5:$E$88,4,0),0))</f>
        <v>3.8</v>
      </c>
      <c r="L23" s="72">
        <f>IF(B23=0,"",IFERROR(VLOOKUP(B23,'S-ASIG-06'!$B$5:$E$88,4,0),0))</f>
        <v>4.0999999999999996</v>
      </c>
      <c r="M23" s="73">
        <f>IF(B23=0,"",IFERROR(VLOOKUP(B23,'S-ASIG-07'!$B$5:$E$88,4,0),0))</f>
        <v>4.0500000000000007</v>
      </c>
      <c r="N23" s="68" t="s">
        <v>109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110</v>
      </c>
    </row>
    <row r="24" spans="1:22" ht="15" customHeight="1">
      <c r="A24" s="12">
        <v>20</v>
      </c>
      <c r="B24" s="70" t="str">
        <f>LIDER!C28</f>
        <v>LILIANA PATRICIA PUELLO OROZCO</v>
      </c>
      <c r="C24" s="64" t="str">
        <f>IF(B24=0,"",IFERROR(VLOOKUP(B24,'S-ASIG-01'!$B$5:$E$88,2,0),0))</f>
        <v>G06</v>
      </c>
      <c r="D24" s="65">
        <f t="shared" si="2"/>
        <v>3.7900000000000005</v>
      </c>
      <c r="E24" s="66">
        <f t="shared" si="3"/>
        <v>0</v>
      </c>
      <c r="F24" s="47"/>
      <c r="G24" s="71">
        <f>IF(B24=0,"",IFERROR(VLOOKUP(B24,'S-ASIG-01'!$B$5:$E$88,4,0),0))</f>
        <v>3.8</v>
      </c>
      <c r="H24" s="72">
        <f>IF(B24=0,"",IFERROR(VLOOKUP(B24,'S-ASIG-02'!$B$5:$E$88,4,0),0))</f>
        <v>0</v>
      </c>
      <c r="I24" s="72">
        <f>IF(B24=0,"",IFERROR(VLOOKUP(B24,'S-ASIG-03'!$B$5:$E$88,4,0),0))</f>
        <v>0</v>
      </c>
      <c r="J24" s="72">
        <f>IF(B24=0,"",IFERROR(VLOOKUP(B24,'S-ASIG-04'!$B$5:$E$88,4,0),0))</f>
        <v>3.1999999999999997</v>
      </c>
      <c r="K24" s="72">
        <f>IF(B24=0,"",IFERROR(VLOOKUP(B24,'S-ASIG-05'!$B$5:$E$88,4,0),0))</f>
        <v>3.8</v>
      </c>
      <c r="L24" s="72">
        <f>IF(B24=0,"",IFERROR(VLOOKUP(B24,'S-ASIG-06'!$B$5:$E$88,4,0),0))</f>
        <v>4.0999999999999996</v>
      </c>
      <c r="M24" s="73">
        <f>IF(B24=0,"",IFERROR(VLOOKUP(B24,'S-ASIG-07'!$B$5:$E$88,4,0),0))</f>
        <v>4.0500000000000007</v>
      </c>
      <c r="N24" s="68" t="s">
        <v>109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110</v>
      </c>
    </row>
    <row r="25" spans="1:22" ht="15" customHeight="1">
      <c r="A25" s="12">
        <v>21</v>
      </c>
      <c r="B25" s="70" t="str">
        <f>LIDER!C29</f>
        <v>SEBASTIAN ANDRES RAMOS GALLEGO</v>
      </c>
      <c r="C25" s="64" t="str">
        <f>IF(B25=0,"",IFERROR(VLOOKUP(B25,'S-ASIG-01'!$B$5:$E$88,2,0),0))</f>
        <v>G06</v>
      </c>
      <c r="D25" s="65">
        <f t="shared" si="2"/>
        <v>3.7900000000000005</v>
      </c>
      <c r="E25" s="66">
        <f t="shared" si="3"/>
        <v>0</v>
      </c>
      <c r="F25" s="47"/>
      <c r="G25" s="71">
        <f>IF(B25=0,"",IFERROR(VLOOKUP(B25,'S-ASIG-01'!$B$5:$E$88,4,0),0))</f>
        <v>3.8</v>
      </c>
      <c r="H25" s="72">
        <f>IF(B25=0,"",IFERROR(VLOOKUP(B25,'S-ASIG-02'!$B$5:$E$88,4,0),0))</f>
        <v>0</v>
      </c>
      <c r="I25" s="72">
        <f>IF(B25=0,"",IFERROR(VLOOKUP(B25,'S-ASIG-03'!$B$5:$E$88,4,0),0))</f>
        <v>0</v>
      </c>
      <c r="J25" s="72">
        <f>IF(B25=0,"",IFERROR(VLOOKUP(B25,'S-ASIG-04'!$B$5:$E$88,4,0),0))</f>
        <v>3.1999999999999997</v>
      </c>
      <c r="K25" s="72">
        <f>IF(B25=0,"",IFERROR(VLOOKUP(B25,'S-ASIG-05'!$B$5:$E$88,4,0),0))</f>
        <v>3.8</v>
      </c>
      <c r="L25" s="72">
        <f>IF(B25=0,"",IFERROR(VLOOKUP(B25,'S-ASIG-06'!$B$5:$E$88,4,0),0))</f>
        <v>4.0999999999999996</v>
      </c>
      <c r="M25" s="73">
        <f>IF(B25=0,"",IFERROR(VLOOKUP(B25,'S-ASIG-07'!$B$5:$E$88,4,0),0))</f>
        <v>4.0500000000000007</v>
      </c>
      <c r="N25" s="68" t="s">
        <v>109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110</v>
      </c>
    </row>
    <row r="26" spans="1:22" ht="15" customHeight="1">
      <c r="A26" s="12">
        <v>22</v>
      </c>
      <c r="B26" s="70" t="str">
        <f>LIDER!C30</f>
        <v>HANNA SOFIA ROSALES RODRIGUEZ</v>
      </c>
      <c r="C26" s="64" t="str">
        <f>IF(B26=0,"",IFERROR(VLOOKUP(B26,'S-ASIG-01'!$B$5:$E$88,2,0),0))</f>
        <v>G03</v>
      </c>
      <c r="D26" s="65">
        <f t="shared" si="2"/>
        <v>3.8959999999999995</v>
      </c>
      <c r="E26" s="66">
        <f t="shared" si="3"/>
        <v>0</v>
      </c>
      <c r="F26" s="47"/>
      <c r="G26" s="71" t="str">
        <f>IF(B26=0,"",IFERROR(VLOOKUP(B26,'S-ASIG-01'!$B$5:$E$88,4,0),0))</f>
        <v>N</v>
      </c>
      <c r="H26" s="72">
        <f>IF(B26=0,"",IFERROR(VLOOKUP(B26,'S-ASIG-02'!$B$5:$E$88,4,0),0))</f>
        <v>0</v>
      </c>
      <c r="I26" s="72">
        <f>IF(B26=0,"",IFERROR(VLOOKUP(B26,'S-ASIG-03'!$B$5:$E$88,4,0),0))</f>
        <v>3.0500000000000003</v>
      </c>
      <c r="J26" s="72">
        <f>IF(B26=0,"",IFERROR(VLOOKUP(B26,'S-ASIG-04'!$B$5:$E$88,4,0),0))</f>
        <v>4.22</v>
      </c>
      <c r="K26" s="72">
        <f>IF(B26=0,"",IFERROR(VLOOKUP(B26,'S-ASIG-05'!$B$5:$E$88,4,0),0))</f>
        <v>4.0999999999999996</v>
      </c>
      <c r="L26" s="72">
        <f>IF(B26=0,"",IFERROR(VLOOKUP(B26,'S-ASIG-06'!$B$5:$E$88,4,0),0))</f>
        <v>4.0999999999999996</v>
      </c>
      <c r="M26" s="73">
        <f>IF(B26=0,"",IFERROR(VLOOKUP(B26,'S-ASIG-07'!$B$5:$E$88,4,0),0))</f>
        <v>4.01</v>
      </c>
      <c r="N26" s="68" t="s">
        <v>109</v>
      </c>
      <c r="O26" s="71" t="str">
        <f>IF(B26=0,"",IFERROR(VLOOKUP(B26,'T-ASIG-01'!$B$5:$D$88,3,0),0))</f>
        <v>N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110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109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110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109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110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109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110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109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110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109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110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109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110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109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110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109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110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109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110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109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110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109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110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109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110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109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110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109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110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109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110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109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110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109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110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109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110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109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110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109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110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109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110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109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110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109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110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109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110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109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110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109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110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109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110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109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110</v>
      </c>
    </row>
  </sheetData>
  <sheetProtection algorithmName="SHA-512" hashValue="PEvwb5MWLmR4tt2AfZkXk0VsGjlZv2h9Q1Y1/GVqgHgYqOnIYdo0Hv+j/MVuCQRNLRT6Z8zxut+WVYyWvnXz/g==" saltValue="yc49EwjJAK9/Et1EcM5Qt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2026-10-15T17:18:26Z</dcterms:modified>
  <cp:category/>
  <cp:contentStatus/>
</cp:coreProperties>
</file>