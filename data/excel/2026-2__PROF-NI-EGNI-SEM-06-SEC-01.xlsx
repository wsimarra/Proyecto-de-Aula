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PROF-NI/SEMESTRE-6/"/>
    </mc:Choice>
  </mc:AlternateContent>
  <xr:revisionPtr revIDLastSave="139" documentId="13_ncr:1_{21D3845A-67D0-4F7E-AC4D-0A375EAD2C15}" xr6:coauthVersionLast="47" xr6:coauthVersionMax="47" xr10:uidLastSave="{AAF99B2D-F411-46EF-B6BF-0A1F2DE5466C}"/>
  <workbookProtection workbookAlgorithmName="SHA-512" workbookHashValue="BVeV0qpZovVYzmUStKZFmvYiE9TQvEHAhzAhA+fcNCzAi0BWaaEr4EC1gMWR2Wy5DBRC6Mei/FRCSHyBDwFqWg==" workbookSaltValue="ezUG6bS+5hBb2S7TMw1R9A==" workbookSpinCount="100000" lockStructure="1"/>
  <bookViews>
    <workbookView xWindow="-120" yWindow="-120" windowWidth="20730" windowHeight="11040" tabRatio="844" firstSheet="4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D77" i="16"/>
  <c r="B77" i="16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B81" i="6"/>
  <c r="D81" i="6" s="1"/>
  <c r="B80" i="6"/>
  <c r="D80" i="6" s="1"/>
  <c r="B79" i="6"/>
  <c r="D79" i="6" s="1"/>
  <c r="B78" i="6"/>
  <c r="D78" i="6" s="1"/>
  <c r="B77" i="6"/>
  <c r="D77" i="6" s="1"/>
  <c r="D76" i="6"/>
  <c r="B76" i="6"/>
  <c r="B74" i="6"/>
  <c r="D74" i="6" s="1"/>
  <c r="B73" i="6"/>
  <c r="D73" i="6" s="1"/>
  <c r="B72" i="6"/>
  <c r="D72" i="6" s="1"/>
  <c r="B71" i="6"/>
  <c r="D71" i="6" s="1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D87" i="5"/>
  <c r="B87" i="5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D84" i="4"/>
  <c r="B84" i="4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B66" i="4"/>
  <c r="D66" i="4" s="1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D83" i="3"/>
  <c r="B83" i="3"/>
  <c r="B81" i="3"/>
  <c r="D81" i="3" s="1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B79" i="15"/>
  <c r="E79" i="15" s="1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E72" i="15"/>
  <c r="B72" i="15"/>
  <c r="B71" i="15"/>
  <c r="E71" i="15" s="1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C83" i="14"/>
  <c r="B83" i="14"/>
  <c r="E83" i="14" s="1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E73" i="14"/>
  <c r="B73" i="14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C83" i="12"/>
  <c r="B83" i="12"/>
  <c r="E83" i="12" s="1"/>
  <c r="F82" i="12"/>
  <c r="B81" i="12"/>
  <c r="E81" i="12" s="1"/>
  <c r="B80" i="12"/>
  <c r="E80" i="12" s="1"/>
  <c r="C79" i="12"/>
  <c r="C80" i="12" s="1"/>
  <c r="C81" i="12" s="1"/>
  <c r="B79" i="12"/>
  <c r="E79" i="12" s="1"/>
  <c r="C78" i="12"/>
  <c r="B78" i="12"/>
  <c r="E78" i="12" s="1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E71" i="12"/>
  <c r="B71" i="12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B71" i="11"/>
  <c r="E71" i="11" s="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B67" i="11"/>
  <c r="E67" i="11" s="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16" l="1"/>
  <c r="D10" i="4"/>
  <c r="D22" i="7"/>
  <c r="D22" i="5"/>
  <c r="D48" i="4"/>
  <c r="D20" i="5"/>
  <c r="D22" i="3"/>
  <c r="D49" i="7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<sst xmlns="http://schemas.openxmlformats.org/spreadsheetml/2006/main" count="679" uniqueCount="110">
  <si>
    <t>NEGOCIOS INTERNACIONALES PROFESIONAL</t>
  </si>
  <si>
    <t>SEMESTRE:</t>
  </si>
  <si>
    <t>SEM-06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</si>
  <si>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</si>
  <si>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</si>
  <si>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</si>
  <si>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</si>
  <si>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</si>
  <si>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</si>
  <si>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</si>
  <si>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</si>
  <si>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GEOPOLITICA Y COMERCIO INTERNA</t>
  </si>
  <si>
    <t>REGIMEN CAMBIARIO</t>
  </si>
  <si>
    <t>LEGISLACION PARA EL COMERCIO</t>
  </si>
  <si>
    <t>FORMULACIÓN Y EV. DE PROYECTOS</t>
  </si>
  <si>
    <t>SIST INFORM E INTEL NEG:VT/IC</t>
  </si>
  <si>
    <t>SISTEMA INTEGRADO DE GESTION</t>
  </si>
  <si>
    <t>INTRODUCCIÓN A LOS NEGOCIOS IN</t>
  </si>
  <si>
    <t>HUMBERTO MARQUEZ PEÑALOZA</t>
  </si>
  <si>
    <t>ABRAHAN RINALDI VILLALOBOS</t>
  </si>
  <si>
    <t>ANGELICA PAOLA DOMINGUEZ CASTELLAR</t>
  </si>
  <si>
    <t>GABRIEL OVIEDO BURGOS</t>
  </si>
  <si>
    <t>WILMER SIMARRA CAÑATE</t>
  </si>
  <si>
    <t>JOHNNY DE JESUS MENDOZA DORIA</t>
  </si>
  <si>
    <t>JEYSSON STEEVEN ANILLO CARRANZA</t>
  </si>
  <si>
    <t>LISTA DE ESTUDIANTES</t>
  </si>
  <si>
    <t>SEGUNDA ENTREGA - CRITERIOS DE EVALUACIÓN DOCUMENTO - SEGUNDO CORTE</t>
  </si>
  <si>
    <t>PONDERACIÓN</t>
  </si>
  <si>
    <t>ADMINISTRACIÓN DE EMPRESAS C.I</t>
  </si>
  <si>
    <t>JOSYMAR BALLESTEROS MATOS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</si>
  <si>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</si>
  <si>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</si>
  <si>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SHARID MICHELL GARCIA MARTINEZ</t>
  </si>
  <si>
    <t>ANTEPROYECTO: Portada, planteamiento del problema, justificacion del trabajo o proyecto de aula, objetivos, marco teorico, diseño metodologico.</t>
  </si>
  <si>
    <t>CONTADURÍA PÚBLICA</t>
  </si>
  <si>
    <t>SHEILA ALEJANDRA MONTERO BALSEIRO</t>
  </si>
  <si>
    <t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t>
  </si>
  <si>
    <t>LAURA VALENTINA RIVERO MADRID</t>
  </si>
  <si>
    <t>BILIOGRAFIA: Las referencias bibliograficas: adoptan las normas APA. El documento es producto de un rastreo bibliografico que muestra analisis y sistensis.</t>
  </si>
  <si>
    <t>TECNOLOGÍA EN GESTIÓN DE NEGOCIOS INTERN</t>
  </si>
  <si>
    <t>ANGEL DE JESUS ARZUZA PEREZ</t>
  </si>
  <si>
    <t>ASESORIAS: Anexó la hoja de tutoria firmada ( 3 fimas minmimo).</t>
  </si>
  <si>
    <t>TECNOLOGíA EN GESTION CONTABLE</t>
  </si>
  <si>
    <t>CEIDY LORENA CERA JULIO</t>
  </si>
  <si>
    <t>TECNOLOGÍA EN GESTIÓN DE MARKETING</t>
  </si>
  <si>
    <t>IRAMA ALEXANDRA JARAMILLO GARCIA</t>
  </si>
  <si>
    <t>TECNOLOGÍA EN GESTIÓN DEL TALENTO HUMANO</t>
  </si>
  <si>
    <t>JULIÁN ANDRÉS TABORDA LEÓN</t>
  </si>
  <si>
    <t>TECNOLOGÍA EN GESTIÓN FINANCIERA</t>
  </si>
  <si>
    <t>DIEGO ALEJANDRO CANCIO POLO</t>
  </si>
  <si>
    <t>TECNOLOGÍA EN GESTIÓN LOGISTICA Y PORTUARIA</t>
  </si>
  <si>
    <t>LEVI MATURANA AGUALIMPIA</t>
  </si>
  <si>
    <t>ENTREGA FINAL - CRITERIO DE EVALUACIÓN SUSTENTACIÓN - TERCER CORTE</t>
  </si>
  <si>
    <t>TECNOLOGÍA EN GESTIÓN TURISTICA Y HOTELERA</t>
  </si>
  <si>
    <t>SEBASTIAN RAMIREZ MONSALVE</t>
  </si>
  <si>
    <t>Evaluación del Documento Final</t>
  </si>
  <si>
    <t>JUAN ANDRES RUIZ PEÑA</t>
  </si>
  <si>
    <t>Sustentación de los Resultados: Se refleja un dominio del tema, la  información está delimitada y es clara. Hay una jerarquía y fluidez en las ideas que presenta.</t>
  </si>
  <si>
    <t>MARIANA ALEJANDRA ARENAS BUSTILLO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</si>
  <si>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</si>
  <si>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RANYELYS MARIAN AYOLA PEREZ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</si>
  <si>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</si>
  <si>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DANIELA FIGUEROA CASTELLAR</t>
  </si>
  <si>
    <t>Tiempo: El uso del tiempo fue apropiado, se ajusta al previsto.
Ofrece una conclusión donde condensa las ideas principales del objetivo general y los específicos.</t>
  </si>
  <si>
    <t>DANIEL DE JESUS VILLADIEGO VELASQUEZ</t>
  </si>
  <si>
    <t>Uso de Recursos Audiovisuales Tecnológicos: La sustentación se acompaña de recursos visuales pertinentes, atractivos y de gran calidad</t>
  </si>
  <si>
    <t>ANGEL DE JESUS BAYUELO MESTRA</t>
  </si>
  <si>
    <t>JOSUE DANIEL DONADO PAJARO</t>
  </si>
  <si>
    <t>ANGELA PATRICIA JULIO GOMEZ</t>
  </si>
  <si>
    <t>MAURICIO SABALZA PAJARO</t>
  </si>
  <si>
    <t>TITULOS DE LOS PROYECTOS DE AULA</t>
  </si>
  <si>
    <t>LAURI VANESSA JIMENEZ ARCIA</t>
  </si>
  <si>
    <t>GRUPO#1</t>
  </si>
  <si>
    <t>GRUPO#2</t>
  </si>
  <si>
    <t>GRUPO#3</t>
  </si>
  <si>
    <t>GRUPO#4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</si>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</sst>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5" fillId="8" borderId="4" xfId="0" applyFont="1" applyFill="1" applyBorder="1" applyAlignment="1" applyProtection="1">
      <alignment horizontal="center" vertical="center"/>
      <protection hidden="1"/>
    </xf>
    <xf numFmtId="0" fontId="5" fillId="8" borderId="5" xfId="0" applyFont="1" applyFill="1" applyBorder="1" applyAlignment="1" applyProtection="1">
      <alignment horizontal="center" vertical="center"/>
      <protection hidden="1"/>
    </xf>
    <xf numFmtId="0" fontId="5" fillId="8" borderId="6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24" fillId="8" borderId="19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E35" workbookViewId="0">
      <selection activeCell="H47" sqref="H47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5" t="s">
        <v>0</v>
      </c>
      <c r="C2" s="196"/>
      <c r="D2" s="197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4" t="s">
        <v>11</v>
      </c>
      <c r="D4" s="134" t="s">
        <v>12</v>
      </c>
      <c r="E4" s="134" t="s">
        <v>13</v>
      </c>
      <c r="F4" s="134" t="s">
        <v>14</v>
      </c>
      <c r="G4" s="134" t="s">
        <v>15</v>
      </c>
      <c r="H4" s="135" t="s">
        <v>16</v>
      </c>
      <c r="I4" s="135" t="s">
        <v>17</v>
      </c>
    </row>
    <row r="5" spans="2:9" ht="24.95" customHeight="1" thickBot="1">
      <c r="C5" s="136" t="s">
        <v>18</v>
      </c>
      <c r="D5" s="136" t="s">
        <v>19</v>
      </c>
      <c r="E5" s="136" t="s">
        <v>20</v>
      </c>
      <c r="F5" s="136" t="s">
        <v>21</v>
      </c>
      <c r="G5" s="136" t="s">
        <v>22</v>
      </c>
      <c r="H5" s="137" t="s">
        <v>23</v>
      </c>
      <c r="I5" s="137" t="s">
        <v>24</v>
      </c>
    </row>
    <row r="6" spans="2:9" ht="24.95" customHeight="1" thickBot="1">
      <c r="C6" s="138">
        <v>2889</v>
      </c>
      <c r="D6" s="138">
        <v>2890</v>
      </c>
      <c r="E6" s="138">
        <v>2354</v>
      </c>
      <c r="F6" s="138">
        <v>1390</v>
      </c>
      <c r="G6" s="138">
        <v>2895</v>
      </c>
      <c r="H6" s="138">
        <v>2433</v>
      </c>
      <c r="I6" s="138">
        <v>3382</v>
      </c>
    </row>
    <row r="7" spans="2:9" ht="13.5" thickBot="1"/>
    <row r="8" spans="2:9" ht="20.100000000000001" customHeight="1">
      <c r="B8" s="108"/>
      <c r="C8" s="109" t="s">
        <v>25</v>
      </c>
      <c r="E8" s="198" t="s">
        <v>26</v>
      </c>
      <c r="F8" s="199"/>
      <c r="G8" s="200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92" t="s">
        <v>30</v>
      </c>
      <c r="F9" s="193"/>
      <c r="G9" s="194"/>
      <c r="H9" s="127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72" t="s">
        <v>33</v>
      </c>
      <c r="F10" s="173"/>
      <c r="G10" s="174"/>
      <c r="H10" s="128">
        <v>0.2</v>
      </c>
      <c r="I10" s="69" t="s">
        <v>34</v>
      </c>
    </row>
    <row r="11" spans="2:9" ht="15" customHeight="1">
      <c r="B11" s="108">
        <v>3</v>
      </c>
      <c r="C11" s="111" t="s">
        <v>35</v>
      </c>
      <c r="E11" s="192" t="s">
        <v>36</v>
      </c>
      <c r="F11" s="193"/>
      <c r="G11" s="194"/>
      <c r="H11" s="127">
        <v>0.3</v>
      </c>
      <c r="I11" s="69" t="s">
        <v>0</v>
      </c>
    </row>
    <row r="12" spans="2:9" ht="15" customHeight="1">
      <c r="B12" s="108">
        <v>4</v>
      </c>
      <c r="C12" s="111" t="s">
        <v>37</v>
      </c>
      <c r="E12" s="172" t="s">
        <v>38</v>
      </c>
      <c r="F12" s="173"/>
      <c r="G12" s="174"/>
      <c r="H12" s="128">
        <v>0.2</v>
      </c>
      <c r="I12" s="69" t="s">
        <v>39</v>
      </c>
    </row>
    <row r="13" spans="2:9" ht="15" customHeight="1">
      <c r="B13" s="108">
        <v>5</v>
      </c>
      <c r="C13" s="111" t="s">
        <v>40</v>
      </c>
      <c r="E13" s="175" t="s">
        <v>41</v>
      </c>
      <c r="F13" s="176"/>
      <c r="G13" s="177"/>
      <c r="H13" s="127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78"/>
      <c r="F14" s="170"/>
      <c r="G14" s="171"/>
      <c r="H14" s="128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79"/>
      <c r="F15" s="180"/>
      <c r="G15" s="181"/>
      <c r="H15" s="127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29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8"/>
      <c r="F17" s="188"/>
      <c r="G17" s="188"/>
      <c r="H17" s="188"/>
      <c r="I17" s="69" t="s">
        <v>50</v>
      </c>
    </row>
    <row r="18" spans="2:9" ht="15" customHeight="1" thickBot="1">
      <c r="B18" s="108">
        <v>10</v>
      </c>
      <c r="C18" s="111" t="s">
        <v>51</v>
      </c>
      <c r="E18" s="162" t="s">
        <v>52</v>
      </c>
      <c r="F18" s="163"/>
      <c r="G18" s="163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85" t="s">
        <v>55</v>
      </c>
      <c r="F19" s="186"/>
      <c r="G19" s="187"/>
      <c r="H19" s="130">
        <v>0.5</v>
      </c>
    </row>
    <row r="20" spans="2:9" ht="15" customHeight="1">
      <c r="B20" s="108">
        <v>12</v>
      </c>
      <c r="C20" s="111" t="s">
        <v>56</v>
      </c>
      <c r="E20" s="164" t="s">
        <v>57</v>
      </c>
      <c r="F20" s="165"/>
      <c r="G20" s="166"/>
      <c r="H20" s="131">
        <v>0.2</v>
      </c>
    </row>
    <row r="21" spans="2:9" ht="15" customHeight="1">
      <c r="B21" s="108">
        <v>13</v>
      </c>
      <c r="C21" s="111" t="s">
        <v>58</v>
      </c>
      <c r="E21" s="167" t="s">
        <v>59</v>
      </c>
      <c r="F21" s="168"/>
      <c r="G21" s="169"/>
      <c r="H21" s="132">
        <v>0.1</v>
      </c>
    </row>
    <row r="22" spans="2:9" ht="15" customHeight="1">
      <c r="B22" s="108">
        <v>14</v>
      </c>
      <c r="C22" s="111" t="s">
        <v>60</v>
      </c>
      <c r="E22" s="164" t="s">
        <v>61</v>
      </c>
      <c r="F22" s="170"/>
      <c r="G22" s="171"/>
      <c r="H22" s="131">
        <v>0.05</v>
      </c>
    </row>
    <row r="23" spans="2:9" ht="15" customHeight="1">
      <c r="B23" s="108">
        <v>15</v>
      </c>
      <c r="C23" s="111" t="s">
        <v>62</v>
      </c>
      <c r="E23" s="167" t="s">
        <v>63</v>
      </c>
      <c r="F23" s="168"/>
      <c r="G23" s="169"/>
      <c r="H23" s="133">
        <v>0.05</v>
      </c>
    </row>
    <row r="24" spans="2:9" ht="15" customHeight="1">
      <c r="B24" s="108">
        <v>16</v>
      </c>
      <c r="C24" s="111" t="s">
        <v>64</v>
      </c>
      <c r="E24" s="164" t="s">
        <v>65</v>
      </c>
      <c r="F24" s="165"/>
      <c r="G24" s="166"/>
      <c r="H24" s="131">
        <v>0.1</v>
      </c>
    </row>
    <row r="25" spans="2:9" ht="15" customHeight="1" thickBot="1">
      <c r="B25" s="108">
        <v>17</v>
      </c>
      <c r="C25" s="111" t="s">
        <v>66</v>
      </c>
      <c r="E25" s="182"/>
      <c r="F25" s="183"/>
      <c r="G25" s="184"/>
      <c r="H25" s="132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29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9" t="s">
        <v>70</v>
      </c>
      <c r="F28" s="190"/>
      <c r="G28" s="190"/>
      <c r="H28" s="191"/>
    </row>
    <row r="29" spans="2:9" ht="15" customHeight="1" thickBot="1">
      <c r="B29" s="108">
        <v>21</v>
      </c>
      <c r="C29" s="111" t="s">
        <v>71</v>
      </c>
      <c r="E29" s="159" t="s">
        <v>72</v>
      </c>
      <c r="F29" s="160"/>
      <c r="G29" s="160"/>
      <c r="H29" s="161"/>
    </row>
    <row r="30" spans="2:9" ht="15" customHeight="1" thickBot="1">
      <c r="B30" s="108">
        <v>22</v>
      </c>
      <c r="C30" s="111"/>
      <c r="E30" s="156" t="s">
        <v>73</v>
      </c>
      <c r="F30" s="157"/>
      <c r="G30" s="157"/>
      <c r="H30" s="158"/>
    </row>
    <row r="31" spans="2:9" ht="15" customHeight="1" thickBot="1">
      <c r="B31" s="108">
        <v>23</v>
      </c>
      <c r="C31" s="111"/>
      <c r="E31" s="159" t="s">
        <v>74</v>
      </c>
      <c r="F31" s="160"/>
      <c r="G31" s="160"/>
      <c r="H31" s="161"/>
    </row>
    <row r="32" spans="2:9" ht="15" customHeight="1" thickBot="1">
      <c r="B32" s="108">
        <v>24</v>
      </c>
      <c r="C32" s="111"/>
      <c r="E32" s="156" t="s">
        <v>75</v>
      </c>
      <c r="F32" s="157"/>
      <c r="G32" s="157"/>
      <c r="H32" s="158"/>
    </row>
    <row r="33" spans="2:8" ht="15" customHeight="1" thickBot="1">
      <c r="B33" s="108">
        <v>25</v>
      </c>
      <c r="C33" s="111"/>
      <c r="E33" s="159"/>
      <c r="F33" s="160"/>
      <c r="G33" s="160"/>
      <c r="H33" s="161"/>
    </row>
    <row r="34" spans="2:8" ht="15" customHeight="1" thickBot="1">
      <c r="B34" s="108">
        <v>26</v>
      </c>
      <c r="C34" s="111"/>
      <c r="E34" s="156"/>
      <c r="F34" s="157"/>
      <c r="G34" s="157"/>
      <c r="H34" s="158"/>
    </row>
    <row r="35" spans="2:8" ht="15" customHeight="1" thickBot="1">
      <c r="B35" s="108">
        <v>27</v>
      </c>
      <c r="C35" s="111"/>
      <c r="E35" s="159"/>
      <c r="F35" s="160"/>
      <c r="G35" s="160"/>
      <c r="H35" s="161"/>
    </row>
    <row r="36" spans="2:8" ht="15" customHeight="1" thickBot="1">
      <c r="B36" s="108">
        <v>28</v>
      </c>
      <c r="C36" s="111"/>
      <c r="E36" s="156"/>
      <c r="F36" s="157"/>
      <c r="G36" s="157"/>
      <c r="H36" s="158"/>
    </row>
    <row r="37" spans="2:8" ht="15" customHeight="1" thickBot="1">
      <c r="B37" s="108">
        <v>29</v>
      </c>
      <c r="C37" s="111"/>
      <c r="E37" s="159"/>
      <c r="F37" s="160"/>
      <c r="G37" s="160"/>
      <c r="H37" s="161"/>
    </row>
    <row r="38" spans="2:8" ht="15" customHeight="1" thickBot="1">
      <c r="B38" s="108">
        <v>30</v>
      </c>
      <c r="C38" s="111"/>
      <c r="E38" s="156"/>
      <c r="F38" s="157"/>
      <c r="G38" s="157"/>
      <c r="H38" s="158"/>
    </row>
    <row r="39" spans="2:8" ht="15" customHeight="1" thickBot="1">
      <c r="B39" s="108">
        <v>31</v>
      </c>
      <c r="C39" s="111"/>
      <c r="E39" s="159"/>
      <c r="F39" s="160"/>
      <c r="G39" s="160"/>
      <c r="H39" s="161"/>
    </row>
    <row r="40" spans="2:8" ht="15" customHeight="1" thickBot="1">
      <c r="B40" s="108">
        <v>32</v>
      </c>
      <c r="C40" s="111"/>
      <c r="E40" s="156"/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39" t="str">
        <f>MID(E29,1,20)</f>
        <v>GRUPO#1</v>
      </c>
      <c r="F42" s="140" t="str">
        <f>MID(E30,1,20)</f>
        <v>GRUPO#2</v>
      </c>
      <c r="G42" s="140" t="str">
        <f>MID(E31,1,20)</f>
        <v>GRUPO#3</v>
      </c>
      <c r="H42" s="141" t="str">
        <f>MID(E32,1,20)</f>
        <v>GRUPO#4</v>
      </c>
    </row>
    <row r="43" spans="2:8" ht="15" customHeight="1">
      <c r="B43" s="108">
        <v>35</v>
      </c>
      <c r="C43" s="111"/>
      <c r="E43" s="115" t="s">
        <v>29</v>
      </c>
      <c r="F43" s="116" t="s">
        <v>40</v>
      </c>
      <c r="G43" s="116" t="s">
        <v>49</v>
      </c>
      <c r="H43" s="117" t="s">
        <v>58</v>
      </c>
    </row>
    <row r="44" spans="2:8" ht="15" customHeight="1">
      <c r="B44" s="108">
        <v>36</v>
      </c>
      <c r="C44" s="111"/>
      <c r="E44" s="118" t="s">
        <v>32</v>
      </c>
      <c r="F44" s="119" t="s">
        <v>43</v>
      </c>
      <c r="G44" s="119" t="s">
        <v>51</v>
      </c>
      <c r="H44" s="120" t="s">
        <v>60</v>
      </c>
    </row>
    <row r="45" spans="2:8" ht="15" customHeight="1">
      <c r="B45" s="108">
        <v>37</v>
      </c>
      <c r="C45" s="111"/>
      <c r="E45" s="121" t="s">
        <v>35</v>
      </c>
      <c r="F45" s="122" t="s">
        <v>45</v>
      </c>
      <c r="G45" s="122" t="s">
        <v>54</v>
      </c>
      <c r="H45" s="123" t="s">
        <v>62</v>
      </c>
    </row>
    <row r="46" spans="2:8" ht="15" customHeight="1">
      <c r="B46" s="108">
        <v>38</v>
      </c>
      <c r="C46" s="111"/>
      <c r="E46" s="118" t="s">
        <v>37</v>
      </c>
      <c r="F46" s="119" t="s">
        <v>47</v>
      </c>
      <c r="G46" s="119" t="s">
        <v>56</v>
      </c>
      <c r="H46" s="120" t="s">
        <v>64</v>
      </c>
    </row>
    <row r="47" spans="2:8" ht="15" customHeight="1">
      <c r="B47" s="108">
        <v>39</v>
      </c>
      <c r="C47" s="111"/>
      <c r="E47" s="121" t="s">
        <v>66</v>
      </c>
      <c r="F47" s="122" t="s">
        <v>68</v>
      </c>
      <c r="G47" s="122" t="s">
        <v>69</v>
      </c>
      <c r="H47" s="123" t="s">
        <v>71</v>
      </c>
    </row>
    <row r="48" spans="2:8" ht="15" customHeight="1" thickBot="1">
      <c r="B48" s="108">
        <v>40</v>
      </c>
      <c r="C48" s="111"/>
      <c r="E48" s="124" t="s">
        <v>67</v>
      </c>
      <c r="F48" s="125"/>
      <c r="G48" s="125"/>
      <c r="H48" s="126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39" t="str">
        <f>MID(E33,1,20)</f>
        <v/>
      </c>
      <c r="F50" s="140" t="str">
        <f>MID(E34,1,20)</f>
        <v/>
      </c>
      <c r="G50" s="140" t="str">
        <f>MID(E35,1,20)</f>
        <v/>
      </c>
      <c r="H50" s="141" t="str">
        <f>MID(E36,1,20)</f>
        <v/>
      </c>
    </row>
    <row r="51" spans="2:8" ht="15" customHeight="1">
      <c r="B51" s="108">
        <v>43</v>
      </c>
      <c r="C51" s="111"/>
      <c r="E51" s="115"/>
      <c r="F51" s="116"/>
      <c r="G51" s="116"/>
      <c r="H51" s="117"/>
    </row>
    <row r="52" spans="2:8" ht="15" customHeight="1">
      <c r="B52" s="108">
        <v>44</v>
      </c>
      <c r="C52" s="111"/>
      <c r="E52" s="118"/>
      <c r="F52" s="119"/>
      <c r="G52" s="119"/>
      <c r="H52" s="120"/>
    </row>
    <row r="53" spans="2:8" ht="15" customHeight="1">
      <c r="B53" s="108">
        <v>45</v>
      </c>
      <c r="C53" s="111"/>
      <c r="E53" s="121"/>
      <c r="F53" s="122"/>
      <c r="G53" s="122"/>
      <c r="H53" s="123"/>
    </row>
    <row r="54" spans="2:8" ht="15" customHeight="1">
      <c r="B54" s="108">
        <v>46</v>
      </c>
      <c r="C54" s="111"/>
      <c r="E54" s="118"/>
      <c r="F54" s="119"/>
      <c r="G54" s="119"/>
      <c r="H54" s="120"/>
    </row>
    <row r="55" spans="2:8" ht="15" customHeight="1">
      <c r="B55" s="108">
        <v>47</v>
      </c>
      <c r="C55" s="111"/>
      <c r="E55" s="121"/>
      <c r="F55" s="122"/>
      <c r="G55" s="122"/>
      <c r="H55" s="123"/>
    </row>
    <row r="56" spans="2:8" ht="15" customHeight="1" thickBot="1">
      <c r="B56" s="108">
        <v>48</v>
      </c>
      <c r="C56" s="111"/>
      <c r="E56" s="124"/>
      <c r="F56" s="125"/>
      <c r="G56" s="125"/>
      <c r="H56" s="126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39" t="str">
        <f>MID(E37,1,20)</f>
        <v/>
      </c>
      <c r="F58" s="140" t="str">
        <f>MID(E38,1,20)</f>
        <v/>
      </c>
      <c r="G58" s="140" t="str">
        <f>MID(E39,1,20)</f>
        <v/>
      </c>
      <c r="H58" s="141" t="str">
        <f>MID(E40,1,20)</f>
        <v/>
      </c>
    </row>
    <row r="59" spans="2:8" ht="15" customHeight="1">
      <c r="E59" s="115"/>
      <c r="F59" s="116"/>
      <c r="G59" s="116"/>
      <c r="H59" s="117"/>
    </row>
    <row r="60" spans="2:8" ht="15" customHeight="1">
      <c r="E60" s="118"/>
      <c r="F60" s="119"/>
      <c r="G60" s="119"/>
      <c r="H60" s="120"/>
    </row>
    <row r="61" spans="2:8" ht="15" customHeight="1">
      <c r="E61" s="121"/>
      <c r="F61" s="122"/>
      <c r="G61" s="122"/>
      <c r="H61" s="123"/>
    </row>
    <row r="62" spans="2:8" ht="15" customHeight="1">
      <c r="E62" s="118"/>
      <c r="F62" s="119"/>
      <c r="G62" s="119"/>
      <c r="H62" s="120"/>
    </row>
    <row r="63" spans="2:8" ht="15" customHeight="1">
      <c r="E63" s="121"/>
      <c r="F63" s="122"/>
      <c r="G63" s="122"/>
      <c r="H63" s="123"/>
    </row>
    <row r="64" spans="2:8" ht="15" customHeight="1" thickBot="1">
      <c r="E64" s="124"/>
      <c r="F64" s="125"/>
      <c r="G64" s="125"/>
      <c r="H64" s="126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ax5LodRI0iH9ln65ES4/aS0tpE6p+L4I//RdehKN87jMzGsh6e/Ngc/V2mN6XDd/1t+apoKodOhmHOnDN7SMrA==" saltValue="wEou7A/bX8suYOuaG71zvA==" spinCount="100000" sheet="1" objects="1" scenarios="1"/>
  <dataConsolidate/>
  <mergeCells count="31">
    <mergeCell ref="E11:G11"/>
    <mergeCell ref="B2:D2"/>
    <mergeCell ref="E8:G8"/>
    <mergeCell ref="E9:G9"/>
    <mergeCell ref="E10:G10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27" activePane="bottomRight" state="frozen"/>
      <selection pane="bottomRight" activeCell="H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GEOPOLITICA Y COMERCIO INTERNA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GEOPOLITICA Y COMERCIO INTERNA - 2889 - HUMBERTO MARQUEZ PEÑALOZA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3.3500000000000005</v>
      </c>
      <c r="F6" s="143">
        <v>3</v>
      </c>
      <c r="G6" s="144">
        <v>3.5</v>
      </c>
      <c r="H6" s="145">
        <v>3.5</v>
      </c>
      <c r="I6" s="144">
        <v>2.5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3.3500000000000005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3.3500000000000005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3.3500000000000005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3.3500000000000005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3.3500000000000005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143">
        <v>3.5</v>
      </c>
      <c r="G13" s="144">
        <v>4</v>
      </c>
      <c r="H13" s="145">
        <v>4</v>
      </c>
      <c r="I13" s="144">
        <v>4.5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3.2</v>
      </c>
      <c r="F20" s="143">
        <v>2.5</v>
      </c>
      <c r="G20" s="144">
        <v>3.5</v>
      </c>
      <c r="H20" s="145">
        <v>3</v>
      </c>
      <c r="I20" s="144">
        <v>3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3.2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3.2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3.2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3.2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143">
        <v>4</v>
      </c>
      <c r="G27" s="144">
        <v>4.5</v>
      </c>
      <c r="H27" s="145">
        <v>4</v>
      </c>
      <c r="I27" s="144">
        <v>4.5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4.3000000000000007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26" activePane="bottomRight" state="frozen"/>
      <selection pane="bottomRight" activeCell="D60" sqref="D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REGIMEN CAMBIARIO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REGIMEN CAMBIARIO - 2890 - ABRAHAN RINALDI VILLALOBOS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4.32</v>
      </c>
      <c r="F6" s="143">
        <v>4.4000000000000004</v>
      </c>
      <c r="G6" s="144">
        <v>4.5</v>
      </c>
      <c r="H6" s="145">
        <v>4</v>
      </c>
      <c r="I6" s="144">
        <v>4.3</v>
      </c>
      <c r="J6" s="145">
        <v>4.8</v>
      </c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4.32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4.32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4.32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4.32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4.32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4.45</v>
      </c>
      <c r="F13" s="143">
        <v>4.3</v>
      </c>
      <c r="G13" s="144">
        <v>4.8</v>
      </c>
      <c r="H13" s="145">
        <v>4.3</v>
      </c>
      <c r="I13" s="144">
        <v>4.7</v>
      </c>
      <c r="J13" s="145">
        <v>4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4.45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4.45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4.45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4.45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4.54</v>
      </c>
      <c r="F20" s="143">
        <v>4</v>
      </c>
      <c r="G20" s="144">
        <v>4.8</v>
      </c>
      <c r="H20" s="145">
        <v>4.5</v>
      </c>
      <c r="I20" s="144">
        <v>4.8</v>
      </c>
      <c r="J20" s="145">
        <v>4.7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4.54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4.54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4.4399999999999995</v>
      </c>
      <c r="F27" s="143">
        <v>4.5</v>
      </c>
      <c r="G27" s="144">
        <v>4.7</v>
      </c>
      <c r="H27" s="145">
        <v>4</v>
      </c>
      <c r="I27" s="144">
        <v>4.5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4.4399999999999995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4.4399999999999995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4.4399999999999995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4.4399999999999995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27" activePane="bottomRight" state="frozen"/>
      <selection pane="bottomRight" activeCell="J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LEGISLACION PARA EL COMERCIO - 2354 - ANGELICA PAOLA DOMINGUEZ CASTELLAR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 t="s">
        <v>100</v>
      </c>
      <c r="E6" s="11" t="str">
        <f>IF(B6=0,0,IF(D6="",$F$6*LIDER!$H$9+$G$6*LIDER!$H$10+$H$6*LIDER!$H$11+$I$6*LIDER!$H$12+$J$6*LIDER!$H$13+$K$6*LIDER!$H$14+$L$6*LIDER!$H$15,"N"))</f>
        <v>N</v>
      </c>
      <c r="F6" s="143">
        <v>4.5</v>
      </c>
      <c r="G6" s="144">
        <v>4.5</v>
      </c>
      <c r="H6" s="145">
        <v>4.5</v>
      </c>
      <c r="I6" s="144">
        <v>4.5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 t="s">
        <v>100</v>
      </c>
      <c r="E7" s="11" t="str">
        <f>IF(B7=0,0,IF(D7="",$F$6*LIDER!$H$9+$G$6*LIDER!$H$10+$H$6*LIDER!$H$11+$I$6*LIDER!$H$12+$J$6*LIDER!$H$13+$K$6*LIDER!$H$14+$L$6*LIDER!$H$15,"N"))</f>
        <v>N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 t="s">
        <v>100</v>
      </c>
      <c r="E8" s="11" t="str">
        <f>IF(B8=0,0,IF(D8="",$F$6*LIDER!$H$9+$G$6*LIDER!$H$10+$H$6*LIDER!$H$11+$I$6*LIDER!$H$12+$J$6*LIDER!$H$13+$K$6*LIDER!$H$14+$L$6*LIDER!$H$15,"N"))</f>
        <v>N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 t="s">
        <v>100</v>
      </c>
      <c r="E9" s="11" t="str">
        <f>IF(B9=0,0,IF(D9="",$F$6*LIDER!$H$9+$G$6*LIDER!$H$10+$H$6*LIDER!$H$11+$I$6*LIDER!$H$12+$J$6*LIDER!$H$13+$K$6*LIDER!$H$14+$L$6*LIDER!$H$15,"N"))</f>
        <v>N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4.55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4.55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 t="s">
        <v>100</v>
      </c>
      <c r="E13" s="11" t="str">
        <f>IF(B13=0,0,IF(D13="",$F$13*LIDER!$H$9+$G$13*LIDER!$H$10+$H$13*LIDER!$H$11+$I$13*LIDER!$H$12+$J$13*LIDER!$H$13+$K$13*LIDER!$H$14+$L$13*LIDER!$H$15,"N"))</f>
        <v>N</v>
      </c>
      <c r="F13" s="143">
        <v>3.8</v>
      </c>
      <c r="G13" s="144">
        <v>3.8</v>
      </c>
      <c r="H13" s="145">
        <v>4</v>
      </c>
      <c r="I13" s="144">
        <v>4</v>
      </c>
      <c r="J13" s="145">
        <v>4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 t="s">
        <v>100</v>
      </c>
      <c r="E14" s="11" t="str">
        <f>IF(B14=0,0,IF(D14="",$F$13*LIDER!$H$9+$G$13*LIDER!$H$10+$H$13*LIDER!$H$11+$I$13*LIDER!$H$12+$J$13*LIDER!$H$13+$K$13*LIDER!$H$14+$L$13*LIDER!$H$15,"N"))</f>
        <v>N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 t="s">
        <v>100</v>
      </c>
      <c r="E15" s="11" t="str">
        <f>IF(B15=0,0,IF(D15="",$F$13*LIDER!$H$9+$G$13*LIDER!$H$10+$H$13*LIDER!$H$11+$I$13*LIDER!$H$12+$J$13*LIDER!$H$13+$K$13*LIDER!$H$14+$L$13*LIDER!$H$15,"N"))</f>
        <v>N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 t="s">
        <v>100</v>
      </c>
      <c r="E16" s="11" t="str">
        <f>IF(B16=0,0,IF(D16="",$F$13*LIDER!$H$9+$G$13*LIDER!$H$10+$H$13*LIDER!$H$11+$I$13*LIDER!$H$12+$J$13*LIDER!$H$13+$K$13*LIDER!$H$14+$L$13*LIDER!$H$15,"N"))</f>
        <v>N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3.9199999999999995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 t="s">
        <v>100</v>
      </c>
      <c r="E20" s="11" t="str">
        <f>IF(B20=0,0,IF(D20="",$F$20*LIDER!$H$9+$G$20*LIDER!$H$10+$H$20*LIDER!$H$11+$I$20*LIDER!$H$12+$J$20*LIDER!$H$13+$K$20*LIDER!$H$14+$L$20*LIDER!$H$15,"N"))</f>
        <v>N</v>
      </c>
      <c r="F20" s="143">
        <v>4</v>
      </c>
      <c r="G20" s="144">
        <v>3.8</v>
      </c>
      <c r="H20" s="145">
        <v>4</v>
      </c>
      <c r="I20" s="144">
        <v>4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 t="s">
        <v>100</v>
      </c>
      <c r="E21" s="11" t="str">
        <f>IF(B21=0,0,IF(D21="",$F$20*LIDER!$H$9+$G$20*LIDER!$H$10+$H$20*LIDER!$H$11+$I$20*LIDER!$H$12+$J$20*LIDER!$H$13+$K$20*LIDER!$H$14+$L$20*LIDER!$H$15,"N"))</f>
        <v>N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 t="s">
        <v>100</v>
      </c>
      <c r="E22" s="11" t="str">
        <f>IF(B22=0,0,IF(D22="",$F$20*LIDER!$H$9+$G$20*LIDER!$H$10+$H$20*LIDER!$H$11+$I$20*LIDER!$H$12+$J$20*LIDER!$H$13+$K$20*LIDER!$H$14+$L$20*LIDER!$H$15,"N"))</f>
        <v>N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 t="s">
        <v>100</v>
      </c>
      <c r="E23" s="11" t="str">
        <f>IF(B23=0,0,IF(D23="",$F$20*LIDER!$H$9+$G$20*LIDER!$H$10+$H$20*LIDER!$H$11+$I$20*LIDER!$H$12+$J$20*LIDER!$H$13+$K$20*LIDER!$H$14+$L$20*LIDER!$H$15,"N"))</f>
        <v>N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4.0599999999999996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 t="s">
        <v>100</v>
      </c>
      <c r="E27" s="11" t="str">
        <f>IF(B27=0,0,IF(D27="",$F$27*LIDER!$H$9+$G$27*LIDER!$H$10+$H$27*LIDER!$H$11+$I$27*LIDER!$H$12+$J$27*LIDER!$H$13+$K$27*LIDER!$H$14+$L$27*LIDER!$H$15,"N"))</f>
        <v>N</v>
      </c>
      <c r="F27" s="143">
        <v>4.5</v>
      </c>
      <c r="G27" s="144">
        <v>4.5</v>
      </c>
      <c r="H27" s="145">
        <v>4.5</v>
      </c>
      <c r="I27" s="144">
        <v>5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 t="s">
        <v>100</v>
      </c>
      <c r="E28" s="11" t="str">
        <f>IF(B28=0,0,IF(D28="",$F$27*LIDER!$H$9+$G$27*LIDER!$H$10+$H$27*LIDER!$H$11+$I$27*LIDER!$H$12+$J$27*LIDER!$H$13+$K$27*LIDER!$H$14+$L$27*LIDER!$H$15,"N"))</f>
        <v>N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 t="s">
        <v>100</v>
      </c>
      <c r="E29" s="11" t="str">
        <f>IF(B29=0,0,IF(D29="",$F$27*LIDER!$H$9+$G$27*LIDER!$H$10+$H$27*LIDER!$H$11+$I$27*LIDER!$H$12+$J$27*LIDER!$H$13+$K$27*LIDER!$H$14+$L$27*LIDER!$H$15,"N"))</f>
        <v>N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 t="s">
        <v>100</v>
      </c>
      <c r="E30" s="11" t="str">
        <f>IF(B30=0,0,IF(D30="",$F$27*LIDER!$H$9+$G$27*LIDER!$H$10+$H$27*LIDER!$H$11+$I$27*LIDER!$H$12+$J$27*LIDER!$H$13+$K$27*LIDER!$H$14+$L$27*LIDER!$H$15,"N"))</f>
        <v>N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4.6500000000000004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26" activePane="bottomRight" state="frozen"/>
      <selection pane="bottomRight" activeCell="D7" sqref="D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FORMULACIÓN Y EV. DE PROYECTOS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FORMULACIÓN Y EV. DE PROYECTOS - 1390 - GABRIEL OVIEDO BURGOS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3.9099999999999997</v>
      </c>
      <c r="F6" s="143">
        <v>4</v>
      </c>
      <c r="G6" s="144">
        <v>4</v>
      </c>
      <c r="H6" s="145">
        <v>3.7</v>
      </c>
      <c r="I6" s="144">
        <v>4</v>
      </c>
      <c r="J6" s="145">
        <v>4</v>
      </c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 t="s">
        <v>100</v>
      </c>
      <c r="E7" s="11" t="str">
        <f>IF(B7=0,0,IF(D7="",$F$6*LIDER!$H$9+$G$6*LIDER!$H$10+$H$6*LIDER!$H$11+$I$6*LIDER!$H$12+$J$6*LIDER!$H$13+$K$6*LIDER!$H$14+$L$6*LIDER!$H$15,"N"))</f>
        <v>N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3.9099999999999997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3.9099999999999997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3.9099999999999997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3.9099999999999997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3.16</v>
      </c>
      <c r="F13" s="143">
        <v>3.3</v>
      </c>
      <c r="G13" s="144">
        <v>3</v>
      </c>
      <c r="H13" s="145">
        <v>3</v>
      </c>
      <c r="I13" s="144">
        <v>3.5</v>
      </c>
      <c r="J13" s="145">
        <v>3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3.16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3.16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3.16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3.16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4.6400000000000006</v>
      </c>
      <c r="F20" s="143">
        <v>4.5</v>
      </c>
      <c r="G20" s="144">
        <v>4.5</v>
      </c>
      <c r="H20" s="145">
        <v>4.8</v>
      </c>
      <c r="I20" s="144">
        <v>4.5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4.6400000000000006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4.6400000000000006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4.6400000000000006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4.6400000000000006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4.57</v>
      </c>
      <c r="F27" s="143">
        <v>4.4000000000000004</v>
      </c>
      <c r="G27" s="144">
        <v>4.4000000000000004</v>
      </c>
      <c r="H27" s="145">
        <v>4.7</v>
      </c>
      <c r="I27" s="144">
        <v>4.5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4.57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4.57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4.57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4.57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12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SIST INFORM E INTEL NEG:VT/IC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SIST INFORM E INTEL NEG:VT/IC - 2895 - WILMER SIMARRA CAÑATE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4.08</v>
      </c>
      <c r="F6" s="143">
        <v>4</v>
      </c>
      <c r="G6" s="144">
        <v>3.9</v>
      </c>
      <c r="H6" s="145">
        <v>4</v>
      </c>
      <c r="I6" s="144">
        <v>4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4.08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4.08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4.08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4.08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4.08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3.9200000000000004</v>
      </c>
      <c r="F13" s="143">
        <v>3.8</v>
      </c>
      <c r="G13" s="144">
        <v>4</v>
      </c>
      <c r="H13" s="145">
        <v>3.8</v>
      </c>
      <c r="I13" s="144">
        <v>3.6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3.9200000000000004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3.9200000000000004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3.9200000000000004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3.9200000000000004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4.1000000000000005</v>
      </c>
      <c r="F20" s="143">
        <v>4</v>
      </c>
      <c r="G20" s="144">
        <v>4.2</v>
      </c>
      <c r="H20" s="145">
        <v>4.2</v>
      </c>
      <c r="I20" s="144">
        <v>3.5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4.1000000000000005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4.1000000000000005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4.1000000000000005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4.1000000000000005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</v>
      </c>
      <c r="F27" s="143">
        <v>4.5</v>
      </c>
      <c r="G27" s="144">
        <v>4.2</v>
      </c>
      <c r="H27" s="145">
        <v>4</v>
      </c>
      <c r="I27" s="144">
        <v>3.8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4.2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SISTEMA INTEGRADO DE GESTION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>SISTEMA INTEGRADO DE GESTION - 2433 - JOHNNY DE JESUS MENDOZA DORIA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SEM-06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LIDER!I4</f>
        <v>INTRODUCCIÓN A LOS NEGOCIOS IN</v>
      </c>
      <c r="C2" s="82"/>
      <c r="D2" s="3"/>
      <c r="F2" s="149" t="s">
        <v>76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77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 xml:space="preserve">RESULTADOS:  Definir las fuentes de información (primarias y/o secundarias), Identificar los sistemas de información internos y externos, Descripción del alcance del proyecto y delimitación de actividades de este (EDT) Y Describir desde el análisis de las condiciones de acceso mercado de su producto o servicios en los tres (3) mercados potenciales teniendo en cuenta los aspectos (PESTEL)): Político, Económico, Social, Tecnológico, Ecológico y Legal 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>INTRODUCCIÓN A LOS NEGOCIOS IN - 3382 - JEYSSON STEEVEN ANILLO CARRANZA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72</v>
      </c>
      <c r="C5" s="88" t="s">
        <v>78</v>
      </c>
      <c r="D5" s="32" t="s">
        <v>79</v>
      </c>
      <c r="E5" s="89" t="s">
        <v>80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JOSYMAR BALLESTEROS MATOS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SHARID MICHELL GARCIA MARTINEZ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SHEILA ALEJANDRA MONTERO BALSEIRO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LAURA VALENTINA RIVERO MADRID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 t="str">
        <f>LIDER!E47</f>
        <v>ANGEL DE JESUS BAYUELO MESTRA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 t="str">
        <f>LIDER!E48</f>
        <v>JOSUE DANIEL DONADO PAJARO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73</v>
      </c>
      <c r="C12" s="88" t="s">
        <v>81</v>
      </c>
      <c r="D12" s="32" t="str">
        <f>D5</f>
        <v>LIST</v>
      </c>
      <c r="E12" s="89" t="s">
        <v>80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ANGEL DE JESUS ARZUZA PEREZ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CEIDY LORENA CERA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IRAMA ALEXANDRA JARAMILLO GARCIA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JULIÁN ANDRÉS TABORDA LEÓN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ANGELA PATRICIA JULIO GOMEZ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74</v>
      </c>
      <c r="C19" s="88" t="s">
        <v>82</v>
      </c>
      <c r="D19" s="32" t="str">
        <f>D12</f>
        <v>LIST</v>
      </c>
      <c r="E19" s="89" t="s">
        <v>80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DIEGO ALEJANDRO CANCIO POLO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LEVI MATURANA AGUALIMPIA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SEBASTIAN RAMIREZ MONSALVE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JUAN ANDRES RUIZ PEÑA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MAURICIO SABALZA PAJARO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75</v>
      </c>
      <c r="C26" s="88" t="s">
        <v>83</v>
      </c>
      <c r="D26" s="32" t="str">
        <f>D19</f>
        <v>LIST</v>
      </c>
      <c r="E26" s="89" t="s">
        <v>80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MARIANA ALEJANDRA ARENAS BUSTILLO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RANYELYS MARIAN AYOLA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DANIELA FIGUEROA CASTELLAR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DANIEL DE JESUS VILLADIEGO VELASQUEZ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LAURI VANESSA JIMENEZ ARCIA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84</v>
      </c>
      <c r="C33" s="88" t="s">
        <v>85</v>
      </c>
      <c r="D33" s="32" t="str">
        <f>D26</f>
        <v>LIST</v>
      </c>
      <c r="E33" s="89" t="s">
        <v>80</v>
      </c>
      <c r="F33" s="142">
        <f>LIDER!$E$33</f>
        <v>0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86</v>
      </c>
      <c r="C40" s="88" t="s">
        <v>87</v>
      </c>
      <c r="D40" s="32" t="str">
        <f>D33</f>
        <v>LIST</v>
      </c>
      <c r="E40" s="89" t="s">
        <v>80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88</v>
      </c>
      <c r="C47" s="88" t="s">
        <v>89</v>
      </c>
      <c r="D47" s="32" t="str">
        <f>D40</f>
        <v>LIST</v>
      </c>
      <c r="E47" s="89" t="s">
        <v>80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90</v>
      </c>
      <c r="C54" s="88" t="s">
        <v>91</v>
      </c>
      <c r="D54" s="32" t="str">
        <f>D47</f>
        <v>LIST</v>
      </c>
      <c r="E54" s="89" t="s">
        <v>80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92</v>
      </c>
      <c r="C61" s="88" t="s">
        <v>93</v>
      </c>
      <c r="D61" s="32" t="str">
        <f>D54</f>
        <v>LIST</v>
      </c>
      <c r="E61" s="89" t="s">
        <v>80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94</v>
      </c>
      <c r="C68" s="88" t="s">
        <v>95</v>
      </c>
      <c r="D68" s="32" t="str">
        <f>D61</f>
        <v>LIST</v>
      </c>
      <c r="E68" s="89" t="s">
        <v>80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96</v>
      </c>
      <c r="C75" s="88" t="s">
        <v>97</v>
      </c>
      <c r="D75" s="32" t="str">
        <f>D68</f>
        <v>LIST</v>
      </c>
      <c r="E75" s="89" t="s">
        <v>80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98</v>
      </c>
      <c r="C82" s="88" t="s">
        <v>99</v>
      </c>
      <c r="D82" s="32" t="str">
        <f>D75</f>
        <v>LIST</v>
      </c>
      <c r="E82" s="89" t="s">
        <v>80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6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GEOPOLITICA Y COMERCIO INTERNA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GEOPOLITICA Y COMERCIO INTERNA - 2889 - HUMBERTO MARQUEZ PEÑALOZA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80</v>
      </c>
      <c r="E5" s="206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0</v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IF('S-ASIG-01'!D12="","",'S-ASIG-01'!D12)</f>
        <v>LIST</v>
      </c>
      <c r="D12" s="35" t="s">
        <v>80</v>
      </c>
      <c r="E12" s="206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IF('S-ASIG-01'!D19="","",'S-ASIG-01'!D19)</f>
        <v>LIST</v>
      </c>
      <c r="D19" s="35" t="s">
        <v>80</v>
      </c>
      <c r="E19" s="206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IF('S-ASIG-01'!D26="","",'S-ASIG-01'!D26)</f>
        <v>LIST</v>
      </c>
      <c r="D26" s="35" t="s">
        <v>80</v>
      </c>
      <c r="E26" s="206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IF('S-ASIG-01'!D33="","",'S-ASIG-01'!D33)</f>
        <v>LIST</v>
      </c>
      <c r="D33" s="35" t="s">
        <v>80</v>
      </c>
      <c r="E33" s="206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1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1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IF('S-ASIG-01'!D40="","",'S-ASIG-01'!D40)</f>
        <v>LIST</v>
      </c>
      <c r="D40" s="35" t="s">
        <v>80</v>
      </c>
      <c r="E40" s="206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IF('S-ASIG-01'!D47="","",'S-ASIG-01'!D47)</f>
        <v>LIST</v>
      </c>
      <c r="D47" s="35" t="s">
        <v>80</v>
      </c>
      <c r="E47" s="206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IF('S-ASIG-01'!D54="","",'S-ASIG-01'!D54)</f>
        <v>LIST</v>
      </c>
      <c r="D54" s="35" t="s">
        <v>80</v>
      </c>
      <c r="E54" s="206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IF('S-ASIG-01'!D61="","",'S-ASIG-01'!D61)</f>
        <v>LIST</v>
      </c>
      <c r="D61" s="35" t="s">
        <v>80</v>
      </c>
      <c r="E61" s="206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IF('S-ASIG-01'!D68="","",'S-ASIG-01'!D68)</f>
        <v>LIST</v>
      </c>
      <c r="D68" s="35" t="s">
        <v>80</v>
      </c>
      <c r="E68" s="206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IF('S-ASIG-01'!D75="","",'S-ASIG-01'!D75)</f>
        <v>LIST</v>
      </c>
      <c r="D75" s="35" t="s">
        <v>80</v>
      </c>
      <c r="E75" s="206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IF('S-ASIG-01'!D82="","",'S-ASIG-01'!D82)</f>
        <v>LIST</v>
      </c>
      <c r="D82" s="35" t="s">
        <v>80</v>
      </c>
      <c r="E82" s="206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6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REGIMEN CAMBIARIO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REGIMEN CAMBIARIO - 2890 - ABRAHAN RINALDI VILLALOBOS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IF('S-ASIG-02'!D12="","",'S-ASIG-02'!D12)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IF('S-ASIG-02'!D19="","",'S-ASIG-02'!D19)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IF('S-ASIG-02'!D26="","",'S-ASIG-02'!D26)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IF('S-ASIG-02'!D33="","",'S-ASIG-02'!D33)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IF('S-ASIG-02'!D40="","",'S-ASIG-02'!D40)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IF('S-ASIG-02'!D47="","",'S-ASIG-02'!D47)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IF('S-ASIG-02'!D54="","",'S-ASIG-02'!D54)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IF('S-ASIG-02'!D61="","",'S-ASIG-02'!D61)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IF('S-ASIG-02'!D68="","",'S-ASIG-02'!D68)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IF('S-ASIG-02'!D75="","",'S-ASIG-02'!D75)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IF('S-ASIG-02'!D82="","",'S-ASIG-02'!D82)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7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LEGISLACION PARA EL COMERCIO - 2354 - ANGELICA PAOLA DOMINGUEZ CASTELLAR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IF('S-ASIG-03'!D6="","",'S-ASIG-03'!D6)</f>
        <v>N</v>
      </c>
      <c r="D6" s="30" t="str">
        <f>IF(B6=0,"",IF(C6="",$E$6*LIDER!$H$19+F6*LIDER!$H$20+G6*LIDER!$H$21+H6*LIDER!$H$22+I6*LIDER!$H$23+J6*LIDER!$H$24+K6*LIDER!$H$25,"N"))</f>
        <v>N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IF('S-ASIG-03'!D7="","",'S-ASIG-03'!D7)</f>
        <v>N</v>
      </c>
      <c r="D7" s="30" t="str">
        <f>IF(B7=0,"",IF(C7="",$E$6*LIDER!$H$19+F7*LIDER!$H$20+G7*LIDER!$H$21+H7*LIDER!$H$22+I7*LIDER!$H$23+J7*LIDER!$H$24+K7*LIDER!$H$25,"N"))</f>
        <v>N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IF('S-ASIG-03'!D8="","",'S-ASIG-03'!D8)</f>
        <v>N</v>
      </c>
      <c r="D8" s="30" t="str">
        <f>IF(B8=0,"",IF(C8="",$E$6*LIDER!$H$19+F8*LIDER!$H$20+G8*LIDER!$H$21+H8*LIDER!$H$22+I8*LIDER!$H$23+J8*LIDER!$H$24+K8*LIDER!$H$25,"N"))</f>
        <v>N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IF('S-ASIG-03'!D9="","",'S-ASIG-03'!D9)</f>
        <v>N</v>
      </c>
      <c r="D9" s="30" t="str">
        <f>IF(B9=0,"",IF(C9="",$E$6*LIDER!$H$19+F9*LIDER!$H$20+G9*LIDER!$H$21+H9*LIDER!$H$22+I9*LIDER!$H$23+J9*LIDER!$H$24+K9*LIDER!$H$25,"N"))</f>
        <v>N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IF('S-ASIG-03'!D12="","",'S-ASIG-03'!D12)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IF('S-ASIG-03'!D13="","",'S-ASIG-03'!D13)</f>
        <v>N</v>
      </c>
      <c r="D13" s="30" t="str">
        <f>IF(B13=0,"",IF(C13="",$E$13*LIDER!$H$19+F13*LIDER!$H$20+G13*LIDER!$H$21+H13*LIDER!$H$22+I13*LIDER!$H$23+J13*LIDER!$H$24+K13*LIDER!$H$25,"N"))</f>
        <v>N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IF('S-ASIG-03'!D14="","",'S-ASIG-03'!D14)</f>
        <v>N</v>
      </c>
      <c r="D14" s="30" t="str">
        <f>IF(B14=0,"",IF(C14="",$E$13*LIDER!$H$19+F14*LIDER!$H$20+G14*LIDER!$H$21+H14*LIDER!$H$22+I14*LIDER!$H$23+J14*LIDER!$H$24+K14*LIDER!$H$25,"N"))</f>
        <v>N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IF('S-ASIG-03'!D15="","",'S-ASIG-03'!D15)</f>
        <v>N</v>
      </c>
      <c r="D15" s="30" t="str">
        <f>IF(B15=0,"",IF(C15="",$E$13*LIDER!$H$19+F15*LIDER!$H$20+G15*LIDER!$H$21+H15*LIDER!$H$22+I15*LIDER!$H$23+J15*LIDER!$H$24+K15*LIDER!$H$25,"N"))</f>
        <v>N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IF('S-ASIG-03'!D16="","",'S-ASIG-03'!D16)</f>
        <v>N</v>
      </c>
      <c r="D16" s="30" t="str">
        <f>IF(B16=0,"",IF(C16="",$E$13*LIDER!$H$19+F16*LIDER!$H$20+G16*LIDER!$H$21+H16*LIDER!$H$22+I16*LIDER!$H$23+J16*LIDER!$H$24+K16*LIDER!$H$25,"N"))</f>
        <v>N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IF('S-ASIG-03'!D19="","",'S-ASIG-03'!D19)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IF('S-ASIG-03'!D20="","",'S-ASIG-03'!D20)</f>
        <v>N</v>
      </c>
      <c r="D20" s="30" t="str">
        <f>IF(B20=0,"",IF(C20="",$E$20*LIDER!$H$19+F20*LIDER!$H$20+G20*LIDER!$H$21+H20*LIDER!$H$22+I20*LIDER!$H$23+J20*LIDER!$H$24+K20*LIDER!$H$25,"N"))</f>
        <v>N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IF('S-ASIG-03'!D21="","",'S-ASIG-03'!D21)</f>
        <v>N</v>
      </c>
      <c r="D21" s="30" t="str">
        <f>IF(B21=0,"",IF(C21="",$E$20*LIDER!$H$19+F21*LIDER!$H$20+G21*LIDER!$H$21+H21*LIDER!$H$22+I21*LIDER!$H$23+J21*LIDER!$H$24+K21*LIDER!$H$25,"N"))</f>
        <v>N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IF('S-ASIG-03'!D22="","",'S-ASIG-03'!D22)</f>
        <v>N</v>
      </c>
      <c r="D22" s="30" t="str">
        <f>IF(B22=0,"",IF(C22="",$E$20*LIDER!$H$19+F22*LIDER!$H$20+G22*LIDER!$H$21+H22*LIDER!$H$22+I22*LIDER!$H$23+J22*LIDER!$H$24+K22*LIDER!$H$25,"N"))</f>
        <v>N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IF('S-ASIG-03'!D23="","",'S-ASIG-03'!D23)</f>
        <v>N</v>
      </c>
      <c r="D23" s="30" t="str">
        <f>IF(B23=0,"",IF(C23="",$E$20*LIDER!$H$19+F23*LIDER!$H$20+G23*LIDER!$H$21+H23*LIDER!$H$22+I23*LIDER!$H$23+J23*LIDER!$H$24+K23*LIDER!$H$25,"N"))</f>
        <v>N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IF('S-ASIG-03'!D26="","",'S-ASIG-03'!D26)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IF('S-ASIG-03'!D27="","",'S-ASIG-03'!D27)</f>
        <v>N</v>
      </c>
      <c r="D27" s="30" t="str">
        <f>IF(B27=0,"",IF(C27="",$E$27*LIDER!$H$19+F27*LIDER!$H$20+G27*LIDER!$H$21+H27*LIDER!$H$22+I27*LIDER!$H$23+J27*LIDER!$H$24+K27*LIDER!$H$25,"N"))</f>
        <v>N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IF('S-ASIG-03'!D28="","",'S-ASIG-03'!D28)</f>
        <v>N</v>
      </c>
      <c r="D28" s="30" t="str">
        <f>IF(B28=0,"",IF(C28="",$E$27*LIDER!$H$19+F28*LIDER!$H$20+G28*LIDER!$H$21+H28*LIDER!$H$22+I28*LIDER!$H$23+J28*LIDER!$H$24+K28*LIDER!$H$25,"N"))</f>
        <v>N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IF('S-ASIG-03'!D29="","",'S-ASIG-03'!D29)</f>
        <v>N</v>
      </c>
      <c r="D29" s="30" t="str">
        <f>IF(B29=0,"",IF(C29="",$E$27*LIDER!$H$19+F29*LIDER!$H$20+G29*LIDER!$H$21+H29*LIDER!$H$22+I29*LIDER!$H$23+J29*LIDER!$H$24+K29*LIDER!$H$25,"N"))</f>
        <v>N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IF('S-ASIG-03'!D30="","",'S-ASIG-03'!D30)</f>
        <v>N</v>
      </c>
      <c r="D30" s="30" t="str">
        <f>IF(B30=0,"",IF(C30="",$E$27*LIDER!$H$19+F30*LIDER!$H$20+G30*LIDER!$H$21+H30*LIDER!$H$22+I30*LIDER!$H$23+J30*LIDER!$H$24+K30*LIDER!$H$25,"N"))</f>
        <v>N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IF('S-ASIG-03'!D33="","",'S-ASIG-03'!D33)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IF('S-ASIG-03'!D40="","",'S-ASIG-03'!D40)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IF('S-ASIG-03'!D47="","",'S-ASIG-03'!D47)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IF('S-ASIG-03'!D54="","",'S-ASIG-03'!D54)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IF('S-ASIG-03'!D61="","",'S-ASIG-03'!D61)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IF('S-ASIG-03'!D68="","",'S-ASIG-03'!D68)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IF('S-ASIG-03'!D75="","",'S-ASIG-03'!D75)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IF('S-ASIG-03'!D82="","",'S-ASIG-03'!D82)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7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FORMULACIÓN Y EV. DE PROYECTOS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FORMULACIÓN Y EV. DE PROYECTOS - 1390 - GABRIEL OVIEDO BURGOS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IF('S-ASIG-04'!D7="","",'S-ASIG-04'!D7)</f>
        <v>N</v>
      </c>
      <c r="D7" s="30" t="str">
        <f>IF(B7=0,"",IF(C7="",$E$6*LIDER!$H$19+F7*LIDER!$H$20+G7*LIDER!$H$21+H7*LIDER!$H$22+I7*LIDER!$H$23+J7*LIDER!$H$24+K7*LIDER!$H$25,"N"))</f>
        <v>N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IF('S-ASIG-04'!D12="","",'S-ASIG-04'!D12)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IF('S-ASIG-04'!D19="","",'S-ASIG-04'!D19)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IF('S-ASIG-04'!D26="","",'S-ASIG-04'!D26)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IF('S-ASIG-04'!D33="","",'S-ASIG-04'!D33)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IF('S-ASIG-04'!D40="","",'S-ASIG-04'!D40)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IF('S-ASIG-04'!D47="","",'S-ASIG-04'!D47)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IF('S-ASIG-04'!D54="","",'S-ASIG-04'!D54)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IF('S-ASIG-04'!D61="","",'S-ASIG-04'!D61)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IF('S-ASIG-04'!D68="","",'S-ASIG-04'!D68)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IF('S-ASIG-04'!D75="","",'S-ASIG-04'!D75)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IF('S-ASIG-04'!D82="","",'S-ASIG-04'!D82)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7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SIST INFORM E INTEL NEG:VT/IC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SIST INFORM E INTEL NEG:VT/IC - 2895 - WILMER SIMARRA CAÑATE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IF('S-ASIG-05'!D12="","",'S-ASIG-05'!D12)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IF('S-ASIG-05'!D19="","",'S-ASIG-05'!D19)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IF('S-ASIG-05'!D26="","",'S-ASIG-05'!D26)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IF('S-ASIG-05'!D33="","",'S-ASIG-05'!D33)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IF('S-ASIG-05'!D40="","",'S-ASIG-05'!D40)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IF('S-ASIG-05'!D47="","",'S-ASIG-05'!D47)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IF('S-ASIG-05'!D54="","",'S-ASIG-05'!D54)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IF('S-ASIG-05'!D61="","",'S-ASIG-05'!D61)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IF('S-ASIG-05'!D68="","",'S-ASIG-05'!D68)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IF('S-ASIG-05'!D75="","",'S-ASIG-05'!D75)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IF('S-ASIG-05'!D82="","",'S-ASIG-05'!D82)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6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SISTEMA INTEGRADO DE GESTION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>SISTEMA INTEGRADO DE GESTION - 2433 - JOHNNY DE JESUS MENDOZA DORIA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IF('S-ASIG-06'!D12="","",'S-ASIG-06'!D12)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IF('S-ASIG-06'!D19="","",'S-ASIG-06'!D19)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IF('S-ASIG-06'!D26="","",'S-ASIG-06'!D26)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IF('S-ASIG-06'!D33="","",'S-ASIG-06'!D33)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IF('S-ASIG-06'!D40="","",'S-ASIG-06'!D40)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IF('S-ASIG-06'!D47="","",'S-ASIG-06'!D47)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IF('S-ASIG-06'!D54="","",'S-ASIG-06'!D54)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IF('S-ASIG-06'!D61="","",'S-ASIG-06'!D61)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IF('S-ASIG-06'!D68="","",'S-ASIG-06'!D68)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IF('S-ASIG-06'!D75="","",'S-ASIG-06'!D75)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IF('S-ASIG-06'!D82="","",'S-ASIG-06'!D82)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E3" sqref="E3"/>
      <selection pane="bottomLeft" activeCell="E3" sqref="E3"/>
      <selection pane="topRight" activeCell="E3" sqref="E3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SEM-06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LIDER!I4</f>
        <v>INTRODUCCIÓN A LOS NEGOCIOS IN</v>
      </c>
      <c r="C2" s="3"/>
      <c r="E2" s="207" t="s">
        <v>76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77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>INTRODUCCIÓN A LOS NEGOCIOS IN - 3382 - JEYSSON STEEVEN ANILLO CARRANZA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80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JOSYMAR BALLESTEROS MATOS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SHARID MICHELL GARCIA MARTINEZ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SHEILA ALEJANDRA MONTERO BALSEIRO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LAURA VALENTINA RIVERO MADRID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 DE JESUS BAYUELO MESTRA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JOSUE DANIEL DONADO PAJARO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73</v>
      </c>
      <c r="C12" s="32" t="str">
        <f>IF('S-ASIG-07'!D12="","",'S-ASIG-07'!D12)</f>
        <v>LIST</v>
      </c>
      <c r="D12" s="35" t="s">
        <v>80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ANGEL DE JESUS ARZUZA PEREZ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CEIDY LORENA CERA JULIO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IRAMA ALEXANDRA JARAMILLO GARCIA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JULIÁN ANDRÉS TABORDA LEÓN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ANGELA PATRICIA JULIO GOMEZ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IF('S-ASIG-07'!D19="","",'S-ASIG-07'!D19)</f>
        <v>LIST</v>
      </c>
      <c r="D19" s="35" t="s">
        <v>80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DIEGO ALEJANDRO CANCIO POLO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LEVI MATURANA AGUALIMPIA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SEBASTIAN RAMIREZ MONSALVE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JUAN ANDRES RUIZ PEÑA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MAURICIO SABALZA PAJARO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75</v>
      </c>
      <c r="C26" s="32" t="str">
        <f>IF('S-ASIG-07'!D26="","",'S-ASIG-07'!D26)</f>
        <v>LIST</v>
      </c>
      <c r="D26" s="35" t="s">
        <v>80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MARIANA ALEJANDRA ARENAS BUSTILLO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RANYELYS MARIAN AYOLA PEREZ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DANIELA FIGUEROA CASTELLAR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DANIEL DE JESUS VILLADIEGO VELASQUEZ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LAURI VANESSA JIMENEZ ARCIA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84</v>
      </c>
      <c r="C33" s="32" t="str">
        <f>IF('S-ASIG-07'!D33="","",'S-ASIG-07'!D33)</f>
        <v>LIST</v>
      </c>
      <c r="D33" s="35" t="s">
        <v>80</v>
      </c>
      <c r="E33" s="142">
        <f>LIDER!$E$33</f>
        <v>0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86</v>
      </c>
      <c r="C40" s="32" t="str">
        <f>IF('S-ASIG-07'!D40="","",'S-ASIG-07'!D40)</f>
        <v>LIST</v>
      </c>
      <c r="D40" s="35" t="s">
        <v>80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88</v>
      </c>
      <c r="C47" s="32" t="str">
        <f>IF('S-ASIG-07'!D47="","",'S-ASIG-07'!D47)</f>
        <v>LIST</v>
      </c>
      <c r="D47" s="35" t="s">
        <v>80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90</v>
      </c>
      <c r="C54" s="32" t="str">
        <f>IF('S-ASIG-07'!D54="","",'S-ASIG-07'!D54)</f>
        <v>LIST</v>
      </c>
      <c r="D54" s="35" t="s">
        <v>80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92</v>
      </c>
      <c r="C61" s="32" t="str">
        <f>IF('S-ASIG-07'!D61="","",'S-ASIG-07'!D61)</f>
        <v>LIST</v>
      </c>
      <c r="D61" s="35" t="s">
        <v>80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94</v>
      </c>
      <c r="C68" s="32" t="str">
        <f>IF('S-ASIG-07'!D68="","",'S-ASIG-07'!D68)</f>
        <v>LIST</v>
      </c>
      <c r="D68" s="35" t="s">
        <v>80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96</v>
      </c>
      <c r="C75" s="32" t="str">
        <f>IF('S-ASIG-07'!D75="","",'S-ASIG-07'!D75)</f>
        <v>LIST</v>
      </c>
      <c r="D75" s="35" t="s">
        <v>80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98</v>
      </c>
      <c r="C82" s="32" t="str">
        <f>IF('S-ASIG-07'!D82="","",'S-ASIG-07'!D82)</f>
        <v>LIST</v>
      </c>
      <c r="D82" s="35" t="s">
        <v>80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17" activePane="bottomRight" state="frozen"/>
      <selection pane="bottomRight" activeCell="B25" sqref="B25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NEGOCIOS INTERNACIONALES PROFESIONAL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SEM-06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0" t="s">
        <v>101</v>
      </c>
      <c r="H2" s="211"/>
      <c r="I2" s="211"/>
      <c r="J2" s="211"/>
      <c r="K2" s="211"/>
      <c r="L2" s="211"/>
      <c r="M2" s="212"/>
      <c r="N2" s="2"/>
      <c r="O2" s="215" t="s">
        <v>102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2889</v>
      </c>
      <c r="H3" s="49" t="str">
        <f>CONCATENATE("N° : ",LIDER!D6)</f>
        <v>N° : 2890</v>
      </c>
      <c r="I3" s="49" t="str">
        <f>CONCATENATE("N° : ",LIDER!E6)</f>
        <v>N° : 2354</v>
      </c>
      <c r="J3" s="49" t="str">
        <f>CONCATENATE("N° : ",LIDER!F6)</f>
        <v>N° : 1390</v>
      </c>
      <c r="K3" s="49" t="str">
        <f>CONCATENATE("N° : ",LIDER!G6)</f>
        <v>N° : 2895</v>
      </c>
      <c r="L3" s="49" t="str">
        <f>CONCATENATE("N° : ",LIDER!H6)</f>
        <v>N° : 2433</v>
      </c>
      <c r="M3" s="50" t="str">
        <f>CONCATENATE("N° : ",LIDER!I6)</f>
        <v>N° : 3382</v>
      </c>
      <c r="O3" s="48" t="str">
        <f>G3</f>
        <v>N° : 2889</v>
      </c>
      <c r="P3" s="49" t="str">
        <f t="shared" ref="P3:U3" si="0">H3</f>
        <v>N° : 2890</v>
      </c>
      <c r="Q3" s="49" t="str">
        <f t="shared" si="0"/>
        <v>N° : 2354</v>
      </c>
      <c r="R3" s="49" t="str">
        <f t="shared" si="0"/>
        <v>N° : 1390</v>
      </c>
      <c r="S3" s="49" t="str">
        <f t="shared" si="0"/>
        <v>N° : 2895</v>
      </c>
      <c r="T3" s="49" t="str">
        <f t="shared" si="0"/>
        <v>N° : 2433</v>
      </c>
      <c r="U3" s="50" t="str">
        <f t="shared" si="0"/>
        <v>N° : 3382</v>
      </c>
    </row>
    <row r="4" spans="1:22" ht="30" customHeight="1" thickBot="1">
      <c r="A4" s="51"/>
      <c r="B4" s="52" t="s">
        <v>25</v>
      </c>
      <c r="C4" s="53" t="s">
        <v>103</v>
      </c>
      <c r="D4" s="54" t="s">
        <v>104</v>
      </c>
      <c r="E4" s="55" t="s">
        <v>105</v>
      </c>
      <c r="G4" s="56" t="str">
        <f>MID(LIDER!C4,1,9)</f>
        <v>GEOPOLITI</v>
      </c>
      <c r="H4" s="57" t="str">
        <f>MID(LIDER!D4,1,9)</f>
        <v>REGIMEN C</v>
      </c>
      <c r="I4" s="57" t="str">
        <f>MID(LIDER!E4,1,9)</f>
        <v>LEGISLACI</v>
      </c>
      <c r="J4" s="57" t="str">
        <f>MID(LIDER!F4,1,9)</f>
        <v>FORMULACI</v>
      </c>
      <c r="K4" s="57" t="str">
        <f>MID(LIDER!G4,1,9)</f>
        <v>SIST INFO</v>
      </c>
      <c r="L4" s="57" t="str">
        <f>MID(LIDER!H4,1,9)</f>
        <v>SISTEMA I</v>
      </c>
      <c r="M4" s="58" t="str">
        <f>MID(LIDER!I4,1,9)</f>
        <v>INTRODUCC</v>
      </c>
      <c r="N4" s="59" t="s">
        <v>106</v>
      </c>
      <c r="O4" s="60" t="str">
        <f t="shared" ref="O4:U4" si="1">G4</f>
        <v>GEOPOLITI</v>
      </c>
      <c r="P4" s="61" t="str">
        <f t="shared" si="1"/>
        <v>REGIMEN C</v>
      </c>
      <c r="Q4" s="61" t="str">
        <f t="shared" si="1"/>
        <v>LEGISLACI</v>
      </c>
      <c r="R4" s="61" t="str">
        <f t="shared" si="1"/>
        <v>FORMULACI</v>
      </c>
      <c r="S4" s="61" t="str">
        <f t="shared" si="1"/>
        <v>SIST INFO</v>
      </c>
      <c r="T4" s="61" t="str">
        <f t="shared" si="1"/>
        <v>SISTEMA I</v>
      </c>
      <c r="U4" s="62" t="str">
        <f t="shared" si="1"/>
        <v>INTRODUCC</v>
      </c>
      <c r="V4" s="59" t="s">
        <v>107</v>
      </c>
    </row>
    <row r="5" spans="1:22" ht="15" customHeight="1">
      <c r="A5" s="12">
        <v>1</v>
      </c>
      <c r="B5" s="63" t="str">
        <f>LIDER!C9</f>
        <v>JOSYMAR BALLESTEROS MATOS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3.915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3.3500000000000005</v>
      </c>
      <c r="H5" s="65">
        <f>IF(B5=0,"",IFERROR(VLOOKUP(B5,'S-ASIG-02'!$B$5:$E$88,4,0),0))</f>
        <v>4.32</v>
      </c>
      <c r="I5" s="65" t="str">
        <f>IF(B5=0,"",IFERROR(VLOOKUP(B5,'S-ASIG-03'!$B$5:$E$88,4,0),0))</f>
        <v>N</v>
      </c>
      <c r="J5" s="65">
        <f>IF(B5=0,"",IFERROR(VLOOKUP(B5,'S-ASIG-04'!$B$5:$E$88,4,0),0))</f>
        <v>3.9099999999999997</v>
      </c>
      <c r="K5" s="65">
        <f>IF(B5=0,"",IFERROR(VLOOKUP(B5,'S-ASIG-05'!$B$5:$E$88,4,0),0))</f>
        <v>4.08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108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 t="str">
        <f>IF(B5=0,"",IFERROR(VLOOKUP(B5,'T-ASIG-03'!$B$5:$D$88,3,0),0))</f>
        <v>N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109</v>
      </c>
    </row>
    <row r="6" spans="1:22" ht="15" customHeight="1">
      <c r="A6" s="12">
        <v>2</v>
      </c>
      <c r="B6" s="70" t="str">
        <f>LIDER!C10</f>
        <v>SHARID MICHELL GARCIA MARTINEZ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3.9166666666666665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3.3500000000000005</v>
      </c>
      <c r="H6" s="72">
        <f>IF(B6=0,"",IFERROR(VLOOKUP(B6,'S-ASIG-02'!$B$5:$E$88,4,0),0))</f>
        <v>4.32</v>
      </c>
      <c r="I6" s="72" t="str">
        <f>IF(B6=0,"",IFERROR(VLOOKUP(B6,'S-ASIG-03'!$B$5:$E$88,4,0),0))</f>
        <v>N</v>
      </c>
      <c r="J6" s="72" t="str">
        <f>IF(B6=0,"",IFERROR(VLOOKUP(B6,'S-ASIG-04'!$B$5:$E$88,4,0),0))</f>
        <v>N</v>
      </c>
      <c r="K6" s="72">
        <f>IF(B6=0,"",IFERROR(VLOOKUP(B6,'S-ASIG-05'!$B$5:$E$88,4,0),0))</f>
        <v>4.08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108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 t="str">
        <f>IF(B6=0,"",IFERROR(VLOOKUP(B6,'T-ASIG-03'!$B$5:$D$88,3,0),0))</f>
        <v>N</v>
      </c>
      <c r="R6" s="72" t="str">
        <f>IF(B6=0,"",IFERROR(VLOOKUP(B6,'T-ASIG-04'!$B$5:$D$88,3,0),0))</f>
        <v>N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109</v>
      </c>
    </row>
    <row r="7" spans="1:22" ht="15" customHeight="1">
      <c r="A7" s="12">
        <v>3</v>
      </c>
      <c r="B7" s="70" t="str">
        <f>LIDER!C11</f>
        <v>SHEILA ALEJANDRA MONTERO BALSEIRO</v>
      </c>
      <c r="C7" s="64" t="str">
        <f>IF(B7=0,"",IFERROR(VLOOKUP(B7,'S-ASIG-01'!$B$5:$E$88,2,0),0))</f>
        <v>G01</v>
      </c>
      <c r="D7" s="65">
        <f t="shared" si="2"/>
        <v>3.915</v>
      </c>
      <c r="E7" s="66">
        <f t="shared" si="3"/>
        <v>0</v>
      </c>
      <c r="F7" s="47"/>
      <c r="G7" s="71">
        <f>IF(B7=0,"",IFERROR(VLOOKUP(B7,'S-ASIG-01'!$B$5:$E$88,4,0),0))</f>
        <v>3.3500000000000005</v>
      </c>
      <c r="H7" s="72">
        <f>IF(B7=0,"",IFERROR(VLOOKUP(B7,'S-ASIG-02'!$B$5:$E$88,4,0),0))</f>
        <v>4.32</v>
      </c>
      <c r="I7" s="72" t="str">
        <f>IF(B7=0,"",IFERROR(VLOOKUP(B7,'S-ASIG-03'!$B$5:$E$88,4,0),0))</f>
        <v>N</v>
      </c>
      <c r="J7" s="72">
        <f>IF(B7=0,"",IFERROR(VLOOKUP(B7,'S-ASIG-04'!$B$5:$E$88,4,0),0))</f>
        <v>3.9099999999999997</v>
      </c>
      <c r="K7" s="72">
        <f>IF(B7=0,"",IFERROR(VLOOKUP(B7,'S-ASIG-05'!$B$5:$E$88,4,0),0))</f>
        <v>4.08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108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 t="str">
        <f>IF(B7=0,"",IFERROR(VLOOKUP(B7,'T-ASIG-03'!$B$5:$D$88,3,0),0))</f>
        <v>N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109</v>
      </c>
    </row>
    <row r="8" spans="1:22" ht="15" customHeight="1">
      <c r="A8" s="12">
        <v>4</v>
      </c>
      <c r="B8" s="70" t="str">
        <f>LIDER!C12</f>
        <v>LAURA VALENTINA RIVERO MADRID</v>
      </c>
      <c r="C8" s="64" t="str">
        <f>IF(B8=0,"",IFERROR(VLOOKUP(B8,'S-ASIG-01'!$B$5:$E$88,2,0),0))</f>
        <v>G01</v>
      </c>
      <c r="D8" s="65">
        <f t="shared" si="2"/>
        <v>3.915</v>
      </c>
      <c r="E8" s="66">
        <f t="shared" si="3"/>
        <v>0</v>
      </c>
      <c r="F8" s="47"/>
      <c r="G8" s="71">
        <f>IF(B8=0,"",IFERROR(VLOOKUP(B8,'S-ASIG-01'!$B$5:$E$88,4,0),0))</f>
        <v>3.3500000000000005</v>
      </c>
      <c r="H8" s="72">
        <f>IF(B8=0,"",IFERROR(VLOOKUP(B8,'S-ASIG-02'!$B$5:$E$88,4,0),0))</f>
        <v>4.32</v>
      </c>
      <c r="I8" s="72" t="str">
        <f>IF(B8=0,"",IFERROR(VLOOKUP(B8,'S-ASIG-03'!$B$5:$E$88,4,0),0))</f>
        <v>N</v>
      </c>
      <c r="J8" s="72">
        <f>IF(B8=0,"",IFERROR(VLOOKUP(B8,'S-ASIG-04'!$B$5:$E$88,4,0),0))</f>
        <v>3.9099999999999997</v>
      </c>
      <c r="K8" s="72">
        <f>IF(B8=0,"",IFERROR(VLOOKUP(B8,'S-ASIG-05'!$B$5:$E$88,4,0),0))</f>
        <v>4.08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108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 t="str">
        <f>IF(B8=0,"",IFERROR(VLOOKUP(B8,'T-ASIG-03'!$B$5:$D$88,3,0),0))</f>
        <v>N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109</v>
      </c>
    </row>
    <row r="9" spans="1:22" ht="15" customHeight="1">
      <c r="A9" s="12">
        <v>5</v>
      </c>
      <c r="B9" s="70" t="str">
        <f>LIDER!C13</f>
        <v>ANGEL DE JESUS ARZUZA PEREZ</v>
      </c>
      <c r="C9" s="64" t="str">
        <f>IF(B9=0,"",IFERROR(VLOOKUP(B9,'S-ASIG-01'!$B$5:$E$88,2,0),0))</f>
        <v>G02</v>
      </c>
      <c r="D9" s="65">
        <f t="shared" si="2"/>
        <v>3.9075000000000002</v>
      </c>
      <c r="E9" s="66">
        <f t="shared" si="3"/>
        <v>0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4.45</v>
      </c>
      <c r="I9" s="72" t="str">
        <f>IF(B9=0,"",IFERROR(VLOOKUP(B9,'S-ASIG-03'!$B$5:$E$88,4,0),0))</f>
        <v>N</v>
      </c>
      <c r="J9" s="72">
        <f>IF(B9=0,"",IFERROR(VLOOKUP(B9,'S-ASIG-04'!$B$5:$E$88,4,0),0))</f>
        <v>3.16</v>
      </c>
      <c r="K9" s="72">
        <f>IF(B9=0,"",IFERROR(VLOOKUP(B9,'S-ASIG-05'!$B$5:$E$88,4,0),0))</f>
        <v>3.9200000000000004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108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 t="str">
        <f>IF(B9=0,"",IFERROR(VLOOKUP(B9,'T-ASIG-03'!$B$5:$D$88,3,0),0))</f>
        <v>N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109</v>
      </c>
    </row>
    <row r="10" spans="1:22" ht="15" customHeight="1">
      <c r="A10" s="12">
        <v>6</v>
      </c>
      <c r="B10" s="70" t="str">
        <f>LIDER!C14</f>
        <v>CEIDY LORENA CERA JULIO</v>
      </c>
      <c r="C10" s="64" t="str">
        <f>IF(B10=0,"",IFERROR(VLOOKUP(B10,'S-ASIG-01'!$B$5:$E$88,2,0),0))</f>
        <v>G02</v>
      </c>
      <c r="D10" s="65">
        <f t="shared" si="2"/>
        <v>3.9075000000000002</v>
      </c>
      <c r="E10" s="66">
        <f t="shared" si="3"/>
        <v>0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4.45</v>
      </c>
      <c r="I10" s="72" t="str">
        <f>IF(B10=0,"",IFERROR(VLOOKUP(B10,'S-ASIG-03'!$B$5:$E$88,4,0),0))</f>
        <v>N</v>
      </c>
      <c r="J10" s="72">
        <f>IF(B10=0,"",IFERROR(VLOOKUP(B10,'S-ASIG-04'!$B$5:$E$88,4,0),0))</f>
        <v>3.16</v>
      </c>
      <c r="K10" s="72">
        <f>IF(B10=0,"",IFERROR(VLOOKUP(B10,'S-ASIG-05'!$B$5:$E$88,4,0),0))</f>
        <v>3.9200000000000004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108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 t="str">
        <f>IF(B10=0,"",IFERROR(VLOOKUP(B10,'T-ASIG-03'!$B$5:$D$88,3,0),0))</f>
        <v>N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109</v>
      </c>
    </row>
    <row r="11" spans="1:22" ht="15" customHeight="1">
      <c r="A11" s="12">
        <v>7</v>
      </c>
      <c r="B11" s="70" t="str">
        <f>LIDER!C15</f>
        <v>IRAMA ALEXANDRA JARAMILLO GARCIA</v>
      </c>
      <c r="C11" s="64" t="str">
        <f>IF(B11=0,"",IFERROR(VLOOKUP(B11,'S-ASIG-01'!$B$5:$E$88,2,0),0))</f>
        <v>G02</v>
      </c>
      <c r="D11" s="65">
        <f t="shared" si="2"/>
        <v>3.9075000000000002</v>
      </c>
      <c r="E11" s="66">
        <f t="shared" si="3"/>
        <v>0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4.45</v>
      </c>
      <c r="I11" s="72" t="str">
        <f>IF(B11=0,"",IFERROR(VLOOKUP(B11,'S-ASIG-03'!$B$5:$E$88,4,0),0))</f>
        <v>N</v>
      </c>
      <c r="J11" s="72">
        <f>IF(B11=0,"",IFERROR(VLOOKUP(B11,'S-ASIG-04'!$B$5:$E$88,4,0),0))</f>
        <v>3.16</v>
      </c>
      <c r="K11" s="72">
        <f>IF(B11=0,"",IFERROR(VLOOKUP(B11,'S-ASIG-05'!$B$5:$E$88,4,0),0))</f>
        <v>3.9200000000000004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108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 t="str">
        <f>IF(B11=0,"",IFERROR(VLOOKUP(B11,'T-ASIG-03'!$B$5:$D$88,3,0),0))</f>
        <v>N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109</v>
      </c>
    </row>
    <row r="12" spans="1:22" ht="15" customHeight="1">
      <c r="A12" s="12">
        <v>8</v>
      </c>
      <c r="B12" s="70" t="str">
        <f>LIDER!C16</f>
        <v>JULIÁN ANDRÉS TABORDA LEÓN</v>
      </c>
      <c r="C12" s="64" t="str">
        <f>IF(B12=0,"",IFERROR(VLOOKUP(B12,'S-ASIG-01'!$B$5:$E$88,2,0),0))</f>
        <v>G02</v>
      </c>
      <c r="D12" s="65">
        <f t="shared" si="2"/>
        <v>3.9075000000000002</v>
      </c>
      <c r="E12" s="66">
        <f t="shared" si="3"/>
        <v>0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4.45</v>
      </c>
      <c r="I12" s="72" t="str">
        <f>IF(B12=0,"",IFERROR(VLOOKUP(B12,'S-ASIG-03'!$B$5:$E$88,4,0),0))</f>
        <v>N</v>
      </c>
      <c r="J12" s="72">
        <f>IF(B12=0,"",IFERROR(VLOOKUP(B12,'S-ASIG-04'!$B$5:$E$88,4,0),0))</f>
        <v>3.16</v>
      </c>
      <c r="K12" s="72">
        <f>IF(B12=0,"",IFERROR(VLOOKUP(B12,'S-ASIG-05'!$B$5:$E$88,4,0),0))</f>
        <v>3.9200000000000004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108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 t="str">
        <f>IF(B12=0,"",IFERROR(VLOOKUP(B12,'T-ASIG-03'!$B$5:$D$88,3,0),0))</f>
        <v>N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109</v>
      </c>
    </row>
    <row r="13" spans="1:22" ht="15" customHeight="1">
      <c r="A13" s="12">
        <v>9</v>
      </c>
      <c r="B13" s="70" t="str">
        <f>LIDER!C17</f>
        <v>DIEGO ALEJANDRO CANCIO POLO</v>
      </c>
      <c r="C13" s="64" t="str">
        <f>IF(B13=0,"",IFERROR(VLOOKUP(B13,'S-ASIG-01'!$B$5:$E$88,2,0),0))</f>
        <v>G03</v>
      </c>
      <c r="D13" s="65">
        <f t="shared" si="2"/>
        <v>4.12</v>
      </c>
      <c r="E13" s="66">
        <f t="shared" si="3"/>
        <v>0</v>
      </c>
      <c r="F13" s="47"/>
      <c r="G13" s="71">
        <f>IF(B13=0,"",IFERROR(VLOOKUP(B13,'S-ASIG-01'!$B$5:$E$88,4,0),0))</f>
        <v>3.2</v>
      </c>
      <c r="H13" s="72">
        <f>IF(B13=0,"",IFERROR(VLOOKUP(B13,'S-ASIG-02'!$B$5:$E$88,4,0),0))</f>
        <v>4.54</v>
      </c>
      <c r="I13" s="72" t="str">
        <f>IF(B13=0,"",IFERROR(VLOOKUP(B13,'S-ASIG-03'!$B$5:$E$88,4,0),0))</f>
        <v>N</v>
      </c>
      <c r="J13" s="72">
        <f>IF(B13=0,"",IFERROR(VLOOKUP(B13,'S-ASIG-04'!$B$5:$E$88,4,0),0))</f>
        <v>4.6400000000000006</v>
      </c>
      <c r="K13" s="72">
        <f>IF(B13=0,"",IFERROR(VLOOKUP(B13,'S-ASIG-05'!$B$5:$E$88,4,0),0))</f>
        <v>4.1000000000000005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108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 t="str">
        <f>IF(B13=0,"",IFERROR(VLOOKUP(B13,'T-ASIG-03'!$B$5:$D$88,3,0),0))</f>
        <v>N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109</v>
      </c>
    </row>
    <row r="14" spans="1:22" ht="15" customHeight="1">
      <c r="A14" s="12">
        <v>10</v>
      </c>
      <c r="B14" s="70" t="str">
        <f>LIDER!C18</f>
        <v>LEVI MATURANA AGUALIMPIA</v>
      </c>
      <c r="C14" s="64" t="str">
        <f>IF(B14=0,"",IFERROR(VLOOKUP(B14,'S-ASIG-01'!$B$5:$E$88,2,0),0))</f>
        <v>G03</v>
      </c>
      <c r="D14" s="65">
        <f t="shared" si="2"/>
        <v>4.12</v>
      </c>
      <c r="E14" s="66">
        <f t="shared" si="3"/>
        <v>0</v>
      </c>
      <c r="F14" s="47"/>
      <c r="G14" s="71">
        <f>IF(B14=0,"",IFERROR(VLOOKUP(B14,'S-ASIG-01'!$B$5:$E$88,4,0),0))</f>
        <v>3.2</v>
      </c>
      <c r="H14" s="72">
        <f>IF(B14=0,"",IFERROR(VLOOKUP(B14,'S-ASIG-02'!$B$5:$E$88,4,0),0))</f>
        <v>4.54</v>
      </c>
      <c r="I14" s="72" t="str">
        <f>IF(B14=0,"",IFERROR(VLOOKUP(B14,'S-ASIG-03'!$B$5:$E$88,4,0),0))</f>
        <v>N</v>
      </c>
      <c r="J14" s="72">
        <f>IF(B14=0,"",IFERROR(VLOOKUP(B14,'S-ASIG-04'!$B$5:$E$88,4,0),0))</f>
        <v>4.6400000000000006</v>
      </c>
      <c r="K14" s="72">
        <f>IF(B14=0,"",IFERROR(VLOOKUP(B14,'S-ASIG-05'!$B$5:$E$88,4,0),0))</f>
        <v>4.1000000000000005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108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 t="str">
        <f>IF(B14=0,"",IFERROR(VLOOKUP(B14,'T-ASIG-03'!$B$5:$D$88,3,0),0))</f>
        <v>N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109</v>
      </c>
    </row>
    <row r="15" spans="1:22" ht="15" customHeight="1">
      <c r="A15" s="12">
        <v>11</v>
      </c>
      <c r="B15" s="70" t="str">
        <f>LIDER!C19</f>
        <v>SEBASTIAN RAMIREZ MONSALVE</v>
      </c>
      <c r="C15" s="64" t="str">
        <f>IF(B15=0,"",IFERROR(VLOOKUP(B15,'S-ASIG-01'!$B$5:$E$88,2,0),0))</f>
        <v>G03</v>
      </c>
      <c r="D15" s="65">
        <f t="shared" si="2"/>
        <v>4.12</v>
      </c>
      <c r="E15" s="66">
        <f t="shared" si="3"/>
        <v>0</v>
      </c>
      <c r="F15" s="47"/>
      <c r="G15" s="71">
        <f>IF(B15=0,"",IFERROR(VLOOKUP(B15,'S-ASIG-01'!$B$5:$E$88,4,0),0))</f>
        <v>3.2</v>
      </c>
      <c r="H15" s="72">
        <f>IF(B15=0,"",IFERROR(VLOOKUP(B15,'S-ASIG-02'!$B$5:$E$88,4,0),0))</f>
        <v>4.54</v>
      </c>
      <c r="I15" s="72" t="str">
        <f>IF(B15=0,"",IFERROR(VLOOKUP(B15,'S-ASIG-03'!$B$5:$E$88,4,0),0))</f>
        <v>N</v>
      </c>
      <c r="J15" s="72">
        <f>IF(B15=0,"",IFERROR(VLOOKUP(B15,'S-ASIG-04'!$B$5:$E$88,4,0),0))</f>
        <v>4.6400000000000006</v>
      </c>
      <c r="K15" s="72">
        <f>IF(B15=0,"",IFERROR(VLOOKUP(B15,'S-ASIG-05'!$B$5:$E$88,4,0),0))</f>
        <v>4.1000000000000005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108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 t="str">
        <f>IF(B15=0,"",IFERROR(VLOOKUP(B15,'T-ASIG-03'!$B$5:$D$88,3,0),0))</f>
        <v>N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109</v>
      </c>
    </row>
    <row r="16" spans="1:22" ht="15" customHeight="1">
      <c r="A16" s="12">
        <v>12</v>
      </c>
      <c r="B16" s="70" t="str">
        <f>LIDER!C20</f>
        <v>JUAN ANDRES RUIZ PEÑA</v>
      </c>
      <c r="C16" s="64" t="str">
        <f>IF(B16=0,"",IFERROR(VLOOKUP(B16,'S-ASIG-01'!$B$5:$E$88,2,0),0))</f>
        <v>G03</v>
      </c>
      <c r="D16" s="65">
        <f t="shared" si="2"/>
        <v>4.12</v>
      </c>
      <c r="E16" s="66">
        <f t="shared" si="3"/>
        <v>0</v>
      </c>
      <c r="F16" s="47"/>
      <c r="G16" s="71">
        <f>IF(B16=0,"",IFERROR(VLOOKUP(B16,'S-ASIG-01'!$B$5:$E$88,4,0),0))</f>
        <v>3.2</v>
      </c>
      <c r="H16" s="72">
        <f>IF(B16=0,"",IFERROR(VLOOKUP(B16,'S-ASIG-02'!$B$5:$E$88,4,0),0))</f>
        <v>4.54</v>
      </c>
      <c r="I16" s="72" t="str">
        <f>IF(B16=0,"",IFERROR(VLOOKUP(B16,'S-ASIG-03'!$B$5:$E$88,4,0),0))</f>
        <v>N</v>
      </c>
      <c r="J16" s="72">
        <f>IF(B16=0,"",IFERROR(VLOOKUP(B16,'S-ASIG-04'!$B$5:$E$88,4,0),0))</f>
        <v>4.6400000000000006</v>
      </c>
      <c r="K16" s="72">
        <f>IF(B16=0,"",IFERROR(VLOOKUP(B16,'S-ASIG-05'!$B$5:$E$88,4,0),0))</f>
        <v>4.1000000000000005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108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 t="str">
        <f>IF(B16=0,"",IFERROR(VLOOKUP(B16,'T-ASIG-03'!$B$5:$D$88,3,0),0))</f>
        <v>N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109</v>
      </c>
    </row>
    <row r="17" spans="1:22" ht="15" customHeight="1">
      <c r="A17" s="12">
        <v>13</v>
      </c>
      <c r="B17" s="70" t="str">
        <f>LIDER!C21</f>
        <v>MARIANA ALEJANDRA ARENAS BUSTILLO</v>
      </c>
      <c r="C17" s="64" t="str">
        <f>IF(B17=0,"",IFERROR(VLOOKUP(B17,'S-ASIG-01'!$B$5:$E$88,2,0),0))</f>
        <v>G04</v>
      </c>
      <c r="D17" s="65">
        <f t="shared" si="2"/>
        <v>4.3775000000000004</v>
      </c>
      <c r="E17" s="66">
        <f t="shared" si="3"/>
        <v>0</v>
      </c>
      <c r="F17" s="47"/>
      <c r="G17" s="71">
        <f>IF(B17=0,"",IFERROR(VLOOKUP(B17,'S-ASIG-01'!$B$5:$E$88,4,0),0))</f>
        <v>4.3000000000000007</v>
      </c>
      <c r="H17" s="72">
        <f>IF(B17=0,"",IFERROR(VLOOKUP(B17,'S-ASIG-02'!$B$5:$E$88,4,0),0))</f>
        <v>4.4399999999999995</v>
      </c>
      <c r="I17" s="72" t="str">
        <f>IF(B17=0,"",IFERROR(VLOOKUP(B17,'S-ASIG-03'!$B$5:$E$88,4,0),0))</f>
        <v>N</v>
      </c>
      <c r="J17" s="72">
        <f>IF(B17=0,"",IFERROR(VLOOKUP(B17,'S-ASIG-04'!$B$5:$E$88,4,0),0))</f>
        <v>4.57</v>
      </c>
      <c r="K17" s="72">
        <f>IF(B17=0,"",IFERROR(VLOOKUP(B17,'S-ASIG-05'!$B$5:$E$88,4,0),0))</f>
        <v>4.2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108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 t="str">
        <f>IF(B17=0,"",IFERROR(VLOOKUP(B17,'T-ASIG-03'!$B$5:$D$88,3,0),0))</f>
        <v>N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109</v>
      </c>
    </row>
    <row r="18" spans="1:22" ht="15" customHeight="1">
      <c r="A18" s="12">
        <v>14</v>
      </c>
      <c r="B18" s="70" t="str">
        <f>LIDER!C22</f>
        <v>RANYELYS MARIAN AYOLA PEREZ</v>
      </c>
      <c r="C18" s="64" t="str">
        <f>IF(B18=0,"",IFERROR(VLOOKUP(B18,'S-ASIG-01'!$B$5:$E$88,2,0),0))</f>
        <v>G04</v>
      </c>
      <c r="D18" s="65">
        <f t="shared" si="2"/>
        <v>4.3775000000000004</v>
      </c>
      <c r="E18" s="66">
        <f t="shared" si="3"/>
        <v>0</v>
      </c>
      <c r="F18" s="47"/>
      <c r="G18" s="71">
        <f>IF(B18=0,"",IFERROR(VLOOKUP(B18,'S-ASIG-01'!$B$5:$E$88,4,0),0))</f>
        <v>4.3000000000000007</v>
      </c>
      <c r="H18" s="72">
        <f>IF(B18=0,"",IFERROR(VLOOKUP(B18,'S-ASIG-02'!$B$5:$E$88,4,0),0))</f>
        <v>4.4399999999999995</v>
      </c>
      <c r="I18" s="72" t="str">
        <f>IF(B18=0,"",IFERROR(VLOOKUP(B18,'S-ASIG-03'!$B$5:$E$88,4,0),0))</f>
        <v>N</v>
      </c>
      <c r="J18" s="72">
        <f>IF(B18=0,"",IFERROR(VLOOKUP(B18,'S-ASIG-04'!$B$5:$E$88,4,0),0))</f>
        <v>4.57</v>
      </c>
      <c r="K18" s="72">
        <f>IF(B18=0,"",IFERROR(VLOOKUP(B18,'S-ASIG-05'!$B$5:$E$88,4,0),0))</f>
        <v>4.2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108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 t="str">
        <f>IF(B18=0,"",IFERROR(VLOOKUP(B18,'T-ASIG-03'!$B$5:$D$88,3,0),0))</f>
        <v>N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109</v>
      </c>
    </row>
    <row r="19" spans="1:22" ht="15" customHeight="1">
      <c r="A19" s="12">
        <v>15</v>
      </c>
      <c r="B19" s="70" t="str">
        <f>LIDER!C23</f>
        <v>DANIELA FIGUEROA CASTELLAR</v>
      </c>
      <c r="C19" s="64" t="str">
        <f>IF(B19=0,"",IFERROR(VLOOKUP(B19,'S-ASIG-01'!$B$5:$E$88,2,0),0))</f>
        <v>G04</v>
      </c>
      <c r="D19" s="65">
        <f t="shared" si="2"/>
        <v>4.3775000000000004</v>
      </c>
      <c r="E19" s="66">
        <f t="shared" si="3"/>
        <v>0</v>
      </c>
      <c r="F19" s="47"/>
      <c r="G19" s="71">
        <f>IF(B19=0,"",IFERROR(VLOOKUP(B19,'S-ASIG-01'!$B$5:$E$88,4,0),0))</f>
        <v>4.3000000000000007</v>
      </c>
      <c r="H19" s="72">
        <f>IF(B19=0,"",IFERROR(VLOOKUP(B19,'S-ASIG-02'!$B$5:$E$88,4,0),0))</f>
        <v>4.4399999999999995</v>
      </c>
      <c r="I19" s="72" t="str">
        <f>IF(B19=0,"",IFERROR(VLOOKUP(B19,'S-ASIG-03'!$B$5:$E$88,4,0),0))</f>
        <v>N</v>
      </c>
      <c r="J19" s="72">
        <f>IF(B19=0,"",IFERROR(VLOOKUP(B19,'S-ASIG-04'!$B$5:$E$88,4,0),0))</f>
        <v>4.57</v>
      </c>
      <c r="K19" s="72">
        <f>IF(B19=0,"",IFERROR(VLOOKUP(B19,'S-ASIG-05'!$B$5:$E$88,4,0),0))</f>
        <v>4.2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108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 t="str">
        <f>IF(B19=0,"",IFERROR(VLOOKUP(B19,'T-ASIG-03'!$B$5:$D$88,3,0),0))</f>
        <v>N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109</v>
      </c>
    </row>
    <row r="20" spans="1:22" ht="15" customHeight="1">
      <c r="A20" s="12">
        <v>16</v>
      </c>
      <c r="B20" s="70" t="str">
        <f>LIDER!C24</f>
        <v>DANIEL DE JESUS VILLADIEGO VELASQUEZ</v>
      </c>
      <c r="C20" s="64" t="str">
        <f>IF(B20=0,"",IFERROR(VLOOKUP(B20,'S-ASIG-01'!$B$5:$E$88,2,0),0))</f>
        <v>G04</v>
      </c>
      <c r="D20" s="65">
        <f t="shared" si="2"/>
        <v>4.3775000000000004</v>
      </c>
      <c r="E20" s="66">
        <f t="shared" si="3"/>
        <v>0</v>
      </c>
      <c r="F20" s="47"/>
      <c r="G20" s="71">
        <f>IF(B20=0,"",IFERROR(VLOOKUP(B20,'S-ASIG-01'!$B$5:$E$88,4,0),0))</f>
        <v>4.3000000000000007</v>
      </c>
      <c r="H20" s="72">
        <f>IF(B20=0,"",IFERROR(VLOOKUP(B20,'S-ASIG-02'!$B$5:$E$88,4,0),0))</f>
        <v>4.4399999999999995</v>
      </c>
      <c r="I20" s="72" t="str">
        <f>IF(B20=0,"",IFERROR(VLOOKUP(B20,'S-ASIG-03'!$B$5:$E$88,4,0),0))</f>
        <v>N</v>
      </c>
      <c r="J20" s="72">
        <f>IF(B20=0,"",IFERROR(VLOOKUP(B20,'S-ASIG-04'!$B$5:$E$88,4,0),0))</f>
        <v>4.57</v>
      </c>
      <c r="K20" s="72">
        <f>IF(B20=0,"",IFERROR(VLOOKUP(B20,'S-ASIG-05'!$B$5:$E$88,4,0),0))</f>
        <v>4.2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108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 t="str">
        <f>IF(B20=0,"",IFERROR(VLOOKUP(B20,'T-ASIG-03'!$B$5:$D$88,3,0),0))</f>
        <v>N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109</v>
      </c>
    </row>
    <row r="21" spans="1:22" ht="15" customHeight="1">
      <c r="A21" s="12">
        <v>17</v>
      </c>
      <c r="B21" s="70" t="str">
        <f>LIDER!C25</f>
        <v>ANGEL DE JESUS BAYUELO MESTRA</v>
      </c>
      <c r="C21" s="64" t="str">
        <f>IF(B21=0,"",IFERROR(VLOOKUP(B21,'S-ASIG-01'!$B$5:$E$88,2,0),0))</f>
        <v>G01</v>
      </c>
      <c r="D21" s="65">
        <f t="shared" si="2"/>
        <v>4.0419999999999998</v>
      </c>
      <c r="E21" s="66">
        <f t="shared" si="3"/>
        <v>0</v>
      </c>
      <c r="F21" s="47"/>
      <c r="G21" s="71">
        <f>IF(B21=0,"",IFERROR(VLOOKUP(B21,'S-ASIG-01'!$B$5:$E$88,4,0),0))</f>
        <v>3.3500000000000005</v>
      </c>
      <c r="H21" s="72">
        <f>IF(B21=0,"",IFERROR(VLOOKUP(B21,'S-ASIG-02'!$B$5:$E$88,4,0),0))</f>
        <v>4.32</v>
      </c>
      <c r="I21" s="72">
        <f>IF(B21=0,"",IFERROR(VLOOKUP(B21,'S-ASIG-03'!$B$5:$E$88,4,0),0))</f>
        <v>4.55</v>
      </c>
      <c r="J21" s="72">
        <f>IF(B21=0,"",IFERROR(VLOOKUP(B21,'S-ASIG-04'!$B$5:$E$88,4,0),0))</f>
        <v>3.9099999999999997</v>
      </c>
      <c r="K21" s="72">
        <f>IF(B21=0,"",IFERROR(VLOOKUP(B21,'S-ASIG-05'!$B$5:$E$88,4,0),0))</f>
        <v>4.08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108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109</v>
      </c>
    </row>
    <row r="22" spans="1:22" ht="15" customHeight="1">
      <c r="A22" s="12">
        <v>18</v>
      </c>
      <c r="B22" s="70" t="str">
        <f>LIDER!C26</f>
        <v>JOSUE DANIEL DONADO PAJARO</v>
      </c>
      <c r="C22" s="64" t="str">
        <f>IF(B22=0,"",IFERROR(VLOOKUP(B22,'S-ASIG-01'!$B$5:$E$88,2,0),0))</f>
        <v>G01</v>
      </c>
      <c r="D22" s="65">
        <f t="shared" si="2"/>
        <v>4.0419999999999998</v>
      </c>
      <c r="E22" s="66">
        <f t="shared" si="3"/>
        <v>0</v>
      </c>
      <c r="F22" s="47"/>
      <c r="G22" s="71">
        <f>IF(B22=0,"",IFERROR(VLOOKUP(B22,'S-ASIG-01'!$B$5:$E$88,4,0),0))</f>
        <v>3.3500000000000005</v>
      </c>
      <c r="H22" s="72">
        <f>IF(B22=0,"",IFERROR(VLOOKUP(B22,'S-ASIG-02'!$B$5:$E$88,4,0),0))</f>
        <v>4.32</v>
      </c>
      <c r="I22" s="72">
        <f>IF(B22=0,"",IFERROR(VLOOKUP(B22,'S-ASIG-03'!$B$5:$E$88,4,0),0))</f>
        <v>4.55</v>
      </c>
      <c r="J22" s="72">
        <f>IF(B22=0,"",IFERROR(VLOOKUP(B22,'S-ASIG-04'!$B$5:$E$88,4,0),0))</f>
        <v>3.9099999999999997</v>
      </c>
      <c r="K22" s="72">
        <f>IF(B22=0,"",IFERROR(VLOOKUP(B22,'S-ASIG-05'!$B$5:$E$88,4,0),0))</f>
        <v>4.08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108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109</v>
      </c>
    </row>
    <row r="23" spans="1:22" ht="15" customHeight="1">
      <c r="A23" s="12">
        <v>19</v>
      </c>
      <c r="B23" s="70" t="str">
        <f>LIDER!C27</f>
        <v>ANGELA PATRICIA JULIO GOMEZ</v>
      </c>
      <c r="C23" s="64" t="str">
        <f>IF(B23=0,"",IFERROR(VLOOKUP(B23,'S-ASIG-01'!$B$5:$E$88,2,0),0))</f>
        <v>G02</v>
      </c>
      <c r="D23" s="65">
        <f t="shared" si="2"/>
        <v>3.91</v>
      </c>
      <c r="E23" s="66">
        <f t="shared" si="3"/>
        <v>0</v>
      </c>
      <c r="F23" s="47"/>
      <c r="G23" s="71">
        <f>IF(B23=0,"",IFERROR(VLOOKUP(B23,'S-ASIG-01'!$B$5:$E$88,4,0),0))</f>
        <v>4.0999999999999996</v>
      </c>
      <c r="H23" s="72">
        <f>IF(B23=0,"",IFERROR(VLOOKUP(B23,'S-ASIG-02'!$B$5:$E$88,4,0),0))</f>
        <v>4.45</v>
      </c>
      <c r="I23" s="72">
        <f>IF(B23=0,"",IFERROR(VLOOKUP(B23,'S-ASIG-03'!$B$5:$E$88,4,0),0))</f>
        <v>3.9199999999999995</v>
      </c>
      <c r="J23" s="72">
        <f>IF(B23=0,"",IFERROR(VLOOKUP(B23,'S-ASIG-04'!$B$5:$E$88,4,0),0))</f>
        <v>3.16</v>
      </c>
      <c r="K23" s="72">
        <f>IF(B23=0,"",IFERROR(VLOOKUP(B23,'S-ASIG-05'!$B$5:$E$88,4,0),0))</f>
        <v>3.9200000000000004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108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109</v>
      </c>
    </row>
    <row r="24" spans="1:22" ht="15" customHeight="1">
      <c r="A24" s="12">
        <v>20</v>
      </c>
      <c r="B24" s="70" t="str">
        <f>LIDER!C28</f>
        <v>MAURICIO SABALZA PAJARO</v>
      </c>
      <c r="C24" s="64" t="str">
        <f>IF(B24=0,"",IFERROR(VLOOKUP(B24,'S-ASIG-01'!$B$5:$E$88,2,0),0))</f>
        <v>G03</v>
      </c>
      <c r="D24" s="65">
        <f t="shared" si="2"/>
        <v>4.1080000000000005</v>
      </c>
      <c r="E24" s="66">
        <f t="shared" si="3"/>
        <v>0</v>
      </c>
      <c r="F24" s="47"/>
      <c r="G24" s="71">
        <f>IF(B24=0,"",IFERROR(VLOOKUP(B24,'S-ASIG-01'!$B$5:$E$88,4,0),0))</f>
        <v>3.2</v>
      </c>
      <c r="H24" s="72">
        <f>IF(B24=0,"",IFERROR(VLOOKUP(B24,'S-ASIG-02'!$B$5:$E$88,4,0),0))</f>
        <v>4.54</v>
      </c>
      <c r="I24" s="72">
        <f>IF(B24=0,"",IFERROR(VLOOKUP(B24,'S-ASIG-03'!$B$5:$E$88,4,0),0))</f>
        <v>4.0599999999999996</v>
      </c>
      <c r="J24" s="72">
        <f>IF(B24=0,"",IFERROR(VLOOKUP(B24,'S-ASIG-04'!$B$5:$E$88,4,0),0))</f>
        <v>4.6400000000000006</v>
      </c>
      <c r="K24" s="72">
        <f>IF(B24=0,"",IFERROR(VLOOKUP(B24,'S-ASIG-05'!$B$5:$E$88,4,0),0))</f>
        <v>4.1000000000000005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108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109</v>
      </c>
    </row>
    <row r="25" spans="1:22" ht="15" customHeight="1">
      <c r="A25" s="12">
        <v>21</v>
      </c>
      <c r="B25" s="70" t="str">
        <f>LIDER!C29</f>
        <v>LAURI VANESSA JIMENEZ ARCIA</v>
      </c>
      <c r="C25" s="64" t="str">
        <f>IF(B25=0,"",IFERROR(VLOOKUP(B25,'S-ASIG-01'!$B$5:$E$88,2,0),0))</f>
        <v>G04</v>
      </c>
      <c r="D25" s="65">
        <f t="shared" si="2"/>
        <v>4.4320000000000004</v>
      </c>
      <c r="E25" s="66">
        <f t="shared" si="3"/>
        <v>0</v>
      </c>
      <c r="F25" s="47"/>
      <c r="G25" s="71">
        <f>IF(B25=0,"",IFERROR(VLOOKUP(B25,'S-ASIG-01'!$B$5:$E$88,4,0),0))</f>
        <v>4.3000000000000007</v>
      </c>
      <c r="H25" s="72">
        <f>IF(B25=0,"",IFERROR(VLOOKUP(B25,'S-ASIG-02'!$B$5:$E$88,4,0),0))</f>
        <v>4.4399999999999995</v>
      </c>
      <c r="I25" s="72">
        <f>IF(B25=0,"",IFERROR(VLOOKUP(B25,'S-ASIG-03'!$B$5:$E$88,4,0),0))</f>
        <v>4.6500000000000004</v>
      </c>
      <c r="J25" s="72">
        <f>IF(B25=0,"",IFERROR(VLOOKUP(B25,'S-ASIG-04'!$B$5:$E$88,4,0),0))</f>
        <v>4.57</v>
      </c>
      <c r="K25" s="72">
        <f>IF(B25=0,"",IFERROR(VLOOKUP(B25,'S-ASIG-05'!$B$5:$E$88,4,0),0))</f>
        <v>4.2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108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109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108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109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108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109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108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109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108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109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108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109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108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109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108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109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108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109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108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109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108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109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108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109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108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109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108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109</v>
      </c>
    </row>
  </sheetData>
  <sheetProtection algorithmName="SHA-512" hashValue="s4I2WtRu2eyKYH8tfoo7Fjo4N8IkVzsq8EJJ74YXKVqH+OiGbThKIInMIV0d96HCTZkluLaL6LuvPVI4mrboCw==" saltValue="P9RGPUsWcs8SsJCsgpiUG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2026-10-16T03:36:43Z</dcterms:modified>
  <cp:category/>
  <cp:contentStatus/>
</cp:coreProperties>
</file>