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6-OJO\PRIMERA ENTREGA\"/>
    </mc:Choice>
  </mc:AlternateContent>
  <xr:revisionPtr revIDLastSave="263" documentId="13_ncr:1_{F71DA217-D1DF-4CED-8B57-79F157EE32E0}" xr6:coauthVersionLast="47" xr6:coauthVersionMax="47" xr10:uidLastSave="{DB04FB2B-81A5-4D4D-9158-518D9EE8BAEF}"/>
  <bookViews>
    <workbookView xWindow="-120" yWindow="-120" windowWidth="20730" windowHeight="11040" tabRatio="815" firstSheet="15" activeTab="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D58" i="6"/>
  <c r="B58" i="6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D83" i="5"/>
  <c r="B83" i="5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<sst xmlns="http://schemas.openxmlformats.org/spreadsheetml/2006/main" count="678" uniqueCount="113">
  <si>
    <t>TECNOLOGÍA EN GESTIÓN DE NEGOCIOS INTERN</t>
  </si>
  <si>
    <t>SEMESTRE:</t>
  </si>
  <si>
    <t>SEM-06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</si>
  <si>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</si>
  <si>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</si>
  <si>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</si>
  <si>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</si>
  <si>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</si>
  <si>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</si>
  <si>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</si>
  <si>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</si>
  <si>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</si>
  <si>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ELECTIVA DE PROFUNDIZACION III</t>
  </si>
  <si>
    <t>AMBIENTE Y DESARROLLO</t>
  </si>
  <si>
    <t>FINANZAS INTERNACIONALES</t>
  </si>
  <si>
    <t>D.F.I.</t>
  </si>
  <si>
    <t>ELECTIVA LIBRE SOCIOHUMANÍ II</t>
  </si>
  <si>
    <t>EDUARDO JESUS CARDENAS RODRIGUEZ</t>
  </si>
  <si>
    <t>HERNANDO RAFAEL ARMESTO ABUABARA</t>
  </si>
  <si>
    <t>MARIANO BELTRAN PADILLA</t>
  </si>
  <si>
    <t>MADELCY DEL CARMEN PEDROZA TORRES</t>
  </si>
  <si>
    <t>RAFAEL UGARRIZA DIAZ</t>
  </si>
  <si>
    <t>EBERTO JESUS POSADA AMANTE</t>
  </si>
  <si>
    <t>LISTA DE ESTUDIANTES</t>
  </si>
  <si>
    <t>SEGUNDA ENTREGA - CRITERIO DE EVALUACIÓN DOCUMENTO - SEGUNDO CORTE</t>
  </si>
  <si>
    <t>PONDERACIÓN</t>
  </si>
  <si>
    <t>ADMINISTRACIÓN DE EMPRESAS C.I</t>
  </si>
  <si>
    <t>LUIS BATISTA FUENTES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</si>
  <si>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</si>
  <si>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</si>
  <si>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LORENA CAICEDO ARRIETA</t>
  </si>
  <si>
    <t>ANTEPROYECTO: Portada, planteamiento del problema, justificacion del trabajo o proyecto de aula, objetivos, marco teorico, diseño metodologico.</t>
  </si>
  <si>
    <t>CONTADURÍA PÚBLICA</t>
  </si>
  <si>
    <t>MARIA JOSE CARMONA NASSI</t>
  </si>
  <si>
    <t>RESULTADOS:  Analiza, integra y aplica de manera coherente los aspectos para la Construcción de la marca empresarial (Branding)</t>
  </si>
  <si>
    <t>NEGOCIOS INTERNACIONALES PROFESIONAL</t>
  </si>
  <si>
    <t>DANIELA GOMEZ RODRIGUEZ</t>
  </si>
  <si>
    <t>RESULTADOS:  Analiza, integra y aplica de manera coherente los aspectos del  Plan de distribución.</t>
  </si>
  <si>
    <t>LUCIANA ANGELINA LLADRO CARBALLO</t>
  </si>
  <si>
    <t>RESULTADOS:  Analiza, integra y aplica de manera coherente los aspectos para  el  Análisis ambiental y social.</t>
  </si>
  <si>
    <t>TECNOLOGíA EN GESTION CONTABLE</t>
  </si>
  <si>
    <t>VALERIA SARA VERGARA</t>
  </si>
  <si>
    <t>BILIOGRAFIA: Las referencias bibliograficas: adoptan las normas APA. El documento es producto de un rastreo bibliografico que muestra analisis y sistensis.</t>
  </si>
  <si>
    <t>TECNOLOGÍA EN GESTIÓN DE MARKETING</t>
  </si>
  <si>
    <t>JUAN JOSE GARCIA SILVA</t>
  </si>
  <si>
    <t>ASESORIAS: Anexó la hoja de tutoria firmada ( 3 fimas minmimo).</t>
  </si>
  <si>
    <t>TECNOLOGÍA EN GESTIÓN DEL TALENTO HUMANO</t>
  </si>
  <si>
    <t>NATALIA PINTO GARCÉS</t>
  </si>
  <si>
    <t>TECNOLOGÍA EN GESTIÓN FINANCIERA</t>
  </si>
  <si>
    <t>YANEIRA PORTILLO DURAN</t>
  </si>
  <si>
    <t>TECNOLOGÍA EN GESTIÓN LOGISTICA Y PORTUARIA</t>
  </si>
  <si>
    <t>MARIA DE LOS ANGELES RODRIGUEZ ORTIZ</t>
  </si>
  <si>
    <t>ENTREGA FINAL - CRITERIO DE EVALUACIÓN SUSTENTACIÓN - TERCER CORTE</t>
  </si>
  <si>
    <t>TECNOLOGÍA EN GESTIÓN TURISTICA Y HOTELERA</t>
  </si>
  <si>
    <t>ARIANNA PATRICIA YEPEZ VALLENILLA</t>
  </si>
  <si>
    <t>Evaluación del Documento Final</t>
  </si>
  <si>
    <t>CAMILA ANDREA GONZALEZ RODELO</t>
  </si>
  <si>
    <t>Sustentación de los Resultados: Se refleja un dominio del tema, la  información está delimitada y es clara. Hay una jerarquía y fluidez en las ideas que presenta.</t>
  </si>
  <si>
    <t>DANNA ELIZABETH LARRARTE MORALES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</si>
  <si>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</si>
  <si>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HAYDHAN ALEJANDRO LUZARDO BAEZ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</si>
  <si>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</si>
  <si>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BEIKER ESTEBAN PAJARO SANCHEZ</t>
  </si>
  <si>
    <t>Tiempo: El uso del tiempo fue apropiado, se ajusta al previsto.
Ofrece una conclusión donde condensa las ideas principales del objetivo general y los específicos.</t>
  </si>
  <si>
    <t>GRACE SOFIA ROCHA GARCIA</t>
  </si>
  <si>
    <t>Uso de Recursos Audiovisuales Tecnológicos: La sustentación se acompaña de recursos visuales pertinentes, atractivos y de gran calidad</t>
  </si>
  <si>
    <t>MEREYDI MARIA CANACHE AMARANTO</t>
  </si>
  <si>
    <t>KATHRYN PAOLA CORREA VIDEZ</t>
  </si>
  <si>
    <t>KELLY JOHANA GARCES BENITES</t>
  </si>
  <si>
    <t>JHON ALEX PATIÑO MENDOZA</t>
  </si>
  <si>
    <t>TITULOS DE LOS PROYECTOS DE AULA</t>
  </si>
  <si>
    <t>ANA CAROLINA PEREZ MORALES</t>
  </si>
  <si>
    <t>GRUPO#1</t>
  </si>
  <si>
    <t>MARIA CECILIA SIMANCA VILLA</t>
  </si>
  <si>
    <t>GRUPO#2</t>
  </si>
  <si>
    <t>EMILSON JOSE CANTILLO ALBOR</t>
  </si>
  <si>
    <t>GRUPO#3</t>
  </si>
  <si>
    <t>YULIANA SHARITH MANCO AGUILAR</t>
  </si>
  <si>
    <t>GRUPO#4</t>
  </si>
  <si>
    <t>CRISTIAN DAVID MURILLO PATERNINA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</si>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</sst>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workbookViewId="0">
      <selection activeCell="E51" sqref="E51:E53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6" t="s">
        <v>0</v>
      </c>
      <c r="C2" s="187"/>
      <c r="D2" s="188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2303</v>
      </c>
      <c r="D6" s="134">
        <v>2319</v>
      </c>
      <c r="E6" s="134">
        <v>1085</v>
      </c>
      <c r="F6" s="134">
        <v>1443</v>
      </c>
      <c r="G6" s="134">
        <v>1449</v>
      </c>
      <c r="H6" s="134">
        <v>2120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89" t="s">
        <v>24</v>
      </c>
      <c r="F8" s="190"/>
      <c r="G8" s="19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2" t="s">
        <v>28</v>
      </c>
      <c r="F9" s="193"/>
      <c r="G9" s="194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6" t="s">
        <v>31</v>
      </c>
      <c r="F10" s="167"/>
      <c r="G10" s="168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2" t="s">
        <v>34</v>
      </c>
      <c r="F11" s="193"/>
      <c r="G11" s="194"/>
      <c r="H11" s="135">
        <v>0.1</v>
      </c>
      <c r="I11" s="69" t="s">
        <v>35</v>
      </c>
    </row>
    <row r="12" spans="2:9" ht="15" customHeight="1">
      <c r="B12" s="108">
        <v>4</v>
      </c>
      <c r="C12" s="111" t="s">
        <v>36</v>
      </c>
      <c r="E12" s="166" t="s">
        <v>37</v>
      </c>
      <c r="F12" s="167"/>
      <c r="G12" s="168"/>
      <c r="H12" s="135">
        <v>0.1</v>
      </c>
      <c r="I12" s="69" t="s">
        <v>0</v>
      </c>
    </row>
    <row r="13" spans="2:9" ht="15" customHeight="1">
      <c r="B13" s="108">
        <v>5</v>
      </c>
      <c r="C13" s="111" t="s">
        <v>38</v>
      </c>
      <c r="E13" s="169" t="s">
        <v>39</v>
      </c>
      <c r="F13" s="170"/>
      <c r="G13" s="171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2" t="s">
        <v>42</v>
      </c>
      <c r="F14" s="164"/>
      <c r="G14" s="165"/>
      <c r="H14" s="136">
        <v>0.2</v>
      </c>
      <c r="I14" s="69" t="s">
        <v>43</v>
      </c>
    </row>
    <row r="15" spans="2:9" ht="15" customHeight="1" thickBot="1">
      <c r="B15" s="108">
        <v>7</v>
      </c>
      <c r="C15" s="111" t="s">
        <v>44</v>
      </c>
      <c r="E15" s="173" t="s">
        <v>45</v>
      </c>
      <c r="F15" s="174"/>
      <c r="G15" s="175"/>
      <c r="H15" s="135">
        <v>0.1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7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2"/>
      <c r="F17" s="182"/>
      <c r="G17" s="182"/>
      <c r="H17" s="182"/>
      <c r="I17" s="69" t="s">
        <v>50</v>
      </c>
    </row>
    <row r="18" spans="2:9" ht="15" customHeight="1" thickBot="1">
      <c r="B18" s="108">
        <v>10</v>
      </c>
      <c r="C18" s="111" t="s">
        <v>51</v>
      </c>
      <c r="E18" s="156" t="s">
        <v>52</v>
      </c>
      <c r="F18" s="157"/>
      <c r="G18" s="157"/>
      <c r="H18" s="113" t="s">
        <v>25</v>
      </c>
      <c r="I18" s="69" t="s">
        <v>53</v>
      </c>
    </row>
    <row r="19" spans="2:9" ht="15" customHeight="1">
      <c r="B19" s="108">
        <v>11</v>
      </c>
      <c r="C19" s="111" t="s">
        <v>54</v>
      </c>
      <c r="E19" s="179" t="s">
        <v>55</v>
      </c>
      <c r="F19" s="180"/>
      <c r="G19" s="181"/>
      <c r="H19" s="138">
        <v>0.5</v>
      </c>
    </row>
    <row r="20" spans="2:9" ht="15" customHeight="1">
      <c r="B20" s="108">
        <v>12</v>
      </c>
      <c r="C20" s="111" t="s">
        <v>56</v>
      </c>
      <c r="E20" s="158" t="s">
        <v>57</v>
      </c>
      <c r="F20" s="159"/>
      <c r="G20" s="160"/>
      <c r="H20" s="139">
        <v>0.2</v>
      </c>
    </row>
    <row r="21" spans="2:9" ht="15" customHeight="1">
      <c r="B21" s="108">
        <v>13</v>
      </c>
      <c r="C21" s="111" t="s">
        <v>58</v>
      </c>
      <c r="E21" s="161" t="s">
        <v>59</v>
      </c>
      <c r="F21" s="162"/>
      <c r="G21" s="163"/>
      <c r="H21" s="140">
        <v>0.1</v>
      </c>
    </row>
    <row r="22" spans="2:9" ht="15" customHeight="1">
      <c r="B22" s="108">
        <v>14</v>
      </c>
      <c r="C22" s="111" t="s">
        <v>60</v>
      </c>
      <c r="E22" s="158" t="s">
        <v>61</v>
      </c>
      <c r="F22" s="164"/>
      <c r="G22" s="165"/>
      <c r="H22" s="139">
        <v>0.05</v>
      </c>
    </row>
    <row r="23" spans="2:9" ht="15" customHeight="1">
      <c r="B23" s="108">
        <v>15</v>
      </c>
      <c r="C23" s="111" t="s">
        <v>62</v>
      </c>
      <c r="E23" s="161" t="s">
        <v>63</v>
      </c>
      <c r="F23" s="162"/>
      <c r="G23" s="163"/>
      <c r="H23" s="141">
        <v>0.05</v>
      </c>
    </row>
    <row r="24" spans="2:9" ht="15" customHeight="1">
      <c r="B24" s="108">
        <v>16</v>
      </c>
      <c r="C24" s="111" t="s">
        <v>64</v>
      </c>
      <c r="E24" s="158" t="s">
        <v>65</v>
      </c>
      <c r="F24" s="159"/>
      <c r="G24" s="160"/>
      <c r="H24" s="139">
        <v>0.1</v>
      </c>
    </row>
    <row r="25" spans="2:9" ht="15" customHeight="1" thickBot="1">
      <c r="B25" s="108">
        <v>17</v>
      </c>
      <c r="C25" s="111" t="s">
        <v>66</v>
      </c>
      <c r="E25" s="176"/>
      <c r="F25" s="177"/>
      <c r="G25" s="178"/>
      <c r="H25" s="140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3" t="s">
        <v>70</v>
      </c>
      <c r="F28" s="184"/>
      <c r="G28" s="184"/>
      <c r="H28" s="185"/>
    </row>
    <row r="29" spans="2:9" ht="15" customHeight="1" thickBot="1">
      <c r="B29" s="108">
        <v>21</v>
      </c>
      <c r="C29" s="111" t="s">
        <v>71</v>
      </c>
      <c r="E29" s="153" t="s">
        <v>72</v>
      </c>
      <c r="F29" s="154"/>
      <c r="G29" s="154"/>
      <c r="H29" s="155"/>
    </row>
    <row r="30" spans="2:9" ht="15" customHeight="1" thickBot="1">
      <c r="B30" s="108">
        <v>22</v>
      </c>
      <c r="C30" s="111" t="s">
        <v>73</v>
      </c>
      <c r="E30" s="150" t="s">
        <v>74</v>
      </c>
      <c r="F30" s="151"/>
      <c r="G30" s="151"/>
      <c r="H30" s="152"/>
    </row>
    <row r="31" spans="2:9" ht="15" customHeight="1" thickBot="1">
      <c r="B31" s="108">
        <v>23</v>
      </c>
      <c r="C31" s="111" t="s">
        <v>75</v>
      </c>
      <c r="E31" s="153" t="s">
        <v>76</v>
      </c>
      <c r="F31" s="154"/>
      <c r="G31" s="154"/>
      <c r="H31" s="155"/>
    </row>
    <row r="32" spans="2:9" ht="15" customHeight="1" thickBot="1">
      <c r="B32" s="108">
        <v>24</v>
      </c>
      <c r="C32" s="111" t="s">
        <v>77</v>
      </c>
      <c r="E32" s="150" t="s">
        <v>78</v>
      </c>
      <c r="F32" s="151"/>
      <c r="G32" s="151"/>
      <c r="H32" s="152"/>
    </row>
    <row r="33" spans="2:8" ht="15" customHeight="1" thickBot="1">
      <c r="B33" s="108">
        <v>25</v>
      </c>
      <c r="C33" s="111" t="s">
        <v>79</v>
      </c>
      <c r="E33" s="153" t="s">
        <v>80</v>
      </c>
      <c r="F33" s="154"/>
      <c r="G33" s="154"/>
      <c r="H33" s="155"/>
    </row>
    <row r="34" spans="2:8" ht="15" customHeight="1" thickBot="1">
      <c r="B34" s="108">
        <v>26</v>
      </c>
      <c r="C34" s="111"/>
      <c r="E34" s="150" t="s">
        <v>81</v>
      </c>
      <c r="F34" s="151"/>
      <c r="G34" s="151"/>
      <c r="H34" s="152"/>
    </row>
    <row r="35" spans="2:8" ht="15" customHeight="1" thickBot="1">
      <c r="B35" s="108">
        <v>27</v>
      </c>
      <c r="C35" s="111"/>
      <c r="E35" s="153" t="s">
        <v>82</v>
      </c>
      <c r="F35" s="154"/>
      <c r="G35" s="154"/>
      <c r="H35" s="155"/>
    </row>
    <row r="36" spans="2:8" ht="15" customHeight="1" thickBot="1">
      <c r="B36" s="108">
        <v>28</v>
      </c>
      <c r="C36" s="111"/>
      <c r="E36" s="150" t="s">
        <v>83</v>
      </c>
      <c r="F36" s="151"/>
      <c r="G36" s="151"/>
      <c r="H36" s="152"/>
    </row>
    <row r="37" spans="2:8" ht="15" customHeight="1" thickBot="1">
      <c r="B37" s="108">
        <v>29</v>
      </c>
      <c r="C37" s="111"/>
      <c r="E37" s="153" t="s">
        <v>84</v>
      </c>
      <c r="F37" s="154"/>
      <c r="G37" s="154"/>
      <c r="H37" s="155"/>
    </row>
    <row r="38" spans="2:8" ht="15" customHeight="1" thickBot="1">
      <c r="B38" s="108">
        <v>30</v>
      </c>
      <c r="C38" s="111"/>
      <c r="E38" s="150" t="s">
        <v>85</v>
      </c>
      <c r="F38" s="151"/>
      <c r="G38" s="151"/>
      <c r="H38" s="152"/>
    </row>
    <row r="39" spans="2:8" ht="15" customHeight="1" thickBot="1">
      <c r="B39" s="108">
        <v>31</v>
      </c>
      <c r="C39" s="111"/>
      <c r="E39" s="153" t="s">
        <v>86</v>
      </c>
      <c r="F39" s="154"/>
      <c r="G39" s="154"/>
      <c r="H39" s="155"/>
    </row>
    <row r="40" spans="2:8" ht="15" customHeight="1" thickBot="1">
      <c r="B40" s="108">
        <v>32</v>
      </c>
      <c r="C40" s="111"/>
      <c r="E40" s="150" t="s">
        <v>87</v>
      </c>
      <c r="F40" s="151"/>
      <c r="G40" s="151"/>
      <c r="H40" s="15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44</v>
      </c>
      <c r="G43" s="119" t="s">
        <v>56</v>
      </c>
      <c r="H43" s="120" t="s">
        <v>66</v>
      </c>
    </row>
    <row r="44" spans="2:8" ht="15" customHeight="1">
      <c r="B44" s="108">
        <v>36</v>
      </c>
      <c r="C44" s="111"/>
      <c r="E44" s="121" t="s">
        <v>30</v>
      </c>
      <c r="F44" s="122" t="s">
        <v>47</v>
      </c>
      <c r="G44" s="122" t="s">
        <v>58</v>
      </c>
      <c r="H44" s="123" t="s">
        <v>67</v>
      </c>
    </row>
    <row r="45" spans="2:8" ht="15" customHeight="1">
      <c r="B45" s="108">
        <v>37</v>
      </c>
      <c r="C45" s="111"/>
      <c r="E45" s="124" t="s">
        <v>33</v>
      </c>
      <c r="F45" s="125" t="s">
        <v>49</v>
      </c>
      <c r="G45" s="125" t="s">
        <v>60</v>
      </c>
      <c r="H45" s="126" t="s">
        <v>68</v>
      </c>
    </row>
    <row r="46" spans="2:8" ht="15" customHeight="1">
      <c r="B46" s="108">
        <v>38</v>
      </c>
      <c r="C46" s="111"/>
      <c r="E46" s="121" t="s">
        <v>36</v>
      </c>
      <c r="F46" s="122" t="s">
        <v>51</v>
      </c>
      <c r="G46" s="122" t="s">
        <v>62</v>
      </c>
      <c r="H46" s="123" t="s">
        <v>69</v>
      </c>
    </row>
    <row r="47" spans="2:8" ht="15" customHeight="1">
      <c r="B47" s="108">
        <v>39</v>
      </c>
      <c r="C47" s="111"/>
      <c r="E47" s="124" t="s">
        <v>38</v>
      </c>
      <c r="F47" s="125" t="s">
        <v>54</v>
      </c>
      <c r="G47" s="125" t="s">
        <v>64</v>
      </c>
      <c r="H47" s="126" t="s">
        <v>71</v>
      </c>
    </row>
    <row r="48" spans="2:8" ht="15" customHeight="1" thickBot="1">
      <c r="B48" s="108">
        <v>40</v>
      </c>
      <c r="C48" s="111"/>
      <c r="E48" s="127" t="s">
        <v>41</v>
      </c>
      <c r="F48" s="128"/>
      <c r="G48" s="128"/>
      <c r="H48" s="129" t="s">
        <v>73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75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77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79</v>
      </c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GOtao8XAWJVKDwyCl/Tgu0+GZB/2z0dYBOWPkGLU5JaK1JFcQiNYARXnqrbkuRgRc3r3bpBPBjNHWtg8DRRCbA==" saltValue="qyRaBiOoaHuSNlOHAO2k4g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35" activePane="bottomRight" state="frozen"/>
      <selection pane="bottomRight" activeCell="L40" sqref="F40:L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CONCATENATE(LIDER!C4," - ",LIDER!C6," - ",LIDER!C5)</f>
        <v>INNOVACION Y EMPRENDIMIENTO - 2303 - EDUARDO JESUS CARDENAS RODRIGUEZ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3.67</v>
      </c>
      <c r="F6" s="198">
        <v>3.5</v>
      </c>
      <c r="G6" s="195">
        <v>3.8</v>
      </c>
      <c r="H6" s="196">
        <v>3.8</v>
      </c>
      <c r="I6" s="195">
        <v>3.5</v>
      </c>
      <c r="J6" s="196">
        <v>3.8</v>
      </c>
      <c r="K6" s="195">
        <v>3</v>
      </c>
      <c r="L6" s="196">
        <v>5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3.67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3.67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3.67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3.67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3.67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3.96</v>
      </c>
      <c r="F13" s="198">
        <v>4</v>
      </c>
      <c r="G13" s="195">
        <v>3.5</v>
      </c>
      <c r="H13" s="196">
        <v>4.4000000000000004</v>
      </c>
      <c r="I13" s="195">
        <v>3.8</v>
      </c>
      <c r="J13" s="196">
        <v>4.4000000000000004</v>
      </c>
      <c r="K13" s="195">
        <v>3.5</v>
      </c>
      <c r="L13" s="196">
        <v>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3.96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3.96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3.96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3.96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3.5500000000000003</v>
      </c>
      <c r="F20" s="198">
        <v>3.5</v>
      </c>
      <c r="G20" s="195">
        <v>3.5</v>
      </c>
      <c r="H20" s="196">
        <v>3.8</v>
      </c>
      <c r="I20" s="195">
        <v>3.5</v>
      </c>
      <c r="J20" s="196">
        <v>4.2</v>
      </c>
      <c r="K20" s="195">
        <v>2.5</v>
      </c>
      <c r="L20" s="196">
        <v>5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3.5500000000000003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3.5500000000000003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3.5500000000000003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3.5500000000000003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3.6000000000000005</v>
      </c>
      <c r="F27" s="198">
        <v>3.8</v>
      </c>
      <c r="G27" s="195">
        <v>3.6</v>
      </c>
      <c r="H27" s="196">
        <v>3.6</v>
      </c>
      <c r="I27" s="195">
        <v>3</v>
      </c>
      <c r="J27" s="196">
        <v>3</v>
      </c>
      <c r="K27" s="195">
        <v>3.3</v>
      </c>
      <c r="L27" s="196">
        <v>5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3.6000000000000005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3.6000000000000005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3.6000000000000005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3.6000000000000005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3.6000000000000005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3.2700000000000005</v>
      </c>
      <c r="F34" s="198">
        <v>3</v>
      </c>
      <c r="G34" s="195">
        <v>3</v>
      </c>
      <c r="H34" s="196">
        <v>3.6</v>
      </c>
      <c r="I34" s="195">
        <v>3.3</v>
      </c>
      <c r="J34" s="196">
        <v>3.8</v>
      </c>
      <c r="K34" s="195">
        <v>2.5</v>
      </c>
      <c r="L34" s="196">
        <v>5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3.2700000000000005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3.2700000000000005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G30" activePane="bottomRight" state="frozen"/>
      <selection pane="bottomRight" activeCell="M34" sqref="M34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ELECTIVA DE PROFUNDIZACION III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CONCATENATE(LIDER!D4," - ",LIDER!D6," - ",LIDER!D5)</f>
        <v>ELECTIVA DE PROFUNDIZACION III - 2319 - HERNANDO RAFAEL ARMESTO ABUABARA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3.76</v>
      </c>
      <c r="F6" s="198">
        <v>3.5</v>
      </c>
      <c r="G6" s="195">
        <v>3.8</v>
      </c>
      <c r="H6" s="196">
        <v>4.2</v>
      </c>
      <c r="I6" s="195">
        <v>4</v>
      </c>
      <c r="J6" s="196">
        <v>3.8</v>
      </c>
      <c r="K6" s="195">
        <v>3</v>
      </c>
      <c r="L6" s="196">
        <v>5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3.76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</v>
      </c>
      <c r="F13" s="198">
        <v>4.3</v>
      </c>
      <c r="G13" s="195">
        <v>4.5</v>
      </c>
      <c r="H13" s="196">
        <v>4.8</v>
      </c>
      <c r="I13" s="195">
        <v>3.8</v>
      </c>
      <c r="J13" s="196">
        <v>4.2</v>
      </c>
      <c r="K13" s="195">
        <v>3.8</v>
      </c>
      <c r="L13" s="196">
        <v>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3.7600000000000002</v>
      </c>
      <c r="F20" s="198">
        <v>3.3</v>
      </c>
      <c r="G20" s="195">
        <v>3.8</v>
      </c>
      <c r="H20" s="196">
        <v>4</v>
      </c>
      <c r="I20" s="195">
        <v>3.5</v>
      </c>
      <c r="J20" s="196">
        <v>4.3</v>
      </c>
      <c r="K20" s="195">
        <v>3.3</v>
      </c>
      <c r="L20" s="196">
        <v>5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3.7600000000000002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3.7600000000000002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3.7600000000000002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3.7600000000000002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3.7800000000000002</v>
      </c>
      <c r="F27" s="198">
        <v>3.5</v>
      </c>
      <c r="G27" s="195">
        <v>4</v>
      </c>
      <c r="H27" s="196">
        <v>4.3</v>
      </c>
      <c r="I27" s="195">
        <v>3.5</v>
      </c>
      <c r="J27" s="196">
        <v>3</v>
      </c>
      <c r="K27" s="195">
        <v>3.5</v>
      </c>
      <c r="L27" s="196">
        <v>5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3.7800000000000002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3.7800000000000002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3.7800000000000002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3.7800000000000002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3.7800000000000002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3.89</v>
      </c>
      <c r="F34" s="198">
        <v>3.8</v>
      </c>
      <c r="G34" s="195">
        <v>4</v>
      </c>
      <c r="H34" s="196">
        <v>4.3</v>
      </c>
      <c r="I34" s="195">
        <v>3.8</v>
      </c>
      <c r="J34" s="196">
        <v>4.2</v>
      </c>
      <c r="K34" s="195">
        <v>3</v>
      </c>
      <c r="L34" s="196">
        <v>5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3.89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3.89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K6" sqref="K6:K1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AMBIENTE Y DESARROLLO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CONCATENATE(LIDER!E4," - ",LIDER!E6," - ",LIDER!E5)</f>
        <v>AMBIENTE Y DESARROLLO - 1085 - MARIANO BELTRAN PADILLA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4.04</v>
      </c>
      <c r="F6" s="198">
        <v>4</v>
      </c>
      <c r="G6" s="195">
        <v>4</v>
      </c>
      <c r="H6" s="196">
        <v>4</v>
      </c>
      <c r="I6" s="195">
        <v>4</v>
      </c>
      <c r="J6" s="196">
        <v>4</v>
      </c>
      <c r="K6" s="195">
        <v>4.2</v>
      </c>
      <c r="L6" s="196">
        <v>4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4.04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4.04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4.04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4.04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4.04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4.17</v>
      </c>
      <c r="F13" s="198">
        <v>4.2</v>
      </c>
      <c r="G13" s="195">
        <v>4</v>
      </c>
      <c r="H13" s="196">
        <v>4.2</v>
      </c>
      <c r="I13" s="195">
        <v>4</v>
      </c>
      <c r="J13" s="196">
        <v>4.2</v>
      </c>
      <c r="K13" s="195">
        <v>4.2</v>
      </c>
      <c r="L13" s="196">
        <v>4.5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4.17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4.17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4.17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4.17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4.01</v>
      </c>
      <c r="F20" s="198">
        <v>4</v>
      </c>
      <c r="G20" s="195">
        <v>3.5</v>
      </c>
      <c r="H20" s="196">
        <v>4.2</v>
      </c>
      <c r="I20" s="195">
        <v>4.2</v>
      </c>
      <c r="J20" s="196">
        <v>4.2</v>
      </c>
      <c r="K20" s="195">
        <v>4.0999999999999996</v>
      </c>
      <c r="L20" s="196">
        <v>4.3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4.01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4.01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4.01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4.01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4.01</v>
      </c>
      <c r="F27" s="198">
        <v>4.2</v>
      </c>
      <c r="G27" s="195">
        <v>3.5</v>
      </c>
      <c r="H27" s="196">
        <v>4.2</v>
      </c>
      <c r="I27" s="195">
        <v>4.2</v>
      </c>
      <c r="J27" s="196">
        <v>3.5</v>
      </c>
      <c r="K27" s="195">
        <v>4.3</v>
      </c>
      <c r="L27" s="196">
        <v>4.2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4.01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4.01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4.01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4.01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4.01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198">
        <v>4</v>
      </c>
      <c r="G34" s="195">
        <v>4.2</v>
      </c>
      <c r="H34" s="196">
        <v>4.2</v>
      </c>
      <c r="I34" s="195">
        <v>4.2</v>
      </c>
      <c r="J34" s="196">
        <v>4</v>
      </c>
      <c r="K34" s="195">
        <v>4</v>
      </c>
      <c r="L34" s="196">
        <v>4.2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33" activePane="bottomRight" state="frozen"/>
      <selection pane="bottomRight" activeCell="F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FINANZAS INTERNACIONALES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CONCATENATE(LIDER!F4," - ",LIDER!F6," - ",LIDER!F5)</f>
        <v>FINANZAS INTERNACIONALES - 1443 - MADELCY DEL CARMEN PEDROZA TORRES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4.0199999999999996</v>
      </c>
      <c r="F6" s="198">
        <v>3.8</v>
      </c>
      <c r="G6" s="195">
        <v>4</v>
      </c>
      <c r="H6" s="196">
        <v>4</v>
      </c>
      <c r="I6" s="195">
        <v>4</v>
      </c>
      <c r="J6" s="196">
        <v>4</v>
      </c>
      <c r="K6" s="195">
        <v>3.8</v>
      </c>
      <c r="L6" s="196">
        <v>5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4.0199999999999996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4.0199999999999996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4.0199999999999996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4.0199999999999996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4.0199999999999996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4.62</v>
      </c>
      <c r="F13" s="198">
        <v>5</v>
      </c>
      <c r="G13" s="195">
        <v>4</v>
      </c>
      <c r="H13" s="196">
        <v>4.4000000000000004</v>
      </c>
      <c r="I13" s="195">
        <v>4.4000000000000004</v>
      </c>
      <c r="J13" s="196">
        <v>4.4000000000000004</v>
      </c>
      <c r="K13" s="195">
        <v>5</v>
      </c>
      <c r="L13" s="196">
        <v>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4.62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4.62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4.62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4.62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4.6399999999999997</v>
      </c>
      <c r="F20" s="198">
        <v>4.5</v>
      </c>
      <c r="G20" s="195">
        <v>4.5999999999999996</v>
      </c>
      <c r="H20" s="196">
        <v>4.4000000000000004</v>
      </c>
      <c r="I20" s="195">
        <v>4.4000000000000004</v>
      </c>
      <c r="J20" s="196">
        <v>4.4000000000000004</v>
      </c>
      <c r="K20" s="195">
        <v>5</v>
      </c>
      <c r="L20" s="196">
        <v>5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4.6399999999999997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4.6399999999999997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4.6399999999999997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4.6399999999999997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4.6300000000000008</v>
      </c>
      <c r="F27" s="198">
        <v>4.5</v>
      </c>
      <c r="G27" s="195">
        <v>4.7</v>
      </c>
      <c r="H27" s="196">
        <v>4.5</v>
      </c>
      <c r="I27" s="195">
        <v>4.5</v>
      </c>
      <c r="J27" s="196">
        <v>4.5</v>
      </c>
      <c r="K27" s="195">
        <v>4.7</v>
      </c>
      <c r="L27" s="196">
        <v>5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4.6300000000000008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4.6300000000000008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4.6300000000000008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4.6300000000000008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4.6300000000000008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4.1700000000000008</v>
      </c>
      <c r="F34" s="198">
        <v>4.2</v>
      </c>
      <c r="G34" s="195">
        <v>4.2</v>
      </c>
      <c r="H34" s="196">
        <v>3.7</v>
      </c>
      <c r="I34" s="195">
        <v>3.7</v>
      </c>
      <c r="J34" s="196">
        <v>3.7</v>
      </c>
      <c r="K34" s="195">
        <v>4.4000000000000004</v>
      </c>
      <c r="L34" s="196">
        <v>5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4.1700000000000008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4.1700000000000008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tabSelected="1" workbookViewId="0">
      <pane xSplit="5" ySplit="3" topLeftCell="F33" activePane="bottomRight" state="frozen"/>
      <selection pane="bottomRight" activeCell="H34" sqref="H34:H39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D.F.I.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CONCATENATE(LIDER!G4," - ",LIDER!G6," - ",LIDER!G5)</f>
        <v>D.F.I. - 1449 - RAFAEL UGARRIZA DIAZ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3.9100000000000006</v>
      </c>
      <c r="F6" s="198">
        <v>4</v>
      </c>
      <c r="G6" s="195">
        <v>4</v>
      </c>
      <c r="H6" s="196">
        <v>3.7</v>
      </c>
      <c r="I6" s="195">
        <v>3.7</v>
      </c>
      <c r="J6" s="196">
        <v>3.7</v>
      </c>
      <c r="K6" s="195">
        <v>3.5</v>
      </c>
      <c r="L6" s="196">
        <v>5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3.9100000000000006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3.9100000000000006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3.9100000000000006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3.9100000000000006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3.9100000000000006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4.5500000000000007</v>
      </c>
      <c r="F13" s="198">
        <v>4.5</v>
      </c>
      <c r="G13" s="195">
        <v>4.5</v>
      </c>
      <c r="H13" s="196">
        <v>4.5</v>
      </c>
      <c r="I13" s="195">
        <v>4.5</v>
      </c>
      <c r="J13" s="196">
        <v>4.5</v>
      </c>
      <c r="K13" s="195">
        <v>4.5</v>
      </c>
      <c r="L13" s="196">
        <v>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4.5500000000000007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4.5500000000000007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4.5500000000000007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4.5500000000000007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4.5500000000000007</v>
      </c>
      <c r="F20" s="198">
        <v>4.5</v>
      </c>
      <c r="G20" s="195">
        <v>4.5</v>
      </c>
      <c r="H20" s="196">
        <v>4.5</v>
      </c>
      <c r="I20" s="195">
        <v>4.5</v>
      </c>
      <c r="J20" s="196">
        <v>4.5</v>
      </c>
      <c r="K20" s="195">
        <v>4.5</v>
      </c>
      <c r="L20" s="196">
        <v>5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4.5500000000000007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4.5500000000000007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4.5500000000000007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4.5500000000000007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198">
        <v>4</v>
      </c>
      <c r="G27" s="195">
        <v>4</v>
      </c>
      <c r="H27" s="196">
        <v>4</v>
      </c>
      <c r="I27" s="195">
        <v>4</v>
      </c>
      <c r="J27" s="196">
        <v>4</v>
      </c>
      <c r="K27" s="195">
        <v>4</v>
      </c>
      <c r="L27" s="196">
        <v>4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3.9999999999999996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4.33</v>
      </c>
      <c r="F34" s="198">
        <v>4</v>
      </c>
      <c r="G34" s="195">
        <v>4</v>
      </c>
      <c r="H34" s="196">
        <v>4.0999999999999996</v>
      </c>
      <c r="I34" s="195">
        <v>4.0999999999999996</v>
      </c>
      <c r="J34" s="196">
        <v>4.0999999999999996</v>
      </c>
      <c r="K34" s="195">
        <v>5</v>
      </c>
      <c r="L34" s="196">
        <v>5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4.33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4.33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2" activePane="bottomRight" state="frozen"/>
      <selection pane="bottomRight" activeCell="G40" sqref="F40:L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LIDER!H4</f>
        <v>ELECTIVA LIBRE SOCIOHUMANÍ II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CONCATENATE(LIDER!H4," - ",LIDER!H6," - ",LIDER!H5)</f>
        <v>ELECTIVA LIBRE SOCIOHUMANÍ II - 2120 - EBERTO JESUS POSADA AMANTE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4.1100000000000003</v>
      </c>
      <c r="F6" s="198">
        <v>4</v>
      </c>
      <c r="G6" s="195">
        <v>4.5</v>
      </c>
      <c r="H6" s="196">
        <v>4.2</v>
      </c>
      <c r="I6" s="195">
        <v>4.2</v>
      </c>
      <c r="J6" s="196">
        <v>4.2</v>
      </c>
      <c r="K6" s="195">
        <v>3.5</v>
      </c>
      <c r="L6" s="196">
        <v>4.5</v>
      </c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4.1100000000000003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4.1100000000000003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4.1100000000000003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4.1100000000000003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4.1100000000000003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</v>
      </c>
      <c r="F13" s="198">
        <v>3.5</v>
      </c>
      <c r="G13" s="195">
        <v>4.5</v>
      </c>
      <c r="H13" s="196">
        <v>4</v>
      </c>
      <c r="I13" s="195">
        <v>4</v>
      </c>
      <c r="J13" s="196">
        <v>4</v>
      </c>
      <c r="K13" s="195">
        <v>5</v>
      </c>
      <c r="L13" s="196">
        <v>5</v>
      </c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3.7799999999999994</v>
      </c>
      <c r="F20" s="198">
        <v>3.5</v>
      </c>
      <c r="G20" s="195">
        <v>4</v>
      </c>
      <c r="H20" s="196">
        <v>3.8</v>
      </c>
      <c r="I20" s="195">
        <v>3.8</v>
      </c>
      <c r="J20" s="196">
        <v>3.8</v>
      </c>
      <c r="K20" s="195">
        <v>3.8</v>
      </c>
      <c r="L20" s="196">
        <v>3.8</v>
      </c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3.7799999999999994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3.7799999999999994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3.7799999999999994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3.7799999999999994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3.7900000000000005</v>
      </c>
      <c r="F27" s="198">
        <v>3.2</v>
      </c>
      <c r="G27" s="195">
        <v>4.5</v>
      </c>
      <c r="H27" s="196">
        <v>3</v>
      </c>
      <c r="I27" s="195">
        <v>3</v>
      </c>
      <c r="J27" s="196">
        <v>3</v>
      </c>
      <c r="K27" s="195">
        <v>4.5</v>
      </c>
      <c r="L27" s="196">
        <v>4.5</v>
      </c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3.7900000000000005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3.7900000000000005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3.7900000000000005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3.7900000000000005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3.7900000000000005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4.1100000000000003</v>
      </c>
      <c r="F34" s="198">
        <v>3.8</v>
      </c>
      <c r="G34" s="195">
        <v>4.2</v>
      </c>
      <c r="H34" s="196">
        <v>4.2</v>
      </c>
      <c r="I34" s="195">
        <v>4.2</v>
      </c>
      <c r="J34" s="196">
        <v>4.2</v>
      </c>
      <c r="K34" s="195">
        <v>4</v>
      </c>
      <c r="L34" s="196">
        <v>4.5</v>
      </c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4.1100000000000003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4.1100000000000003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202" t="s">
        <v>88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CONCATENATE(LIDER!I4," - ",LIDER!I6," - ",LIDER!I5)</f>
        <v xml:space="preserve"> -  - 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90</v>
      </c>
      <c r="D5" s="32" t="s">
        <v>91</v>
      </c>
      <c r="E5" s="89" t="s">
        <v>92</v>
      </c>
      <c r="F5" s="197" t="str">
        <f>LIDER!$E$29</f>
        <v>GRUPO#1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LUIS BATISTA FUENTES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8"/>
      <c r="G6" s="195"/>
      <c r="H6" s="196"/>
      <c r="I6" s="195"/>
      <c r="J6" s="196"/>
      <c r="K6" s="195"/>
      <c r="L6" s="196"/>
    </row>
    <row r="7" spans="1:12" s="2" customFormat="1" ht="15" customHeight="1">
      <c r="A7" s="12">
        <v>2</v>
      </c>
      <c r="B7" s="10" t="str">
        <f>LIDER!E44</f>
        <v>LORENA CAICEDO ARRIETA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MARIA JOSE CARMONA NASSI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DANIELA GOMEZ RODRIGUEZ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LUCIANA ANGELINA LLADRO CARBALLO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VALERIA SARA VERGARA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74</v>
      </c>
      <c r="C12" s="88" t="s">
        <v>93</v>
      </c>
      <c r="D12" s="32" t="str">
        <f>D5</f>
        <v>LIST</v>
      </c>
      <c r="E12" s="89" t="s">
        <v>92</v>
      </c>
      <c r="F12" s="197" t="str">
        <f>LIDER!$E$30</f>
        <v>GRUPO#2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JUAN JOSE GARCIA SILVA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8"/>
      <c r="G13" s="195"/>
      <c r="H13" s="196"/>
      <c r="I13" s="195"/>
      <c r="J13" s="196"/>
      <c r="K13" s="195"/>
      <c r="L13" s="196"/>
    </row>
    <row r="14" spans="1:12" s="2" customFormat="1" ht="15" customHeight="1">
      <c r="A14" s="12">
        <v>2</v>
      </c>
      <c r="B14" s="10" t="str">
        <f>LIDER!F44</f>
        <v>NATALIA PINTO GARCÉS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YANEIRA PORTILLO DURAN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MARIA DE LOS ANGELES RODRIGUEZ ORTIZ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ARIANNA PATRICIA YEPEZ VALLENILLA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76</v>
      </c>
      <c r="C19" s="88" t="s">
        <v>94</v>
      </c>
      <c r="D19" s="32" t="str">
        <f>D12</f>
        <v>LIST</v>
      </c>
      <c r="E19" s="89" t="s">
        <v>92</v>
      </c>
      <c r="F19" s="197" t="str">
        <f>LIDER!$E$31</f>
        <v>GRUPO#3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/>
      <c r="G20" s="195"/>
      <c r="H20" s="196"/>
      <c r="I20" s="195"/>
      <c r="J20" s="196"/>
      <c r="K20" s="195"/>
      <c r="L20" s="196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HAYDHAN ALEJANDRO LUZARDO BAEZ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78</v>
      </c>
      <c r="C26" s="88" t="s">
        <v>95</v>
      </c>
      <c r="D26" s="32" t="str">
        <f>D19</f>
        <v>LIST</v>
      </c>
      <c r="E26" s="89" t="s">
        <v>92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MEREYDI MARIA CANACHE AMARANTO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 t="str">
        <f>LIDER!H44</f>
        <v>KATHRYN PAOLA CORREA VIDEZ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KELLY JOHANA GARCES BENITES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JHON ALEX PATIÑO MENDOZA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ANA CAROLINA PEREZ MORALES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MARIA CECILIA SIMANCA VILLA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80</v>
      </c>
      <c r="C33" s="88" t="s">
        <v>96</v>
      </c>
      <c r="D33" s="32" t="str">
        <f>D26</f>
        <v>LIST</v>
      </c>
      <c r="E33" s="89" t="s">
        <v>92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 t="str">
        <f>LIDER!E52</f>
        <v>YULIANA SHARITH MANCO AGUILAR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CRISTIAN DAVID MURILLO PATERNINA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81</v>
      </c>
      <c r="C40" s="88" t="s">
        <v>97</v>
      </c>
      <c r="D40" s="32" t="str">
        <f>D33</f>
        <v>LIST</v>
      </c>
      <c r="E40" s="89" t="s">
        <v>92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CONCATENATE(LIDER!C4," - ",LIDER!C6," - ",LIDER!C5)</f>
        <v>INNOVACION Y EMPRENDIMIENTO - 2303 - EDUARDO JESUS CARDENAS RODRIGUEZ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92</v>
      </c>
      <c r="E5" s="214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0</v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92</v>
      </c>
      <c r="E12" s="214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92</v>
      </c>
      <c r="E19" s="214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92</v>
      </c>
      <c r="E26" s="214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0</v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92</v>
      </c>
      <c r="E33" s="214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IF('S-ASIG-01'!D40="","",'S-ASIG-01'!D40)</f>
        <v>LIST</v>
      </c>
      <c r="D40" s="35" t="s">
        <v>92</v>
      </c>
      <c r="E40" s="214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92</v>
      </c>
      <c r="E47" s="214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IF('S-ASIG-01'!D54="","",'S-ASIG-01'!D54)</f>
        <v>LIST</v>
      </c>
      <c r="D54" s="35" t="s">
        <v>92</v>
      </c>
      <c r="E54" s="214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IF('S-ASIG-01'!D61="","",'S-ASIG-01'!D61)</f>
        <v>LIST</v>
      </c>
      <c r="D61" s="35" t="s">
        <v>92</v>
      </c>
      <c r="E61" s="214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IF('S-ASIG-01'!D68="","",'S-ASIG-01'!D68)</f>
        <v>LIST</v>
      </c>
      <c r="D68" s="35" t="s">
        <v>92</v>
      </c>
      <c r="E68" s="214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IF('S-ASIG-01'!D75="","",'S-ASIG-01'!D75)</f>
        <v>LIST</v>
      </c>
      <c r="D75" s="35" t="s">
        <v>92</v>
      </c>
      <c r="E75" s="214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IF('S-ASIG-01'!D82="","",'S-ASIG-01'!D82)</f>
        <v>LIST</v>
      </c>
      <c r="D82" s="35" t="s">
        <v>92</v>
      </c>
      <c r="E82" s="214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0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ELECTIVA DE PROFUNDIZACION III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CONCATENATE(LIDER!D4," - ",LIDER!D6," - ",LIDER!D5)</f>
        <v>ELECTIVA DE PROFUNDIZACION III - 2319 - HERNANDO RAFAEL ARMESTO ABUABARA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IF('S-ASIG-02'!D40="","",'S-ASIG-02'!D40)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IF('S-ASIG-02'!D54="","",'S-ASIG-02'!D54)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IF('S-ASIG-02'!D61="","",'S-ASIG-02'!D61)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IF('S-ASIG-02'!D68="","",'S-ASIG-02'!D68)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IF('S-ASIG-02'!D75="","",'S-ASIG-02'!D75)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IF('S-ASIG-02'!D82="","",'S-ASIG-02'!D82)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AMBIENTE Y DESARROLLO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CONCATENATE(LIDER!E4," - ",LIDER!E6," - ",LIDER!E5)</f>
        <v>AMBIENTE Y DESARROLLO - 1085 - MARIANO BELTRAN PADILLA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IF('S-ASIG-03'!D40="","",'S-ASIG-03'!D40)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IF('S-ASIG-03'!D54="","",'S-ASIG-03'!D54)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IF('S-ASIG-03'!D61="","",'S-ASIG-03'!D61)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IF('S-ASIG-03'!D68="","",'S-ASIG-03'!D68)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IF('S-ASIG-03'!D75="","",'S-ASIG-03'!D75)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IF('S-ASIG-03'!D82="","",'S-ASIG-03'!D82)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FINANZAS INTERNACIONALES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CONCATENATE(LIDER!F4," - ",LIDER!F6," - ",LIDER!F5)</f>
        <v>FINANZAS INTERNACIONALES - 1443 - MADELCY DEL CARMEN PEDROZA TORRES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IF('S-ASIG-04'!D40="","",'S-ASIG-04'!D40)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IF('S-ASIG-04'!D54="","",'S-ASIG-04'!D54)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IF('S-ASIG-04'!D61="","",'S-ASIG-04'!D61)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IF('S-ASIG-04'!D68="","",'S-ASIG-04'!D68)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IF('S-ASIG-04'!D75="","",'S-ASIG-04'!D75)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IF('S-ASIG-04'!D82="","",'S-ASIG-04'!D82)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D.F.I.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CONCATENATE(LIDER!G4," - ",LIDER!G6," - ",LIDER!G5)</f>
        <v>D.F.I. - 1449 - RAFAEL UGARRIZA DIAZ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IF('S-ASIG-05'!D40="","",'S-ASIG-05'!D40)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IF('S-ASIG-05'!D54="","",'S-ASIG-05'!D54)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IF('S-ASIG-05'!D61="","",'S-ASIG-05'!D61)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IF('S-ASIG-05'!D68="","",'S-ASIG-05'!D68)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IF('S-ASIG-05'!D75="","",'S-ASIG-05'!D75)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IF('S-ASIG-05'!D82="","",'S-ASIG-05'!D82)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LIDER!H4</f>
        <v>ELECTIVA LIBRE SOCIOHUMANÍ II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CONCATENATE(LIDER!H4," - ",LIDER!H6," - ",LIDER!H5)</f>
        <v>ELECTIVA LIBRE SOCIOHUMANÍ II - 2120 - EBERTO JESUS POSADA AMANTE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IF('S-ASIG-06'!D40="","",'S-ASIG-06'!D40)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IF('S-ASIG-06'!D54="","",'S-ASIG-06'!D54)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IF('S-ASIG-06'!D61="","",'S-ASIG-06'!D61)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IF('S-ASIG-06'!D68="","",'S-ASIG-06'!D68)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IF('S-ASIG-06'!D75="","",'S-ASIG-06'!D75)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IF('S-ASIG-06'!D82="","",'S-ASIG-06'!D82)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15" t="s">
        <v>88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CONCATENATE(LIDER!I4," - ",LIDER!I6," - ",LIDER!I5)</f>
        <v xml:space="preserve"> -  - 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92</v>
      </c>
      <c r="E5" s="197" t="str">
        <f>LIDER!$E$29</f>
        <v>GRUPO#1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LUIS BATISTA FUENTES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LORENA CAICEDO ARRIETA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MARIA JOSE CARMONA NASSI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DANIELA GOMEZ RODRIGUEZ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LUCIANA ANGELINA LLADRO CARBALLO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VALERIA SARA VERGARA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92</v>
      </c>
      <c r="E12" s="197" t="str">
        <f>LIDER!$E$30</f>
        <v>GRUPO#2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JUAN JOSE GARCIA SILVA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NATALIA PINTO GARCÉS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YANEIRA PORTILLO DURAN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MARIA DE LOS ANGELES RODRIGUEZ ORTIZ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ARIANNA PATRICIA YEPEZ VALLENILLA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92</v>
      </c>
      <c r="E19" s="197" t="str">
        <f>LIDER!$E$31</f>
        <v>GRUPO#3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HAYDHAN ALEJANDRO LUZARDO BAEZ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92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MEREYDI MARIA CANACHE AMARANTO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KATHRYN PAOLA CORREA VIDEZ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KELLY JOHANA GARCES BENITES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JHON ALEX PATIÑO MENDOZA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ANA CAROLINA PEREZ MORALES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MARIA CECILIA SIMANCA VILLA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92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YULIANA SHARITH MANCO AGUILAR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CRISTIAN DAVID MURILLO PATERNINA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IF('S-ASIG-07'!D40="","",'S-ASIG-07'!D40)</f>
        <v>LIST</v>
      </c>
      <c r="D40" s="35" t="s">
        <v>92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92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IF('S-ASIG-07'!D54="","",'S-ASIG-07'!D54)</f>
        <v>LIST</v>
      </c>
      <c r="D54" s="35" t="s">
        <v>92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IF('S-ASIG-07'!D61="","",'S-ASIG-07'!D61)</f>
        <v>LIST</v>
      </c>
      <c r="D61" s="35" t="s">
        <v>92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IF('S-ASIG-07'!D68="","",'S-ASIG-07'!D68)</f>
        <v>LIST</v>
      </c>
      <c r="D68" s="35" t="s">
        <v>92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IF('S-ASIG-07'!D75="","",'S-ASIG-07'!D75)</f>
        <v>LIST</v>
      </c>
      <c r="D75" s="35" t="s">
        <v>92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IF('S-ASIG-07'!D82="","",'S-ASIG-07'!D82)</f>
        <v>LIST</v>
      </c>
      <c r="D82" s="35" t="s">
        <v>92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18" activePane="bottomRight" state="frozen"/>
      <selection pane="bottomRight" activeCell="K18" sqref="K18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SEM-06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142" t="s">
        <v>104</v>
      </c>
      <c r="H2" s="143"/>
      <c r="I2" s="143"/>
      <c r="J2" s="143"/>
      <c r="K2" s="143"/>
      <c r="L2" s="143"/>
      <c r="M2" s="144"/>
      <c r="N2" s="2"/>
      <c r="O2" s="147" t="s">
        <v>105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2303</v>
      </c>
      <c r="H3" s="49" t="str">
        <f>CONCATENATE("N° : ",LIDER!D6)</f>
        <v>N° : 2319</v>
      </c>
      <c r="I3" s="49" t="str">
        <f>CONCATENATE("N° : ",LIDER!E6)</f>
        <v>N° : 1085</v>
      </c>
      <c r="J3" s="49" t="str">
        <f>CONCATENATE("N° : ",LIDER!F6)</f>
        <v>N° : 1443</v>
      </c>
      <c r="K3" s="49" t="str">
        <f>CONCATENATE("N° : ",LIDER!G6)</f>
        <v>N° : 1449</v>
      </c>
      <c r="L3" s="49" t="str">
        <f>CONCATENATE("N° : ",LIDER!H6)</f>
        <v>N° : 2120</v>
      </c>
      <c r="M3" s="50" t="str">
        <f>CONCATENATE("N° : ",LIDER!I6)</f>
        <v xml:space="preserve">N° : </v>
      </c>
      <c r="O3" s="48" t="str">
        <f>G3</f>
        <v>N° : 2303</v>
      </c>
      <c r="P3" s="49" t="str">
        <f t="shared" ref="P3:U3" si="0">H3</f>
        <v>N° : 2319</v>
      </c>
      <c r="Q3" s="49" t="str">
        <f t="shared" si="0"/>
        <v>N° : 1085</v>
      </c>
      <c r="R3" s="49" t="str">
        <f t="shared" si="0"/>
        <v>N° : 1443</v>
      </c>
      <c r="S3" s="49" t="str">
        <f t="shared" si="0"/>
        <v>N° : 1449</v>
      </c>
      <c r="T3" s="49" t="str">
        <f t="shared" si="0"/>
        <v>N° : 2120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106</v>
      </c>
      <c r="D4" s="54" t="s">
        <v>107</v>
      </c>
      <c r="E4" s="55" t="s">
        <v>108</v>
      </c>
      <c r="G4" s="56" t="str">
        <f>MID(LIDER!C4,1,9)</f>
        <v>INNOVACIO</v>
      </c>
      <c r="H4" s="57" t="str">
        <f>MID(LIDER!D4,1,9)</f>
        <v xml:space="preserve">ELECTIVA </v>
      </c>
      <c r="I4" s="57" t="str">
        <f>MID(LIDER!E4,1,9)</f>
        <v xml:space="preserve">AMBIENTE </v>
      </c>
      <c r="J4" s="57" t="str">
        <f>MID(LIDER!F4,1,9)</f>
        <v xml:space="preserve">FINANZAS </v>
      </c>
      <c r="K4" s="57" t="str">
        <f>MID(LIDER!G4,1,9)</f>
        <v>D.F.I.</v>
      </c>
      <c r="L4" s="57" t="str">
        <f>MID(LIDER!H4,1,9)</f>
        <v xml:space="preserve">ELECTIVA </v>
      </c>
      <c r="M4" s="58" t="str">
        <f>MID(LIDER!I4,1,9)</f>
        <v/>
      </c>
      <c r="N4" s="59" t="s">
        <v>109</v>
      </c>
      <c r="O4" s="60" t="str">
        <f t="shared" ref="O4:U4" si="1">G4</f>
        <v>INNOVACIO</v>
      </c>
      <c r="P4" s="61" t="str">
        <f t="shared" si="1"/>
        <v xml:space="preserve">ELECTIVA </v>
      </c>
      <c r="Q4" s="61" t="str">
        <f t="shared" si="1"/>
        <v xml:space="preserve">AMBIENTE </v>
      </c>
      <c r="R4" s="61" t="str">
        <f t="shared" si="1"/>
        <v xml:space="preserve">FINANZAS </v>
      </c>
      <c r="S4" s="61" t="str">
        <f t="shared" si="1"/>
        <v>D.F.I.</v>
      </c>
      <c r="T4" s="61" t="str">
        <f t="shared" si="1"/>
        <v xml:space="preserve">ELECTIVA </v>
      </c>
      <c r="U4" s="62" t="str">
        <f t="shared" si="1"/>
        <v/>
      </c>
      <c r="V4" s="59" t="s">
        <v>110</v>
      </c>
    </row>
    <row r="5" spans="1:22" ht="15" customHeight="1">
      <c r="A5" s="12">
        <v>1</v>
      </c>
      <c r="B5" s="63" t="str">
        <f>LIDER!C9</f>
        <v>LUIS BATISTA FUENTES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3.918333333333333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3.67</v>
      </c>
      <c r="H5" s="65">
        <f>IF(B5=0,"",IFERROR(VLOOKUP(B5,'S-ASIG-02'!$B$5:$E$88,4,0),0))</f>
        <v>3.76</v>
      </c>
      <c r="I5" s="65">
        <f>IF(B5=0,"",IFERROR(VLOOKUP(B5,'S-ASIG-03'!$B$5:$E$88,4,0),0))</f>
        <v>4.04</v>
      </c>
      <c r="J5" s="65">
        <f>IF(B5=0,"",IFERROR(VLOOKUP(B5,'S-ASIG-04'!$B$5:$E$88,4,0),0))</f>
        <v>4.0199999999999996</v>
      </c>
      <c r="K5" s="65">
        <f>IF(B5=0,"",IFERROR(VLOOKUP(B5,'S-ASIG-05'!$B$5:$E$88,4,0),0))</f>
        <v>3.9100000000000006</v>
      </c>
      <c r="L5" s="65">
        <f>IF(B5=0,"",IFERROR(VLOOKUP(B5,'S-ASIG-06'!$B$5:$E$88,4,0),0))</f>
        <v>4.1100000000000003</v>
      </c>
      <c r="M5" s="66">
        <f>IF(B5=0,"",IFERROR(VLOOKUP(B5,'S-ASIG-07'!$B$5:$E$88,4,0),0))</f>
        <v>0</v>
      </c>
      <c r="N5" s="68" t="s">
        <v>111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112</v>
      </c>
    </row>
    <row r="6" spans="1:22" ht="15" customHeight="1">
      <c r="A6" s="12">
        <v>2</v>
      </c>
      <c r="B6" s="70" t="str">
        <f>LIDER!C10</f>
        <v>LORENA CAICEDO ARRIETA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3.918333333333333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3.67</v>
      </c>
      <c r="H6" s="72">
        <f>IF(B6=0,"",IFERROR(VLOOKUP(B6,'S-ASIG-02'!$B$5:$E$88,4,0),0))</f>
        <v>3.76</v>
      </c>
      <c r="I6" s="72">
        <f>IF(B6=0,"",IFERROR(VLOOKUP(B6,'S-ASIG-03'!$B$5:$E$88,4,0),0))</f>
        <v>4.04</v>
      </c>
      <c r="J6" s="72">
        <f>IF(B6=0,"",IFERROR(VLOOKUP(B6,'S-ASIG-04'!$B$5:$E$88,4,0),0))</f>
        <v>4.0199999999999996</v>
      </c>
      <c r="K6" s="72">
        <f>IF(B6=0,"",IFERROR(VLOOKUP(B6,'S-ASIG-05'!$B$5:$E$88,4,0),0))</f>
        <v>3.9100000000000006</v>
      </c>
      <c r="L6" s="72">
        <f>IF(B6=0,"",IFERROR(VLOOKUP(B6,'S-ASIG-06'!$B$5:$E$88,4,0),0))</f>
        <v>4.1100000000000003</v>
      </c>
      <c r="M6" s="73">
        <f>IF(B6=0,"",IFERROR(VLOOKUP(B6,'S-ASIG-07'!$B$5:$E$88,4,0),0))</f>
        <v>0</v>
      </c>
      <c r="N6" s="68" t="s">
        <v>111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112</v>
      </c>
    </row>
    <row r="7" spans="1:22" ht="15" customHeight="1">
      <c r="A7" s="12">
        <v>3</v>
      </c>
      <c r="B7" s="70" t="str">
        <f>LIDER!C11</f>
        <v>MARIA JOSE CARMONA NASSI</v>
      </c>
      <c r="C7" s="64" t="str">
        <f>IF(B7=0,"",IFERROR(VLOOKUP(B7,'S-ASIG-01'!$B$5:$E$88,2,0),0))</f>
        <v>G01</v>
      </c>
      <c r="D7" s="65">
        <f t="shared" si="2"/>
        <v>3.918333333333333</v>
      </c>
      <c r="E7" s="66">
        <f t="shared" si="3"/>
        <v>0</v>
      </c>
      <c r="F7" s="47"/>
      <c r="G7" s="71">
        <f>IF(B7=0,"",IFERROR(VLOOKUP(B7,'S-ASIG-01'!$B$5:$E$88,4,0),0))</f>
        <v>3.67</v>
      </c>
      <c r="H7" s="72">
        <f>IF(B7=0,"",IFERROR(VLOOKUP(B7,'S-ASIG-02'!$B$5:$E$88,4,0),0))</f>
        <v>3.76</v>
      </c>
      <c r="I7" s="72">
        <f>IF(B7=0,"",IFERROR(VLOOKUP(B7,'S-ASIG-03'!$B$5:$E$88,4,0),0))</f>
        <v>4.04</v>
      </c>
      <c r="J7" s="72">
        <f>IF(B7=0,"",IFERROR(VLOOKUP(B7,'S-ASIG-04'!$B$5:$E$88,4,0),0))</f>
        <v>4.0199999999999996</v>
      </c>
      <c r="K7" s="72">
        <f>IF(B7=0,"",IFERROR(VLOOKUP(B7,'S-ASIG-05'!$B$5:$E$88,4,0),0))</f>
        <v>3.9100000000000006</v>
      </c>
      <c r="L7" s="72">
        <f>IF(B7=0,"",IFERROR(VLOOKUP(B7,'S-ASIG-06'!$B$5:$E$88,4,0),0))</f>
        <v>4.1100000000000003</v>
      </c>
      <c r="M7" s="73">
        <f>IF(B7=0,"",IFERROR(VLOOKUP(B7,'S-ASIG-07'!$B$5:$E$88,4,0),0))</f>
        <v>0</v>
      </c>
      <c r="N7" s="68" t="s">
        <v>111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112</v>
      </c>
    </row>
    <row r="8" spans="1:22" ht="15" customHeight="1">
      <c r="A8" s="12">
        <v>4</v>
      </c>
      <c r="B8" s="70" t="str">
        <f>LIDER!C12</f>
        <v>DANIELA GOMEZ RODRIGUEZ</v>
      </c>
      <c r="C8" s="64" t="str">
        <f>IF(B8=0,"",IFERROR(VLOOKUP(B8,'S-ASIG-01'!$B$5:$E$88,2,0),0))</f>
        <v>G01</v>
      </c>
      <c r="D8" s="65">
        <f t="shared" si="2"/>
        <v>3.918333333333333</v>
      </c>
      <c r="E8" s="66">
        <f t="shared" si="3"/>
        <v>0</v>
      </c>
      <c r="F8" s="47"/>
      <c r="G8" s="71">
        <f>IF(B8=0,"",IFERROR(VLOOKUP(B8,'S-ASIG-01'!$B$5:$E$88,4,0),0))</f>
        <v>3.67</v>
      </c>
      <c r="H8" s="72">
        <f>IF(B8=0,"",IFERROR(VLOOKUP(B8,'S-ASIG-02'!$B$5:$E$88,4,0),0))</f>
        <v>3.76</v>
      </c>
      <c r="I8" s="72">
        <f>IF(B8=0,"",IFERROR(VLOOKUP(B8,'S-ASIG-03'!$B$5:$E$88,4,0),0))</f>
        <v>4.04</v>
      </c>
      <c r="J8" s="72">
        <f>IF(B8=0,"",IFERROR(VLOOKUP(B8,'S-ASIG-04'!$B$5:$E$88,4,0),0))</f>
        <v>4.0199999999999996</v>
      </c>
      <c r="K8" s="72">
        <f>IF(B8=0,"",IFERROR(VLOOKUP(B8,'S-ASIG-05'!$B$5:$E$88,4,0),0))</f>
        <v>3.9100000000000006</v>
      </c>
      <c r="L8" s="72">
        <f>IF(B8=0,"",IFERROR(VLOOKUP(B8,'S-ASIG-06'!$B$5:$E$88,4,0),0))</f>
        <v>4.1100000000000003</v>
      </c>
      <c r="M8" s="73">
        <f>IF(B8=0,"",IFERROR(VLOOKUP(B8,'S-ASIG-07'!$B$5:$E$88,4,0),0))</f>
        <v>0</v>
      </c>
      <c r="N8" s="68" t="s">
        <v>111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112</v>
      </c>
    </row>
    <row r="9" spans="1:22" ht="15" customHeight="1">
      <c r="A9" s="12">
        <v>5</v>
      </c>
      <c r="B9" s="70" t="str">
        <f>LIDER!C13</f>
        <v>LUCIANA ANGELINA LLADRO CARBALLO</v>
      </c>
      <c r="C9" s="64" t="str">
        <f>IF(B9=0,"",IFERROR(VLOOKUP(B9,'S-ASIG-01'!$B$5:$E$88,2,0),0))</f>
        <v>G01</v>
      </c>
      <c r="D9" s="65">
        <f t="shared" si="2"/>
        <v>3.918333333333333</v>
      </c>
      <c r="E9" s="66">
        <f t="shared" si="3"/>
        <v>0</v>
      </c>
      <c r="F9" s="47"/>
      <c r="G9" s="71">
        <f>IF(B9=0,"",IFERROR(VLOOKUP(B9,'S-ASIG-01'!$B$5:$E$88,4,0),0))</f>
        <v>3.67</v>
      </c>
      <c r="H9" s="72">
        <f>IF(B9=0,"",IFERROR(VLOOKUP(B9,'S-ASIG-02'!$B$5:$E$88,4,0),0))</f>
        <v>3.76</v>
      </c>
      <c r="I9" s="72">
        <f>IF(B9=0,"",IFERROR(VLOOKUP(B9,'S-ASIG-03'!$B$5:$E$88,4,0),0))</f>
        <v>4.04</v>
      </c>
      <c r="J9" s="72">
        <f>IF(B9=0,"",IFERROR(VLOOKUP(B9,'S-ASIG-04'!$B$5:$E$88,4,0),0))</f>
        <v>4.0199999999999996</v>
      </c>
      <c r="K9" s="72">
        <f>IF(B9=0,"",IFERROR(VLOOKUP(B9,'S-ASIG-05'!$B$5:$E$88,4,0),0))</f>
        <v>3.9100000000000006</v>
      </c>
      <c r="L9" s="72">
        <f>IF(B9=0,"",IFERROR(VLOOKUP(B9,'S-ASIG-06'!$B$5:$E$88,4,0),0))</f>
        <v>4.1100000000000003</v>
      </c>
      <c r="M9" s="73">
        <f>IF(B9=0,"",IFERROR(VLOOKUP(B9,'S-ASIG-07'!$B$5:$E$88,4,0),0))</f>
        <v>0</v>
      </c>
      <c r="N9" s="68" t="s">
        <v>111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112</v>
      </c>
    </row>
    <row r="10" spans="1:22" ht="15" customHeight="1">
      <c r="A10" s="12">
        <v>6</v>
      </c>
      <c r="B10" s="70" t="str">
        <f>LIDER!C14</f>
        <v>VALERIA SARA VERGARA</v>
      </c>
      <c r="C10" s="64" t="str">
        <f>IF(B10=0,"",IFERROR(VLOOKUP(B10,'S-ASIG-01'!$B$5:$E$88,2,0),0))</f>
        <v>G01</v>
      </c>
      <c r="D10" s="65">
        <f t="shared" si="2"/>
        <v>3.918333333333333</v>
      </c>
      <c r="E10" s="66">
        <f t="shared" si="3"/>
        <v>0</v>
      </c>
      <c r="F10" s="47"/>
      <c r="G10" s="71">
        <f>IF(B10=0,"",IFERROR(VLOOKUP(B10,'S-ASIG-01'!$B$5:$E$88,4,0),0))</f>
        <v>3.67</v>
      </c>
      <c r="H10" s="72">
        <f>IF(B10=0,"",IFERROR(VLOOKUP(B10,'S-ASIG-02'!$B$5:$E$88,4,0),0))</f>
        <v>3.76</v>
      </c>
      <c r="I10" s="72">
        <f>IF(B10=0,"",IFERROR(VLOOKUP(B10,'S-ASIG-03'!$B$5:$E$88,4,0),0))</f>
        <v>4.04</v>
      </c>
      <c r="J10" s="72">
        <f>IF(B10=0,"",IFERROR(VLOOKUP(B10,'S-ASIG-04'!$B$5:$E$88,4,0),0))</f>
        <v>4.0199999999999996</v>
      </c>
      <c r="K10" s="72">
        <f>IF(B10=0,"",IFERROR(VLOOKUP(B10,'S-ASIG-05'!$B$5:$E$88,4,0),0))</f>
        <v>3.9100000000000006</v>
      </c>
      <c r="L10" s="72">
        <f>IF(B10=0,"",IFERROR(VLOOKUP(B10,'S-ASIG-06'!$B$5:$E$88,4,0),0))</f>
        <v>4.1100000000000003</v>
      </c>
      <c r="M10" s="73">
        <f>IF(B10=0,"",IFERROR(VLOOKUP(B10,'S-ASIG-07'!$B$5:$E$88,4,0),0))</f>
        <v>0</v>
      </c>
      <c r="N10" s="68" t="s">
        <v>111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112</v>
      </c>
    </row>
    <row r="11" spans="1:22" ht="15" customHeight="1">
      <c r="A11" s="12">
        <v>7</v>
      </c>
      <c r="B11" s="70" t="str">
        <f>LIDER!C15</f>
        <v>JUAN JOSE GARCIA SILVA</v>
      </c>
      <c r="C11" s="64" t="str">
        <f>IF(B11=0,"",IFERROR(VLOOKUP(B11,'S-ASIG-01'!$B$5:$E$88,2,0),0))</f>
        <v>G02</v>
      </c>
      <c r="D11" s="65">
        <f t="shared" si="2"/>
        <v>4.3166666666666673</v>
      </c>
      <c r="E11" s="66">
        <f t="shared" si="3"/>
        <v>0</v>
      </c>
      <c r="F11" s="47"/>
      <c r="G11" s="71">
        <f>IF(B11=0,"",IFERROR(VLOOKUP(B11,'S-ASIG-01'!$B$5:$E$88,4,0),0))</f>
        <v>3.96</v>
      </c>
      <c r="H11" s="72">
        <f>IF(B11=0,"",IFERROR(VLOOKUP(B11,'S-ASIG-02'!$B$5:$E$88,4,0),0))</f>
        <v>4.3</v>
      </c>
      <c r="I11" s="72">
        <f>IF(B11=0,"",IFERROR(VLOOKUP(B11,'S-ASIG-03'!$B$5:$E$88,4,0),0))</f>
        <v>4.17</v>
      </c>
      <c r="J11" s="72">
        <f>IF(B11=0,"",IFERROR(VLOOKUP(B11,'S-ASIG-04'!$B$5:$E$88,4,0),0))</f>
        <v>4.62</v>
      </c>
      <c r="K11" s="72">
        <f>IF(B11=0,"",IFERROR(VLOOKUP(B11,'S-ASIG-05'!$B$5:$E$88,4,0),0))</f>
        <v>4.5500000000000007</v>
      </c>
      <c r="L11" s="72">
        <f>IF(B11=0,"",IFERROR(VLOOKUP(B11,'S-ASIG-06'!$B$5:$E$88,4,0),0))</f>
        <v>4.3</v>
      </c>
      <c r="M11" s="73">
        <f>IF(B11=0,"",IFERROR(VLOOKUP(B11,'S-ASIG-07'!$B$5:$E$88,4,0),0))</f>
        <v>0</v>
      </c>
      <c r="N11" s="68" t="s">
        <v>111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112</v>
      </c>
    </row>
    <row r="12" spans="1:22" ht="15" customHeight="1">
      <c r="A12" s="12">
        <v>8</v>
      </c>
      <c r="B12" s="70" t="str">
        <f>LIDER!C16</f>
        <v>NATALIA PINTO GARCÉS</v>
      </c>
      <c r="C12" s="64" t="str">
        <f>IF(B12=0,"",IFERROR(VLOOKUP(B12,'S-ASIG-01'!$B$5:$E$88,2,0),0))</f>
        <v>G02</v>
      </c>
      <c r="D12" s="65">
        <f t="shared" si="2"/>
        <v>4.3166666666666673</v>
      </c>
      <c r="E12" s="66">
        <f t="shared" si="3"/>
        <v>0</v>
      </c>
      <c r="F12" s="47"/>
      <c r="G12" s="71">
        <f>IF(B12=0,"",IFERROR(VLOOKUP(B12,'S-ASIG-01'!$B$5:$E$88,4,0),0))</f>
        <v>3.96</v>
      </c>
      <c r="H12" s="72">
        <f>IF(B12=0,"",IFERROR(VLOOKUP(B12,'S-ASIG-02'!$B$5:$E$88,4,0),0))</f>
        <v>4.3</v>
      </c>
      <c r="I12" s="72">
        <f>IF(B12=0,"",IFERROR(VLOOKUP(B12,'S-ASIG-03'!$B$5:$E$88,4,0),0))</f>
        <v>4.17</v>
      </c>
      <c r="J12" s="72">
        <f>IF(B12=0,"",IFERROR(VLOOKUP(B12,'S-ASIG-04'!$B$5:$E$88,4,0),0))</f>
        <v>4.62</v>
      </c>
      <c r="K12" s="72">
        <f>IF(B12=0,"",IFERROR(VLOOKUP(B12,'S-ASIG-05'!$B$5:$E$88,4,0),0))</f>
        <v>4.5500000000000007</v>
      </c>
      <c r="L12" s="72">
        <f>IF(B12=0,"",IFERROR(VLOOKUP(B12,'S-ASIG-06'!$B$5:$E$88,4,0),0))</f>
        <v>4.3</v>
      </c>
      <c r="M12" s="73">
        <f>IF(B12=0,"",IFERROR(VLOOKUP(B12,'S-ASIG-07'!$B$5:$E$88,4,0),0))</f>
        <v>0</v>
      </c>
      <c r="N12" s="68" t="s">
        <v>111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112</v>
      </c>
    </row>
    <row r="13" spans="1:22" ht="15" customHeight="1">
      <c r="A13" s="12">
        <v>9</v>
      </c>
      <c r="B13" s="70" t="str">
        <f>LIDER!C17</f>
        <v>YANEIRA PORTILLO DURAN</v>
      </c>
      <c r="C13" s="64" t="str">
        <f>IF(B13=0,"",IFERROR(VLOOKUP(B13,'S-ASIG-01'!$B$5:$E$88,2,0),0))</f>
        <v>G02</v>
      </c>
      <c r="D13" s="65">
        <f t="shared" si="2"/>
        <v>4.3166666666666673</v>
      </c>
      <c r="E13" s="66">
        <f t="shared" si="3"/>
        <v>0</v>
      </c>
      <c r="F13" s="47"/>
      <c r="G13" s="71">
        <f>IF(B13=0,"",IFERROR(VLOOKUP(B13,'S-ASIG-01'!$B$5:$E$88,4,0),0))</f>
        <v>3.96</v>
      </c>
      <c r="H13" s="72">
        <f>IF(B13=0,"",IFERROR(VLOOKUP(B13,'S-ASIG-02'!$B$5:$E$88,4,0),0))</f>
        <v>4.3</v>
      </c>
      <c r="I13" s="72">
        <f>IF(B13=0,"",IFERROR(VLOOKUP(B13,'S-ASIG-03'!$B$5:$E$88,4,0),0))</f>
        <v>4.17</v>
      </c>
      <c r="J13" s="72">
        <f>IF(B13=0,"",IFERROR(VLOOKUP(B13,'S-ASIG-04'!$B$5:$E$88,4,0),0))</f>
        <v>4.62</v>
      </c>
      <c r="K13" s="72">
        <f>IF(B13=0,"",IFERROR(VLOOKUP(B13,'S-ASIG-05'!$B$5:$E$88,4,0),0))</f>
        <v>4.5500000000000007</v>
      </c>
      <c r="L13" s="72">
        <f>IF(B13=0,"",IFERROR(VLOOKUP(B13,'S-ASIG-06'!$B$5:$E$88,4,0),0))</f>
        <v>4.3</v>
      </c>
      <c r="M13" s="73">
        <f>IF(B13=0,"",IFERROR(VLOOKUP(B13,'S-ASIG-07'!$B$5:$E$88,4,0),0))</f>
        <v>0</v>
      </c>
      <c r="N13" s="68" t="s">
        <v>111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112</v>
      </c>
    </row>
    <row r="14" spans="1:22" ht="15" customHeight="1">
      <c r="A14" s="12">
        <v>10</v>
      </c>
      <c r="B14" s="70" t="str">
        <f>LIDER!C18</f>
        <v>MARIA DE LOS ANGELES RODRIGUEZ ORTIZ</v>
      </c>
      <c r="C14" s="64" t="str">
        <f>IF(B14=0,"",IFERROR(VLOOKUP(B14,'S-ASIG-01'!$B$5:$E$88,2,0),0))</f>
        <v>G02</v>
      </c>
      <c r="D14" s="65">
        <f t="shared" si="2"/>
        <v>4.3166666666666673</v>
      </c>
      <c r="E14" s="66">
        <f t="shared" si="3"/>
        <v>0</v>
      </c>
      <c r="F14" s="47"/>
      <c r="G14" s="71">
        <f>IF(B14=0,"",IFERROR(VLOOKUP(B14,'S-ASIG-01'!$B$5:$E$88,4,0),0))</f>
        <v>3.96</v>
      </c>
      <c r="H14" s="72">
        <f>IF(B14=0,"",IFERROR(VLOOKUP(B14,'S-ASIG-02'!$B$5:$E$88,4,0),0))</f>
        <v>4.3</v>
      </c>
      <c r="I14" s="72">
        <f>IF(B14=0,"",IFERROR(VLOOKUP(B14,'S-ASIG-03'!$B$5:$E$88,4,0),0))</f>
        <v>4.17</v>
      </c>
      <c r="J14" s="72">
        <f>IF(B14=0,"",IFERROR(VLOOKUP(B14,'S-ASIG-04'!$B$5:$E$88,4,0),0))</f>
        <v>4.62</v>
      </c>
      <c r="K14" s="72">
        <f>IF(B14=0,"",IFERROR(VLOOKUP(B14,'S-ASIG-05'!$B$5:$E$88,4,0),0))</f>
        <v>4.5500000000000007</v>
      </c>
      <c r="L14" s="72">
        <f>IF(B14=0,"",IFERROR(VLOOKUP(B14,'S-ASIG-06'!$B$5:$E$88,4,0),0))</f>
        <v>4.3</v>
      </c>
      <c r="M14" s="73">
        <f>IF(B14=0,"",IFERROR(VLOOKUP(B14,'S-ASIG-07'!$B$5:$E$88,4,0),0))</f>
        <v>0</v>
      </c>
      <c r="N14" s="68" t="s">
        <v>111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112</v>
      </c>
    </row>
    <row r="15" spans="1:22" ht="15" customHeight="1">
      <c r="A15" s="12">
        <v>11</v>
      </c>
      <c r="B15" s="70" t="str">
        <f>LIDER!C19</f>
        <v>ARIANNA PATRICIA YEPEZ VALLENILLA</v>
      </c>
      <c r="C15" s="64" t="str">
        <f>IF(B15=0,"",IFERROR(VLOOKUP(B15,'S-ASIG-01'!$B$5:$E$88,2,0),0))</f>
        <v>G02</v>
      </c>
      <c r="D15" s="65">
        <f t="shared" si="2"/>
        <v>4.3166666666666673</v>
      </c>
      <c r="E15" s="66">
        <f t="shared" si="3"/>
        <v>0</v>
      </c>
      <c r="F15" s="47"/>
      <c r="G15" s="71">
        <f>IF(B15=0,"",IFERROR(VLOOKUP(B15,'S-ASIG-01'!$B$5:$E$88,4,0),0))</f>
        <v>3.96</v>
      </c>
      <c r="H15" s="72">
        <f>IF(B15=0,"",IFERROR(VLOOKUP(B15,'S-ASIG-02'!$B$5:$E$88,4,0),0))</f>
        <v>4.3</v>
      </c>
      <c r="I15" s="72">
        <f>IF(B15=0,"",IFERROR(VLOOKUP(B15,'S-ASIG-03'!$B$5:$E$88,4,0),0))</f>
        <v>4.17</v>
      </c>
      <c r="J15" s="72">
        <f>IF(B15=0,"",IFERROR(VLOOKUP(B15,'S-ASIG-04'!$B$5:$E$88,4,0),0))</f>
        <v>4.62</v>
      </c>
      <c r="K15" s="72">
        <f>IF(B15=0,"",IFERROR(VLOOKUP(B15,'S-ASIG-05'!$B$5:$E$88,4,0),0))</f>
        <v>4.5500000000000007</v>
      </c>
      <c r="L15" s="72">
        <f>IF(B15=0,"",IFERROR(VLOOKUP(B15,'S-ASIG-06'!$B$5:$E$88,4,0),0))</f>
        <v>4.3</v>
      </c>
      <c r="M15" s="73">
        <f>IF(B15=0,"",IFERROR(VLOOKUP(B15,'S-ASIG-07'!$B$5:$E$88,4,0),0))</f>
        <v>0</v>
      </c>
      <c r="N15" s="68" t="s">
        <v>111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112</v>
      </c>
    </row>
    <row r="16" spans="1:22" ht="15" customHeight="1">
      <c r="A16" s="12">
        <v>12</v>
      </c>
      <c r="B16" s="70" t="str">
        <f>LIDER!C20</f>
        <v>CAMILA ANDREA GONZALEZ RODELO</v>
      </c>
      <c r="C16" s="64" t="str">
        <f>IF(B16=0,"",IFERROR(VLOOKUP(B16,'S-ASIG-01'!$B$5:$E$88,2,0),0))</f>
        <v>G03</v>
      </c>
      <c r="D16" s="65">
        <f t="shared" si="2"/>
        <v>4.0483333333333329</v>
      </c>
      <c r="E16" s="66">
        <f t="shared" si="3"/>
        <v>0</v>
      </c>
      <c r="F16" s="47"/>
      <c r="G16" s="71">
        <f>IF(B16=0,"",IFERROR(VLOOKUP(B16,'S-ASIG-01'!$B$5:$E$88,4,0),0))</f>
        <v>3.5500000000000003</v>
      </c>
      <c r="H16" s="72">
        <f>IF(B16=0,"",IFERROR(VLOOKUP(B16,'S-ASIG-02'!$B$5:$E$88,4,0),0))</f>
        <v>3.7600000000000002</v>
      </c>
      <c r="I16" s="72">
        <f>IF(B16=0,"",IFERROR(VLOOKUP(B16,'S-ASIG-03'!$B$5:$E$88,4,0),0))</f>
        <v>4.01</v>
      </c>
      <c r="J16" s="72">
        <f>IF(B16=0,"",IFERROR(VLOOKUP(B16,'S-ASIG-04'!$B$5:$E$88,4,0),0))</f>
        <v>4.6399999999999997</v>
      </c>
      <c r="K16" s="72">
        <f>IF(B16=0,"",IFERROR(VLOOKUP(B16,'S-ASIG-05'!$B$5:$E$88,4,0),0))</f>
        <v>4.5500000000000007</v>
      </c>
      <c r="L16" s="72">
        <f>IF(B16=0,"",IFERROR(VLOOKUP(B16,'S-ASIG-06'!$B$5:$E$88,4,0),0))</f>
        <v>3.7799999999999994</v>
      </c>
      <c r="M16" s="73">
        <f>IF(B16=0,"",IFERROR(VLOOKUP(B16,'S-ASIG-07'!$B$5:$E$88,4,0),0))</f>
        <v>0</v>
      </c>
      <c r="N16" s="68" t="s">
        <v>111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112</v>
      </c>
    </row>
    <row r="17" spans="1:22" ht="15" customHeight="1">
      <c r="A17" s="12">
        <v>13</v>
      </c>
      <c r="B17" s="70" t="str">
        <f>LIDER!C21</f>
        <v>DANNA ELIZABETH LARRARTE MORALES</v>
      </c>
      <c r="C17" s="64" t="str">
        <f>IF(B17=0,"",IFERROR(VLOOKUP(B17,'S-ASIG-01'!$B$5:$E$88,2,0),0))</f>
        <v>G03</v>
      </c>
      <c r="D17" s="65">
        <f t="shared" si="2"/>
        <v>4.0483333333333329</v>
      </c>
      <c r="E17" s="66">
        <f t="shared" si="3"/>
        <v>0</v>
      </c>
      <c r="F17" s="47"/>
      <c r="G17" s="71">
        <f>IF(B17=0,"",IFERROR(VLOOKUP(B17,'S-ASIG-01'!$B$5:$E$88,4,0),0))</f>
        <v>3.5500000000000003</v>
      </c>
      <c r="H17" s="72">
        <f>IF(B17=0,"",IFERROR(VLOOKUP(B17,'S-ASIG-02'!$B$5:$E$88,4,0),0))</f>
        <v>3.7600000000000002</v>
      </c>
      <c r="I17" s="72">
        <f>IF(B17=0,"",IFERROR(VLOOKUP(B17,'S-ASIG-03'!$B$5:$E$88,4,0),0))</f>
        <v>4.01</v>
      </c>
      <c r="J17" s="72">
        <f>IF(B17=0,"",IFERROR(VLOOKUP(B17,'S-ASIG-04'!$B$5:$E$88,4,0),0))</f>
        <v>4.6399999999999997</v>
      </c>
      <c r="K17" s="72">
        <f>IF(B17=0,"",IFERROR(VLOOKUP(B17,'S-ASIG-05'!$B$5:$E$88,4,0),0))</f>
        <v>4.5500000000000007</v>
      </c>
      <c r="L17" s="72">
        <f>IF(B17=0,"",IFERROR(VLOOKUP(B17,'S-ASIG-06'!$B$5:$E$88,4,0),0))</f>
        <v>3.7799999999999994</v>
      </c>
      <c r="M17" s="73">
        <f>IF(B17=0,"",IFERROR(VLOOKUP(B17,'S-ASIG-07'!$B$5:$E$88,4,0),0))</f>
        <v>0</v>
      </c>
      <c r="N17" s="68" t="s">
        <v>111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112</v>
      </c>
    </row>
    <row r="18" spans="1:22" ht="15" customHeight="1">
      <c r="A18" s="12">
        <v>14</v>
      </c>
      <c r="B18" s="70" t="str">
        <f>LIDER!C22</f>
        <v>HAYDHAN ALEJANDRO LUZARDO BAEZ</v>
      </c>
      <c r="C18" s="64" t="str">
        <f>IF(B18=0,"",IFERROR(VLOOKUP(B18,'S-ASIG-01'!$B$5:$E$88,2,0),0))</f>
        <v>G03</v>
      </c>
      <c r="D18" s="65">
        <f t="shared" si="2"/>
        <v>4.0483333333333329</v>
      </c>
      <c r="E18" s="66">
        <f t="shared" si="3"/>
        <v>0</v>
      </c>
      <c r="F18" s="47"/>
      <c r="G18" s="71">
        <f>IF(B18=0,"",IFERROR(VLOOKUP(B18,'S-ASIG-01'!$B$5:$E$88,4,0),0))</f>
        <v>3.5500000000000003</v>
      </c>
      <c r="H18" s="72">
        <f>IF(B18=0,"",IFERROR(VLOOKUP(B18,'S-ASIG-02'!$B$5:$E$88,4,0),0))</f>
        <v>3.7600000000000002</v>
      </c>
      <c r="I18" s="72">
        <f>IF(B18=0,"",IFERROR(VLOOKUP(B18,'S-ASIG-03'!$B$5:$E$88,4,0),0))</f>
        <v>4.01</v>
      </c>
      <c r="J18" s="72">
        <f>IF(B18=0,"",IFERROR(VLOOKUP(B18,'S-ASIG-04'!$B$5:$E$88,4,0),0))</f>
        <v>4.6399999999999997</v>
      </c>
      <c r="K18" s="72">
        <f>IF(B18=0,"",IFERROR(VLOOKUP(B18,'S-ASIG-05'!$B$5:$E$88,4,0),0))</f>
        <v>4.5500000000000007</v>
      </c>
      <c r="L18" s="72">
        <f>IF(B18=0,"",IFERROR(VLOOKUP(B18,'S-ASIG-06'!$B$5:$E$88,4,0),0))</f>
        <v>3.7799999999999994</v>
      </c>
      <c r="M18" s="73">
        <f>IF(B18=0,"",IFERROR(VLOOKUP(B18,'S-ASIG-07'!$B$5:$E$88,4,0),0))</f>
        <v>0</v>
      </c>
      <c r="N18" s="68" t="s">
        <v>111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112</v>
      </c>
    </row>
    <row r="19" spans="1:22" ht="15" customHeight="1">
      <c r="A19" s="12">
        <v>15</v>
      </c>
      <c r="B19" s="70" t="str">
        <f>LIDER!C23</f>
        <v>BEIKER ESTEBAN PAJARO SANCHEZ</v>
      </c>
      <c r="C19" s="64" t="str">
        <f>IF(B19=0,"",IFERROR(VLOOKUP(B19,'S-ASIG-01'!$B$5:$E$88,2,0),0))</f>
        <v>G03</v>
      </c>
      <c r="D19" s="65">
        <f t="shared" si="2"/>
        <v>4.0483333333333329</v>
      </c>
      <c r="E19" s="66">
        <f t="shared" si="3"/>
        <v>0</v>
      </c>
      <c r="F19" s="47"/>
      <c r="G19" s="71">
        <f>IF(B19=0,"",IFERROR(VLOOKUP(B19,'S-ASIG-01'!$B$5:$E$88,4,0),0))</f>
        <v>3.5500000000000003</v>
      </c>
      <c r="H19" s="72">
        <f>IF(B19=0,"",IFERROR(VLOOKUP(B19,'S-ASIG-02'!$B$5:$E$88,4,0),0))</f>
        <v>3.7600000000000002</v>
      </c>
      <c r="I19" s="72">
        <f>IF(B19=0,"",IFERROR(VLOOKUP(B19,'S-ASIG-03'!$B$5:$E$88,4,0),0))</f>
        <v>4.01</v>
      </c>
      <c r="J19" s="72">
        <f>IF(B19=0,"",IFERROR(VLOOKUP(B19,'S-ASIG-04'!$B$5:$E$88,4,0),0))</f>
        <v>4.6399999999999997</v>
      </c>
      <c r="K19" s="72">
        <f>IF(B19=0,"",IFERROR(VLOOKUP(B19,'S-ASIG-05'!$B$5:$E$88,4,0),0))</f>
        <v>4.5500000000000007</v>
      </c>
      <c r="L19" s="72">
        <f>IF(B19=0,"",IFERROR(VLOOKUP(B19,'S-ASIG-06'!$B$5:$E$88,4,0),0))</f>
        <v>3.7799999999999994</v>
      </c>
      <c r="M19" s="73">
        <f>IF(B19=0,"",IFERROR(VLOOKUP(B19,'S-ASIG-07'!$B$5:$E$88,4,0),0))</f>
        <v>0</v>
      </c>
      <c r="N19" s="68" t="s">
        <v>111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112</v>
      </c>
    </row>
    <row r="20" spans="1:22" ht="15" customHeight="1">
      <c r="A20" s="12">
        <v>16</v>
      </c>
      <c r="B20" s="70" t="str">
        <f>LIDER!C24</f>
        <v>GRACE SOFIA ROCHA GARCIA</v>
      </c>
      <c r="C20" s="64" t="str">
        <f>IF(B20=0,"",IFERROR(VLOOKUP(B20,'S-ASIG-01'!$B$5:$E$88,2,0),0))</f>
        <v>G03</v>
      </c>
      <c r="D20" s="65">
        <f t="shared" si="2"/>
        <v>4.0483333333333329</v>
      </c>
      <c r="E20" s="66">
        <f t="shared" si="3"/>
        <v>0</v>
      </c>
      <c r="F20" s="47"/>
      <c r="G20" s="71">
        <f>IF(B20=0,"",IFERROR(VLOOKUP(B20,'S-ASIG-01'!$B$5:$E$88,4,0),0))</f>
        <v>3.5500000000000003</v>
      </c>
      <c r="H20" s="72">
        <f>IF(B20=0,"",IFERROR(VLOOKUP(B20,'S-ASIG-02'!$B$5:$E$88,4,0),0))</f>
        <v>3.7600000000000002</v>
      </c>
      <c r="I20" s="72">
        <f>IF(B20=0,"",IFERROR(VLOOKUP(B20,'S-ASIG-03'!$B$5:$E$88,4,0),0))</f>
        <v>4.01</v>
      </c>
      <c r="J20" s="72">
        <f>IF(B20=0,"",IFERROR(VLOOKUP(B20,'S-ASIG-04'!$B$5:$E$88,4,0),0))</f>
        <v>4.6399999999999997</v>
      </c>
      <c r="K20" s="72">
        <f>IF(B20=0,"",IFERROR(VLOOKUP(B20,'S-ASIG-05'!$B$5:$E$88,4,0),0))</f>
        <v>4.5500000000000007</v>
      </c>
      <c r="L20" s="72">
        <f>IF(B20=0,"",IFERROR(VLOOKUP(B20,'S-ASIG-06'!$B$5:$E$88,4,0),0))</f>
        <v>3.7799999999999994</v>
      </c>
      <c r="M20" s="73">
        <f>IF(B20=0,"",IFERROR(VLOOKUP(B20,'S-ASIG-07'!$B$5:$E$88,4,0),0))</f>
        <v>0</v>
      </c>
      <c r="N20" s="68" t="s">
        <v>111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112</v>
      </c>
    </row>
    <row r="21" spans="1:22" ht="15" customHeight="1">
      <c r="A21" s="12">
        <v>17</v>
      </c>
      <c r="B21" s="70" t="str">
        <f>LIDER!C25</f>
        <v>MEREYDI MARIA CANACHE AMARANTO</v>
      </c>
      <c r="C21" s="64" t="str">
        <f>IF(B21=0,"",IFERROR(VLOOKUP(B21,'S-ASIG-01'!$B$5:$E$88,2,0),0))</f>
        <v>G04</v>
      </c>
      <c r="D21" s="65">
        <f t="shared" si="2"/>
        <v>3.9683333333333337</v>
      </c>
      <c r="E21" s="66">
        <f t="shared" si="3"/>
        <v>0</v>
      </c>
      <c r="F21" s="47"/>
      <c r="G21" s="71">
        <f>IF(B21=0,"",IFERROR(VLOOKUP(B21,'S-ASIG-01'!$B$5:$E$88,4,0),0))</f>
        <v>3.6000000000000005</v>
      </c>
      <c r="H21" s="72">
        <f>IF(B21=0,"",IFERROR(VLOOKUP(B21,'S-ASIG-02'!$B$5:$E$88,4,0),0))</f>
        <v>3.7800000000000002</v>
      </c>
      <c r="I21" s="72">
        <f>IF(B21=0,"",IFERROR(VLOOKUP(B21,'S-ASIG-03'!$B$5:$E$88,4,0),0))</f>
        <v>4.01</v>
      </c>
      <c r="J21" s="72">
        <f>IF(B21=0,"",IFERROR(VLOOKUP(B21,'S-ASIG-04'!$B$5:$E$88,4,0),0))</f>
        <v>4.6300000000000008</v>
      </c>
      <c r="K21" s="72">
        <f>IF(B21=0,"",IFERROR(VLOOKUP(B21,'S-ASIG-05'!$B$5:$E$88,4,0),0))</f>
        <v>3.9999999999999996</v>
      </c>
      <c r="L21" s="72">
        <f>IF(B21=0,"",IFERROR(VLOOKUP(B21,'S-ASIG-06'!$B$5:$E$88,4,0),0))</f>
        <v>3.7900000000000005</v>
      </c>
      <c r="M21" s="73">
        <f>IF(B21=0,"",IFERROR(VLOOKUP(B21,'S-ASIG-07'!$B$5:$E$88,4,0),0))</f>
        <v>0</v>
      </c>
      <c r="N21" s="68" t="s">
        <v>111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112</v>
      </c>
    </row>
    <row r="22" spans="1:22" ht="15" customHeight="1">
      <c r="A22" s="12">
        <v>18</v>
      </c>
      <c r="B22" s="70" t="str">
        <f>LIDER!C26</f>
        <v>KATHRYN PAOLA CORREA VIDEZ</v>
      </c>
      <c r="C22" s="64" t="str">
        <f>IF(B22=0,"",IFERROR(VLOOKUP(B22,'S-ASIG-01'!$B$5:$E$88,2,0),0))</f>
        <v>G04</v>
      </c>
      <c r="D22" s="65">
        <f t="shared" si="2"/>
        <v>3.9683333333333337</v>
      </c>
      <c r="E22" s="66">
        <f t="shared" si="3"/>
        <v>0</v>
      </c>
      <c r="F22" s="47"/>
      <c r="G22" s="71">
        <f>IF(B22=0,"",IFERROR(VLOOKUP(B22,'S-ASIG-01'!$B$5:$E$88,4,0),0))</f>
        <v>3.6000000000000005</v>
      </c>
      <c r="H22" s="72">
        <f>IF(B22=0,"",IFERROR(VLOOKUP(B22,'S-ASIG-02'!$B$5:$E$88,4,0),0))</f>
        <v>3.7800000000000002</v>
      </c>
      <c r="I22" s="72">
        <f>IF(B22=0,"",IFERROR(VLOOKUP(B22,'S-ASIG-03'!$B$5:$E$88,4,0),0))</f>
        <v>4.01</v>
      </c>
      <c r="J22" s="72">
        <f>IF(B22=0,"",IFERROR(VLOOKUP(B22,'S-ASIG-04'!$B$5:$E$88,4,0),0))</f>
        <v>4.6300000000000008</v>
      </c>
      <c r="K22" s="72">
        <f>IF(B22=0,"",IFERROR(VLOOKUP(B22,'S-ASIG-05'!$B$5:$E$88,4,0),0))</f>
        <v>3.9999999999999996</v>
      </c>
      <c r="L22" s="72">
        <f>IF(B22=0,"",IFERROR(VLOOKUP(B22,'S-ASIG-06'!$B$5:$E$88,4,0),0))</f>
        <v>3.7900000000000005</v>
      </c>
      <c r="M22" s="73">
        <f>IF(B22=0,"",IFERROR(VLOOKUP(B22,'S-ASIG-07'!$B$5:$E$88,4,0),0))</f>
        <v>0</v>
      </c>
      <c r="N22" s="68" t="s">
        <v>111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112</v>
      </c>
    </row>
    <row r="23" spans="1:22" ht="15" customHeight="1">
      <c r="A23" s="12">
        <v>19</v>
      </c>
      <c r="B23" s="70" t="str">
        <f>LIDER!C27</f>
        <v>KELLY JOHANA GARCES BENITES</v>
      </c>
      <c r="C23" s="64" t="str">
        <f>IF(B23=0,"",IFERROR(VLOOKUP(B23,'S-ASIG-01'!$B$5:$E$88,2,0),0))</f>
        <v>G04</v>
      </c>
      <c r="D23" s="65">
        <f t="shared" si="2"/>
        <v>3.9683333333333337</v>
      </c>
      <c r="E23" s="66">
        <f t="shared" si="3"/>
        <v>0</v>
      </c>
      <c r="F23" s="47"/>
      <c r="G23" s="71">
        <f>IF(B23=0,"",IFERROR(VLOOKUP(B23,'S-ASIG-01'!$B$5:$E$88,4,0),0))</f>
        <v>3.6000000000000005</v>
      </c>
      <c r="H23" s="72">
        <f>IF(B23=0,"",IFERROR(VLOOKUP(B23,'S-ASIG-02'!$B$5:$E$88,4,0),0))</f>
        <v>3.7800000000000002</v>
      </c>
      <c r="I23" s="72">
        <f>IF(B23=0,"",IFERROR(VLOOKUP(B23,'S-ASIG-03'!$B$5:$E$88,4,0),0))</f>
        <v>4.01</v>
      </c>
      <c r="J23" s="72">
        <f>IF(B23=0,"",IFERROR(VLOOKUP(B23,'S-ASIG-04'!$B$5:$E$88,4,0),0))</f>
        <v>4.6300000000000008</v>
      </c>
      <c r="K23" s="72">
        <f>IF(B23=0,"",IFERROR(VLOOKUP(B23,'S-ASIG-05'!$B$5:$E$88,4,0),0))</f>
        <v>3.9999999999999996</v>
      </c>
      <c r="L23" s="72">
        <f>IF(B23=0,"",IFERROR(VLOOKUP(B23,'S-ASIG-06'!$B$5:$E$88,4,0),0))</f>
        <v>3.7900000000000005</v>
      </c>
      <c r="M23" s="73">
        <f>IF(B23=0,"",IFERROR(VLOOKUP(B23,'S-ASIG-07'!$B$5:$E$88,4,0),0))</f>
        <v>0</v>
      </c>
      <c r="N23" s="68" t="s">
        <v>111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112</v>
      </c>
    </row>
    <row r="24" spans="1:22" ht="15" customHeight="1">
      <c r="A24" s="12">
        <v>20</v>
      </c>
      <c r="B24" s="70" t="str">
        <f>LIDER!C28</f>
        <v>JHON ALEX PATIÑO MENDOZA</v>
      </c>
      <c r="C24" s="64" t="str">
        <f>IF(B24=0,"",IFERROR(VLOOKUP(B24,'S-ASIG-01'!$B$5:$E$88,2,0),0))</f>
        <v>G04</v>
      </c>
      <c r="D24" s="65">
        <f t="shared" si="2"/>
        <v>3.9683333333333337</v>
      </c>
      <c r="E24" s="66">
        <f t="shared" si="3"/>
        <v>0</v>
      </c>
      <c r="F24" s="47"/>
      <c r="G24" s="71">
        <f>IF(B24=0,"",IFERROR(VLOOKUP(B24,'S-ASIG-01'!$B$5:$E$88,4,0),0))</f>
        <v>3.6000000000000005</v>
      </c>
      <c r="H24" s="72">
        <f>IF(B24=0,"",IFERROR(VLOOKUP(B24,'S-ASIG-02'!$B$5:$E$88,4,0),0))</f>
        <v>3.7800000000000002</v>
      </c>
      <c r="I24" s="72">
        <f>IF(B24=0,"",IFERROR(VLOOKUP(B24,'S-ASIG-03'!$B$5:$E$88,4,0),0))</f>
        <v>4.01</v>
      </c>
      <c r="J24" s="72">
        <f>IF(B24=0,"",IFERROR(VLOOKUP(B24,'S-ASIG-04'!$B$5:$E$88,4,0),0))</f>
        <v>4.6300000000000008</v>
      </c>
      <c r="K24" s="72">
        <f>IF(B24=0,"",IFERROR(VLOOKUP(B24,'S-ASIG-05'!$B$5:$E$88,4,0),0))</f>
        <v>3.9999999999999996</v>
      </c>
      <c r="L24" s="72">
        <f>IF(B24=0,"",IFERROR(VLOOKUP(B24,'S-ASIG-06'!$B$5:$E$88,4,0),0))</f>
        <v>3.7900000000000005</v>
      </c>
      <c r="M24" s="73">
        <f>IF(B24=0,"",IFERROR(VLOOKUP(B24,'S-ASIG-07'!$B$5:$E$88,4,0),0))</f>
        <v>0</v>
      </c>
      <c r="N24" s="68" t="s">
        <v>111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112</v>
      </c>
    </row>
    <row r="25" spans="1:22" ht="15" customHeight="1">
      <c r="A25" s="12">
        <v>21</v>
      </c>
      <c r="B25" s="70" t="str">
        <f>LIDER!C29</f>
        <v>ANA CAROLINA PEREZ MORALES</v>
      </c>
      <c r="C25" s="64" t="str">
        <f>IF(B25=0,"",IFERROR(VLOOKUP(B25,'S-ASIG-01'!$B$5:$E$88,2,0),0))</f>
        <v>G04</v>
      </c>
      <c r="D25" s="65">
        <f t="shared" si="2"/>
        <v>3.9683333333333337</v>
      </c>
      <c r="E25" s="66">
        <f t="shared" si="3"/>
        <v>0</v>
      </c>
      <c r="F25" s="47"/>
      <c r="G25" s="71">
        <f>IF(B25=0,"",IFERROR(VLOOKUP(B25,'S-ASIG-01'!$B$5:$E$88,4,0),0))</f>
        <v>3.6000000000000005</v>
      </c>
      <c r="H25" s="72">
        <f>IF(B25=0,"",IFERROR(VLOOKUP(B25,'S-ASIG-02'!$B$5:$E$88,4,0),0))</f>
        <v>3.7800000000000002</v>
      </c>
      <c r="I25" s="72">
        <f>IF(B25=0,"",IFERROR(VLOOKUP(B25,'S-ASIG-03'!$B$5:$E$88,4,0),0))</f>
        <v>4.01</v>
      </c>
      <c r="J25" s="72">
        <f>IF(B25=0,"",IFERROR(VLOOKUP(B25,'S-ASIG-04'!$B$5:$E$88,4,0),0))</f>
        <v>4.6300000000000008</v>
      </c>
      <c r="K25" s="72">
        <f>IF(B25=0,"",IFERROR(VLOOKUP(B25,'S-ASIG-05'!$B$5:$E$88,4,0),0))</f>
        <v>3.9999999999999996</v>
      </c>
      <c r="L25" s="72">
        <f>IF(B25=0,"",IFERROR(VLOOKUP(B25,'S-ASIG-06'!$B$5:$E$88,4,0),0))</f>
        <v>3.7900000000000005</v>
      </c>
      <c r="M25" s="73">
        <f>IF(B25=0,"",IFERROR(VLOOKUP(B25,'S-ASIG-07'!$B$5:$E$88,4,0),0))</f>
        <v>0</v>
      </c>
      <c r="N25" s="68" t="s">
        <v>111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112</v>
      </c>
    </row>
    <row r="26" spans="1:22" ht="15" customHeight="1">
      <c r="A26" s="12">
        <v>22</v>
      </c>
      <c r="B26" s="70" t="str">
        <f>LIDER!C30</f>
        <v>MARIA CECILIA SIMANCA VILLA</v>
      </c>
      <c r="C26" s="64" t="str">
        <f>IF(B26=0,"",IFERROR(VLOOKUP(B26,'S-ASIG-01'!$B$5:$E$88,2,0),0))</f>
        <v>G04</v>
      </c>
      <c r="D26" s="65">
        <f t="shared" si="2"/>
        <v>3.9683333333333337</v>
      </c>
      <c r="E26" s="66">
        <f t="shared" si="3"/>
        <v>0</v>
      </c>
      <c r="F26" s="47"/>
      <c r="G26" s="71">
        <f>IF(B26=0,"",IFERROR(VLOOKUP(B26,'S-ASIG-01'!$B$5:$E$88,4,0),0))</f>
        <v>3.6000000000000005</v>
      </c>
      <c r="H26" s="72">
        <f>IF(B26=0,"",IFERROR(VLOOKUP(B26,'S-ASIG-02'!$B$5:$E$88,4,0),0))</f>
        <v>3.7800000000000002</v>
      </c>
      <c r="I26" s="72">
        <f>IF(B26=0,"",IFERROR(VLOOKUP(B26,'S-ASIG-03'!$B$5:$E$88,4,0),0))</f>
        <v>4.01</v>
      </c>
      <c r="J26" s="72">
        <f>IF(B26=0,"",IFERROR(VLOOKUP(B26,'S-ASIG-04'!$B$5:$E$88,4,0),0))</f>
        <v>4.6300000000000008</v>
      </c>
      <c r="K26" s="72">
        <f>IF(B26=0,"",IFERROR(VLOOKUP(B26,'S-ASIG-05'!$B$5:$E$88,4,0),0))</f>
        <v>3.9999999999999996</v>
      </c>
      <c r="L26" s="72">
        <f>IF(B26=0,"",IFERROR(VLOOKUP(B26,'S-ASIG-06'!$B$5:$E$88,4,0),0))</f>
        <v>3.7900000000000005</v>
      </c>
      <c r="M26" s="73">
        <f>IF(B26=0,"",IFERROR(VLOOKUP(B26,'S-ASIG-07'!$B$5:$E$88,4,0),0))</f>
        <v>0</v>
      </c>
      <c r="N26" s="68" t="s">
        <v>111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112</v>
      </c>
    </row>
    <row r="27" spans="1:22" ht="15" customHeight="1">
      <c r="A27" s="12">
        <v>23</v>
      </c>
      <c r="B27" s="70" t="str">
        <f>LIDER!C31</f>
        <v>EMILSON JOSE CANTILLO ALBOR</v>
      </c>
      <c r="C27" s="64" t="str">
        <f>IF(B27=0,"",IFERROR(VLOOKUP(B27,'S-ASIG-01'!$B$5:$E$88,2,0),0))</f>
        <v>G05</v>
      </c>
      <c r="D27" s="65">
        <f t="shared" si="2"/>
        <v>3.9783333333333331</v>
      </c>
      <c r="E27" s="66">
        <f t="shared" si="3"/>
        <v>0</v>
      </c>
      <c r="F27" s="47"/>
      <c r="G27" s="71">
        <f>IF(B27=0,"",IFERROR(VLOOKUP(B27,'S-ASIG-01'!$B$5:$E$88,4,0),0))</f>
        <v>3.2700000000000005</v>
      </c>
      <c r="H27" s="72">
        <f>IF(B27=0,"",IFERROR(VLOOKUP(B27,'S-ASIG-02'!$B$5:$E$88,4,0),0))</f>
        <v>3.89</v>
      </c>
      <c r="I27" s="72">
        <f>IF(B27=0,"",IFERROR(VLOOKUP(B27,'S-ASIG-03'!$B$5:$E$88,4,0),0))</f>
        <v>4.0999999999999996</v>
      </c>
      <c r="J27" s="72">
        <f>IF(B27=0,"",IFERROR(VLOOKUP(B27,'S-ASIG-04'!$B$5:$E$88,4,0),0))</f>
        <v>4.1700000000000008</v>
      </c>
      <c r="K27" s="72">
        <f>IF(B27=0,"",IFERROR(VLOOKUP(B27,'S-ASIG-05'!$B$5:$E$88,4,0),0))</f>
        <v>4.33</v>
      </c>
      <c r="L27" s="72">
        <f>IF(B27=0,"",IFERROR(VLOOKUP(B27,'S-ASIG-06'!$B$5:$E$88,4,0),0))</f>
        <v>4.1100000000000003</v>
      </c>
      <c r="M27" s="73">
        <f>IF(B27=0,"",IFERROR(VLOOKUP(B27,'S-ASIG-07'!$B$5:$E$88,4,0),0))</f>
        <v>0</v>
      </c>
      <c r="N27" s="68" t="s">
        <v>111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112</v>
      </c>
    </row>
    <row r="28" spans="1:22" ht="15" customHeight="1">
      <c r="A28" s="12">
        <v>24</v>
      </c>
      <c r="B28" s="70" t="str">
        <f>LIDER!C32</f>
        <v>YULIANA SHARITH MANCO AGUILAR</v>
      </c>
      <c r="C28" s="64" t="str">
        <f>IF(B28=0,"",IFERROR(VLOOKUP(B28,'S-ASIG-01'!$B$5:$E$88,2,0),0))</f>
        <v>G05</v>
      </c>
      <c r="D28" s="65">
        <f t="shared" si="2"/>
        <v>3.9783333333333331</v>
      </c>
      <c r="E28" s="66">
        <f t="shared" si="3"/>
        <v>0</v>
      </c>
      <c r="F28" s="47"/>
      <c r="G28" s="71">
        <f>IF(B28=0,"",IFERROR(VLOOKUP(B28,'S-ASIG-01'!$B$5:$E$88,4,0),0))</f>
        <v>3.2700000000000005</v>
      </c>
      <c r="H28" s="72">
        <f>IF(B28=0,"",IFERROR(VLOOKUP(B28,'S-ASIG-02'!$B$5:$E$88,4,0),0))</f>
        <v>3.89</v>
      </c>
      <c r="I28" s="72">
        <f>IF(B28=0,"",IFERROR(VLOOKUP(B28,'S-ASIG-03'!$B$5:$E$88,4,0),0))</f>
        <v>4.0999999999999996</v>
      </c>
      <c r="J28" s="72">
        <f>IF(B28=0,"",IFERROR(VLOOKUP(B28,'S-ASIG-04'!$B$5:$E$88,4,0),0))</f>
        <v>4.1700000000000008</v>
      </c>
      <c r="K28" s="72">
        <f>IF(B28=0,"",IFERROR(VLOOKUP(B28,'S-ASIG-05'!$B$5:$E$88,4,0),0))</f>
        <v>4.33</v>
      </c>
      <c r="L28" s="72">
        <f>IF(B28=0,"",IFERROR(VLOOKUP(B28,'S-ASIG-06'!$B$5:$E$88,4,0),0))</f>
        <v>4.1100000000000003</v>
      </c>
      <c r="M28" s="73">
        <f>IF(B28=0,"",IFERROR(VLOOKUP(B28,'S-ASIG-07'!$B$5:$E$88,4,0),0))</f>
        <v>0</v>
      </c>
      <c r="N28" s="68" t="s">
        <v>111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112</v>
      </c>
    </row>
    <row r="29" spans="1:22" ht="15" customHeight="1">
      <c r="A29" s="12">
        <v>25</v>
      </c>
      <c r="B29" s="70" t="str">
        <f>LIDER!C33</f>
        <v>CRISTIAN DAVID MURILLO PATERNINA</v>
      </c>
      <c r="C29" s="64" t="str">
        <f>IF(B29=0,"",IFERROR(VLOOKUP(B29,'S-ASIG-01'!$B$5:$E$88,2,0),0))</f>
        <v>G05</v>
      </c>
      <c r="D29" s="65">
        <f t="shared" si="2"/>
        <v>3.9783333333333331</v>
      </c>
      <c r="E29" s="66">
        <f t="shared" si="3"/>
        <v>0</v>
      </c>
      <c r="F29" s="47"/>
      <c r="G29" s="71">
        <f>IF(B29=0,"",IFERROR(VLOOKUP(B29,'S-ASIG-01'!$B$5:$E$88,4,0),0))</f>
        <v>3.2700000000000005</v>
      </c>
      <c r="H29" s="72">
        <f>IF(B29=0,"",IFERROR(VLOOKUP(B29,'S-ASIG-02'!$B$5:$E$88,4,0),0))</f>
        <v>3.89</v>
      </c>
      <c r="I29" s="72">
        <f>IF(B29=0,"",IFERROR(VLOOKUP(B29,'S-ASIG-03'!$B$5:$E$88,4,0),0))</f>
        <v>4.0999999999999996</v>
      </c>
      <c r="J29" s="72">
        <f>IF(B29=0,"",IFERROR(VLOOKUP(B29,'S-ASIG-04'!$B$5:$E$88,4,0),0))</f>
        <v>4.1700000000000008</v>
      </c>
      <c r="K29" s="72">
        <f>IF(B29=0,"",IFERROR(VLOOKUP(B29,'S-ASIG-05'!$B$5:$E$88,4,0),0))</f>
        <v>4.33</v>
      </c>
      <c r="L29" s="72">
        <f>IF(B29=0,"",IFERROR(VLOOKUP(B29,'S-ASIG-06'!$B$5:$E$88,4,0),0))</f>
        <v>4.1100000000000003</v>
      </c>
      <c r="M29" s="73">
        <f>IF(B29=0,"",IFERROR(VLOOKUP(B29,'S-ASIG-07'!$B$5:$E$88,4,0),0))</f>
        <v>0</v>
      </c>
      <c r="N29" s="68" t="s">
        <v>111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112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111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112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111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112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111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112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111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112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111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112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111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112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111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112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111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112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111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112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111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112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111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112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111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112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111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112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111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112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111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112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111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112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111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112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111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112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111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112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111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112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111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112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111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112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111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112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111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112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111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112</v>
      </c>
    </row>
  </sheetData>
  <sheetProtection algorithmName="SHA-512" hashValue="YUIQoBNnv7ORhaiELSpuq924Ed5SUyjIbyt8jZ/f59fAzaD0aaVVsKCpWoPtfEiw8nhJeXKeg+7fNMSPmqQkfQ==" saltValue="kIMTpKZDuuJqfGGjkBpEu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2026-10-16T04:39:11Z</dcterms:modified>
  <cp:category/>
  <cp:contentStatus/>
</cp:coreProperties>
</file>