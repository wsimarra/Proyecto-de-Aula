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1/"/>
    </mc:Choice>
  </mc:AlternateContent>
  <xr:revisionPtr revIDLastSave="380" documentId="13_ncr:1_{1456A004-27E2-4D24-899B-6B43FF1DE805}" xr6:coauthVersionLast="47" xr6:coauthVersionMax="47" xr10:uidLastSave="{1AF36A22-7C2E-440F-BB07-95A45303A0FF}"/>
  <bookViews>
    <workbookView xWindow="-120" yWindow="-120" windowWidth="20730" windowHeight="11040" tabRatio="722" firstSheet="13" activeTab="10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D16" i="7"/>
  <c r="B16" i="7"/>
  <c r="D15" i="7"/>
  <c r="B15" i="7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B25" i="6"/>
  <c r="D25" i="6" s="1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D15" i="6"/>
  <c r="B15" i="6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D16" i="4"/>
  <c r="B16" i="4"/>
  <c r="D15" i="4"/>
  <c r="B15" i="4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E16" i="15"/>
  <c r="B16" i="15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E16" i="13"/>
  <c r="B16" i="13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E16" i="12"/>
  <c r="C16" i="12"/>
  <c r="C17" i="12" s="1"/>
  <c r="C18" i="12" s="1"/>
  <c r="B16" i="12"/>
  <c r="E15" i="12"/>
  <c r="C15" i="12"/>
  <c r="B15" i="12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E16" i="10"/>
  <c r="B16" i="10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T3" i="8"/>
  <c r="H3" i="8"/>
  <c r="P3" i="8" s="1"/>
  <c r="I3" i="8"/>
  <c r="Q3" i="8" s="1"/>
  <c r="J3" i="8"/>
  <c r="R3" i="8" s="1"/>
  <c r="K3" i="8"/>
  <c r="S3" i="8" s="1"/>
  <c r="L3" i="8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22" i="3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<sst xmlns="http://schemas.openxmlformats.org/spreadsheetml/2006/main" count="692" uniqueCount="120">
  <si>
    <t>TECNOLOGÍA EN GESTIÓN DE NEGOCIOS INTERN</t>
  </si>
  <si>
    <t>SEMESTRE:</t>
  </si>
  <si>
    <t>SEM-01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</si>
  <si>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</si>
  <si>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</si>
  <si>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</si>
  <si>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</si>
  <si>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</si>
  <si>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</si>
  <si>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</si>
  <si>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</si>
  <si>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MATEMATICA</t>
  </si>
  <si>
    <t>COMUNICACION ORAL Y ESCRITA</t>
  </si>
  <si>
    <t>CULTURA Y DEPORTE</t>
  </si>
  <si>
    <t>FUNDAMENTOS DE DERECHO</t>
  </si>
  <si>
    <t>FUNDAMENTOS ADMINISTRACIÓN</t>
  </si>
  <si>
    <t>PROYECTO DE VIDA</t>
  </si>
  <si>
    <t>CONTABILIDAD GENERAL</t>
  </si>
  <si>
    <t>VICTOR HUGO HURTADO OROZCO</t>
  </si>
  <si>
    <t>BLANCA FLOREZ TABORDA</t>
  </si>
  <si>
    <t>LUIS FERNANDO BUSTAMANTE LAMBIS</t>
  </si>
  <si>
    <t>ARIEL HUMBERTO PUELLO OROZCO</t>
  </si>
  <si>
    <t>JAMES MAURICIO PEREZ FLOREZ</t>
  </si>
  <si>
    <t>NATALI ÁLVAREZ ATEHORTUA</t>
  </si>
  <si>
    <t>ISAMAR CAROLINA CASSIANI DEL TORO</t>
  </si>
  <si>
    <t>LISTA DE ESTUDIANTES</t>
  </si>
  <si>
    <t>SEGUNDA ENTREGA - CRITERIOS DE EVALUACIÓN DOCUMENTO - SEGUNDO CORTE</t>
  </si>
  <si>
    <t>PONDERACIÓN</t>
  </si>
  <si>
    <t>ADMINISTRACIÓN DE EMPRESAS C.I</t>
  </si>
  <si>
    <t>LUISFER BELEÑO ZUÑIGA</t>
  </si>
  <si>
    <t>Calidad de la información recopilada (20%): Se evaluará la calidad de la información recopilada a través del rastreo bibliográfico por medio de fichas bibliográficas para la redacción del resumen.</t>
  </si>
  <si>
    <t>ADMINTRACIÓN EN SEGURIDAD Y SALUD EN EL TRABAJO</t>
  </si>
  <si>
    <t>ANDERSON CARMONA CASTILLA</t>
  </si>
  <si>
    <t>Estructura del Documento (30%):  El documento debe incluir los siguientes aspectos: Portada, Introducción, cuerpo del resumen, Bibliografía y Anexos.</t>
  </si>
  <si>
    <t>CONTADURÍA PÚBLICA</t>
  </si>
  <si>
    <t>LIZCONY FERIA MIER</t>
  </si>
  <si>
    <t>Claridad de la información recopilada (20%): Se evaluará la claridad de la información recopilada a través del rastreo bibliográfico por medio de fichas bibliográficas para la redacción del resumen.</t>
  </si>
  <si>
    <t>NEGOCIOS INTERNACIONALES PROFESIONAL</t>
  </si>
  <si>
    <t>SOFIA ISABEL GOMEZ NIÑO</t>
  </si>
  <si>
    <t>Coherencia de la información recopilada (20%): Se evaluará la coherencia de la información recopilada a través del rastreo de fichas de revisión bibliográfica para la redacción del resumen.</t>
  </si>
  <si>
    <t>DUVAN YAIR JIMENEZ CASTAÑO</t>
  </si>
  <si>
    <t>Asesorias individuales (10%): Anexo de la hoja de tutoria firmada por docentes del colectivo (3 fimas minimo).</t>
  </si>
  <si>
    <t>TECNOLOGíA EN GESTION CONTABLE</t>
  </si>
  <si>
    <t>JAVIER ALEXANDER PERAZA PALACIOS</t>
  </si>
  <si>
    <t>TECNOLOGÍA EN GESTIÓN DE MARKETING</t>
  </si>
  <si>
    <t>DAYANA MISHELL GALVIS VIELLAR</t>
  </si>
  <si>
    <t>TECNOLOGÍA EN GESTIÓN DEL TALENTO HUMANO</t>
  </si>
  <si>
    <t>DIANA CAROLINA VILLARREAL RAMOS</t>
  </si>
  <si>
    <t>TECNOLOGÍA EN GESTIÓN FINANCIERA</t>
  </si>
  <si>
    <t>NEVIS YULIETH ARROYO MARTINEZ</t>
  </si>
  <si>
    <t>TECNOLOGÍA EN GESTIÓN LOGISTICA Y PORTUARIA</t>
  </si>
  <si>
    <t>JARAH LUCIA CUETO FLOREZ</t>
  </si>
  <si>
    <t>ENTREGA FINAL - CRITERIO DE EVALUACIÓN SUSTENTACIÓN - TERCER CORTE</t>
  </si>
  <si>
    <t>TECNOLOGÍA EN GESTIÓN TURISTICA Y HOTELERA</t>
  </si>
  <si>
    <t>ISAMAR DE AVILA SANDOVAL</t>
  </si>
  <si>
    <t>Evaluación del Documento Final</t>
  </si>
  <si>
    <t>KATHERIN LISETH MARTINEZ MARRUGO</t>
  </si>
  <si>
    <t>Sustentación de los Resultados: Se refleja un dominio del tema, la  información está delimitada y es clara. Hay una jerarquía y fluidez en las ideas que presenta.</t>
  </si>
  <si>
    <t>ESTEFANIA PATRICIA OSORIO HERRERA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</si>
  <si>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</si>
  <si>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JUAN CAMILO SEPULVEDA PADILLA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</si>
  <si>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</si>
  <si>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JAZMIN ADRIANA AREVALO RUIZDIAZ</t>
  </si>
  <si>
    <t>Tiempo: El uso del tiempo fue apropiado, se ajusta al previsto.
Ofrece una conclusión donde condensa las ideas principales del objetivo general y los específicos.</t>
  </si>
  <si>
    <t>ARIADNY ISABEL BANQUEZ OBESO</t>
  </si>
  <si>
    <t>Uso de Recursos Audiovisuales Tecnológicos: La sustentación se acompaña de recursos visuales pertinentes, atractivos y de gran calidad</t>
  </si>
  <si>
    <t>MARIANA SOFIA BUELVAS GUZMAN</t>
  </si>
  <si>
    <t>SAMUEL DAVID CANTILLO MARTELO</t>
  </si>
  <si>
    <t>ERICK FABIAN CASTELLON MARTINEZ</t>
  </si>
  <si>
    <t>VALERIA FIGUEROA CUETO</t>
  </si>
  <si>
    <t>TITULOS DE LOS PROYECTOS DE AULA</t>
  </si>
  <si>
    <t>NIYELI ALEJANDRA ARISTIZABAL CARMONA</t>
  </si>
  <si>
    <t>GRUPO#1</t>
  </si>
  <si>
    <t>OSCAR ANDRES BORRE VASQUEZ</t>
  </si>
  <si>
    <t>GRUPO#2</t>
  </si>
  <si>
    <t>YULIANI CRESPO BAENA</t>
  </si>
  <si>
    <t>GRUPO#3</t>
  </si>
  <si>
    <t>KEINER JAVID DIAZ ALVAREZ</t>
  </si>
  <si>
    <t>GRUPO#4</t>
  </si>
  <si>
    <t>ABRAHAM DAVID RAMOS POSADA</t>
  </si>
  <si>
    <t>GRUPO#5</t>
  </si>
  <si>
    <t>DAIRIN ROSA TORRES ALVARADO</t>
  </si>
  <si>
    <t>GRUPO#6</t>
  </si>
  <si>
    <t>LIZ KARINE ALVAREZ MONTALVO</t>
  </si>
  <si>
    <t>GRUPO#7</t>
  </si>
  <si>
    <t>CLAUDIA CAROLINA CAMACHO ALVEAR</t>
  </si>
  <si>
    <t>GRUPO#8</t>
  </si>
  <si>
    <t>LEDYS CAROLINA HERNANDEZ LEAL</t>
  </si>
  <si>
    <t>GRUPO#9</t>
  </si>
  <si>
    <t>JUAN JOSE RICO MANJARRES</t>
  </si>
  <si>
    <t>GRUPO#10</t>
  </si>
  <si>
    <t>JHOINER SMIT RIVERA JULIO</t>
  </si>
  <si>
    <t>GRUPO#11</t>
  </si>
  <si>
    <t>ANGEL YESID GOMEZ CARDONA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</si>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</sst>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4" zoomScaleNormal="84" workbookViewId="0">
      <selection activeCell="C10" sqref="C10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0" t="s">
        <v>0</v>
      </c>
      <c r="C2" s="191"/>
      <c r="D2" s="192"/>
      <c r="E2" s="101" t="s">
        <v>1</v>
      </c>
      <c r="F2" s="102" t="s">
        <v>2</v>
      </c>
      <c r="G2" s="101" t="s">
        <v>3</v>
      </c>
      <c r="H2" s="41">
        <v>6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 t="s">
        <v>17</v>
      </c>
    </row>
    <row r="5" spans="2:9" ht="24.95" customHeight="1" thickBot="1">
      <c r="C5" s="139" t="s">
        <v>18</v>
      </c>
      <c r="D5" s="139" t="s">
        <v>19</v>
      </c>
      <c r="E5" s="139" t="s">
        <v>20</v>
      </c>
      <c r="F5" s="139" t="s">
        <v>21</v>
      </c>
      <c r="G5" s="139" t="s">
        <v>22</v>
      </c>
      <c r="H5" s="140" t="s">
        <v>23</v>
      </c>
      <c r="I5" s="140" t="s">
        <v>24</v>
      </c>
    </row>
    <row r="6" spans="2:9" ht="24.95" customHeight="1" thickBot="1">
      <c r="C6" s="141">
        <v>3615</v>
      </c>
      <c r="D6" s="141">
        <v>3636</v>
      </c>
      <c r="E6" s="141">
        <v>3635</v>
      </c>
      <c r="F6" s="141">
        <v>3640</v>
      </c>
      <c r="G6" s="141">
        <v>3706</v>
      </c>
      <c r="H6" s="141">
        <v>3637</v>
      </c>
      <c r="I6" s="141">
        <v>3712</v>
      </c>
    </row>
    <row r="7" spans="2:9" ht="13.5" thickBot="1"/>
    <row r="8" spans="2:9" ht="20.100000000000001" customHeight="1">
      <c r="B8" s="108"/>
      <c r="C8" s="109" t="s">
        <v>25</v>
      </c>
      <c r="E8" s="193" t="s">
        <v>26</v>
      </c>
      <c r="F8" s="194"/>
      <c r="G8" s="195"/>
      <c r="H8" s="110" t="s">
        <v>27</v>
      </c>
      <c r="I8" s="69" t="s">
        <v>28</v>
      </c>
    </row>
    <row r="9" spans="2:9" ht="15" customHeight="1">
      <c r="B9" s="108">
        <v>1</v>
      </c>
      <c r="C9" s="111" t="s">
        <v>29</v>
      </c>
      <c r="E9" s="196" t="s">
        <v>30</v>
      </c>
      <c r="F9" s="197"/>
      <c r="G9" s="198"/>
      <c r="H9" s="130">
        <v>0.2</v>
      </c>
      <c r="I9" s="69" t="s">
        <v>31</v>
      </c>
    </row>
    <row r="10" spans="2:9" ht="15" customHeight="1">
      <c r="B10" s="108">
        <v>2</v>
      </c>
      <c r="C10" s="111" t="s">
        <v>32</v>
      </c>
      <c r="E10" s="170" t="s">
        <v>33</v>
      </c>
      <c r="F10" s="171"/>
      <c r="G10" s="172"/>
      <c r="H10" s="131">
        <v>0.3</v>
      </c>
      <c r="I10" s="69" t="s">
        <v>34</v>
      </c>
    </row>
    <row r="11" spans="2:9" ht="15" customHeight="1">
      <c r="B11" s="108">
        <v>3</v>
      </c>
      <c r="C11" s="111" t="s">
        <v>35</v>
      </c>
      <c r="E11" s="196" t="s">
        <v>36</v>
      </c>
      <c r="F11" s="197"/>
      <c r="G11" s="198"/>
      <c r="H11" s="130">
        <v>0.2</v>
      </c>
      <c r="I11" s="69" t="s">
        <v>37</v>
      </c>
    </row>
    <row r="12" spans="2:9" ht="15" customHeight="1">
      <c r="B12" s="108">
        <v>4</v>
      </c>
      <c r="C12" s="111" t="s">
        <v>38</v>
      </c>
      <c r="E12" s="170" t="s">
        <v>39</v>
      </c>
      <c r="F12" s="171"/>
      <c r="G12" s="172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40</v>
      </c>
      <c r="E13" s="173" t="s">
        <v>41</v>
      </c>
      <c r="F13" s="174"/>
      <c r="G13" s="175"/>
      <c r="H13" s="130">
        <v>0.1</v>
      </c>
      <c r="I13" s="69" t="s">
        <v>42</v>
      </c>
    </row>
    <row r="14" spans="2:9" ht="15" customHeight="1">
      <c r="B14" s="108">
        <v>6</v>
      </c>
      <c r="C14" s="111" t="s">
        <v>43</v>
      </c>
      <c r="E14" s="176"/>
      <c r="F14" s="168"/>
      <c r="G14" s="169"/>
      <c r="H14" s="131">
        <v>0</v>
      </c>
      <c r="I14" s="69" t="s">
        <v>44</v>
      </c>
    </row>
    <row r="15" spans="2:9" ht="15" customHeight="1" thickBot="1">
      <c r="B15" s="108">
        <v>7</v>
      </c>
      <c r="C15" s="111" t="s">
        <v>45</v>
      </c>
      <c r="E15" s="177"/>
      <c r="F15" s="178"/>
      <c r="G15" s="179"/>
      <c r="H15" s="130">
        <v>0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2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6"/>
      <c r="F17" s="186"/>
      <c r="G17" s="186"/>
      <c r="H17" s="186"/>
      <c r="I17" s="69" t="s">
        <v>50</v>
      </c>
    </row>
    <row r="18" spans="2:9" ht="15" customHeight="1" thickBot="1">
      <c r="B18" s="108">
        <v>10</v>
      </c>
      <c r="C18" s="111" t="s">
        <v>51</v>
      </c>
      <c r="E18" s="160" t="s">
        <v>52</v>
      </c>
      <c r="F18" s="161"/>
      <c r="G18" s="161"/>
      <c r="H18" s="113" t="s">
        <v>27</v>
      </c>
      <c r="I18" s="69" t="s">
        <v>53</v>
      </c>
    </row>
    <row r="19" spans="2:9" ht="15" customHeight="1">
      <c r="B19" s="108">
        <v>11</v>
      </c>
      <c r="C19" s="111" t="s">
        <v>54</v>
      </c>
      <c r="E19" s="183" t="s">
        <v>55</v>
      </c>
      <c r="F19" s="184"/>
      <c r="G19" s="185"/>
      <c r="H19" s="133">
        <v>0.5</v>
      </c>
    </row>
    <row r="20" spans="2:9" ht="15" customHeight="1">
      <c r="B20" s="108">
        <v>12</v>
      </c>
      <c r="C20" s="111" t="s">
        <v>56</v>
      </c>
      <c r="E20" s="162" t="s">
        <v>57</v>
      </c>
      <c r="F20" s="163"/>
      <c r="G20" s="164"/>
      <c r="H20" s="134">
        <v>0.2</v>
      </c>
    </row>
    <row r="21" spans="2:9" ht="15" customHeight="1">
      <c r="B21" s="108">
        <v>13</v>
      </c>
      <c r="C21" s="111" t="s">
        <v>58</v>
      </c>
      <c r="E21" s="165" t="s">
        <v>59</v>
      </c>
      <c r="F21" s="166"/>
      <c r="G21" s="167"/>
      <c r="H21" s="135">
        <v>0.1</v>
      </c>
    </row>
    <row r="22" spans="2:9" ht="15" customHeight="1">
      <c r="B22" s="108">
        <v>14</v>
      </c>
      <c r="C22" s="111" t="s">
        <v>60</v>
      </c>
      <c r="E22" s="162" t="s">
        <v>61</v>
      </c>
      <c r="F22" s="168"/>
      <c r="G22" s="169"/>
      <c r="H22" s="134">
        <v>0.05</v>
      </c>
    </row>
    <row r="23" spans="2:9" ht="15" customHeight="1">
      <c r="B23" s="108">
        <v>15</v>
      </c>
      <c r="C23" s="111" t="s">
        <v>62</v>
      </c>
      <c r="E23" s="165" t="s">
        <v>63</v>
      </c>
      <c r="F23" s="166"/>
      <c r="G23" s="167"/>
      <c r="H23" s="136">
        <v>0.05</v>
      </c>
    </row>
    <row r="24" spans="2:9" ht="15" customHeight="1">
      <c r="B24" s="108">
        <v>16</v>
      </c>
      <c r="C24" s="111" t="s">
        <v>64</v>
      </c>
      <c r="E24" s="162" t="s">
        <v>65</v>
      </c>
      <c r="F24" s="163"/>
      <c r="G24" s="164"/>
      <c r="H24" s="134">
        <v>0.1</v>
      </c>
    </row>
    <row r="25" spans="2:9" ht="15" customHeight="1" thickBot="1">
      <c r="B25" s="108">
        <v>17</v>
      </c>
      <c r="C25" s="111" t="s">
        <v>66</v>
      </c>
      <c r="E25" s="180"/>
      <c r="F25" s="181"/>
      <c r="G25" s="182"/>
      <c r="H25" s="135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69</v>
      </c>
      <c r="E28" s="187" t="s">
        <v>70</v>
      </c>
      <c r="F28" s="188"/>
      <c r="G28" s="188"/>
      <c r="H28" s="189"/>
    </row>
    <row r="29" spans="2:9" ht="15" customHeight="1" thickBot="1">
      <c r="B29" s="108">
        <v>21</v>
      </c>
      <c r="C29" s="111" t="s">
        <v>71</v>
      </c>
      <c r="E29" s="157" t="s">
        <v>72</v>
      </c>
      <c r="F29" s="158"/>
      <c r="G29" s="158"/>
      <c r="H29" s="159"/>
    </row>
    <row r="30" spans="2:9" ht="15" customHeight="1" thickBot="1">
      <c r="B30" s="108">
        <v>22</v>
      </c>
      <c r="C30" s="111" t="s">
        <v>73</v>
      </c>
      <c r="E30" s="154" t="s">
        <v>74</v>
      </c>
      <c r="F30" s="155"/>
      <c r="G30" s="155"/>
      <c r="H30" s="156"/>
    </row>
    <row r="31" spans="2:9" ht="15" customHeight="1" thickBot="1">
      <c r="B31" s="108">
        <v>23</v>
      </c>
      <c r="C31" s="111" t="s">
        <v>75</v>
      </c>
      <c r="E31" s="157" t="s">
        <v>76</v>
      </c>
      <c r="F31" s="158"/>
      <c r="G31" s="158"/>
      <c r="H31" s="159"/>
    </row>
    <row r="32" spans="2:9" ht="15" customHeight="1" thickBot="1">
      <c r="B32" s="108">
        <v>24</v>
      </c>
      <c r="C32" s="111" t="s">
        <v>77</v>
      </c>
      <c r="E32" s="154" t="s">
        <v>78</v>
      </c>
      <c r="F32" s="155"/>
      <c r="G32" s="155"/>
      <c r="H32" s="156"/>
    </row>
    <row r="33" spans="2:8" ht="15" customHeight="1" thickBot="1">
      <c r="B33" s="108">
        <v>25</v>
      </c>
      <c r="C33" s="111" t="s">
        <v>79</v>
      </c>
      <c r="E33" s="157" t="s">
        <v>80</v>
      </c>
      <c r="F33" s="158"/>
      <c r="G33" s="158"/>
      <c r="H33" s="159"/>
    </row>
    <row r="34" spans="2:8" ht="15" customHeight="1" thickBot="1">
      <c r="B34" s="108">
        <v>26</v>
      </c>
      <c r="C34" s="111" t="s">
        <v>81</v>
      </c>
      <c r="E34" s="154" t="s">
        <v>82</v>
      </c>
      <c r="F34" s="155"/>
      <c r="G34" s="155"/>
      <c r="H34" s="156"/>
    </row>
    <row r="35" spans="2:8" ht="15" customHeight="1" thickBot="1">
      <c r="B35" s="108">
        <v>27</v>
      </c>
      <c r="C35" s="111" t="s">
        <v>83</v>
      </c>
      <c r="E35" s="157" t="s">
        <v>84</v>
      </c>
      <c r="F35" s="158"/>
      <c r="G35" s="158"/>
      <c r="H35" s="159"/>
    </row>
    <row r="36" spans="2:8" ht="15" customHeight="1" thickBot="1">
      <c r="B36" s="108">
        <v>28</v>
      </c>
      <c r="C36" s="111" t="s">
        <v>85</v>
      </c>
      <c r="E36" s="154" t="s">
        <v>86</v>
      </c>
      <c r="F36" s="155"/>
      <c r="G36" s="155"/>
      <c r="H36" s="156"/>
    </row>
    <row r="37" spans="2:8" ht="15" customHeight="1" thickBot="1">
      <c r="B37" s="108">
        <v>29</v>
      </c>
      <c r="C37" s="111" t="s">
        <v>87</v>
      </c>
      <c r="E37" s="157" t="s">
        <v>88</v>
      </c>
      <c r="F37" s="158"/>
      <c r="G37" s="158"/>
      <c r="H37" s="159"/>
    </row>
    <row r="38" spans="2:8" ht="15" customHeight="1" thickBot="1">
      <c r="B38" s="108">
        <v>30</v>
      </c>
      <c r="C38" s="111" t="s">
        <v>89</v>
      </c>
      <c r="E38" s="154" t="s">
        <v>90</v>
      </c>
      <c r="F38" s="155"/>
      <c r="G38" s="155"/>
      <c r="H38" s="156"/>
    </row>
    <row r="39" spans="2:8" ht="15" customHeight="1" thickBot="1">
      <c r="B39" s="108">
        <v>31</v>
      </c>
      <c r="C39" s="111" t="s">
        <v>91</v>
      </c>
      <c r="E39" s="157" t="s">
        <v>92</v>
      </c>
      <c r="F39" s="158"/>
      <c r="G39" s="158"/>
      <c r="H39" s="159"/>
    </row>
    <row r="40" spans="2:8" ht="15" customHeight="1" thickBot="1">
      <c r="B40" s="108">
        <v>32</v>
      </c>
      <c r="C40" s="111" t="s">
        <v>93</v>
      </c>
      <c r="E40" s="154" t="s">
        <v>94</v>
      </c>
      <c r="F40" s="155"/>
      <c r="G40" s="155"/>
      <c r="H40" s="156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29</v>
      </c>
      <c r="F43" s="119" t="s">
        <v>45</v>
      </c>
      <c r="G43" s="119" t="s">
        <v>49</v>
      </c>
      <c r="H43" s="120" t="s">
        <v>62</v>
      </c>
    </row>
    <row r="44" spans="2:8" ht="15" customHeight="1">
      <c r="B44" s="108">
        <v>36</v>
      </c>
      <c r="C44" s="111"/>
      <c r="E44" s="121" t="s">
        <v>32</v>
      </c>
      <c r="F44" s="122" t="s">
        <v>47</v>
      </c>
      <c r="G44" s="122" t="s">
        <v>51</v>
      </c>
      <c r="H44" s="123" t="s">
        <v>64</v>
      </c>
    </row>
    <row r="45" spans="2:8" ht="15" customHeight="1">
      <c r="B45" s="108">
        <v>37</v>
      </c>
      <c r="C45" s="111"/>
      <c r="E45" s="124" t="s">
        <v>35</v>
      </c>
      <c r="F45" s="125"/>
      <c r="G45" s="125" t="s">
        <v>54</v>
      </c>
      <c r="H45" s="126" t="s">
        <v>66</v>
      </c>
    </row>
    <row r="46" spans="2:8" ht="15" customHeight="1">
      <c r="B46" s="108">
        <v>38</v>
      </c>
      <c r="C46" s="111"/>
      <c r="E46" s="121" t="s">
        <v>38</v>
      </c>
      <c r="F46" s="122"/>
      <c r="G46" s="122" t="s">
        <v>56</v>
      </c>
      <c r="H46" s="123" t="s">
        <v>67</v>
      </c>
    </row>
    <row r="47" spans="2:8" ht="15" customHeight="1">
      <c r="B47" s="108">
        <v>39</v>
      </c>
      <c r="C47" s="111"/>
      <c r="E47" s="124" t="s">
        <v>40</v>
      </c>
      <c r="F47" s="125"/>
      <c r="G47" s="125" t="s">
        <v>58</v>
      </c>
      <c r="H47" s="126" t="s">
        <v>68</v>
      </c>
    </row>
    <row r="48" spans="2:8" ht="15" customHeight="1" thickBot="1">
      <c r="B48" s="108">
        <v>40</v>
      </c>
      <c r="C48" s="111"/>
      <c r="E48" s="127" t="s">
        <v>43</v>
      </c>
      <c r="F48" s="128"/>
      <c r="G48" s="128" t="s">
        <v>60</v>
      </c>
      <c r="H48" s="129" t="s">
        <v>69</v>
      </c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71</v>
      </c>
      <c r="F51" s="119" t="s">
        <v>83</v>
      </c>
      <c r="G51" s="119" t="s">
        <v>93</v>
      </c>
      <c r="H51" s="120"/>
    </row>
    <row r="52" spans="2:8" ht="15" customHeight="1">
      <c r="B52" s="108">
        <v>44</v>
      </c>
      <c r="C52" s="111"/>
      <c r="E52" s="121" t="s">
        <v>73</v>
      </c>
      <c r="F52" s="122" t="s">
        <v>85</v>
      </c>
      <c r="G52" s="122"/>
      <c r="H52" s="123"/>
    </row>
    <row r="53" spans="2:8" ht="15" customHeight="1">
      <c r="B53" s="108">
        <v>45</v>
      </c>
      <c r="C53" s="111"/>
      <c r="E53" s="124" t="s">
        <v>75</v>
      </c>
      <c r="F53" s="125" t="s">
        <v>87</v>
      </c>
      <c r="G53" s="125"/>
      <c r="H53" s="126"/>
    </row>
    <row r="54" spans="2:8" ht="15" customHeight="1">
      <c r="B54" s="108">
        <v>46</v>
      </c>
      <c r="C54" s="111"/>
      <c r="E54" s="121" t="s">
        <v>77</v>
      </c>
      <c r="F54" s="122" t="s">
        <v>89</v>
      </c>
      <c r="G54" s="122"/>
      <c r="H54" s="123"/>
    </row>
    <row r="55" spans="2:8" ht="15" customHeight="1">
      <c r="B55" s="108">
        <v>47</v>
      </c>
      <c r="C55" s="111"/>
      <c r="E55" s="124" t="s">
        <v>79</v>
      </c>
      <c r="F55" s="125" t="s">
        <v>91</v>
      </c>
      <c r="G55" s="125"/>
      <c r="H55" s="126"/>
    </row>
    <row r="56" spans="2:8" ht="15" customHeight="1" thickBot="1">
      <c r="B56" s="108">
        <v>48</v>
      </c>
      <c r="C56" s="111"/>
      <c r="E56" s="127" t="s">
        <v>81</v>
      </c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ZNEMBReOT+1nKXsha1j+EGUSaU0ENMROUrJYAghznBN7zPN9lSPwXW1g/4bacDC345HAfgMGd1M7coIkxXYTkQ==" saltValue="p9POpVEYpeL6r7y/h+MI9Q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topLeftCell="A3" zoomScale="87" zoomScaleNormal="87" workbookViewId="0">
      <selection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LIDER!C4</f>
        <v>MATEMATICA</v>
      </c>
      <c r="C2" s="82"/>
      <c r="D2" s="3"/>
      <c r="F2" s="201" t="s">
        <v>95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CONCATENATE(LIDER!C4," - ",LIDER!C6," - ",LIDER!C5)</f>
        <v>MATEMATICA - 3615 - VICTOR HUGO HURTADO OROZCO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72</v>
      </c>
      <c r="C5" s="88" t="s">
        <v>97</v>
      </c>
      <c r="D5" s="32" t="s">
        <v>98</v>
      </c>
      <c r="E5" s="89" t="s">
        <v>99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LUISFER BELEÑO ZUÑIGA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3.92</v>
      </c>
      <c r="F6" s="200">
        <v>3.8</v>
      </c>
      <c r="G6" s="142">
        <v>3.8</v>
      </c>
      <c r="H6" s="199">
        <v>3.8</v>
      </c>
      <c r="I6" s="142">
        <v>3.8</v>
      </c>
      <c r="J6" s="199">
        <v>5</v>
      </c>
      <c r="K6" s="142"/>
      <c r="L6" s="199"/>
    </row>
    <row r="7" spans="1:12" s="2" customFormat="1" ht="15" customHeight="1">
      <c r="A7" s="12">
        <v>2</v>
      </c>
      <c r="B7" s="10" t="str">
        <f>LIDER!E44</f>
        <v>ANDERSON CARMONA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3.92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LIZCONY FERIA MIER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3.92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SOFIA ISABEL GOMEZ NIÑO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3.92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DUVAN YAIR JIMENEZ CASTAÑO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3.92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JAVIER ALEXANDER PERAZA PALACIOS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3.92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74</v>
      </c>
      <c r="C12" s="88" t="s">
        <v>100</v>
      </c>
      <c r="D12" s="32" t="str">
        <f>D5</f>
        <v>LIST</v>
      </c>
      <c r="E12" s="89" t="s">
        <v>99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DAYANA MISHELL GALVIS VIELLAR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200">
        <v>4</v>
      </c>
      <c r="G13" s="142">
        <v>4</v>
      </c>
      <c r="H13" s="199">
        <v>4</v>
      </c>
      <c r="I13" s="142">
        <v>4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DIANA CAROLINA VILLARREAL RAMOS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76</v>
      </c>
      <c r="C19" s="88" t="s">
        <v>101</v>
      </c>
      <c r="D19" s="32" t="str">
        <f>D12</f>
        <v>LIST</v>
      </c>
      <c r="E19" s="89" t="s">
        <v>99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NEVIS YULIETH ARROYO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4.28</v>
      </c>
      <c r="F20" s="200">
        <v>4.2</v>
      </c>
      <c r="G20" s="142">
        <v>4.2</v>
      </c>
      <c r="H20" s="199">
        <v>4.2</v>
      </c>
      <c r="I20" s="142">
        <v>4.2</v>
      </c>
      <c r="J20" s="199">
        <v>5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JARAH LUCIA CUETO FLOREZ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4.28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ISAMAR DE AVILA SANDOVAL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4.28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KATHERIN LISETH MARTINEZ MARRUGO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4.28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ESTEFANIA PATRICIA OSORIO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4.28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JUAN CAMILO SEPULVEDA PADILLA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4.28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78</v>
      </c>
      <c r="C26" s="88" t="s">
        <v>102</v>
      </c>
      <c r="D26" s="32" t="str">
        <f>D19</f>
        <v>LIST</v>
      </c>
      <c r="E26" s="89" t="s">
        <v>99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3.8300000000000005</v>
      </c>
      <c r="F27" s="200">
        <v>3.7</v>
      </c>
      <c r="G27" s="142">
        <v>3.7</v>
      </c>
      <c r="H27" s="199">
        <v>3.7</v>
      </c>
      <c r="I27" s="142">
        <v>3.7</v>
      </c>
      <c r="J27" s="199">
        <v>5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3.8300000000000005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MARIANA SOFIA BUELVAS GUZMAN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3.8300000000000005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3.8300000000000005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ERICK FABIAN CASTELLON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3.8300000000000005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 t="str">
        <f>LIDER!H48</f>
        <v>VALERIA FIGUEROA CUETO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3.8300000000000005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80</v>
      </c>
      <c r="C33" s="88" t="s">
        <v>103</v>
      </c>
      <c r="D33" s="32" t="str">
        <f>D26</f>
        <v>LIST</v>
      </c>
      <c r="E33" s="89" t="s">
        <v>99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NIYELI ALEJANDRA ARISTIZABAL CARMONA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4.0999999999999996</v>
      </c>
      <c r="F34" s="200">
        <v>4</v>
      </c>
      <c r="G34" s="142">
        <v>4</v>
      </c>
      <c r="H34" s="199">
        <v>4</v>
      </c>
      <c r="I34" s="142">
        <v>4</v>
      </c>
      <c r="J34" s="199">
        <v>5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OSCAR ANDRES BORRE VASQUEZ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4.0999999999999996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YULIANI CRESPO BAENA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4.0999999999999996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KEINER JAVID DIAZ ALVAREZ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4.0999999999999996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ABRAHAM DAVID RAMOS POSADA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4.0999999999999996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DAIRIN ROSA TORRES ALVARADO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4.0999999999999996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82</v>
      </c>
      <c r="C40" s="88" t="s">
        <v>104</v>
      </c>
      <c r="D40" s="32" t="str">
        <f>D33</f>
        <v>LIST</v>
      </c>
      <c r="E40" s="89" t="s">
        <v>99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LIZ KARINE ALVAREZ MONTALVO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3.92</v>
      </c>
      <c r="F41" s="200">
        <v>3.8</v>
      </c>
      <c r="G41" s="142">
        <v>3.8</v>
      </c>
      <c r="H41" s="199">
        <v>3.8</v>
      </c>
      <c r="I41" s="142">
        <v>3.8</v>
      </c>
      <c r="J41" s="199">
        <v>5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>CLAUDIA CAROLINA CAMACHO ALVEAR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3.92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LEDYS CAROLINA HERNANDEZ LEAL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3.92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JUAN JOSE RICO MANJARRES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3.92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JHOINER SMIT RIVERA JULIO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3.92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84</v>
      </c>
      <c r="C47" s="88" t="s">
        <v>105</v>
      </c>
      <c r="D47" s="32" t="str">
        <f>D40</f>
        <v>LIST</v>
      </c>
      <c r="E47" s="89" t="s">
        <v>99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ANGEL YESID GOMEZ CARDONA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0.99999999999999989</v>
      </c>
      <c r="F48" s="200">
        <v>1</v>
      </c>
      <c r="G48" s="142">
        <v>1</v>
      </c>
      <c r="H48" s="199">
        <v>1</v>
      </c>
      <c r="I48" s="142">
        <v>1</v>
      </c>
      <c r="J48" s="199">
        <v>1</v>
      </c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106</v>
      </c>
      <c r="D54" s="32" t="str">
        <f>D47</f>
        <v>LIST</v>
      </c>
      <c r="E54" s="89" t="s">
        <v>99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107</v>
      </c>
      <c r="D61" s="32" t="str">
        <f>D54</f>
        <v>LIST</v>
      </c>
      <c r="E61" s="89" t="s">
        <v>99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108</v>
      </c>
      <c r="D68" s="32" t="str">
        <f>D61</f>
        <v>LIST</v>
      </c>
      <c r="E68" s="89" t="s">
        <v>99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109</v>
      </c>
      <c r="D75" s="32" t="str">
        <f>D68</f>
        <v>LIST</v>
      </c>
      <c r="E75" s="89" t="s">
        <v>99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110</v>
      </c>
      <c r="D82" s="32" t="str">
        <f>D75</f>
        <v>LIST</v>
      </c>
      <c r="E82" s="89" t="s">
        <v>99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LIDER!D4</f>
        <v>COMUNICACION ORAL Y ESCRITA</v>
      </c>
      <c r="C2" s="82"/>
      <c r="D2" s="3"/>
      <c r="F2" s="201" t="s">
        <v>95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CONCATENATE(LIDER!D4," - ",LIDER!D6," - ",LIDER!D5)</f>
        <v>COMUNICACION ORAL Y ESCRITA - 3636 - BLANCA FLOREZ TABORDA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72</v>
      </c>
      <c r="C5" s="88" t="s">
        <v>97</v>
      </c>
      <c r="D5" s="32" t="s">
        <v>98</v>
      </c>
      <c r="E5" s="89" t="s">
        <v>99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LUISFER BELEÑO ZUÑIGA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42"/>
      <c r="H6" s="199"/>
      <c r="I6" s="142"/>
      <c r="J6" s="199"/>
      <c r="K6" s="142"/>
      <c r="L6" s="199"/>
    </row>
    <row r="7" spans="1:12" s="2" customFormat="1" ht="15" customHeight="1">
      <c r="A7" s="12">
        <v>2</v>
      </c>
      <c r="B7" s="10" t="str">
        <f>LIDER!E44</f>
        <v>ANDERSON CARMONA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LIZCONY FERIA MIER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SOFIA ISABEL GOMEZ NIÑO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DUVAN YAIR JIMENEZ CASTAÑO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JAVIER ALEXANDER PERAZA PALACIOS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74</v>
      </c>
      <c r="C12" s="88" t="s">
        <v>100</v>
      </c>
      <c r="D12" s="32" t="str">
        <f>D5</f>
        <v>LIST</v>
      </c>
      <c r="E12" s="89" t="s">
        <v>99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DAYANA MISHELL GALVIS VIELLAR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42"/>
      <c r="H13" s="199"/>
      <c r="I13" s="142"/>
      <c r="J13" s="199"/>
      <c r="K13" s="142"/>
      <c r="L13" s="199"/>
    </row>
    <row r="14" spans="1:12" s="2" customFormat="1" ht="15" customHeight="1">
      <c r="A14" s="12">
        <v>2</v>
      </c>
      <c r="B14" s="10" t="str">
        <f>LIDER!F44</f>
        <v>DIANA CAROLINA VILLARREAL RAMOS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76</v>
      </c>
      <c r="C19" s="88" t="s">
        <v>101</v>
      </c>
      <c r="D19" s="32" t="str">
        <f>D12</f>
        <v>LIST</v>
      </c>
      <c r="E19" s="89" t="s">
        <v>99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NEVIS YULIETH ARROYO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42"/>
      <c r="H20" s="199"/>
      <c r="I20" s="142"/>
      <c r="J20" s="199"/>
      <c r="K20" s="142"/>
      <c r="L20" s="199"/>
    </row>
    <row r="21" spans="1:12" s="2" customFormat="1" ht="15" customHeight="1">
      <c r="A21" s="12">
        <v>2</v>
      </c>
      <c r="B21" s="10" t="str">
        <f>LIDER!G44</f>
        <v>JARAH LUCIA CUETO FLOREZ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ISAMAR DE AVILA SANDOVAL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KATHERIN LISETH MARTINEZ MARRUGO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ESTEFANIA PATRICIA OSORIO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JUAN CAMILO SEPULVEDA PADILLA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78</v>
      </c>
      <c r="C26" s="88" t="s">
        <v>102</v>
      </c>
      <c r="D26" s="32" t="str">
        <f>D19</f>
        <v>LIST</v>
      </c>
      <c r="E26" s="89" t="s">
        <v>99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MARIANA SOFIA BUELVAS GUZMAN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ERICK FABIAN CASTELLON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 t="str">
        <f>LIDER!H48</f>
        <v>VALERIA FIGUEROA CUETO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80</v>
      </c>
      <c r="C33" s="88" t="s">
        <v>103</v>
      </c>
      <c r="D33" s="32" t="str">
        <f>D26</f>
        <v>LIST</v>
      </c>
      <c r="E33" s="89" t="s">
        <v>99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NIYELI ALEJANDRA ARISTIZABAL CARMONA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 t="str">
        <f>LIDER!E52</f>
        <v>OSCAR ANDRES BORRE VASQUEZ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YULIANI CRESPO BAENA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KEINER JAVID DIAZ ALVAREZ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ABRAHAM DAVID RAMOS POSADA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DAIRIN ROSA TORRES ALVARADO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82</v>
      </c>
      <c r="C40" s="88" t="s">
        <v>104</v>
      </c>
      <c r="D40" s="32" t="str">
        <f>D33</f>
        <v>LIST</v>
      </c>
      <c r="E40" s="89" t="s">
        <v>99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LIZ KARINE ALVAREZ MONTALVO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 t="str">
        <f>LIDER!F52</f>
        <v>CLAUDIA CAROLINA CAMACHO ALVEAR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LEDYS CAROLINA HERNANDEZ LEAL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JUAN JOSE RICO MANJARRES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JHOINER SMIT RIVERA JULIO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84</v>
      </c>
      <c r="C47" s="88" t="s">
        <v>105</v>
      </c>
      <c r="D47" s="32" t="str">
        <f>D40</f>
        <v>LIST</v>
      </c>
      <c r="E47" s="89" t="s">
        <v>99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ANGEL YESID GOMEZ CARDONA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106</v>
      </c>
      <c r="D54" s="32" t="str">
        <f>D47</f>
        <v>LIST</v>
      </c>
      <c r="E54" s="89" t="s">
        <v>99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107</v>
      </c>
      <c r="D61" s="32" t="str">
        <f>D54</f>
        <v>LIST</v>
      </c>
      <c r="E61" s="89" t="s">
        <v>99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108</v>
      </c>
      <c r="D68" s="32" t="str">
        <f>D61</f>
        <v>LIST</v>
      </c>
      <c r="E68" s="89" t="s">
        <v>99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109</v>
      </c>
      <c r="D75" s="32" t="str">
        <f>D68</f>
        <v>LIST</v>
      </c>
      <c r="E75" s="89" t="s">
        <v>99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110</v>
      </c>
      <c r="D82" s="32" t="str">
        <f>D75</f>
        <v>LIST</v>
      </c>
      <c r="E82" s="89" t="s">
        <v>99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LIDER!E4</f>
        <v>CULTURA Y DEPORTE</v>
      </c>
      <c r="C2" s="82"/>
      <c r="D2" s="3"/>
      <c r="F2" s="201" t="s">
        <v>95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CONCATENATE(LIDER!E4," - ",LIDER!E6," - ",LIDER!E5)</f>
        <v>CULTURA Y DEPORTE - 3635 - LUIS FERNANDO BUSTAMANTE LAMBIS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72</v>
      </c>
      <c r="C5" s="88" t="s">
        <v>97</v>
      </c>
      <c r="D5" s="32" t="s">
        <v>98</v>
      </c>
      <c r="E5" s="89" t="s">
        <v>99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LUISFER BELEÑO ZUÑIGA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42"/>
      <c r="H6" s="199"/>
      <c r="I6" s="142"/>
      <c r="J6" s="199"/>
      <c r="K6" s="142"/>
      <c r="L6" s="199"/>
    </row>
    <row r="7" spans="1:12" s="2" customFormat="1" ht="15" customHeight="1">
      <c r="A7" s="12">
        <v>2</v>
      </c>
      <c r="B7" s="10" t="str">
        <f>LIDER!E44</f>
        <v>ANDERSON CARMONA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LIZCONY FERIA MIER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SOFIA ISABEL GOMEZ NIÑO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DUVAN YAIR JIMENEZ CASTAÑO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JAVIER ALEXANDER PERAZA PALACIOS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74</v>
      </c>
      <c r="C12" s="88" t="s">
        <v>100</v>
      </c>
      <c r="D12" s="32" t="str">
        <f>D5</f>
        <v>LIST</v>
      </c>
      <c r="E12" s="89" t="s">
        <v>99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DAYANA MISHELL GALVIS VIELLAR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42"/>
      <c r="H13" s="199"/>
      <c r="I13" s="142"/>
      <c r="J13" s="199"/>
      <c r="K13" s="142"/>
      <c r="L13" s="199"/>
    </row>
    <row r="14" spans="1:12" s="2" customFormat="1" ht="15" customHeight="1">
      <c r="A14" s="12">
        <v>2</v>
      </c>
      <c r="B14" s="10" t="str">
        <f>LIDER!F44</f>
        <v>DIANA CAROLINA VILLARREAL RAMOS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76</v>
      </c>
      <c r="C19" s="88" t="s">
        <v>101</v>
      </c>
      <c r="D19" s="32" t="str">
        <f>D12</f>
        <v>LIST</v>
      </c>
      <c r="E19" s="89" t="s">
        <v>99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NEVIS YULIETH ARROYO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42"/>
      <c r="H20" s="199"/>
      <c r="I20" s="142"/>
      <c r="J20" s="199"/>
      <c r="K20" s="142"/>
      <c r="L20" s="199"/>
    </row>
    <row r="21" spans="1:12" s="2" customFormat="1" ht="15" customHeight="1">
      <c r="A21" s="12">
        <v>2</v>
      </c>
      <c r="B21" s="10" t="str">
        <f>LIDER!G44</f>
        <v>JARAH LUCIA CUETO FLOREZ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ISAMAR DE AVILA SANDOVAL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KATHERIN LISETH MARTINEZ MARRUGO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ESTEFANIA PATRICIA OSORIO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JUAN CAMILO SEPULVEDA PADILLA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78</v>
      </c>
      <c r="C26" s="88" t="s">
        <v>102</v>
      </c>
      <c r="D26" s="32" t="str">
        <f>D19</f>
        <v>LIST</v>
      </c>
      <c r="E26" s="89" t="s">
        <v>99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MARIANA SOFIA BUELVAS GUZMAN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ERICK FABIAN CASTELLON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 t="str">
        <f>LIDER!H48</f>
        <v>VALERIA FIGUEROA CUETO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80</v>
      </c>
      <c r="C33" s="88" t="s">
        <v>103</v>
      </c>
      <c r="D33" s="32" t="str">
        <f>D26</f>
        <v>LIST</v>
      </c>
      <c r="E33" s="89" t="s">
        <v>99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NIYELI ALEJANDRA ARISTIZABAL CARMONA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 t="str">
        <f>LIDER!E52</f>
        <v>OSCAR ANDRES BORRE VASQUEZ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YULIANI CRESPO BAENA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KEINER JAVID DIAZ ALVAREZ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ABRAHAM DAVID RAMOS POSADA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DAIRIN ROSA TORRES ALVARADO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82</v>
      </c>
      <c r="C40" s="88" t="s">
        <v>104</v>
      </c>
      <c r="D40" s="32" t="str">
        <f>D33</f>
        <v>LIST</v>
      </c>
      <c r="E40" s="89" t="s">
        <v>99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LIZ KARINE ALVAREZ MONTALVO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 t="str">
        <f>LIDER!F52</f>
        <v>CLAUDIA CAROLINA CAMACHO ALVEAR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LEDYS CAROLINA HERNANDEZ LEAL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JUAN JOSE RICO MANJARRES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JHOINER SMIT RIVERA JULIO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84</v>
      </c>
      <c r="C47" s="88" t="s">
        <v>105</v>
      </c>
      <c r="D47" s="32" t="str">
        <f>D40</f>
        <v>LIST</v>
      </c>
      <c r="E47" s="89" t="s">
        <v>99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ANGEL YESID GOMEZ CARDONA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106</v>
      </c>
      <c r="D54" s="32" t="str">
        <f>D47</f>
        <v>LIST</v>
      </c>
      <c r="E54" s="89" t="s">
        <v>99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107</v>
      </c>
      <c r="D61" s="32" t="str">
        <f>D54</f>
        <v>LIST</v>
      </c>
      <c r="E61" s="89" t="s">
        <v>99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108</v>
      </c>
      <c r="D68" s="32" t="str">
        <f>D61</f>
        <v>LIST</v>
      </c>
      <c r="E68" s="89" t="s">
        <v>99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109</v>
      </c>
      <c r="D75" s="32" t="str">
        <f>D68</f>
        <v>LIST</v>
      </c>
      <c r="E75" s="89" t="s">
        <v>99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110</v>
      </c>
      <c r="D82" s="32" t="str">
        <f>D75</f>
        <v>LIST</v>
      </c>
      <c r="E82" s="89" t="s">
        <v>99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LIDER!F4</f>
        <v>FUNDAMENTOS DE DERECHO</v>
      </c>
      <c r="C2" s="82"/>
      <c r="D2" s="3"/>
      <c r="F2" s="201" t="s">
        <v>95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CONCATENATE(LIDER!F4," - ",LIDER!F6," - ",LIDER!F5)</f>
        <v>FUNDAMENTOS DE DERECHO - 3640 - ARIEL HUMBERTO PUELLO OROZCO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72</v>
      </c>
      <c r="C5" s="88" t="s">
        <v>97</v>
      </c>
      <c r="D5" s="32" t="s">
        <v>98</v>
      </c>
      <c r="E5" s="89" t="s">
        <v>99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LUISFER BELEÑO ZUÑIGA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3.6500000000000004</v>
      </c>
      <c r="F6" s="200">
        <v>3.5</v>
      </c>
      <c r="G6" s="142">
        <v>3.5</v>
      </c>
      <c r="H6" s="199">
        <v>3.5</v>
      </c>
      <c r="I6" s="142">
        <v>3.5</v>
      </c>
      <c r="J6" s="199">
        <v>5</v>
      </c>
      <c r="K6" s="142"/>
      <c r="L6" s="199"/>
    </row>
    <row r="7" spans="1:12" s="2" customFormat="1" ht="15" customHeight="1">
      <c r="A7" s="12">
        <v>2</v>
      </c>
      <c r="B7" s="10" t="str">
        <f>LIDER!E44</f>
        <v>ANDERSON CARMONA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3.6500000000000004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LIZCONY FERIA MIER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3.6500000000000004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SOFIA ISABEL GOMEZ NIÑO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3.6500000000000004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DUVAN YAIR JIMENEZ CASTAÑO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3.6500000000000004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JAVIER ALEXANDER PERAZA PALACIOS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3.6500000000000004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74</v>
      </c>
      <c r="C12" s="88" t="s">
        <v>100</v>
      </c>
      <c r="D12" s="32" t="str">
        <f>D5</f>
        <v>LIST</v>
      </c>
      <c r="E12" s="89" t="s">
        <v>99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DAYANA MISHELL GALVIS VIELLAR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200">
        <v>4</v>
      </c>
      <c r="G13" s="142">
        <v>4</v>
      </c>
      <c r="H13" s="199">
        <v>4</v>
      </c>
      <c r="I13" s="142">
        <v>4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DIANA CAROLINA VILLARREAL RAMOS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76</v>
      </c>
      <c r="C19" s="88" t="s">
        <v>101</v>
      </c>
      <c r="D19" s="32" t="str">
        <f>D12</f>
        <v>LIST</v>
      </c>
      <c r="E19" s="89" t="s">
        <v>99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NEVIS YULIETH ARROYO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200">
        <v>4</v>
      </c>
      <c r="G20" s="142">
        <v>4</v>
      </c>
      <c r="H20" s="199">
        <v>4</v>
      </c>
      <c r="I20" s="142">
        <v>4</v>
      </c>
      <c r="J20" s="199">
        <v>5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JARAH LUCIA CUETO FLOREZ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ISAMAR DE AVILA SANDOVAL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KATHERIN LISETH MARTINEZ MARRUGO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ESTEFANIA PATRICIA OSORIO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4.0999999999999996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JUAN CAMILO SEPULVEDA PADILLA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4.0999999999999996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78</v>
      </c>
      <c r="C26" s="88" t="s">
        <v>102</v>
      </c>
      <c r="D26" s="32" t="str">
        <f>D19</f>
        <v>LIST</v>
      </c>
      <c r="E26" s="89" t="s">
        <v>99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3.4000000000000004</v>
      </c>
      <c r="F27" s="200">
        <v>3.5</v>
      </c>
      <c r="G27" s="142">
        <v>3</v>
      </c>
      <c r="H27" s="199">
        <v>3.5</v>
      </c>
      <c r="I27" s="142">
        <v>3</v>
      </c>
      <c r="J27" s="199">
        <v>5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3.4000000000000004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MARIANA SOFIA BUELVAS GUZMAN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3.4000000000000004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3.4000000000000004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ERICK FABIAN CASTELLON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3.4000000000000004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 t="str">
        <f>LIDER!H48</f>
        <v>VALERIA FIGUEROA CUETO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3.4000000000000004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80</v>
      </c>
      <c r="C33" s="88" t="s">
        <v>103</v>
      </c>
      <c r="D33" s="32" t="str">
        <f>D26</f>
        <v>LIST</v>
      </c>
      <c r="E33" s="89" t="s">
        <v>99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NIYELI ALEJANDRA ARISTIZABAL CARMONA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4.0999999999999996</v>
      </c>
      <c r="F34" s="200">
        <v>4</v>
      </c>
      <c r="G34" s="142">
        <v>4</v>
      </c>
      <c r="H34" s="199">
        <v>4</v>
      </c>
      <c r="I34" s="142">
        <v>4</v>
      </c>
      <c r="J34" s="199">
        <v>5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OSCAR ANDRES BORRE VASQUEZ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4.0999999999999996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YULIANI CRESPO BAENA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4.0999999999999996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KEINER JAVID DIAZ ALVAREZ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4.0999999999999996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ABRAHAM DAVID RAMOS POSADA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4.0999999999999996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DAIRIN ROSA TORRES ALVARADO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4.0999999999999996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82</v>
      </c>
      <c r="C40" s="88" t="s">
        <v>104</v>
      </c>
      <c r="D40" s="32" t="str">
        <f>D33</f>
        <v>LIST</v>
      </c>
      <c r="E40" s="89" t="s">
        <v>99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LIZ KARINE ALVAREZ MONTALVO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4.0999999999999996</v>
      </c>
      <c r="F41" s="200">
        <v>4</v>
      </c>
      <c r="G41" s="142">
        <v>4</v>
      </c>
      <c r="H41" s="199">
        <v>4</v>
      </c>
      <c r="I41" s="142">
        <v>4</v>
      </c>
      <c r="J41" s="199">
        <v>5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>CLAUDIA CAROLINA CAMACHO ALVEAR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4.0999999999999996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LEDYS CAROLINA HERNANDEZ LEAL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4.0999999999999996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JUAN JOSE RICO MANJARRES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4.0999999999999996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JHOINER SMIT RIVERA JULIO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4.0999999999999996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84</v>
      </c>
      <c r="C47" s="88" t="s">
        <v>105</v>
      </c>
      <c r="D47" s="32" t="str">
        <f>D40</f>
        <v>LIST</v>
      </c>
      <c r="E47" s="89" t="s">
        <v>99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ANGEL YESID GOMEZ CARDONA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1.6</v>
      </c>
      <c r="F48" s="200">
        <v>1</v>
      </c>
      <c r="G48" s="142">
        <v>1</v>
      </c>
      <c r="H48" s="199">
        <v>1</v>
      </c>
      <c r="I48" s="142">
        <v>3</v>
      </c>
      <c r="J48" s="199">
        <v>3</v>
      </c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106</v>
      </c>
      <c r="D54" s="32" t="str">
        <f>D47</f>
        <v>LIST</v>
      </c>
      <c r="E54" s="89" t="s">
        <v>99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107</v>
      </c>
      <c r="D61" s="32" t="str">
        <f>D54</f>
        <v>LIST</v>
      </c>
      <c r="E61" s="89" t="s">
        <v>99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108</v>
      </c>
      <c r="D68" s="32" t="str">
        <f>D61</f>
        <v>LIST</v>
      </c>
      <c r="E68" s="89" t="s">
        <v>99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109</v>
      </c>
      <c r="D75" s="32" t="str">
        <f>D68</f>
        <v>LIST</v>
      </c>
      <c r="E75" s="89" t="s">
        <v>99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110</v>
      </c>
      <c r="D82" s="32" t="str">
        <f>D75</f>
        <v>LIST</v>
      </c>
      <c r="E82" s="89" t="s">
        <v>99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LIDER!G4</f>
        <v>FUNDAMENTOS ADMINISTRACIÓN</v>
      </c>
      <c r="C2" s="82"/>
      <c r="D2" s="3"/>
      <c r="F2" s="201" t="s">
        <v>95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CONCATENATE(LIDER!G4," - ",LIDER!G6," - ",LIDER!G5)</f>
        <v>FUNDAMENTOS ADMINISTRACIÓN - 3706 - JAMES MAURICIO PEREZ FLOREZ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72</v>
      </c>
      <c r="C5" s="88" t="s">
        <v>97</v>
      </c>
      <c r="D5" s="32" t="s">
        <v>98</v>
      </c>
      <c r="E5" s="89" t="s">
        <v>99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LUISFER BELEÑO ZUÑIGA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</v>
      </c>
      <c r="F6" s="200">
        <v>3.8</v>
      </c>
      <c r="G6" s="142">
        <v>3.8</v>
      </c>
      <c r="H6" s="199">
        <v>3</v>
      </c>
      <c r="I6" s="142">
        <v>3.5</v>
      </c>
      <c r="J6" s="199">
        <v>4</v>
      </c>
      <c r="K6" s="142"/>
      <c r="L6" s="199"/>
    </row>
    <row r="7" spans="1:12" s="2" customFormat="1" ht="15" customHeight="1">
      <c r="A7" s="12">
        <v>2</v>
      </c>
      <c r="B7" s="10" t="str">
        <f>LIDER!E44</f>
        <v>ANDERSON CARMONA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LIZCONY FERIA MIER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SOFIA ISABEL GOMEZ NIÑO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DUVAN YAIR JIMENEZ CASTAÑO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JAVIER ALEXANDER PERAZA PALACIOS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3.6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74</v>
      </c>
      <c r="C12" s="88" t="s">
        <v>100</v>
      </c>
      <c r="D12" s="32" t="str">
        <f>D5</f>
        <v>LIST</v>
      </c>
      <c r="E12" s="89" t="s">
        <v>99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DAYANA MISHELL GALVIS VIELLAR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3.3000000000000003</v>
      </c>
      <c r="F13" s="200">
        <v>4</v>
      </c>
      <c r="G13" s="142">
        <v>3</v>
      </c>
      <c r="H13" s="199">
        <v>4</v>
      </c>
      <c r="I13" s="142">
        <v>3</v>
      </c>
      <c r="J13" s="199">
        <v>2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DIANA CAROLINA VILLARREAL RAMOS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3.3000000000000003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76</v>
      </c>
      <c r="C19" s="88" t="s">
        <v>101</v>
      </c>
      <c r="D19" s="32" t="str">
        <f>D12</f>
        <v>LIST</v>
      </c>
      <c r="E19" s="89" t="s">
        <v>99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NEVIS YULIETH ARROYO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3.56</v>
      </c>
      <c r="F20" s="200">
        <v>4</v>
      </c>
      <c r="G20" s="142">
        <v>3</v>
      </c>
      <c r="H20" s="199">
        <v>3.8</v>
      </c>
      <c r="I20" s="142">
        <v>3.5</v>
      </c>
      <c r="J20" s="199">
        <v>4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JARAH LUCIA CUETO FLOREZ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3.56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ISAMAR DE AVILA SANDOVAL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3.56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KATHERIN LISETH MARTINEZ MARRUGO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3.56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ESTEFANIA PATRICIA OSORIO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3.56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JUAN CAMILO SEPULVEDA PADILLA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3.56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78</v>
      </c>
      <c r="C26" s="88" t="s">
        <v>102</v>
      </c>
      <c r="D26" s="32" t="str">
        <f>D19</f>
        <v>LIST</v>
      </c>
      <c r="E26" s="89" t="s">
        <v>99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3.5300000000000007</v>
      </c>
      <c r="F27" s="200">
        <v>3.7</v>
      </c>
      <c r="G27" s="142">
        <v>3.2</v>
      </c>
      <c r="H27" s="199">
        <v>3.5</v>
      </c>
      <c r="I27" s="142">
        <v>3.4</v>
      </c>
      <c r="J27" s="199">
        <v>4.5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3.5300000000000007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MARIANA SOFIA BUELVAS GUZMAN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3.5300000000000007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3.5300000000000007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ERICK FABIAN CASTELLON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3.5300000000000007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 t="str">
        <f>LIDER!H48</f>
        <v>VALERIA FIGUEROA CUETO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3.5300000000000007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80</v>
      </c>
      <c r="C33" s="88" t="s">
        <v>103</v>
      </c>
      <c r="D33" s="32" t="str">
        <f>D26</f>
        <v>LIST</v>
      </c>
      <c r="E33" s="89" t="s">
        <v>99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NIYELI ALEJANDRA ARISTIZABAL CARMONA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3.8400000000000003</v>
      </c>
      <c r="F34" s="200">
        <v>4</v>
      </c>
      <c r="G34" s="142">
        <v>3.8</v>
      </c>
      <c r="H34" s="199">
        <v>4</v>
      </c>
      <c r="I34" s="142">
        <v>3.5</v>
      </c>
      <c r="J34" s="199">
        <v>4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OSCAR ANDRES BORRE VASQUEZ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3.8400000000000003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YULIANI CRESPO BAENA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3.8400000000000003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KEINER JAVID DIAZ ALVAREZ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3.8400000000000003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ABRAHAM DAVID RAMOS POSADA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3.8400000000000003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DAIRIN ROSA TORRES ALVARADO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3.8400000000000003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82</v>
      </c>
      <c r="C40" s="88" t="s">
        <v>104</v>
      </c>
      <c r="D40" s="32" t="str">
        <f>D33</f>
        <v>LIST</v>
      </c>
      <c r="E40" s="89" t="s">
        <v>99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LIZ KARINE ALVAREZ MONTALVO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3.61</v>
      </c>
      <c r="F41" s="200">
        <v>3.5</v>
      </c>
      <c r="G41" s="142">
        <v>3.9</v>
      </c>
      <c r="H41" s="199">
        <v>3.8</v>
      </c>
      <c r="I41" s="142">
        <v>3</v>
      </c>
      <c r="J41" s="199">
        <v>3.8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>CLAUDIA CAROLINA CAMACHO ALVEAR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3.61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LEDYS CAROLINA HERNANDEZ LEAL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3.61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JUAN JOSE RICO MANJARRES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3.61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JHOINER SMIT RIVERA JULIO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3.61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84</v>
      </c>
      <c r="C47" s="88" t="s">
        <v>105</v>
      </c>
      <c r="D47" s="32" t="str">
        <f>D40</f>
        <v>LIST</v>
      </c>
      <c r="E47" s="89" t="s">
        <v>99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ANGEL YESID GOMEZ CARDONA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>
        <v>0</v>
      </c>
      <c r="G48" s="142">
        <v>0</v>
      </c>
      <c r="H48" s="199">
        <v>0</v>
      </c>
      <c r="I48" s="142">
        <v>0</v>
      </c>
      <c r="J48" s="199">
        <v>0</v>
      </c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106</v>
      </c>
      <c r="D54" s="32" t="str">
        <f>D47</f>
        <v>LIST</v>
      </c>
      <c r="E54" s="89" t="s">
        <v>99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107</v>
      </c>
      <c r="D61" s="32" t="str">
        <f>D54</f>
        <v>LIST</v>
      </c>
      <c r="E61" s="89" t="s">
        <v>99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108</v>
      </c>
      <c r="D68" s="32" t="str">
        <f>D61</f>
        <v>LIST</v>
      </c>
      <c r="E68" s="89" t="s">
        <v>99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109</v>
      </c>
      <c r="D75" s="32" t="str">
        <f>D68</f>
        <v>LIST</v>
      </c>
      <c r="E75" s="89" t="s">
        <v>99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110</v>
      </c>
      <c r="D82" s="32" t="str">
        <f>D75</f>
        <v>LIST</v>
      </c>
      <c r="E82" s="89" t="s">
        <v>99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LIDER!H4</f>
        <v>PROYECTO DE VIDA</v>
      </c>
      <c r="C2" s="82"/>
      <c r="D2" s="3"/>
      <c r="F2" s="201" t="s">
        <v>95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CONCATENATE(LIDER!H4," - ",LIDER!H6," - ",LIDER!H5)</f>
        <v>PROYECTO DE VIDA - 3637 - NATALI ÁLVAREZ ATEHORTUA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72</v>
      </c>
      <c r="C5" s="88" t="s">
        <v>97</v>
      </c>
      <c r="D5" s="32" t="s">
        <v>98</v>
      </c>
      <c r="E5" s="89" t="s">
        <v>99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LUISFER BELEÑO ZUÑIGA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200">
        <v>4</v>
      </c>
      <c r="G6" s="142">
        <v>4</v>
      </c>
      <c r="H6" s="199">
        <v>4</v>
      </c>
      <c r="I6" s="142">
        <v>4</v>
      </c>
      <c r="J6" s="199">
        <v>4</v>
      </c>
      <c r="K6" s="142"/>
      <c r="L6" s="199"/>
    </row>
    <row r="7" spans="1:12" s="2" customFormat="1" ht="15" customHeight="1">
      <c r="A7" s="12">
        <v>2</v>
      </c>
      <c r="B7" s="10" t="str">
        <f>LIDER!E44</f>
        <v>ANDERSON CARMONA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LIZCONY FERIA MIER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SOFIA ISABEL GOMEZ NIÑO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3.9999999999999996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DUVAN YAIR JIMENEZ CASTAÑO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3.9999999999999996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JAVIER ALEXANDER PERAZA PALACIOS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3.9999999999999996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74</v>
      </c>
      <c r="C12" s="88" t="s">
        <v>100</v>
      </c>
      <c r="D12" s="32" t="str">
        <f>D5</f>
        <v>LIST</v>
      </c>
      <c r="E12" s="89" t="s">
        <v>99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DAYANA MISHELL GALVIS VIELLAR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200">
        <v>4</v>
      </c>
      <c r="G13" s="142">
        <v>4</v>
      </c>
      <c r="H13" s="199">
        <v>4</v>
      </c>
      <c r="I13" s="142">
        <v>4</v>
      </c>
      <c r="J13" s="199">
        <v>4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DIANA CAROLINA VILLARREAL RAMOS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76</v>
      </c>
      <c r="C19" s="88" t="s">
        <v>101</v>
      </c>
      <c r="D19" s="32" t="str">
        <f>D12</f>
        <v>LIST</v>
      </c>
      <c r="E19" s="89" t="s">
        <v>99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NEVIS YULIETH ARROYO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0">
        <v>4</v>
      </c>
      <c r="G20" s="142">
        <v>4</v>
      </c>
      <c r="H20" s="199">
        <v>4</v>
      </c>
      <c r="I20" s="142">
        <v>4</v>
      </c>
      <c r="J20" s="199">
        <v>4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JARAH LUCIA CUETO FLOREZ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ISAMAR DE AVILA SANDOVAL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KATHERIN LISETH MARTINEZ MARRUGO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ESTEFANIA PATRICIA OSORIO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3.9999999999999996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JUAN CAMILO SEPULVEDA PADILLA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3.9999999999999996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78</v>
      </c>
      <c r="C26" s="88" t="s">
        <v>102</v>
      </c>
      <c r="D26" s="32" t="str">
        <f>D19</f>
        <v>LIST</v>
      </c>
      <c r="E26" s="89" t="s">
        <v>99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3.9999999999999996</v>
      </c>
      <c r="F27" s="200">
        <v>4</v>
      </c>
      <c r="G27" s="142">
        <v>4</v>
      </c>
      <c r="H27" s="199">
        <v>4</v>
      </c>
      <c r="I27" s="142">
        <v>4</v>
      </c>
      <c r="J27" s="199">
        <v>4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3.9999999999999996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MARIANA SOFIA BUELVAS GUZMAN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3.9999999999999996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3.9999999999999996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ERICK FABIAN CASTELLON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3.9999999999999996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 t="str">
        <f>LIDER!H48</f>
        <v>VALERIA FIGUEROA CUETO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3.9999999999999996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80</v>
      </c>
      <c r="C33" s="88" t="s">
        <v>103</v>
      </c>
      <c r="D33" s="32" t="str">
        <f>D26</f>
        <v>LIST</v>
      </c>
      <c r="E33" s="89" t="s">
        <v>99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NIYELI ALEJANDRA ARISTIZABAL CARMONA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3.9999999999999996</v>
      </c>
      <c r="F34" s="200">
        <v>4</v>
      </c>
      <c r="G34" s="142">
        <v>4</v>
      </c>
      <c r="H34" s="199">
        <v>4</v>
      </c>
      <c r="I34" s="142">
        <v>4</v>
      </c>
      <c r="J34" s="199">
        <v>4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OSCAR ANDRES BORRE VASQUEZ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3.9999999999999996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YULIANI CRESPO BAENA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3.9999999999999996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KEINER JAVID DIAZ ALVAREZ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3.9999999999999996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ABRAHAM DAVID RAMOS POSADA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3.9999999999999996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DAIRIN ROSA TORRES ALVARADO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3.9999999999999996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82</v>
      </c>
      <c r="C40" s="88" t="s">
        <v>104</v>
      </c>
      <c r="D40" s="32" t="str">
        <f>D33</f>
        <v>LIST</v>
      </c>
      <c r="E40" s="89" t="s">
        <v>99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LIZ KARINE ALVAREZ MONTALVO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3.9999999999999996</v>
      </c>
      <c r="F41" s="200">
        <v>4</v>
      </c>
      <c r="G41" s="142">
        <v>4</v>
      </c>
      <c r="H41" s="199">
        <v>4</v>
      </c>
      <c r="I41" s="142">
        <v>4</v>
      </c>
      <c r="J41" s="199">
        <v>4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>CLAUDIA CAROLINA CAMACHO ALVEAR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3.9999999999999996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LEDYS CAROLINA HERNANDEZ LEAL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3.9999999999999996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JUAN JOSE RICO MANJARRES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3.9999999999999996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JHOINER SMIT RIVERA JULIO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3.9999999999999996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84</v>
      </c>
      <c r="C47" s="88" t="s">
        <v>105</v>
      </c>
      <c r="D47" s="32" t="str">
        <f>D40</f>
        <v>LIST</v>
      </c>
      <c r="E47" s="89" t="s">
        <v>99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ANGEL YESID GOMEZ CARDONA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1.9999999999999998</v>
      </c>
      <c r="F48" s="200">
        <v>2</v>
      </c>
      <c r="G48" s="142">
        <v>2</v>
      </c>
      <c r="H48" s="199">
        <v>2</v>
      </c>
      <c r="I48" s="142">
        <v>2</v>
      </c>
      <c r="J48" s="199">
        <v>2</v>
      </c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106</v>
      </c>
      <c r="D54" s="32" t="str">
        <f>D47</f>
        <v>LIST</v>
      </c>
      <c r="E54" s="89" t="s">
        <v>99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107</v>
      </c>
      <c r="D61" s="32" t="str">
        <f>D54</f>
        <v>LIST</v>
      </c>
      <c r="E61" s="89" t="s">
        <v>99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108</v>
      </c>
      <c r="D68" s="32" t="str">
        <f>D61</f>
        <v>LIST</v>
      </c>
      <c r="E68" s="89" t="s">
        <v>99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109</v>
      </c>
      <c r="D75" s="32" t="str">
        <f>D68</f>
        <v>LIST</v>
      </c>
      <c r="E75" s="89" t="s">
        <v>99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110</v>
      </c>
      <c r="D82" s="32" t="str">
        <f>D75</f>
        <v>LIST</v>
      </c>
      <c r="E82" s="89" t="s">
        <v>99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LIDER!I4</f>
        <v>CONTABILIDAD GENERAL</v>
      </c>
      <c r="C2" s="82"/>
      <c r="D2" s="3"/>
      <c r="F2" s="201" t="s">
        <v>95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CONCATENATE(LIDER!I4," - ",LIDER!I6," - ",LIDER!I5)</f>
        <v>CONTABILIDAD GENERAL - 3712 - ISAMAR CAROLINA CASSIANI DEL TORO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72</v>
      </c>
      <c r="C5" s="88" t="s">
        <v>97</v>
      </c>
      <c r="D5" s="32" t="s">
        <v>98</v>
      </c>
      <c r="E5" s="89" t="s">
        <v>99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LUISFER BELEÑO ZUÑIGA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42"/>
      <c r="H6" s="199"/>
      <c r="I6" s="142"/>
      <c r="J6" s="199"/>
      <c r="K6" s="142"/>
      <c r="L6" s="199"/>
    </row>
    <row r="7" spans="1:12" s="2" customFormat="1" ht="15" customHeight="1">
      <c r="A7" s="12">
        <v>2</v>
      </c>
      <c r="B7" s="10" t="str">
        <f>LIDER!E44</f>
        <v>ANDERSON CARMONA CASTILLA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LIZCONY FERIA MIER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SOFIA ISABEL GOMEZ NIÑO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DUVAN YAIR JIMENEZ CASTAÑO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 t="str">
        <f>LIDER!E48</f>
        <v>JAVIER ALEXANDER PERAZA PALACIOS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74</v>
      </c>
      <c r="C12" s="88" t="s">
        <v>100</v>
      </c>
      <c r="D12" s="32" t="str">
        <f>D5</f>
        <v>LIST</v>
      </c>
      <c r="E12" s="89" t="s">
        <v>99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DAYANA MISHELL GALVIS VIELLAR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42"/>
      <c r="H13" s="199"/>
      <c r="I13" s="142"/>
      <c r="J13" s="199"/>
      <c r="K13" s="142"/>
      <c r="L13" s="199"/>
    </row>
    <row r="14" spans="1:12" s="2" customFormat="1" ht="15" customHeight="1">
      <c r="A14" s="12">
        <v>2</v>
      </c>
      <c r="B14" s="10" t="str">
        <f>LIDER!F44</f>
        <v>DIANA CAROLINA VILLARREAL RAMOS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76</v>
      </c>
      <c r="C19" s="88" t="s">
        <v>101</v>
      </c>
      <c r="D19" s="32" t="str">
        <f>D12</f>
        <v>LIST</v>
      </c>
      <c r="E19" s="89" t="s">
        <v>99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NEVIS YULIETH ARROYO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42"/>
      <c r="H20" s="199"/>
      <c r="I20" s="142"/>
      <c r="J20" s="199"/>
      <c r="K20" s="142"/>
      <c r="L20" s="199"/>
    </row>
    <row r="21" spans="1:12" s="2" customFormat="1" ht="15" customHeight="1">
      <c r="A21" s="12">
        <v>2</v>
      </c>
      <c r="B21" s="10" t="str">
        <f>LIDER!G44</f>
        <v>JARAH LUCIA CUETO FLOREZ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ISAMAR DE AVILA SANDOVAL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KATHERIN LISETH MARTINEZ MARRUGO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ESTEFANIA PATRICIA OSORIO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 t="str">
        <f>LIDER!G48</f>
        <v>JUAN CAMILO SEPULVEDA PADILLA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78</v>
      </c>
      <c r="C26" s="88" t="s">
        <v>102</v>
      </c>
      <c r="D26" s="32" t="str">
        <f>D19</f>
        <v>LIST</v>
      </c>
      <c r="E26" s="89" t="s">
        <v>99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MARIANA SOFIA BUELVAS GUZMAN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ERICK FABIAN CASTELLON MARTINEZ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 t="str">
        <f>LIDER!H48</f>
        <v>VALERIA FIGUEROA CUETO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80</v>
      </c>
      <c r="C33" s="88" t="s">
        <v>103</v>
      </c>
      <c r="D33" s="32" t="str">
        <f>D26</f>
        <v>LIST</v>
      </c>
      <c r="E33" s="89" t="s">
        <v>99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NIYELI ALEJANDRA ARISTIZABAL CARMONA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 t="str">
        <f>LIDER!E52</f>
        <v>OSCAR ANDRES BORRE VASQUEZ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YULIANI CRESPO BAENA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KEINER JAVID DIAZ ALVAREZ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ABRAHAM DAVID RAMOS POSADA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DAIRIN ROSA TORRES ALVARADO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82</v>
      </c>
      <c r="C40" s="88" t="s">
        <v>104</v>
      </c>
      <c r="D40" s="32" t="str">
        <f>D33</f>
        <v>LIST</v>
      </c>
      <c r="E40" s="89" t="s">
        <v>99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LIZ KARINE ALVAREZ MONTALVO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 t="str">
        <f>LIDER!F52</f>
        <v>CLAUDIA CAROLINA CAMACHO ALVEAR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LEDYS CAROLINA HERNANDEZ LEAL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JUAN JOSE RICO MANJARRES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JHOINER SMIT RIVERA JULIO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84</v>
      </c>
      <c r="C47" s="88" t="s">
        <v>105</v>
      </c>
      <c r="D47" s="32" t="str">
        <f>D40</f>
        <v>LIST</v>
      </c>
      <c r="E47" s="89" t="s">
        <v>99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ANGEL YESID GOMEZ CARDONA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86</v>
      </c>
      <c r="C54" s="88" t="s">
        <v>106</v>
      </c>
      <c r="D54" s="32" t="str">
        <f>D47</f>
        <v>LIST</v>
      </c>
      <c r="E54" s="89" t="s">
        <v>99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88</v>
      </c>
      <c r="C61" s="88" t="s">
        <v>107</v>
      </c>
      <c r="D61" s="32" t="str">
        <f>D54</f>
        <v>LIST</v>
      </c>
      <c r="E61" s="89" t="s">
        <v>99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90</v>
      </c>
      <c r="C68" s="88" t="s">
        <v>108</v>
      </c>
      <c r="D68" s="32" t="str">
        <f>D61</f>
        <v>LIST</v>
      </c>
      <c r="E68" s="89" t="s">
        <v>99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92</v>
      </c>
      <c r="C75" s="88" t="s">
        <v>109</v>
      </c>
      <c r="D75" s="32" t="str">
        <f>D68</f>
        <v>LIST</v>
      </c>
      <c r="E75" s="89" t="s">
        <v>99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94</v>
      </c>
      <c r="C82" s="88" t="s">
        <v>110</v>
      </c>
      <c r="D82" s="32" t="str">
        <f>D75</f>
        <v>LIST</v>
      </c>
      <c r="E82" s="89" t="s">
        <v>99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77" zoomScaleNormal="77" workbookViewId="0">
      <pane xSplit="4" ySplit="3" topLeftCell="E37" activePane="bottomRight" state="frozen"/>
      <selection pane="bottomRight" activeCell="E41" sqref="E41:J46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LIDER!C4</f>
        <v>MATEMATICA</v>
      </c>
      <c r="C2" s="3"/>
      <c r="E2" s="148" t="s">
        <v>95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CONCATENATE(LIDER!C4," - ",LIDER!C6," - ",LIDER!C5)</f>
        <v>MATEMATICA - 3615 - VICTOR HUGO HURTADO OROZCO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72</v>
      </c>
      <c r="C5" s="32" t="str">
        <f>IF('S-ASIG-01'!D5="","",'S-ASIG-01'!D5)</f>
        <v>LIST</v>
      </c>
      <c r="D5" s="35" t="s">
        <v>99</v>
      </c>
      <c r="E5" s="209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LUISFER BELEÑO ZUÑIGA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</v>
      </c>
      <c r="E6" s="207">
        <v>3.8</v>
      </c>
      <c r="F6" s="24">
        <v>4.2</v>
      </c>
      <c r="G6" s="24">
        <v>4.2</v>
      </c>
      <c r="H6" s="24">
        <v>4.2</v>
      </c>
      <c r="I6" s="24">
        <v>4.2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ANDERSON CARMONA CASTILLA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</v>
      </c>
      <c r="E7" s="207"/>
      <c r="F7" s="18">
        <v>4.2</v>
      </c>
      <c r="G7" s="18">
        <v>4.2</v>
      </c>
      <c r="H7" s="18">
        <v>4.2</v>
      </c>
      <c r="I7" s="18">
        <v>4.2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>LIZCONY FERIA MIER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</v>
      </c>
      <c r="E8" s="207"/>
      <c r="F8" s="18">
        <v>4.2</v>
      </c>
      <c r="G8" s="18">
        <v>4.2</v>
      </c>
      <c r="H8" s="18">
        <v>4.2</v>
      </c>
      <c r="I8" s="18">
        <v>4.2</v>
      </c>
      <c r="J8" s="18">
        <v>4.2</v>
      </c>
      <c r="K8" s="18"/>
    </row>
    <row r="9" spans="1:11" s="2" customFormat="1" ht="15" customHeight="1">
      <c r="A9" s="12">
        <v>4</v>
      </c>
      <c r="B9" s="28" t="str">
        <f>LIDER!E46</f>
        <v>SOFIA ISABEL GOMEZ NIÑO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</v>
      </c>
      <c r="E9" s="207"/>
      <c r="F9" s="18">
        <v>4.2</v>
      </c>
      <c r="G9" s="18">
        <v>4.2</v>
      </c>
      <c r="H9" s="18">
        <v>4.2</v>
      </c>
      <c r="I9" s="18">
        <v>4.2</v>
      </c>
      <c r="J9" s="18">
        <v>4.2</v>
      </c>
      <c r="K9" s="18"/>
    </row>
    <row r="10" spans="1:11" s="2" customFormat="1" ht="15" customHeight="1">
      <c r="A10" s="12">
        <v>5</v>
      </c>
      <c r="B10" s="28" t="str">
        <f>LIDER!E47</f>
        <v>DUVAN YAIR JIMENEZ CASTAÑO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</v>
      </c>
      <c r="E10" s="207"/>
      <c r="F10" s="18">
        <v>4.2</v>
      </c>
      <c r="G10" s="18">
        <v>4.2</v>
      </c>
      <c r="H10" s="18">
        <v>4.2</v>
      </c>
      <c r="I10" s="18">
        <v>4.2</v>
      </c>
      <c r="J10" s="18">
        <v>4.2</v>
      </c>
      <c r="K10" s="18"/>
    </row>
    <row r="11" spans="1:11" s="2" customFormat="1" ht="15.75" customHeight="1" thickBot="1">
      <c r="A11" s="13">
        <v>6</v>
      </c>
      <c r="B11" s="28" t="str">
        <f>LIDER!E48</f>
        <v>JAVIER ALEXANDER PERAZA PALACIOS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</v>
      </c>
      <c r="E11" s="207"/>
      <c r="F11" s="26">
        <v>4.2</v>
      </c>
      <c r="G11" s="26">
        <v>4.2</v>
      </c>
      <c r="H11" s="26">
        <v>4.2</v>
      </c>
      <c r="I11" s="26">
        <v>4.2</v>
      </c>
      <c r="J11" s="26">
        <v>4.2</v>
      </c>
      <c r="K11" s="26"/>
    </row>
    <row r="12" spans="1:11" s="2" customFormat="1" ht="15.75" customHeight="1" thickBot="1">
      <c r="A12" s="8"/>
      <c r="B12" s="27" t="s">
        <v>74</v>
      </c>
      <c r="C12" s="32" t="str">
        <f>IF('S-ASIG-01'!D12="","",'S-ASIG-01'!D12)</f>
        <v>LIST</v>
      </c>
      <c r="D12" s="35" t="s">
        <v>99</v>
      </c>
      <c r="E12" s="209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DAYANA MISHELL GALVIS VIELLAR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3.8</v>
      </c>
      <c r="E13" s="207">
        <v>3.8</v>
      </c>
      <c r="F13" s="24">
        <v>3.8</v>
      </c>
      <c r="G13" s="24">
        <v>3.8</v>
      </c>
      <c r="H13" s="24">
        <v>3.8</v>
      </c>
      <c r="I13" s="24">
        <v>3.8</v>
      </c>
      <c r="J13" s="24">
        <v>3.8</v>
      </c>
      <c r="K13" s="24"/>
    </row>
    <row r="14" spans="1:11" s="2" customFormat="1" ht="15" customHeight="1">
      <c r="A14" s="12">
        <v>2</v>
      </c>
      <c r="B14" s="28" t="str">
        <f>LIDER!F44</f>
        <v>DIANA CAROLINA VILLARREAL RAMOS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3.8</v>
      </c>
      <c r="E14" s="207"/>
      <c r="F14" s="18">
        <v>3.8</v>
      </c>
      <c r="G14" s="18">
        <v>3.8</v>
      </c>
      <c r="H14" s="18">
        <v>3.8</v>
      </c>
      <c r="I14" s="18">
        <v>3.8</v>
      </c>
      <c r="J14" s="18">
        <v>3.8</v>
      </c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IF('S-ASIG-01'!D15="","",'S-ASIG-01'!D15)</f>
        <v/>
      </c>
      <c r="D15" s="30" t="str">
        <f>IF(B15=0,"",IF(C15="",$E$13*LIDER!$H$19+F15*LIDER!$H$20+G15*LIDER!$H$21+H15*LIDER!$H$22+I15*LIDER!$H$23+J15*LIDER!$H$24+K15*LIDER!$H$25,"N"))</f>
        <v/>
      </c>
      <c r="E15" s="207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IF('S-ASIG-01'!D16="","",'S-ASIG-01'!D16)</f>
        <v/>
      </c>
      <c r="D16" s="30" t="str">
        <f>IF(B16=0,"",IF(C16="",$E$13*LIDER!$H$19+F16*LIDER!$H$20+G16*LIDER!$H$21+H16*LIDER!$H$22+I16*LIDER!$H$23+J16*LIDER!$H$24+K16*LIDER!$H$25,"N"))</f>
        <v/>
      </c>
      <c r="E16" s="207"/>
      <c r="F16" s="18">
        <v>3.8</v>
      </c>
      <c r="G16" s="18">
        <v>3.8</v>
      </c>
      <c r="H16" s="18">
        <v>3.8</v>
      </c>
      <c r="I16" s="18">
        <v>3.8</v>
      </c>
      <c r="J16" s="18">
        <v>3.8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7"/>
      <c r="F17" s="18">
        <v>3.8</v>
      </c>
      <c r="G17" s="18">
        <v>3.8</v>
      </c>
      <c r="H17" s="18">
        <v>3.8</v>
      </c>
      <c r="I17" s="18">
        <v>3.8</v>
      </c>
      <c r="J17" s="18">
        <v>3.8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7"/>
      <c r="F18" s="26">
        <v>3.8</v>
      </c>
      <c r="G18" s="26">
        <v>3.8</v>
      </c>
      <c r="H18" s="26">
        <v>3.8</v>
      </c>
      <c r="I18" s="26">
        <v>3.8</v>
      </c>
      <c r="J18" s="26">
        <v>3.8</v>
      </c>
      <c r="K18" s="26"/>
    </row>
    <row r="19" spans="1:11" s="2" customFormat="1" ht="15.75" customHeight="1" thickBot="1">
      <c r="A19" s="14"/>
      <c r="B19" s="27" t="s">
        <v>76</v>
      </c>
      <c r="C19" s="32" t="str">
        <f>IF('S-ASIG-01'!D19="","",'S-ASIG-01'!D19)</f>
        <v>LIST</v>
      </c>
      <c r="D19" s="35" t="s">
        <v>99</v>
      </c>
      <c r="E19" s="209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NEVIS YULIETH ARROYO MARTINEZ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4.3500000000000005</v>
      </c>
      <c r="E20" s="207">
        <v>4.2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JARAH LUCIA CUETO FLOREZ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4.3500000000000005</v>
      </c>
      <c r="E21" s="207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ISAMAR DE AVILA SANDOVAL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4.3500000000000005</v>
      </c>
      <c r="E22" s="207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KATHERIN LISETH MARTINEZ MARRUGO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4.3500000000000005</v>
      </c>
      <c r="E23" s="207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ESTEFANIA PATRICIA OSORIO HERRERA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4.3500000000000005</v>
      </c>
      <c r="E24" s="207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JUAN CAMILO SEPULVEDA PADILLA</v>
      </c>
      <c r="C25" s="33" t="str">
        <f>IF('S-ASIG-01'!D25="","",'S-ASIG-01'!D25)</f>
        <v/>
      </c>
      <c r="D25" s="30">
        <f>IF(B25=0,"",IF(C25="",$E$20*LIDER!$H$19+F25*LIDER!$H$20+G25*LIDER!$H$21+H25*LIDER!$H$22+I25*LIDER!$H$23+J25*LIDER!$H$24+K25*LIDER!$H$25,"N"))</f>
        <v>4.3500000000000005</v>
      </c>
      <c r="E25" s="207"/>
      <c r="F25" s="26">
        <v>4.5</v>
      </c>
      <c r="G25" s="26">
        <v>4.5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78</v>
      </c>
      <c r="C26" s="32" t="str">
        <f>IF('S-ASIG-01'!D26="","",'S-ASIG-01'!D26)</f>
        <v>LIST</v>
      </c>
      <c r="D26" s="35" t="s">
        <v>99</v>
      </c>
      <c r="E26" s="209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4.2</v>
      </c>
      <c r="E27" s="207">
        <v>4.4000000000000004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4.2</v>
      </c>
      <c r="E28" s="207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MARIANA SOFIA BUELVAS GUZMAN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4.2</v>
      </c>
      <c r="E29" s="207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4.2</v>
      </c>
      <c r="E30" s="207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ERICK FABIAN CASTELLON MARTINEZ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4.2</v>
      </c>
      <c r="E31" s="207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 t="str">
        <f>LIDER!H48</f>
        <v>VALERIA FIGUEROA CUETO</v>
      </c>
      <c r="C32" s="33" t="str">
        <f>IF('S-ASIG-01'!D32="","",'S-ASIG-01'!D32)</f>
        <v/>
      </c>
      <c r="D32" s="30">
        <f>IF(B32=0,"",IF(C32="",$E$27*LIDER!$H$19+F32*LIDER!$H$20+G32*LIDER!$H$21+H32*LIDER!$H$22+I32*LIDER!$H$23+J32*LIDER!$H$24+K32*LIDER!$H$25,"N"))</f>
        <v>3.7</v>
      </c>
      <c r="E32" s="207"/>
      <c r="F32" s="26">
        <v>3</v>
      </c>
      <c r="G32" s="26">
        <v>3</v>
      </c>
      <c r="H32" s="26">
        <v>3</v>
      </c>
      <c r="I32" s="26">
        <v>3</v>
      </c>
      <c r="J32" s="26">
        <v>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IF('S-ASIG-01'!D33="","",'S-ASIG-01'!D33)</f>
        <v>LIST</v>
      </c>
      <c r="D33" s="35" t="s">
        <v>99</v>
      </c>
      <c r="E33" s="209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NIYELI ALEJANDRA ARISTIZABAL CARMONA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4.1499999999999995</v>
      </c>
      <c r="E34" s="207">
        <v>4</v>
      </c>
      <c r="F34" s="24">
        <v>4.3</v>
      </c>
      <c r="G34" s="24">
        <v>4.3</v>
      </c>
      <c r="H34" s="24">
        <v>4.3</v>
      </c>
      <c r="I34" s="24">
        <v>4.3</v>
      </c>
      <c r="J34" s="24">
        <v>4.3</v>
      </c>
      <c r="K34" s="24"/>
    </row>
    <row r="35" spans="1:11" s="2" customFormat="1" ht="15" customHeight="1">
      <c r="A35" s="12">
        <v>2</v>
      </c>
      <c r="B35" s="28" t="str">
        <f>LIDER!E52</f>
        <v>OSCAR ANDRES BORRE VASQUEZ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4.1499999999999995</v>
      </c>
      <c r="E35" s="207"/>
      <c r="F35" s="18">
        <v>4.3</v>
      </c>
      <c r="G35" s="18">
        <v>4.3</v>
      </c>
      <c r="H35" s="18">
        <v>4.3</v>
      </c>
      <c r="I35" s="18">
        <v>4.3</v>
      </c>
      <c r="J35" s="18">
        <v>4.3</v>
      </c>
      <c r="K35" s="18"/>
    </row>
    <row r="36" spans="1:11" s="2" customFormat="1" ht="15" customHeight="1">
      <c r="A36" s="12">
        <v>3</v>
      </c>
      <c r="B36" s="28" t="str">
        <f>LIDER!E53</f>
        <v>YULIANI CRESPO BAENA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4.1499999999999995</v>
      </c>
      <c r="E36" s="207"/>
      <c r="F36" s="18">
        <v>4.3</v>
      </c>
      <c r="G36" s="18">
        <v>4.3</v>
      </c>
      <c r="H36" s="18">
        <v>4.3</v>
      </c>
      <c r="I36" s="18">
        <v>4.3</v>
      </c>
      <c r="J36" s="18">
        <v>4.3</v>
      </c>
      <c r="K36" s="18"/>
    </row>
    <row r="37" spans="1:11" s="2" customFormat="1" ht="15" customHeight="1">
      <c r="A37" s="12">
        <v>4</v>
      </c>
      <c r="B37" s="28" t="str">
        <f>LIDER!E54</f>
        <v>KEINER JAVID DIAZ ALVAREZ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4.1499999999999995</v>
      </c>
      <c r="E37" s="207"/>
      <c r="F37" s="18">
        <v>4.3</v>
      </c>
      <c r="G37" s="18">
        <v>4.3</v>
      </c>
      <c r="H37" s="18">
        <v>4.3</v>
      </c>
      <c r="I37" s="18">
        <v>4.3</v>
      </c>
      <c r="J37" s="18">
        <v>4.3</v>
      </c>
      <c r="K37" s="18"/>
    </row>
    <row r="38" spans="1:11" s="2" customFormat="1" ht="15" customHeight="1">
      <c r="A38" s="12">
        <v>5</v>
      </c>
      <c r="B38" s="28" t="str">
        <f>LIDER!E55</f>
        <v>ABRAHAM DAVID RAMOS POSADA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4.1499999999999995</v>
      </c>
      <c r="E38" s="207"/>
      <c r="F38" s="18">
        <v>4.3</v>
      </c>
      <c r="G38" s="18">
        <v>4.3</v>
      </c>
      <c r="H38" s="18">
        <v>4.3</v>
      </c>
      <c r="I38" s="18">
        <v>4.3</v>
      </c>
      <c r="J38" s="18">
        <v>4.3</v>
      </c>
      <c r="K38" s="18"/>
    </row>
    <row r="39" spans="1:11" s="2" customFormat="1" ht="15.75" customHeight="1" thickBot="1">
      <c r="A39" s="13">
        <v>6</v>
      </c>
      <c r="B39" s="28" t="str">
        <f>LIDER!E56</f>
        <v>DAIRIN ROSA TORRES ALVARADO</v>
      </c>
      <c r="C39" s="33" t="str">
        <f>IF('S-ASIG-01'!D39="","",'S-ASIG-01'!D39)</f>
        <v/>
      </c>
      <c r="D39" s="30">
        <f>IF(B39=0,"",IF(C39="",$E$34*LIDER!$H$19+F39*LIDER!$H$20+G39*LIDER!$H$21+H39*LIDER!$H$22+I39*LIDER!$H$23+J39*LIDER!$H$24+K39*LIDER!$H$25,"N"))</f>
        <v>4.1499999999999995</v>
      </c>
      <c r="E39" s="207"/>
      <c r="F39" s="26">
        <v>4.3</v>
      </c>
      <c r="G39" s="26">
        <v>4.3</v>
      </c>
      <c r="H39" s="26">
        <v>4.3</v>
      </c>
      <c r="I39" s="26">
        <v>4.3</v>
      </c>
      <c r="J39" s="26">
        <v>4.3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IF('S-ASIG-01'!D40="","",'S-ASIG-01'!D40)</f>
        <v>LIST</v>
      </c>
      <c r="D40" s="35" t="s">
        <v>99</v>
      </c>
      <c r="E40" s="209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LIZ KARINE ALVAREZ MONTALVO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4.1500000000000004</v>
      </c>
      <c r="E41" s="207">
        <v>4.3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CLAUDIA CAROLINA CAMACHO ALVEAR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4.1500000000000004</v>
      </c>
      <c r="E42" s="207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LEDYS CAROLINA HERNANDEZ LEAL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4.1500000000000004</v>
      </c>
      <c r="E43" s="207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JUAN JOSE RICO MANJARRES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4.1500000000000004</v>
      </c>
      <c r="E44" s="207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JHOINER SMIT RIVERA JULIO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4.1500000000000004</v>
      </c>
      <c r="E45" s="207"/>
      <c r="F45" s="18">
        <v>4</v>
      </c>
      <c r="G45" s="18">
        <v>4</v>
      </c>
      <c r="H45" s="18">
        <v>4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7"/>
      <c r="F46" s="26">
        <v>4</v>
      </c>
      <c r="G46" s="26">
        <v>4</v>
      </c>
      <c r="H46" s="26">
        <v>4</v>
      </c>
      <c r="I46" s="26">
        <v>4</v>
      </c>
      <c r="J46" s="26">
        <v>4</v>
      </c>
      <c r="K46" s="26"/>
    </row>
    <row r="47" spans="1:11" s="2" customFormat="1" ht="15.75" customHeight="1" thickBot="1">
      <c r="A47" s="14"/>
      <c r="B47" s="27" t="s">
        <v>84</v>
      </c>
      <c r="C47" s="32" t="str">
        <f>IF('S-ASIG-01'!D47="","",'S-ASIG-01'!D47)</f>
        <v>LIST</v>
      </c>
      <c r="D47" s="35" t="s">
        <v>99</v>
      </c>
      <c r="E47" s="209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ANGEL YESID GOMEZ CARDONA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0</v>
      </c>
      <c r="E48" s="20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IF('S-ASIG-01'!D54="","",'S-ASIG-01'!D54)</f>
        <v>LIST</v>
      </c>
      <c r="D54" s="35" t="s">
        <v>99</v>
      </c>
      <c r="E54" s="209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IF('S-ASIG-01'!D61="","",'S-ASIG-01'!D61)</f>
        <v>LIST</v>
      </c>
      <c r="D61" s="35" t="s">
        <v>99</v>
      </c>
      <c r="E61" s="209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IF('S-ASIG-01'!D68="","",'S-ASIG-01'!D68)</f>
        <v>LIST</v>
      </c>
      <c r="D68" s="35" t="s">
        <v>99</v>
      </c>
      <c r="E68" s="209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IF('S-ASIG-01'!D75="","",'S-ASIG-01'!D75)</f>
        <v>LIST</v>
      </c>
      <c r="D75" s="35" t="s">
        <v>99</v>
      </c>
      <c r="E75" s="209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IF('S-ASIG-01'!D82="","",'S-ASIG-01'!D82)</f>
        <v>LIST</v>
      </c>
      <c r="D82" s="35" t="s">
        <v>99</v>
      </c>
      <c r="E82" s="209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sUkS9dfIKnF2Qh6XtcKldxBXOSJIuuk8lccV6owogtigLkcnWyF/FBkMsi9Uo4esdeS3v3npUJwO/SS77Z4OIA==" saltValue="7r+3IE/jmjn2y/F3IJ7wjA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75" zoomScaleNormal="75" workbookViewId="0">
      <pane xSplit="4" ySplit="3" topLeftCell="E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LIDER!D4</f>
        <v>COMUNICACION ORAL Y ESCRITA</v>
      </c>
      <c r="C2" s="3"/>
      <c r="E2" s="148" t="s">
        <v>95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CONCATENATE(LIDER!D4," - ",LIDER!D6," - ",LIDER!D5)</f>
        <v>COMUNICACION ORAL Y ESCRITA - 3636 - BLANCA FLOREZ TABORDA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72</v>
      </c>
      <c r="C5" s="34" t="str">
        <f>IF('S-ASIG-02'!D5="","",'S-ASIG-02'!D5)</f>
        <v>LIST</v>
      </c>
      <c r="D5" s="35" t="s">
        <v>99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LUISFER BELEÑO ZUÑIGA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ANDERSON CARMONA CASTILLA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LIZCONY FERIA MIER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SOFIA ISABEL GOMEZ NIÑO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DUVAN YAIR JIMENEZ CASTAÑO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JAVIER ALEXANDER PERAZA PALACIOS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0</v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IF('S-ASIG-02'!D12="","",'S-ASIG-02'!D12)</f>
        <v>LIST</v>
      </c>
      <c r="D12" s="35" t="s">
        <v>99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DAYANA MISHELL GALVIS VIELLAR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DIANA CAROLINA VILLARREAL RAMOS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IF('S-ASIG-02'!D15="","",'S-ASIG-02'!D15)</f>
        <v/>
      </c>
      <c r="D15" s="30" t="str">
        <f>IF(B15=0,"",IF(C15="",$E$13*LIDER!$H$19+F15*LIDER!$H$20+G15*LIDER!$H$21+H15*LIDER!$H$22+I15*LIDER!$H$23+J15*LIDER!$H$24+K15*LIDER!$H$25,"N"))</f>
        <v/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IF('S-ASIG-02'!D16="","",'S-ASIG-02'!D16)</f>
        <v/>
      </c>
      <c r="D16" s="30" t="str">
        <f>IF(B16=0,"",IF(C16="",$E$13*LIDER!$H$19+F16*LIDER!$H$20+G16*LIDER!$H$21+H16*LIDER!$H$22+I16*LIDER!$H$23+J16*LIDER!$H$24+K16*LIDER!$H$25,"N"))</f>
        <v/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IF('S-ASIG-02'!D19="","",'S-ASIG-02'!D19)</f>
        <v>LIST</v>
      </c>
      <c r="D19" s="35" t="s">
        <v>99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NEVIS YULIETH ARROYO MARTINEZ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JARAH LUCIA CUETO FLOREZ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ISAMAR DE AVILA SANDOVAL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KATHERIN LISETH MARTINEZ MARRUGO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ESTEFANIA PATRICIA OSORIO HERRERA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JUAN CAMILO SEPULVEDA PADILLA</v>
      </c>
      <c r="C25" s="33" t="str">
        <f>IF('S-ASIG-02'!D25="","",'S-ASIG-02'!D25)</f>
        <v/>
      </c>
      <c r="D25" s="30">
        <f>IF(B25=0,"",IF(C25="",$E$20*LIDER!$H$19+F25*LIDER!$H$20+G25*LIDER!$H$21+H25*LIDER!$H$22+I25*LIDER!$H$23+J25*LIDER!$H$24+K25*LIDER!$H$25,"N"))</f>
        <v>0</v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IF('S-ASIG-02'!D26="","",'S-ASIG-02'!D26)</f>
        <v>LIST</v>
      </c>
      <c r="D26" s="35" t="s">
        <v>99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MARIANA SOFIA BUELVAS GUZMAN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ERICK FABIAN CASTELLON MARTINEZ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VALERIA FIGUEROA CUETO</v>
      </c>
      <c r="C32" s="33" t="str">
        <f>IF('S-ASIG-02'!D32="","",'S-ASIG-02'!D32)</f>
        <v/>
      </c>
      <c r="D32" s="30">
        <f>IF(B32=0,"",IF(C32="",$E$27*LIDER!$H$19+F32*LIDER!$H$20+G32*LIDER!$H$21+H32*LIDER!$H$22+I32*LIDER!$H$23+J32*LIDER!$H$24+K32*LIDER!$H$25,"N"))</f>
        <v>0</v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IF('S-ASIG-02'!D33="","",'S-ASIG-02'!D33)</f>
        <v>LIST</v>
      </c>
      <c r="D33" s="35" t="s">
        <v>99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NIYELI ALEJANDRA ARISTIZABAL CARMONA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OSCAR ANDRES BORRE VASQUEZ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YULIANI CRESPO BAENA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KEINER JAVID DIAZ ALVAREZ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ABRAHAM DAVID RAMOS POSADA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DAIRIN ROSA TORRES ALVARADO</v>
      </c>
      <c r="C39" s="33" t="str">
        <f>IF('S-ASIG-02'!D39="","",'S-ASIG-02'!D39)</f>
        <v/>
      </c>
      <c r="D39" s="30">
        <f>IF(B39=0,"",IF(C39="",$E$34*LIDER!$H$19+F39*LIDER!$H$20+G39*LIDER!$H$21+H39*LIDER!$H$22+I39*LIDER!$H$23+J39*LIDER!$H$24+K39*LIDER!$H$25,"N"))</f>
        <v>0</v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IF('S-ASIG-02'!D40="","",'S-ASIG-02'!D40)</f>
        <v>LIST</v>
      </c>
      <c r="D40" s="35" t="s">
        <v>99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LIZ KARINE ALVAREZ MONTALVO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CLAUDIA CAROLINA CAMACHO ALVEAR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LEDYS CAROLINA HERNANDEZ LEAL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JUAN JOSE RICO MANJARRES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JHOINER SMIT RIVERA JULIO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0</v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IF('S-ASIG-02'!D47="","",'S-ASIG-02'!D47)</f>
        <v>LIST</v>
      </c>
      <c r="D47" s="35" t="s">
        <v>99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ANGEL YESID GOMEZ CARDONA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IF('S-ASIG-02'!D54="","",'S-ASIG-02'!D54)</f>
        <v>LIST</v>
      </c>
      <c r="D54" s="35" t="s">
        <v>99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IF('S-ASIG-02'!D61="","",'S-ASIG-02'!D61)</f>
        <v>LIST</v>
      </c>
      <c r="D61" s="35" t="s">
        <v>99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IF('S-ASIG-02'!D68="","",'S-ASIG-02'!D68)</f>
        <v>LIST</v>
      </c>
      <c r="D68" s="35" t="s">
        <v>99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IF('S-ASIG-02'!D75="","",'S-ASIG-02'!D75)</f>
        <v>LIST</v>
      </c>
      <c r="D75" s="35" t="s">
        <v>99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IF('S-ASIG-02'!D82="","",'S-ASIG-02'!D82)</f>
        <v>LIST</v>
      </c>
      <c r="D82" s="35" t="s">
        <v>99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GhTWuEJWbLIV72kTCF6OEiFAHnU5+sDoJXVqGLU51dRgbGRjPri478W9CM2UKPEY1hsV7EC1Cn+pii6ginJIoA==" saltValue="rmCjsOPCDNqmcdIntJlHnA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tabSelected="1" zoomScale="82" zoomScaleNormal="82" workbookViewId="0">
      <pane xSplit="4" ySplit="3" topLeftCell="E18" activePane="bottomRight" state="frozen"/>
      <selection pane="bottomRight" activeCell="J20" sqref="J20:J25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LIDER!E4</f>
        <v>CULTURA Y DEPORTE</v>
      </c>
      <c r="C2" s="3"/>
      <c r="E2" s="148" t="s">
        <v>95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CONCATENATE(LIDER!E4," - ",LIDER!E6," - ",LIDER!E5)</f>
        <v>CULTURA Y DEPORTE - 3635 - LUIS FERNANDO BUSTAMANTE LAMBIS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72</v>
      </c>
      <c r="C5" s="34" t="str">
        <f>IF('S-ASIG-03'!D5="","",'S-ASIG-03'!D5)</f>
        <v>LIST</v>
      </c>
      <c r="D5" s="35" t="s">
        <v>99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LUISFER BELEÑO ZUÑIGA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</v>
      </c>
      <c r="E6" s="142">
        <v>3.8</v>
      </c>
      <c r="F6" s="24">
        <v>4.2</v>
      </c>
      <c r="G6" s="24">
        <v>4.2</v>
      </c>
      <c r="H6" s="24">
        <v>4.2</v>
      </c>
      <c r="I6" s="24">
        <v>4.2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ANDERSON CARMONA CASTILLA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</v>
      </c>
      <c r="E7" s="142"/>
      <c r="F7" s="18">
        <v>4.2</v>
      </c>
      <c r="G7" s="18">
        <v>4.2</v>
      </c>
      <c r="H7" s="18">
        <v>4.2</v>
      </c>
      <c r="I7" s="18">
        <v>4.2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>LIZCONY FERIA MIER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</v>
      </c>
      <c r="E8" s="142"/>
      <c r="F8" s="18">
        <v>4.2</v>
      </c>
      <c r="G8" s="18">
        <v>4.2</v>
      </c>
      <c r="H8" s="18">
        <v>4.2</v>
      </c>
      <c r="I8" s="18">
        <v>4.2</v>
      </c>
      <c r="J8" s="18">
        <v>4.2</v>
      </c>
      <c r="K8" s="18"/>
    </row>
    <row r="9" spans="1:11" s="2" customFormat="1" ht="15" customHeight="1">
      <c r="A9" s="12">
        <v>4</v>
      </c>
      <c r="B9" s="28" t="str">
        <f>LIDER!E46</f>
        <v>SOFIA ISABEL GOMEZ NIÑO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</v>
      </c>
      <c r="E9" s="142"/>
      <c r="F9" s="18">
        <v>4.2</v>
      </c>
      <c r="G9" s="18">
        <v>4.2</v>
      </c>
      <c r="H9" s="18">
        <v>4.2</v>
      </c>
      <c r="I9" s="18">
        <v>4.2</v>
      </c>
      <c r="J9" s="18">
        <v>4.2</v>
      </c>
      <c r="K9" s="18"/>
    </row>
    <row r="10" spans="1:11" s="2" customFormat="1" ht="15" customHeight="1">
      <c r="A10" s="12">
        <v>5</v>
      </c>
      <c r="B10" s="28" t="str">
        <f>LIDER!E47</f>
        <v>DUVAN YAIR JIMENEZ CASTAÑO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</v>
      </c>
      <c r="E10" s="142"/>
      <c r="F10" s="18">
        <v>4.2</v>
      </c>
      <c r="G10" s="18">
        <v>4.2</v>
      </c>
      <c r="H10" s="18">
        <v>4.2</v>
      </c>
      <c r="I10" s="18">
        <v>4.2</v>
      </c>
      <c r="J10" s="18">
        <v>4.2</v>
      </c>
      <c r="K10" s="18"/>
    </row>
    <row r="11" spans="1:11" s="2" customFormat="1" ht="15.75" customHeight="1" thickBot="1">
      <c r="A11" s="13">
        <v>6</v>
      </c>
      <c r="B11" s="28" t="str">
        <f>LIDER!E48</f>
        <v>JAVIER ALEXANDER PERAZA PALACIOS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4</v>
      </c>
      <c r="E11" s="142"/>
      <c r="F11" s="26">
        <v>4.2</v>
      </c>
      <c r="G11" s="26">
        <v>4.2</v>
      </c>
      <c r="H11" s="26">
        <v>4.2</v>
      </c>
      <c r="I11" s="26">
        <v>4.2</v>
      </c>
      <c r="J11" s="26">
        <v>4.2</v>
      </c>
      <c r="K11" s="26"/>
    </row>
    <row r="12" spans="1:11" s="2" customFormat="1" ht="15.75" customHeight="1" thickBot="1">
      <c r="A12" s="8"/>
      <c r="B12" s="27" t="s">
        <v>74</v>
      </c>
      <c r="C12" s="32" t="str">
        <f>IF('S-ASIG-03'!D12="","",'S-ASIG-03'!D12)</f>
        <v>LIST</v>
      </c>
      <c r="D12" s="35" t="s">
        <v>99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DAYANA MISHELL GALVIS VIELLAR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3.8</v>
      </c>
      <c r="E13" s="142">
        <v>3.8</v>
      </c>
      <c r="F13" s="24">
        <v>3.8</v>
      </c>
      <c r="G13" s="24">
        <v>3.8</v>
      </c>
      <c r="H13" s="24">
        <v>3.8</v>
      </c>
      <c r="I13" s="24">
        <v>3.8</v>
      </c>
      <c r="J13" s="24">
        <v>3.8</v>
      </c>
      <c r="K13" s="24"/>
    </row>
    <row r="14" spans="1:11" s="2" customFormat="1" ht="15" customHeight="1">
      <c r="A14" s="12">
        <v>2</v>
      </c>
      <c r="B14" s="28" t="str">
        <f>LIDER!F44</f>
        <v>DIANA CAROLINA VILLARREAL RAMOS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3.8</v>
      </c>
      <c r="E14" s="142"/>
      <c r="F14" s="18">
        <v>3.8</v>
      </c>
      <c r="G14" s="18">
        <v>3.8</v>
      </c>
      <c r="H14" s="18">
        <v>3.8</v>
      </c>
      <c r="I14" s="18">
        <v>3.8</v>
      </c>
      <c r="J14" s="18">
        <v>3.8</v>
      </c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IF('S-ASIG-03'!D15="","",'S-ASIG-03'!D15)</f>
        <v/>
      </c>
      <c r="D15" s="30" t="str">
        <f>IF(B15=0,"",IF(C15="",$E$13*LIDER!$H$19+F15*LIDER!$H$20+G15*LIDER!$H$21+H15*LIDER!$H$22+I15*LIDER!$H$23+J15*LIDER!$H$24+K15*LIDER!$H$25,"N"))</f>
        <v/>
      </c>
      <c r="E15" s="142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IF('S-ASIG-03'!D16="","",'S-ASIG-03'!D16)</f>
        <v/>
      </c>
      <c r="D16" s="30" t="str">
        <f>IF(B16=0,"",IF(C16="",$E$13*LIDER!$H$19+F16*LIDER!$H$20+G16*LIDER!$H$21+H16*LIDER!$H$22+I16*LIDER!$H$23+J16*LIDER!$H$24+K16*LIDER!$H$25,"N"))</f>
        <v/>
      </c>
      <c r="E16" s="142"/>
      <c r="F16" s="18">
        <v>3.8</v>
      </c>
      <c r="G16" s="18">
        <v>3.8</v>
      </c>
      <c r="H16" s="18">
        <v>3.8</v>
      </c>
      <c r="I16" s="18">
        <v>3.8</v>
      </c>
      <c r="J16" s="18">
        <v>3.8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>
        <v>3.8</v>
      </c>
      <c r="G17" s="18">
        <v>3.8</v>
      </c>
      <c r="H17" s="18">
        <v>3.8</v>
      </c>
      <c r="I17" s="18">
        <v>3.8</v>
      </c>
      <c r="J17" s="18">
        <v>3.8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>
        <v>3.8</v>
      </c>
      <c r="G18" s="26">
        <v>3.8</v>
      </c>
      <c r="H18" s="26">
        <v>3.8</v>
      </c>
      <c r="I18" s="26">
        <v>3.8</v>
      </c>
      <c r="J18" s="26">
        <v>3.8</v>
      </c>
      <c r="K18" s="26"/>
    </row>
    <row r="19" spans="1:11" s="2" customFormat="1" ht="15.75" customHeight="1" thickBot="1">
      <c r="A19" s="14"/>
      <c r="B19" s="27" t="s">
        <v>76</v>
      </c>
      <c r="C19" s="32" t="str">
        <f>IF('S-ASIG-03'!D19="","",'S-ASIG-03'!D19)</f>
        <v>LIST</v>
      </c>
      <c r="D19" s="35" t="s">
        <v>99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NEVIS YULIETH ARROYO MARTINEZ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4.5</v>
      </c>
      <c r="E20" s="142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JARAH LUCIA CUETO FLOREZ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4.5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ISAMAR DE AVILA SANDOVAL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KATHERIN LISETH MARTINEZ MARRUGO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ESTEFANIA PATRICIA OSORIO HERRERA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4.5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JUAN CAMILO SEPULVEDA PADILLA</v>
      </c>
      <c r="C25" s="33" t="str">
        <f>IF('S-ASIG-03'!D25="","",'S-ASIG-03'!D25)</f>
        <v/>
      </c>
      <c r="D25" s="30">
        <f>IF(B25=0,"",IF(C25="",$E$20*LIDER!$H$19+F25*LIDER!$H$20+G25*LIDER!$H$21+H25*LIDER!$H$22+I25*LIDER!$H$23+J25*LIDER!$H$24+K25*LIDER!$H$25,"N"))</f>
        <v>4.5</v>
      </c>
      <c r="E25" s="142"/>
      <c r="F25" s="26">
        <v>4.5</v>
      </c>
      <c r="G25" s="26">
        <v>4.5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78</v>
      </c>
      <c r="C26" s="32" t="str">
        <f>IF('S-ASIG-03'!D26="","",'S-ASIG-03'!D26)</f>
        <v>LIST</v>
      </c>
      <c r="D26" s="35" t="s">
        <v>99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4.2</v>
      </c>
      <c r="E27" s="142">
        <v>4.4000000000000004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4.2</v>
      </c>
      <c r="E28" s="142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MARIANA SOFIA BUELVAS GUZMAN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4.2</v>
      </c>
      <c r="E29" s="142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4.2</v>
      </c>
      <c r="E30" s="142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ERICK FABIAN CASTELLON MARTINEZ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4.2</v>
      </c>
      <c r="E31" s="142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 t="str">
        <f>LIDER!H48</f>
        <v>VALERIA FIGUEROA CUETO</v>
      </c>
      <c r="C32" s="33" t="str">
        <f>IF('S-ASIG-03'!D32="","",'S-ASIG-03'!D32)</f>
        <v/>
      </c>
      <c r="D32" s="30">
        <f>IF(B32=0,"",IF(C32="",$E$27*LIDER!$H$19+F32*LIDER!$H$20+G32*LIDER!$H$21+H32*LIDER!$H$22+I32*LIDER!$H$23+J32*LIDER!$H$24+K32*LIDER!$H$25,"N"))</f>
        <v>3.7</v>
      </c>
      <c r="E32" s="142"/>
      <c r="F32" s="26">
        <v>3</v>
      </c>
      <c r="G32" s="26">
        <v>3</v>
      </c>
      <c r="H32" s="26">
        <v>3</v>
      </c>
      <c r="I32" s="26">
        <v>3</v>
      </c>
      <c r="J32" s="26">
        <v>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IF('S-ASIG-03'!D33="","",'S-ASIG-03'!D33)</f>
        <v>LIST</v>
      </c>
      <c r="D33" s="35" t="s">
        <v>99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NIYELI ALEJANDRA ARISTIZABAL CARMONA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4.1499999999999995</v>
      </c>
      <c r="E34" s="142">
        <v>4</v>
      </c>
      <c r="F34" s="24">
        <v>4.3</v>
      </c>
      <c r="G34" s="24">
        <v>4.3</v>
      </c>
      <c r="H34" s="24">
        <v>4.3</v>
      </c>
      <c r="I34" s="24">
        <v>4.3</v>
      </c>
      <c r="J34" s="24">
        <v>4.3</v>
      </c>
      <c r="K34" s="24"/>
    </row>
    <row r="35" spans="1:11" s="2" customFormat="1" ht="15" customHeight="1">
      <c r="A35" s="12">
        <v>2</v>
      </c>
      <c r="B35" s="28" t="str">
        <f>LIDER!E52</f>
        <v>OSCAR ANDRES BORRE VASQUEZ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4.1499999999999995</v>
      </c>
      <c r="E35" s="142"/>
      <c r="F35" s="18">
        <v>4.3</v>
      </c>
      <c r="G35" s="18">
        <v>4.3</v>
      </c>
      <c r="H35" s="18">
        <v>4.3</v>
      </c>
      <c r="I35" s="18">
        <v>4.3</v>
      </c>
      <c r="J35" s="18">
        <v>4.3</v>
      </c>
      <c r="K35" s="18"/>
    </row>
    <row r="36" spans="1:11" s="2" customFormat="1" ht="15" customHeight="1">
      <c r="A36" s="12">
        <v>3</v>
      </c>
      <c r="B36" s="28" t="str">
        <f>LIDER!E53</f>
        <v>YULIANI CRESPO BAENA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4.1499999999999995</v>
      </c>
      <c r="E36" s="142"/>
      <c r="F36" s="18">
        <v>4.3</v>
      </c>
      <c r="G36" s="18">
        <v>4.3</v>
      </c>
      <c r="H36" s="18">
        <v>4.3</v>
      </c>
      <c r="I36" s="18">
        <v>4.3</v>
      </c>
      <c r="J36" s="18">
        <v>4.3</v>
      </c>
      <c r="K36" s="18"/>
    </row>
    <row r="37" spans="1:11" s="2" customFormat="1" ht="15" customHeight="1">
      <c r="A37" s="12">
        <v>4</v>
      </c>
      <c r="B37" s="28" t="str">
        <f>LIDER!E54</f>
        <v>KEINER JAVID DIAZ ALVAREZ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4.1499999999999995</v>
      </c>
      <c r="E37" s="142"/>
      <c r="F37" s="18">
        <v>4.3</v>
      </c>
      <c r="G37" s="18">
        <v>4.3</v>
      </c>
      <c r="H37" s="18">
        <v>4.3</v>
      </c>
      <c r="I37" s="18">
        <v>4.3</v>
      </c>
      <c r="J37" s="18">
        <v>4.3</v>
      </c>
      <c r="K37" s="18"/>
    </row>
    <row r="38" spans="1:11" s="2" customFormat="1" ht="15" customHeight="1">
      <c r="A38" s="12">
        <v>5</v>
      </c>
      <c r="B38" s="28" t="str">
        <f>LIDER!E55</f>
        <v>ABRAHAM DAVID RAMOS POSADA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4.1499999999999995</v>
      </c>
      <c r="E38" s="142"/>
      <c r="F38" s="18">
        <v>4.3</v>
      </c>
      <c r="G38" s="18">
        <v>4.3</v>
      </c>
      <c r="H38" s="18">
        <v>4.3</v>
      </c>
      <c r="I38" s="18">
        <v>4.3</v>
      </c>
      <c r="J38" s="18">
        <v>4.3</v>
      </c>
      <c r="K38" s="18"/>
    </row>
    <row r="39" spans="1:11" s="2" customFormat="1" ht="15.75" customHeight="1" thickBot="1">
      <c r="A39" s="13">
        <v>6</v>
      </c>
      <c r="B39" s="28" t="str">
        <f>LIDER!E56</f>
        <v>DAIRIN ROSA TORRES ALVARADO</v>
      </c>
      <c r="C39" s="33" t="str">
        <f>IF('S-ASIG-03'!D39="","",'S-ASIG-03'!D39)</f>
        <v/>
      </c>
      <c r="D39" s="30">
        <f>IF(B39=0,"",IF(C39="",$E$34*LIDER!$H$19+F39*LIDER!$H$20+G39*LIDER!$H$21+H39*LIDER!$H$22+I39*LIDER!$H$23+J39*LIDER!$H$24+K39*LIDER!$H$25,"N"))</f>
        <v>4.1499999999999995</v>
      </c>
      <c r="E39" s="142"/>
      <c r="F39" s="26">
        <v>4.3</v>
      </c>
      <c r="G39" s="26">
        <v>4.3</v>
      </c>
      <c r="H39" s="26">
        <v>4.3</v>
      </c>
      <c r="I39" s="26">
        <v>4.3</v>
      </c>
      <c r="J39" s="26">
        <v>4.3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IF('S-ASIG-03'!D40="","",'S-ASIG-03'!D40)</f>
        <v>LIST</v>
      </c>
      <c r="D40" s="35" t="s">
        <v>99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LIZ KARINE ALVAREZ MONTALVO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4.1500000000000004</v>
      </c>
      <c r="E41" s="142">
        <v>4.3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CLAUDIA CAROLINA CAMACHO ALVEAR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4.1500000000000004</v>
      </c>
      <c r="E42" s="142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LEDYS CAROLINA HERNANDEZ LEAL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4.1500000000000004</v>
      </c>
      <c r="E43" s="142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JUAN JOSE RICO MANJARRES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4.1500000000000004</v>
      </c>
      <c r="E44" s="142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JHOINER SMIT RIVERA JULIO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4.1500000000000004</v>
      </c>
      <c r="E45" s="142"/>
      <c r="F45" s="18">
        <v>4</v>
      </c>
      <c r="G45" s="18">
        <v>4</v>
      </c>
      <c r="H45" s="18">
        <v>4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>
        <v>4</v>
      </c>
      <c r="G46" s="26">
        <v>4</v>
      </c>
      <c r="H46" s="26">
        <v>4</v>
      </c>
      <c r="I46" s="26">
        <v>4</v>
      </c>
      <c r="J46" s="26">
        <v>4</v>
      </c>
      <c r="K46" s="26"/>
    </row>
    <row r="47" spans="1:11" s="2" customFormat="1" ht="15.75" customHeight="1" thickBot="1">
      <c r="A47" s="14"/>
      <c r="B47" s="27" t="s">
        <v>84</v>
      </c>
      <c r="C47" s="32" t="str">
        <f>IF('S-ASIG-03'!D47="","",'S-ASIG-03'!D47)</f>
        <v>LIST</v>
      </c>
      <c r="D47" s="35" t="s">
        <v>99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ANGEL YESID GOMEZ CARDONA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IF('S-ASIG-03'!D54="","",'S-ASIG-03'!D54)</f>
        <v>LIST</v>
      </c>
      <c r="D54" s="35" t="s">
        <v>99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IF('S-ASIG-03'!D61="","",'S-ASIG-03'!D61)</f>
        <v>LIST</v>
      </c>
      <c r="D61" s="35" t="s">
        <v>99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IF('S-ASIG-03'!D68="","",'S-ASIG-03'!D68)</f>
        <v>LIST</v>
      </c>
      <c r="D68" s="35" t="s">
        <v>99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IF('S-ASIG-03'!D75="","",'S-ASIG-03'!D75)</f>
        <v>LIST</v>
      </c>
      <c r="D75" s="35" t="s">
        <v>99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IF('S-ASIG-03'!D82="","",'S-ASIG-03'!D82)</f>
        <v>LIST</v>
      </c>
      <c r="D82" s="35" t="s">
        <v>99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86" zoomScaleNormal="86" workbookViewId="0">
      <pane xSplit="4" ySplit="3" topLeftCell="E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LIDER!F4</f>
        <v>FUNDAMENTOS DE DERECHO</v>
      </c>
      <c r="C2" s="3"/>
      <c r="E2" s="148" t="s">
        <v>95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CONCATENATE(LIDER!F4," - ",LIDER!F6," - ",LIDER!F5)</f>
        <v>FUNDAMENTOS DE DERECHO - 3640 - ARIEL HUMBERTO PUELLO OROZCO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72</v>
      </c>
      <c r="C5" s="34" t="str">
        <f>IF('S-ASIG-04'!D5="","",'S-ASIG-04'!D5)</f>
        <v>LIST</v>
      </c>
      <c r="D5" s="35" t="s">
        <v>99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LUISFER BELEÑO ZUÑIGA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ANDERSON CARMONA CASTILLA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LIZCONY FERIA MIER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SOFIA ISABEL GOMEZ NIÑO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DUVAN YAIR JIMENEZ CASTAÑO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JAVIER ALEXANDER PERAZA PALACIOS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0</v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IF('S-ASIG-04'!D12="","",'S-ASIG-04'!D12)</f>
        <v>LIST</v>
      </c>
      <c r="D12" s="35" t="s">
        <v>99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DAYANA MISHELL GALVIS VIELLAR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DIANA CAROLINA VILLARREAL RAMOS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IF('S-ASIG-04'!D15="","",'S-ASIG-04'!D15)</f>
        <v/>
      </c>
      <c r="D15" s="30" t="str">
        <f>IF(B15=0,"",IF(C15="",$E$13*LIDER!$H$19+F15*LIDER!$H$20+G15*LIDER!$H$21+H15*LIDER!$H$22+I15*LIDER!$H$23+J15*LIDER!$H$24+K15*LIDER!$H$25,"N"))</f>
        <v/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IF('S-ASIG-04'!D16="","",'S-ASIG-04'!D16)</f>
        <v/>
      </c>
      <c r="D16" s="30" t="str">
        <f>IF(B16=0,"",IF(C16="",$E$13*LIDER!$H$19+F16*LIDER!$H$20+G16*LIDER!$H$21+H16*LIDER!$H$22+I16*LIDER!$H$23+J16*LIDER!$H$24+K16*LIDER!$H$25,"N"))</f>
        <v/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IF('S-ASIG-04'!D19="","",'S-ASIG-04'!D19)</f>
        <v>LIST</v>
      </c>
      <c r="D19" s="35" t="s">
        <v>99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NEVIS YULIETH ARROYO MARTINEZ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JARAH LUCIA CUETO FLOREZ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ISAMAR DE AVILA SANDOVAL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KATHERIN LISETH MARTINEZ MARRUGO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ESTEFANIA PATRICIA OSORIO HERRERA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JUAN CAMILO SEPULVEDA PADILLA</v>
      </c>
      <c r="C25" s="33" t="str">
        <f>IF('S-ASIG-04'!D25="","",'S-ASIG-04'!D25)</f>
        <v/>
      </c>
      <c r="D25" s="30">
        <f>IF(B25=0,"",IF(C25="",$E$20*LIDER!$H$19+F25*LIDER!$H$20+G25*LIDER!$H$21+H25*LIDER!$H$22+I25*LIDER!$H$23+J25*LIDER!$H$24+K25*LIDER!$H$25,"N"))</f>
        <v>0</v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IF('S-ASIG-04'!D26="","",'S-ASIG-04'!D26)</f>
        <v>LIST</v>
      </c>
      <c r="D26" s="35" t="s">
        <v>99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MARIANA SOFIA BUELVAS GUZMAN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ERICK FABIAN CASTELLON MARTINEZ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VALERIA FIGUEROA CUETO</v>
      </c>
      <c r="C32" s="33" t="str">
        <f>IF('S-ASIG-04'!D32="","",'S-ASIG-04'!D32)</f>
        <v/>
      </c>
      <c r="D32" s="30">
        <f>IF(B32=0,"",IF(C32="",$E$27*LIDER!$H$19+F32*LIDER!$H$20+G32*LIDER!$H$21+H32*LIDER!$H$22+I32*LIDER!$H$23+J32*LIDER!$H$24+K32*LIDER!$H$25,"N"))</f>
        <v>0</v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IF('S-ASIG-04'!D33="","",'S-ASIG-04'!D33)</f>
        <v>LIST</v>
      </c>
      <c r="D33" s="35" t="s">
        <v>99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NIYELI ALEJANDRA ARISTIZABAL CARMONA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OSCAR ANDRES BORRE VASQUEZ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YULIANI CRESPO BAENA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KEINER JAVID DIAZ ALVAREZ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ABRAHAM DAVID RAMOS POSADA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DAIRIN ROSA TORRES ALVARADO</v>
      </c>
      <c r="C39" s="33" t="str">
        <f>IF('S-ASIG-04'!D39="","",'S-ASIG-04'!D39)</f>
        <v/>
      </c>
      <c r="D39" s="30">
        <f>IF(B39=0,"",IF(C39="",$E$34*LIDER!$H$19+F39*LIDER!$H$20+G39*LIDER!$H$21+H39*LIDER!$H$22+I39*LIDER!$H$23+J39*LIDER!$H$24+K39*LIDER!$H$25,"N"))</f>
        <v>0</v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IF('S-ASIG-04'!D40="","",'S-ASIG-04'!D40)</f>
        <v>LIST</v>
      </c>
      <c r="D40" s="35" t="s">
        <v>99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LIZ KARINE ALVAREZ MONTALVO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CLAUDIA CAROLINA CAMACHO ALVEAR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LEDYS CAROLINA HERNANDEZ LEAL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JUAN JOSE RICO MANJARRES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JHOINER SMIT RIVERA JULIO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0</v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IF('S-ASIG-04'!D47="","",'S-ASIG-04'!D47)</f>
        <v>LIST</v>
      </c>
      <c r="D47" s="35" t="s">
        <v>99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ANGEL YESID GOMEZ CARDONA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IF('S-ASIG-04'!D54="","",'S-ASIG-04'!D54)</f>
        <v>LIST</v>
      </c>
      <c r="D54" s="35" t="s">
        <v>99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IF('S-ASIG-04'!D61="","",'S-ASIG-04'!D61)</f>
        <v>LIST</v>
      </c>
      <c r="D61" s="35" t="s">
        <v>99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IF('S-ASIG-04'!D68="","",'S-ASIG-04'!D68)</f>
        <v>LIST</v>
      </c>
      <c r="D68" s="35" t="s">
        <v>99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IF('S-ASIG-04'!D75="","",'S-ASIG-04'!D75)</f>
        <v>LIST</v>
      </c>
      <c r="D75" s="35" t="s">
        <v>99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IF('S-ASIG-04'!D82="","",'S-ASIG-04'!D82)</f>
        <v>LIST</v>
      </c>
      <c r="D82" s="35" t="s">
        <v>99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91" zoomScaleNormal="91" workbookViewId="0">
      <pane xSplit="4" ySplit="3" topLeftCell="F4" activePane="bottomRight" state="frozen"/>
      <selection pane="bottomRight" activeCell="J20" sqref="J20:J25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LIDER!G4</f>
        <v>FUNDAMENTOS ADMINISTRACIÓN</v>
      </c>
      <c r="C2" s="3"/>
      <c r="E2" s="148" t="s">
        <v>95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CONCATENATE(LIDER!G4," - ",LIDER!G6," - ",LIDER!G5)</f>
        <v>FUNDAMENTOS ADMINISTRACIÓN - 3706 - JAMES MAURICIO PEREZ FLOREZ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72</v>
      </c>
      <c r="C5" s="34" t="str">
        <f>IF('S-ASIG-05'!D5="","",'S-ASIG-05'!D5)</f>
        <v>LIST</v>
      </c>
      <c r="D5" s="35" t="s">
        <v>99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LUISFER BELEÑO ZUÑIGA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</v>
      </c>
      <c r="E6" s="142">
        <v>3.8</v>
      </c>
      <c r="F6" s="24">
        <v>4.2</v>
      </c>
      <c r="G6" s="24">
        <v>4.2</v>
      </c>
      <c r="H6" s="24">
        <v>4.2</v>
      </c>
      <c r="I6" s="24">
        <v>4.2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ANDERSON CARMONA CASTILLA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</v>
      </c>
      <c r="E7" s="142"/>
      <c r="F7" s="18">
        <v>4.2</v>
      </c>
      <c r="G7" s="18">
        <v>4.2</v>
      </c>
      <c r="H7" s="18">
        <v>4.2</v>
      </c>
      <c r="I7" s="18">
        <v>4.2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>LIZCONY FERIA MIER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</v>
      </c>
      <c r="E8" s="142"/>
      <c r="F8" s="18">
        <v>4.2</v>
      </c>
      <c r="G8" s="18">
        <v>4.2</v>
      </c>
      <c r="H8" s="18">
        <v>4.2</v>
      </c>
      <c r="I8" s="18">
        <v>4.2</v>
      </c>
      <c r="J8" s="18">
        <v>4.2</v>
      </c>
      <c r="K8" s="18"/>
    </row>
    <row r="9" spans="1:11" s="2" customFormat="1" ht="15" customHeight="1">
      <c r="A9" s="12">
        <v>4</v>
      </c>
      <c r="B9" s="28" t="str">
        <f>LIDER!E46</f>
        <v>SOFIA ISABEL GOMEZ NIÑO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</v>
      </c>
      <c r="E9" s="142"/>
      <c r="F9" s="18">
        <v>4.2</v>
      </c>
      <c r="G9" s="18">
        <v>4.2</v>
      </c>
      <c r="H9" s="18">
        <v>4.2</v>
      </c>
      <c r="I9" s="18">
        <v>4.2</v>
      </c>
      <c r="J9" s="18">
        <v>4.2</v>
      </c>
      <c r="K9" s="18"/>
    </row>
    <row r="10" spans="1:11" s="2" customFormat="1" ht="15" customHeight="1">
      <c r="A10" s="12">
        <v>5</v>
      </c>
      <c r="B10" s="28" t="str">
        <f>LIDER!E47</f>
        <v>DUVAN YAIR JIMENEZ CASTAÑO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</v>
      </c>
      <c r="E10" s="142"/>
      <c r="F10" s="18">
        <v>4.2</v>
      </c>
      <c r="G10" s="18">
        <v>4.2</v>
      </c>
      <c r="H10" s="18">
        <v>4.2</v>
      </c>
      <c r="I10" s="18">
        <v>4.2</v>
      </c>
      <c r="J10" s="18">
        <v>4.2</v>
      </c>
      <c r="K10" s="18"/>
    </row>
    <row r="11" spans="1:11" s="2" customFormat="1" ht="15.75" customHeight="1" thickBot="1">
      <c r="A11" s="13">
        <v>6</v>
      </c>
      <c r="B11" s="28" t="str">
        <f>LIDER!E48</f>
        <v>JAVIER ALEXANDER PERAZA PALACIOS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4</v>
      </c>
      <c r="E11" s="142"/>
      <c r="F11" s="26">
        <v>4.2</v>
      </c>
      <c r="G11" s="26">
        <v>4.2</v>
      </c>
      <c r="H11" s="26">
        <v>4.2</v>
      </c>
      <c r="I11" s="26">
        <v>4.2</v>
      </c>
      <c r="J11" s="26">
        <v>4.2</v>
      </c>
      <c r="K11" s="26"/>
    </row>
    <row r="12" spans="1:11" s="2" customFormat="1" ht="15.75" customHeight="1" thickBot="1">
      <c r="A12" s="8"/>
      <c r="B12" s="27" t="s">
        <v>74</v>
      </c>
      <c r="C12" s="32" t="str">
        <f>IF('S-ASIG-05'!D12="","",'S-ASIG-05'!D12)</f>
        <v>LIST</v>
      </c>
      <c r="D12" s="35" t="s">
        <v>99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DAYANA MISHELL GALVIS VIELLAR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3.8</v>
      </c>
      <c r="E13" s="142">
        <v>3.8</v>
      </c>
      <c r="F13" s="24">
        <v>3.8</v>
      </c>
      <c r="G13" s="24">
        <v>3.8</v>
      </c>
      <c r="H13" s="24">
        <v>3.8</v>
      </c>
      <c r="I13" s="24">
        <v>3.8</v>
      </c>
      <c r="J13" s="24">
        <v>3.8</v>
      </c>
      <c r="K13" s="24"/>
    </row>
    <row r="14" spans="1:11" s="2" customFormat="1" ht="15" customHeight="1">
      <c r="A14" s="12">
        <v>2</v>
      </c>
      <c r="B14" s="28" t="str">
        <f>LIDER!F44</f>
        <v>DIANA CAROLINA VILLARREAL RAMOS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3.8</v>
      </c>
      <c r="E14" s="142"/>
      <c r="F14" s="18">
        <v>3.8</v>
      </c>
      <c r="G14" s="18">
        <v>3.8</v>
      </c>
      <c r="H14" s="18">
        <v>3.8</v>
      </c>
      <c r="I14" s="18">
        <v>3.8</v>
      </c>
      <c r="J14" s="18">
        <v>3.8</v>
      </c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IF('S-ASIG-05'!D15="","",'S-ASIG-05'!D15)</f>
        <v/>
      </c>
      <c r="D15" s="30" t="str">
        <f>IF(B15=0,"",IF(C15="",$E$13*LIDER!$H$19+F15*LIDER!$H$20+G15*LIDER!$H$21+H15*LIDER!$H$22+I15*LIDER!$H$23+J15*LIDER!$H$24+K15*LIDER!$H$25,"N"))</f>
        <v/>
      </c>
      <c r="E15" s="142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IF('S-ASIG-05'!D16="","",'S-ASIG-05'!D16)</f>
        <v/>
      </c>
      <c r="D16" s="30" t="str">
        <f>IF(B16=0,"",IF(C16="",$E$13*LIDER!$H$19+F16*LIDER!$H$20+G16*LIDER!$H$21+H16*LIDER!$H$22+I16*LIDER!$H$23+J16*LIDER!$H$24+K16*LIDER!$H$25,"N"))</f>
        <v/>
      </c>
      <c r="E16" s="142"/>
      <c r="F16" s="18">
        <v>3.8</v>
      </c>
      <c r="G16" s="18">
        <v>3.8</v>
      </c>
      <c r="H16" s="18">
        <v>3.8</v>
      </c>
      <c r="I16" s="18">
        <v>3.8</v>
      </c>
      <c r="J16" s="18">
        <v>3.8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>
        <v>3.8</v>
      </c>
      <c r="G17" s="18">
        <v>3.8</v>
      </c>
      <c r="H17" s="18">
        <v>3.8</v>
      </c>
      <c r="I17" s="18">
        <v>3.8</v>
      </c>
      <c r="J17" s="18">
        <v>3.8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>
        <v>3.8</v>
      </c>
      <c r="G18" s="26">
        <v>3.8</v>
      </c>
      <c r="H18" s="26">
        <v>3.8</v>
      </c>
      <c r="I18" s="26">
        <v>3.8</v>
      </c>
      <c r="J18" s="26">
        <v>3.8</v>
      </c>
      <c r="K18" s="26"/>
    </row>
    <row r="19" spans="1:11" s="2" customFormat="1" ht="15.75" customHeight="1" thickBot="1">
      <c r="A19" s="14"/>
      <c r="B19" s="27" t="s">
        <v>76</v>
      </c>
      <c r="C19" s="32" t="str">
        <f>IF('S-ASIG-05'!D19="","",'S-ASIG-05'!D19)</f>
        <v>LIST</v>
      </c>
      <c r="D19" s="35" t="s">
        <v>99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NEVIS YULIETH ARROYO MARTINEZ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4.3500000000000005</v>
      </c>
      <c r="E20" s="142">
        <v>4.2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JARAH LUCIA CUETO FLOREZ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4.3500000000000005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ISAMAR DE AVILA SANDOVAL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4.3500000000000005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KATHERIN LISETH MARTINEZ MARRUGO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4.3500000000000005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ESTEFANIA PATRICIA OSORIO HERRERA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4.3500000000000005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JUAN CAMILO SEPULVEDA PADILLA</v>
      </c>
      <c r="C25" s="33" t="str">
        <f>IF('S-ASIG-05'!D25="","",'S-ASIG-05'!D25)</f>
        <v/>
      </c>
      <c r="D25" s="30">
        <f>IF(B25=0,"",IF(C25="",$E$20*LIDER!$H$19+F25*LIDER!$H$20+G25*LIDER!$H$21+H25*LIDER!$H$22+I25*LIDER!$H$23+J25*LIDER!$H$24+K25*LIDER!$H$25,"N"))</f>
        <v>4.3500000000000005</v>
      </c>
      <c r="E25" s="142"/>
      <c r="F25" s="26">
        <v>4.5</v>
      </c>
      <c r="G25" s="26">
        <v>4.5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78</v>
      </c>
      <c r="C26" s="32" t="str">
        <f>IF('S-ASIG-05'!D26="","",'S-ASIG-05'!D26)</f>
        <v>LIST</v>
      </c>
      <c r="D26" s="35" t="s">
        <v>99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4.2</v>
      </c>
      <c r="E27" s="142">
        <v>4.4000000000000004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4.2</v>
      </c>
      <c r="E28" s="142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MARIANA SOFIA BUELVAS GUZMAN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4.2</v>
      </c>
      <c r="E29" s="142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4.2</v>
      </c>
      <c r="E30" s="142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ERICK FABIAN CASTELLON MARTINEZ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4.2</v>
      </c>
      <c r="E31" s="142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 t="str">
        <f>LIDER!H48</f>
        <v>VALERIA FIGUEROA CUETO</v>
      </c>
      <c r="C32" s="33" t="str">
        <f>IF('S-ASIG-05'!D32="","",'S-ASIG-05'!D32)</f>
        <v/>
      </c>
      <c r="D32" s="30">
        <f>IF(B32=0,"",IF(C32="",$E$27*LIDER!$H$19+F32*LIDER!$H$20+G32*LIDER!$H$21+H32*LIDER!$H$22+I32*LIDER!$H$23+J32*LIDER!$H$24+K32*LIDER!$H$25,"N"))</f>
        <v>3.7</v>
      </c>
      <c r="E32" s="142"/>
      <c r="F32" s="26">
        <v>3</v>
      </c>
      <c r="G32" s="26">
        <v>3</v>
      </c>
      <c r="H32" s="26">
        <v>3</v>
      </c>
      <c r="I32" s="26">
        <v>3</v>
      </c>
      <c r="J32" s="26">
        <v>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IF('S-ASIG-05'!D33="","",'S-ASIG-05'!D33)</f>
        <v>LIST</v>
      </c>
      <c r="D33" s="35" t="s">
        <v>99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NIYELI ALEJANDRA ARISTIZABAL CARMONA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4.1499999999999995</v>
      </c>
      <c r="E34" s="142">
        <v>4</v>
      </c>
      <c r="F34" s="24">
        <v>4.3</v>
      </c>
      <c r="G34" s="24">
        <v>4.3</v>
      </c>
      <c r="H34" s="24">
        <v>4.3</v>
      </c>
      <c r="I34" s="24">
        <v>4.3</v>
      </c>
      <c r="J34" s="24">
        <v>4.3</v>
      </c>
      <c r="K34" s="24"/>
    </row>
    <row r="35" spans="1:11" s="2" customFormat="1" ht="15" customHeight="1">
      <c r="A35" s="12">
        <v>2</v>
      </c>
      <c r="B35" s="28" t="str">
        <f>LIDER!E52</f>
        <v>OSCAR ANDRES BORRE VASQUEZ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4.1499999999999995</v>
      </c>
      <c r="E35" s="142"/>
      <c r="F35" s="18">
        <v>4.3</v>
      </c>
      <c r="G35" s="18">
        <v>4.3</v>
      </c>
      <c r="H35" s="18">
        <v>4.3</v>
      </c>
      <c r="I35" s="18">
        <v>4.3</v>
      </c>
      <c r="J35" s="18">
        <v>4.3</v>
      </c>
      <c r="K35" s="18"/>
    </row>
    <row r="36" spans="1:11" s="2" customFormat="1" ht="15" customHeight="1">
      <c r="A36" s="12">
        <v>3</v>
      </c>
      <c r="B36" s="28" t="str">
        <f>LIDER!E53</f>
        <v>YULIANI CRESPO BAENA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4.1499999999999995</v>
      </c>
      <c r="E36" s="142"/>
      <c r="F36" s="18">
        <v>4.3</v>
      </c>
      <c r="G36" s="18">
        <v>4.3</v>
      </c>
      <c r="H36" s="18">
        <v>4.3</v>
      </c>
      <c r="I36" s="18">
        <v>4.3</v>
      </c>
      <c r="J36" s="18">
        <v>4.3</v>
      </c>
      <c r="K36" s="18"/>
    </row>
    <row r="37" spans="1:11" s="2" customFormat="1" ht="15" customHeight="1">
      <c r="A37" s="12">
        <v>4</v>
      </c>
      <c r="B37" s="28" t="str">
        <f>LIDER!E54</f>
        <v>KEINER JAVID DIAZ ALVAREZ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4.1499999999999995</v>
      </c>
      <c r="E37" s="142"/>
      <c r="F37" s="18">
        <v>4.3</v>
      </c>
      <c r="G37" s="18">
        <v>4.3</v>
      </c>
      <c r="H37" s="18">
        <v>4.3</v>
      </c>
      <c r="I37" s="18">
        <v>4.3</v>
      </c>
      <c r="J37" s="18">
        <v>4.3</v>
      </c>
      <c r="K37" s="18"/>
    </row>
    <row r="38" spans="1:11" s="2" customFormat="1" ht="15" customHeight="1">
      <c r="A38" s="12">
        <v>5</v>
      </c>
      <c r="B38" s="28" t="str">
        <f>LIDER!E55</f>
        <v>ABRAHAM DAVID RAMOS POSADA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4.1499999999999995</v>
      </c>
      <c r="E38" s="142"/>
      <c r="F38" s="18">
        <v>4.3</v>
      </c>
      <c r="G38" s="18">
        <v>4.3</v>
      </c>
      <c r="H38" s="18">
        <v>4.3</v>
      </c>
      <c r="I38" s="18">
        <v>4.3</v>
      </c>
      <c r="J38" s="18">
        <v>4.3</v>
      </c>
      <c r="K38" s="18"/>
    </row>
    <row r="39" spans="1:11" s="2" customFormat="1" ht="15.75" customHeight="1" thickBot="1">
      <c r="A39" s="13">
        <v>6</v>
      </c>
      <c r="B39" s="28" t="str">
        <f>LIDER!E56</f>
        <v>DAIRIN ROSA TORRES ALVARADO</v>
      </c>
      <c r="C39" s="33" t="str">
        <f>IF('S-ASIG-05'!D39="","",'S-ASIG-05'!D39)</f>
        <v/>
      </c>
      <c r="D39" s="30">
        <f>IF(B39=0,"",IF(C39="",$E$34*LIDER!$H$19+F39*LIDER!$H$20+G39*LIDER!$H$21+H39*LIDER!$H$22+I39*LIDER!$H$23+J39*LIDER!$H$24+K39*LIDER!$H$25,"N"))</f>
        <v>4.1499999999999995</v>
      </c>
      <c r="E39" s="142"/>
      <c r="F39" s="26">
        <v>4.3</v>
      </c>
      <c r="G39" s="26">
        <v>4.3</v>
      </c>
      <c r="H39" s="26">
        <v>4.3</v>
      </c>
      <c r="I39" s="26">
        <v>4.3</v>
      </c>
      <c r="J39" s="26">
        <v>4.3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IF('S-ASIG-05'!D40="","",'S-ASIG-05'!D40)</f>
        <v>LIST</v>
      </c>
      <c r="D40" s="35" t="s">
        <v>99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LIZ KARINE ALVAREZ MONTALVO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4.1500000000000004</v>
      </c>
      <c r="E41" s="142">
        <v>4.3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CLAUDIA CAROLINA CAMACHO ALVEAR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4.1500000000000004</v>
      </c>
      <c r="E42" s="142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LEDYS CAROLINA HERNANDEZ LEAL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4.1500000000000004</v>
      </c>
      <c r="E43" s="142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JUAN JOSE RICO MANJARRES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4.1500000000000004</v>
      </c>
      <c r="E44" s="142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JHOINER SMIT RIVERA JULIO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4.1500000000000004</v>
      </c>
      <c r="E45" s="142"/>
      <c r="F45" s="18">
        <v>4</v>
      </c>
      <c r="G45" s="18">
        <v>4</v>
      </c>
      <c r="H45" s="18">
        <v>4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>
        <v>4</v>
      </c>
      <c r="G46" s="26">
        <v>4</v>
      </c>
      <c r="H46" s="26">
        <v>4</v>
      </c>
      <c r="I46" s="26">
        <v>4</v>
      </c>
      <c r="J46" s="26">
        <v>4</v>
      </c>
      <c r="K46" s="26"/>
    </row>
    <row r="47" spans="1:11" s="2" customFormat="1" ht="15.75" customHeight="1" thickBot="1">
      <c r="A47" s="14"/>
      <c r="B47" s="27" t="s">
        <v>84</v>
      </c>
      <c r="C47" s="32" t="str">
        <f>IF('S-ASIG-05'!D47="","",'S-ASIG-05'!D47)</f>
        <v>LIST</v>
      </c>
      <c r="D47" s="35" t="s">
        <v>99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ANGEL YESID GOMEZ CARDONA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IF('S-ASIG-05'!D54="","",'S-ASIG-05'!D54)</f>
        <v>LIST</v>
      </c>
      <c r="D54" s="35" t="s">
        <v>99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IF('S-ASIG-05'!D61="","",'S-ASIG-05'!D61)</f>
        <v>LIST</v>
      </c>
      <c r="D61" s="35" t="s">
        <v>99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IF('S-ASIG-05'!D68="","",'S-ASIG-05'!D68)</f>
        <v>LIST</v>
      </c>
      <c r="D68" s="35" t="s">
        <v>99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IF('S-ASIG-05'!D75="","",'S-ASIG-05'!D75)</f>
        <v>LIST</v>
      </c>
      <c r="D75" s="35" t="s">
        <v>99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IF('S-ASIG-05'!D82="","",'S-ASIG-05'!D82)</f>
        <v>LIST</v>
      </c>
      <c r="D82" s="35" t="s">
        <v>99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84" zoomScaleNormal="84" workbookViewId="0">
      <pane xSplit="4" ySplit="3" topLeftCell="F6" activePane="bottomRight" state="frozen"/>
      <selection pane="bottomRight" activeCell="M3" sqref="M3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LIDER!H4</f>
        <v>PROYECTO DE VIDA</v>
      </c>
      <c r="C2" s="3"/>
      <c r="E2" s="148" t="s">
        <v>95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CONCATENATE(LIDER!H4," - ",LIDER!H6," - ",LIDER!H5)</f>
        <v>PROYECTO DE VIDA - 3637 - NATALI ÁLVAREZ ATEHORTUA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72</v>
      </c>
      <c r="C5" s="34" t="str">
        <f>IF('S-ASIG-06'!D5="","",'S-ASIG-06'!D5)</f>
        <v>LIST</v>
      </c>
      <c r="D5" s="35" t="s">
        <v>99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LUISFER BELEÑO ZUÑIGA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4</v>
      </c>
      <c r="E6" s="142">
        <v>3.8</v>
      </c>
      <c r="F6" s="24">
        <v>4.2</v>
      </c>
      <c r="G6" s="24">
        <v>4.2</v>
      </c>
      <c r="H6" s="24">
        <v>4.2</v>
      </c>
      <c r="I6" s="24">
        <v>4.2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ANDERSON CARMONA CASTILLA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</v>
      </c>
      <c r="E7" s="142"/>
      <c r="F7" s="18">
        <v>4.2</v>
      </c>
      <c r="G7" s="18">
        <v>4.2</v>
      </c>
      <c r="H7" s="18">
        <v>4.2</v>
      </c>
      <c r="I7" s="18">
        <v>4.2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>LIZCONY FERIA MIER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</v>
      </c>
      <c r="E8" s="142"/>
      <c r="F8" s="18">
        <v>4.2</v>
      </c>
      <c r="G8" s="18">
        <v>4.2</v>
      </c>
      <c r="H8" s="18">
        <v>4.2</v>
      </c>
      <c r="I8" s="18">
        <v>4.2</v>
      </c>
      <c r="J8" s="18">
        <v>4.2</v>
      </c>
      <c r="K8" s="18"/>
    </row>
    <row r="9" spans="1:11" s="2" customFormat="1" ht="15" customHeight="1">
      <c r="A9" s="12">
        <v>4</v>
      </c>
      <c r="B9" s="28" t="str">
        <f>LIDER!E46</f>
        <v>SOFIA ISABEL GOMEZ NIÑO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4</v>
      </c>
      <c r="E9" s="142"/>
      <c r="F9" s="18">
        <v>4.2</v>
      </c>
      <c r="G9" s="18">
        <v>4.2</v>
      </c>
      <c r="H9" s="18">
        <v>4.2</v>
      </c>
      <c r="I9" s="18">
        <v>4.2</v>
      </c>
      <c r="J9" s="18">
        <v>4.2</v>
      </c>
      <c r="K9" s="18"/>
    </row>
    <row r="10" spans="1:11" s="2" customFormat="1" ht="15" customHeight="1">
      <c r="A10" s="12">
        <v>5</v>
      </c>
      <c r="B10" s="28" t="str">
        <f>LIDER!E47</f>
        <v>DUVAN YAIR JIMENEZ CASTAÑO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4</v>
      </c>
      <c r="E10" s="142"/>
      <c r="F10" s="18">
        <v>4.2</v>
      </c>
      <c r="G10" s="18">
        <v>4.2</v>
      </c>
      <c r="H10" s="18">
        <v>4.2</v>
      </c>
      <c r="I10" s="18">
        <v>4.2</v>
      </c>
      <c r="J10" s="18">
        <v>4.2</v>
      </c>
      <c r="K10" s="18"/>
    </row>
    <row r="11" spans="1:11" s="2" customFormat="1" ht="15.75" customHeight="1" thickBot="1">
      <c r="A11" s="13">
        <v>6</v>
      </c>
      <c r="B11" s="28" t="str">
        <f>LIDER!E48</f>
        <v>JAVIER ALEXANDER PERAZA PALACIOS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4</v>
      </c>
      <c r="E11" s="142"/>
      <c r="F11" s="26">
        <v>4.2</v>
      </c>
      <c r="G11" s="26">
        <v>4.2</v>
      </c>
      <c r="H11" s="26">
        <v>4.2</v>
      </c>
      <c r="I11" s="26">
        <v>4.2</v>
      </c>
      <c r="J11" s="26">
        <v>4.2</v>
      </c>
      <c r="K11" s="26"/>
    </row>
    <row r="12" spans="1:11" s="2" customFormat="1" ht="15.75" customHeight="1" thickBot="1">
      <c r="A12" s="8"/>
      <c r="B12" s="27" t="s">
        <v>74</v>
      </c>
      <c r="C12" s="32" t="str">
        <f>IF('S-ASIG-06'!D12="","",'S-ASIG-06'!D12)</f>
        <v>LIST</v>
      </c>
      <c r="D12" s="35" t="s">
        <v>99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DAYANA MISHELL GALVIS VIELLAR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3.8</v>
      </c>
      <c r="E13" s="142">
        <v>3.8</v>
      </c>
      <c r="F13" s="24">
        <v>3.8</v>
      </c>
      <c r="G13" s="24">
        <v>3.8</v>
      </c>
      <c r="H13" s="24">
        <v>3.8</v>
      </c>
      <c r="I13" s="24">
        <v>3.8</v>
      </c>
      <c r="J13" s="24">
        <v>3.8</v>
      </c>
      <c r="K13" s="24"/>
    </row>
    <row r="14" spans="1:11" s="2" customFormat="1" ht="15" customHeight="1">
      <c r="A14" s="12">
        <v>2</v>
      </c>
      <c r="B14" s="28" t="str">
        <f>LIDER!F44</f>
        <v>DIANA CAROLINA VILLARREAL RAMOS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3.8</v>
      </c>
      <c r="E14" s="142"/>
      <c r="F14" s="18">
        <v>3.8</v>
      </c>
      <c r="G14" s="18">
        <v>3.8</v>
      </c>
      <c r="H14" s="18">
        <v>3.8</v>
      </c>
      <c r="I14" s="18">
        <v>3.8</v>
      </c>
      <c r="J14" s="18">
        <v>3.8</v>
      </c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IF('S-ASIG-06'!D15="","",'S-ASIG-06'!D15)</f>
        <v/>
      </c>
      <c r="D15" s="30" t="str">
        <f>IF(B15=0,"",IF(C15="",$E$13*LIDER!$H$19+F15*LIDER!$H$20+G15*LIDER!$H$21+H15*LIDER!$H$22+I15*LIDER!$H$23+J15*LIDER!$H$24+K15*LIDER!$H$25,"N"))</f>
        <v/>
      </c>
      <c r="E15" s="142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IF('S-ASIG-06'!D16="","",'S-ASIG-06'!D16)</f>
        <v/>
      </c>
      <c r="D16" s="30" t="str">
        <f>IF(B16=0,"",IF(C16="",$E$13*LIDER!$H$19+F16*LIDER!$H$20+G16*LIDER!$H$21+H16*LIDER!$H$22+I16*LIDER!$H$23+J16*LIDER!$H$24+K16*LIDER!$H$25,"N"))</f>
        <v/>
      </c>
      <c r="E16" s="142"/>
      <c r="F16" s="18">
        <v>3.8</v>
      </c>
      <c r="G16" s="18">
        <v>3.8</v>
      </c>
      <c r="H16" s="18">
        <v>3.8</v>
      </c>
      <c r="I16" s="18">
        <v>3.8</v>
      </c>
      <c r="J16" s="18">
        <v>3.8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>
        <v>3.8</v>
      </c>
      <c r="G17" s="18">
        <v>3.8</v>
      </c>
      <c r="H17" s="18">
        <v>3.8</v>
      </c>
      <c r="I17" s="18">
        <v>3.8</v>
      </c>
      <c r="J17" s="18">
        <v>3.8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>
        <v>3.8</v>
      </c>
      <c r="G18" s="26">
        <v>3.8</v>
      </c>
      <c r="H18" s="26">
        <v>3.8</v>
      </c>
      <c r="I18" s="26">
        <v>3.8</v>
      </c>
      <c r="J18" s="26">
        <v>3.8</v>
      </c>
      <c r="K18" s="26"/>
    </row>
    <row r="19" spans="1:11" s="2" customFormat="1" ht="15.75" customHeight="1" thickBot="1">
      <c r="A19" s="14"/>
      <c r="B19" s="27" t="s">
        <v>76</v>
      </c>
      <c r="C19" s="32" t="str">
        <f>IF('S-ASIG-06'!D19="","",'S-ASIG-06'!D19)</f>
        <v>LIST</v>
      </c>
      <c r="D19" s="35" t="s">
        <v>99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NEVIS YULIETH ARROYO MARTINEZ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4.3500000000000005</v>
      </c>
      <c r="E20" s="142">
        <v>4.2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JARAH LUCIA CUETO FLOREZ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4.3500000000000005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ISAMAR DE AVILA SANDOVAL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4.3500000000000005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KATHERIN LISETH MARTINEZ MARRUGO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4.3500000000000005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ESTEFANIA PATRICIA OSORIO HERRERA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4.3500000000000005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JUAN CAMILO SEPULVEDA PADILLA</v>
      </c>
      <c r="C25" s="33" t="str">
        <f>IF('S-ASIG-06'!D25="","",'S-ASIG-06'!D25)</f>
        <v/>
      </c>
      <c r="D25" s="30">
        <f>IF(B25=0,"",IF(C25="",$E$20*LIDER!$H$19+F25*LIDER!$H$20+G25*LIDER!$H$21+H25*LIDER!$H$22+I25*LIDER!$H$23+J25*LIDER!$H$24+K25*LIDER!$H$25,"N"))</f>
        <v>4.3500000000000005</v>
      </c>
      <c r="E25" s="142"/>
      <c r="F25" s="26">
        <v>4.5</v>
      </c>
      <c r="G25" s="26">
        <v>4.5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78</v>
      </c>
      <c r="C26" s="32" t="str">
        <f>IF('S-ASIG-06'!D26="","",'S-ASIG-06'!D26)</f>
        <v>LIST</v>
      </c>
      <c r="D26" s="35" t="s">
        <v>99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4.2</v>
      </c>
      <c r="E27" s="142">
        <v>4.4000000000000004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4.2</v>
      </c>
      <c r="E28" s="142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MARIANA SOFIA BUELVAS GUZMAN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4.2</v>
      </c>
      <c r="E29" s="142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4.2</v>
      </c>
      <c r="E30" s="142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ERICK FABIAN CASTELLON MARTINEZ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4.2</v>
      </c>
      <c r="E31" s="142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 t="str">
        <f>LIDER!H48</f>
        <v>VALERIA FIGUEROA CUETO</v>
      </c>
      <c r="C32" s="33" t="str">
        <f>IF('S-ASIG-06'!D32="","",'S-ASIG-06'!D32)</f>
        <v/>
      </c>
      <c r="D32" s="30">
        <f>IF(B32=0,"",IF(C32="",$E$27*LIDER!$H$19+F32*LIDER!$H$20+G32*LIDER!$H$21+H32*LIDER!$H$22+I32*LIDER!$H$23+J32*LIDER!$H$24+K32*LIDER!$H$25,"N"))</f>
        <v>3.7</v>
      </c>
      <c r="E32" s="142"/>
      <c r="F32" s="26">
        <v>3</v>
      </c>
      <c r="G32" s="26">
        <v>3</v>
      </c>
      <c r="H32" s="26">
        <v>3</v>
      </c>
      <c r="I32" s="26">
        <v>3</v>
      </c>
      <c r="J32" s="26">
        <v>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IF('S-ASIG-06'!D33="","",'S-ASIG-06'!D33)</f>
        <v>LIST</v>
      </c>
      <c r="D33" s="35" t="s">
        <v>99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NIYELI ALEJANDRA ARISTIZABAL CARMONA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4.1499999999999995</v>
      </c>
      <c r="E34" s="142">
        <v>4</v>
      </c>
      <c r="F34" s="24">
        <v>4.3</v>
      </c>
      <c r="G34" s="24">
        <v>4.3</v>
      </c>
      <c r="H34" s="24">
        <v>4.3</v>
      </c>
      <c r="I34" s="24">
        <v>4.3</v>
      </c>
      <c r="J34" s="24">
        <v>4.3</v>
      </c>
      <c r="K34" s="24"/>
    </row>
    <row r="35" spans="1:11" s="2" customFormat="1" ht="15" customHeight="1">
      <c r="A35" s="12">
        <v>2</v>
      </c>
      <c r="B35" s="28" t="str">
        <f>LIDER!E52</f>
        <v>OSCAR ANDRES BORRE VASQUEZ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4.1499999999999995</v>
      </c>
      <c r="E35" s="142"/>
      <c r="F35" s="18">
        <v>4.3</v>
      </c>
      <c r="G35" s="18">
        <v>4.3</v>
      </c>
      <c r="H35" s="18">
        <v>4.3</v>
      </c>
      <c r="I35" s="18">
        <v>4.3</v>
      </c>
      <c r="J35" s="18">
        <v>4.3</v>
      </c>
      <c r="K35" s="18"/>
    </row>
    <row r="36" spans="1:11" s="2" customFormat="1" ht="15" customHeight="1">
      <c r="A36" s="12">
        <v>3</v>
      </c>
      <c r="B36" s="28" t="str">
        <f>LIDER!E53</f>
        <v>YULIANI CRESPO BAENA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4.1499999999999995</v>
      </c>
      <c r="E36" s="142"/>
      <c r="F36" s="18">
        <v>4.3</v>
      </c>
      <c r="G36" s="18">
        <v>4.3</v>
      </c>
      <c r="H36" s="18">
        <v>4.3</v>
      </c>
      <c r="I36" s="18">
        <v>4.3</v>
      </c>
      <c r="J36" s="18">
        <v>4.3</v>
      </c>
      <c r="K36" s="18"/>
    </row>
    <row r="37" spans="1:11" s="2" customFormat="1" ht="15" customHeight="1">
      <c r="A37" s="12">
        <v>4</v>
      </c>
      <c r="B37" s="28" t="str">
        <f>LIDER!E54</f>
        <v>KEINER JAVID DIAZ ALVAREZ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4.1499999999999995</v>
      </c>
      <c r="E37" s="142"/>
      <c r="F37" s="18">
        <v>4.3</v>
      </c>
      <c r="G37" s="18">
        <v>4.3</v>
      </c>
      <c r="H37" s="18">
        <v>4.3</v>
      </c>
      <c r="I37" s="18">
        <v>4.3</v>
      </c>
      <c r="J37" s="18">
        <v>4.3</v>
      </c>
      <c r="K37" s="18"/>
    </row>
    <row r="38" spans="1:11" s="2" customFormat="1" ht="15" customHeight="1">
      <c r="A38" s="12">
        <v>5</v>
      </c>
      <c r="B38" s="28" t="str">
        <f>LIDER!E55</f>
        <v>ABRAHAM DAVID RAMOS POSADA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4.1499999999999995</v>
      </c>
      <c r="E38" s="142"/>
      <c r="F38" s="18">
        <v>4.3</v>
      </c>
      <c r="G38" s="18">
        <v>4.3</v>
      </c>
      <c r="H38" s="18">
        <v>4.3</v>
      </c>
      <c r="I38" s="18">
        <v>4.3</v>
      </c>
      <c r="J38" s="18">
        <v>4.3</v>
      </c>
      <c r="K38" s="18"/>
    </row>
    <row r="39" spans="1:11" s="2" customFormat="1" ht="15.75" customHeight="1" thickBot="1">
      <c r="A39" s="13">
        <v>6</v>
      </c>
      <c r="B39" s="28" t="str">
        <f>LIDER!E56</f>
        <v>DAIRIN ROSA TORRES ALVARADO</v>
      </c>
      <c r="C39" s="33" t="str">
        <f>IF('S-ASIG-06'!D39="","",'S-ASIG-06'!D39)</f>
        <v/>
      </c>
      <c r="D39" s="30">
        <f>IF(B39=0,"",IF(C39="",$E$34*LIDER!$H$19+F39*LIDER!$H$20+G39*LIDER!$H$21+H39*LIDER!$H$22+I39*LIDER!$H$23+J39*LIDER!$H$24+K39*LIDER!$H$25,"N"))</f>
        <v>4.1499999999999995</v>
      </c>
      <c r="E39" s="142"/>
      <c r="F39" s="26">
        <v>4.3</v>
      </c>
      <c r="G39" s="26">
        <v>4.3</v>
      </c>
      <c r="H39" s="26">
        <v>4.3</v>
      </c>
      <c r="I39" s="26">
        <v>4.3</v>
      </c>
      <c r="J39" s="26">
        <v>4.3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IF('S-ASIG-06'!D40="","",'S-ASIG-06'!D40)</f>
        <v>LIST</v>
      </c>
      <c r="D40" s="35" t="s">
        <v>99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LIZ KARINE ALVAREZ MONTALVO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4.1500000000000004</v>
      </c>
      <c r="E41" s="142">
        <v>4.3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CLAUDIA CAROLINA CAMACHO ALVEAR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4.1500000000000004</v>
      </c>
      <c r="E42" s="142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LEDYS CAROLINA HERNANDEZ LEAL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4.1500000000000004</v>
      </c>
      <c r="E43" s="142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JUAN JOSE RICO MANJARRES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4.1500000000000004</v>
      </c>
      <c r="E44" s="142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JHOINER SMIT RIVERA JULIO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4.1500000000000004</v>
      </c>
      <c r="E45" s="142"/>
      <c r="F45" s="18">
        <v>4</v>
      </c>
      <c r="G45" s="18">
        <v>4</v>
      </c>
      <c r="H45" s="18">
        <v>4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>
        <v>4</v>
      </c>
      <c r="G46" s="26">
        <v>4</v>
      </c>
      <c r="H46" s="26">
        <v>4</v>
      </c>
      <c r="I46" s="26">
        <v>4</v>
      </c>
      <c r="J46" s="26">
        <v>4</v>
      </c>
      <c r="K46" s="26"/>
    </row>
    <row r="47" spans="1:11" s="2" customFormat="1" ht="15.75" customHeight="1" thickBot="1">
      <c r="A47" s="14"/>
      <c r="B47" s="27" t="s">
        <v>84</v>
      </c>
      <c r="C47" s="32" t="str">
        <f>IF('S-ASIG-06'!D47="","",'S-ASIG-06'!D47)</f>
        <v>LIST</v>
      </c>
      <c r="D47" s="35" t="s">
        <v>99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ANGEL YESID GOMEZ CARDONA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IF('S-ASIG-06'!D54="","",'S-ASIG-06'!D54)</f>
        <v>LIST</v>
      </c>
      <c r="D54" s="35" t="s">
        <v>99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IF('S-ASIG-06'!D61="","",'S-ASIG-06'!D61)</f>
        <v>LIST</v>
      </c>
      <c r="D61" s="35" t="s">
        <v>99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IF('S-ASIG-06'!D68="","",'S-ASIG-06'!D68)</f>
        <v>LIST</v>
      </c>
      <c r="D68" s="35" t="s">
        <v>99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IF('S-ASIG-06'!D75="","",'S-ASIG-06'!D75)</f>
        <v>LIST</v>
      </c>
      <c r="D75" s="35" t="s">
        <v>99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IF('S-ASIG-06'!D82="","",'S-ASIG-06'!D82)</f>
        <v>LIST</v>
      </c>
      <c r="D82" s="35" t="s">
        <v>99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71" zoomScaleNormal="71" workbookViewId="0">
      <pane xSplit="4" ySplit="3" topLeftCell="E35" activePane="bottomRight" state="frozen"/>
      <selection pane="bottomRight" activeCell="J13" sqref="J13:J14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LIDER!I4</f>
        <v>CONTABILIDAD GENERAL</v>
      </c>
      <c r="C2" s="3"/>
      <c r="E2" s="148" t="s">
        <v>95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CONCATENATE(LIDER!I4," - ",LIDER!I6," - ",LIDER!I5)</f>
        <v>CONTABILIDAD GENERAL - 3712 - ISAMAR CAROLINA CASSIANI DEL TORO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72</v>
      </c>
      <c r="C5" s="34" t="str">
        <f>IF('S-ASIG-07'!D5="","",'S-ASIG-07'!D5)</f>
        <v>LIST</v>
      </c>
      <c r="D5" s="35" t="s">
        <v>99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LUISFER BELEÑO ZUÑIGA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4</v>
      </c>
      <c r="E6" s="142">
        <v>3.8</v>
      </c>
      <c r="F6" s="24">
        <v>4.2</v>
      </c>
      <c r="G6" s="24">
        <v>4.2</v>
      </c>
      <c r="H6" s="24">
        <v>4.2</v>
      </c>
      <c r="I6" s="24">
        <v>4.2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ANDERSON CARMONA CASTILLA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4</v>
      </c>
      <c r="E7" s="142"/>
      <c r="F7" s="18">
        <v>4.2</v>
      </c>
      <c r="G7" s="18">
        <v>4.2</v>
      </c>
      <c r="H7" s="18">
        <v>4.2</v>
      </c>
      <c r="I7" s="18">
        <v>4.2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>LIZCONY FERIA MIER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4</v>
      </c>
      <c r="E8" s="142"/>
      <c r="F8" s="18">
        <v>4.2</v>
      </c>
      <c r="G8" s="18">
        <v>4.2</v>
      </c>
      <c r="H8" s="18">
        <v>4.2</v>
      </c>
      <c r="I8" s="18">
        <v>4.2</v>
      </c>
      <c r="J8" s="18">
        <v>4.2</v>
      </c>
      <c r="K8" s="18"/>
    </row>
    <row r="9" spans="1:11" s="2" customFormat="1" ht="15" customHeight="1">
      <c r="A9" s="12">
        <v>4</v>
      </c>
      <c r="B9" s="28" t="str">
        <f>LIDER!E46</f>
        <v>SOFIA ISABEL GOMEZ NIÑO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4</v>
      </c>
      <c r="E9" s="142"/>
      <c r="F9" s="18">
        <v>4.2</v>
      </c>
      <c r="G9" s="18">
        <v>4.2</v>
      </c>
      <c r="H9" s="18">
        <v>4.2</v>
      </c>
      <c r="I9" s="18">
        <v>4.2</v>
      </c>
      <c r="J9" s="18">
        <v>4.2</v>
      </c>
      <c r="K9" s="18"/>
    </row>
    <row r="10" spans="1:11" s="2" customFormat="1" ht="15" customHeight="1">
      <c r="A10" s="12">
        <v>5</v>
      </c>
      <c r="B10" s="28" t="str">
        <f>LIDER!E47</f>
        <v>DUVAN YAIR JIMENEZ CASTAÑO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4</v>
      </c>
      <c r="E10" s="142"/>
      <c r="F10" s="18">
        <v>4.2</v>
      </c>
      <c r="G10" s="18">
        <v>4.2</v>
      </c>
      <c r="H10" s="18">
        <v>4.2</v>
      </c>
      <c r="I10" s="18">
        <v>4.2</v>
      </c>
      <c r="J10" s="18">
        <v>4.2</v>
      </c>
      <c r="K10" s="18"/>
    </row>
    <row r="11" spans="1:11" s="2" customFormat="1" ht="15.75" customHeight="1" thickBot="1">
      <c r="A11" s="13">
        <v>6</v>
      </c>
      <c r="B11" s="28" t="str">
        <f>LIDER!E48</f>
        <v>JAVIER ALEXANDER PERAZA PALACIOS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4</v>
      </c>
      <c r="E11" s="142"/>
      <c r="F11" s="26">
        <v>4.2</v>
      </c>
      <c r="G11" s="26">
        <v>4.2</v>
      </c>
      <c r="H11" s="26">
        <v>4.2</v>
      </c>
      <c r="I11" s="26">
        <v>4.2</v>
      </c>
      <c r="J11" s="26">
        <v>4.2</v>
      </c>
      <c r="K11" s="26"/>
    </row>
    <row r="12" spans="1:11" s="2" customFormat="1" ht="15.75" customHeight="1" thickBot="1">
      <c r="A12" s="8"/>
      <c r="B12" s="27" t="s">
        <v>74</v>
      </c>
      <c r="C12" s="32" t="str">
        <f>IF('S-ASIG-07'!D12="","",'S-ASIG-07'!D12)</f>
        <v>LIST</v>
      </c>
      <c r="D12" s="35" t="s">
        <v>99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DAYANA MISHELL GALVIS VIELLAR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3.8</v>
      </c>
      <c r="E13" s="142">
        <v>3.8</v>
      </c>
      <c r="F13" s="24">
        <v>3.8</v>
      </c>
      <c r="G13" s="24">
        <v>3.8</v>
      </c>
      <c r="H13" s="24">
        <v>3.8</v>
      </c>
      <c r="I13" s="24">
        <v>3.8</v>
      </c>
      <c r="J13" s="24">
        <v>3.8</v>
      </c>
      <c r="K13" s="24"/>
    </row>
    <row r="14" spans="1:11" s="2" customFormat="1" ht="15" customHeight="1">
      <c r="A14" s="12">
        <v>2</v>
      </c>
      <c r="B14" s="28" t="str">
        <f>LIDER!F44</f>
        <v>DIANA CAROLINA VILLARREAL RAMOS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3.8</v>
      </c>
      <c r="E14" s="142"/>
      <c r="F14" s="18">
        <v>3.8</v>
      </c>
      <c r="G14" s="18">
        <v>3.8</v>
      </c>
      <c r="H14" s="18">
        <v>3.8</v>
      </c>
      <c r="I14" s="18">
        <v>3.8</v>
      </c>
      <c r="J14" s="18">
        <v>3.8</v>
      </c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IF('S-ASIG-07'!D15="","",'S-ASIG-07'!D15)</f>
        <v/>
      </c>
      <c r="D15" s="30" t="str">
        <f>IF(B15=0,"",IF(C15="",$E$13*LIDER!$H$19+F15*LIDER!$H$20+G15*LIDER!$H$21+H15*LIDER!$H$22+I15*LIDER!$H$23+J15*LIDER!$H$24+K15*LIDER!$H$25,"N"))</f>
        <v/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IF('S-ASIG-07'!D16="","",'S-ASIG-07'!D16)</f>
        <v/>
      </c>
      <c r="D16" s="30" t="str">
        <f>IF(B16=0,"",IF(C16="",$E$13*LIDER!$H$19+F16*LIDER!$H$20+G16*LIDER!$H$21+H16*LIDER!$H$22+I16*LIDER!$H$23+J16*LIDER!$H$24+K16*LIDER!$H$25,"N"))</f>
        <v/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IF('S-ASIG-07'!D19="","",'S-ASIG-07'!D19)</f>
        <v>LIST</v>
      </c>
      <c r="D19" s="35" t="s">
        <v>99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NEVIS YULIETH ARROYO MARTINEZ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4.3500000000000005</v>
      </c>
      <c r="E20" s="142">
        <v>4.2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JARAH LUCIA CUETO FLOREZ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4.3500000000000005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ISAMAR DE AVILA SANDOVAL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4.3500000000000005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KATHERIN LISETH MARTINEZ MARRUGO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4.3500000000000005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ESTEFANIA PATRICIA OSORIO HERRERA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4.3500000000000005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JUAN CAMILO SEPULVEDA PADILLA</v>
      </c>
      <c r="C25" s="33" t="str">
        <f>IF('S-ASIG-07'!D25="","",'S-ASIG-07'!D25)</f>
        <v/>
      </c>
      <c r="D25" s="30">
        <f>IF(B25=0,"",IF(C25="",$E$20*LIDER!$H$19+F25*LIDER!$H$20+G25*LIDER!$H$21+H25*LIDER!$H$22+I25*LIDER!$H$23+J25*LIDER!$H$24+K25*LIDER!$H$25,"N"))</f>
        <v>4.3500000000000005</v>
      </c>
      <c r="E25" s="142"/>
      <c r="F25" s="26">
        <v>4.5</v>
      </c>
      <c r="G25" s="26">
        <v>4.5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78</v>
      </c>
      <c r="C26" s="32" t="str">
        <f>IF('S-ASIG-07'!D26="","",'S-ASIG-07'!D26)</f>
        <v>LIST</v>
      </c>
      <c r="D26" s="35" t="s">
        <v>99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4.2</v>
      </c>
      <c r="E27" s="142">
        <v>4.4000000000000004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4.2</v>
      </c>
      <c r="E28" s="142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MARIANA SOFIA BUELVAS GUZMAN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4.2</v>
      </c>
      <c r="E29" s="142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4.2</v>
      </c>
      <c r="E30" s="142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ERICK FABIAN CASTELLON MARTINEZ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4.2</v>
      </c>
      <c r="E31" s="142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 t="str">
        <f>LIDER!H48</f>
        <v>VALERIA FIGUEROA CUETO</v>
      </c>
      <c r="C32" s="33" t="str">
        <f>IF('S-ASIG-07'!D32="","",'S-ASIG-07'!D32)</f>
        <v/>
      </c>
      <c r="D32" s="30">
        <f>IF(B32=0,"",IF(C32="",$E$27*LIDER!$H$19+F32*LIDER!$H$20+G32*LIDER!$H$21+H32*LIDER!$H$22+I32*LIDER!$H$23+J32*LIDER!$H$24+K32*LIDER!$H$25,"N"))</f>
        <v>3.7</v>
      </c>
      <c r="E32" s="142"/>
      <c r="F32" s="26">
        <v>3</v>
      </c>
      <c r="G32" s="26">
        <v>3</v>
      </c>
      <c r="H32" s="26">
        <v>3</v>
      </c>
      <c r="I32" s="26">
        <v>3</v>
      </c>
      <c r="J32" s="26">
        <v>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IF('S-ASIG-07'!D33="","",'S-ASIG-07'!D33)</f>
        <v>LIST</v>
      </c>
      <c r="D33" s="35" t="s">
        <v>99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NIYELI ALEJANDRA ARISTIZABAL CARMONA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4.1499999999999995</v>
      </c>
      <c r="E34" s="142">
        <v>4</v>
      </c>
      <c r="F34" s="24">
        <v>4.3</v>
      </c>
      <c r="G34" s="24">
        <v>4.3</v>
      </c>
      <c r="H34" s="24">
        <v>4.3</v>
      </c>
      <c r="I34" s="24">
        <v>4.3</v>
      </c>
      <c r="J34" s="24">
        <v>4.3</v>
      </c>
      <c r="K34" s="24"/>
    </row>
    <row r="35" spans="1:11" s="2" customFormat="1" ht="15" customHeight="1">
      <c r="A35" s="12">
        <v>2</v>
      </c>
      <c r="B35" s="28" t="str">
        <f>LIDER!E52</f>
        <v>OSCAR ANDRES BORRE VASQUEZ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4.1499999999999995</v>
      </c>
      <c r="E35" s="142"/>
      <c r="F35" s="18">
        <v>4.3</v>
      </c>
      <c r="G35" s="18">
        <v>4.3</v>
      </c>
      <c r="H35" s="18">
        <v>4.3</v>
      </c>
      <c r="I35" s="18">
        <v>4.3</v>
      </c>
      <c r="J35" s="18">
        <v>4.3</v>
      </c>
      <c r="K35" s="18"/>
    </row>
    <row r="36" spans="1:11" s="2" customFormat="1" ht="15" customHeight="1">
      <c r="A36" s="12">
        <v>3</v>
      </c>
      <c r="B36" s="28" t="str">
        <f>LIDER!E53</f>
        <v>YULIANI CRESPO BAENA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4.1499999999999995</v>
      </c>
      <c r="E36" s="142"/>
      <c r="F36" s="18">
        <v>4.3</v>
      </c>
      <c r="G36" s="18">
        <v>4.3</v>
      </c>
      <c r="H36" s="18">
        <v>4.3</v>
      </c>
      <c r="I36" s="18">
        <v>4.3</v>
      </c>
      <c r="J36" s="18">
        <v>4.3</v>
      </c>
      <c r="K36" s="18"/>
    </row>
    <row r="37" spans="1:11" s="2" customFormat="1" ht="15" customHeight="1">
      <c r="A37" s="12">
        <v>4</v>
      </c>
      <c r="B37" s="28" t="str">
        <f>LIDER!E54</f>
        <v>KEINER JAVID DIAZ ALVAREZ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4.1499999999999995</v>
      </c>
      <c r="E37" s="142"/>
      <c r="F37" s="18">
        <v>4.3</v>
      </c>
      <c r="G37" s="18">
        <v>4.3</v>
      </c>
      <c r="H37" s="18">
        <v>4.3</v>
      </c>
      <c r="I37" s="18">
        <v>4.3</v>
      </c>
      <c r="J37" s="18">
        <v>4.3</v>
      </c>
      <c r="K37" s="18"/>
    </row>
    <row r="38" spans="1:11" s="2" customFormat="1" ht="15" customHeight="1">
      <c r="A38" s="12">
        <v>5</v>
      </c>
      <c r="B38" s="28" t="str">
        <f>LIDER!E55</f>
        <v>ABRAHAM DAVID RAMOS POSADA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4.1499999999999995</v>
      </c>
      <c r="E38" s="142"/>
      <c r="F38" s="18">
        <v>4.3</v>
      </c>
      <c r="G38" s="18">
        <v>4.3</v>
      </c>
      <c r="H38" s="18">
        <v>4.3</v>
      </c>
      <c r="I38" s="18">
        <v>4.3</v>
      </c>
      <c r="J38" s="18">
        <v>4.3</v>
      </c>
      <c r="K38" s="18"/>
    </row>
    <row r="39" spans="1:11" s="2" customFormat="1" ht="15.75" customHeight="1" thickBot="1">
      <c r="A39" s="13">
        <v>6</v>
      </c>
      <c r="B39" s="28" t="str">
        <f>LIDER!E56</f>
        <v>DAIRIN ROSA TORRES ALVARADO</v>
      </c>
      <c r="C39" s="33" t="str">
        <f>IF('S-ASIG-07'!D39="","",'S-ASIG-07'!D39)</f>
        <v/>
      </c>
      <c r="D39" s="30">
        <f>IF(B39=0,"",IF(C39="",$E$34*LIDER!$H$19+F39*LIDER!$H$20+G39*LIDER!$H$21+H39*LIDER!$H$22+I39*LIDER!$H$23+J39*LIDER!$H$24+K39*LIDER!$H$25,"N"))</f>
        <v>4.1499999999999995</v>
      </c>
      <c r="E39" s="142"/>
      <c r="F39" s="26">
        <v>4.3</v>
      </c>
      <c r="G39" s="26">
        <v>4.3</v>
      </c>
      <c r="H39" s="26">
        <v>4.3</v>
      </c>
      <c r="I39" s="26">
        <v>4.3</v>
      </c>
      <c r="J39" s="26">
        <v>4.3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IF('S-ASIG-07'!D40="","",'S-ASIG-07'!D40)</f>
        <v>LIST</v>
      </c>
      <c r="D40" s="35" t="s">
        <v>99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LIZ KARINE ALVAREZ MONTALVO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4.1500000000000004</v>
      </c>
      <c r="E41" s="142">
        <v>4.3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CLAUDIA CAROLINA CAMACHO ALVEAR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4.1500000000000004</v>
      </c>
      <c r="E42" s="142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LEDYS CAROLINA HERNANDEZ LEAL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4.1500000000000004</v>
      </c>
      <c r="E43" s="142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JUAN JOSE RICO MANJARRES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4.1500000000000004</v>
      </c>
      <c r="E44" s="142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JHOINER SMIT RIVERA JULIO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4.1500000000000004</v>
      </c>
      <c r="E45" s="142"/>
      <c r="F45" s="18">
        <v>4</v>
      </c>
      <c r="G45" s="18">
        <v>4</v>
      </c>
      <c r="H45" s="18">
        <v>4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IF('S-ASIG-07'!D47="","",'S-ASIG-07'!D47)</f>
        <v>LIST</v>
      </c>
      <c r="D47" s="35" t="s">
        <v>99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ANGEL YESID GOMEZ CARDONA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IF('S-ASIG-07'!D54="","",'S-ASIG-07'!D54)</f>
        <v>LIST</v>
      </c>
      <c r="D54" s="35" t="s">
        <v>99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IF('S-ASIG-07'!D61="","",'S-ASIG-07'!D61)</f>
        <v>LIST</v>
      </c>
      <c r="D61" s="35" t="s">
        <v>99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IF('S-ASIG-07'!D68="","",'S-ASIG-07'!D68)</f>
        <v>LIST</v>
      </c>
      <c r="D68" s="35" t="s">
        <v>99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IF('S-ASIG-07'!D75="","",'S-ASIG-07'!D75)</f>
        <v>LIST</v>
      </c>
      <c r="D75" s="35" t="s">
        <v>99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IF('S-ASIG-07'!D82="","",'S-ASIG-07'!D82)</f>
        <v>LIST</v>
      </c>
      <c r="D82" s="35" t="s">
        <v>99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/>
      <selection pane="bottomLeft" activeCell="I9" sqref="I9"/>
      <selection pane="topRight" activeCell="I9" sqref="I9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SEM-01</v>
      </c>
      <c r="Q1" s="43" t="str">
        <f>LIDER!G2</f>
        <v>SECCIÓN:</v>
      </c>
      <c r="R1" s="44">
        <f>LIDER!H2</f>
        <v>6</v>
      </c>
      <c r="S1" s="42"/>
      <c r="T1" s="42"/>
      <c r="U1" s="45"/>
    </row>
    <row r="2" spans="1:22" ht="20.100000000000001" customHeight="1" thickBot="1">
      <c r="G2" s="210" t="s">
        <v>111</v>
      </c>
      <c r="H2" s="211"/>
      <c r="I2" s="211"/>
      <c r="J2" s="211"/>
      <c r="K2" s="211"/>
      <c r="L2" s="211"/>
      <c r="M2" s="212"/>
      <c r="N2" s="2"/>
      <c r="O2" s="215" t="s">
        <v>112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3615</v>
      </c>
      <c r="H3" s="49" t="str">
        <f>CONCATENATE("N° : ",LIDER!D6)</f>
        <v>N° : 3636</v>
      </c>
      <c r="I3" s="49" t="str">
        <f>CONCATENATE("N° : ",LIDER!E6)</f>
        <v>N° : 3635</v>
      </c>
      <c r="J3" s="49" t="str">
        <f>CONCATENATE("N° : ",LIDER!F6)</f>
        <v>N° : 3640</v>
      </c>
      <c r="K3" s="49" t="str">
        <f>CONCATENATE("N° : ",LIDER!G6)</f>
        <v>N° : 3706</v>
      </c>
      <c r="L3" s="49" t="str">
        <f>CONCATENATE("N° : ",LIDER!H6)</f>
        <v>N° : 3637</v>
      </c>
      <c r="M3" s="50" t="str">
        <f>CONCATENATE("N° : ",LIDER!I6)</f>
        <v>N° : 3712</v>
      </c>
      <c r="O3" s="48" t="str">
        <f>G3</f>
        <v>N° : 3615</v>
      </c>
      <c r="P3" s="49" t="str">
        <f t="shared" ref="P3:U3" si="0">H3</f>
        <v>N° : 3636</v>
      </c>
      <c r="Q3" s="49" t="str">
        <f t="shared" si="0"/>
        <v>N° : 3635</v>
      </c>
      <c r="R3" s="49" t="str">
        <f t="shared" si="0"/>
        <v>N° : 3640</v>
      </c>
      <c r="S3" s="49" t="str">
        <f t="shared" si="0"/>
        <v>N° : 3706</v>
      </c>
      <c r="T3" s="49" t="str">
        <f t="shared" si="0"/>
        <v>N° : 3637</v>
      </c>
      <c r="U3" s="50" t="str">
        <f t="shared" si="0"/>
        <v>N° : 3712</v>
      </c>
    </row>
    <row r="4" spans="1:22" ht="30" customHeight="1" thickBot="1">
      <c r="A4" s="51"/>
      <c r="B4" s="52" t="s">
        <v>25</v>
      </c>
      <c r="C4" s="53" t="s">
        <v>113</v>
      </c>
      <c r="D4" s="54" t="s">
        <v>114</v>
      </c>
      <c r="E4" s="55" t="s">
        <v>115</v>
      </c>
      <c r="G4" s="56" t="str">
        <f>MID(LIDER!C4,1,9)</f>
        <v>MATEMATIC</v>
      </c>
      <c r="H4" s="57" t="str">
        <f>MID(LIDER!D4,1,9)</f>
        <v>COMUNICAC</v>
      </c>
      <c r="I4" s="57" t="str">
        <f>MID(LIDER!E4,1,9)</f>
        <v>CULTURA Y</v>
      </c>
      <c r="J4" s="57" t="str">
        <f>MID(LIDER!F4,1,9)</f>
        <v>FUNDAMENT</v>
      </c>
      <c r="K4" s="57" t="str">
        <f>MID(LIDER!G4,1,9)</f>
        <v>FUNDAMENT</v>
      </c>
      <c r="L4" s="57" t="str">
        <f>MID(LIDER!H4,1,9)</f>
        <v xml:space="preserve">PROYECTO </v>
      </c>
      <c r="M4" s="58" t="str">
        <f>MID(LIDER!I4,1,9)</f>
        <v>CONTABILI</v>
      </c>
      <c r="N4" s="59" t="s">
        <v>116</v>
      </c>
      <c r="O4" s="60" t="str">
        <f t="shared" ref="O4:U4" si="1">G4</f>
        <v>MATEMATIC</v>
      </c>
      <c r="P4" s="61" t="str">
        <f t="shared" si="1"/>
        <v>COMUNICAC</v>
      </c>
      <c r="Q4" s="61" t="str">
        <f t="shared" si="1"/>
        <v>CULTURA Y</v>
      </c>
      <c r="R4" s="61" t="str">
        <f t="shared" si="1"/>
        <v>FUNDAMENT</v>
      </c>
      <c r="S4" s="61" t="str">
        <f t="shared" si="1"/>
        <v>FUNDAMENT</v>
      </c>
      <c r="T4" s="61" t="str">
        <f t="shared" si="1"/>
        <v xml:space="preserve">PROYECTO </v>
      </c>
      <c r="U4" s="62" t="str">
        <f t="shared" si="1"/>
        <v>CONTABILI</v>
      </c>
      <c r="V4" s="59" t="s">
        <v>117</v>
      </c>
    </row>
    <row r="5" spans="1:22" ht="15" customHeight="1">
      <c r="A5" s="12">
        <v>1</v>
      </c>
      <c r="B5" s="63" t="str">
        <f>LIDER!C9</f>
        <v>LUISFER BELEÑO ZUÑIGA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3.7925</v>
      </c>
      <c r="E5" s="66">
        <f>IF(B5=0,"",IFERROR(SUMIF(O5:U5,"&gt;0",O5:U5)/COUNTIF(O5:U5,"&gt;0"),0))</f>
        <v>4</v>
      </c>
      <c r="F5" s="47"/>
      <c r="G5" s="67">
        <f>IF(B5=0,"",IFERROR(VLOOKUP(B5,'S-ASIG-01'!$B$5:$E$88,4,0),0))</f>
        <v>3.92</v>
      </c>
      <c r="H5" s="65">
        <f>IF(B5=0,"",IFERROR(VLOOKUP(B5,'S-ASIG-02'!$B$5:$E$88,4,0),0))</f>
        <v>0</v>
      </c>
      <c r="I5" s="65">
        <f>IF(B5=0,"",IFERROR(VLOOKUP(B5,'S-ASIG-03'!$B$5:$E$88,4,0),0))</f>
        <v>0</v>
      </c>
      <c r="J5" s="65">
        <f>IF(B5=0,"",IFERROR(VLOOKUP(B5,'S-ASIG-04'!$B$5:$E$88,4,0),0))</f>
        <v>3.6500000000000004</v>
      </c>
      <c r="K5" s="65">
        <f>IF(B5=0,"",IFERROR(VLOOKUP(B5,'S-ASIG-05'!$B$5:$E$88,4,0),0))</f>
        <v>3.6</v>
      </c>
      <c r="L5" s="65">
        <f>IF(B5=0,"",IFERROR(VLOOKUP(B5,'S-ASIG-06'!$B$5:$E$88,4,0),0))</f>
        <v>3.9999999999999996</v>
      </c>
      <c r="M5" s="66">
        <f>IF(B5=0,"",IFERROR(VLOOKUP(B5,'S-ASIG-07'!$B$5:$E$88,4,0),0))</f>
        <v>0</v>
      </c>
      <c r="N5" s="68" t="s">
        <v>118</v>
      </c>
      <c r="O5" s="67">
        <f>IF(B5=0,"",IFERROR(VLOOKUP(B5,'T-ASIG-01'!$B$5:$D$88,3,0),0))</f>
        <v>4</v>
      </c>
      <c r="P5" s="65">
        <f>IF(B5=0,"",IFERROR(VLOOKUP(B5,'T-ASIG-02'!$B$5:$D$88,3,0),0))</f>
        <v>0</v>
      </c>
      <c r="Q5" s="65">
        <f>IF(B5=0,"",IFERROR(VLOOKUP(B5,'T-ASIG-03'!$B$5:$D$88,3,0),0))</f>
        <v>4</v>
      </c>
      <c r="R5" s="65">
        <f>IF(B5=0,"",IFERROR(VLOOKUP(B5,'T-ASIG-04'!$B$5:$D$88,3,0),0))</f>
        <v>0</v>
      </c>
      <c r="S5" s="65">
        <f>IF(B5=0,"",IFERROR(VLOOKUP(B5,'T-ASIG-05'!$B$5:$D$88,3,0),0))</f>
        <v>4</v>
      </c>
      <c r="T5" s="65">
        <f>IF(B5=0,"",IFERROR(VLOOKUP(B5,'T-ASIG-06'!$B$5:$D$88,3,0),0))</f>
        <v>4</v>
      </c>
      <c r="U5" s="66">
        <f>IF(B5=0,"",IFERROR(VLOOKUP(B5,'T-ASIG-07'!$B$5:$D$88,3,0),0))</f>
        <v>4</v>
      </c>
      <c r="V5" s="69" t="s">
        <v>119</v>
      </c>
    </row>
    <row r="6" spans="1:22" ht="15" customHeight="1">
      <c r="A6" s="12">
        <v>2</v>
      </c>
      <c r="B6" s="70" t="str">
        <f>LIDER!C10</f>
        <v>ANDERSON CARMONA CASTILLA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3.7925</v>
      </c>
      <c r="E6" s="66">
        <f t="shared" ref="E6:E54" si="3">IF(B6=0,"",IFERROR(SUMIF(O6:U6,"&gt;0",O6:U6)/COUNTIF(O6:U6,"&gt;0"),0))</f>
        <v>4</v>
      </c>
      <c r="F6" s="47"/>
      <c r="G6" s="71">
        <f>IF(B6=0,"",IFERROR(VLOOKUP(B6,'S-ASIG-01'!$B$5:$E$88,4,0),0))</f>
        <v>3.92</v>
      </c>
      <c r="H6" s="72">
        <f>IF(B6=0,"",IFERROR(VLOOKUP(B6,'S-ASIG-02'!$B$5:$E$88,4,0),0))</f>
        <v>0</v>
      </c>
      <c r="I6" s="72">
        <f>IF(B6=0,"",IFERROR(VLOOKUP(B6,'S-ASIG-03'!$B$5:$E$88,4,0),0))</f>
        <v>0</v>
      </c>
      <c r="J6" s="72">
        <f>IF(B6=0,"",IFERROR(VLOOKUP(B6,'S-ASIG-04'!$B$5:$E$88,4,0),0))</f>
        <v>3.6500000000000004</v>
      </c>
      <c r="K6" s="72">
        <f>IF(B6=0,"",IFERROR(VLOOKUP(B6,'S-ASIG-05'!$B$5:$E$88,4,0),0))</f>
        <v>3.6</v>
      </c>
      <c r="L6" s="72">
        <f>IF(B6=0,"",IFERROR(VLOOKUP(B6,'S-ASIG-06'!$B$5:$E$88,4,0),0))</f>
        <v>3.9999999999999996</v>
      </c>
      <c r="M6" s="73">
        <f>IF(B6=0,"",IFERROR(VLOOKUP(B6,'S-ASIG-07'!$B$5:$E$88,4,0),0))</f>
        <v>0</v>
      </c>
      <c r="N6" s="68" t="s">
        <v>118</v>
      </c>
      <c r="O6" s="71">
        <f>IF(B6=0,"",IFERROR(VLOOKUP(B6,'T-ASIG-01'!$B$5:$D$88,3,0),0))</f>
        <v>4</v>
      </c>
      <c r="P6" s="72">
        <f>IF(B6=0,"",IFERROR(VLOOKUP(B6,'T-ASIG-02'!$B$5:$D$88,3,0),0))</f>
        <v>0</v>
      </c>
      <c r="Q6" s="72">
        <f>IF(B6=0,"",IFERROR(VLOOKUP(B6,'T-ASIG-03'!$B$5:$D$88,3,0),0))</f>
        <v>4</v>
      </c>
      <c r="R6" s="72">
        <f>IF(B6=0,"",IFERROR(VLOOKUP(B6,'T-ASIG-04'!$B$5:$D$88,3,0),0))</f>
        <v>0</v>
      </c>
      <c r="S6" s="72">
        <f>IF(B6=0,"",IFERROR(VLOOKUP(B6,'T-ASIG-05'!$B$5:$D$88,3,0),0))</f>
        <v>4</v>
      </c>
      <c r="T6" s="72">
        <f>IF(B6=0,"",IFERROR(VLOOKUP(B6,'T-ASIG-06'!$B$5:$D$88,3,0),0))</f>
        <v>4</v>
      </c>
      <c r="U6" s="73">
        <f>IF(B6=0,"",IFERROR(VLOOKUP(B6,'T-ASIG-07'!$B$5:$D$88,3,0),0))</f>
        <v>4</v>
      </c>
      <c r="V6" s="69" t="s">
        <v>119</v>
      </c>
    </row>
    <row r="7" spans="1:22" ht="15" customHeight="1">
      <c r="A7" s="12">
        <v>3</v>
      </c>
      <c r="B7" s="70" t="str">
        <f>LIDER!C11</f>
        <v>LIZCONY FERIA MIER</v>
      </c>
      <c r="C7" s="64" t="str">
        <f>IF(B7=0,"",IFERROR(VLOOKUP(B7,'S-ASIG-01'!$B$5:$E$88,2,0),0))</f>
        <v>G01</v>
      </c>
      <c r="D7" s="65">
        <f t="shared" si="2"/>
        <v>3.7925</v>
      </c>
      <c r="E7" s="66">
        <f t="shared" si="3"/>
        <v>4</v>
      </c>
      <c r="F7" s="47"/>
      <c r="G7" s="71">
        <f>IF(B7=0,"",IFERROR(VLOOKUP(B7,'S-ASIG-01'!$B$5:$E$88,4,0),0))</f>
        <v>3.92</v>
      </c>
      <c r="H7" s="72">
        <f>IF(B7=0,"",IFERROR(VLOOKUP(B7,'S-ASIG-02'!$B$5:$E$88,4,0),0))</f>
        <v>0</v>
      </c>
      <c r="I7" s="72">
        <f>IF(B7=0,"",IFERROR(VLOOKUP(B7,'S-ASIG-03'!$B$5:$E$88,4,0),0))</f>
        <v>0</v>
      </c>
      <c r="J7" s="72">
        <f>IF(B7=0,"",IFERROR(VLOOKUP(B7,'S-ASIG-04'!$B$5:$E$88,4,0),0))</f>
        <v>3.6500000000000004</v>
      </c>
      <c r="K7" s="72">
        <f>IF(B7=0,"",IFERROR(VLOOKUP(B7,'S-ASIG-05'!$B$5:$E$88,4,0),0))</f>
        <v>3.6</v>
      </c>
      <c r="L7" s="72">
        <f>IF(B7=0,"",IFERROR(VLOOKUP(B7,'S-ASIG-06'!$B$5:$E$88,4,0),0))</f>
        <v>3.9999999999999996</v>
      </c>
      <c r="M7" s="73">
        <f>IF(B7=0,"",IFERROR(VLOOKUP(B7,'S-ASIG-07'!$B$5:$E$88,4,0),0))</f>
        <v>0</v>
      </c>
      <c r="N7" s="68" t="s">
        <v>118</v>
      </c>
      <c r="O7" s="71">
        <f>IF(B7=0,"",IFERROR(VLOOKUP(B7,'T-ASIG-01'!$B$5:$D$88,3,0),0))</f>
        <v>4</v>
      </c>
      <c r="P7" s="72">
        <f>IF(B7=0,"",IFERROR(VLOOKUP(B7,'T-ASIG-02'!$B$5:$D$88,3,0),0))</f>
        <v>0</v>
      </c>
      <c r="Q7" s="72">
        <f>IF(B7=0,"",IFERROR(VLOOKUP(B7,'T-ASIG-03'!$B$5:$D$88,3,0),0))</f>
        <v>4</v>
      </c>
      <c r="R7" s="72">
        <f>IF(B7=0,"",IFERROR(VLOOKUP(B7,'T-ASIG-04'!$B$5:$D$88,3,0),0))</f>
        <v>0</v>
      </c>
      <c r="S7" s="72">
        <f>IF(B7=0,"",IFERROR(VLOOKUP(B7,'T-ASIG-05'!$B$5:$D$88,3,0),0))</f>
        <v>4</v>
      </c>
      <c r="T7" s="72">
        <f>IF(B7=0,"",IFERROR(VLOOKUP(B7,'T-ASIG-06'!$B$5:$D$88,3,0),0))</f>
        <v>4</v>
      </c>
      <c r="U7" s="73">
        <f>IF(B7=0,"",IFERROR(VLOOKUP(B7,'T-ASIG-07'!$B$5:$D$88,3,0),0))</f>
        <v>4</v>
      </c>
      <c r="V7" s="69" t="s">
        <v>119</v>
      </c>
    </row>
    <row r="8" spans="1:22" ht="15" customHeight="1">
      <c r="A8" s="12">
        <v>4</v>
      </c>
      <c r="B8" s="70" t="str">
        <f>LIDER!C12</f>
        <v>SOFIA ISABEL GOMEZ NIÑO</v>
      </c>
      <c r="C8" s="64" t="str">
        <f>IF(B8=0,"",IFERROR(VLOOKUP(B8,'S-ASIG-01'!$B$5:$E$88,2,0),0))</f>
        <v>G01</v>
      </c>
      <c r="D8" s="65">
        <f t="shared" si="2"/>
        <v>3.7925</v>
      </c>
      <c r="E8" s="66">
        <f t="shared" si="3"/>
        <v>4</v>
      </c>
      <c r="F8" s="47"/>
      <c r="G8" s="71">
        <f>IF(B8=0,"",IFERROR(VLOOKUP(B8,'S-ASIG-01'!$B$5:$E$88,4,0),0))</f>
        <v>3.92</v>
      </c>
      <c r="H8" s="72">
        <f>IF(B8=0,"",IFERROR(VLOOKUP(B8,'S-ASIG-02'!$B$5:$E$88,4,0),0))</f>
        <v>0</v>
      </c>
      <c r="I8" s="72">
        <f>IF(B8=0,"",IFERROR(VLOOKUP(B8,'S-ASIG-03'!$B$5:$E$88,4,0),0))</f>
        <v>0</v>
      </c>
      <c r="J8" s="72">
        <f>IF(B8=0,"",IFERROR(VLOOKUP(B8,'S-ASIG-04'!$B$5:$E$88,4,0),0))</f>
        <v>3.6500000000000004</v>
      </c>
      <c r="K8" s="72">
        <f>IF(B8=0,"",IFERROR(VLOOKUP(B8,'S-ASIG-05'!$B$5:$E$88,4,0),0))</f>
        <v>3.6</v>
      </c>
      <c r="L8" s="72">
        <f>IF(B8=0,"",IFERROR(VLOOKUP(B8,'S-ASIG-06'!$B$5:$E$88,4,0),0))</f>
        <v>3.9999999999999996</v>
      </c>
      <c r="M8" s="73">
        <f>IF(B8=0,"",IFERROR(VLOOKUP(B8,'S-ASIG-07'!$B$5:$E$88,4,0),0))</f>
        <v>0</v>
      </c>
      <c r="N8" s="68" t="s">
        <v>118</v>
      </c>
      <c r="O8" s="71">
        <f>IF(B8=0,"",IFERROR(VLOOKUP(B8,'T-ASIG-01'!$B$5:$D$88,3,0),0))</f>
        <v>4</v>
      </c>
      <c r="P8" s="72">
        <f>IF(B8=0,"",IFERROR(VLOOKUP(B8,'T-ASIG-02'!$B$5:$D$88,3,0),0))</f>
        <v>0</v>
      </c>
      <c r="Q8" s="72">
        <f>IF(B8=0,"",IFERROR(VLOOKUP(B8,'T-ASIG-03'!$B$5:$D$88,3,0),0))</f>
        <v>4</v>
      </c>
      <c r="R8" s="72">
        <f>IF(B8=0,"",IFERROR(VLOOKUP(B8,'T-ASIG-04'!$B$5:$D$88,3,0),0))</f>
        <v>0</v>
      </c>
      <c r="S8" s="72">
        <f>IF(B8=0,"",IFERROR(VLOOKUP(B8,'T-ASIG-05'!$B$5:$D$88,3,0),0))</f>
        <v>4</v>
      </c>
      <c r="T8" s="72">
        <f>IF(B8=0,"",IFERROR(VLOOKUP(B8,'T-ASIG-06'!$B$5:$D$88,3,0),0))</f>
        <v>4</v>
      </c>
      <c r="U8" s="73">
        <f>IF(B8=0,"",IFERROR(VLOOKUP(B8,'T-ASIG-07'!$B$5:$D$88,3,0),0))</f>
        <v>4</v>
      </c>
      <c r="V8" s="69" t="s">
        <v>119</v>
      </c>
    </row>
    <row r="9" spans="1:22" ht="15" customHeight="1">
      <c r="A9" s="12">
        <v>5</v>
      </c>
      <c r="B9" s="70" t="str">
        <f>LIDER!C13</f>
        <v>DUVAN YAIR JIMENEZ CASTAÑO</v>
      </c>
      <c r="C9" s="64" t="str">
        <f>IF(B9=0,"",IFERROR(VLOOKUP(B9,'S-ASIG-01'!$B$5:$E$88,2,0),0))</f>
        <v>G01</v>
      </c>
      <c r="D9" s="65">
        <f t="shared" si="2"/>
        <v>3.7925</v>
      </c>
      <c r="E9" s="66">
        <f t="shared" si="3"/>
        <v>4</v>
      </c>
      <c r="F9" s="47"/>
      <c r="G9" s="71">
        <f>IF(B9=0,"",IFERROR(VLOOKUP(B9,'S-ASIG-01'!$B$5:$E$88,4,0),0))</f>
        <v>3.92</v>
      </c>
      <c r="H9" s="72">
        <f>IF(B9=0,"",IFERROR(VLOOKUP(B9,'S-ASIG-02'!$B$5:$E$88,4,0),0))</f>
        <v>0</v>
      </c>
      <c r="I9" s="72">
        <f>IF(B9=0,"",IFERROR(VLOOKUP(B9,'S-ASIG-03'!$B$5:$E$88,4,0),0))</f>
        <v>0</v>
      </c>
      <c r="J9" s="72">
        <f>IF(B9=0,"",IFERROR(VLOOKUP(B9,'S-ASIG-04'!$B$5:$E$88,4,0),0))</f>
        <v>3.6500000000000004</v>
      </c>
      <c r="K9" s="72">
        <f>IF(B9=0,"",IFERROR(VLOOKUP(B9,'S-ASIG-05'!$B$5:$E$88,4,0),0))</f>
        <v>3.6</v>
      </c>
      <c r="L9" s="72">
        <f>IF(B9=0,"",IFERROR(VLOOKUP(B9,'S-ASIG-06'!$B$5:$E$88,4,0),0))</f>
        <v>3.9999999999999996</v>
      </c>
      <c r="M9" s="73">
        <f>IF(B9=0,"",IFERROR(VLOOKUP(B9,'S-ASIG-07'!$B$5:$E$88,4,0),0))</f>
        <v>0</v>
      </c>
      <c r="N9" s="68" t="s">
        <v>118</v>
      </c>
      <c r="O9" s="71">
        <f>IF(B9=0,"",IFERROR(VLOOKUP(B9,'T-ASIG-01'!$B$5:$D$88,3,0),0))</f>
        <v>4</v>
      </c>
      <c r="P9" s="72">
        <f>IF(B9=0,"",IFERROR(VLOOKUP(B9,'T-ASIG-02'!$B$5:$D$88,3,0),0))</f>
        <v>0</v>
      </c>
      <c r="Q9" s="72">
        <f>IF(B9=0,"",IFERROR(VLOOKUP(B9,'T-ASIG-03'!$B$5:$D$88,3,0),0))</f>
        <v>4</v>
      </c>
      <c r="R9" s="72">
        <f>IF(B9=0,"",IFERROR(VLOOKUP(B9,'T-ASIG-04'!$B$5:$D$88,3,0),0))</f>
        <v>0</v>
      </c>
      <c r="S9" s="72">
        <f>IF(B9=0,"",IFERROR(VLOOKUP(B9,'T-ASIG-05'!$B$5:$D$88,3,0),0))</f>
        <v>4</v>
      </c>
      <c r="T9" s="72">
        <f>IF(B9=0,"",IFERROR(VLOOKUP(B9,'T-ASIG-06'!$B$5:$D$88,3,0),0))</f>
        <v>4</v>
      </c>
      <c r="U9" s="73">
        <f>IF(B9=0,"",IFERROR(VLOOKUP(B9,'T-ASIG-07'!$B$5:$D$88,3,0),0))</f>
        <v>4</v>
      </c>
      <c r="V9" s="69" t="s">
        <v>119</v>
      </c>
    </row>
    <row r="10" spans="1:22" ht="15" customHeight="1">
      <c r="A10" s="12">
        <v>6</v>
      </c>
      <c r="B10" s="70" t="str">
        <f>LIDER!C14</f>
        <v>JAVIER ALEXANDER PERAZA PALACIOS</v>
      </c>
      <c r="C10" s="64" t="str">
        <f>IF(B10=0,"",IFERROR(VLOOKUP(B10,'S-ASIG-01'!$B$5:$E$88,2,0),0))</f>
        <v>G01</v>
      </c>
      <c r="D10" s="65">
        <f t="shared" si="2"/>
        <v>3.7925</v>
      </c>
      <c r="E10" s="66">
        <f t="shared" si="3"/>
        <v>4</v>
      </c>
      <c r="F10" s="47"/>
      <c r="G10" s="71">
        <f>IF(B10=0,"",IFERROR(VLOOKUP(B10,'S-ASIG-01'!$B$5:$E$88,4,0),0))</f>
        <v>3.92</v>
      </c>
      <c r="H10" s="72">
        <f>IF(B10=0,"",IFERROR(VLOOKUP(B10,'S-ASIG-02'!$B$5:$E$88,4,0),0))</f>
        <v>0</v>
      </c>
      <c r="I10" s="72">
        <f>IF(B10=0,"",IFERROR(VLOOKUP(B10,'S-ASIG-03'!$B$5:$E$88,4,0),0))</f>
        <v>0</v>
      </c>
      <c r="J10" s="72">
        <f>IF(B10=0,"",IFERROR(VLOOKUP(B10,'S-ASIG-04'!$B$5:$E$88,4,0),0))</f>
        <v>3.6500000000000004</v>
      </c>
      <c r="K10" s="72">
        <f>IF(B10=0,"",IFERROR(VLOOKUP(B10,'S-ASIG-05'!$B$5:$E$88,4,0),0))</f>
        <v>3.6</v>
      </c>
      <c r="L10" s="72">
        <f>IF(B10=0,"",IFERROR(VLOOKUP(B10,'S-ASIG-06'!$B$5:$E$88,4,0),0))</f>
        <v>3.9999999999999996</v>
      </c>
      <c r="M10" s="73">
        <f>IF(B10=0,"",IFERROR(VLOOKUP(B10,'S-ASIG-07'!$B$5:$E$88,4,0),0))</f>
        <v>0</v>
      </c>
      <c r="N10" s="68" t="s">
        <v>118</v>
      </c>
      <c r="O10" s="71">
        <f>IF(B10=0,"",IFERROR(VLOOKUP(B10,'T-ASIG-01'!$B$5:$D$88,3,0),0))</f>
        <v>4</v>
      </c>
      <c r="P10" s="72">
        <f>IF(B10=0,"",IFERROR(VLOOKUP(B10,'T-ASIG-02'!$B$5:$D$88,3,0),0))</f>
        <v>0</v>
      </c>
      <c r="Q10" s="72">
        <f>IF(B10=0,"",IFERROR(VLOOKUP(B10,'T-ASIG-03'!$B$5:$D$88,3,0),0))</f>
        <v>4</v>
      </c>
      <c r="R10" s="72">
        <f>IF(B10=0,"",IFERROR(VLOOKUP(B10,'T-ASIG-04'!$B$5:$D$88,3,0),0))</f>
        <v>0</v>
      </c>
      <c r="S10" s="72">
        <f>IF(B10=0,"",IFERROR(VLOOKUP(B10,'T-ASIG-05'!$B$5:$D$88,3,0),0))</f>
        <v>4</v>
      </c>
      <c r="T10" s="72">
        <f>IF(B10=0,"",IFERROR(VLOOKUP(B10,'T-ASIG-06'!$B$5:$D$88,3,0),0))</f>
        <v>4</v>
      </c>
      <c r="U10" s="73">
        <f>IF(B10=0,"",IFERROR(VLOOKUP(B10,'T-ASIG-07'!$B$5:$D$88,3,0),0))</f>
        <v>4</v>
      </c>
      <c r="V10" s="69" t="s">
        <v>119</v>
      </c>
    </row>
    <row r="11" spans="1:22" ht="15" customHeight="1">
      <c r="A11" s="12">
        <v>7</v>
      </c>
      <c r="B11" s="70" t="str">
        <f>LIDER!C15</f>
        <v>DAYANA MISHELL GALVIS VIELLAR</v>
      </c>
      <c r="C11" s="64" t="str">
        <f>IF(B11=0,"",IFERROR(VLOOKUP(B11,'S-ASIG-01'!$B$5:$E$88,2,0),0))</f>
        <v>G02</v>
      </c>
      <c r="D11" s="65">
        <f t="shared" si="2"/>
        <v>3.875</v>
      </c>
      <c r="E11" s="66">
        <f t="shared" si="3"/>
        <v>3.8</v>
      </c>
      <c r="F11" s="47"/>
      <c r="G11" s="71">
        <f>IF(B11=0,"",IFERROR(VLOOKUP(B11,'S-ASIG-01'!$B$5:$E$88,4,0),0))</f>
        <v>4.0999999999999996</v>
      </c>
      <c r="H11" s="72">
        <f>IF(B11=0,"",IFERROR(VLOOKUP(B11,'S-ASIG-02'!$B$5:$E$88,4,0),0))</f>
        <v>0</v>
      </c>
      <c r="I11" s="72">
        <f>IF(B11=0,"",IFERROR(VLOOKUP(B11,'S-ASIG-03'!$B$5:$E$88,4,0),0))</f>
        <v>0</v>
      </c>
      <c r="J11" s="72">
        <f>IF(B11=0,"",IFERROR(VLOOKUP(B11,'S-ASIG-04'!$B$5:$E$88,4,0),0))</f>
        <v>4.0999999999999996</v>
      </c>
      <c r="K11" s="72">
        <f>IF(B11=0,"",IFERROR(VLOOKUP(B11,'S-ASIG-05'!$B$5:$E$88,4,0),0))</f>
        <v>3.3000000000000003</v>
      </c>
      <c r="L11" s="72">
        <f>IF(B11=0,"",IFERROR(VLOOKUP(B11,'S-ASIG-06'!$B$5:$E$88,4,0),0))</f>
        <v>3.9999999999999996</v>
      </c>
      <c r="M11" s="73">
        <f>IF(B11=0,"",IFERROR(VLOOKUP(B11,'S-ASIG-07'!$B$5:$E$88,4,0),0))</f>
        <v>0</v>
      </c>
      <c r="N11" s="68" t="s">
        <v>118</v>
      </c>
      <c r="O11" s="71">
        <f>IF(B11=0,"",IFERROR(VLOOKUP(B11,'T-ASIG-01'!$B$5:$D$88,3,0),0))</f>
        <v>3.8</v>
      </c>
      <c r="P11" s="72">
        <f>IF(B11=0,"",IFERROR(VLOOKUP(B11,'T-ASIG-02'!$B$5:$D$88,3,0),0))</f>
        <v>0</v>
      </c>
      <c r="Q11" s="72">
        <f>IF(B11=0,"",IFERROR(VLOOKUP(B11,'T-ASIG-03'!$B$5:$D$88,3,0),0))</f>
        <v>3.8</v>
      </c>
      <c r="R11" s="72">
        <f>IF(B11=0,"",IFERROR(VLOOKUP(B11,'T-ASIG-04'!$B$5:$D$88,3,0),0))</f>
        <v>0</v>
      </c>
      <c r="S11" s="72">
        <f>IF(B11=0,"",IFERROR(VLOOKUP(B11,'T-ASIG-05'!$B$5:$D$88,3,0),0))</f>
        <v>3.8</v>
      </c>
      <c r="T11" s="72">
        <f>IF(B11=0,"",IFERROR(VLOOKUP(B11,'T-ASIG-06'!$B$5:$D$88,3,0),0))</f>
        <v>3.8</v>
      </c>
      <c r="U11" s="73">
        <f>IF(B11=0,"",IFERROR(VLOOKUP(B11,'T-ASIG-07'!$B$5:$D$88,3,0),0))</f>
        <v>3.8</v>
      </c>
      <c r="V11" s="69" t="s">
        <v>119</v>
      </c>
    </row>
    <row r="12" spans="1:22" ht="15" customHeight="1">
      <c r="A12" s="12">
        <v>8</v>
      </c>
      <c r="B12" s="70" t="str">
        <f>LIDER!C16</f>
        <v>DIANA CAROLINA VILLARREAL RAMOS</v>
      </c>
      <c r="C12" s="64" t="str">
        <f>IF(B12=0,"",IFERROR(VLOOKUP(B12,'S-ASIG-01'!$B$5:$E$88,2,0),0))</f>
        <v>G02</v>
      </c>
      <c r="D12" s="65">
        <f t="shared" si="2"/>
        <v>3.875</v>
      </c>
      <c r="E12" s="66">
        <f t="shared" si="3"/>
        <v>3.8</v>
      </c>
      <c r="F12" s="47"/>
      <c r="G12" s="71">
        <f>IF(B12=0,"",IFERROR(VLOOKUP(B12,'S-ASIG-01'!$B$5:$E$88,4,0),0))</f>
        <v>4.0999999999999996</v>
      </c>
      <c r="H12" s="72">
        <f>IF(B12=0,"",IFERROR(VLOOKUP(B12,'S-ASIG-02'!$B$5:$E$88,4,0),0))</f>
        <v>0</v>
      </c>
      <c r="I12" s="72">
        <f>IF(B12=0,"",IFERROR(VLOOKUP(B12,'S-ASIG-03'!$B$5:$E$88,4,0),0))</f>
        <v>0</v>
      </c>
      <c r="J12" s="72">
        <f>IF(B12=0,"",IFERROR(VLOOKUP(B12,'S-ASIG-04'!$B$5:$E$88,4,0),0))</f>
        <v>4.0999999999999996</v>
      </c>
      <c r="K12" s="72">
        <f>IF(B12=0,"",IFERROR(VLOOKUP(B12,'S-ASIG-05'!$B$5:$E$88,4,0),0))</f>
        <v>3.3000000000000003</v>
      </c>
      <c r="L12" s="72">
        <f>IF(B12=0,"",IFERROR(VLOOKUP(B12,'S-ASIG-06'!$B$5:$E$88,4,0),0))</f>
        <v>3.9999999999999996</v>
      </c>
      <c r="M12" s="73">
        <f>IF(B12=0,"",IFERROR(VLOOKUP(B12,'S-ASIG-07'!$B$5:$E$88,4,0),0))</f>
        <v>0</v>
      </c>
      <c r="N12" s="68" t="s">
        <v>118</v>
      </c>
      <c r="O12" s="71">
        <f>IF(B12=0,"",IFERROR(VLOOKUP(B12,'T-ASIG-01'!$B$5:$D$88,3,0),0))</f>
        <v>3.8</v>
      </c>
      <c r="P12" s="72">
        <f>IF(B12=0,"",IFERROR(VLOOKUP(B12,'T-ASIG-02'!$B$5:$D$88,3,0),0))</f>
        <v>0</v>
      </c>
      <c r="Q12" s="72">
        <f>IF(B12=0,"",IFERROR(VLOOKUP(B12,'T-ASIG-03'!$B$5:$D$88,3,0),0))</f>
        <v>3.8</v>
      </c>
      <c r="R12" s="72">
        <f>IF(B12=0,"",IFERROR(VLOOKUP(B12,'T-ASIG-04'!$B$5:$D$88,3,0),0))</f>
        <v>0</v>
      </c>
      <c r="S12" s="72">
        <f>IF(B12=0,"",IFERROR(VLOOKUP(B12,'T-ASIG-05'!$B$5:$D$88,3,0),0))</f>
        <v>3.8</v>
      </c>
      <c r="T12" s="72">
        <f>IF(B12=0,"",IFERROR(VLOOKUP(B12,'T-ASIG-06'!$B$5:$D$88,3,0),0))</f>
        <v>3.8</v>
      </c>
      <c r="U12" s="73">
        <f>IF(B12=0,"",IFERROR(VLOOKUP(B12,'T-ASIG-07'!$B$5:$D$88,3,0),0))</f>
        <v>3.8</v>
      </c>
      <c r="V12" s="69" t="s">
        <v>119</v>
      </c>
    </row>
    <row r="13" spans="1:22" ht="15" customHeight="1">
      <c r="A13" s="12">
        <v>9</v>
      </c>
      <c r="B13" s="70" t="str">
        <f>LIDER!C17</f>
        <v>NEVIS YULIETH ARROYO MARTINEZ</v>
      </c>
      <c r="C13" s="64" t="str">
        <f>IF(B13=0,"",IFERROR(VLOOKUP(B13,'S-ASIG-01'!$B$5:$E$88,2,0),0))</f>
        <v>G03</v>
      </c>
      <c r="D13" s="65">
        <f t="shared" si="2"/>
        <v>3.9849999999999999</v>
      </c>
      <c r="E13" s="66">
        <f t="shared" si="3"/>
        <v>4.3800000000000008</v>
      </c>
      <c r="F13" s="47"/>
      <c r="G13" s="71">
        <f>IF(B13=0,"",IFERROR(VLOOKUP(B13,'S-ASIG-01'!$B$5:$E$88,4,0),0))</f>
        <v>4.28</v>
      </c>
      <c r="H13" s="72">
        <f>IF(B13=0,"",IFERROR(VLOOKUP(B13,'S-ASIG-02'!$B$5:$E$88,4,0),0))</f>
        <v>0</v>
      </c>
      <c r="I13" s="72">
        <f>IF(B13=0,"",IFERROR(VLOOKUP(B13,'S-ASIG-03'!$B$5:$E$88,4,0),0))</f>
        <v>0</v>
      </c>
      <c r="J13" s="72">
        <f>IF(B13=0,"",IFERROR(VLOOKUP(B13,'S-ASIG-04'!$B$5:$E$88,4,0),0))</f>
        <v>4.0999999999999996</v>
      </c>
      <c r="K13" s="72">
        <f>IF(B13=0,"",IFERROR(VLOOKUP(B13,'S-ASIG-05'!$B$5:$E$88,4,0),0))</f>
        <v>3.56</v>
      </c>
      <c r="L13" s="72">
        <f>IF(B13=0,"",IFERROR(VLOOKUP(B13,'S-ASIG-06'!$B$5:$E$88,4,0),0))</f>
        <v>3.9999999999999996</v>
      </c>
      <c r="M13" s="73">
        <f>IF(B13=0,"",IFERROR(VLOOKUP(B13,'S-ASIG-07'!$B$5:$E$88,4,0),0))</f>
        <v>0</v>
      </c>
      <c r="N13" s="68" t="s">
        <v>118</v>
      </c>
      <c r="O13" s="71">
        <f>IF(B13=0,"",IFERROR(VLOOKUP(B13,'T-ASIG-01'!$B$5:$D$88,3,0),0))</f>
        <v>4.3500000000000005</v>
      </c>
      <c r="P13" s="72">
        <f>IF(B13=0,"",IFERROR(VLOOKUP(B13,'T-ASIG-02'!$B$5:$D$88,3,0),0))</f>
        <v>0</v>
      </c>
      <c r="Q13" s="72">
        <f>IF(B13=0,"",IFERROR(VLOOKUP(B13,'T-ASIG-03'!$B$5:$D$88,3,0),0))</f>
        <v>4.5</v>
      </c>
      <c r="R13" s="72">
        <f>IF(B13=0,"",IFERROR(VLOOKUP(B13,'T-ASIG-04'!$B$5:$D$88,3,0),0))</f>
        <v>0</v>
      </c>
      <c r="S13" s="72">
        <f>IF(B13=0,"",IFERROR(VLOOKUP(B13,'T-ASIG-05'!$B$5:$D$88,3,0),0))</f>
        <v>4.3500000000000005</v>
      </c>
      <c r="T13" s="72">
        <f>IF(B13=0,"",IFERROR(VLOOKUP(B13,'T-ASIG-06'!$B$5:$D$88,3,0),0))</f>
        <v>4.3500000000000005</v>
      </c>
      <c r="U13" s="73">
        <f>IF(B13=0,"",IFERROR(VLOOKUP(B13,'T-ASIG-07'!$B$5:$D$88,3,0),0))</f>
        <v>4.3500000000000005</v>
      </c>
      <c r="V13" s="69" t="s">
        <v>119</v>
      </c>
    </row>
    <row r="14" spans="1:22" ht="15" customHeight="1">
      <c r="A14" s="12">
        <v>10</v>
      </c>
      <c r="B14" s="70" t="str">
        <f>LIDER!C18</f>
        <v>JARAH LUCIA CUETO FLOREZ</v>
      </c>
      <c r="C14" s="64" t="str">
        <f>IF(B14=0,"",IFERROR(VLOOKUP(B14,'S-ASIG-01'!$B$5:$E$88,2,0),0))</f>
        <v>G03</v>
      </c>
      <c r="D14" s="65">
        <f t="shared" si="2"/>
        <v>3.9849999999999999</v>
      </c>
      <c r="E14" s="66">
        <f t="shared" si="3"/>
        <v>4.3800000000000008</v>
      </c>
      <c r="F14" s="47"/>
      <c r="G14" s="71">
        <f>IF(B14=0,"",IFERROR(VLOOKUP(B14,'S-ASIG-01'!$B$5:$E$88,4,0),0))</f>
        <v>4.28</v>
      </c>
      <c r="H14" s="72">
        <f>IF(B14=0,"",IFERROR(VLOOKUP(B14,'S-ASIG-02'!$B$5:$E$88,4,0),0))</f>
        <v>0</v>
      </c>
      <c r="I14" s="72">
        <f>IF(B14=0,"",IFERROR(VLOOKUP(B14,'S-ASIG-03'!$B$5:$E$88,4,0),0))</f>
        <v>0</v>
      </c>
      <c r="J14" s="72">
        <f>IF(B14=0,"",IFERROR(VLOOKUP(B14,'S-ASIG-04'!$B$5:$E$88,4,0),0))</f>
        <v>4.0999999999999996</v>
      </c>
      <c r="K14" s="72">
        <f>IF(B14=0,"",IFERROR(VLOOKUP(B14,'S-ASIG-05'!$B$5:$E$88,4,0),0))</f>
        <v>3.56</v>
      </c>
      <c r="L14" s="72">
        <f>IF(B14=0,"",IFERROR(VLOOKUP(B14,'S-ASIG-06'!$B$5:$E$88,4,0),0))</f>
        <v>3.9999999999999996</v>
      </c>
      <c r="M14" s="73">
        <f>IF(B14=0,"",IFERROR(VLOOKUP(B14,'S-ASIG-07'!$B$5:$E$88,4,0),0))</f>
        <v>0</v>
      </c>
      <c r="N14" s="68" t="s">
        <v>118</v>
      </c>
      <c r="O14" s="71">
        <f>IF(B14=0,"",IFERROR(VLOOKUP(B14,'T-ASIG-01'!$B$5:$D$88,3,0),0))</f>
        <v>4.3500000000000005</v>
      </c>
      <c r="P14" s="72">
        <f>IF(B14=0,"",IFERROR(VLOOKUP(B14,'T-ASIG-02'!$B$5:$D$88,3,0),0))</f>
        <v>0</v>
      </c>
      <c r="Q14" s="72">
        <f>IF(B14=0,"",IFERROR(VLOOKUP(B14,'T-ASIG-03'!$B$5:$D$88,3,0),0))</f>
        <v>4.5</v>
      </c>
      <c r="R14" s="72">
        <f>IF(B14=0,"",IFERROR(VLOOKUP(B14,'T-ASIG-04'!$B$5:$D$88,3,0),0))</f>
        <v>0</v>
      </c>
      <c r="S14" s="72">
        <f>IF(B14=0,"",IFERROR(VLOOKUP(B14,'T-ASIG-05'!$B$5:$D$88,3,0),0))</f>
        <v>4.3500000000000005</v>
      </c>
      <c r="T14" s="72">
        <f>IF(B14=0,"",IFERROR(VLOOKUP(B14,'T-ASIG-06'!$B$5:$D$88,3,0),0))</f>
        <v>4.3500000000000005</v>
      </c>
      <c r="U14" s="73">
        <f>IF(B14=0,"",IFERROR(VLOOKUP(B14,'T-ASIG-07'!$B$5:$D$88,3,0),0))</f>
        <v>4.3500000000000005</v>
      </c>
      <c r="V14" s="69" t="s">
        <v>119</v>
      </c>
    </row>
    <row r="15" spans="1:22" ht="15" customHeight="1">
      <c r="A15" s="12">
        <v>11</v>
      </c>
      <c r="B15" s="70" t="str">
        <f>LIDER!C19</f>
        <v>ISAMAR DE AVILA SANDOVAL</v>
      </c>
      <c r="C15" s="64" t="str">
        <f>IF(B15=0,"",IFERROR(VLOOKUP(B15,'S-ASIG-01'!$B$5:$E$88,2,0),0))</f>
        <v>G03</v>
      </c>
      <c r="D15" s="65">
        <f t="shared" si="2"/>
        <v>3.9849999999999999</v>
      </c>
      <c r="E15" s="66">
        <f t="shared" si="3"/>
        <v>4.3800000000000008</v>
      </c>
      <c r="F15" s="47"/>
      <c r="G15" s="71">
        <f>IF(B15=0,"",IFERROR(VLOOKUP(B15,'S-ASIG-01'!$B$5:$E$88,4,0),0))</f>
        <v>4.28</v>
      </c>
      <c r="H15" s="72">
        <f>IF(B15=0,"",IFERROR(VLOOKUP(B15,'S-ASIG-02'!$B$5:$E$88,4,0),0))</f>
        <v>0</v>
      </c>
      <c r="I15" s="72">
        <f>IF(B15=0,"",IFERROR(VLOOKUP(B15,'S-ASIG-03'!$B$5:$E$88,4,0),0))</f>
        <v>0</v>
      </c>
      <c r="J15" s="72">
        <f>IF(B15=0,"",IFERROR(VLOOKUP(B15,'S-ASIG-04'!$B$5:$E$88,4,0),0))</f>
        <v>4.0999999999999996</v>
      </c>
      <c r="K15" s="72">
        <f>IF(B15=0,"",IFERROR(VLOOKUP(B15,'S-ASIG-05'!$B$5:$E$88,4,0),0))</f>
        <v>3.56</v>
      </c>
      <c r="L15" s="72">
        <f>IF(B15=0,"",IFERROR(VLOOKUP(B15,'S-ASIG-06'!$B$5:$E$88,4,0),0))</f>
        <v>3.9999999999999996</v>
      </c>
      <c r="M15" s="73">
        <f>IF(B15=0,"",IFERROR(VLOOKUP(B15,'S-ASIG-07'!$B$5:$E$88,4,0),0))</f>
        <v>0</v>
      </c>
      <c r="N15" s="68" t="s">
        <v>118</v>
      </c>
      <c r="O15" s="71">
        <f>IF(B15=0,"",IFERROR(VLOOKUP(B15,'T-ASIG-01'!$B$5:$D$88,3,0),0))</f>
        <v>4.3500000000000005</v>
      </c>
      <c r="P15" s="72">
        <f>IF(B15=0,"",IFERROR(VLOOKUP(B15,'T-ASIG-02'!$B$5:$D$88,3,0),0))</f>
        <v>0</v>
      </c>
      <c r="Q15" s="72">
        <f>IF(B15=0,"",IFERROR(VLOOKUP(B15,'T-ASIG-03'!$B$5:$D$88,3,0),0))</f>
        <v>4.5</v>
      </c>
      <c r="R15" s="72">
        <f>IF(B15=0,"",IFERROR(VLOOKUP(B15,'T-ASIG-04'!$B$5:$D$88,3,0),0))</f>
        <v>0</v>
      </c>
      <c r="S15" s="72">
        <f>IF(B15=0,"",IFERROR(VLOOKUP(B15,'T-ASIG-05'!$B$5:$D$88,3,0),0))</f>
        <v>4.3500000000000005</v>
      </c>
      <c r="T15" s="72">
        <f>IF(B15=0,"",IFERROR(VLOOKUP(B15,'T-ASIG-06'!$B$5:$D$88,3,0),0))</f>
        <v>4.3500000000000005</v>
      </c>
      <c r="U15" s="73">
        <f>IF(B15=0,"",IFERROR(VLOOKUP(B15,'T-ASIG-07'!$B$5:$D$88,3,0),0))</f>
        <v>4.3500000000000005</v>
      </c>
      <c r="V15" s="69" t="s">
        <v>119</v>
      </c>
    </row>
    <row r="16" spans="1:22" ht="15" customHeight="1">
      <c r="A16" s="12">
        <v>12</v>
      </c>
      <c r="B16" s="70" t="str">
        <f>LIDER!C20</f>
        <v>KATHERIN LISETH MARTINEZ MARRUGO</v>
      </c>
      <c r="C16" s="64" t="str">
        <f>IF(B16=0,"",IFERROR(VLOOKUP(B16,'S-ASIG-01'!$B$5:$E$88,2,0),0))</f>
        <v>G03</v>
      </c>
      <c r="D16" s="65">
        <f t="shared" si="2"/>
        <v>3.9849999999999999</v>
      </c>
      <c r="E16" s="66">
        <f t="shared" si="3"/>
        <v>4.3800000000000008</v>
      </c>
      <c r="F16" s="47"/>
      <c r="G16" s="71">
        <f>IF(B16=0,"",IFERROR(VLOOKUP(B16,'S-ASIG-01'!$B$5:$E$88,4,0),0))</f>
        <v>4.28</v>
      </c>
      <c r="H16" s="72">
        <f>IF(B16=0,"",IFERROR(VLOOKUP(B16,'S-ASIG-02'!$B$5:$E$88,4,0),0))</f>
        <v>0</v>
      </c>
      <c r="I16" s="72">
        <f>IF(B16=0,"",IFERROR(VLOOKUP(B16,'S-ASIG-03'!$B$5:$E$88,4,0),0))</f>
        <v>0</v>
      </c>
      <c r="J16" s="72">
        <f>IF(B16=0,"",IFERROR(VLOOKUP(B16,'S-ASIG-04'!$B$5:$E$88,4,0),0))</f>
        <v>4.0999999999999996</v>
      </c>
      <c r="K16" s="72">
        <f>IF(B16=0,"",IFERROR(VLOOKUP(B16,'S-ASIG-05'!$B$5:$E$88,4,0),0))</f>
        <v>3.56</v>
      </c>
      <c r="L16" s="72">
        <f>IF(B16=0,"",IFERROR(VLOOKUP(B16,'S-ASIG-06'!$B$5:$E$88,4,0),0))</f>
        <v>3.9999999999999996</v>
      </c>
      <c r="M16" s="73">
        <f>IF(B16=0,"",IFERROR(VLOOKUP(B16,'S-ASIG-07'!$B$5:$E$88,4,0),0))</f>
        <v>0</v>
      </c>
      <c r="N16" s="68" t="s">
        <v>118</v>
      </c>
      <c r="O16" s="71">
        <f>IF(B16=0,"",IFERROR(VLOOKUP(B16,'T-ASIG-01'!$B$5:$D$88,3,0),0))</f>
        <v>4.3500000000000005</v>
      </c>
      <c r="P16" s="72">
        <f>IF(B16=0,"",IFERROR(VLOOKUP(B16,'T-ASIG-02'!$B$5:$D$88,3,0),0))</f>
        <v>0</v>
      </c>
      <c r="Q16" s="72">
        <f>IF(B16=0,"",IFERROR(VLOOKUP(B16,'T-ASIG-03'!$B$5:$D$88,3,0),0))</f>
        <v>4.5</v>
      </c>
      <c r="R16" s="72">
        <f>IF(B16=0,"",IFERROR(VLOOKUP(B16,'T-ASIG-04'!$B$5:$D$88,3,0),0))</f>
        <v>0</v>
      </c>
      <c r="S16" s="72">
        <f>IF(B16=0,"",IFERROR(VLOOKUP(B16,'T-ASIG-05'!$B$5:$D$88,3,0),0))</f>
        <v>4.3500000000000005</v>
      </c>
      <c r="T16" s="72">
        <f>IF(B16=0,"",IFERROR(VLOOKUP(B16,'T-ASIG-06'!$B$5:$D$88,3,0),0))</f>
        <v>4.3500000000000005</v>
      </c>
      <c r="U16" s="73">
        <f>IF(B16=0,"",IFERROR(VLOOKUP(B16,'T-ASIG-07'!$B$5:$D$88,3,0),0))</f>
        <v>4.3500000000000005</v>
      </c>
      <c r="V16" s="69" t="s">
        <v>119</v>
      </c>
    </row>
    <row r="17" spans="1:22" ht="15" customHeight="1">
      <c r="A17" s="12">
        <v>13</v>
      </c>
      <c r="B17" s="70" t="str">
        <f>LIDER!C21</f>
        <v>ESTEFANIA PATRICIA OSORIO HERRERA</v>
      </c>
      <c r="C17" s="64" t="str">
        <f>IF(B17=0,"",IFERROR(VLOOKUP(B17,'S-ASIG-01'!$B$5:$E$88,2,0),0))</f>
        <v>G03</v>
      </c>
      <c r="D17" s="65">
        <f t="shared" si="2"/>
        <v>3.9849999999999999</v>
      </c>
      <c r="E17" s="66">
        <f t="shared" si="3"/>
        <v>4.3800000000000008</v>
      </c>
      <c r="F17" s="47"/>
      <c r="G17" s="71">
        <f>IF(B17=0,"",IFERROR(VLOOKUP(B17,'S-ASIG-01'!$B$5:$E$88,4,0),0))</f>
        <v>4.28</v>
      </c>
      <c r="H17" s="72">
        <f>IF(B17=0,"",IFERROR(VLOOKUP(B17,'S-ASIG-02'!$B$5:$E$88,4,0),0))</f>
        <v>0</v>
      </c>
      <c r="I17" s="72">
        <f>IF(B17=0,"",IFERROR(VLOOKUP(B17,'S-ASIG-03'!$B$5:$E$88,4,0),0))</f>
        <v>0</v>
      </c>
      <c r="J17" s="72">
        <f>IF(B17=0,"",IFERROR(VLOOKUP(B17,'S-ASIG-04'!$B$5:$E$88,4,0),0))</f>
        <v>4.0999999999999996</v>
      </c>
      <c r="K17" s="72">
        <f>IF(B17=0,"",IFERROR(VLOOKUP(B17,'S-ASIG-05'!$B$5:$E$88,4,0),0))</f>
        <v>3.56</v>
      </c>
      <c r="L17" s="72">
        <f>IF(B17=0,"",IFERROR(VLOOKUP(B17,'S-ASIG-06'!$B$5:$E$88,4,0),0))</f>
        <v>3.9999999999999996</v>
      </c>
      <c r="M17" s="73">
        <f>IF(B17=0,"",IFERROR(VLOOKUP(B17,'S-ASIG-07'!$B$5:$E$88,4,0),0))</f>
        <v>0</v>
      </c>
      <c r="N17" s="68" t="s">
        <v>118</v>
      </c>
      <c r="O17" s="71">
        <f>IF(B17=0,"",IFERROR(VLOOKUP(B17,'T-ASIG-01'!$B$5:$D$88,3,0),0))</f>
        <v>4.3500000000000005</v>
      </c>
      <c r="P17" s="72">
        <f>IF(B17=0,"",IFERROR(VLOOKUP(B17,'T-ASIG-02'!$B$5:$D$88,3,0),0))</f>
        <v>0</v>
      </c>
      <c r="Q17" s="72">
        <f>IF(B17=0,"",IFERROR(VLOOKUP(B17,'T-ASIG-03'!$B$5:$D$88,3,0),0))</f>
        <v>4.5</v>
      </c>
      <c r="R17" s="72">
        <f>IF(B17=0,"",IFERROR(VLOOKUP(B17,'T-ASIG-04'!$B$5:$D$88,3,0),0))</f>
        <v>0</v>
      </c>
      <c r="S17" s="72">
        <f>IF(B17=0,"",IFERROR(VLOOKUP(B17,'T-ASIG-05'!$B$5:$D$88,3,0),0))</f>
        <v>4.3500000000000005</v>
      </c>
      <c r="T17" s="72">
        <f>IF(B17=0,"",IFERROR(VLOOKUP(B17,'T-ASIG-06'!$B$5:$D$88,3,0),0))</f>
        <v>4.3500000000000005</v>
      </c>
      <c r="U17" s="73">
        <f>IF(B17=0,"",IFERROR(VLOOKUP(B17,'T-ASIG-07'!$B$5:$D$88,3,0),0))</f>
        <v>4.3500000000000005</v>
      </c>
      <c r="V17" s="69" t="s">
        <v>119</v>
      </c>
    </row>
    <row r="18" spans="1:22" ht="15" customHeight="1">
      <c r="A18" s="12">
        <v>14</v>
      </c>
      <c r="B18" s="70" t="str">
        <f>LIDER!C22</f>
        <v>JUAN CAMILO SEPULVEDA PADILLA</v>
      </c>
      <c r="C18" s="64" t="str">
        <f>IF(B18=0,"",IFERROR(VLOOKUP(B18,'S-ASIG-01'!$B$5:$E$88,2,0),0))</f>
        <v>G03</v>
      </c>
      <c r="D18" s="65">
        <f t="shared" si="2"/>
        <v>3.9849999999999999</v>
      </c>
      <c r="E18" s="66">
        <f t="shared" si="3"/>
        <v>4.3800000000000008</v>
      </c>
      <c r="F18" s="47"/>
      <c r="G18" s="71">
        <f>IF(B18=0,"",IFERROR(VLOOKUP(B18,'S-ASIG-01'!$B$5:$E$88,4,0),0))</f>
        <v>4.28</v>
      </c>
      <c r="H18" s="72">
        <f>IF(B18=0,"",IFERROR(VLOOKUP(B18,'S-ASIG-02'!$B$5:$E$88,4,0),0))</f>
        <v>0</v>
      </c>
      <c r="I18" s="72">
        <f>IF(B18=0,"",IFERROR(VLOOKUP(B18,'S-ASIG-03'!$B$5:$E$88,4,0),0))</f>
        <v>0</v>
      </c>
      <c r="J18" s="72">
        <f>IF(B18=0,"",IFERROR(VLOOKUP(B18,'S-ASIG-04'!$B$5:$E$88,4,0),0))</f>
        <v>4.0999999999999996</v>
      </c>
      <c r="K18" s="72">
        <f>IF(B18=0,"",IFERROR(VLOOKUP(B18,'S-ASIG-05'!$B$5:$E$88,4,0),0))</f>
        <v>3.56</v>
      </c>
      <c r="L18" s="72">
        <f>IF(B18=0,"",IFERROR(VLOOKUP(B18,'S-ASIG-06'!$B$5:$E$88,4,0),0))</f>
        <v>3.9999999999999996</v>
      </c>
      <c r="M18" s="73">
        <f>IF(B18=0,"",IFERROR(VLOOKUP(B18,'S-ASIG-07'!$B$5:$E$88,4,0),0))</f>
        <v>0</v>
      </c>
      <c r="N18" s="68" t="s">
        <v>118</v>
      </c>
      <c r="O18" s="71">
        <f>IF(B18=0,"",IFERROR(VLOOKUP(B18,'T-ASIG-01'!$B$5:$D$88,3,0),0))</f>
        <v>4.3500000000000005</v>
      </c>
      <c r="P18" s="72">
        <f>IF(B18=0,"",IFERROR(VLOOKUP(B18,'T-ASIG-02'!$B$5:$D$88,3,0),0))</f>
        <v>0</v>
      </c>
      <c r="Q18" s="72">
        <f>IF(B18=0,"",IFERROR(VLOOKUP(B18,'T-ASIG-03'!$B$5:$D$88,3,0),0))</f>
        <v>4.5</v>
      </c>
      <c r="R18" s="72">
        <f>IF(B18=0,"",IFERROR(VLOOKUP(B18,'T-ASIG-04'!$B$5:$D$88,3,0),0))</f>
        <v>0</v>
      </c>
      <c r="S18" s="72">
        <f>IF(B18=0,"",IFERROR(VLOOKUP(B18,'T-ASIG-05'!$B$5:$D$88,3,0),0))</f>
        <v>4.3500000000000005</v>
      </c>
      <c r="T18" s="72">
        <f>IF(B18=0,"",IFERROR(VLOOKUP(B18,'T-ASIG-06'!$B$5:$D$88,3,0),0))</f>
        <v>4.3500000000000005</v>
      </c>
      <c r="U18" s="73">
        <f>IF(B18=0,"",IFERROR(VLOOKUP(B18,'T-ASIG-07'!$B$5:$D$88,3,0),0))</f>
        <v>4.3500000000000005</v>
      </c>
      <c r="V18" s="69" t="s">
        <v>119</v>
      </c>
    </row>
    <row r="19" spans="1:22" ht="15" customHeight="1">
      <c r="A19" s="12">
        <v>15</v>
      </c>
      <c r="B19" s="70" t="str">
        <f>LIDER!C23</f>
        <v>JAZMIN ADRIANA AREVALO RUIZDIAZ</v>
      </c>
      <c r="C19" s="64" t="str">
        <f>IF(B19=0,"",IFERROR(VLOOKUP(B19,'S-ASIG-01'!$B$5:$E$88,2,0),0))</f>
        <v>G04</v>
      </c>
      <c r="D19" s="65">
        <f t="shared" si="2"/>
        <v>3.6900000000000004</v>
      </c>
      <c r="E19" s="66">
        <f t="shared" si="3"/>
        <v>4.2</v>
      </c>
      <c r="F19" s="47"/>
      <c r="G19" s="71">
        <f>IF(B19=0,"",IFERROR(VLOOKUP(B19,'S-ASIG-01'!$B$5:$E$88,4,0),0))</f>
        <v>3.8300000000000005</v>
      </c>
      <c r="H19" s="72">
        <f>IF(B19=0,"",IFERROR(VLOOKUP(B19,'S-ASIG-02'!$B$5:$E$88,4,0),0))</f>
        <v>0</v>
      </c>
      <c r="I19" s="72">
        <f>IF(B19=0,"",IFERROR(VLOOKUP(B19,'S-ASIG-03'!$B$5:$E$88,4,0),0))</f>
        <v>0</v>
      </c>
      <c r="J19" s="72">
        <f>IF(B19=0,"",IFERROR(VLOOKUP(B19,'S-ASIG-04'!$B$5:$E$88,4,0),0))</f>
        <v>3.4000000000000004</v>
      </c>
      <c r="K19" s="72">
        <f>IF(B19=0,"",IFERROR(VLOOKUP(B19,'S-ASIG-05'!$B$5:$E$88,4,0),0))</f>
        <v>3.5300000000000007</v>
      </c>
      <c r="L19" s="72">
        <f>IF(B19=0,"",IFERROR(VLOOKUP(B19,'S-ASIG-06'!$B$5:$E$88,4,0),0))</f>
        <v>3.9999999999999996</v>
      </c>
      <c r="M19" s="73">
        <f>IF(B19=0,"",IFERROR(VLOOKUP(B19,'S-ASIG-07'!$B$5:$E$88,4,0),0))</f>
        <v>0</v>
      </c>
      <c r="N19" s="68" t="s">
        <v>118</v>
      </c>
      <c r="O19" s="71">
        <f>IF(B19=0,"",IFERROR(VLOOKUP(B19,'T-ASIG-01'!$B$5:$D$88,3,0),0))</f>
        <v>4.2</v>
      </c>
      <c r="P19" s="72">
        <f>IF(B19=0,"",IFERROR(VLOOKUP(B19,'T-ASIG-02'!$B$5:$D$88,3,0),0))</f>
        <v>0</v>
      </c>
      <c r="Q19" s="72">
        <f>IF(B19=0,"",IFERROR(VLOOKUP(B19,'T-ASIG-03'!$B$5:$D$88,3,0),0))</f>
        <v>4.2</v>
      </c>
      <c r="R19" s="72">
        <f>IF(B19=0,"",IFERROR(VLOOKUP(B19,'T-ASIG-04'!$B$5:$D$88,3,0),0))</f>
        <v>0</v>
      </c>
      <c r="S19" s="72">
        <f>IF(B19=0,"",IFERROR(VLOOKUP(B19,'T-ASIG-05'!$B$5:$D$88,3,0),0))</f>
        <v>4.2</v>
      </c>
      <c r="T19" s="72">
        <f>IF(B19=0,"",IFERROR(VLOOKUP(B19,'T-ASIG-06'!$B$5:$D$88,3,0),0))</f>
        <v>4.2</v>
      </c>
      <c r="U19" s="73">
        <f>IF(B19=0,"",IFERROR(VLOOKUP(B19,'T-ASIG-07'!$B$5:$D$88,3,0),0))</f>
        <v>4.2</v>
      </c>
      <c r="V19" s="69" t="s">
        <v>119</v>
      </c>
    </row>
    <row r="20" spans="1:22" ht="15" customHeight="1">
      <c r="A20" s="12">
        <v>16</v>
      </c>
      <c r="B20" s="70" t="str">
        <f>LIDER!C24</f>
        <v>ARIADNY ISABEL BANQUEZ OBESO</v>
      </c>
      <c r="C20" s="64" t="str">
        <f>IF(B20=0,"",IFERROR(VLOOKUP(B20,'S-ASIG-01'!$B$5:$E$88,2,0),0))</f>
        <v>G04</v>
      </c>
      <c r="D20" s="65">
        <f t="shared" si="2"/>
        <v>3.6900000000000004</v>
      </c>
      <c r="E20" s="66">
        <f t="shared" si="3"/>
        <v>4.2</v>
      </c>
      <c r="F20" s="47"/>
      <c r="G20" s="71">
        <f>IF(B20=0,"",IFERROR(VLOOKUP(B20,'S-ASIG-01'!$B$5:$E$88,4,0),0))</f>
        <v>3.8300000000000005</v>
      </c>
      <c r="H20" s="72">
        <f>IF(B20=0,"",IFERROR(VLOOKUP(B20,'S-ASIG-02'!$B$5:$E$88,4,0),0))</f>
        <v>0</v>
      </c>
      <c r="I20" s="72">
        <f>IF(B20=0,"",IFERROR(VLOOKUP(B20,'S-ASIG-03'!$B$5:$E$88,4,0),0))</f>
        <v>0</v>
      </c>
      <c r="J20" s="72">
        <f>IF(B20=0,"",IFERROR(VLOOKUP(B20,'S-ASIG-04'!$B$5:$E$88,4,0),0))</f>
        <v>3.4000000000000004</v>
      </c>
      <c r="K20" s="72">
        <f>IF(B20=0,"",IFERROR(VLOOKUP(B20,'S-ASIG-05'!$B$5:$E$88,4,0),0))</f>
        <v>3.5300000000000007</v>
      </c>
      <c r="L20" s="72">
        <f>IF(B20=0,"",IFERROR(VLOOKUP(B20,'S-ASIG-06'!$B$5:$E$88,4,0),0))</f>
        <v>3.9999999999999996</v>
      </c>
      <c r="M20" s="73">
        <f>IF(B20=0,"",IFERROR(VLOOKUP(B20,'S-ASIG-07'!$B$5:$E$88,4,0),0))</f>
        <v>0</v>
      </c>
      <c r="N20" s="68" t="s">
        <v>118</v>
      </c>
      <c r="O20" s="71">
        <f>IF(B20=0,"",IFERROR(VLOOKUP(B20,'T-ASIG-01'!$B$5:$D$88,3,0),0))</f>
        <v>4.2</v>
      </c>
      <c r="P20" s="72">
        <f>IF(B20=0,"",IFERROR(VLOOKUP(B20,'T-ASIG-02'!$B$5:$D$88,3,0),0))</f>
        <v>0</v>
      </c>
      <c r="Q20" s="72">
        <f>IF(B20=0,"",IFERROR(VLOOKUP(B20,'T-ASIG-03'!$B$5:$D$88,3,0),0))</f>
        <v>4.2</v>
      </c>
      <c r="R20" s="72">
        <f>IF(B20=0,"",IFERROR(VLOOKUP(B20,'T-ASIG-04'!$B$5:$D$88,3,0),0))</f>
        <v>0</v>
      </c>
      <c r="S20" s="72">
        <f>IF(B20=0,"",IFERROR(VLOOKUP(B20,'T-ASIG-05'!$B$5:$D$88,3,0),0))</f>
        <v>4.2</v>
      </c>
      <c r="T20" s="72">
        <f>IF(B20=0,"",IFERROR(VLOOKUP(B20,'T-ASIG-06'!$B$5:$D$88,3,0),0))</f>
        <v>4.2</v>
      </c>
      <c r="U20" s="73">
        <f>IF(B20=0,"",IFERROR(VLOOKUP(B20,'T-ASIG-07'!$B$5:$D$88,3,0),0))</f>
        <v>4.2</v>
      </c>
      <c r="V20" s="69" t="s">
        <v>119</v>
      </c>
    </row>
    <row r="21" spans="1:22" ht="15" customHeight="1">
      <c r="A21" s="12">
        <v>17</v>
      </c>
      <c r="B21" s="70" t="str">
        <f>LIDER!C25</f>
        <v>MARIANA SOFIA BUELVAS GUZMAN</v>
      </c>
      <c r="C21" s="64" t="str">
        <f>IF(B21=0,"",IFERROR(VLOOKUP(B21,'S-ASIG-01'!$B$5:$E$88,2,0),0))</f>
        <v>G04</v>
      </c>
      <c r="D21" s="65">
        <f t="shared" si="2"/>
        <v>3.6900000000000004</v>
      </c>
      <c r="E21" s="66">
        <f t="shared" si="3"/>
        <v>4.2</v>
      </c>
      <c r="F21" s="47"/>
      <c r="G21" s="71">
        <f>IF(B21=0,"",IFERROR(VLOOKUP(B21,'S-ASIG-01'!$B$5:$E$88,4,0),0))</f>
        <v>3.8300000000000005</v>
      </c>
      <c r="H21" s="72">
        <f>IF(B21=0,"",IFERROR(VLOOKUP(B21,'S-ASIG-02'!$B$5:$E$88,4,0),0))</f>
        <v>0</v>
      </c>
      <c r="I21" s="72">
        <f>IF(B21=0,"",IFERROR(VLOOKUP(B21,'S-ASIG-03'!$B$5:$E$88,4,0),0))</f>
        <v>0</v>
      </c>
      <c r="J21" s="72">
        <f>IF(B21=0,"",IFERROR(VLOOKUP(B21,'S-ASIG-04'!$B$5:$E$88,4,0),0))</f>
        <v>3.4000000000000004</v>
      </c>
      <c r="K21" s="72">
        <f>IF(B21=0,"",IFERROR(VLOOKUP(B21,'S-ASIG-05'!$B$5:$E$88,4,0),0))</f>
        <v>3.5300000000000007</v>
      </c>
      <c r="L21" s="72">
        <f>IF(B21=0,"",IFERROR(VLOOKUP(B21,'S-ASIG-06'!$B$5:$E$88,4,0),0))</f>
        <v>3.9999999999999996</v>
      </c>
      <c r="M21" s="73">
        <f>IF(B21=0,"",IFERROR(VLOOKUP(B21,'S-ASIG-07'!$B$5:$E$88,4,0),0))</f>
        <v>0</v>
      </c>
      <c r="N21" s="68" t="s">
        <v>118</v>
      </c>
      <c r="O21" s="71">
        <f>IF(B21=0,"",IFERROR(VLOOKUP(B21,'T-ASIG-01'!$B$5:$D$88,3,0),0))</f>
        <v>4.2</v>
      </c>
      <c r="P21" s="72">
        <f>IF(B21=0,"",IFERROR(VLOOKUP(B21,'T-ASIG-02'!$B$5:$D$88,3,0),0))</f>
        <v>0</v>
      </c>
      <c r="Q21" s="72">
        <f>IF(B21=0,"",IFERROR(VLOOKUP(B21,'T-ASIG-03'!$B$5:$D$88,3,0),0))</f>
        <v>4.2</v>
      </c>
      <c r="R21" s="72">
        <f>IF(B21=0,"",IFERROR(VLOOKUP(B21,'T-ASIG-04'!$B$5:$D$88,3,0),0))</f>
        <v>0</v>
      </c>
      <c r="S21" s="72">
        <f>IF(B21=0,"",IFERROR(VLOOKUP(B21,'T-ASIG-05'!$B$5:$D$88,3,0),0))</f>
        <v>4.2</v>
      </c>
      <c r="T21" s="72">
        <f>IF(B21=0,"",IFERROR(VLOOKUP(B21,'T-ASIG-06'!$B$5:$D$88,3,0),0))</f>
        <v>4.2</v>
      </c>
      <c r="U21" s="73">
        <f>IF(B21=0,"",IFERROR(VLOOKUP(B21,'T-ASIG-07'!$B$5:$D$88,3,0),0))</f>
        <v>4.2</v>
      </c>
      <c r="V21" s="69" t="s">
        <v>119</v>
      </c>
    </row>
    <row r="22" spans="1:22" ht="15" customHeight="1">
      <c r="A22" s="12">
        <v>18</v>
      </c>
      <c r="B22" s="70" t="str">
        <f>LIDER!C26</f>
        <v>SAMUEL DAVID CANTILLO MARTELO</v>
      </c>
      <c r="C22" s="64" t="str">
        <f>IF(B22=0,"",IFERROR(VLOOKUP(B22,'S-ASIG-01'!$B$5:$E$88,2,0),0))</f>
        <v>G04</v>
      </c>
      <c r="D22" s="65">
        <f t="shared" si="2"/>
        <v>3.6900000000000004</v>
      </c>
      <c r="E22" s="66">
        <f t="shared" si="3"/>
        <v>4.2</v>
      </c>
      <c r="F22" s="47"/>
      <c r="G22" s="71">
        <f>IF(B22=0,"",IFERROR(VLOOKUP(B22,'S-ASIG-01'!$B$5:$E$88,4,0),0))</f>
        <v>3.8300000000000005</v>
      </c>
      <c r="H22" s="72">
        <f>IF(B22=0,"",IFERROR(VLOOKUP(B22,'S-ASIG-02'!$B$5:$E$88,4,0),0))</f>
        <v>0</v>
      </c>
      <c r="I22" s="72">
        <f>IF(B22=0,"",IFERROR(VLOOKUP(B22,'S-ASIG-03'!$B$5:$E$88,4,0),0))</f>
        <v>0</v>
      </c>
      <c r="J22" s="72">
        <f>IF(B22=0,"",IFERROR(VLOOKUP(B22,'S-ASIG-04'!$B$5:$E$88,4,0),0))</f>
        <v>3.4000000000000004</v>
      </c>
      <c r="K22" s="72">
        <f>IF(B22=0,"",IFERROR(VLOOKUP(B22,'S-ASIG-05'!$B$5:$E$88,4,0),0))</f>
        <v>3.5300000000000007</v>
      </c>
      <c r="L22" s="72">
        <f>IF(B22=0,"",IFERROR(VLOOKUP(B22,'S-ASIG-06'!$B$5:$E$88,4,0),0))</f>
        <v>3.9999999999999996</v>
      </c>
      <c r="M22" s="73">
        <f>IF(B22=0,"",IFERROR(VLOOKUP(B22,'S-ASIG-07'!$B$5:$E$88,4,0),0))</f>
        <v>0</v>
      </c>
      <c r="N22" s="68" t="s">
        <v>118</v>
      </c>
      <c r="O22" s="71">
        <f>IF(B22=0,"",IFERROR(VLOOKUP(B22,'T-ASIG-01'!$B$5:$D$88,3,0),0))</f>
        <v>4.2</v>
      </c>
      <c r="P22" s="72">
        <f>IF(B22=0,"",IFERROR(VLOOKUP(B22,'T-ASIG-02'!$B$5:$D$88,3,0),0))</f>
        <v>0</v>
      </c>
      <c r="Q22" s="72">
        <f>IF(B22=0,"",IFERROR(VLOOKUP(B22,'T-ASIG-03'!$B$5:$D$88,3,0),0))</f>
        <v>4.2</v>
      </c>
      <c r="R22" s="72">
        <f>IF(B22=0,"",IFERROR(VLOOKUP(B22,'T-ASIG-04'!$B$5:$D$88,3,0),0))</f>
        <v>0</v>
      </c>
      <c r="S22" s="72">
        <f>IF(B22=0,"",IFERROR(VLOOKUP(B22,'T-ASIG-05'!$B$5:$D$88,3,0),0))</f>
        <v>4.2</v>
      </c>
      <c r="T22" s="72">
        <f>IF(B22=0,"",IFERROR(VLOOKUP(B22,'T-ASIG-06'!$B$5:$D$88,3,0),0))</f>
        <v>4.2</v>
      </c>
      <c r="U22" s="73">
        <f>IF(B22=0,"",IFERROR(VLOOKUP(B22,'T-ASIG-07'!$B$5:$D$88,3,0),0))</f>
        <v>4.2</v>
      </c>
      <c r="V22" s="69" t="s">
        <v>119</v>
      </c>
    </row>
    <row r="23" spans="1:22" ht="15" customHeight="1">
      <c r="A23" s="12">
        <v>19</v>
      </c>
      <c r="B23" s="70" t="str">
        <f>LIDER!C27</f>
        <v>ERICK FABIAN CASTELLON MARTINEZ</v>
      </c>
      <c r="C23" s="64" t="str">
        <f>IF(B23=0,"",IFERROR(VLOOKUP(B23,'S-ASIG-01'!$B$5:$E$88,2,0),0))</f>
        <v>G04</v>
      </c>
      <c r="D23" s="65">
        <f t="shared" si="2"/>
        <v>3.6900000000000004</v>
      </c>
      <c r="E23" s="66">
        <f t="shared" si="3"/>
        <v>4.2</v>
      </c>
      <c r="F23" s="47"/>
      <c r="G23" s="71">
        <f>IF(B23=0,"",IFERROR(VLOOKUP(B23,'S-ASIG-01'!$B$5:$E$88,4,0),0))</f>
        <v>3.8300000000000005</v>
      </c>
      <c r="H23" s="72">
        <f>IF(B23=0,"",IFERROR(VLOOKUP(B23,'S-ASIG-02'!$B$5:$E$88,4,0),0))</f>
        <v>0</v>
      </c>
      <c r="I23" s="72">
        <f>IF(B23=0,"",IFERROR(VLOOKUP(B23,'S-ASIG-03'!$B$5:$E$88,4,0),0))</f>
        <v>0</v>
      </c>
      <c r="J23" s="72">
        <f>IF(B23=0,"",IFERROR(VLOOKUP(B23,'S-ASIG-04'!$B$5:$E$88,4,0),0))</f>
        <v>3.4000000000000004</v>
      </c>
      <c r="K23" s="72">
        <f>IF(B23=0,"",IFERROR(VLOOKUP(B23,'S-ASIG-05'!$B$5:$E$88,4,0),0))</f>
        <v>3.5300000000000007</v>
      </c>
      <c r="L23" s="72">
        <f>IF(B23=0,"",IFERROR(VLOOKUP(B23,'S-ASIG-06'!$B$5:$E$88,4,0),0))</f>
        <v>3.9999999999999996</v>
      </c>
      <c r="M23" s="73">
        <f>IF(B23=0,"",IFERROR(VLOOKUP(B23,'S-ASIG-07'!$B$5:$E$88,4,0),0))</f>
        <v>0</v>
      </c>
      <c r="N23" s="68" t="s">
        <v>118</v>
      </c>
      <c r="O23" s="71">
        <f>IF(B23=0,"",IFERROR(VLOOKUP(B23,'T-ASIG-01'!$B$5:$D$88,3,0),0))</f>
        <v>4.2</v>
      </c>
      <c r="P23" s="72">
        <f>IF(B23=0,"",IFERROR(VLOOKUP(B23,'T-ASIG-02'!$B$5:$D$88,3,0),0))</f>
        <v>0</v>
      </c>
      <c r="Q23" s="72">
        <f>IF(B23=0,"",IFERROR(VLOOKUP(B23,'T-ASIG-03'!$B$5:$D$88,3,0),0))</f>
        <v>4.2</v>
      </c>
      <c r="R23" s="72">
        <f>IF(B23=0,"",IFERROR(VLOOKUP(B23,'T-ASIG-04'!$B$5:$D$88,3,0),0))</f>
        <v>0</v>
      </c>
      <c r="S23" s="72">
        <f>IF(B23=0,"",IFERROR(VLOOKUP(B23,'T-ASIG-05'!$B$5:$D$88,3,0),0))</f>
        <v>4.2</v>
      </c>
      <c r="T23" s="72">
        <f>IF(B23=0,"",IFERROR(VLOOKUP(B23,'T-ASIG-06'!$B$5:$D$88,3,0),0))</f>
        <v>4.2</v>
      </c>
      <c r="U23" s="73">
        <f>IF(B23=0,"",IFERROR(VLOOKUP(B23,'T-ASIG-07'!$B$5:$D$88,3,0),0))</f>
        <v>4.2</v>
      </c>
      <c r="V23" s="69" t="s">
        <v>119</v>
      </c>
    </row>
    <row r="24" spans="1:22" ht="15" customHeight="1">
      <c r="A24" s="12">
        <v>20</v>
      </c>
      <c r="B24" s="70" t="str">
        <f>LIDER!C28</f>
        <v>VALERIA FIGUEROA CUETO</v>
      </c>
      <c r="C24" s="64" t="str">
        <f>IF(B24=0,"",IFERROR(VLOOKUP(B24,'S-ASIG-01'!$B$5:$E$88,2,0),0))</f>
        <v>G04</v>
      </c>
      <c r="D24" s="65">
        <f t="shared" si="2"/>
        <v>3.6900000000000004</v>
      </c>
      <c r="E24" s="66">
        <f t="shared" si="3"/>
        <v>3.7</v>
      </c>
      <c r="F24" s="47"/>
      <c r="G24" s="71">
        <f>IF(B24=0,"",IFERROR(VLOOKUP(B24,'S-ASIG-01'!$B$5:$E$88,4,0),0))</f>
        <v>3.8300000000000005</v>
      </c>
      <c r="H24" s="72">
        <f>IF(B24=0,"",IFERROR(VLOOKUP(B24,'S-ASIG-02'!$B$5:$E$88,4,0),0))</f>
        <v>0</v>
      </c>
      <c r="I24" s="72">
        <f>IF(B24=0,"",IFERROR(VLOOKUP(B24,'S-ASIG-03'!$B$5:$E$88,4,0),0))</f>
        <v>0</v>
      </c>
      <c r="J24" s="72">
        <f>IF(B24=0,"",IFERROR(VLOOKUP(B24,'S-ASIG-04'!$B$5:$E$88,4,0),0))</f>
        <v>3.4000000000000004</v>
      </c>
      <c r="K24" s="72">
        <f>IF(B24=0,"",IFERROR(VLOOKUP(B24,'S-ASIG-05'!$B$5:$E$88,4,0),0))</f>
        <v>3.5300000000000007</v>
      </c>
      <c r="L24" s="72">
        <f>IF(B24=0,"",IFERROR(VLOOKUP(B24,'S-ASIG-06'!$B$5:$E$88,4,0),0))</f>
        <v>3.9999999999999996</v>
      </c>
      <c r="M24" s="73">
        <f>IF(B24=0,"",IFERROR(VLOOKUP(B24,'S-ASIG-07'!$B$5:$E$88,4,0),0))</f>
        <v>0</v>
      </c>
      <c r="N24" s="68" t="s">
        <v>118</v>
      </c>
      <c r="O24" s="71">
        <f>IF(B24=0,"",IFERROR(VLOOKUP(B24,'T-ASIG-01'!$B$5:$D$88,3,0),0))</f>
        <v>3.7</v>
      </c>
      <c r="P24" s="72">
        <f>IF(B24=0,"",IFERROR(VLOOKUP(B24,'T-ASIG-02'!$B$5:$D$88,3,0),0))</f>
        <v>0</v>
      </c>
      <c r="Q24" s="72">
        <f>IF(B24=0,"",IFERROR(VLOOKUP(B24,'T-ASIG-03'!$B$5:$D$88,3,0),0))</f>
        <v>3.7</v>
      </c>
      <c r="R24" s="72">
        <f>IF(B24=0,"",IFERROR(VLOOKUP(B24,'T-ASIG-04'!$B$5:$D$88,3,0),0))</f>
        <v>0</v>
      </c>
      <c r="S24" s="72">
        <f>IF(B24=0,"",IFERROR(VLOOKUP(B24,'T-ASIG-05'!$B$5:$D$88,3,0),0))</f>
        <v>3.7</v>
      </c>
      <c r="T24" s="72">
        <f>IF(B24=0,"",IFERROR(VLOOKUP(B24,'T-ASIG-06'!$B$5:$D$88,3,0),0))</f>
        <v>3.7</v>
      </c>
      <c r="U24" s="73">
        <f>IF(B24=0,"",IFERROR(VLOOKUP(B24,'T-ASIG-07'!$B$5:$D$88,3,0),0))</f>
        <v>3.7</v>
      </c>
      <c r="V24" s="69" t="s">
        <v>119</v>
      </c>
    </row>
    <row r="25" spans="1:22" ht="15" customHeight="1">
      <c r="A25" s="12">
        <v>21</v>
      </c>
      <c r="B25" s="70" t="str">
        <f>LIDER!C29</f>
        <v>NIYELI ALEJANDRA ARISTIZABAL CARMONA</v>
      </c>
      <c r="C25" s="64" t="str">
        <f>IF(B25=0,"",IFERROR(VLOOKUP(B25,'S-ASIG-01'!$B$5:$E$88,2,0),0))</f>
        <v>G05</v>
      </c>
      <c r="D25" s="65">
        <f t="shared" si="2"/>
        <v>4.01</v>
      </c>
      <c r="E25" s="66">
        <f t="shared" si="3"/>
        <v>4.1499999999999995</v>
      </c>
      <c r="F25" s="47"/>
      <c r="G25" s="71">
        <f>IF(B25=0,"",IFERROR(VLOOKUP(B25,'S-ASIG-01'!$B$5:$E$88,4,0),0))</f>
        <v>4.0999999999999996</v>
      </c>
      <c r="H25" s="72">
        <f>IF(B25=0,"",IFERROR(VLOOKUP(B25,'S-ASIG-02'!$B$5:$E$88,4,0),0))</f>
        <v>0</v>
      </c>
      <c r="I25" s="72">
        <f>IF(B25=0,"",IFERROR(VLOOKUP(B25,'S-ASIG-03'!$B$5:$E$88,4,0),0))</f>
        <v>0</v>
      </c>
      <c r="J25" s="72">
        <f>IF(B25=0,"",IFERROR(VLOOKUP(B25,'S-ASIG-04'!$B$5:$E$88,4,0),0))</f>
        <v>4.0999999999999996</v>
      </c>
      <c r="K25" s="72">
        <f>IF(B25=0,"",IFERROR(VLOOKUP(B25,'S-ASIG-05'!$B$5:$E$88,4,0),0))</f>
        <v>3.8400000000000003</v>
      </c>
      <c r="L25" s="72">
        <f>IF(B25=0,"",IFERROR(VLOOKUP(B25,'S-ASIG-06'!$B$5:$E$88,4,0),0))</f>
        <v>3.9999999999999996</v>
      </c>
      <c r="M25" s="73">
        <f>IF(B25=0,"",IFERROR(VLOOKUP(B25,'S-ASIG-07'!$B$5:$E$88,4,0),0))</f>
        <v>0</v>
      </c>
      <c r="N25" s="68" t="s">
        <v>118</v>
      </c>
      <c r="O25" s="71">
        <f>IF(B25=0,"",IFERROR(VLOOKUP(B25,'T-ASIG-01'!$B$5:$D$88,3,0),0))</f>
        <v>4.1499999999999995</v>
      </c>
      <c r="P25" s="72">
        <f>IF(B25=0,"",IFERROR(VLOOKUP(B25,'T-ASIG-02'!$B$5:$D$88,3,0),0))</f>
        <v>0</v>
      </c>
      <c r="Q25" s="72">
        <f>IF(B25=0,"",IFERROR(VLOOKUP(B25,'T-ASIG-03'!$B$5:$D$88,3,0),0))</f>
        <v>4.1499999999999995</v>
      </c>
      <c r="R25" s="72">
        <f>IF(B25=0,"",IFERROR(VLOOKUP(B25,'T-ASIG-04'!$B$5:$D$88,3,0),0))</f>
        <v>0</v>
      </c>
      <c r="S25" s="72">
        <f>IF(B25=0,"",IFERROR(VLOOKUP(B25,'T-ASIG-05'!$B$5:$D$88,3,0),0))</f>
        <v>4.1499999999999995</v>
      </c>
      <c r="T25" s="72">
        <f>IF(B25=0,"",IFERROR(VLOOKUP(B25,'T-ASIG-06'!$B$5:$D$88,3,0),0))</f>
        <v>4.1499999999999995</v>
      </c>
      <c r="U25" s="73">
        <f>IF(B25=0,"",IFERROR(VLOOKUP(B25,'T-ASIG-07'!$B$5:$D$88,3,0),0))</f>
        <v>4.1499999999999995</v>
      </c>
      <c r="V25" s="69" t="s">
        <v>119</v>
      </c>
    </row>
    <row r="26" spans="1:22" ht="15" customHeight="1">
      <c r="A26" s="12">
        <v>22</v>
      </c>
      <c r="B26" s="70" t="str">
        <f>LIDER!C30</f>
        <v>OSCAR ANDRES BORRE VASQUEZ</v>
      </c>
      <c r="C26" s="64" t="str">
        <f>IF(B26=0,"",IFERROR(VLOOKUP(B26,'S-ASIG-01'!$B$5:$E$88,2,0),0))</f>
        <v>G05</v>
      </c>
      <c r="D26" s="65">
        <f t="shared" si="2"/>
        <v>4.01</v>
      </c>
      <c r="E26" s="66">
        <f t="shared" si="3"/>
        <v>4.1499999999999995</v>
      </c>
      <c r="F26" s="47"/>
      <c r="G26" s="71">
        <f>IF(B26=0,"",IFERROR(VLOOKUP(B26,'S-ASIG-01'!$B$5:$E$88,4,0),0))</f>
        <v>4.0999999999999996</v>
      </c>
      <c r="H26" s="72">
        <f>IF(B26=0,"",IFERROR(VLOOKUP(B26,'S-ASIG-02'!$B$5:$E$88,4,0),0))</f>
        <v>0</v>
      </c>
      <c r="I26" s="72">
        <f>IF(B26=0,"",IFERROR(VLOOKUP(B26,'S-ASIG-03'!$B$5:$E$88,4,0),0))</f>
        <v>0</v>
      </c>
      <c r="J26" s="72">
        <f>IF(B26=0,"",IFERROR(VLOOKUP(B26,'S-ASIG-04'!$B$5:$E$88,4,0),0))</f>
        <v>4.0999999999999996</v>
      </c>
      <c r="K26" s="72">
        <f>IF(B26=0,"",IFERROR(VLOOKUP(B26,'S-ASIG-05'!$B$5:$E$88,4,0),0))</f>
        <v>3.8400000000000003</v>
      </c>
      <c r="L26" s="72">
        <f>IF(B26=0,"",IFERROR(VLOOKUP(B26,'S-ASIG-06'!$B$5:$E$88,4,0),0))</f>
        <v>3.9999999999999996</v>
      </c>
      <c r="M26" s="73">
        <f>IF(B26=0,"",IFERROR(VLOOKUP(B26,'S-ASIG-07'!$B$5:$E$88,4,0),0))</f>
        <v>0</v>
      </c>
      <c r="N26" s="68" t="s">
        <v>118</v>
      </c>
      <c r="O26" s="71">
        <f>IF(B26=0,"",IFERROR(VLOOKUP(B26,'T-ASIG-01'!$B$5:$D$88,3,0),0))</f>
        <v>4.1499999999999995</v>
      </c>
      <c r="P26" s="72">
        <f>IF(B26=0,"",IFERROR(VLOOKUP(B26,'T-ASIG-02'!$B$5:$D$88,3,0),0))</f>
        <v>0</v>
      </c>
      <c r="Q26" s="72">
        <f>IF(B26=0,"",IFERROR(VLOOKUP(B26,'T-ASIG-03'!$B$5:$D$88,3,0),0))</f>
        <v>4.1499999999999995</v>
      </c>
      <c r="R26" s="72">
        <f>IF(B26=0,"",IFERROR(VLOOKUP(B26,'T-ASIG-04'!$B$5:$D$88,3,0),0))</f>
        <v>0</v>
      </c>
      <c r="S26" s="72">
        <f>IF(B26=0,"",IFERROR(VLOOKUP(B26,'T-ASIG-05'!$B$5:$D$88,3,0),0))</f>
        <v>4.1499999999999995</v>
      </c>
      <c r="T26" s="72">
        <f>IF(B26=0,"",IFERROR(VLOOKUP(B26,'T-ASIG-06'!$B$5:$D$88,3,0),0))</f>
        <v>4.1499999999999995</v>
      </c>
      <c r="U26" s="73">
        <f>IF(B26=0,"",IFERROR(VLOOKUP(B26,'T-ASIG-07'!$B$5:$D$88,3,0),0))</f>
        <v>4.1499999999999995</v>
      </c>
      <c r="V26" s="69" t="s">
        <v>119</v>
      </c>
    </row>
    <row r="27" spans="1:22" ht="15" customHeight="1">
      <c r="A27" s="12">
        <v>23</v>
      </c>
      <c r="B27" s="70" t="str">
        <f>LIDER!C31</f>
        <v>YULIANI CRESPO BAENA</v>
      </c>
      <c r="C27" s="64" t="str">
        <f>IF(B27=0,"",IFERROR(VLOOKUP(B27,'S-ASIG-01'!$B$5:$E$88,2,0),0))</f>
        <v>G05</v>
      </c>
      <c r="D27" s="65">
        <f t="shared" si="2"/>
        <v>4.01</v>
      </c>
      <c r="E27" s="66">
        <f t="shared" si="3"/>
        <v>4.1499999999999995</v>
      </c>
      <c r="F27" s="47"/>
      <c r="G27" s="71">
        <f>IF(B27=0,"",IFERROR(VLOOKUP(B27,'S-ASIG-01'!$B$5:$E$88,4,0),0))</f>
        <v>4.0999999999999996</v>
      </c>
      <c r="H27" s="72">
        <f>IF(B27=0,"",IFERROR(VLOOKUP(B27,'S-ASIG-02'!$B$5:$E$88,4,0),0))</f>
        <v>0</v>
      </c>
      <c r="I27" s="72">
        <f>IF(B27=0,"",IFERROR(VLOOKUP(B27,'S-ASIG-03'!$B$5:$E$88,4,0),0))</f>
        <v>0</v>
      </c>
      <c r="J27" s="72">
        <f>IF(B27=0,"",IFERROR(VLOOKUP(B27,'S-ASIG-04'!$B$5:$E$88,4,0),0))</f>
        <v>4.0999999999999996</v>
      </c>
      <c r="K27" s="72">
        <f>IF(B27=0,"",IFERROR(VLOOKUP(B27,'S-ASIG-05'!$B$5:$E$88,4,0),0))</f>
        <v>3.8400000000000003</v>
      </c>
      <c r="L27" s="72">
        <f>IF(B27=0,"",IFERROR(VLOOKUP(B27,'S-ASIG-06'!$B$5:$E$88,4,0),0))</f>
        <v>3.9999999999999996</v>
      </c>
      <c r="M27" s="73">
        <f>IF(B27=0,"",IFERROR(VLOOKUP(B27,'S-ASIG-07'!$B$5:$E$88,4,0),0))</f>
        <v>0</v>
      </c>
      <c r="N27" s="68" t="s">
        <v>118</v>
      </c>
      <c r="O27" s="71">
        <f>IF(B27=0,"",IFERROR(VLOOKUP(B27,'T-ASIG-01'!$B$5:$D$88,3,0),0))</f>
        <v>4.1499999999999995</v>
      </c>
      <c r="P27" s="72">
        <f>IF(B27=0,"",IFERROR(VLOOKUP(B27,'T-ASIG-02'!$B$5:$D$88,3,0),0))</f>
        <v>0</v>
      </c>
      <c r="Q27" s="72">
        <f>IF(B27=0,"",IFERROR(VLOOKUP(B27,'T-ASIG-03'!$B$5:$D$88,3,0),0))</f>
        <v>4.1499999999999995</v>
      </c>
      <c r="R27" s="72">
        <f>IF(B27=0,"",IFERROR(VLOOKUP(B27,'T-ASIG-04'!$B$5:$D$88,3,0),0))</f>
        <v>0</v>
      </c>
      <c r="S27" s="72">
        <f>IF(B27=0,"",IFERROR(VLOOKUP(B27,'T-ASIG-05'!$B$5:$D$88,3,0),0))</f>
        <v>4.1499999999999995</v>
      </c>
      <c r="T27" s="72">
        <f>IF(B27=0,"",IFERROR(VLOOKUP(B27,'T-ASIG-06'!$B$5:$D$88,3,0),0))</f>
        <v>4.1499999999999995</v>
      </c>
      <c r="U27" s="73">
        <f>IF(B27=0,"",IFERROR(VLOOKUP(B27,'T-ASIG-07'!$B$5:$D$88,3,0),0))</f>
        <v>4.1499999999999995</v>
      </c>
      <c r="V27" s="69" t="s">
        <v>119</v>
      </c>
    </row>
    <row r="28" spans="1:22" ht="15" customHeight="1">
      <c r="A28" s="12">
        <v>24</v>
      </c>
      <c r="B28" s="70" t="str">
        <f>LIDER!C32</f>
        <v>KEINER JAVID DIAZ ALVAREZ</v>
      </c>
      <c r="C28" s="64" t="str">
        <f>IF(B28=0,"",IFERROR(VLOOKUP(B28,'S-ASIG-01'!$B$5:$E$88,2,0),0))</f>
        <v>G05</v>
      </c>
      <c r="D28" s="65">
        <f t="shared" si="2"/>
        <v>4.01</v>
      </c>
      <c r="E28" s="66">
        <f t="shared" si="3"/>
        <v>4.1499999999999995</v>
      </c>
      <c r="F28" s="47"/>
      <c r="G28" s="71">
        <f>IF(B28=0,"",IFERROR(VLOOKUP(B28,'S-ASIG-01'!$B$5:$E$88,4,0),0))</f>
        <v>4.0999999999999996</v>
      </c>
      <c r="H28" s="72">
        <f>IF(B28=0,"",IFERROR(VLOOKUP(B28,'S-ASIG-02'!$B$5:$E$88,4,0),0))</f>
        <v>0</v>
      </c>
      <c r="I28" s="72">
        <f>IF(B28=0,"",IFERROR(VLOOKUP(B28,'S-ASIG-03'!$B$5:$E$88,4,0),0))</f>
        <v>0</v>
      </c>
      <c r="J28" s="72">
        <f>IF(B28=0,"",IFERROR(VLOOKUP(B28,'S-ASIG-04'!$B$5:$E$88,4,0),0))</f>
        <v>4.0999999999999996</v>
      </c>
      <c r="K28" s="72">
        <f>IF(B28=0,"",IFERROR(VLOOKUP(B28,'S-ASIG-05'!$B$5:$E$88,4,0),0))</f>
        <v>3.8400000000000003</v>
      </c>
      <c r="L28" s="72">
        <f>IF(B28=0,"",IFERROR(VLOOKUP(B28,'S-ASIG-06'!$B$5:$E$88,4,0),0))</f>
        <v>3.9999999999999996</v>
      </c>
      <c r="M28" s="73">
        <f>IF(B28=0,"",IFERROR(VLOOKUP(B28,'S-ASIG-07'!$B$5:$E$88,4,0),0))</f>
        <v>0</v>
      </c>
      <c r="N28" s="68" t="s">
        <v>118</v>
      </c>
      <c r="O28" s="71">
        <f>IF(B28=0,"",IFERROR(VLOOKUP(B28,'T-ASIG-01'!$B$5:$D$88,3,0),0))</f>
        <v>4.1499999999999995</v>
      </c>
      <c r="P28" s="72">
        <f>IF(B28=0,"",IFERROR(VLOOKUP(B28,'T-ASIG-02'!$B$5:$D$88,3,0),0))</f>
        <v>0</v>
      </c>
      <c r="Q28" s="72">
        <f>IF(B28=0,"",IFERROR(VLOOKUP(B28,'T-ASIG-03'!$B$5:$D$88,3,0),0))</f>
        <v>4.1499999999999995</v>
      </c>
      <c r="R28" s="72">
        <f>IF(B28=0,"",IFERROR(VLOOKUP(B28,'T-ASIG-04'!$B$5:$D$88,3,0),0))</f>
        <v>0</v>
      </c>
      <c r="S28" s="72">
        <f>IF(B28=0,"",IFERROR(VLOOKUP(B28,'T-ASIG-05'!$B$5:$D$88,3,0),0))</f>
        <v>4.1499999999999995</v>
      </c>
      <c r="T28" s="72">
        <f>IF(B28=0,"",IFERROR(VLOOKUP(B28,'T-ASIG-06'!$B$5:$D$88,3,0),0))</f>
        <v>4.1499999999999995</v>
      </c>
      <c r="U28" s="73">
        <f>IF(B28=0,"",IFERROR(VLOOKUP(B28,'T-ASIG-07'!$B$5:$D$88,3,0),0))</f>
        <v>4.1499999999999995</v>
      </c>
      <c r="V28" s="69" t="s">
        <v>119</v>
      </c>
    </row>
    <row r="29" spans="1:22" ht="15" customHeight="1">
      <c r="A29" s="12">
        <v>25</v>
      </c>
      <c r="B29" s="70" t="str">
        <f>LIDER!C33</f>
        <v>ABRAHAM DAVID RAMOS POSADA</v>
      </c>
      <c r="C29" s="64" t="str">
        <f>IF(B29=0,"",IFERROR(VLOOKUP(B29,'S-ASIG-01'!$B$5:$E$88,2,0),0))</f>
        <v>G05</v>
      </c>
      <c r="D29" s="65">
        <f t="shared" si="2"/>
        <v>4.01</v>
      </c>
      <c r="E29" s="66">
        <f t="shared" si="3"/>
        <v>4.1499999999999995</v>
      </c>
      <c r="F29" s="47"/>
      <c r="G29" s="71">
        <f>IF(B29=0,"",IFERROR(VLOOKUP(B29,'S-ASIG-01'!$B$5:$E$88,4,0),0))</f>
        <v>4.0999999999999996</v>
      </c>
      <c r="H29" s="72">
        <f>IF(B29=0,"",IFERROR(VLOOKUP(B29,'S-ASIG-02'!$B$5:$E$88,4,0),0))</f>
        <v>0</v>
      </c>
      <c r="I29" s="72">
        <f>IF(B29=0,"",IFERROR(VLOOKUP(B29,'S-ASIG-03'!$B$5:$E$88,4,0),0))</f>
        <v>0</v>
      </c>
      <c r="J29" s="72">
        <f>IF(B29=0,"",IFERROR(VLOOKUP(B29,'S-ASIG-04'!$B$5:$E$88,4,0),0))</f>
        <v>4.0999999999999996</v>
      </c>
      <c r="K29" s="72">
        <f>IF(B29=0,"",IFERROR(VLOOKUP(B29,'S-ASIG-05'!$B$5:$E$88,4,0),0))</f>
        <v>3.8400000000000003</v>
      </c>
      <c r="L29" s="72">
        <f>IF(B29=0,"",IFERROR(VLOOKUP(B29,'S-ASIG-06'!$B$5:$E$88,4,0),0))</f>
        <v>3.9999999999999996</v>
      </c>
      <c r="M29" s="73">
        <f>IF(B29=0,"",IFERROR(VLOOKUP(B29,'S-ASIG-07'!$B$5:$E$88,4,0),0))</f>
        <v>0</v>
      </c>
      <c r="N29" s="68" t="s">
        <v>118</v>
      </c>
      <c r="O29" s="71">
        <f>IF(B29=0,"",IFERROR(VLOOKUP(B29,'T-ASIG-01'!$B$5:$D$88,3,0),0))</f>
        <v>4.1499999999999995</v>
      </c>
      <c r="P29" s="72">
        <f>IF(B29=0,"",IFERROR(VLOOKUP(B29,'T-ASIG-02'!$B$5:$D$88,3,0),0))</f>
        <v>0</v>
      </c>
      <c r="Q29" s="72">
        <f>IF(B29=0,"",IFERROR(VLOOKUP(B29,'T-ASIG-03'!$B$5:$D$88,3,0),0))</f>
        <v>4.1499999999999995</v>
      </c>
      <c r="R29" s="72">
        <f>IF(B29=0,"",IFERROR(VLOOKUP(B29,'T-ASIG-04'!$B$5:$D$88,3,0),0))</f>
        <v>0</v>
      </c>
      <c r="S29" s="72">
        <f>IF(B29=0,"",IFERROR(VLOOKUP(B29,'T-ASIG-05'!$B$5:$D$88,3,0),0))</f>
        <v>4.1499999999999995</v>
      </c>
      <c r="T29" s="72">
        <f>IF(B29=0,"",IFERROR(VLOOKUP(B29,'T-ASIG-06'!$B$5:$D$88,3,0),0))</f>
        <v>4.1499999999999995</v>
      </c>
      <c r="U29" s="73">
        <f>IF(B29=0,"",IFERROR(VLOOKUP(B29,'T-ASIG-07'!$B$5:$D$88,3,0),0))</f>
        <v>4.1499999999999995</v>
      </c>
      <c r="V29" s="69" t="s">
        <v>119</v>
      </c>
    </row>
    <row r="30" spans="1:22" ht="15" customHeight="1">
      <c r="A30" s="12">
        <v>26</v>
      </c>
      <c r="B30" s="70" t="str">
        <f>LIDER!C34</f>
        <v>DAIRIN ROSA TORRES ALVARADO</v>
      </c>
      <c r="C30" s="64" t="str">
        <f>IF(B30=0,"",IFERROR(VLOOKUP(B30,'S-ASIG-01'!$B$5:$E$88,2,0),0))</f>
        <v>G05</v>
      </c>
      <c r="D30" s="65">
        <f t="shared" si="2"/>
        <v>4.01</v>
      </c>
      <c r="E30" s="66">
        <f t="shared" si="3"/>
        <v>4.1499999999999995</v>
      </c>
      <c r="F30" s="47"/>
      <c r="G30" s="71">
        <f>IF(B30=0,"",IFERROR(VLOOKUP(B30,'S-ASIG-01'!$B$5:$E$88,4,0),0))</f>
        <v>4.0999999999999996</v>
      </c>
      <c r="H30" s="72">
        <f>IF(B30=0,"",IFERROR(VLOOKUP(B30,'S-ASIG-02'!$B$5:$E$88,4,0),0))</f>
        <v>0</v>
      </c>
      <c r="I30" s="72">
        <f>IF(B30=0,"",IFERROR(VLOOKUP(B30,'S-ASIG-03'!$B$5:$E$88,4,0),0))</f>
        <v>0</v>
      </c>
      <c r="J30" s="72">
        <f>IF(B30=0,"",IFERROR(VLOOKUP(B30,'S-ASIG-04'!$B$5:$E$88,4,0),0))</f>
        <v>4.0999999999999996</v>
      </c>
      <c r="K30" s="72">
        <f>IF(B30=0,"",IFERROR(VLOOKUP(B30,'S-ASIG-05'!$B$5:$E$88,4,0),0))</f>
        <v>3.8400000000000003</v>
      </c>
      <c r="L30" s="72">
        <f>IF(B30=0,"",IFERROR(VLOOKUP(B30,'S-ASIG-06'!$B$5:$E$88,4,0),0))</f>
        <v>3.9999999999999996</v>
      </c>
      <c r="M30" s="73">
        <f>IF(B30=0,"",IFERROR(VLOOKUP(B30,'S-ASIG-07'!$B$5:$E$88,4,0),0))</f>
        <v>0</v>
      </c>
      <c r="N30" s="68" t="s">
        <v>118</v>
      </c>
      <c r="O30" s="71">
        <f>IF(B30=0,"",IFERROR(VLOOKUP(B30,'T-ASIG-01'!$B$5:$D$88,3,0),0))</f>
        <v>4.1499999999999995</v>
      </c>
      <c r="P30" s="72">
        <f>IF(B30=0,"",IFERROR(VLOOKUP(B30,'T-ASIG-02'!$B$5:$D$88,3,0),0))</f>
        <v>0</v>
      </c>
      <c r="Q30" s="72">
        <f>IF(B30=0,"",IFERROR(VLOOKUP(B30,'T-ASIG-03'!$B$5:$D$88,3,0),0))</f>
        <v>4.1499999999999995</v>
      </c>
      <c r="R30" s="72">
        <f>IF(B30=0,"",IFERROR(VLOOKUP(B30,'T-ASIG-04'!$B$5:$D$88,3,0),0))</f>
        <v>0</v>
      </c>
      <c r="S30" s="72">
        <f>IF(B30=0,"",IFERROR(VLOOKUP(B30,'T-ASIG-05'!$B$5:$D$88,3,0),0))</f>
        <v>4.1499999999999995</v>
      </c>
      <c r="T30" s="72">
        <f>IF(B30=0,"",IFERROR(VLOOKUP(B30,'T-ASIG-06'!$B$5:$D$88,3,0),0))</f>
        <v>4.1499999999999995</v>
      </c>
      <c r="U30" s="73">
        <f>IF(B30=0,"",IFERROR(VLOOKUP(B30,'T-ASIG-07'!$B$5:$D$88,3,0),0))</f>
        <v>4.1499999999999995</v>
      </c>
      <c r="V30" s="69" t="s">
        <v>119</v>
      </c>
    </row>
    <row r="31" spans="1:22" ht="15" customHeight="1">
      <c r="A31" s="12">
        <v>27</v>
      </c>
      <c r="B31" s="70" t="str">
        <f>LIDER!C35</f>
        <v>LIZ KARINE ALVAREZ MONTALVO</v>
      </c>
      <c r="C31" s="64" t="str">
        <f>IF(B31=0,"",IFERROR(VLOOKUP(B31,'S-ASIG-01'!$B$5:$E$88,2,0),0))</f>
        <v>G06</v>
      </c>
      <c r="D31" s="65">
        <f t="shared" si="2"/>
        <v>3.9074999999999998</v>
      </c>
      <c r="E31" s="66">
        <f t="shared" si="3"/>
        <v>4.1500000000000004</v>
      </c>
      <c r="F31" s="47"/>
      <c r="G31" s="71">
        <f>IF(B31=0,"",IFERROR(VLOOKUP(B31,'S-ASIG-01'!$B$5:$E$88,4,0),0))</f>
        <v>3.92</v>
      </c>
      <c r="H31" s="72">
        <f>IF(B31=0,"",IFERROR(VLOOKUP(B31,'S-ASIG-02'!$B$5:$E$88,4,0),0))</f>
        <v>0</v>
      </c>
      <c r="I31" s="72">
        <f>IF(B31=0,"",IFERROR(VLOOKUP(B31,'S-ASIG-03'!$B$5:$E$88,4,0),0))</f>
        <v>0</v>
      </c>
      <c r="J31" s="72">
        <f>IF(B31=0,"",IFERROR(VLOOKUP(B31,'S-ASIG-04'!$B$5:$E$88,4,0),0))</f>
        <v>4.0999999999999996</v>
      </c>
      <c r="K31" s="72">
        <f>IF(B31=0,"",IFERROR(VLOOKUP(B31,'S-ASIG-05'!$B$5:$E$88,4,0),0))</f>
        <v>3.61</v>
      </c>
      <c r="L31" s="72">
        <f>IF(B31=0,"",IFERROR(VLOOKUP(B31,'S-ASIG-06'!$B$5:$E$88,4,0),0))</f>
        <v>3.9999999999999996</v>
      </c>
      <c r="M31" s="73">
        <f>IF(B31=0,"",IFERROR(VLOOKUP(B31,'S-ASIG-07'!$B$5:$E$88,4,0),0))</f>
        <v>0</v>
      </c>
      <c r="N31" s="68" t="s">
        <v>118</v>
      </c>
      <c r="O31" s="71">
        <f>IF(B31=0,"",IFERROR(VLOOKUP(B31,'T-ASIG-01'!$B$5:$D$88,3,0),0))</f>
        <v>4.1500000000000004</v>
      </c>
      <c r="P31" s="72">
        <f>IF(B31=0,"",IFERROR(VLOOKUP(B31,'T-ASIG-02'!$B$5:$D$88,3,0),0))</f>
        <v>0</v>
      </c>
      <c r="Q31" s="72">
        <f>IF(B31=0,"",IFERROR(VLOOKUP(B31,'T-ASIG-03'!$B$5:$D$88,3,0),0))</f>
        <v>4.1500000000000004</v>
      </c>
      <c r="R31" s="72">
        <f>IF(B31=0,"",IFERROR(VLOOKUP(B31,'T-ASIG-04'!$B$5:$D$88,3,0),0))</f>
        <v>0</v>
      </c>
      <c r="S31" s="72">
        <f>IF(B31=0,"",IFERROR(VLOOKUP(B31,'T-ASIG-05'!$B$5:$D$88,3,0),0))</f>
        <v>4.1500000000000004</v>
      </c>
      <c r="T31" s="72">
        <f>IF(B31=0,"",IFERROR(VLOOKUP(B31,'T-ASIG-06'!$B$5:$D$88,3,0),0))</f>
        <v>4.1500000000000004</v>
      </c>
      <c r="U31" s="73">
        <f>IF(B31=0,"",IFERROR(VLOOKUP(B31,'T-ASIG-07'!$B$5:$D$88,3,0),0))</f>
        <v>4.1500000000000004</v>
      </c>
      <c r="V31" s="69" t="s">
        <v>119</v>
      </c>
    </row>
    <row r="32" spans="1:22" ht="15" customHeight="1">
      <c r="A32" s="12">
        <v>28</v>
      </c>
      <c r="B32" s="70" t="str">
        <f>LIDER!C36</f>
        <v>CLAUDIA CAROLINA CAMACHO ALVEAR</v>
      </c>
      <c r="C32" s="64" t="str">
        <f>IF(B32=0,"",IFERROR(VLOOKUP(B32,'S-ASIG-01'!$B$5:$E$88,2,0),0))</f>
        <v>G06</v>
      </c>
      <c r="D32" s="65">
        <f t="shared" si="2"/>
        <v>3.9074999999999998</v>
      </c>
      <c r="E32" s="66">
        <f t="shared" si="3"/>
        <v>4.1500000000000004</v>
      </c>
      <c r="F32" s="47"/>
      <c r="G32" s="71">
        <f>IF(B32=0,"",IFERROR(VLOOKUP(B32,'S-ASIG-01'!$B$5:$E$88,4,0),0))</f>
        <v>3.92</v>
      </c>
      <c r="H32" s="72">
        <f>IF(B32=0,"",IFERROR(VLOOKUP(B32,'S-ASIG-02'!$B$5:$E$88,4,0),0))</f>
        <v>0</v>
      </c>
      <c r="I32" s="72">
        <f>IF(B32=0,"",IFERROR(VLOOKUP(B32,'S-ASIG-03'!$B$5:$E$88,4,0),0))</f>
        <v>0</v>
      </c>
      <c r="J32" s="72">
        <f>IF(B32=0,"",IFERROR(VLOOKUP(B32,'S-ASIG-04'!$B$5:$E$88,4,0),0))</f>
        <v>4.0999999999999996</v>
      </c>
      <c r="K32" s="72">
        <f>IF(B32=0,"",IFERROR(VLOOKUP(B32,'S-ASIG-05'!$B$5:$E$88,4,0),0))</f>
        <v>3.61</v>
      </c>
      <c r="L32" s="72">
        <f>IF(B32=0,"",IFERROR(VLOOKUP(B32,'S-ASIG-06'!$B$5:$E$88,4,0),0))</f>
        <v>3.9999999999999996</v>
      </c>
      <c r="M32" s="73">
        <f>IF(B32=0,"",IFERROR(VLOOKUP(B32,'S-ASIG-07'!$B$5:$E$88,4,0),0))</f>
        <v>0</v>
      </c>
      <c r="N32" s="68" t="s">
        <v>118</v>
      </c>
      <c r="O32" s="71">
        <f>IF(B32=0,"",IFERROR(VLOOKUP(B32,'T-ASIG-01'!$B$5:$D$88,3,0),0))</f>
        <v>4.1500000000000004</v>
      </c>
      <c r="P32" s="72">
        <f>IF(B32=0,"",IFERROR(VLOOKUP(B32,'T-ASIG-02'!$B$5:$D$88,3,0),0))</f>
        <v>0</v>
      </c>
      <c r="Q32" s="72">
        <f>IF(B32=0,"",IFERROR(VLOOKUP(B32,'T-ASIG-03'!$B$5:$D$88,3,0),0))</f>
        <v>4.1500000000000004</v>
      </c>
      <c r="R32" s="72">
        <f>IF(B32=0,"",IFERROR(VLOOKUP(B32,'T-ASIG-04'!$B$5:$D$88,3,0),0))</f>
        <v>0</v>
      </c>
      <c r="S32" s="72">
        <f>IF(B32=0,"",IFERROR(VLOOKUP(B32,'T-ASIG-05'!$B$5:$D$88,3,0),0))</f>
        <v>4.1500000000000004</v>
      </c>
      <c r="T32" s="72">
        <f>IF(B32=0,"",IFERROR(VLOOKUP(B32,'T-ASIG-06'!$B$5:$D$88,3,0),0))</f>
        <v>4.1500000000000004</v>
      </c>
      <c r="U32" s="73">
        <f>IF(B32=0,"",IFERROR(VLOOKUP(B32,'T-ASIG-07'!$B$5:$D$88,3,0),0))</f>
        <v>4.1500000000000004</v>
      </c>
      <c r="V32" s="69" t="s">
        <v>119</v>
      </c>
    </row>
    <row r="33" spans="1:22" ht="15" customHeight="1">
      <c r="A33" s="12">
        <v>29</v>
      </c>
      <c r="B33" s="70" t="str">
        <f>LIDER!C37</f>
        <v>LEDYS CAROLINA HERNANDEZ LEAL</v>
      </c>
      <c r="C33" s="64" t="str">
        <f>IF(B33=0,"",IFERROR(VLOOKUP(B33,'S-ASIG-01'!$B$5:$E$88,2,0),0))</f>
        <v>G06</v>
      </c>
      <c r="D33" s="65">
        <f t="shared" si="2"/>
        <v>3.9074999999999998</v>
      </c>
      <c r="E33" s="66">
        <f t="shared" si="3"/>
        <v>4.1500000000000004</v>
      </c>
      <c r="F33" s="47"/>
      <c r="G33" s="71">
        <f>IF(B33=0,"",IFERROR(VLOOKUP(B33,'S-ASIG-01'!$B$5:$E$88,4,0),0))</f>
        <v>3.92</v>
      </c>
      <c r="H33" s="72">
        <f>IF(B33=0,"",IFERROR(VLOOKUP(B33,'S-ASIG-02'!$B$5:$E$88,4,0),0))</f>
        <v>0</v>
      </c>
      <c r="I33" s="72">
        <f>IF(B33=0,"",IFERROR(VLOOKUP(B33,'S-ASIG-03'!$B$5:$E$88,4,0),0))</f>
        <v>0</v>
      </c>
      <c r="J33" s="72">
        <f>IF(B33=0,"",IFERROR(VLOOKUP(B33,'S-ASIG-04'!$B$5:$E$88,4,0),0))</f>
        <v>4.0999999999999996</v>
      </c>
      <c r="K33" s="72">
        <f>IF(B33=0,"",IFERROR(VLOOKUP(B33,'S-ASIG-05'!$B$5:$E$88,4,0),0))</f>
        <v>3.61</v>
      </c>
      <c r="L33" s="72">
        <f>IF(B33=0,"",IFERROR(VLOOKUP(B33,'S-ASIG-06'!$B$5:$E$88,4,0),0))</f>
        <v>3.9999999999999996</v>
      </c>
      <c r="M33" s="73">
        <f>IF(B33=0,"",IFERROR(VLOOKUP(B33,'S-ASIG-07'!$B$5:$E$88,4,0),0))</f>
        <v>0</v>
      </c>
      <c r="N33" s="68" t="s">
        <v>118</v>
      </c>
      <c r="O33" s="71">
        <f>IF(B33=0,"",IFERROR(VLOOKUP(B33,'T-ASIG-01'!$B$5:$D$88,3,0),0))</f>
        <v>4.1500000000000004</v>
      </c>
      <c r="P33" s="72">
        <f>IF(B33=0,"",IFERROR(VLOOKUP(B33,'T-ASIG-02'!$B$5:$D$88,3,0),0))</f>
        <v>0</v>
      </c>
      <c r="Q33" s="72">
        <f>IF(B33=0,"",IFERROR(VLOOKUP(B33,'T-ASIG-03'!$B$5:$D$88,3,0),0))</f>
        <v>4.1500000000000004</v>
      </c>
      <c r="R33" s="72">
        <f>IF(B33=0,"",IFERROR(VLOOKUP(B33,'T-ASIG-04'!$B$5:$D$88,3,0),0))</f>
        <v>0</v>
      </c>
      <c r="S33" s="72">
        <f>IF(B33=0,"",IFERROR(VLOOKUP(B33,'T-ASIG-05'!$B$5:$D$88,3,0),0))</f>
        <v>4.1500000000000004</v>
      </c>
      <c r="T33" s="72">
        <f>IF(B33=0,"",IFERROR(VLOOKUP(B33,'T-ASIG-06'!$B$5:$D$88,3,0),0))</f>
        <v>4.1500000000000004</v>
      </c>
      <c r="U33" s="73">
        <f>IF(B33=0,"",IFERROR(VLOOKUP(B33,'T-ASIG-07'!$B$5:$D$88,3,0),0))</f>
        <v>4.1500000000000004</v>
      </c>
      <c r="V33" s="69" t="s">
        <v>119</v>
      </c>
    </row>
    <row r="34" spans="1:22" ht="15" customHeight="1">
      <c r="A34" s="12">
        <v>30</v>
      </c>
      <c r="B34" s="70" t="str">
        <f>LIDER!C38</f>
        <v>JUAN JOSE RICO MANJARRES</v>
      </c>
      <c r="C34" s="64" t="str">
        <f>IF(B34=0,"",IFERROR(VLOOKUP(B34,'S-ASIG-01'!$B$5:$E$88,2,0),0))</f>
        <v>G06</v>
      </c>
      <c r="D34" s="65">
        <f t="shared" si="2"/>
        <v>3.9074999999999998</v>
      </c>
      <c r="E34" s="66">
        <f t="shared" si="3"/>
        <v>4.1500000000000004</v>
      </c>
      <c r="F34" s="47"/>
      <c r="G34" s="71">
        <f>IF(B34=0,"",IFERROR(VLOOKUP(B34,'S-ASIG-01'!$B$5:$E$88,4,0),0))</f>
        <v>3.92</v>
      </c>
      <c r="H34" s="72">
        <f>IF(B34=0,"",IFERROR(VLOOKUP(B34,'S-ASIG-02'!$B$5:$E$88,4,0),0))</f>
        <v>0</v>
      </c>
      <c r="I34" s="72">
        <f>IF(B34=0,"",IFERROR(VLOOKUP(B34,'S-ASIG-03'!$B$5:$E$88,4,0),0))</f>
        <v>0</v>
      </c>
      <c r="J34" s="72">
        <f>IF(B34=0,"",IFERROR(VLOOKUP(B34,'S-ASIG-04'!$B$5:$E$88,4,0),0))</f>
        <v>4.0999999999999996</v>
      </c>
      <c r="K34" s="72">
        <f>IF(B34=0,"",IFERROR(VLOOKUP(B34,'S-ASIG-05'!$B$5:$E$88,4,0),0))</f>
        <v>3.61</v>
      </c>
      <c r="L34" s="72">
        <f>IF(B34=0,"",IFERROR(VLOOKUP(B34,'S-ASIG-06'!$B$5:$E$88,4,0),0))</f>
        <v>3.9999999999999996</v>
      </c>
      <c r="M34" s="73">
        <f>IF(B34=0,"",IFERROR(VLOOKUP(B34,'S-ASIG-07'!$B$5:$E$88,4,0),0))</f>
        <v>0</v>
      </c>
      <c r="N34" s="68" t="s">
        <v>118</v>
      </c>
      <c r="O34" s="71">
        <f>IF(B34=0,"",IFERROR(VLOOKUP(B34,'T-ASIG-01'!$B$5:$D$88,3,0),0))</f>
        <v>4.1500000000000004</v>
      </c>
      <c r="P34" s="72">
        <f>IF(B34=0,"",IFERROR(VLOOKUP(B34,'T-ASIG-02'!$B$5:$D$88,3,0),0))</f>
        <v>0</v>
      </c>
      <c r="Q34" s="72">
        <f>IF(B34=0,"",IFERROR(VLOOKUP(B34,'T-ASIG-03'!$B$5:$D$88,3,0),0))</f>
        <v>4.1500000000000004</v>
      </c>
      <c r="R34" s="72">
        <f>IF(B34=0,"",IFERROR(VLOOKUP(B34,'T-ASIG-04'!$B$5:$D$88,3,0),0))</f>
        <v>0</v>
      </c>
      <c r="S34" s="72">
        <f>IF(B34=0,"",IFERROR(VLOOKUP(B34,'T-ASIG-05'!$B$5:$D$88,3,0),0))</f>
        <v>4.1500000000000004</v>
      </c>
      <c r="T34" s="72">
        <f>IF(B34=0,"",IFERROR(VLOOKUP(B34,'T-ASIG-06'!$B$5:$D$88,3,0),0))</f>
        <v>4.1500000000000004</v>
      </c>
      <c r="U34" s="73">
        <f>IF(B34=0,"",IFERROR(VLOOKUP(B34,'T-ASIG-07'!$B$5:$D$88,3,0),0))</f>
        <v>4.1500000000000004</v>
      </c>
      <c r="V34" s="69" t="s">
        <v>119</v>
      </c>
    </row>
    <row r="35" spans="1:22" ht="15" customHeight="1">
      <c r="A35" s="12">
        <v>31</v>
      </c>
      <c r="B35" s="70" t="str">
        <f>LIDER!C39</f>
        <v>JHOINER SMIT RIVERA JULIO</v>
      </c>
      <c r="C35" s="64" t="str">
        <f>IF(B35=0,"",IFERROR(VLOOKUP(B35,'S-ASIG-01'!$B$5:$E$88,2,0),0))</f>
        <v>G06</v>
      </c>
      <c r="D35" s="65">
        <f t="shared" si="2"/>
        <v>3.9074999999999998</v>
      </c>
      <c r="E35" s="66">
        <f t="shared" si="3"/>
        <v>4.1500000000000004</v>
      </c>
      <c r="F35" s="47"/>
      <c r="G35" s="71">
        <f>IF(B35=0,"",IFERROR(VLOOKUP(B35,'S-ASIG-01'!$B$5:$E$88,4,0),0))</f>
        <v>3.92</v>
      </c>
      <c r="H35" s="72">
        <f>IF(B35=0,"",IFERROR(VLOOKUP(B35,'S-ASIG-02'!$B$5:$E$88,4,0),0))</f>
        <v>0</v>
      </c>
      <c r="I35" s="72">
        <f>IF(B35=0,"",IFERROR(VLOOKUP(B35,'S-ASIG-03'!$B$5:$E$88,4,0),0))</f>
        <v>0</v>
      </c>
      <c r="J35" s="72">
        <f>IF(B35=0,"",IFERROR(VLOOKUP(B35,'S-ASIG-04'!$B$5:$E$88,4,0),0))</f>
        <v>4.0999999999999996</v>
      </c>
      <c r="K35" s="72">
        <f>IF(B35=0,"",IFERROR(VLOOKUP(B35,'S-ASIG-05'!$B$5:$E$88,4,0),0))</f>
        <v>3.61</v>
      </c>
      <c r="L35" s="72">
        <f>IF(B35=0,"",IFERROR(VLOOKUP(B35,'S-ASIG-06'!$B$5:$E$88,4,0),0))</f>
        <v>3.9999999999999996</v>
      </c>
      <c r="M35" s="73">
        <f>IF(B35=0,"",IFERROR(VLOOKUP(B35,'S-ASIG-07'!$B$5:$E$88,4,0),0))</f>
        <v>0</v>
      </c>
      <c r="N35" s="68" t="s">
        <v>118</v>
      </c>
      <c r="O35" s="71">
        <f>IF(B35=0,"",IFERROR(VLOOKUP(B35,'T-ASIG-01'!$B$5:$D$88,3,0),0))</f>
        <v>4.1500000000000004</v>
      </c>
      <c r="P35" s="72">
        <f>IF(B35=0,"",IFERROR(VLOOKUP(B35,'T-ASIG-02'!$B$5:$D$88,3,0),0))</f>
        <v>0</v>
      </c>
      <c r="Q35" s="72">
        <f>IF(B35=0,"",IFERROR(VLOOKUP(B35,'T-ASIG-03'!$B$5:$D$88,3,0),0))</f>
        <v>4.1500000000000004</v>
      </c>
      <c r="R35" s="72">
        <f>IF(B35=0,"",IFERROR(VLOOKUP(B35,'T-ASIG-04'!$B$5:$D$88,3,0),0))</f>
        <v>0</v>
      </c>
      <c r="S35" s="72">
        <f>IF(B35=0,"",IFERROR(VLOOKUP(B35,'T-ASIG-05'!$B$5:$D$88,3,0),0))</f>
        <v>4.1500000000000004</v>
      </c>
      <c r="T35" s="72">
        <f>IF(B35=0,"",IFERROR(VLOOKUP(B35,'T-ASIG-06'!$B$5:$D$88,3,0),0))</f>
        <v>4.1500000000000004</v>
      </c>
      <c r="U35" s="73">
        <f>IF(B35=0,"",IFERROR(VLOOKUP(B35,'T-ASIG-07'!$B$5:$D$88,3,0),0))</f>
        <v>4.1500000000000004</v>
      </c>
      <c r="V35" s="69" t="s">
        <v>119</v>
      </c>
    </row>
    <row r="36" spans="1:22" ht="15" customHeight="1">
      <c r="A36" s="12">
        <v>32</v>
      </c>
      <c r="B36" s="70" t="str">
        <f>LIDER!C40</f>
        <v>ANGEL YESID GOMEZ CARDONA</v>
      </c>
      <c r="C36" s="64" t="str">
        <f>IF(B36=0,"",IFERROR(VLOOKUP(B36,'S-ASIG-01'!$B$5:$E$88,2,0),0))</f>
        <v>G07</v>
      </c>
      <c r="D36" s="65">
        <f t="shared" si="2"/>
        <v>1.5333333333333332</v>
      </c>
      <c r="E36" s="66">
        <f t="shared" si="3"/>
        <v>0</v>
      </c>
      <c r="F36" s="47"/>
      <c r="G36" s="71">
        <f>IF(B36=0,"",IFERROR(VLOOKUP(B36,'S-ASIG-01'!$B$5:$E$88,4,0),0))</f>
        <v>0.99999999999999989</v>
      </c>
      <c r="H36" s="72">
        <f>IF(B36=0,"",IFERROR(VLOOKUP(B36,'S-ASIG-02'!$B$5:$E$88,4,0),0))</f>
        <v>0</v>
      </c>
      <c r="I36" s="72">
        <f>IF(B36=0,"",IFERROR(VLOOKUP(B36,'S-ASIG-03'!$B$5:$E$88,4,0),0))</f>
        <v>0</v>
      </c>
      <c r="J36" s="72">
        <f>IF(B36=0,"",IFERROR(VLOOKUP(B36,'S-ASIG-04'!$B$5:$E$88,4,0),0))</f>
        <v>1.6</v>
      </c>
      <c r="K36" s="72">
        <f>IF(B36=0,"",IFERROR(VLOOKUP(B36,'S-ASIG-05'!$B$5:$E$88,4,0),0))</f>
        <v>0</v>
      </c>
      <c r="L36" s="72">
        <f>IF(B36=0,"",IFERROR(VLOOKUP(B36,'S-ASIG-06'!$B$5:$E$88,4,0),0))</f>
        <v>1.9999999999999998</v>
      </c>
      <c r="M36" s="73">
        <f>IF(B36=0,"",IFERROR(VLOOKUP(B36,'S-ASIG-07'!$B$5:$E$88,4,0),0))</f>
        <v>0</v>
      </c>
      <c r="N36" s="68" t="s">
        <v>118</v>
      </c>
      <c r="O36" s="71">
        <f>IF(B36=0,"",IFERROR(VLOOKUP(B36,'T-ASIG-01'!$B$5:$D$88,3,0),0))</f>
        <v>0</v>
      </c>
      <c r="P36" s="72">
        <f>IF(B36=0,"",IFERROR(VLOOKUP(B36,'T-ASIG-02'!$B$5:$D$88,3,0),0))</f>
        <v>0</v>
      </c>
      <c r="Q36" s="72">
        <f>IF(B36=0,"",IFERROR(VLOOKUP(B36,'T-ASIG-03'!$B$5:$D$88,3,0),0))</f>
        <v>0</v>
      </c>
      <c r="R36" s="72">
        <f>IF(B36=0,"",IFERROR(VLOOKUP(B36,'T-ASIG-04'!$B$5:$D$88,3,0),0))</f>
        <v>0</v>
      </c>
      <c r="S36" s="72">
        <f>IF(B36=0,"",IFERROR(VLOOKUP(B36,'T-ASIG-05'!$B$5:$D$88,3,0),0))</f>
        <v>0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119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118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119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118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119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118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119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118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119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118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119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118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119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118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119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118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119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118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119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118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119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118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119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118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119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118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119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118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119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118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119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118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119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118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119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118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119</v>
      </c>
    </row>
  </sheetData>
  <sheetProtection algorithmName="SHA-512" hashValue="sALrE3Kclv2BeutozMNaZ0K4sjPpg8QWjmJ2Q9UpaMS18cBjq/BDwbBR8vkMBuvmkcPhVIuUTVs4lr3+z5fnxw==" saltValue="MTxrRkG/UOJEbN+veuEG9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JAMES MAURICIO PEREZ</cp:lastModifiedBy>
  <cp:revision/>
  <dcterms:created xsi:type="dcterms:W3CDTF">2025-09-29T20:45:44Z</dcterms:created>
  <dcterms:modified xsi:type="dcterms:W3CDTF">2026-05-12T17:56:15Z</dcterms:modified>
  <cp:category/>
  <cp:contentStatus/>
</cp:coreProperties>
</file>