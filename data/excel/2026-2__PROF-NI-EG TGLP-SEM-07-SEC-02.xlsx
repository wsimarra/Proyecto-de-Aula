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PROF-NI\SEPTIMO\"/>
    </mc:Choice>
  </mc:AlternateContent>
  <xr:revisionPtr revIDLastSave="147" documentId="13_ncr:1_{1656064D-1EFF-4E37-8558-CF3BC508EB1C}" xr6:coauthVersionLast="47" xr6:coauthVersionMax="47" xr10:uidLastSave="{EB30ADFD-9F8B-457F-880C-C16ADEB3CC89}"/>
  <bookViews>
    <workbookView xWindow="-120" yWindow="-120" windowWidth="20730" windowHeight="11040" tabRatio="815" firstSheet="5" activeTab="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D15" i="7"/>
  <c r="B15" i="7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D10" i="4" s="1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1" i="16" l="1"/>
  <c r="D20" i="5"/>
  <c r="D22" i="3"/>
  <c r="D22" i="7"/>
  <c r="D22" i="5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D22" i="8" s="1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10" i="8" l="1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<sst xmlns="http://schemas.openxmlformats.org/spreadsheetml/2006/main" count="650" uniqueCount="105">
  <si>
    <t>NEGOCIOS INTERNACIONALES PROFESIONAL</t>
  </si>
  <si>
    <t>SEMESTRE:</t>
  </si>
  <si>
    <t>SEM-07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</si>
  <si>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</si>
  <si>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</si>
  <si>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</si>
  <si>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</si>
  <si>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</si>
  <si>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</si>
  <si>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</si>
  <si>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</si>
  <si>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IMPORTACIONES Y EXPORTACIONES</t>
  </si>
  <si>
    <t>ELECTIVA LIBRE SOCIOHUMAN III</t>
  </si>
  <si>
    <t>FINANZAS INTERNACIONALES</t>
  </si>
  <si>
    <t>REGIMEN CAMBIARIO</t>
  </si>
  <si>
    <t>NEGOCIACION INTERNACIONAL</t>
  </si>
  <si>
    <t>MARKETING INTERNACIONAL</t>
  </si>
  <si>
    <t>SANDRA MILENA CASTAÑO GIRALDO</t>
  </si>
  <si>
    <t>ALBEIRO YESITH PÉREZ CHIQUILLO</t>
  </si>
  <si>
    <t>JAVIER IGNACIO ALVAREZ OROZCO</t>
  </si>
  <si>
    <t>ABRAHAN RINALDI VILLALOBOS</t>
  </si>
  <si>
    <t>HERNANDO RAFAEL ARMESTO ABUABARA</t>
  </si>
  <si>
    <t>REYNALDO ARTURO ROJAS TRILLOS</t>
  </si>
  <si>
    <t>LISTA DE ESTUDIANTES</t>
  </si>
  <si>
    <t>SEGUNDA ENTREGA - CRITERIOS DE EVALUACIÓN DOCUMENTO - SEGUNDO CORTE</t>
  </si>
  <si>
    <t>PONDERACIÓN</t>
  </si>
  <si>
    <t>ADMINISTRACIÓN DE EMPRESAS C.I</t>
  </si>
  <si>
    <t>LUIS ANGEL DAZA VILLAFAÑE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</si>
  <si>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</si>
  <si>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</si>
  <si>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JUAN CAMILO DURAN FLOREZ</t>
  </si>
  <si>
    <t>ANTEPROYECTO: Portada, planteamiento del problema, objetivos, Introducción, Conclusiones y recomendaciones.</t>
  </si>
  <si>
    <t>CONTADURÍA PÚBLICA</t>
  </si>
  <si>
    <t>BRANDO DE JESUS IRIARTE FRANCO</t>
  </si>
  <si>
    <t>RESULTADOS:  Definir las fuentes de información (primarias y/o secundarias),Definir los aspectos tributarios y Definir los aspectos de la integración económica</t>
  </si>
  <si>
    <t>MARIA JOSE RUIZ MEZA</t>
  </si>
  <si>
    <t>BILIOGRAFIA: Las referencias bibliograficas: adoptan las normas APA. El documento es producto de un rastreo bibliografico que muestra analisis y sistensis.</t>
  </si>
  <si>
    <t>TECNOLOGÍA EN GESTIÓN DE NEGOCIOS INTERN</t>
  </si>
  <si>
    <t>ISABELLA CARVAL CASTRO</t>
  </si>
  <si>
    <t>ASESORIAS: Anexó la hoja de tutoria firmada ( 3 fimas minmimo).</t>
  </si>
  <si>
    <t>TECNOLOGíA EN GESTION CONTABLE</t>
  </si>
  <si>
    <t>MANUEL JOSÉ DIAZ JULIO</t>
  </si>
  <si>
    <t>TECNOLOGÍA EN GESTIÓN DE MARKETING</t>
  </si>
  <si>
    <t>JORGE ELIECER NAVARRO MARTINEZ</t>
  </si>
  <si>
    <t>TECNOLOGÍA EN GESTIÓN DEL TALENTO HUMANO</t>
  </si>
  <si>
    <t>JESUS DAVID OTERO BARRIOS</t>
  </si>
  <si>
    <t>TECNOLOGÍA EN GESTIÓN FINANCIERA</t>
  </si>
  <si>
    <t>EDWIN MIGUEL ARNEDO RAMOS</t>
  </si>
  <si>
    <t>TECNOLOGÍA EN GESTIÓN LOGISTICA Y PORTUARIA</t>
  </si>
  <si>
    <t>GRACE VALENTINA CORREA MEDINA</t>
  </si>
  <si>
    <t>ENTREGA FINAL - CRITERIO DE EVALUACIÓN SUSTENTACIÓN - TERCER CORTE</t>
  </si>
  <si>
    <t>TECNOLOGÍA EN GESTIÓN TURISTICA Y HOTELERA</t>
  </si>
  <si>
    <t>THAMARA ANDREA DE AVILA CORCHO</t>
  </si>
  <si>
    <t>Evaluación del Documento Final</t>
  </si>
  <si>
    <t>MARIA CAMILA FAJARDO FLOREZ</t>
  </si>
  <si>
    <t>Sustentación de los Resultados: Se refleja un dominio del tema, la  información está delimitada y es clara. Hay una jerarquía y fluidez en las ideas que presenta.</t>
  </si>
  <si>
    <t>JESÚS DANIEL IMITOLA MONTAÑO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</si>
  <si>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</si>
  <si>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ANDRES FELIPE RADA ZAMBRANO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</si>
  <si>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</si>
  <si>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HAROLD HENRIQUE SOSA RAMOS</t>
  </si>
  <si>
    <t>Tiempo: El uso del tiempo fue apropiado, se ajusta al previsto.
Ofrece una conclusión donde condensa las ideas principales del objetivo general y los específicos.</t>
  </si>
  <si>
    <t>SERGIO ANDRES YOUNG ESPITIA</t>
  </si>
  <si>
    <t>Uso de Recursos Audiovisuales Tecnológicos: La sustentación se acompaña de recursos visuales pertinentes, atractivos y de gran calidad</t>
  </si>
  <si>
    <t>TITULOS DE LOS PROYECTOS DE AULA</t>
  </si>
  <si>
    <t xml:space="preserve">GRUPO#1  METALNOVA </t>
  </si>
  <si>
    <t xml:space="preserve">GRUPO#2  FLORA FRIO </t>
  </si>
  <si>
    <t>GRUPO#3</t>
  </si>
  <si>
    <t xml:space="preserve">GRUPO#4 insta FRUIT 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</si>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</sst>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5" fillId="8" borderId="4" xfId="0" applyFont="1" applyFill="1" applyBorder="1" applyAlignment="1" applyProtection="1">
      <alignment horizontal="center" vertical="center"/>
      <protection hidden="1"/>
    </xf>
    <xf numFmtId="0" fontId="5" fillId="8" borderId="5" xfId="0" applyFont="1" applyFill="1" applyBorder="1" applyAlignment="1" applyProtection="1">
      <alignment horizontal="center" vertical="center"/>
      <protection hidden="1"/>
    </xf>
    <xf numFmtId="0" fontId="5" fillId="8" borderId="6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24" fillId="8" borderId="19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workbookViewId="0">
      <selection activeCell="E5" sqref="E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2" t="s">
        <v>0</v>
      </c>
      <c r="C2" s="193"/>
      <c r="D2" s="194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4" t="s">
        <v>11</v>
      </c>
      <c r="D4" s="134" t="s">
        <v>12</v>
      </c>
      <c r="E4" s="134" t="s">
        <v>13</v>
      </c>
      <c r="F4" s="134" t="s">
        <v>14</v>
      </c>
      <c r="G4" s="134" t="s">
        <v>15</v>
      </c>
      <c r="H4" s="135" t="s">
        <v>16</v>
      </c>
      <c r="I4" s="135"/>
    </row>
    <row r="5" spans="2:9" ht="24.95" customHeight="1" thickBot="1">
      <c r="C5" s="136" t="s">
        <v>17</v>
      </c>
      <c r="D5" s="136" t="s">
        <v>18</v>
      </c>
      <c r="E5" s="136" t="s">
        <v>19</v>
      </c>
      <c r="F5" s="136" t="s">
        <v>20</v>
      </c>
      <c r="G5" s="136" t="s">
        <v>21</v>
      </c>
      <c r="H5" s="137" t="s">
        <v>22</v>
      </c>
      <c r="I5" s="137"/>
    </row>
    <row r="6" spans="2:9" ht="24.95" customHeight="1" thickBot="1">
      <c r="C6" s="138">
        <v>1439</v>
      </c>
      <c r="D6" s="138">
        <v>2144</v>
      </c>
      <c r="E6" s="138">
        <v>1447</v>
      </c>
      <c r="F6" s="138">
        <v>2891</v>
      </c>
      <c r="G6" s="138">
        <v>2407</v>
      </c>
      <c r="H6" s="138">
        <v>1380</v>
      </c>
      <c r="I6" s="138"/>
    </row>
    <row r="7" spans="2:9" ht="13.5" thickBot="1"/>
    <row r="8" spans="2:9" ht="20.100000000000001" customHeight="1">
      <c r="B8" s="108"/>
      <c r="C8" s="109" t="s">
        <v>23</v>
      </c>
      <c r="E8" s="195" t="s">
        <v>24</v>
      </c>
      <c r="F8" s="196"/>
      <c r="G8" s="197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98" t="s">
        <v>28</v>
      </c>
      <c r="F9" s="199"/>
      <c r="G9" s="200"/>
      <c r="H9" s="127">
        <v>0.1</v>
      </c>
      <c r="I9" s="69" t="s">
        <v>29</v>
      </c>
    </row>
    <row r="10" spans="2:9" ht="15" customHeight="1">
      <c r="B10" s="108">
        <v>2</v>
      </c>
      <c r="C10" s="111" t="s">
        <v>30</v>
      </c>
      <c r="E10" s="172" t="s">
        <v>31</v>
      </c>
      <c r="F10" s="173"/>
      <c r="G10" s="174"/>
      <c r="H10" s="128">
        <v>0.3</v>
      </c>
      <c r="I10" s="69" t="s">
        <v>32</v>
      </c>
    </row>
    <row r="11" spans="2:9" ht="15" customHeight="1">
      <c r="B11" s="108">
        <v>3</v>
      </c>
      <c r="C11" s="111" t="s">
        <v>33</v>
      </c>
      <c r="E11" s="198" t="s">
        <v>34</v>
      </c>
      <c r="F11" s="199"/>
      <c r="G11" s="200"/>
      <c r="H11" s="127">
        <v>0.3</v>
      </c>
      <c r="I11" s="69" t="s">
        <v>0</v>
      </c>
    </row>
    <row r="12" spans="2:9" ht="15" customHeight="1">
      <c r="B12" s="108">
        <v>4</v>
      </c>
      <c r="C12" s="111" t="s">
        <v>35</v>
      </c>
      <c r="E12" s="172" t="s">
        <v>36</v>
      </c>
      <c r="F12" s="173"/>
      <c r="G12" s="174"/>
      <c r="H12" s="128">
        <v>0.2</v>
      </c>
      <c r="I12" s="69" t="s">
        <v>37</v>
      </c>
    </row>
    <row r="13" spans="2:9" ht="15" customHeight="1">
      <c r="B13" s="108">
        <v>5</v>
      </c>
      <c r="C13" s="111" t="s">
        <v>38</v>
      </c>
      <c r="E13" s="175" t="s">
        <v>39</v>
      </c>
      <c r="F13" s="176"/>
      <c r="G13" s="177"/>
      <c r="H13" s="127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8"/>
      <c r="F14" s="170"/>
      <c r="G14" s="171"/>
      <c r="H14" s="128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9"/>
      <c r="F15" s="180"/>
      <c r="G15" s="181"/>
      <c r="H15" s="127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29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8"/>
      <c r="F17" s="188"/>
      <c r="G17" s="188"/>
      <c r="H17" s="188"/>
      <c r="I17" s="69" t="s">
        <v>48</v>
      </c>
    </row>
    <row r="18" spans="2:9" ht="15" customHeight="1" thickBot="1">
      <c r="B18" s="108">
        <v>10</v>
      </c>
      <c r="C18" s="111" t="s">
        <v>49</v>
      </c>
      <c r="E18" s="162" t="s">
        <v>50</v>
      </c>
      <c r="F18" s="163"/>
      <c r="G18" s="163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5" t="s">
        <v>53</v>
      </c>
      <c r="F19" s="186"/>
      <c r="G19" s="187"/>
      <c r="H19" s="130">
        <v>0.2</v>
      </c>
    </row>
    <row r="20" spans="2:9" ht="15" customHeight="1">
      <c r="B20" s="108">
        <v>12</v>
      </c>
      <c r="C20" s="111" t="s">
        <v>54</v>
      </c>
      <c r="E20" s="164" t="s">
        <v>55</v>
      </c>
      <c r="F20" s="165"/>
      <c r="G20" s="166"/>
      <c r="H20" s="131">
        <v>0.4</v>
      </c>
    </row>
    <row r="21" spans="2:9" ht="15" customHeight="1">
      <c r="B21" s="108">
        <v>13</v>
      </c>
      <c r="C21" s="111" t="s">
        <v>56</v>
      </c>
      <c r="E21" s="167" t="s">
        <v>57</v>
      </c>
      <c r="F21" s="168"/>
      <c r="G21" s="169"/>
      <c r="H21" s="132">
        <v>0.1</v>
      </c>
    </row>
    <row r="22" spans="2:9" ht="15" customHeight="1">
      <c r="B22" s="108">
        <v>14</v>
      </c>
      <c r="C22" s="111" t="s">
        <v>58</v>
      </c>
      <c r="E22" s="164" t="s">
        <v>59</v>
      </c>
      <c r="F22" s="170"/>
      <c r="G22" s="171"/>
      <c r="H22" s="131">
        <v>0.1</v>
      </c>
    </row>
    <row r="23" spans="2:9" ht="15" customHeight="1">
      <c r="B23" s="108">
        <v>15</v>
      </c>
      <c r="C23" s="111" t="s">
        <v>60</v>
      </c>
      <c r="E23" s="167" t="s">
        <v>61</v>
      </c>
      <c r="F23" s="168"/>
      <c r="G23" s="169"/>
      <c r="H23" s="133">
        <v>0.1</v>
      </c>
    </row>
    <row r="24" spans="2:9" ht="15" customHeight="1">
      <c r="B24" s="108">
        <v>16</v>
      </c>
      <c r="C24" s="111" t="s">
        <v>62</v>
      </c>
      <c r="E24" s="164" t="s">
        <v>63</v>
      </c>
      <c r="F24" s="165"/>
      <c r="G24" s="166"/>
      <c r="H24" s="131">
        <v>0.1</v>
      </c>
    </row>
    <row r="25" spans="2:9" ht="15" customHeight="1" thickBot="1">
      <c r="B25" s="108">
        <v>17</v>
      </c>
      <c r="C25" s="111"/>
      <c r="E25" s="182"/>
      <c r="F25" s="183"/>
      <c r="G25" s="184"/>
      <c r="H25" s="132"/>
    </row>
    <row r="26" spans="2:9" ht="15" customHeight="1" thickBot="1">
      <c r="B26" s="108">
        <v>18</v>
      </c>
      <c r="C26" s="111"/>
      <c r="E26" s="114"/>
      <c r="F26" s="114"/>
      <c r="G26" s="114"/>
      <c r="H26" s="129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9" t="s">
        <v>64</v>
      </c>
      <c r="F28" s="190"/>
      <c r="G28" s="190"/>
      <c r="H28" s="191"/>
    </row>
    <row r="29" spans="2:9" ht="15" customHeight="1" thickBot="1">
      <c r="B29" s="108">
        <v>21</v>
      </c>
      <c r="C29" s="111"/>
      <c r="E29" s="159" t="s">
        <v>65</v>
      </c>
      <c r="F29" s="160"/>
      <c r="G29" s="160"/>
      <c r="H29" s="161"/>
    </row>
    <row r="30" spans="2:9" ht="15" customHeight="1" thickBot="1">
      <c r="B30" s="108">
        <v>22</v>
      </c>
      <c r="C30" s="111"/>
      <c r="E30" s="156" t="s">
        <v>66</v>
      </c>
      <c r="F30" s="157"/>
      <c r="G30" s="157"/>
      <c r="H30" s="158"/>
    </row>
    <row r="31" spans="2:9" ht="15" customHeight="1" thickBot="1">
      <c r="B31" s="108">
        <v>23</v>
      </c>
      <c r="C31" s="111"/>
      <c r="E31" s="159" t="s">
        <v>67</v>
      </c>
      <c r="F31" s="160"/>
      <c r="G31" s="160"/>
      <c r="H31" s="161"/>
    </row>
    <row r="32" spans="2:9" ht="15" customHeight="1" thickBot="1">
      <c r="B32" s="108">
        <v>24</v>
      </c>
      <c r="C32" s="111"/>
      <c r="E32" s="156" t="s">
        <v>68</v>
      </c>
      <c r="F32" s="157"/>
      <c r="G32" s="157"/>
      <c r="H32" s="158"/>
    </row>
    <row r="33" spans="2:8" ht="15" customHeight="1" thickBot="1">
      <c r="B33" s="108">
        <v>25</v>
      </c>
      <c r="C33" s="111"/>
      <c r="E33" s="159"/>
      <c r="F33" s="160"/>
      <c r="G33" s="160"/>
      <c r="H33" s="161"/>
    </row>
    <row r="34" spans="2:8" ht="15" customHeight="1" thickBot="1">
      <c r="B34" s="108">
        <v>26</v>
      </c>
      <c r="C34" s="111"/>
      <c r="E34" s="156"/>
      <c r="F34" s="157"/>
      <c r="G34" s="157"/>
      <c r="H34" s="158"/>
    </row>
    <row r="35" spans="2:8" ht="15" customHeight="1" thickBot="1">
      <c r="B35" s="108">
        <v>27</v>
      </c>
      <c r="C35" s="111"/>
      <c r="E35" s="159"/>
      <c r="F35" s="160"/>
      <c r="G35" s="160"/>
      <c r="H35" s="161"/>
    </row>
    <row r="36" spans="2:8" ht="15" customHeight="1" thickBot="1">
      <c r="B36" s="108">
        <v>28</v>
      </c>
      <c r="C36" s="111"/>
      <c r="E36" s="156"/>
      <c r="F36" s="157"/>
      <c r="G36" s="157"/>
      <c r="H36" s="158"/>
    </row>
    <row r="37" spans="2:8" ht="15" customHeight="1" thickBot="1">
      <c r="B37" s="108">
        <v>29</v>
      </c>
      <c r="C37" s="111"/>
      <c r="E37" s="159"/>
      <c r="F37" s="160"/>
      <c r="G37" s="160"/>
      <c r="H37" s="161"/>
    </row>
    <row r="38" spans="2:8" ht="15" customHeight="1" thickBot="1">
      <c r="B38" s="108">
        <v>30</v>
      </c>
      <c r="C38" s="111"/>
      <c r="E38" s="156"/>
      <c r="F38" s="157"/>
      <c r="G38" s="157"/>
      <c r="H38" s="158"/>
    </row>
    <row r="39" spans="2:8" ht="15" customHeight="1" thickBot="1">
      <c r="B39" s="108">
        <v>31</v>
      </c>
      <c r="C39" s="111"/>
      <c r="E39" s="159"/>
      <c r="F39" s="160"/>
      <c r="G39" s="160"/>
      <c r="H39" s="161"/>
    </row>
    <row r="40" spans="2:8" ht="15" customHeight="1" thickBot="1">
      <c r="B40" s="108">
        <v>32</v>
      </c>
      <c r="C40" s="111"/>
      <c r="E40" s="156"/>
      <c r="F40" s="157"/>
      <c r="G40" s="157"/>
      <c r="H40" s="158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39" t="str">
        <f>MID(E29,1,20)</f>
        <v xml:space="preserve">GRUPO#1  METALNOVA </v>
      </c>
      <c r="F42" s="140" t="str">
        <f>MID(E30,1,20)</f>
        <v xml:space="preserve">GRUPO#2  FLORA FRIO </v>
      </c>
      <c r="G42" s="140" t="str">
        <f>MID(E31,1,20)</f>
        <v>GRUPO#3</v>
      </c>
      <c r="H42" s="141" t="str">
        <f>MID(E32,1,20)</f>
        <v xml:space="preserve">GRUPO#4 insta FRUIT </v>
      </c>
    </row>
    <row r="43" spans="2:8" ht="15" customHeight="1">
      <c r="B43" s="108">
        <v>35</v>
      </c>
      <c r="C43" s="111"/>
      <c r="E43" s="115" t="s">
        <v>27</v>
      </c>
      <c r="F43" s="116" t="s">
        <v>38</v>
      </c>
      <c r="G43" s="116" t="s">
        <v>47</v>
      </c>
      <c r="H43" s="117" t="s">
        <v>56</v>
      </c>
    </row>
    <row r="44" spans="2:8" ht="15" customHeight="1">
      <c r="B44" s="108">
        <v>36</v>
      </c>
      <c r="C44" s="111"/>
      <c r="E44" s="118" t="s">
        <v>30</v>
      </c>
      <c r="F44" s="119" t="s">
        <v>41</v>
      </c>
      <c r="G44" s="119" t="s">
        <v>49</v>
      </c>
      <c r="H44" s="120" t="s">
        <v>58</v>
      </c>
    </row>
    <row r="45" spans="2:8" ht="15" customHeight="1">
      <c r="B45" s="108">
        <v>37</v>
      </c>
      <c r="C45" s="111"/>
      <c r="E45" s="121" t="s">
        <v>33</v>
      </c>
      <c r="F45" s="122" t="s">
        <v>43</v>
      </c>
      <c r="G45" s="122" t="s">
        <v>52</v>
      </c>
      <c r="H45" s="123" t="s">
        <v>60</v>
      </c>
    </row>
    <row r="46" spans="2:8" ht="15" customHeight="1">
      <c r="B46" s="108">
        <v>38</v>
      </c>
      <c r="C46" s="111"/>
      <c r="E46" s="118" t="s">
        <v>35</v>
      </c>
      <c r="F46" s="119" t="s">
        <v>45</v>
      </c>
      <c r="G46" s="119" t="s">
        <v>54</v>
      </c>
      <c r="H46" s="120" t="s">
        <v>62</v>
      </c>
    </row>
    <row r="47" spans="2:8" ht="15" customHeight="1">
      <c r="B47" s="108">
        <v>39</v>
      </c>
      <c r="C47" s="111"/>
      <c r="E47" s="121"/>
      <c r="F47" s="122"/>
      <c r="G47" s="122"/>
      <c r="H47" s="123"/>
    </row>
    <row r="48" spans="2:8" ht="15" customHeight="1" thickBot="1">
      <c r="B48" s="108">
        <v>40</v>
      </c>
      <c r="C48" s="111"/>
      <c r="E48" s="124"/>
      <c r="F48" s="125"/>
      <c r="G48" s="125"/>
      <c r="H48" s="126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39" t="str">
        <f>MID(E33,1,20)</f>
        <v/>
      </c>
      <c r="F50" s="140" t="str">
        <f>MID(E34,1,20)</f>
        <v/>
      </c>
      <c r="G50" s="140" t="str">
        <f>MID(E35,1,20)</f>
        <v/>
      </c>
      <c r="H50" s="141" t="str">
        <f>MID(E36,1,20)</f>
        <v/>
      </c>
    </row>
    <row r="51" spans="2:8" ht="15" customHeight="1">
      <c r="B51" s="108">
        <v>43</v>
      </c>
      <c r="C51" s="111"/>
      <c r="E51" s="115"/>
      <c r="F51" s="116"/>
      <c r="G51" s="116"/>
      <c r="H51" s="117"/>
    </row>
    <row r="52" spans="2:8" ht="15" customHeight="1">
      <c r="B52" s="108">
        <v>44</v>
      </c>
      <c r="C52" s="111"/>
      <c r="E52" s="118"/>
      <c r="F52" s="119"/>
      <c r="G52" s="119"/>
      <c r="H52" s="120"/>
    </row>
    <row r="53" spans="2:8" ht="15" customHeight="1">
      <c r="B53" s="108">
        <v>45</v>
      </c>
      <c r="C53" s="111"/>
      <c r="E53" s="121"/>
      <c r="F53" s="122"/>
      <c r="G53" s="122"/>
      <c r="H53" s="123"/>
    </row>
    <row r="54" spans="2:8" ht="15" customHeight="1">
      <c r="B54" s="108">
        <v>46</v>
      </c>
      <c r="C54" s="111"/>
      <c r="E54" s="118"/>
      <c r="F54" s="119"/>
      <c r="G54" s="119"/>
      <c r="H54" s="120"/>
    </row>
    <row r="55" spans="2:8" ht="15" customHeight="1">
      <c r="B55" s="108">
        <v>47</v>
      </c>
      <c r="C55" s="111"/>
      <c r="E55" s="121"/>
      <c r="F55" s="122"/>
      <c r="G55" s="122"/>
      <c r="H55" s="123"/>
    </row>
    <row r="56" spans="2:8" ht="15" customHeight="1" thickBot="1">
      <c r="B56" s="108">
        <v>48</v>
      </c>
      <c r="C56" s="111"/>
      <c r="E56" s="124"/>
      <c r="F56" s="125"/>
      <c r="G56" s="125"/>
      <c r="H56" s="126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39" t="str">
        <f>MID(E37,1,20)</f>
        <v/>
      </c>
      <c r="F58" s="140" t="str">
        <f>MID(E38,1,20)</f>
        <v/>
      </c>
      <c r="G58" s="140" t="str">
        <f>MID(E39,1,20)</f>
        <v/>
      </c>
      <c r="H58" s="141" t="str">
        <f>MID(E40,1,20)</f>
        <v/>
      </c>
    </row>
    <row r="59" spans="2:8" ht="15" customHeight="1">
      <c r="E59" s="115"/>
      <c r="F59" s="116"/>
      <c r="G59" s="116"/>
      <c r="H59" s="117"/>
    </row>
    <row r="60" spans="2:8" ht="15" customHeight="1">
      <c r="E60" s="118"/>
      <c r="F60" s="119"/>
      <c r="G60" s="119"/>
      <c r="H60" s="120"/>
    </row>
    <row r="61" spans="2:8" ht="15" customHeight="1">
      <c r="E61" s="121"/>
      <c r="F61" s="122"/>
      <c r="G61" s="122"/>
      <c r="H61" s="123"/>
    </row>
    <row r="62" spans="2:8" ht="15" customHeight="1">
      <c r="E62" s="118"/>
      <c r="F62" s="119"/>
      <c r="G62" s="119"/>
      <c r="H62" s="120"/>
    </row>
    <row r="63" spans="2:8" ht="15" customHeight="1">
      <c r="E63" s="121"/>
      <c r="F63" s="122"/>
      <c r="G63" s="122"/>
      <c r="H63" s="123"/>
    </row>
    <row r="64" spans="2:8" ht="15" customHeight="1" thickBot="1">
      <c r="E64" s="124"/>
      <c r="F64" s="125"/>
      <c r="G64" s="125"/>
      <c r="H64" s="126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i1W0nxKQvIKc9eLmygvV91zmJix8sK6okVvIay58CRhgKzbKLzJ6OKLT6lfqtTAn8JSIBmKGo3+G5qlq57YpKA==" saltValue="UVRHMsSZ1R2/9lJDwSZ3Pg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4" activePane="bottomRight" state="frozen"/>
      <selection pane="bottomRight" activeCell="B1" sqref="A1:H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IMPORTACIONES Y EXPORTACIONES</v>
      </c>
      <c r="C2" s="82"/>
      <c r="D2" s="3"/>
      <c r="F2" s="149" t="s">
        <v>69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CONCATENATE(LIDER!C4," - ",LIDER!C6," - ",LIDER!C5)</f>
        <v>IMPORTACIONES Y EXPORTACIONES - 1439 - SANDRA MILENA CASTAÑO GIRALDO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71</v>
      </c>
      <c r="C5" s="88" t="s">
        <v>72</v>
      </c>
      <c r="D5" s="32" t="s">
        <v>73</v>
      </c>
      <c r="E5" s="89" t="s">
        <v>74</v>
      </c>
      <c r="F5" s="142" t="str">
        <f>LIDER!$E$29</f>
        <v xml:space="preserve">GRUPO#1  METALNOVA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LUIS ANGEL DAZA VILLAFAÑE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4.7699999999999996</v>
      </c>
      <c r="F6" s="143">
        <v>4.8</v>
      </c>
      <c r="G6" s="144">
        <v>4.5</v>
      </c>
      <c r="H6" s="145">
        <v>4.8</v>
      </c>
      <c r="I6" s="144">
        <v>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JUAN CAMILO DURAN FLOREZ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4.7699999999999996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BRANDO DE JESUS IRIARTE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4.7699999999999996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JOSE RUIZ MEZA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4.7699999999999996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75</v>
      </c>
      <c r="C12" s="88" t="s">
        <v>76</v>
      </c>
      <c r="D12" s="32" t="str">
        <f>D5</f>
        <v>LIST</v>
      </c>
      <c r="E12" s="89" t="s">
        <v>74</v>
      </c>
      <c r="F12" s="142" t="str">
        <f>LIDER!$E$30</f>
        <v xml:space="preserve">GRUPO#2  FLORA FRIO 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ISABELLA CARVAL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4.4799999999999995</v>
      </c>
      <c r="F13" s="143">
        <v>4</v>
      </c>
      <c r="G13" s="144">
        <v>4.3</v>
      </c>
      <c r="H13" s="145">
        <v>4.3</v>
      </c>
      <c r="I13" s="144">
        <v>5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MANUEL JOSÉ DIAZ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4.4799999999999995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JORGE ELIECER NAVARRO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4.4799999999999995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JESUS DAVID OTERO BARRIOS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4.4799999999999995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67</v>
      </c>
      <c r="C19" s="88" t="s">
        <v>77</v>
      </c>
      <c r="D19" s="32" t="str">
        <f>D12</f>
        <v>LIST</v>
      </c>
      <c r="E19" s="89" t="s">
        <v>74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EDWIN MIGUEL ARNEDO RAMOS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</v>
      </c>
      <c r="F20" s="143">
        <v>4.5</v>
      </c>
      <c r="G20" s="144">
        <v>4.5</v>
      </c>
      <c r="H20" s="145">
        <v>4</v>
      </c>
      <c r="I20" s="144">
        <v>5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GRACE VALENTINA CORREA MEDINA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THAMARA ANDREA DE AVILA CORCHO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MARIA CAMILA FAJARDO FLOREZ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74</v>
      </c>
      <c r="F26" s="142" t="str">
        <f>LIDER!$E$32</f>
        <v xml:space="preserve">GRUPO#4 insta FRUIT 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JESÚS DANIEL IMITOLA MONTAÑO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4.1899999999999995</v>
      </c>
      <c r="F27" s="143">
        <v>3.5</v>
      </c>
      <c r="G27" s="144">
        <v>3.8</v>
      </c>
      <c r="H27" s="145">
        <v>4</v>
      </c>
      <c r="I27" s="144">
        <v>5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ANDRES FELIPE RADA ZAMBRANO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4.1899999999999995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HAROLD HENRIQUE SOSA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4.1899999999999995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SERGIO ANDRES YOUNG ESPITIA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4.1899999999999995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74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74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74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74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74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74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74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74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H4" activePane="bottomRight" state="frozen"/>
      <selection pane="bottomRight" activeCell="H1" sqref="A1:H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ELECTIVA LIBRE SOCIOHUMAN III</v>
      </c>
      <c r="C2" s="82"/>
      <c r="D2" s="3"/>
      <c r="F2" s="149" t="s">
        <v>69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CONCATENATE(LIDER!D4," - ",LIDER!D6," - ",LIDER!D5)</f>
        <v>ELECTIVA LIBRE SOCIOHUMAN III - 2144 - ALBEIRO YESITH PÉREZ CHIQUILLO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71</v>
      </c>
      <c r="C5" s="88" t="s">
        <v>72</v>
      </c>
      <c r="D5" s="32" t="s">
        <v>73</v>
      </c>
      <c r="E5" s="89" t="s">
        <v>74</v>
      </c>
      <c r="F5" s="142" t="str">
        <f>LIDER!$E$29</f>
        <v xml:space="preserve">GRUPO#1  METALNOVA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LUIS ANGEL DAZA VILLAFAÑE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4.76</v>
      </c>
      <c r="F6" s="143">
        <v>4.7</v>
      </c>
      <c r="G6" s="144">
        <v>4.8</v>
      </c>
      <c r="H6" s="145">
        <v>4.8</v>
      </c>
      <c r="I6" s="144">
        <v>4.7</v>
      </c>
      <c r="J6" s="145">
        <v>4.7</v>
      </c>
      <c r="K6" s="144"/>
      <c r="L6" s="145"/>
    </row>
    <row r="7" spans="1:12" s="2" customFormat="1" ht="15" customHeight="1">
      <c r="A7" s="12">
        <v>2</v>
      </c>
      <c r="B7" s="10" t="str">
        <f>LIDER!E44</f>
        <v>JUAN CAMILO DURAN FLOREZ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4.76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BRANDO DE JESUS IRIARTE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4.76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JOSE RUIZ MEZA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4.76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75</v>
      </c>
      <c r="C12" s="88" t="s">
        <v>76</v>
      </c>
      <c r="D12" s="32" t="str">
        <f>D5</f>
        <v>LIST</v>
      </c>
      <c r="E12" s="89" t="s">
        <v>74</v>
      </c>
      <c r="F12" s="142" t="str">
        <f>LIDER!$E$30</f>
        <v xml:space="preserve">GRUPO#2  FLORA FRIO 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ISABELLA CARVAL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4.49</v>
      </c>
      <c r="F13" s="143">
        <v>4.4000000000000004</v>
      </c>
      <c r="G13" s="144">
        <v>4.5</v>
      </c>
      <c r="H13" s="145">
        <v>4.5</v>
      </c>
      <c r="I13" s="144">
        <v>4.5</v>
      </c>
      <c r="J13" s="145">
        <v>4.5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MANUEL JOSÉ DIAZ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4.49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JORGE ELIECER NAVARRO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4.49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JESUS DAVID OTERO BARRIOS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4.49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67</v>
      </c>
      <c r="C19" s="88" t="s">
        <v>77</v>
      </c>
      <c r="D19" s="32" t="str">
        <f>D12</f>
        <v>LIST</v>
      </c>
      <c r="E19" s="89" t="s">
        <v>74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EDWIN MIGUEL ARNEDO RAMOS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</v>
      </c>
      <c r="F20" s="143">
        <v>4.5</v>
      </c>
      <c r="G20" s="144">
        <v>4.5</v>
      </c>
      <c r="H20" s="145">
        <v>4.5</v>
      </c>
      <c r="I20" s="144">
        <v>4.5</v>
      </c>
      <c r="J20" s="145">
        <v>4.5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GRACE VALENTINA CORREA MEDINA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THAMARA ANDREA DE AVILA CORCHO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MARIA CAMILA FAJARDO FLOREZ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74</v>
      </c>
      <c r="F26" s="142" t="str">
        <f>LIDER!$E$32</f>
        <v xml:space="preserve">GRUPO#4 insta FRUIT 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JESÚS DANIEL IMITOLA MONTAÑO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4.01</v>
      </c>
      <c r="F27" s="143">
        <v>4.0999999999999996</v>
      </c>
      <c r="G27" s="144">
        <v>4</v>
      </c>
      <c r="H27" s="145">
        <v>4</v>
      </c>
      <c r="I27" s="144">
        <v>4</v>
      </c>
      <c r="J27" s="145">
        <v>4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ANDRES FELIPE RADA ZAMBRANO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4.01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HAROLD HENRIQUE SOSA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4.01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SERGIO ANDRES YOUNG ESPITIA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4.01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74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74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74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74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74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74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74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74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J1" sqref="J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FINANZAS INTERNACIONALES</v>
      </c>
      <c r="C2" s="82"/>
      <c r="D2" s="3"/>
      <c r="F2" s="149" t="s">
        <v>69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CONCATENATE(LIDER!E4," - ",LIDER!E6," - ",LIDER!E5)</f>
        <v>FINANZAS INTERNACIONALES - 1447 - JAVIER IGNACIO ALVAREZ OROZCO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71</v>
      </c>
      <c r="C5" s="88" t="s">
        <v>72</v>
      </c>
      <c r="D5" s="32" t="s">
        <v>73</v>
      </c>
      <c r="E5" s="89" t="s">
        <v>74</v>
      </c>
      <c r="F5" s="142" t="str">
        <f>LIDER!$E$29</f>
        <v xml:space="preserve">GRUPO#1  METALNOVA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LUIS ANGEL DAZA VILLAFAÑE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4.5599999999999996</v>
      </c>
      <c r="F6" s="143">
        <v>4.5999999999999996</v>
      </c>
      <c r="G6" s="144">
        <v>4.5</v>
      </c>
      <c r="H6" s="145">
        <v>4.5</v>
      </c>
      <c r="I6" s="144">
        <v>4.5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JUAN CAMILO DURAN FLOREZ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4.5599999999999996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BRANDO DE JESUS IRIARTE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4.5599999999999996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JOSE RUIZ MEZA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4.5599999999999996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75</v>
      </c>
      <c r="C12" s="88" t="s">
        <v>76</v>
      </c>
      <c r="D12" s="32" t="str">
        <f>D5</f>
        <v>LIST</v>
      </c>
      <c r="E12" s="89" t="s">
        <v>74</v>
      </c>
      <c r="F12" s="142" t="str">
        <f>LIDER!$E$30</f>
        <v xml:space="preserve">GRUPO#2  FLORA FRIO 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ISABELLA CARVAL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4.38</v>
      </c>
      <c r="F13" s="143">
        <v>4.2</v>
      </c>
      <c r="G13" s="144">
        <v>4.2</v>
      </c>
      <c r="H13" s="145">
        <v>4.4000000000000004</v>
      </c>
      <c r="I13" s="144">
        <v>4.4000000000000004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MANUEL JOSÉ DIAZ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4.38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JORGE ELIECER NAVARRO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4.38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JESUS DAVID OTERO BARRIOS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4.38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67</v>
      </c>
      <c r="C19" s="88" t="s">
        <v>77</v>
      </c>
      <c r="D19" s="32" t="str">
        <f>D12</f>
        <v>LIST</v>
      </c>
      <c r="E19" s="89" t="s">
        <v>74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EDWIN MIGUEL ARNEDO RAMOS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4.3599999999999994</v>
      </c>
      <c r="F20" s="143">
        <v>4.4000000000000004</v>
      </c>
      <c r="G20" s="144">
        <v>4.4000000000000004</v>
      </c>
      <c r="H20" s="145">
        <v>4</v>
      </c>
      <c r="I20" s="144">
        <v>4.5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GRACE VALENTINA CORREA MEDINA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4.3599999999999994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THAMARA ANDREA DE AVILA CORCHO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4.3599999999999994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MARIA CAMILA FAJARDO FLOREZ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4.3599999999999994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74</v>
      </c>
      <c r="F26" s="142" t="str">
        <f>LIDER!$E$32</f>
        <v xml:space="preserve">GRUPO#4 insta FRUIT 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JESÚS DANIEL IMITOLA MONTAÑO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4.0999999999999996</v>
      </c>
      <c r="F27" s="143">
        <v>4</v>
      </c>
      <c r="G27" s="144">
        <v>4</v>
      </c>
      <c r="H27" s="145">
        <v>4</v>
      </c>
      <c r="I27" s="144">
        <v>4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ANDRES FELIPE RADA ZAMBRANO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4.0999999999999996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HAROLD HENRIQUE SOSA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4.0999999999999996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SERGIO ANDRES YOUNG ESPITIA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4.0999999999999996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74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74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74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74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74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74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74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74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A4" sqref="A4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REGIMEN CAMBIARIO</v>
      </c>
      <c r="C2" s="82"/>
      <c r="D2" s="3"/>
      <c r="F2" s="149" t="s">
        <v>69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CONCATENATE(LIDER!F4," - ",LIDER!F6," - ",LIDER!F5)</f>
        <v>REGIMEN CAMBIARIO - 2891 - ABRAHAN RINALDI VILLALOBOS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71</v>
      </c>
      <c r="C5" s="88" t="s">
        <v>72</v>
      </c>
      <c r="D5" s="32" t="s">
        <v>73</v>
      </c>
      <c r="E5" s="89" t="s">
        <v>74</v>
      </c>
      <c r="F5" s="142" t="str">
        <f>LIDER!$E$29</f>
        <v xml:space="preserve">GRUPO#1  METALNOVA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LUIS ANGEL DAZA VILLAFAÑE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4.76</v>
      </c>
      <c r="F6" s="143">
        <v>4.8</v>
      </c>
      <c r="G6" s="144">
        <v>4.7</v>
      </c>
      <c r="H6" s="145">
        <v>4.7</v>
      </c>
      <c r="I6" s="144">
        <v>4.8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JUAN CAMILO DURAN FLOREZ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4.76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BRANDO DE JESUS IRIARTE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4.76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JOSE RUIZ MEZA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4.76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75</v>
      </c>
      <c r="C12" s="88" t="s">
        <v>76</v>
      </c>
      <c r="D12" s="32" t="str">
        <f>D5</f>
        <v>LIST</v>
      </c>
      <c r="E12" s="89" t="s">
        <v>74</v>
      </c>
      <c r="F12" s="142" t="str">
        <f>LIDER!$E$30</f>
        <v xml:space="preserve">GRUPO#2  FLORA FRIO 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ISABELLA CARVAL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4.5299999999999994</v>
      </c>
      <c r="F13" s="143">
        <v>4.5</v>
      </c>
      <c r="G13" s="144">
        <v>4.5</v>
      </c>
      <c r="H13" s="145">
        <v>4.5</v>
      </c>
      <c r="I13" s="144">
        <v>4.4000000000000004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MANUEL JOSÉ DIAZ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4.5299999999999994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JORGE ELIECER NAVARRO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4.5299999999999994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JESUS DAVID OTERO BARRIOS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4.5299999999999994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67</v>
      </c>
      <c r="C19" s="88" t="s">
        <v>77</v>
      </c>
      <c r="D19" s="32" t="str">
        <f>D12</f>
        <v>LIST</v>
      </c>
      <c r="E19" s="89" t="s">
        <v>74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EDWIN MIGUEL ARNEDO RAMOS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4.5999999999999996</v>
      </c>
      <c r="F20" s="143">
        <v>4.5</v>
      </c>
      <c r="G20" s="144">
        <v>4.5999999999999996</v>
      </c>
      <c r="H20" s="145">
        <v>4.5</v>
      </c>
      <c r="I20" s="144">
        <v>4.5999999999999996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GRACE VALENTINA CORREA MEDINA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4.5999999999999996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THAMARA ANDREA DE AVILA CORCHO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4.5999999999999996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MARIA CAMILA FAJARDO FLOREZ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4.5999999999999996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74</v>
      </c>
      <c r="F26" s="142" t="str">
        <f>LIDER!$E$32</f>
        <v xml:space="preserve">GRUPO#4 insta FRUIT 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JESÚS DANIEL IMITOLA MONTAÑO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4.1099999999999994</v>
      </c>
      <c r="F27" s="143">
        <v>3.8</v>
      </c>
      <c r="G27" s="144">
        <v>4</v>
      </c>
      <c r="H27" s="145">
        <v>4.0999999999999996</v>
      </c>
      <c r="I27" s="144">
        <v>4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ANDRES FELIPE RADA ZAMBRANO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4.1099999999999994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HAROLD HENRIQUE SOSA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4.1099999999999994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SERGIO ANDRES YOUNG ESPITIA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4.1099999999999994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74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74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74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74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74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74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74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74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tabSelected="1" workbookViewId="0">
      <pane xSplit="5" ySplit="3" topLeftCell="F4" activePane="bottomRight" state="frozen"/>
      <selection pane="bottomRight" activeCell="F4" sqref="F4:L4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NEGOCIACION INTERNACIONAL</v>
      </c>
      <c r="C2" s="82"/>
      <c r="D2" s="3"/>
      <c r="F2" s="149" t="s">
        <v>69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CONCATENATE(LIDER!G4," - ",LIDER!G6," - ",LIDER!G5)</f>
        <v>NEGOCIACION INTERNACIONAL - 2407 - HERNANDO RAFAEL ARMESTO ABUABARA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71</v>
      </c>
      <c r="C5" s="88" t="s">
        <v>72</v>
      </c>
      <c r="D5" s="32" t="s">
        <v>73</v>
      </c>
      <c r="E5" s="89" t="s">
        <v>74</v>
      </c>
      <c r="F5" s="142" t="str">
        <f>LIDER!$E$29</f>
        <v xml:space="preserve">GRUPO#1  METALNOVA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LUIS ANGEL DAZA VILLAFAÑE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4.04</v>
      </c>
      <c r="F6" s="143">
        <v>4</v>
      </c>
      <c r="G6" s="144">
        <v>3.8</v>
      </c>
      <c r="H6" s="145">
        <v>4</v>
      </c>
      <c r="I6" s="144">
        <v>4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JUAN CAMILO DURAN FLOREZ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4.04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BRANDO DE JESUS IRIARTE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4.04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JOSE RUIZ MEZA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4.04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75</v>
      </c>
      <c r="C12" s="88" t="s">
        <v>76</v>
      </c>
      <c r="D12" s="32" t="str">
        <f>D5</f>
        <v>LIST</v>
      </c>
      <c r="E12" s="89" t="s">
        <v>74</v>
      </c>
      <c r="F12" s="142" t="str">
        <f>LIDER!$E$30</f>
        <v xml:space="preserve">GRUPO#2  FLORA FRIO 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ISABELLA CARVAL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3.71</v>
      </c>
      <c r="F13" s="143">
        <v>3.5</v>
      </c>
      <c r="G13" s="144">
        <v>4.2</v>
      </c>
      <c r="H13" s="145">
        <v>4</v>
      </c>
      <c r="I13" s="144">
        <v>2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MANUEL JOSÉ DIAZ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3.71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JORGE ELIECER NAVARRO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3.71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JESUS DAVID OTERO BARRIOS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3.71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67</v>
      </c>
      <c r="C19" s="88" t="s">
        <v>77</v>
      </c>
      <c r="D19" s="32" t="str">
        <f>D12</f>
        <v>LIST</v>
      </c>
      <c r="E19" s="89" t="s">
        <v>74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EDWIN MIGUEL ARNEDO RAMOS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4.01</v>
      </c>
      <c r="F20" s="143">
        <v>3.5</v>
      </c>
      <c r="G20" s="144">
        <v>4.2</v>
      </c>
      <c r="H20" s="145">
        <v>4</v>
      </c>
      <c r="I20" s="144">
        <v>3.5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GRACE VALENTINA CORREA MEDINA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4.01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THAMARA ANDREA DE AVILA CORCHO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4.01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MARIA CAMILA FAJARDO FLOREZ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4.01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74</v>
      </c>
      <c r="F26" s="142" t="str">
        <f>LIDER!$E$32</f>
        <v xml:space="preserve">GRUPO#4 insta FRUIT 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JESÚS DANIEL IMITOLA MONTAÑO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3.2199999999999998</v>
      </c>
      <c r="F27" s="143">
        <v>2.8</v>
      </c>
      <c r="G27" s="144">
        <v>3.5</v>
      </c>
      <c r="H27" s="145">
        <v>3.3</v>
      </c>
      <c r="I27" s="144">
        <v>2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ANDRES FELIPE RADA ZAMBRANO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3.2199999999999998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HAROLD HENRIQUE SOSA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3.2199999999999998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SERGIO ANDRES YOUNG ESPITIA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3.2199999999999998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74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74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74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74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74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74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74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74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22" activePane="bottomRight" state="frozen"/>
      <selection pane="bottomRight" activeCell="H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MARKETING INTERNACIONAL</v>
      </c>
      <c r="C2" s="82"/>
      <c r="D2" s="3"/>
      <c r="F2" s="149" t="s">
        <v>69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CONCATENATE(LIDER!H4," - ",LIDER!H6," - ",LIDER!H5)</f>
        <v>MARKETING INTERNACIONAL - 1380 - REYNALDO ARTURO ROJAS TRILLOS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71</v>
      </c>
      <c r="C5" s="88" t="s">
        <v>72</v>
      </c>
      <c r="D5" s="32" t="s">
        <v>73</v>
      </c>
      <c r="E5" s="89" t="s">
        <v>74</v>
      </c>
      <c r="F5" s="142" t="str">
        <f>LIDER!$E$29</f>
        <v xml:space="preserve">GRUPO#1  METALNOVA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LUIS ANGEL DAZA VILLAFAÑE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</v>
      </c>
      <c r="F6" s="143">
        <v>3.7</v>
      </c>
      <c r="G6" s="144">
        <v>3.8</v>
      </c>
      <c r="H6" s="145">
        <v>3.8</v>
      </c>
      <c r="I6" s="144">
        <v>4.5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JUAN CAMILO DURAN FLOREZ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BRANDO DE JESUS IRIARTE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JOSE RUIZ MEZA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4.05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75</v>
      </c>
      <c r="C12" s="88" t="s">
        <v>76</v>
      </c>
      <c r="D12" s="32" t="str">
        <f>D5</f>
        <v>LIST</v>
      </c>
      <c r="E12" s="89" t="s">
        <v>74</v>
      </c>
      <c r="F12" s="142" t="str">
        <f>LIDER!$E$30</f>
        <v xml:space="preserve">GRUPO#2  FLORA FRIO 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ISABELLA CARVAL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3.6900000000000004</v>
      </c>
      <c r="F13" s="143">
        <v>3.9</v>
      </c>
      <c r="G13" s="144">
        <v>3.6</v>
      </c>
      <c r="H13" s="145">
        <v>3.8</v>
      </c>
      <c r="I13" s="144">
        <v>2.9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MANUEL JOSÉ DIAZ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3.6900000000000004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JORGE ELIECER NAVARRO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3.6900000000000004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JESUS DAVID OTERO BARRIOS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3.6900000000000004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67</v>
      </c>
      <c r="C19" s="88" t="s">
        <v>77</v>
      </c>
      <c r="D19" s="32" t="str">
        <f>D12</f>
        <v>LIST</v>
      </c>
      <c r="E19" s="89" t="s">
        <v>74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EDWIN MIGUEL ARNEDO RAMOS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3.9699999999999998</v>
      </c>
      <c r="F20" s="143">
        <v>3.9</v>
      </c>
      <c r="G20" s="144">
        <v>3.8</v>
      </c>
      <c r="H20" s="145">
        <v>3.8</v>
      </c>
      <c r="I20" s="144">
        <v>4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GRACE VALENTINA CORREA MEDINA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3.9699999999999998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THAMARA ANDREA DE AVILA CORCHO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3.9699999999999998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MARIA CAMILA FAJARDO FLOREZ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3.9699999999999998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74</v>
      </c>
      <c r="F26" s="142" t="str">
        <f>LIDER!$E$32</f>
        <v xml:space="preserve">GRUPO#4 insta FRUIT 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JESÚS DANIEL IMITOLA MONTAÑO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3.88</v>
      </c>
      <c r="F27" s="143">
        <v>4</v>
      </c>
      <c r="G27" s="144">
        <v>4</v>
      </c>
      <c r="H27" s="145">
        <v>4</v>
      </c>
      <c r="I27" s="144">
        <v>2.9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ANDRES FELIPE RADA ZAMBRANO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3.88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HAROLD HENRIQUE SOSA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3.88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SERGIO ANDRES YOUNG ESPITIA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3.88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74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74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74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74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74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74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74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74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4" sqref="F4:L4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149" t="s">
        <v>69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CONCATENATE(LIDER!I4," - ",LIDER!I6," - ",LIDER!I5)</f>
        <v xml:space="preserve"> -  - 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71</v>
      </c>
      <c r="C5" s="88" t="s">
        <v>72</v>
      </c>
      <c r="D5" s="32" t="s">
        <v>73</v>
      </c>
      <c r="E5" s="89" t="s">
        <v>74</v>
      </c>
      <c r="F5" s="142" t="str">
        <f>LIDER!$E$29</f>
        <v xml:space="preserve">GRUPO#1  METALNOVA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LUIS ANGEL DAZA VILLAFAÑE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JUAN CAMILO DURAN FLOREZ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BRANDO DE JESUS IRIARTE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JOSE RUIZ MEZA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75</v>
      </c>
      <c r="C12" s="88" t="s">
        <v>76</v>
      </c>
      <c r="D12" s="32" t="str">
        <f>D5</f>
        <v>LIST</v>
      </c>
      <c r="E12" s="89" t="s">
        <v>74</v>
      </c>
      <c r="F12" s="142" t="str">
        <f>LIDER!$E$30</f>
        <v xml:space="preserve">GRUPO#2  FLORA FRIO 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ISABELLA CARVAL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MANUEL JOSÉ DIAZ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JORGE ELIECER NAVARRO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JESUS DAVID OTERO BARRIOS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67</v>
      </c>
      <c r="C19" s="88" t="s">
        <v>77</v>
      </c>
      <c r="D19" s="32" t="str">
        <f>D12</f>
        <v>LIST</v>
      </c>
      <c r="E19" s="89" t="s">
        <v>74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EDWIN MIGUEL ARNEDO RAMOS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GRACE VALENTINA CORREA MEDINA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THAMARA ANDREA DE AVILA CORCHO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MARIA CAMILA FAJARDO FLOREZ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74</v>
      </c>
      <c r="F26" s="142" t="str">
        <f>LIDER!$E$32</f>
        <v xml:space="preserve">GRUPO#4 insta FRUIT 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JESÚS DANIEL IMITOLA MONTAÑO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 t="str">
        <f>LIDER!H44</f>
        <v>ANDRES FELIPE RADA ZAMBRANO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HAROLD HENRIQUE SOSA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SERGIO ANDRES YOUNG ESPITIA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74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74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74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74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74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74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74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74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6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IMPORTACIONES Y EXPORTACIONES</v>
      </c>
      <c r="C2" s="3"/>
      <c r="E2" s="207" t="s">
        <v>69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CONCATENATE(LIDER!C4," - ",LIDER!C6," - ",LIDER!C5)</f>
        <v>IMPORTACIONES Y EXPORTACIONES - 1439 - SANDRA MILENA CASTAÑO GIRALDO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71</v>
      </c>
      <c r="C5" s="32" t="str">
        <f>IF('S-ASIG-01'!D5="","",'S-ASIG-01'!D5)</f>
        <v>LIST</v>
      </c>
      <c r="D5" s="35" t="s">
        <v>74</v>
      </c>
      <c r="E5" s="206" t="str">
        <f>LIDER!$E$29</f>
        <v xml:space="preserve">GRUPO#1  METALNOVA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LUIS ANGEL DAZA VILLAFAÑE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JUAN CAMILO DURAN FLOREZ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BRANDO DE JESUS IRIARTE FRANCO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JOSE RUIZ MEZA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75</v>
      </c>
      <c r="C12" s="32" t="str">
        <f>IF('S-ASIG-01'!D12="","",'S-ASIG-01'!D12)</f>
        <v>LIST</v>
      </c>
      <c r="D12" s="35" t="s">
        <v>74</v>
      </c>
      <c r="E12" s="206" t="str">
        <f>LIDER!$E$30</f>
        <v xml:space="preserve">GRUPO#2  FLORA FRIO 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ISABELLA CARVAL CASTRO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MANUEL JOSÉ DIAZ JULIO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JORGE ELIECER NAVARRO MARTINEZ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JESUS DAVID OTERO BARRIOS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67</v>
      </c>
      <c r="C19" s="32" t="str">
        <f>IF('S-ASIG-01'!D19="","",'S-ASIG-01'!D19)</f>
        <v>LIST</v>
      </c>
      <c r="D19" s="35" t="s">
        <v>74</v>
      </c>
      <c r="E19" s="206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EDWIN MIGUEL ARNEDO RAMOS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GRACE VALENTINA CORREA MEDINA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THAMARA ANDREA DE AVILA CORCHO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MARIA CAMILA FAJARDO FLOREZ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74</v>
      </c>
      <c r="E26" s="206" t="str">
        <f>LIDER!$E$32</f>
        <v xml:space="preserve">GRUPO#4 insta FRUIT 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JESÚS DANIEL IMITOLA MONTAÑO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RADA ZAMBRANO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HAROLD HENRIQUE SOSA RAMOS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SERGIO ANDRES YOUNG ESPITIA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74</v>
      </c>
      <c r="E33" s="206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74</v>
      </c>
      <c r="E40" s="206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IF('S-ASIG-01'!D47="","",'S-ASIG-01'!D47)</f>
        <v>LIST</v>
      </c>
      <c r="D47" s="35" t="s">
        <v>74</v>
      </c>
      <c r="E47" s="206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74</v>
      </c>
      <c r="E54" s="206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74</v>
      </c>
      <c r="E61" s="206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74</v>
      </c>
      <c r="E68" s="206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74</v>
      </c>
      <c r="E75" s="206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74</v>
      </c>
      <c r="E82" s="206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2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6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ELECTIVA LIBRE SOCIOHUMAN III</v>
      </c>
      <c r="C2" s="3"/>
      <c r="E2" s="207" t="s">
        <v>69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CONCATENATE(LIDER!D4," - ",LIDER!D6," - ",LIDER!D5)</f>
        <v>ELECTIVA LIBRE SOCIOHUMAN III - 2144 - ALBEIRO YESITH PÉREZ CHIQUILLO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71</v>
      </c>
      <c r="C5" s="34" t="str">
        <f>IF('S-ASIG-02'!D5="","",'S-ASIG-02'!D5)</f>
        <v>LIST</v>
      </c>
      <c r="D5" s="35" t="s">
        <v>74</v>
      </c>
      <c r="E5" s="142" t="str">
        <f>LIDER!$E$29</f>
        <v xml:space="preserve">GRUPO#1  METALNOVA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LUIS ANGEL DAZA VILLAFAÑE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JUAN CAMILO DURAN FLOREZ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BRANDO DE JESUS IRIARTE FRANCO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JOSE RUIZ MEZA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75</v>
      </c>
      <c r="C12" s="32" t="str">
        <f>IF('S-ASIG-02'!D12="","",'S-ASIG-02'!D12)</f>
        <v>LIST</v>
      </c>
      <c r="D12" s="35" t="s">
        <v>74</v>
      </c>
      <c r="E12" s="142" t="str">
        <f>LIDER!$E$30</f>
        <v xml:space="preserve">GRUPO#2  FLORA FRIO 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ISABELLA CARVAL CASTRO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MANUEL JOSÉ DIAZ JULIO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JORGE ELIECER NAVARRO MARTINEZ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JESUS DAVID OTERO BARRIOS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67</v>
      </c>
      <c r="C19" s="32" t="str">
        <f>IF('S-ASIG-02'!D19="","",'S-ASIG-02'!D19)</f>
        <v>LIST</v>
      </c>
      <c r="D19" s="35" t="s">
        <v>74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EDWIN MIGUEL ARNEDO RAMOS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GRACE VALENTINA CORREA MEDINA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THAMARA ANDREA DE AVILA CORCHO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MARIA CAMILA FAJARDO FLOREZ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74</v>
      </c>
      <c r="E26" s="142" t="str">
        <f>LIDER!$E$32</f>
        <v xml:space="preserve">GRUPO#4 insta FRUIT 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JESÚS DANIEL IMITOLA MONTAÑO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RADA ZAMBRANO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HAROLD HENRIQUE SOSA RAMOS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SERGIO ANDRES YOUNG ESPITIA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74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74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IF('S-ASIG-02'!D47="","",'S-ASIG-02'!D47)</f>
        <v>LIST</v>
      </c>
      <c r="D47" s="35" t="s">
        <v>74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74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74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74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74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74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7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FINANZAS INTERNACIONALES</v>
      </c>
      <c r="C2" s="3"/>
      <c r="E2" s="207" t="s">
        <v>69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CONCATENATE(LIDER!E4," - ",LIDER!E6," - ",LIDER!E5)</f>
        <v>FINANZAS INTERNACIONALES - 1447 - JAVIER IGNACIO ALVAREZ OROZCO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71</v>
      </c>
      <c r="C5" s="34" t="str">
        <f>IF('S-ASIG-03'!D5="","",'S-ASIG-03'!D5)</f>
        <v>LIST</v>
      </c>
      <c r="D5" s="35" t="s">
        <v>74</v>
      </c>
      <c r="E5" s="142" t="str">
        <f>LIDER!$E$29</f>
        <v xml:space="preserve">GRUPO#1  METALNOVA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LUIS ANGEL DAZA VILLAFAÑE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JUAN CAMILO DURAN FLOREZ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BRANDO DE JESUS IRIARTE FRANCO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JOSE RUIZ MEZA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75</v>
      </c>
      <c r="C12" s="32" t="str">
        <f>IF('S-ASIG-03'!D12="","",'S-ASIG-03'!D12)</f>
        <v>LIST</v>
      </c>
      <c r="D12" s="35" t="s">
        <v>74</v>
      </c>
      <c r="E12" s="142" t="str">
        <f>LIDER!$E$30</f>
        <v xml:space="preserve">GRUPO#2  FLORA FRIO 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ISABELLA CARVAL CASTRO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MANUEL JOSÉ DIAZ JULIO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JORGE ELIECER NAVARRO MARTINEZ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JESUS DAVID OTERO BARRIOS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67</v>
      </c>
      <c r="C19" s="32" t="str">
        <f>IF('S-ASIG-03'!D19="","",'S-ASIG-03'!D19)</f>
        <v>LIST</v>
      </c>
      <c r="D19" s="35" t="s">
        <v>74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EDWIN MIGUEL ARNEDO RAMOS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GRACE VALENTINA CORREA MEDINA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THAMARA ANDREA DE AVILA CORCHO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MARIA CAMILA FAJARDO FLOREZ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74</v>
      </c>
      <c r="E26" s="142" t="str">
        <f>LIDER!$E$32</f>
        <v xml:space="preserve">GRUPO#4 insta FRUIT 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JESÚS DANIEL IMITOLA MONTAÑO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RADA ZAMBRANO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HAROLD HENRIQUE SOSA RAMOS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SERGIO ANDRES YOUNG ESPITIA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74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74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IF('S-ASIG-03'!D47="","",'S-ASIG-03'!D47)</f>
        <v>LIST</v>
      </c>
      <c r="D47" s="35" t="s">
        <v>74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74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74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74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74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74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7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REGIMEN CAMBIARIO</v>
      </c>
      <c r="C2" s="3"/>
      <c r="E2" s="207" t="s">
        <v>69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CONCATENATE(LIDER!F4," - ",LIDER!F6," - ",LIDER!F5)</f>
        <v>REGIMEN CAMBIARIO - 2891 - ABRAHAN RINALDI VILLALOBOS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71</v>
      </c>
      <c r="C5" s="34" t="str">
        <f>IF('S-ASIG-04'!D5="","",'S-ASIG-04'!D5)</f>
        <v>LIST</v>
      </c>
      <c r="D5" s="35" t="s">
        <v>74</v>
      </c>
      <c r="E5" s="142" t="str">
        <f>LIDER!$E$29</f>
        <v xml:space="preserve">GRUPO#1  METALNOVA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LUIS ANGEL DAZA VILLAFAÑE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JUAN CAMILO DURAN FLOREZ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BRANDO DE JESUS IRIARTE FRANCO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JOSE RUIZ MEZA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75</v>
      </c>
      <c r="C12" s="32" t="str">
        <f>IF('S-ASIG-04'!D12="","",'S-ASIG-04'!D12)</f>
        <v>LIST</v>
      </c>
      <c r="D12" s="35" t="s">
        <v>74</v>
      </c>
      <c r="E12" s="142" t="str">
        <f>LIDER!$E$30</f>
        <v xml:space="preserve">GRUPO#2  FLORA FRIO 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ISABELLA CARVAL CASTRO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MANUEL JOSÉ DIAZ JULIO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JORGE ELIECER NAVARRO MARTINEZ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JESUS DAVID OTERO BARRIOS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67</v>
      </c>
      <c r="C19" s="32" t="str">
        <f>IF('S-ASIG-04'!D19="","",'S-ASIG-04'!D19)</f>
        <v>LIST</v>
      </c>
      <c r="D19" s="35" t="s">
        <v>74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EDWIN MIGUEL ARNEDO RAMOS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GRACE VALENTINA CORREA MEDINA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THAMARA ANDREA DE AVILA CORCHO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MARIA CAMILA FAJARDO FLOREZ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74</v>
      </c>
      <c r="E26" s="142" t="str">
        <f>LIDER!$E$32</f>
        <v xml:space="preserve">GRUPO#4 insta FRUIT 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JESÚS DANIEL IMITOLA MONTAÑO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RADA ZAMBRANO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HAROLD HENRIQUE SOSA RAMOS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SERGIO ANDRES YOUNG ESPITIA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74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74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IF('S-ASIG-04'!D47="","",'S-ASIG-04'!D47)</f>
        <v>LIST</v>
      </c>
      <c r="D47" s="35" t="s">
        <v>74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74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74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74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74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74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7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NEGOCIACION INTERNACIONAL</v>
      </c>
      <c r="C2" s="3"/>
      <c r="E2" s="207" t="s">
        <v>69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CONCATENATE(LIDER!G4," - ",LIDER!G6," - ",LIDER!G5)</f>
        <v>NEGOCIACION INTERNACIONAL - 2407 - HERNANDO RAFAEL ARMESTO ABUABARA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71</v>
      </c>
      <c r="C5" s="34" t="str">
        <f>IF('S-ASIG-05'!D5="","",'S-ASIG-05'!D5)</f>
        <v>LIST</v>
      </c>
      <c r="D5" s="35" t="s">
        <v>74</v>
      </c>
      <c r="E5" s="142" t="str">
        <f>LIDER!$E$29</f>
        <v xml:space="preserve">GRUPO#1  METALNOVA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LUIS ANGEL DAZA VILLAFAÑE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JUAN CAMILO DURAN FLOREZ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BRANDO DE JESUS IRIARTE FRANCO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JOSE RUIZ MEZA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75</v>
      </c>
      <c r="C12" s="32" t="str">
        <f>IF('S-ASIG-05'!D12="","",'S-ASIG-05'!D12)</f>
        <v>LIST</v>
      </c>
      <c r="D12" s="35" t="s">
        <v>74</v>
      </c>
      <c r="E12" s="142" t="str">
        <f>LIDER!$E$30</f>
        <v xml:space="preserve">GRUPO#2  FLORA FRIO 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ISABELLA CARVAL CASTRO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MANUEL JOSÉ DIAZ JULIO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JORGE ELIECER NAVARRO MARTINEZ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JESUS DAVID OTERO BARRIOS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67</v>
      </c>
      <c r="C19" s="32" t="str">
        <f>IF('S-ASIG-05'!D19="","",'S-ASIG-05'!D19)</f>
        <v>LIST</v>
      </c>
      <c r="D19" s="35" t="s">
        <v>74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EDWIN MIGUEL ARNEDO RAMOS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GRACE VALENTINA CORREA MEDINA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THAMARA ANDREA DE AVILA CORCHO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MARIA CAMILA FAJARDO FLOREZ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74</v>
      </c>
      <c r="E26" s="142" t="str">
        <f>LIDER!$E$32</f>
        <v xml:space="preserve">GRUPO#4 insta FRUIT 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JESÚS DANIEL IMITOLA MONTAÑO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RADA ZAMBRANO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HAROLD HENRIQUE SOSA RAMOS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SERGIO ANDRES YOUNG ESPITIA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74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74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IF('S-ASIG-05'!D47="","",'S-ASIG-05'!D47)</f>
        <v>LIST</v>
      </c>
      <c r="D47" s="35" t="s">
        <v>74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74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74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74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74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74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6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MARKETING INTERNACIONAL</v>
      </c>
      <c r="C2" s="3"/>
      <c r="E2" s="207" t="s">
        <v>69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CONCATENATE(LIDER!H4," - ",LIDER!H6," - ",LIDER!H5)</f>
        <v>MARKETING INTERNACIONAL - 1380 - REYNALDO ARTURO ROJAS TRILLOS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71</v>
      </c>
      <c r="C5" s="34" t="str">
        <f>IF('S-ASIG-06'!D5="","",'S-ASIG-06'!D5)</f>
        <v>LIST</v>
      </c>
      <c r="D5" s="35" t="s">
        <v>74</v>
      </c>
      <c r="E5" s="142" t="str">
        <f>LIDER!$E$29</f>
        <v xml:space="preserve">GRUPO#1  METALNOVA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LUIS ANGEL DAZA VILLAFAÑE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JUAN CAMILO DURAN FLOREZ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BRANDO DE JESUS IRIARTE FRANCO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JOSE RUIZ MEZA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75</v>
      </c>
      <c r="C12" s="32" t="str">
        <f>IF('S-ASIG-06'!D12="","",'S-ASIG-06'!D12)</f>
        <v>LIST</v>
      </c>
      <c r="D12" s="35" t="s">
        <v>74</v>
      </c>
      <c r="E12" s="142" t="str">
        <f>LIDER!$E$30</f>
        <v xml:space="preserve">GRUPO#2  FLORA FRIO 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ISABELLA CARVAL CASTRO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MANUEL JOSÉ DIAZ JULIO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JORGE ELIECER NAVARRO MARTINEZ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JESUS DAVID OTERO BARRIOS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67</v>
      </c>
      <c r="C19" s="32" t="str">
        <f>IF('S-ASIG-06'!D19="","",'S-ASIG-06'!D19)</f>
        <v>LIST</v>
      </c>
      <c r="D19" s="35" t="s">
        <v>74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EDWIN MIGUEL ARNEDO RAMOS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GRACE VALENTINA CORREA MEDINA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THAMARA ANDREA DE AVILA CORCHO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MARIA CAMILA FAJARDO FLOREZ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74</v>
      </c>
      <c r="E26" s="142" t="str">
        <f>LIDER!$E$32</f>
        <v xml:space="preserve">GRUPO#4 insta FRUIT 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JESÚS DANIEL IMITOLA MONTAÑO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RADA ZAMBRANO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HAROLD HENRIQUE SOSA RAMOS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SERGIO ANDRES YOUNG ESPITIA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74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74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IF('S-ASIG-06'!D47="","",'S-ASIG-06'!D47)</f>
        <v>LIST</v>
      </c>
      <c r="D47" s="35" t="s">
        <v>74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74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74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74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74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74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7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207" t="s">
        <v>69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CONCATENATE(LIDER!I4," - ",LIDER!I6," - ",LIDER!I5)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71</v>
      </c>
      <c r="C5" s="34" t="str">
        <f>IF('S-ASIG-07'!D5="","",'S-ASIG-07'!D5)</f>
        <v>LIST</v>
      </c>
      <c r="D5" s="35" t="s">
        <v>74</v>
      </c>
      <c r="E5" s="142" t="str">
        <f>LIDER!$E$29</f>
        <v xml:space="preserve">GRUPO#1  METALNOVA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LUIS ANGEL DAZA VILLAFAÑE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JUAN CAMILO DURAN FLOREZ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BRANDO DE JESUS IRIARTE FRANCO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JOSE RUIZ MEZA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75</v>
      </c>
      <c r="C12" s="32" t="str">
        <f>IF('S-ASIG-07'!D12="","",'S-ASIG-07'!D12)</f>
        <v>LIST</v>
      </c>
      <c r="D12" s="35" t="s">
        <v>74</v>
      </c>
      <c r="E12" s="142" t="str">
        <f>LIDER!$E$30</f>
        <v xml:space="preserve">GRUPO#2  FLORA FRIO 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ISABELLA CARVAL CASTRO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MANUEL JOSÉ DIAZ JULIO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JORGE ELIECER NAVARRO MARTINEZ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JESUS DAVID OTERO BARRIOS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67</v>
      </c>
      <c r="C19" s="32" t="str">
        <f>IF('S-ASIG-07'!D19="","",'S-ASIG-07'!D19)</f>
        <v>LIST</v>
      </c>
      <c r="D19" s="35" t="s">
        <v>74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EDWIN MIGUEL ARNEDO RAMOS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GRACE VALENTINA CORREA MEDINA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THAMARA ANDREA DE AVILA CORCHO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MARIA CAMILA FAJARDO FLOREZ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74</v>
      </c>
      <c r="E26" s="142" t="str">
        <f>LIDER!$E$32</f>
        <v xml:space="preserve">GRUPO#4 insta FRUIT 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JESÚS DANIEL IMITOLA MONTAÑO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RADA ZAMBRANO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HAROLD HENRIQUE SOSA RAMOS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SERGIO ANDRES YOUNG ESPITIA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74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74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IF('S-ASIG-07'!D47="","",'S-ASIG-07'!D47)</f>
        <v>LIST</v>
      </c>
      <c r="D47" s="35" t="s">
        <v>74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74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74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74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74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74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NEGOCIOS INTERNACIONALES PROFESIONAL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SEM-07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10" t="s">
        <v>96</v>
      </c>
      <c r="H2" s="211"/>
      <c r="I2" s="211"/>
      <c r="J2" s="211"/>
      <c r="K2" s="211"/>
      <c r="L2" s="211"/>
      <c r="M2" s="212"/>
      <c r="N2" s="2"/>
      <c r="O2" s="215" t="s">
        <v>97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1439</v>
      </c>
      <c r="H3" s="49" t="str">
        <f>CONCATENATE("N° : ",LIDER!D6)</f>
        <v>N° : 2144</v>
      </c>
      <c r="I3" s="49" t="str">
        <f>CONCATENATE("N° : ",LIDER!E6)</f>
        <v>N° : 1447</v>
      </c>
      <c r="J3" s="49" t="str">
        <f>CONCATENATE("N° : ",LIDER!F6)</f>
        <v>N° : 2891</v>
      </c>
      <c r="K3" s="49" t="str">
        <f>CONCATENATE("N° : ",LIDER!G6)</f>
        <v>N° : 2407</v>
      </c>
      <c r="L3" s="49" t="str">
        <f>CONCATENATE("N° : ",LIDER!H6)</f>
        <v>N° : 1380</v>
      </c>
      <c r="M3" s="50" t="str">
        <f>CONCATENATE("N° : ",LIDER!I6)</f>
        <v xml:space="preserve">N° : </v>
      </c>
      <c r="O3" s="48" t="str">
        <f>G3</f>
        <v>N° : 1439</v>
      </c>
      <c r="P3" s="49" t="str">
        <f t="shared" ref="P3:U3" si="0">H3</f>
        <v>N° : 2144</v>
      </c>
      <c r="Q3" s="49" t="str">
        <f t="shared" si="0"/>
        <v>N° : 1447</v>
      </c>
      <c r="R3" s="49" t="str">
        <f t="shared" si="0"/>
        <v>N° : 2891</v>
      </c>
      <c r="S3" s="49" t="str">
        <f t="shared" si="0"/>
        <v>N° : 2407</v>
      </c>
      <c r="T3" s="49" t="str">
        <f t="shared" si="0"/>
        <v>N° : 1380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98</v>
      </c>
      <c r="D4" s="54" t="s">
        <v>99</v>
      </c>
      <c r="E4" s="55" t="s">
        <v>100</v>
      </c>
      <c r="G4" s="56" t="str">
        <f>MID(LIDER!C4,1,9)</f>
        <v>IMPORTACI</v>
      </c>
      <c r="H4" s="57" t="str">
        <f>MID(LIDER!D4,1,9)</f>
        <v xml:space="preserve">ELECTIVA </v>
      </c>
      <c r="I4" s="57" t="str">
        <f>MID(LIDER!E4,1,9)</f>
        <v xml:space="preserve">FINANZAS </v>
      </c>
      <c r="J4" s="57" t="str">
        <f>MID(LIDER!F4,1,9)</f>
        <v>REGIMEN C</v>
      </c>
      <c r="K4" s="57" t="str">
        <f>MID(LIDER!G4,1,9)</f>
        <v>NEGOCIACI</v>
      </c>
      <c r="L4" s="57" t="str">
        <f>MID(LIDER!H4,1,9)</f>
        <v>MARKETING</v>
      </c>
      <c r="M4" s="58" t="str">
        <f>MID(LIDER!I4,1,9)</f>
        <v/>
      </c>
      <c r="N4" s="59" t="s">
        <v>101</v>
      </c>
      <c r="O4" s="60" t="str">
        <f t="shared" ref="O4:U4" si="1">G4</f>
        <v>IMPORTACI</v>
      </c>
      <c r="P4" s="61" t="str">
        <f t="shared" si="1"/>
        <v xml:space="preserve">ELECTIVA </v>
      </c>
      <c r="Q4" s="61" t="str">
        <f t="shared" si="1"/>
        <v xml:space="preserve">FINANZAS </v>
      </c>
      <c r="R4" s="61" t="str">
        <f t="shared" si="1"/>
        <v>REGIMEN C</v>
      </c>
      <c r="S4" s="61" t="str">
        <f t="shared" si="1"/>
        <v>NEGOCIACI</v>
      </c>
      <c r="T4" s="61" t="str">
        <f t="shared" si="1"/>
        <v>MARKETING</v>
      </c>
      <c r="U4" s="62" t="str">
        <f t="shared" si="1"/>
        <v/>
      </c>
      <c r="V4" s="59" t="s">
        <v>102</v>
      </c>
    </row>
    <row r="5" spans="1:22" ht="15" customHeight="1">
      <c r="A5" s="12">
        <v>1</v>
      </c>
      <c r="B5" s="63" t="str">
        <f>LIDER!C9</f>
        <v>LUIS ANGEL DAZA VILLAFAÑE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4.49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4.7699999999999996</v>
      </c>
      <c r="H5" s="65">
        <f>IF(B5=0,"",IFERROR(VLOOKUP(B5,'S-ASIG-02'!$B$5:$E$88,4,0),0))</f>
        <v>4.76</v>
      </c>
      <c r="I5" s="65">
        <f>IF(B5=0,"",IFERROR(VLOOKUP(B5,'S-ASIG-03'!$B$5:$E$88,4,0),0))</f>
        <v>4.5599999999999996</v>
      </c>
      <c r="J5" s="65">
        <f>IF(B5=0,"",IFERROR(VLOOKUP(B5,'S-ASIG-04'!$B$5:$E$88,4,0),0))</f>
        <v>4.76</v>
      </c>
      <c r="K5" s="65">
        <f>IF(B5=0,"",IFERROR(VLOOKUP(B5,'S-ASIG-05'!$B$5:$E$88,4,0),0))</f>
        <v>4.04</v>
      </c>
      <c r="L5" s="65">
        <f>IF(B5=0,"",IFERROR(VLOOKUP(B5,'S-ASIG-06'!$B$5:$E$88,4,0),0))</f>
        <v>4.05</v>
      </c>
      <c r="M5" s="66">
        <f>IF(B5=0,"",IFERROR(VLOOKUP(B5,'S-ASIG-07'!$B$5:$E$88,4,0),0))</f>
        <v>0</v>
      </c>
      <c r="N5" s="68" t="s">
        <v>103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104</v>
      </c>
    </row>
    <row r="6" spans="1:22" ht="15" customHeight="1">
      <c r="A6" s="12">
        <v>2</v>
      </c>
      <c r="B6" s="70" t="str">
        <f>LIDER!C10</f>
        <v>JUAN CAMILO DURAN FLOREZ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4.49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4.7699999999999996</v>
      </c>
      <c r="H6" s="72">
        <f>IF(B6=0,"",IFERROR(VLOOKUP(B6,'S-ASIG-02'!$B$5:$E$88,4,0),0))</f>
        <v>4.76</v>
      </c>
      <c r="I6" s="72">
        <f>IF(B6=0,"",IFERROR(VLOOKUP(B6,'S-ASIG-03'!$B$5:$E$88,4,0),0))</f>
        <v>4.5599999999999996</v>
      </c>
      <c r="J6" s="72">
        <f>IF(B6=0,"",IFERROR(VLOOKUP(B6,'S-ASIG-04'!$B$5:$E$88,4,0),0))</f>
        <v>4.76</v>
      </c>
      <c r="K6" s="72">
        <f>IF(B6=0,"",IFERROR(VLOOKUP(B6,'S-ASIG-05'!$B$5:$E$88,4,0),0))</f>
        <v>4.04</v>
      </c>
      <c r="L6" s="72">
        <f>IF(B6=0,"",IFERROR(VLOOKUP(B6,'S-ASIG-06'!$B$5:$E$88,4,0),0))</f>
        <v>4.05</v>
      </c>
      <c r="M6" s="73">
        <f>IF(B6=0,"",IFERROR(VLOOKUP(B6,'S-ASIG-07'!$B$5:$E$88,4,0),0))</f>
        <v>0</v>
      </c>
      <c r="N6" s="68" t="s">
        <v>103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104</v>
      </c>
    </row>
    <row r="7" spans="1:22" ht="15" customHeight="1">
      <c r="A7" s="12">
        <v>3</v>
      </c>
      <c r="B7" s="70" t="str">
        <f>LIDER!C11</f>
        <v>BRANDO DE JESUS IRIARTE FRANCO</v>
      </c>
      <c r="C7" s="64" t="str">
        <f>IF(B7=0,"",IFERROR(VLOOKUP(B7,'S-ASIG-01'!$B$5:$E$88,2,0),0))</f>
        <v>G01</v>
      </c>
      <c r="D7" s="65">
        <f t="shared" si="2"/>
        <v>4.49</v>
      </c>
      <c r="E7" s="66">
        <f t="shared" si="3"/>
        <v>0</v>
      </c>
      <c r="F7" s="47"/>
      <c r="G7" s="71">
        <f>IF(B7=0,"",IFERROR(VLOOKUP(B7,'S-ASIG-01'!$B$5:$E$88,4,0),0))</f>
        <v>4.7699999999999996</v>
      </c>
      <c r="H7" s="72">
        <f>IF(B7=0,"",IFERROR(VLOOKUP(B7,'S-ASIG-02'!$B$5:$E$88,4,0),0))</f>
        <v>4.76</v>
      </c>
      <c r="I7" s="72">
        <f>IF(B7=0,"",IFERROR(VLOOKUP(B7,'S-ASIG-03'!$B$5:$E$88,4,0),0))</f>
        <v>4.5599999999999996</v>
      </c>
      <c r="J7" s="72">
        <f>IF(B7=0,"",IFERROR(VLOOKUP(B7,'S-ASIG-04'!$B$5:$E$88,4,0),0))</f>
        <v>4.76</v>
      </c>
      <c r="K7" s="72">
        <f>IF(B7=0,"",IFERROR(VLOOKUP(B7,'S-ASIG-05'!$B$5:$E$88,4,0),0))</f>
        <v>4.04</v>
      </c>
      <c r="L7" s="72">
        <f>IF(B7=0,"",IFERROR(VLOOKUP(B7,'S-ASIG-06'!$B$5:$E$88,4,0),0))</f>
        <v>4.05</v>
      </c>
      <c r="M7" s="73">
        <f>IF(B7=0,"",IFERROR(VLOOKUP(B7,'S-ASIG-07'!$B$5:$E$88,4,0),0))</f>
        <v>0</v>
      </c>
      <c r="N7" s="68" t="s">
        <v>103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104</v>
      </c>
    </row>
    <row r="8" spans="1:22" ht="15" customHeight="1">
      <c r="A8" s="12">
        <v>4</v>
      </c>
      <c r="B8" s="70" t="str">
        <f>LIDER!C12</f>
        <v>MARIA JOSE RUIZ MEZA</v>
      </c>
      <c r="C8" s="64" t="str">
        <f>IF(B8=0,"",IFERROR(VLOOKUP(B8,'S-ASIG-01'!$B$5:$E$88,2,0),0))</f>
        <v>G01</v>
      </c>
      <c r="D8" s="65">
        <f t="shared" si="2"/>
        <v>4.49</v>
      </c>
      <c r="E8" s="66">
        <f t="shared" si="3"/>
        <v>0</v>
      </c>
      <c r="F8" s="47"/>
      <c r="G8" s="71">
        <f>IF(B8=0,"",IFERROR(VLOOKUP(B8,'S-ASIG-01'!$B$5:$E$88,4,0),0))</f>
        <v>4.7699999999999996</v>
      </c>
      <c r="H8" s="72">
        <f>IF(B8=0,"",IFERROR(VLOOKUP(B8,'S-ASIG-02'!$B$5:$E$88,4,0),0))</f>
        <v>4.76</v>
      </c>
      <c r="I8" s="72">
        <f>IF(B8=0,"",IFERROR(VLOOKUP(B8,'S-ASIG-03'!$B$5:$E$88,4,0),0))</f>
        <v>4.5599999999999996</v>
      </c>
      <c r="J8" s="72">
        <f>IF(B8=0,"",IFERROR(VLOOKUP(B8,'S-ASIG-04'!$B$5:$E$88,4,0),0))</f>
        <v>4.76</v>
      </c>
      <c r="K8" s="72">
        <f>IF(B8=0,"",IFERROR(VLOOKUP(B8,'S-ASIG-05'!$B$5:$E$88,4,0),0))</f>
        <v>4.04</v>
      </c>
      <c r="L8" s="72">
        <f>IF(B8=0,"",IFERROR(VLOOKUP(B8,'S-ASIG-06'!$B$5:$E$88,4,0),0))</f>
        <v>4.05</v>
      </c>
      <c r="M8" s="73">
        <f>IF(B8=0,"",IFERROR(VLOOKUP(B8,'S-ASIG-07'!$B$5:$E$88,4,0),0))</f>
        <v>0</v>
      </c>
      <c r="N8" s="68" t="s">
        <v>103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104</v>
      </c>
    </row>
    <row r="9" spans="1:22" ht="15" customHeight="1">
      <c r="A9" s="12">
        <v>5</v>
      </c>
      <c r="B9" s="70" t="str">
        <f>LIDER!C13</f>
        <v>ISABELLA CARVAL CASTRO</v>
      </c>
      <c r="C9" s="64" t="str">
        <f>IF(B9=0,"",IFERROR(VLOOKUP(B9,'S-ASIG-01'!$B$5:$E$88,2,0),0))</f>
        <v>G02</v>
      </c>
      <c r="D9" s="65">
        <f t="shared" si="2"/>
        <v>4.2133333333333329</v>
      </c>
      <c r="E9" s="66">
        <f t="shared" si="3"/>
        <v>0</v>
      </c>
      <c r="F9" s="47"/>
      <c r="G9" s="71">
        <f>IF(B9=0,"",IFERROR(VLOOKUP(B9,'S-ASIG-01'!$B$5:$E$88,4,0),0))</f>
        <v>4.4799999999999995</v>
      </c>
      <c r="H9" s="72">
        <f>IF(B9=0,"",IFERROR(VLOOKUP(B9,'S-ASIG-02'!$B$5:$E$88,4,0),0))</f>
        <v>4.49</v>
      </c>
      <c r="I9" s="72">
        <f>IF(B9=0,"",IFERROR(VLOOKUP(B9,'S-ASIG-03'!$B$5:$E$88,4,0),0))</f>
        <v>4.38</v>
      </c>
      <c r="J9" s="72">
        <f>IF(B9=0,"",IFERROR(VLOOKUP(B9,'S-ASIG-04'!$B$5:$E$88,4,0),0))</f>
        <v>4.5299999999999994</v>
      </c>
      <c r="K9" s="72">
        <f>IF(B9=0,"",IFERROR(VLOOKUP(B9,'S-ASIG-05'!$B$5:$E$88,4,0),0))</f>
        <v>3.71</v>
      </c>
      <c r="L9" s="72">
        <f>IF(B9=0,"",IFERROR(VLOOKUP(B9,'S-ASIG-06'!$B$5:$E$88,4,0),0))</f>
        <v>3.6900000000000004</v>
      </c>
      <c r="M9" s="73">
        <f>IF(B9=0,"",IFERROR(VLOOKUP(B9,'S-ASIG-07'!$B$5:$E$88,4,0),0))</f>
        <v>0</v>
      </c>
      <c r="N9" s="68" t="s">
        <v>103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104</v>
      </c>
    </row>
    <row r="10" spans="1:22" ht="15" customHeight="1">
      <c r="A10" s="12">
        <v>6</v>
      </c>
      <c r="B10" s="70" t="str">
        <f>LIDER!C14</f>
        <v>MANUEL JOSÉ DIAZ JULIO</v>
      </c>
      <c r="C10" s="64" t="str">
        <f>IF(B10=0,"",IFERROR(VLOOKUP(B10,'S-ASIG-01'!$B$5:$E$88,2,0),0))</f>
        <v>G02</v>
      </c>
      <c r="D10" s="65">
        <f t="shared" si="2"/>
        <v>4.2133333333333329</v>
      </c>
      <c r="E10" s="66">
        <f t="shared" si="3"/>
        <v>0</v>
      </c>
      <c r="F10" s="47"/>
      <c r="G10" s="71">
        <f>IF(B10=0,"",IFERROR(VLOOKUP(B10,'S-ASIG-01'!$B$5:$E$88,4,0),0))</f>
        <v>4.4799999999999995</v>
      </c>
      <c r="H10" s="72">
        <f>IF(B10=0,"",IFERROR(VLOOKUP(B10,'S-ASIG-02'!$B$5:$E$88,4,0),0))</f>
        <v>4.49</v>
      </c>
      <c r="I10" s="72">
        <f>IF(B10=0,"",IFERROR(VLOOKUP(B10,'S-ASIG-03'!$B$5:$E$88,4,0),0))</f>
        <v>4.38</v>
      </c>
      <c r="J10" s="72">
        <f>IF(B10=0,"",IFERROR(VLOOKUP(B10,'S-ASIG-04'!$B$5:$E$88,4,0),0))</f>
        <v>4.5299999999999994</v>
      </c>
      <c r="K10" s="72">
        <f>IF(B10=0,"",IFERROR(VLOOKUP(B10,'S-ASIG-05'!$B$5:$E$88,4,0),0))</f>
        <v>3.71</v>
      </c>
      <c r="L10" s="72">
        <f>IF(B10=0,"",IFERROR(VLOOKUP(B10,'S-ASIG-06'!$B$5:$E$88,4,0),0))</f>
        <v>3.6900000000000004</v>
      </c>
      <c r="M10" s="73">
        <f>IF(B10=0,"",IFERROR(VLOOKUP(B10,'S-ASIG-07'!$B$5:$E$88,4,0),0))</f>
        <v>0</v>
      </c>
      <c r="N10" s="68" t="s">
        <v>103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104</v>
      </c>
    </row>
    <row r="11" spans="1:22" ht="15" customHeight="1">
      <c r="A11" s="12">
        <v>7</v>
      </c>
      <c r="B11" s="70" t="str">
        <f>LIDER!C15</f>
        <v>JORGE ELIECER NAVARRO MARTINEZ</v>
      </c>
      <c r="C11" s="64" t="str">
        <f>IF(B11=0,"",IFERROR(VLOOKUP(B11,'S-ASIG-01'!$B$5:$E$88,2,0),0))</f>
        <v>G02</v>
      </c>
      <c r="D11" s="65">
        <f t="shared" si="2"/>
        <v>4.2133333333333329</v>
      </c>
      <c r="E11" s="66">
        <f t="shared" si="3"/>
        <v>0</v>
      </c>
      <c r="F11" s="47"/>
      <c r="G11" s="71">
        <f>IF(B11=0,"",IFERROR(VLOOKUP(B11,'S-ASIG-01'!$B$5:$E$88,4,0),0))</f>
        <v>4.4799999999999995</v>
      </c>
      <c r="H11" s="72">
        <f>IF(B11=0,"",IFERROR(VLOOKUP(B11,'S-ASIG-02'!$B$5:$E$88,4,0),0))</f>
        <v>4.49</v>
      </c>
      <c r="I11" s="72">
        <f>IF(B11=0,"",IFERROR(VLOOKUP(B11,'S-ASIG-03'!$B$5:$E$88,4,0),0))</f>
        <v>4.38</v>
      </c>
      <c r="J11" s="72">
        <f>IF(B11=0,"",IFERROR(VLOOKUP(B11,'S-ASIG-04'!$B$5:$E$88,4,0),0))</f>
        <v>4.5299999999999994</v>
      </c>
      <c r="K11" s="72">
        <f>IF(B11=0,"",IFERROR(VLOOKUP(B11,'S-ASIG-05'!$B$5:$E$88,4,0),0))</f>
        <v>3.71</v>
      </c>
      <c r="L11" s="72">
        <f>IF(B11=0,"",IFERROR(VLOOKUP(B11,'S-ASIG-06'!$B$5:$E$88,4,0),0))</f>
        <v>3.6900000000000004</v>
      </c>
      <c r="M11" s="73">
        <f>IF(B11=0,"",IFERROR(VLOOKUP(B11,'S-ASIG-07'!$B$5:$E$88,4,0),0))</f>
        <v>0</v>
      </c>
      <c r="N11" s="68" t="s">
        <v>103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104</v>
      </c>
    </row>
    <row r="12" spans="1:22" ht="15" customHeight="1">
      <c r="A12" s="12">
        <v>8</v>
      </c>
      <c r="B12" s="70" t="str">
        <f>LIDER!C16</f>
        <v>JESUS DAVID OTERO BARRIOS</v>
      </c>
      <c r="C12" s="64" t="str">
        <f>IF(B12=0,"",IFERROR(VLOOKUP(B12,'S-ASIG-01'!$B$5:$E$88,2,0),0))</f>
        <v>G02</v>
      </c>
      <c r="D12" s="65">
        <f t="shared" si="2"/>
        <v>4.2133333333333329</v>
      </c>
      <c r="E12" s="66">
        <f t="shared" si="3"/>
        <v>0</v>
      </c>
      <c r="F12" s="47"/>
      <c r="G12" s="71">
        <f>IF(B12=0,"",IFERROR(VLOOKUP(B12,'S-ASIG-01'!$B$5:$E$88,4,0),0))</f>
        <v>4.4799999999999995</v>
      </c>
      <c r="H12" s="72">
        <f>IF(B12=0,"",IFERROR(VLOOKUP(B12,'S-ASIG-02'!$B$5:$E$88,4,0),0))</f>
        <v>4.49</v>
      </c>
      <c r="I12" s="72">
        <f>IF(B12=0,"",IFERROR(VLOOKUP(B12,'S-ASIG-03'!$B$5:$E$88,4,0),0))</f>
        <v>4.38</v>
      </c>
      <c r="J12" s="72">
        <f>IF(B12=0,"",IFERROR(VLOOKUP(B12,'S-ASIG-04'!$B$5:$E$88,4,0),0))</f>
        <v>4.5299999999999994</v>
      </c>
      <c r="K12" s="72">
        <f>IF(B12=0,"",IFERROR(VLOOKUP(B12,'S-ASIG-05'!$B$5:$E$88,4,0),0))</f>
        <v>3.71</v>
      </c>
      <c r="L12" s="72">
        <f>IF(B12=0,"",IFERROR(VLOOKUP(B12,'S-ASIG-06'!$B$5:$E$88,4,0),0))</f>
        <v>3.6900000000000004</v>
      </c>
      <c r="M12" s="73">
        <f>IF(B12=0,"",IFERROR(VLOOKUP(B12,'S-ASIG-07'!$B$5:$E$88,4,0),0))</f>
        <v>0</v>
      </c>
      <c r="N12" s="68" t="s">
        <v>103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104</v>
      </c>
    </row>
    <row r="13" spans="1:22" ht="15" customHeight="1">
      <c r="A13" s="12">
        <v>9</v>
      </c>
      <c r="B13" s="70" t="str">
        <f>LIDER!C17</f>
        <v>EDWIN MIGUEL ARNEDO RAMOS</v>
      </c>
      <c r="C13" s="64" t="str">
        <f>IF(B13=0,"",IFERROR(VLOOKUP(B13,'S-ASIG-01'!$B$5:$E$88,2,0),0))</f>
        <v>G03</v>
      </c>
      <c r="D13" s="65">
        <f t="shared" si="2"/>
        <v>4.3233333333333333</v>
      </c>
      <c r="E13" s="66">
        <f t="shared" si="3"/>
        <v>0</v>
      </c>
      <c r="F13" s="47"/>
      <c r="G13" s="71">
        <f>IF(B13=0,"",IFERROR(VLOOKUP(B13,'S-ASIG-01'!$B$5:$E$88,4,0),0))</f>
        <v>4.5</v>
      </c>
      <c r="H13" s="72">
        <f>IF(B13=0,"",IFERROR(VLOOKUP(B13,'S-ASIG-02'!$B$5:$E$88,4,0),0))</f>
        <v>4.5</v>
      </c>
      <c r="I13" s="72">
        <f>IF(B13=0,"",IFERROR(VLOOKUP(B13,'S-ASIG-03'!$B$5:$E$88,4,0),0))</f>
        <v>4.3599999999999994</v>
      </c>
      <c r="J13" s="72">
        <f>IF(B13=0,"",IFERROR(VLOOKUP(B13,'S-ASIG-04'!$B$5:$E$88,4,0),0))</f>
        <v>4.5999999999999996</v>
      </c>
      <c r="K13" s="72">
        <f>IF(B13=0,"",IFERROR(VLOOKUP(B13,'S-ASIG-05'!$B$5:$E$88,4,0),0))</f>
        <v>4.01</v>
      </c>
      <c r="L13" s="72">
        <f>IF(B13=0,"",IFERROR(VLOOKUP(B13,'S-ASIG-06'!$B$5:$E$88,4,0),0))</f>
        <v>3.9699999999999998</v>
      </c>
      <c r="M13" s="73">
        <f>IF(B13=0,"",IFERROR(VLOOKUP(B13,'S-ASIG-07'!$B$5:$E$88,4,0),0))</f>
        <v>0</v>
      </c>
      <c r="N13" s="68" t="s">
        <v>103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104</v>
      </c>
    </row>
    <row r="14" spans="1:22" ht="15" customHeight="1">
      <c r="A14" s="12">
        <v>10</v>
      </c>
      <c r="B14" s="70" t="str">
        <f>LIDER!C18</f>
        <v>GRACE VALENTINA CORREA MEDINA</v>
      </c>
      <c r="C14" s="64" t="str">
        <f>IF(B14=0,"",IFERROR(VLOOKUP(B14,'S-ASIG-01'!$B$5:$E$88,2,0),0))</f>
        <v>G03</v>
      </c>
      <c r="D14" s="65">
        <f t="shared" si="2"/>
        <v>4.3233333333333333</v>
      </c>
      <c r="E14" s="66">
        <f t="shared" si="3"/>
        <v>0</v>
      </c>
      <c r="F14" s="47"/>
      <c r="G14" s="71">
        <f>IF(B14=0,"",IFERROR(VLOOKUP(B14,'S-ASIG-01'!$B$5:$E$88,4,0),0))</f>
        <v>4.5</v>
      </c>
      <c r="H14" s="72">
        <f>IF(B14=0,"",IFERROR(VLOOKUP(B14,'S-ASIG-02'!$B$5:$E$88,4,0),0))</f>
        <v>4.5</v>
      </c>
      <c r="I14" s="72">
        <f>IF(B14=0,"",IFERROR(VLOOKUP(B14,'S-ASIG-03'!$B$5:$E$88,4,0),0))</f>
        <v>4.3599999999999994</v>
      </c>
      <c r="J14" s="72">
        <f>IF(B14=0,"",IFERROR(VLOOKUP(B14,'S-ASIG-04'!$B$5:$E$88,4,0),0))</f>
        <v>4.5999999999999996</v>
      </c>
      <c r="K14" s="72">
        <f>IF(B14=0,"",IFERROR(VLOOKUP(B14,'S-ASIG-05'!$B$5:$E$88,4,0),0))</f>
        <v>4.01</v>
      </c>
      <c r="L14" s="72">
        <f>IF(B14=0,"",IFERROR(VLOOKUP(B14,'S-ASIG-06'!$B$5:$E$88,4,0),0))</f>
        <v>3.9699999999999998</v>
      </c>
      <c r="M14" s="73">
        <f>IF(B14=0,"",IFERROR(VLOOKUP(B14,'S-ASIG-07'!$B$5:$E$88,4,0),0))</f>
        <v>0</v>
      </c>
      <c r="N14" s="68" t="s">
        <v>103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104</v>
      </c>
    </row>
    <row r="15" spans="1:22" ht="15" customHeight="1">
      <c r="A15" s="12">
        <v>11</v>
      </c>
      <c r="B15" s="70" t="str">
        <f>LIDER!C19</f>
        <v>THAMARA ANDREA DE AVILA CORCHO</v>
      </c>
      <c r="C15" s="64" t="str">
        <f>IF(B15=0,"",IFERROR(VLOOKUP(B15,'S-ASIG-01'!$B$5:$E$88,2,0),0))</f>
        <v>G03</v>
      </c>
      <c r="D15" s="65">
        <f t="shared" si="2"/>
        <v>4.3233333333333333</v>
      </c>
      <c r="E15" s="66">
        <f t="shared" si="3"/>
        <v>0</v>
      </c>
      <c r="F15" s="47"/>
      <c r="G15" s="71">
        <f>IF(B15=0,"",IFERROR(VLOOKUP(B15,'S-ASIG-01'!$B$5:$E$88,4,0),0))</f>
        <v>4.5</v>
      </c>
      <c r="H15" s="72">
        <f>IF(B15=0,"",IFERROR(VLOOKUP(B15,'S-ASIG-02'!$B$5:$E$88,4,0),0))</f>
        <v>4.5</v>
      </c>
      <c r="I15" s="72">
        <f>IF(B15=0,"",IFERROR(VLOOKUP(B15,'S-ASIG-03'!$B$5:$E$88,4,0),0))</f>
        <v>4.3599999999999994</v>
      </c>
      <c r="J15" s="72">
        <f>IF(B15=0,"",IFERROR(VLOOKUP(B15,'S-ASIG-04'!$B$5:$E$88,4,0),0))</f>
        <v>4.5999999999999996</v>
      </c>
      <c r="K15" s="72">
        <f>IF(B15=0,"",IFERROR(VLOOKUP(B15,'S-ASIG-05'!$B$5:$E$88,4,0),0))</f>
        <v>4.01</v>
      </c>
      <c r="L15" s="72">
        <f>IF(B15=0,"",IFERROR(VLOOKUP(B15,'S-ASIG-06'!$B$5:$E$88,4,0),0))</f>
        <v>3.9699999999999998</v>
      </c>
      <c r="M15" s="73">
        <f>IF(B15=0,"",IFERROR(VLOOKUP(B15,'S-ASIG-07'!$B$5:$E$88,4,0),0))</f>
        <v>0</v>
      </c>
      <c r="N15" s="68" t="s">
        <v>103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104</v>
      </c>
    </row>
    <row r="16" spans="1:22" ht="15" customHeight="1">
      <c r="A16" s="12">
        <v>12</v>
      </c>
      <c r="B16" s="70" t="str">
        <f>LIDER!C20</f>
        <v>MARIA CAMILA FAJARDO FLOREZ</v>
      </c>
      <c r="C16" s="64" t="str">
        <f>IF(B16=0,"",IFERROR(VLOOKUP(B16,'S-ASIG-01'!$B$5:$E$88,2,0),0))</f>
        <v>G03</v>
      </c>
      <c r="D16" s="65">
        <f t="shared" si="2"/>
        <v>4.3233333333333333</v>
      </c>
      <c r="E16" s="66">
        <f t="shared" si="3"/>
        <v>0</v>
      </c>
      <c r="F16" s="47"/>
      <c r="G16" s="71">
        <f>IF(B16=0,"",IFERROR(VLOOKUP(B16,'S-ASIG-01'!$B$5:$E$88,4,0),0))</f>
        <v>4.5</v>
      </c>
      <c r="H16" s="72">
        <f>IF(B16=0,"",IFERROR(VLOOKUP(B16,'S-ASIG-02'!$B$5:$E$88,4,0),0))</f>
        <v>4.5</v>
      </c>
      <c r="I16" s="72">
        <f>IF(B16=0,"",IFERROR(VLOOKUP(B16,'S-ASIG-03'!$B$5:$E$88,4,0),0))</f>
        <v>4.3599999999999994</v>
      </c>
      <c r="J16" s="72">
        <f>IF(B16=0,"",IFERROR(VLOOKUP(B16,'S-ASIG-04'!$B$5:$E$88,4,0),0))</f>
        <v>4.5999999999999996</v>
      </c>
      <c r="K16" s="72">
        <f>IF(B16=0,"",IFERROR(VLOOKUP(B16,'S-ASIG-05'!$B$5:$E$88,4,0),0))</f>
        <v>4.01</v>
      </c>
      <c r="L16" s="72">
        <f>IF(B16=0,"",IFERROR(VLOOKUP(B16,'S-ASIG-06'!$B$5:$E$88,4,0),0))</f>
        <v>3.9699999999999998</v>
      </c>
      <c r="M16" s="73">
        <f>IF(B16=0,"",IFERROR(VLOOKUP(B16,'S-ASIG-07'!$B$5:$E$88,4,0),0))</f>
        <v>0</v>
      </c>
      <c r="N16" s="68" t="s">
        <v>103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104</v>
      </c>
    </row>
    <row r="17" spans="1:22" ht="15" customHeight="1">
      <c r="A17" s="12">
        <v>13</v>
      </c>
      <c r="B17" s="70" t="str">
        <f>LIDER!C21</f>
        <v>JESÚS DANIEL IMITOLA MONTAÑO</v>
      </c>
      <c r="C17" s="64" t="str">
        <f>IF(B17=0,"",IFERROR(VLOOKUP(B17,'S-ASIG-01'!$B$5:$E$88,2,0),0))</f>
        <v>G04</v>
      </c>
      <c r="D17" s="65">
        <f t="shared" si="2"/>
        <v>3.9183333333333326</v>
      </c>
      <c r="E17" s="66">
        <f t="shared" si="3"/>
        <v>0</v>
      </c>
      <c r="F17" s="47"/>
      <c r="G17" s="71">
        <f>IF(B17=0,"",IFERROR(VLOOKUP(B17,'S-ASIG-01'!$B$5:$E$88,4,0),0))</f>
        <v>4.1899999999999995</v>
      </c>
      <c r="H17" s="72">
        <f>IF(B17=0,"",IFERROR(VLOOKUP(B17,'S-ASIG-02'!$B$5:$E$88,4,0),0))</f>
        <v>4.01</v>
      </c>
      <c r="I17" s="72">
        <f>IF(B17=0,"",IFERROR(VLOOKUP(B17,'S-ASIG-03'!$B$5:$E$88,4,0),0))</f>
        <v>4.0999999999999996</v>
      </c>
      <c r="J17" s="72">
        <f>IF(B17=0,"",IFERROR(VLOOKUP(B17,'S-ASIG-04'!$B$5:$E$88,4,0),0))</f>
        <v>4.1099999999999994</v>
      </c>
      <c r="K17" s="72">
        <f>IF(B17=0,"",IFERROR(VLOOKUP(B17,'S-ASIG-05'!$B$5:$E$88,4,0),0))</f>
        <v>3.2199999999999998</v>
      </c>
      <c r="L17" s="72">
        <f>IF(B17=0,"",IFERROR(VLOOKUP(B17,'S-ASIG-06'!$B$5:$E$88,4,0),0))</f>
        <v>3.88</v>
      </c>
      <c r="M17" s="73">
        <f>IF(B17=0,"",IFERROR(VLOOKUP(B17,'S-ASIG-07'!$B$5:$E$88,4,0),0))</f>
        <v>0</v>
      </c>
      <c r="N17" s="68" t="s">
        <v>103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104</v>
      </c>
    </row>
    <row r="18" spans="1:22" ht="15" customHeight="1">
      <c r="A18" s="12">
        <v>14</v>
      </c>
      <c r="B18" s="70" t="str">
        <f>LIDER!C22</f>
        <v>ANDRES FELIPE RADA ZAMBRANO</v>
      </c>
      <c r="C18" s="64" t="str">
        <f>IF(B18=0,"",IFERROR(VLOOKUP(B18,'S-ASIG-01'!$B$5:$E$88,2,0),0))</f>
        <v>G04</v>
      </c>
      <c r="D18" s="65">
        <f t="shared" si="2"/>
        <v>3.9183333333333326</v>
      </c>
      <c r="E18" s="66">
        <f t="shared" si="3"/>
        <v>0</v>
      </c>
      <c r="F18" s="47"/>
      <c r="G18" s="71">
        <f>IF(B18=0,"",IFERROR(VLOOKUP(B18,'S-ASIG-01'!$B$5:$E$88,4,0),0))</f>
        <v>4.1899999999999995</v>
      </c>
      <c r="H18" s="72">
        <f>IF(B18=0,"",IFERROR(VLOOKUP(B18,'S-ASIG-02'!$B$5:$E$88,4,0),0))</f>
        <v>4.01</v>
      </c>
      <c r="I18" s="72">
        <f>IF(B18=0,"",IFERROR(VLOOKUP(B18,'S-ASIG-03'!$B$5:$E$88,4,0),0))</f>
        <v>4.0999999999999996</v>
      </c>
      <c r="J18" s="72">
        <f>IF(B18=0,"",IFERROR(VLOOKUP(B18,'S-ASIG-04'!$B$5:$E$88,4,0),0))</f>
        <v>4.1099999999999994</v>
      </c>
      <c r="K18" s="72">
        <f>IF(B18=0,"",IFERROR(VLOOKUP(B18,'S-ASIG-05'!$B$5:$E$88,4,0),0))</f>
        <v>3.2199999999999998</v>
      </c>
      <c r="L18" s="72">
        <f>IF(B18=0,"",IFERROR(VLOOKUP(B18,'S-ASIG-06'!$B$5:$E$88,4,0),0))</f>
        <v>3.88</v>
      </c>
      <c r="M18" s="73">
        <f>IF(B18=0,"",IFERROR(VLOOKUP(B18,'S-ASIG-07'!$B$5:$E$88,4,0),0))</f>
        <v>0</v>
      </c>
      <c r="N18" s="68" t="s">
        <v>103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104</v>
      </c>
    </row>
    <row r="19" spans="1:22" ht="15" customHeight="1">
      <c r="A19" s="12">
        <v>15</v>
      </c>
      <c r="B19" s="70" t="str">
        <f>LIDER!C23</f>
        <v>HAROLD HENRIQUE SOSA RAMOS</v>
      </c>
      <c r="C19" s="64" t="str">
        <f>IF(B19=0,"",IFERROR(VLOOKUP(B19,'S-ASIG-01'!$B$5:$E$88,2,0),0))</f>
        <v>G04</v>
      </c>
      <c r="D19" s="65">
        <f t="shared" si="2"/>
        <v>3.9183333333333326</v>
      </c>
      <c r="E19" s="66">
        <f t="shared" si="3"/>
        <v>0</v>
      </c>
      <c r="F19" s="47"/>
      <c r="G19" s="71">
        <f>IF(B19=0,"",IFERROR(VLOOKUP(B19,'S-ASIG-01'!$B$5:$E$88,4,0),0))</f>
        <v>4.1899999999999995</v>
      </c>
      <c r="H19" s="72">
        <f>IF(B19=0,"",IFERROR(VLOOKUP(B19,'S-ASIG-02'!$B$5:$E$88,4,0),0))</f>
        <v>4.01</v>
      </c>
      <c r="I19" s="72">
        <f>IF(B19=0,"",IFERROR(VLOOKUP(B19,'S-ASIG-03'!$B$5:$E$88,4,0),0))</f>
        <v>4.0999999999999996</v>
      </c>
      <c r="J19" s="72">
        <f>IF(B19=0,"",IFERROR(VLOOKUP(B19,'S-ASIG-04'!$B$5:$E$88,4,0),0))</f>
        <v>4.1099999999999994</v>
      </c>
      <c r="K19" s="72">
        <f>IF(B19=0,"",IFERROR(VLOOKUP(B19,'S-ASIG-05'!$B$5:$E$88,4,0),0))</f>
        <v>3.2199999999999998</v>
      </c>
      <c r="L19" s="72">
        <f>IF(B19=0,"",IFERROR(VLOOKUP(B19,'S-ASIG-06'!$B$5:$E$88,4,0),0))</f>
        <v>3.88</v>
      </c>
      <c r="M19" s="73">
        <f>IF(B19=0,"",IFERROR(VLOOKUP(B19,'S-ASIG-07'!$B$5:$E$88,4,0),0))</f>
        <v>0</v>
      </c>
      <c r="N19" s="68" t="s">
        <v>103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104</v>
      </c>
    </row>
    <row r="20" spans="1:22" ht="15" customHeight="1">
      <c r="A20" s="12">
        <v>16</v>
      </c>
      <c r="B20" s="70" t="str">
        <f>LIDER!C24</f>
        <v>SERGIO ANDRES YOUNG ESPITIA</v>
      </c>
      <c r="C20" s="64" t="str">
        <f>IF(B20=0,"",IFERROR(VLOOKUP(B20,'S-ASIG-01'!$B$5:$E$88,2,0),0))</f>
        <v>G04</v>
      </c>
      <c r="D20" s="65">
        <f t="shared" si="2"/>
        <v>3.9183333333333326</v>
      </c>
      <c r="E20" s="66">
        <f t="shared" si="3"/>
        <v>0</v>
      </c>
      <c r="F20" s="47"/>
      <c r="G20" s="71">
        <f>IF(B20=0,"",IFERROR(VLOOKUP(B20,'S-ASIG-01'!$B$5:$E$88,4,0),0))</f>
        <v>4.1899999999999995</v>
      </c>
      <c r="H20" s="72">
        <f>IF(B20=0,"",IFERROR(VLOOKUP(B20,'S-ASIG-02'!$B$5:$E$88,4,0),0))</f>
        <v>4.01</v>
      </c>
      <c r="I20" s="72">
        <f>IF(B20=0,"",IFERROR(VLOOKUP(B20,'S-ASIG-03'!$B$5:$E$88,4,0),0))</f>
        <v>4.0999999999999996</v>
      </c>
      <c r="J20" s="72">
        <f>IF(B20=0,"",IFERROR(VLOOKUP(B20,'S-ASIG-04'!$B$5:$E$88,4,0),0))</f>
        <v>4.1099999999999994</v>
      </c>
      <c r="K20" s="72">
        <f>IF(B20=0,"",IFERROR(VLOOKUP(B20,'S-ASIG-05'!$B$5:$E$88,4,0),0))</f>
        <v>3.2199999999999998</v>
      </c>
      <c r="L20" s="72">
        <f>IF(B20=0,"",IFERROR(VLOOKUP(B20,'S-ASIG-06'!$B$5:$E$88,4,0),0))</f>
        <v>3.88</v>
      </c>
      <c r="M20" s="73">
        <f>IF(B20=0,"",IFERROR(VLOOKUP(B20,'S-ASIG-07'!$B$5:$E$88,4,0),0))</f>
        <v>0</v>
      </c>
      <c r="N20" s="68" t="s">
        <v>103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104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103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104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103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104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103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104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103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104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103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104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103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104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103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104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103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104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103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104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103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104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103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104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103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104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103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104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103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104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103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104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103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104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103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104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103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104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103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104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103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104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103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104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103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104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103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104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103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104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103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104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103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104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103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104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103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104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103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104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103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104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103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104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103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104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103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104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103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104</v>
      </c>
    </row>
  </sheetData>
  <sheetProtection algorithmName="SHA-512" hashValue="8zVo6wvn1+V0gDD4wbG0Gnc4ZyOCbKDKvFhCPhxDsfXtroX19Be0dWriNmYJVFDsjpNS8u706Kag7VA8W5VKNw==" saltValue="nEqPcswy7IMkEKImCJWpr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2026-10-16T01:17:00Z</dcterms:modified>
  <cp:category/>
  <cp:contentStatus/>
</cp:coreProperties>
</file>